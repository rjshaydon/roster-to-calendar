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comments7.xml" ContentType="application/vnd.openxmlformats-officedocument.spreadsheetml.comments+xml"/>
  <Override PartName="/xl/threadedComments/threadedComment6.xml" ContentType="application/vnd.ms-excel.threadedcomments+xml"/>
  <Override PartName="/xl/comments8.xml" ContentType="application/vnd.openxmlformats-officedocument.spreadsheetml.comments+xml"/>
  <Override PartName="/xl/threadedComments/threadedComment7.xml" ContentType="application/vnd.ms-excel.threadedcomments+xml"/>
  <Override PartName="/xl/comments9.xml" ContentType="application/vnd.openxmlformats-officedocument.spreadsheetml.comments+xml"/>
  <Override PartName="/xl/threadedComments/threadedComment8.xml" ContentType="application/vnd.ms-excel.threadedcomments+xml"/>
  <Override PartName="/xl/comments10.xml" ContentType="application/vnd.openxmlformats-officedocument.spreadsheetml.comments+xml"/>
  <Override PartName="/xl/threadedComments/threadedComment9.xml" ContentType="application/vnd.ms-excel.threadedcomments+xml"/>
  <Override PartName="/xl/comments11.xml" ContentType="application/vnd.openxmlformats-officedocument.spreadsheetml.comments+xml"/>
  <Override PartName="/xl/threadedComments/threadedComment10.xml" ContentType="application/vnd.ms-excel.threadedcomments+xml"/>
  <Override PartName="/xl/comments12.xml" ContentType="application/vnd.openxmlformats-officedocument.spreadsheetml.comments+xml"/>
  <Override PartName="/xl/threadedComments/threadedComment11.xml" ContentType="application/vnd.ms-excel.threadedcomments+xml"/>
  <Override PartName="/xl/comments13.xml" ContentType="application/vnd.openxmlformats-officedocument.spreadsheetml.comments+xml"/>
  <Override PartName="/xl/threadedComments/threadedComment12.xml" ContentType="application/vnd.ms-excel.threadedcomments+xml"/>
  <Override PartName="/xl/comments14.xml" ContentType="application/vnd.openxmlformats-officedocument.spreadsheetml.comments+xml"/>
  <Override PartName="/xl/threadedComments/threadedComment1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nashhealth.sharepoint.com/sites/MonashEDMMC-CLA-PFU-DEP-MedicalRoster/Shared Documents/Medical Roster/"/>
    </mc:Choice>
  </mc:AlternateContent>
  <xr:revisionPtr revIDLastSave="0" documentId="8_{F189A529-075A-4940-9A3C-0FDD5DD3B2E0}" xr6:coauthVersionLast="47" xr6:coauthVersionMax="47" xr10:uidLastSave="{00000000-0000-0000-0000-000000000000}"/>
  <bookViews>
    <workbookView minimized="1" xWindow="3465" yWindow="2010" windowWidth="21600" windowHeight="11295" firstSheet="12" activeTab="12" xr2:uid="{E6DCA95E-926B-DD4B-90B7-C08DD8F41852}"/>
  </bookViews>
  <sheets>
    <sheet name="Whole thing" sheetId="16" r:id="rId1"/>
    <sheet name="Week 1" sheetId="1" r:id="rId2"/>
    <sheet name="Week 2" sheetId="3" r:id="rId3"/>
    <sheet name="Week 3" sheetId="2" r:id="rId4"/>
    <sheet name="Week 4" sheetId="4" r:id="rId5"/>
    <sheet name="Week 5" sheetId="5" r:id="rId6"/>
    <sheet name="Week 6" sheetId="6" r:id="rId7"/>
    <sheet name="Week 7" sheetId="7" r:id="rId8"/>
    <sheet name="Week 8" sheetId="15" r:id="rId9"/>
    <sheet name="Week 9" sheetId="21" r:id="rId10"/>
    <sheet name="Week 10" sheetId="22" r:id="rId11"/>
    <sheet name="Week 11" sheetId="11" r:id="rId12"/>
    <sheet name="Week 12" sheetId="12" r:id="rId13"/>
    <sheet name="Week 13" sheetId="14" r:id="rId14"/>
  </sheets>
  <definedNames>
    <definedName name="_xlnm.Print_Area" localSheetId="1">'Week 1'!$K$2:$S$66</definedName>
    <definedName name="_xlnm.Print_Area" localSheetId="10">'Week 10'!$K$2:$S$65</definedName>
    <definedName name="_xlnm.Print_Area" localSheetId="11">'Week 11'!$K$2:$R$67</definedName>
    <definedName name="_xlnm.Print_Area" localSheetId="12">'Week 12'!$K$2:$R$67</definedName>
    <definedName name="_xlnm.Print_Area" localSheetId="13">'Week 13'!$K$2:$R$67</definedName>
    <definedName name="_xlnm.Print_Area" localSheetId="2">'Week 2'!$D$2:$K$67</definedName>
    <definedName name="_xlnm.Print_Area" localSheetId="3">'Week 3'!$D$2:$K$63</definedName>
    <definedName name="_xlnm.Print_Area" localSheetId="4">'Week 4'!$K$2:$R$67</definedName>
    <definedName name="_xlnm.Print_Area" localSheetId="5">'Week 5'!$K$2:$R$67</definedName>
    <definedName name="_xlnm.Print_Area" localSheetId="6">'Week 6'!$K$2:$R$67</definedName>
    <definedName name="_xlnm.Print_Area" localSheetId="7">'Week 7'!$K$2:$R$67</definedName>
    <definedName name="_xlnm.Print_Area" localSheetId="8">'Week 8'!$K$2:$R$66</definedName>
    <definedName name="_xlnm.Print_Area" localSheetId="9">'Week 9'!$K$2:$S$65</definedName>
    <definedName name="_xlnm.Print_Area" localSheetId="0">'Whole thing'!$A$1:$CO$70</definedName>
    <definedName name="_xlnm.Print_Titles" localSheetId="0">'Whole thing'!$A:$A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3" i="15" l="1"/>
  <c r="L64" i="15"/>
  <c r="L111" i="15"/>
  <c r="L168" i="15"/>
  <c r="L169" i="15"/>
  <c r="L170" i="15"/>
  <c r="L171" i="15"/>
  <c r="L172" i="15"/>
  <c r="U28" i="15" a="1"/>
  <c r="U28" i="15"/>
  <c r="K63" i="15"/>
  <c r="K64" i="15"/>
  <c r="K111" i="15"/>
  <c r="K168" i="15"/>
  <c r="K169" i="15"/>
  <c r="K170" i="15"/>
  <c r="K171" i="15"/>
  <c r="K172" i="15"/>
  <c r="T28" i="15" a="1"/>
  <c r="T28" i="15"/>
  <c r="J63" i="15"/>
  <c r="J64" i="15"/>
  <c r="J111" i="15"/>
  <c r="J168" i="15"/>
  <c r="J169" i="15"/>
  <c r="J170" i="15"/>
  <c r="J171" i="15"/>
  <c r="J172" i="15"/>
  <c r="S28" i="15" a="1"/>
  <c r="S28" i="15"/>
  <c r="I63" i="15"/>
  <c r="I64" i="15"/>
  <c r="I111" i="15"/>
  <c r="I168" i="15"/>
  <c r="I169" i="15"/>
  <c r="I170" i="15"/>
  <c r="I171" i="15"/>
  <c r="I172" i="15"/>
  <c r="R28" i="15" a="1"/>
  <c r="R28" i="15"/>
  <c r="H63" i="15"/>
  <c r="H64" i="15"/>
  <c r="H111" i="15"/>
  <c r="H168" i="15"/>
  <c r="H169" i="15"/>
  <c r="H170" i="15"/>
  <c r="H171" i="15"/>
  <c r="H172" i="15"/>
  <c r="Q28" i="15" a="1"/>
  <c r="Q28" i="15"/>
  <c r="G63" i="15"/>
  <c r="G64" i="15"/>
  <c r="G111" i="15"/>
  <c r="G168" i="15"/>
  <c r="G169" i="15"/>
  <c r="G170" i="15"/>
  <c r="G171" i="15"/>
  <c r="G172" i="15"/>
  <c r="P28" i="15" a="1"/>
  <c r="P28" i="15"/>
  <c r="H63" i="22"/>
  <c r="I63" i="22"/>
  <c r="J63" i="22"/>
  <c r="G63" i="22"/>
  <c r="I64" i="5"/>
  <c r="L112" i="14"/>
  <c r="K112" i="14"/>
  <c r="J112" i="14"/>
  <c r="I112" i="14"/>
  <c r="H112" i="14"/>
  <c r="G112" i="14"/>
  <c r="F112" i="14"/>
  <c r="L65" i="14"/>
  <c r="K65" i="14"/>
  <c r="J65" i="14"/>
  <c r="I65" i="14"/>
  <c r="H65" i="14"/>
  <c r="G65" i="14"/>
  <c r="F65" i="14"/>
  <c r="L64" i="14"/>
  <c r="L174" i="14"/>
  <c r="K64" i="14"/>
  <c r="K174" i="14"/>
  <c r="J64" i="14"/>
  <c r="J174" i="14"/>
  <c r="I64" i="14"/>
  <c r="I171" i="14"/>
  <c r="H64" i="14"/>
  <c r="H171" i="14"/>
  <c r="G64" i="14"/>
  <c r="G173" i="14"/>
  <c r="F64" i="14"/>
  <c r="F173" i="14"/>
  <c r="L112" i="12"/>
  <c r="K112" i="12"/>
  <c r="J112" i="12"/>
  <c r="I112" i="12"/>
  <c r="H112" i="12"/>
  <c r="G112" i="12"/>
  <c r="F112" i="12"/>
  <c r="L65" i="12"/>
  <c r="K65" i="12"/>
  <c r="J65" i="12"/>
  <c r="I65" i="12"/>
  <c r="H65" i="12"/>
  <c r="G65" i="12"/>
  <c r="F65" i="12"/>
  <c r="L64" i="12"/>
  <c r="K64" i="12"/>
  <c r="J64" i="12"/>
  <c r="I64" i="12"/>
  <c r="H64" i="12"/>
  <c r="H171" i="12"/>
  <c r="G64" i="12"/>
  <c r="F64" i="12"/>
  <c r="F173" i="12"/>
  <c r="L112" i="11"/>
  <c r="K112" i="11"/>
  <c r="J112" i="11"/>
  <c r="I112" i="11"/>
  <c r="H112" i="11"/>
  <c r="G112" i="11"/>
  <c r="F112" i="11"/>
  <c r="L65" i="11"/>
  <c r="K65" i="11"/>
  <c r="J65" i="11"/>
  <c r="I65" i="11"/>
  <c r="H65" i="11"/>
  <c r="G65" i="11"/>
  <c r="F65" i="11"/>
  <c r="L64" i="11"/>
  <c r="K64" i="11"/>
  <c r="J64" i="11"/>
  <c r="I64" i="11"/>
  <c r="H64" i="11"/>
  <c r="H170" i="11"/>
  <c r="G64" i="11"/>
  <c r="G172" i="11"/>
  <c r="F64" i="11"/>
  <c r="L111" i="22"/>
  <c r="K111" i="22"/>
  <c r="J111" i="22"/>
  <c r="I111" i="22"/>
  <c r="H111" i="22"/>
  <c r="G111" i="22"/>
  <c r="F111" i="22"/>
  <c r="L64" i="22"/>
  <c r="K64" i="22"/>
  <c r="J64" i="22"/>
  <c r="I64" i="22"/>
  <c r="H64" i="22"/>
  <c r="H169" i="22"/>
  <c r="G64" i="22"/>
  <c r="F64" i="22"/>
  <c r="L63" i="22"/>
  <c r="K63" i="22"/>
  <c r="J173" i="22"/>
  <c r="I170" i="22"/>
  <c r="H171" i="22"/>
  <c r="G172" i="22"/>
  <c r="F63" i="22"/>
  <c r="F172" i="22"/>
  <c r="L111" i="21"/>
  <c r="K111" i="21"/>
  <c r="J111" i="21"/>
  <c r="I111" i="21"/>
  <c r="H111" i="21"/>
  <c r="G111" i="21"/>
  <c r="F111" i="21"/>
  <c r="L64" i="21"/>
  <c r="K64" i="21"/>
  <c r="J64" i="21"/>
  <c r="I64" i="21"/>
  <c r="H64" i="21"/>
  <c r="G64" i="21"/>
  <c r="F64" i="21"/>
  <c r="L63" i="21"/>
  <c r="L172" i="21"/>
  <c r="K63" i="21"/>
  <c r="J63" i="21"/>
  <c r="J172" i="21"/>
  <c r="I63" i="21"/>
  <c r="H63" i="21"/>
  <c r="H169" i="21"/>
  <c r="G63" i="21"/>
  <c r="F63" i="21"/>
  <c r="F171" i="21"/>
  <c r="F111" i="15"/>
  <c r="F64" i="15"/>
  <c r="F63" i="15"/>
  <c r="F172" i="15"/>
  <c r="L111" i="7"/>
  <c r="K111" i="7"/>
  <c r="J111" i="7"/>
  <c r="I111" i="7"/>
  <c r="H111" i="7"/>
  <c r="G111" i="7"/>
  <c r="F111" i="7"/>
  <c r="L64" i="7"/>
  <c r="K64" i="7"/>
  <c r="J64" i="7"/>
  <c r="I64" i="7"/>
  <c r="H64" i="7"/>
  <c r="G64" i="7"/>
  <c r="F64" i="7"/>
  <c r="L63" i="7"/>
  <c r="K63" i="7"/>
  <c r="J63" i="7"/>
  <c r="I63" i="7"/>
  <c r="H63" i="7"/>
  <c r="H171" i="7"/>
  <c r="G63" i="7"/>
  <c r="G172" i="7"/>
  <c r="F63" i="7"/>
  <c r="L112" i="6"/>
  <c r="K112" i="6"/>
  <c r="J112" i="6"/>
  <c r="I112" i="6"/>
  <c r="H112" i="6"/>
  <c r="G112" i="6"/>
  <c r="F112" i="6"/>
  <c r="L65" i="6"/>
  <c r="K65" i="6"/>
  <c r="J65" i="6"/>
  <c r="I65" i="6"/>
  <c r="H65" i="6"/>
  <c r="G65" i="6"/>
  <c r="F65" i="6"/>
  <c r="L64" i="6"/>
  <c r="K64" i="6"/>
  <c r="J64" i="6"/>
  <c r="I64" i="6"/>
  <c r="H64" i="6"/>
  <c r="H171" i="6"/>
  <c r="G64" i="6"/>
  <c r="G172" i="6"/>
  <c r="F64" i="6"/>
  <c r="L112" i="5"/>
  <c r="K112" i="5"/>
  <c r="J112" i="5"/>
  <c r="I112" i="5"/>
  <c r="H112" i="5"/>
  <c r="G112" i="5"/>
  <c r="F112" i="5"/>
  <c r="L65" i="5"/>
  <c r="K65" i="5"/>
  <c r="J65" i="5"/>
  <c r="I65" i="5"/>
  <c r="H65" i="5"/>
  <c r="G65" i="5"/>
  <c r="F65" i="5"/>
  <c r="L64" i="5"/>
  <c r="L173" i="5"/>
  <c r="K64" i="5"/>
  <c r="J64" i="5"/>
  <c r="I170" i="5"/>
  <c r="H64" i="5"/>
  <c r="H170" i="5"/>
  <c r="G64" i="5"/>
  <c r="G172" i="5"/>
  <c r="F64" i="5"/>
  <c r="L112" i="4"/>
  <c r="K112" i="4"/>
  <c r="J112" i="4"/>
  <c r="I112" i="4"/>
  <c r="H112" i="4"/>
  <c r="G112" i="4"/>
  <c r="F112" i="4"/>
  <c r="L65" i="4"/>
  <c r="K65" i="4"/>
  <c r="J65" i="4"/>
  <c r="I65" i="4"/>
  <c r="H65" i="4"/>
  <c r="G65" i="4"/>
  <c r="F65" i="4"/>
  <c r="L64" i="4"/>
  <c r="K64" i="4"/>
  <c r="J64" i="4"/>
  <c r="I64" i="4"/>
  <c r="I171" i="4"/>
  <c r="H64" i="4"/>
  <c r="H171" i="4"/>
  <c r="G64" i="4"/>
  <c r="F64" i="4"/>
  <c r="F173" i="4"/>
  <c r="L112" i="2"/>
  <c r="K112" i="2"/>
  <c r="J112" i="2"/>
  <c r="I112" i="2"/>
  <c r="H112" i="2"/>
  <c r="G112" i="2"/>
  <c r="F112" i="2"/>
  <c r="L65" i="2"/>
  <c r="K65" i="2"/>
  <c r="J65" i="2"/>
  <c r="I65" i="2"/>
  <c r="H65" i="2"/>
  <c r="G65" i="2"/>
  <c r="F65" i="2"/>
  <c r="L64" i="2"/>
  <c r="K64" i="2"/>
  <c r="J64" i="2"/>
  <c r="I64" i="2"/>
  <c r="H64" i="2"/>
  <c r="H170" i="2"/>
  <c r="G64" i="2"/>
  <c r="F64" i="2"/>
  <c r="F172" i="2"/>
  <c r="L112" i="3"/>
  <c r="K112" i="3"/>
  <c r="J112" i="3"/>
  <c r="I112" i="3"/>
  <c r="H112" i="3"/>
  <c r="G112" i="3"/>
  <c r="F112" i="3"/>
  <c r="L65" i="3"/>
  <c r="K65" i="3"/>
  <c r="J65" i="3"/>
  <c r="I65" i="3"/>
  <c r="H65" i="3"/>
  <c r="G65" i="3"/>
  <c r="F65" i="3"/>
  <c r="L64" i="3"/>
  <c r="K64" i="3"/>
  <c r="J64" i="3"/>
  <c r="I64" i="3"/>
  <c r="H64" i="3"/>
  <c r="H170" i="3"/>
  <c r="G64" i="3"/>
  <c r="F64" i="3"/>
  <c r="L112" i="1"/>
  <c r="K112" i="1"/>
  <c r="J112" i="1"/>
  <c r="I112" i="1"/>
  <c r="H112" i="1"/>
  <c r="G112" i="1"/>
  <c r="F112" i="1"/>
  <c r="L65" i="1"/>
  <c r="K65" i="1"/>
  <c r="J65" i="1"/>
  <c r="I65" i="1"/>
  <c r="H65" i="1"/>
  <c r="G65" i="1"/>
  <c r="F65" i="1"/>
  <c r="L64" i="1"/>
  <c r="K64" i="1"/>
  <c r="J64" i="1"/>
  <c r="I64" i="1"/>
  <c r="I174" i="1"/>
  <c r="H64" i="1"/>
  <c r="G64" i="1"/>
  <c r="F64" i="1"/>
  <c r="K172" i="21"/>
  <c r="K171" i="21"/>
  <c r="K169" i="21"/>
  <c r="K168" i="21"/>
  <c r="H168" i="21"/>
  <c r="J168" i="21"/>
  <c r="J171" i="21"/>
  <c r="K173" i="22"/>
  <c r="K172" i="22"/>
  <c r="K170" i="22"/>
  <c r="L173" i="22"/>
  <c r="L172" i="22"/>
  <c r="L170" i="22"/>
  <c r="J169" i="22"/>
  <c r="J172" i="22"/>
  <c r="K169" i="22"/>
  <c r="F172" i="11"/>
  <c r="F173" i="11"/>
  <c r="J173" i="11"/>
  <c r="J172" i="11"/>
  <c r="J170" i="11"/>
  <c r="K173" i="11"/>
  <c r="K172" i="11"/>
  <c r="K170" i="11"/>
  <c r="L173" i="11"/>
  <c r="L172" i="11"/>
  <c r="J169" i="11"/>
  <c r="K169" i="11"/>
  <c r="L169" i="11"/>
  <c r="L170" i="11"/>
  <c r="I170" i="11"/>
  <c r="I172" i="11"/>
  <c r="I169" i="11"/>
  <c r="I169" i="21"/>
  <c r="I171" i="21"/>
  <c r="I168" i="21"/>
  <c r="F172" i="7"/>
  <c r="F173" i="7"/>
  <c r="F169" i="7"/>
  <c r="I170" i="7"/>
  <c r="I172" i="7"/>
  <c r="J173" i="7"/>
  <c r="J172" i="7"/>
  <c r="J170" i="7"/>
  <c r="K173" i="7"/>
  <c r="K172" i="7"/>
  <c r="K170" i="7"/>
  <c r="L173" i="7"/>
  <c r="L172" i="7"/>
  <c r="I169" i="7"/>
  <c r="J169" i="7"/>
  <c r="K169" i="7"/>
  <c r="L170" i="7"/>
  <c r="F171" i="6"/>
  <c r="F173" i="6"/>
  <c r="I170" i="6"/>
  <c r="I172" i="6"/>
  <c r="J173" i="6"/>
  <c r="J172" i="6"/>
  <c r="K173" i="6"/>
  <c r="K172" i="6"/>
  <c r="K170" i="6"/>
  <c r="L173" i="6"/>
  <c r="L172" i="6"/>
  <c r="L170" i="6"/>
  <c r="I169" i="6"/>
  <c r="J169" i="6"/>
  <c r="K169" i="6"/>
  <c r="F172" i="5"/>
  <c r="F173" i="5"/>
  <c r="J173" i="5"/>
  <c r="J172" i="5"/>
  <c r="J170" i="5"/>
  <c r="K173" i="5"/>
  <c r="K172" i="5"/>
  <c r="K170" i="5"/>
  <c r="H172" i="5"/>
  <c r="J169" i="5"/>
  <c r="K169" i="5"/>
  <c r="L172" i="5"/>
  <c r="J174" i="4"/>
  <c r="J173" i="4"/>
  <c r="K174" i="4"/>
  <c r="K173" i="4"/>
  <c r="L174" i="4"/>
  <c r="L173" i="4"/>
  <c r="L171" i="4"/>
  <c r="I170" i="4"/>
  <c r="J170" i="4"/>
  <c r="K170" i="4"/>
  <c r="I170" i="2"/>
  <c r="I172" i="2"/>
  <c r="J173" i="2"/>
  <c r="J172" i="2"/>
  <c r="K173" i="2"/>
  <c r="K172" i="2"/>
  <c r="K170" i="2"/>
  <c r="L173" i="2"/>
  <c r="L172" i="2"/>
  <c r="L170" i="2"/>
  <c r="I169" i="2"/>
  <c r="J169" i="2"/>
  <c r="K169" i="2"/>
  <c r="F171" i="3"/>
  <c r="F169" i="3"/>
  <c r="I170" i="3"/>
  <c r="I172" i="3"/>
  <c r="J173" i="3"/>
  <c r="J172" i="3"/>
  <c r="K173" i="3"/>
  <c r="K172" i="3"/>
  <c r="K170" i="3"/>
  <c r="L173" i="3"/>
  <c r="L172" i="3"/>
  <c r="L170" i="3"/>
  <c r="H169" i="3"/>
  <c r="I169" i="3"/>
  <c r="J169" i="3"/>
  <c r="K169" i="3"/>
  <c r="H169" i="11"/>
  <c r="H172" i="11"/>
  <c r="I170" i="14"/>
  <c r="J170" i="14"/>
  <c r="K170" i="14"/>
  <c r="L171" i="14"/>
  <c r="I171" i="12"/>
  <c r="I173" i="12"/>
  <c r="J174" i="12"/>
  <c r="J173" i="12"/>
  <c r="K174" i="12"/>
  <c r="K173" i="12"/>
  <c r="K171" i="12"/>
  <c r="L174" i="12"/>
  <c r="L173" i="12"/>
  <c r="L171" i="12"/>
  <c r="H170" i="12"/>
  <c r="I172" i="12"/>
  <c r="J170" i="12"/>
  <c r="K170" i="12"/>
  <c r="F173" i="1"/>
  <c r="F174" i="1"/>
  <c r="H171" i="1"/>
  <c r="H170" i="1"/>
  <c r="K174" i="1"/>
  <c r="K173" i="1"/>
  <c r="L170" i="1"/>
  <c r="L174" i="1"/>
  <c r="L173" i="1"/>
  <c r="L171" i="1"/>
  <c r="L172" i="1"/>
  <c r="J172" i="1"/>
  <c r="J174" i="1"/>
  <c r="J173" i="1"/>
  <c r="J170" i="1"/>
  <c r="G173" i="12"/>
  <c r="G170" i="12"/>
  <c r="G169" i="11"/>
  <c r="G171" i="21"/>
  <c r="G172" i="21"/>
  <c r="G168" i="21"/>
  <c r="G169" i="7"/>
  <c r="G173" i="4"/>
  <c r="G170" i="4"/>
  <c r="G172" i="2"/>
  <c r="G169" i="2"/>
  <c r="G172" i="3"/>
  <c r="G173" i="3"/>
  <c r="G169" i="3"/>
  <c r="G171" i="1"/>
  <c r="I169" i="5"/>
  <c r="I172" i="5"/>
  <c r="I169" i="22"/>
  <c r="I172" i="22"/>
  <c r="F170" i="12"/>
  <c r="F174" i="12"/>
  <c r="G169" i="22"/>
  <c r="G173" i="22"/>
  <c r="H169" i="2"/>
  <c r="J171" i="14"/>
  <c r="H173" i="14"/>
  <c r="F170" i="14"/>
  <c r="K171" i="14"/>
  <c r="I173" i="14"/>
  <c r="G170" i="14"/>
  <c r="J173" i="14"/>
  <c r="F172" i="14"/>
  <c r="K173" i="14"/>
  <c r="G172" i="14"/>
  <c r="L173" i="14"/>
  <c r="H172" i="14"/>
  <c r="F174" i="14"/>
  <c r="G174" i="14"/>
  <c r="L170" i="14"/>
  <c r="J172" i="14"/>
  <c r="H174" i="14"/>
  <c r="F171" i="14"/>
  <c r="K172" i="14"/>
  <c r="I174" i="14"/>
  <c r="I172" i="14"/>
  <c r="I1" i="14"/>
  <c r="G171" i="14"/>
  <c r="L172" i="14"/>
  <c r="H170" i="14"/>
  <c r="H1" i="14"/>
  <c r="J171" i="12"/>
  <c r="H173" i="12"/>
  <c r="G172" i="12"/>
  <c r="L170" i="12"/>
  <c r="J172" i="12"/>
  <c r="H174" i="12"/>
  <c r="I170" i="12"/>
  <c r="H172" i="12"/>
  <c r="H1" i="12"/>
  <c r="F171" i="12"/>
  <c r="K172" i="12"/>
  <c r="K1" i="12"/>
  <c r="I174" i="12"/>
  <c r="G174" i="12"/>
  <c r="G171" i="12"/>
  <c r="G1" i="12"/>
  <c r="L172" i="12"/>
  <c r="F172" i="12"/>
  <c r="G173" i="11"/>
  <c r="J171" i="11"/>
  <c r="J1" i="11"/>
  <c r="H173" i="11"/>
  <c r="F169" i="11"/>
  <c r="H171" i="11"/>
  <c r="H1" i="11"/>
  <c r="F170" i="11"/>
  <c r="K171" i="11"/>
  <c r="K1" i="11"/>
  <c r="I173" i="11"/>
  <c r="I171" i="11"/>
  <c r="I1" i="11"/>
  <c r="G170" i="11"/>
  <c r="L171" i="11"/>
  <c r="L1" i="11"/>
  <c r="F171" i="11"/>
  <c r="G171" i="11"/>
  <c r="J170" i="22"/>
  <c r="H172" i="22"/>
  <c r="F173" i="22"/>
  <c r="F171" i="22"/>
  <c r="L169" i="22"/>
  <c r="J171" i="22"/>
  <c r="H173" i="22"/>
  <c r="F170" i="22"/>
  <c r="K171" i="22"/>
  <c r="K1" i="22"/>
  <c r="I173" i="22"/>
  <c r="G170" i="22"/>
  <c r="L171" i="22"/>
  <c r="F169" i="22"/>
  <c r="H170" i="22"/>
  <c r="G171" i="22"/>
  <c r="I171" i="22"/>
  <c r="I170" i="21"/>
  <c r="J169" i="21"/>
  <c r="H171" i="21"/>
  <c r="F170" i="21"/>
  <c r="L168" i="21"/>
  <c r="L170" i="21"/>
  <c r="J170" i="21"/>
  <c r="H172" i="21"/>
  <c r="H170" i="21"/>
  <c r="F169" i="21"/>
  <c r="K170" i="21"/>
  <c r="K1" i="21"/>
  <c r="I172" i="21"/>
  <c r="F168" i="21"/>
  <c r="G169" i="21"/>
  <c r="F172" i="21"/>
  <c r="G170" i="21"/>
  <c r="F168" i="15"/>
  <c r="F170" i="15"/>
  <c r="F169" i="15"/>
  <c r="K1" i="15"/>
  <c r="F171" i="15"/>
  <c r="I1" i="15"/>
  <c r="H172" i="7"/>
  <c r="F171" i="7"/>
  <c r="L169" i="7"/>
  <c r="J171" i="7"/>
  <c r="J1" i="7"/>
  <c r="H173" i="7"/>
  <c r="F170" i="7"/>
  <c r="F1" i="7"/>
  <c r="K171" i="7"/>
  <c r="K1" i="7"/>
  <c r="I173" i="7"/>
  <c r="H169" i="7"/>
  <c r="G171" i="7"/>
  <c r="G170" i="7"/>
  <c r="L171" i="7"/>
  <c r="G173" i="7"/>
  <c r="H170" i="7"/>
  <c r="I171" i="7"/>
  <c r="I1" i="7"/>
  <c r="J170" i="6"/>
  <c r="H172" i="6"/>
  <c r="F169" i="6"/>
  <c r="G169" i="6"/>
  <c r="H169" i="6"/>
  <c r="L169" i="6"/>
  <c r="J171" i="6"/>
  <c r="H173" i="6"/>
  <c r="F170" i="6"/>
  <c r="K171" i="6"/>
  <c r="K1" i="6"/>
  <c r="I173" i="6"/>
  <c r="I171" i="6"/>
  <c r="I1" i="6"/>
  <c r="G170" i="6"/>
  <c r="L171" i="6"/>
  <c r="H170" i="6"/>
  <c r="F172" i="6"/>
  <c r="G171" i="6"/>
  <c r="G173" i="6"/>
  <c r="F169" i="5"/>
  <c r="G169" i="5"/>
  <c r="H169" i="5"/>
  <c r="I171" i="5"/>
  <c r="G173" i="5"/>
  <c r="L170" i="5"/>
  <c r="L169" i="5"/>
  <c r="J171" i="5"/>
  <c r="J1" i="5"/>
  <c r="H173" i="5"/>
  <c r="F170" i="5"/>
  <c r="K171" i="5"/>
  <c r="K1" i="5"/>
  <c r="I173" i="5"/>
  <c r="G170" i="5"/>
  <c r="L171" i="5"/>
  <c r="F171" i="5"/>
  <c r="G171" i="5"/>
  <c r="H171" i="5"/>
  <c r="H173" i="4"/>
  <c r="J171" i="4"/>
  <c r="F170" i="4"/>
  <c r="K171" i="4"/>
  <c r="I173" i="4"/>
  <c r="F174" i="4"/>
  <c r="G174" i="4"/>
  <c r="H170" i="4"/>
  <c r="G172" i="4"/>
  <c r="L170" i="4"/>
  <c r="J172" i="4"/>
  <c r="H174" i="4"/>
  <c r="F171" i="4"/>
  <c r="K172" i="4"/>
  <c r="I174" i="4"/>
  <c r="H172" i="4"/>
  <c r="I172" i="4"/>
  <c r="I1" i="4"/>
  <c r="G171" i="4"/>
  <c r="G1" i="4"/>
  <c r="L172" i="4"/>
  <c r="F172" i="4"/>
  <c r="F173" i="2"/>
  <c r="J170" i="2"/>
  <c r="H172" i="2"/>
  <c r="G173" i="2"/>
  <c r="L169" i="2"/>
  <c r="J171" i="2"/>
  <c r="H173" i="2"/>
  <c r="F170" i="2"/>
  <c r="K171" i="2"/>
  <c r="K1" i="2"/>
  <c r="I173" i="2"/>
  <c r="F169" i="2"/>
  <c r="G171" i="2"/>
  <c r="H171" i="2"/>
  <c r="I171" i="2"/>
  <c r="I1" i="2"/>
  <c r="G170" i="2"/>
  <c r="G1" i="2"/>
  <c r="L171" i="2"/>
  <c r="F171" i="2"/>
  <c r="I171" i="3"/>
  <c r="J170" i="3"/>
  <c r="H172" i="3"/>
  <c r="L169" i="3"/>
  <c r="J171" i="3"/>
  <c r="H173" i="3"/>
  <c r="F170" i="3"/>
  <c r="K171" i="3"/>
  <c r="K1" i="3"/>
  <c r="I173" i="3"/>
  <c r="G170" i="3"/>
  <c r="L171" i="3"/>
  <c r="H171" i="3"/>
  <c r="H1" i="3"/>
  <c r="F173" i="3"/>
  <c r="F172" i="3"/>
  <c r="G171" i="3"/>
  <c r="G1" i="3"/>
  <c r="I171" i="1"/>
  <c r="G173" i="1"/>
  <c r="J171" i="1"/>
  <c r="J1" i="1"/>
  <c r="H173" i="1"/>
  <c r="F172" i="1"/>
  <c r="I170" i="1"/>
  <c r="F170" i="1"/>
  <c r="K171" i="1"/>
  <c r="I173" i="1"/>
  <c r="K170" i="1"/>
  <c r="I172" i="1"/>
  <c r="G174" i="1"/>
  <c r="G170" i="1"/>
  <c r="H174" i="1"/>
  <c r="F171" i="1"/>
  <c r="K172" i="1"/>
  <c r="G172" i="1"/>
  <c r="H172" i="1"/>
  <c r="H1" i="1"/>
  <c r="CO111" i="16"/>
  <c r="CN111" i="16"/>
  <c r="CM111" i="16"/>
  <c r="CL111" i="16"/>
  <c r="CK111" i="16"/>
  <c r="CJ111" i="16"/>
  <c r="CI111" i="16"/>
  <c r="CH111" i="16"/>
  <c r="CG111" i="16"/>
  <c r="CF111" i="16"/>
  <c r="CE111" i="16"/>
  <c r="CD111" i="16"/>
  <c r="CC111" i="16"/>
  <c r="CB111" i="16"/>
  <c r="CA111" i="16"/>
  <c r="BZ111" i="16"/>
  <c r="BY111" i="16"/>
  <c r="BX111" i="16"/>
  <c r="BW111" i="16"/>
  <c r="BV111" i="16"/>
  <c r="BU111" i="16"/>
  <c r="BT111" i="16"/>
  <c r="BS111" i="16"/>
  <c r="BR111" i="16"/>
  <c r="BQ111" i="16"/>
  <c r="BP111" i="16"/>
  <c r="BO111" i="16"/>
  <c r="BN111" i="16"/>
  <c r="BM111" i="16"/>
  <c r="BL111" i="16"/>
  <c r="BK111" i="16"/>
  <c r="BJ111" i="16"/>
  <c r="BI111" i="16"/>
  <c r="BH111" i="16"/>
  <c r="BG111" i="16"/>
  <c r="BF111" i="16"/>
  <c r="BE111" i="16"/>
  <c r="BD111" i="16"/>
  <c r="BC111" i="16"/>
  <c r="BB111" i="16"/>
  <c r="BA111" i="16"/>
  <c r="AZ111" i="16"/>
  <c r="AY111" i="16"/>
  <c r="AX111" i="16"/>
  <c r="AW111" i="16"/>
  <c r="AV111" i="16"/>
  <c r="AU111" i="16"/>
  <c r="AT111" i="16"/>
  <c r="AS111" i="16"/>
  <c r="AR111" i="16"/>
  <c r="AQ111" i="16"/>
  <c r="AP111" i="16"/>
  <c r="AO111" i="16"/>
  <c r="AN111" i="16"/>
  <c r="AM111" i="16"/>
  <c r="AL111" i="16"/>
  <c r="AK111" i="16"/>
  <c r="AJ111" i="16"/>
  <c r="AI111" i="16"/>
  <c r="AH111" i="16"/>
  <c r="AG111" i="16"/>
  <c r="AF111" i="16"/>
  <c r="AE111" i="16"/>
  <c r="AD111" i="16"/>
  <c r="AC111" i="16"/>
  <c r="AB111" i="16"/>
  <c r="AA111" i="16"/>
  <c r="Z111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CR108" i="16"/>
  <c r="CQ108" i="16"/>
  <c r="CP108" i="16"/>
  <c r="CR107" i="16"/>
  <c r="CQ107" i="16"/>
  <c r="CP107" i="16"/>
  <c r="CR106" i="16"/>
  <c r="CQ106" i="16"/>
  <c r="CP106" i="16"/>
  <c r="CR105" i="16"/>
  <c r="CQ105" i="16"/>
  <c r="CP105" i="16"/>
  <c r="CR104" i="16"/>
  <c r="CQ104" i="16"/>
  <c r="CP104" i="16"/>
  <c r="CR103" i="16"/>
  <c r="CQ103" i="16"/>
  <c r="CP103" i="16"/>
  <c r="CR102" i="16"/>
  <c r="CQ102" i="16"/>
  <c r="CP102" i="16"/>
  <c r="CR101" i="16"/>
  <c r="CQ101" i="16"/>
  <c r="CP101" i="16"/>
  <c r="CR100" i="16"/>
  <c r="CQ100" i="16"/>
  <c r="CP100" i="16"/>
  <c r="CR99" i="16"/>
  <c r="CQ99" i="16"/>
  <c r="CP99" i="16"/>
  <c r="CR98" i="16"/>
  <c r="CQ98" i="16"/>
  <c r="CP98" i="16"/>
  <c r="CR97" i="16"/>
  <c r="CQ97" i="16"/>
  <c r="CP97" i="16"/>
  <c r="CR96" i="16"/>
  <c r="CQ96" i="16"/>
  <c r="CP96" i="16"/>
  <c r="CR95" i="16"/>
  <c r="CQ95" i="16"/>
  <c r="CP95" i="16"/>
  <c r="CR94" i="16"/>
  <c r="CQ94" i="16"/>
  <c r="CP94" i="16"/>
  <c r="CR93" i="16"/>
  <c r="CQ93" i="16"/>
  <c r="CP93" i="16"/>
  <c r="CR92" i="16"/>
  <c r="CQ92" i="16"/>
  <c r="CP92" i="16"/>
  <c r="CR91" i="16"/>
  <c r="CQ91" i="16"/>
  <c r="CP91" i="16"/>
  <c r="CR88" i="16"/>
  <c r="CQ88" i="16"/>
  <c r="CP88" i="16"/>
  <c r="CR87" i="16"/>
  <c r="CQ87" i="16"/>
  <c r="CP87" i="16"/>
  <c r="CR86" i="16"/>
  <c r="CQ86" i="16"/>
  <c r="CP86" i="16"/>
  <c r="CR85" i="16"/>
  <c r="CQ85" i="16"/>
  <c r="CP85" i="16"/>
  <c r="CR84" i="16"/>
  <c r="CQ84" i="16"/>
  <c r="CP84" i="16"/>
  <c r="CR83" i="16"/>
  <c r="CQ83" i="16"/>
  <c r="CP83" i="16"/>
  <c r="CR80" i="16"/>
  <c r="CQ80" i="16"/>
  <c r="CP80" i="16"/>
  <c r="CR79" i="16"/>
  <c r="CQ79" i="16"/>
  <c r="CP79" i="16"/>
  <c r="CR78" i="16"/>
  <c r="CQ78" i="16"/>
  <c r="CP78" i="16"/>
  <c r="CR77" i="16"/>
  <c r="CQ77" i="16"/>
  <c r="CP77" i="16"/>
  <c r="CR76" i="16"/>
  <c r="CQ76" i="16"/>
  <c r="CP76" i="16"/>
  <c r="CR75" i="16"/>
  <c r="CQ75" i="16"/>
  <c r="CP75" i="16"/>
  <c r="CR74" i="16"/>
  <c r="CQ74" i="16"/>
  <c r="CP74" i="16"/>
  <c r="CR73" i="16"/>
  <c r="CQ73" i="16"/>
  <c r="CP73" i="16"/>
  <c r="CR72" i="16"/>
  <c r="CQ72" i="16"/>
  <c r="CP72" i="16"/>
  <c r="CQ69" i="16"/>
  <c r="CP69" i="16"/>
  <c r="CQ68" i="16"/>
  <c r="CP68" i="16"/>
  <c r="CQ67" i="16"/>
  <c r="CP67" i="16"/>
  <c r="CR66" i="16"/>
  <c r="CQ66" i="16"/>
  <c r="CP66" i="16"/>
  <c r="CO64" i="16"/>
  <c r="CN64" i="16"/>
  <c r="CM64" i="16"/>
  <c r="CL64" i="16"/>
  <c r="CK64" i="16"/>
  <c r="CJ64" i="16"/>
  <c r="CI64" i="16"/>
  <c r="CH64" i="16"/>
  <c r="CG64" i="16"/>
  <c r="CF64" i="16"/>
  <c r="CE64" i="16"/>
  <c r="CD64" i="16"/>
  <c r="CC64" i="16"/>
  <c r="CB64" i="16"/>
  <c r="CA64" i="16"/>
  <c r="BZ64" i="16"/>
  <c r="BY64" i="16"/>
  <c r="BX64" i="16"/>
  <c r="BW64" i="16"/>
  <c r="BV64" i="16"/>
  <c r="BU64" i="16"/>
  <c r="BT64" i="16"/>
  <c r="BS64" i="16"/>
  <c r="BR64" i="16"/>
  <c r="BQ64" i="16"/>
  <c r="BP64" i="16"/>
  <c r="BO64" i="16"/>
  <c r="BN64" i="16"/>
  <c r="BM64" i="16"/>
  <c r="BL64" i="16"/>
  <c r="BK64" i="16"/>
  <c r="BJ64" i="16"/>
  <c r="BI64" i="16"/>
  <c r="BH64" i="16"/>
  <c r="BG64" i="16"/>
  <c r="BF64" i="16"/>
  <c r="BE64" i="16"/>
  <c r="BD64" i="16"/>
  <c r="BC64" i="16"/>
  <c r="BB64" i="16"/>
  <c r="BA64" i="16"/>
  <c r="AZ64" i="16"/>
  <c r="AY64" i="16"/>
  <c r="AX64" i="16"/>
  <c r="AW64" i="16"/>
  <c r="AV64" i="16"/>
  <c r="AU64" i="16"/>
  <c r="AT64" i="16"/>
  <c r="AS64" i="16"/>
  <c r="AR64" i="16"/>
  <c r="AQ64" i="16"/>
  <c r="AP64" i="16"/>
  <c r="AO64" i="16"/>
  <c r="AN64" i="16"/>
  <c r="AM64" i="16"/>
  <c r="AL64" i="16"/>
  <c r="AK64" i="16"/>
  <c r="AJ64" i="16"/>
  <c r="AI64" i="16"/>
  <c r="AH64" i="16"/>
  <c r="AG64" i="16"/>
  <c r="AF64" i="16"/>
  <c r="AE64" i="16"/>
  <c r="AD64" i="16"/>
  <c r="AC64" i="16"/>
  <c r="AB64" i="16"/>
  <c r="AA64" i="16"/>
  <c r="Z64" i="16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H64" i="16"/>
  <c r="G64" i="16"/>
  <c r="F64" i="16"/>
  <c r="E64" i="16"/>
  <c r="D64" i="16"/>
  <c r="C64" i="16"/>
  <c r="CO63" i="16"/>
  <c r="CN63" i="16"/>
  <c r="CM63" i="16"/>
  <c r="CL63" i="16"/>
  <c r="CK63" i="16"/>
  <c r="CJ63" i="16"/>
  <c r="CI63" i="16"/>
  <c r="CH63" i="16"/>
  <c r="CG63" i="16"/>
  <c r="CF63" i="16"/>
  <c r="CE63" i="16"/>
  <c r="CD63" i="16"/>
  <c r="CC63" i="16"/>
  <c r="CB63" i="16"/>
  <c r="CA63" i="16"/>
  <c r="BZ63" i="16"/>
  <c r="BY63" i="16"/>
  <c r="BX63" i="16"/>
  <c r="BW63" i="16"/>
  <c r="BV63" i="16"/>
  <c r="BU63" i="16"/>
  <c r="BT63" i="16"/>
  <c r="BS63" i="16"/>
  <c r="BR63" i="16"/>
  <c r="BQ63" i="16"/>
  <c r="BP63" i="16"/>
  <c r="BO63" i="16"/>
  <c r="BN63" i="16"/>
  <c r="BM63" i="16"/>
  <c r="BL63" i="16"/>
  <c r="BK63" i="16"/>
  <c r="BJ63" i="16"/>
  <c r="BI63" i="16"/>
  <c r="BH63" i="16"/>
  <c r="BG63" i="16"/>
  <c r="BF63" i="16"/>
  <c r="BE63" i="16"/>
  <c r="BD63" i="16"/>
  <c r="BC63" i="16"/>
  <c r="BB63" i="16"/>
  <c r="BA63" i="16"/>
  <c r="AZ63" i="16"/>
  <c r="AY63" i="16"/>
  <c r="AX63" i="16"/>
  <c r="AW63" i="16"/>
  <c r="AV63" i="16"/>
  <c r="AV170" i="16"/>
  <c r="AU63" i="16"/>
  <c r="AT63" i="16"/>
  <c r="AS63" i="16"/>
  <c r="AR63" i="16"/>
  <c r="AQ63" i="16"/>
  <c r="AP63" i="16"/>
  <c r="AO63" i="16"/>
  <c r="AN63" i="16"/>
  <c r="AM63" i="16"/>
  <c r="AL63" i="16"/>
  <c r="AK63" i="16"/>
  <c r="AJ63" i="16"/>
  <c r="AJ170" i="16"/>
  <c r="AI63" i="16"/>
  <c r="AH63" i="16"/>
  <c r="AG63" i="16"/>
  <c r="AF63" i="16"/>
  <c r="AE63" i="16"/>
  <c r="AD63" i="16"/>
  <c r="AC63" i="16"/>
  <c r="AB63" i="16"/>
  <c r="AA63" i="16"/>
  <c r="Z63" i="16"/>
  <c r="Y63" i="16"/>
  <c r="X63" i="16"/>
  <c r="X170" i="16"/>
  <c r="W63" i="16"/>
  <c r="V63" i="16"/>
  <c r="U63" i="16"/>
  <c r="T63" i="16"/>
  <c r="S63" i="16"/>
  <c r="R63" i="16"/>
  <c r="Q63" i="16"/>
  <c r="P63" i="16"/>
  <c r="O63" i="16"/>
  <c r="N63" i="16"/>
  <c r="M63" i="16"/>
  <c r="L63" i="16"/>
  <c r="L170" i="16"/>
  <c r="K63" i="16"/>
  <c r="J63" i="16"/>
  <c r="I63" i="16"/>
  <c r="H63" i="16"/>
  <c r="G63" i="16"/>
  <c r="F63" i="16"/>
  <c r="E63" i="16"/>
  <c r="D63" i="16"/>
  <c r="C63" i="16"/>
  <c r="CR58" i="16"/>
  <c r="CQ58" i="16"/>
  <c r="CP58" i="16"/>
  <c r="CR57" i="16"/>
  <c r="CQ57" i="16"/>
  <c r="CP57" i="16"/>
  <c r="CR56" i="16"/>
  <c r="CQ56" i="16"/>
  <c r="CP56" i="16"/>
  <c r="CR55" i="16"/>
  <c r="CQ55" i="16"/>
  <c r="CP55" i="16"/>
  <c r="CR54" i="16"/>
  <c r="CQ54" i="16"/>
  <c r="CP54" i="16"/>
  <c r="CR53" i="16"/>
  <c r="CQ53" i="16"/>
  <c r="CP53" i="16"/>
  <c r="CR52" i="16"/>
  <c r="CQ52" i="16"/>
  <c r="CP52" i="16"/>
  <c r="B52" i="16"/>
  <c r="CR51" i="16"/>
  <c r="CQ51" i="16"/>
  <c r="CP51" i="16"/>
  <c r="CR50" i="16"/>
  <c r="CQ50" i="16"/>
  <c r="CP50" i="16"/>
  <c r="CR49" i="16"/>
  <c r="CQ49" i="16"/>
  <c r="CP49" i="16"/>
  <c r="CR48" i="16"/>
  <c r="CQ48" i="16"/>
  <c r="CP48" i="16"/>
  <c r="CR47" i="16"/>
  <c r="CQ47" i="16"/>
  <c r="CP47" i="16"/>
  <c r="B47" i="16"/>
  <c r="CR46" i="16"/>
  <c r="CQ46" i="16"/>
  <c r="CP46" i="16"/>
  <c r="CR45" i="16"/>
  <c r="CQ45" i="16"/>
  <c r="CP45" i="16"/>
  <c r="CR44" i="16"/>
  <c r="CQ44" i="16"/>
  <c r="CP44" i="16"/>
  <c r="CR43" i="16"/>
  <c r="CQ43" i="16"/>
  <c r="CP43" i="16"/>
  <c r="CR42" i="16"/>
  <c r="CQ42" i="16"/>
  <c r="CP42" i="16"/>
  <c r="CR41" i="16"/>
  <c r="CQ41" i="16"/>
  <c r="CP41" i="16"/>
  <c r="CR40" i="16"/>
  <c r="CQ40" i="16"/>
  <c r="CP40" i="16"/>
  <c r="CR39" i="16"/>
  <c r="CQ39" i="16"/>
  <c r="CP39" i="16"/>
  <c r="CR38" i="16"/>
  <c r="CQ38" i="16"/>
  <c r="CP38" i="16"/>
  <c r="CR37" i="16"/>
  <c r="CQ37" i="16"/>
  <c r="CP37" i="16"/>
  <c r="CR36" i="16"/>
  <c r="CQ36" i="16"/>
  <c r="CP36" i="16"/>
  <c r="CR35" i="16"/>
  <c r="CQ35" i="16"/>
  <c r="CP35" i="16"/>
  <c r="CR34" i="16"/>
  <c r="CQ34" i="16"/>
  <c r="CP34" i="16"/>
  <c r="CR33" i="16"/>
  <c r="CQ33" i="16"/>
  <c r="CP33" i="16"/>
  <c r="CR32" i="16"/>
  <c r="CQ32" i="16"/>
  <c r="CP32" i="16"/>
  <c r="B32" i="16"/>
  <c r="CR31" i="16"/>
  <c r="CQ31" i="16"/>
  <c r="CP31" i="16"/>
  <c r="CR30" i="16"/>
  <c r="CQ30" i="16"/>
  <c r="CP30" i="16"/>
  <c r="CR29" i="16"/>
  <c r="CQ29" i="16"/>
  <c r="CP29" i="16"/>
  <c r="CR28" i="16"/>
  <c r="CQ28" i="16"/>
  <c r="CP28" i="16"/>
  <c r="CR26" i="16"/>
  <c r="CQ26" i="16"/>
  <c r="CP26" i="16"/>
  <c r="CR25" i="16"/>
  <c r="CQ25" i="16"/>
  <c r="CP25" i="16"/>
  <c r="CR24" i="16"/>
  <c r="CQ24" i="16"/>
  <c r="CP24" i="16"/>
  <c r="CR23" i="16"/>
  <c r="CQ23" i="16"/>
  <c r="CP23" i="16"/>
  <c r="CR22" i="16"/>
  <c r="CQ22" i="16"/>
  <c r="CP22" i="16"/>
  <c r="CR21" i="16"/>
  <c r="CQ21" i="16"/>
  <c r="CP21" i="16"/>
  <c r="CR20" i="16"/>
  <c r="CQ20" i="16"/>
  <c r="CP20" i="16"/>
  <c r="CR19" i="16"/>
  <c r="CQ19" i="16"/>
  <c r="CP19" i="16"/>
  <c r="CR18" i="16"/>
  <c r="CQ18" i="16"/>
  <c r="CP18" i="16"/>
  <c r="CR17" i="16"/>
  <c r="CQ17" i="16"/>
  <c r="CP17" i="16"/>
  <c r="CR16" i="16"/>
  <c r="CQ16" i="16"/>
  <c r="CP16" i="16"/>
  <c r="CR15" i="16"/>
  <c r="CQ15" i="16"/>
  <c r="CP15" i="16"/>
  <c r="CR14" i="16"/>
  <c r="CQ14" i="16"/>
  <c r="CP14" i="16"/>
  <c r="CR13" i="16"/>
  <c r="CQ13" i="16"/>
  <c r="CP13" i="16"/>
  <c r="CR12" i="16"/>
  <c r="CQ12" i="16"/>
  <c r="CP12" i="16"/>
  <c r="CR11" i="16"/>
  <c r="CQ11" i="16"/>
  <c r="CP11" i="16"/>
  <c r="CR10" i="16"/>
  <c r="CQ10" i="16"/>
  <c r="CP10" i="16"/>
  <c r="CR9" i="16"/>
  <c r="CQ9" i="16"/>
  <c r="CP9" i="16"/>
  <c r="CR8" i="16"/>
  <c r="CQ8" i="16"/>
  <c r="CP8" i="16"/>
  <c r="CR7" i="16"/>
  <c r="CQ7" i="16"/>
  <c r="CP7" i="16"/>
  <c r="F1" i="21"/>
  <c r="J1" i="21"/>
  <c r="L1" i="22"/>
  <c r="F1" i="11"/>
  <c r="I1" i="21"/>
  <c r="L1" i="7"/>
  <c r="L1" i="6"/>
  <c r="F1" i="6"/>
  <c r="J1" i="6"/>
  <c r="L1" i="15"/>
  <c r="F1" i="15"/>
  <c r="J1" i="15"/>
  <c r="L1" i="5"/>
  <c r="L1" i="4"/>
  <c r="K1" i="4"/>
  <c r="F1" i="4"/>
  <c r="J1" i="4"/>
  <c r="L1" i="2"/>
  <c r="J1" i="2"/>
  <c r="L1" i="3"/>
  <c r="J1" i="3"/>
  <c r="I1" i="3"/>
  <c r="H1" i="21"/>
  <c r="H1" i="6"/>
  <c r="H1" i="4"/>
  <c r="L1" i="14"/>
  <c r="K1" i="14"/>
  <c r="F1" i="14"/>
  <c r="J1" i="14"/>
  <c r="I1" i="12"/>
  <c r="R1" i="12"/>
  <c r="J1" i="12"/>
  <c r="L1" i="12"/>
  <c r="T60" i="1" a="1"/>
  <c r="T60" i="1"/>
  <c r="T49" i="1" a="1"/>
  <c r="T49" i="1"/>
  <c r="T19" i="1" a="1"/>
  <c r="T19" i="1"/>
  <c r="T77" i="1" a="1"/>
  <c r="T77" i="1"/>
  <c r="T28" i="1" a="1"/>
  <c r="T28" i="1"/>
  <c r="F1" i="1"/>
  <c r="O60" i="1" a="1"/>
  <c r="O60" i="1"/>
  <c r="O49" i="1" a="1"/>
  <c r="O49" i="1"/>
  <c r="O19" i="1" a="1"/>
  <c r="O19" i="1"/>
  <c r="O33" i="1" a="1"/>
  <c r="O33" i="1"/>
  <c r="O77" i="1" a="1"/>
  <c r="O77" i="1"/>
  <c r="O28" i="1" a="1"/>
  <c r="O28" i="1"/>
  <c r="U60" i="1" a="1"/>
  <c r="U60" i="1"/>
  <c r="U49" i="1" a="1"/>
  <c r="U49" i="1"/>
  <c r="U19" i="1" a="1"/>
  <c r="U19" i="1"/>
  <c r="U77" i="1" a="1"/>
  <c r="U77" i="1"/>
  <c r="U28" i="1" a="1"/>
  <c r="U28" i="1"/>
  <c r="L1" i="1"/>
  <c r="Q60" i="1" a="1"/>
  <c r="Q60" i="1"/>
  <c r="Q49" i="1" a="1"/>
  <c r="Q49" i="1"/>
  <c r="Q19" i="1" a="1"/>
  <c r="Q19" i="1"/>
  <c r="Q33" i="1" a="1"/>
  <c r="Q33" i="1"/>
  <c r="Q77" i="1" a="1"/>
  <c r="Q77" i="1"/>
  <c r="Q28" i="1" a="1"/>
  <c r="Q28" i="1"/>
  <c r="F1" i="3"/>
  <c r="I1" i="1"/>
  <c r="R60" i="1" a="1"/>
  <c r="R60" i="1"/>
  <c r="R49" i="1" a="1"/>
  <c r="R49" i="1"/>
  <c r="R19" i="1" a="1"/>
  <c r="R19" i="1"/>
  <c r="R33" i="1" a="1"/>
  <c r="R33" i="1"/>
  <c r="R77" i="1" a="1"/>
  <c r="R77" i="1"/>
  <c r="R28" i="1" a="1"/>
  <c r="R28" i="1"/>
  <c r="S60" i="1" a="1"/>
  <c r="S60" i="1"/>
  <c r="S49" i="1" a="1"/>
  <c r="S49" i="1"/>
  <c r="S19" i="1" a="1"/>
  <c r="S19" i="1"/>
  <c r="S33" i="1" a="1"/>
  <c r="S33" i="1"/>
  <c r="S77" i="1" a="1"/>
  <c r="S77" i="1"/>
  <c r="S28" i="1" a="1"/>
  <c r="S28" i="1"/>
  <c r="G1" i="14"/>
  <c r="G1" i="11"/>
  <c r="G1" i="21"/>
  <c r="G1" i="15"/>
  <c r="G1" i="7"/>
  <c r="G1" i="6"/>
  <c r="G1" i="1"/>
  <c r="P60" i="1" a="1"/>
  <c r="P60" i="1"/>
  <c r="P49" i="1" a="1"/>
  <c r="P49" i="1"/>
  <c r="P19" i="1" a="1"/>
  <c r="P19" i="1"/>
  <c r="P33" i="1" a="1"/>
  <c r="P33" i="1"/>
  <c r="P77" i="1" a="1"/>
  <c r="P77" i="1"/>
  <c r="P28" i="1" a="1"/>
  <c r="P28" i="1"/>
  <c r="H1" i="22"/>
  <c r="J1" i="22"/>
  <c r="H1" i="15"/>
  <c r="I1" i="5"/>
  <c r="I1" i="22"/>
  <c r="F1" i="12"/>
  <c r="G1" i="22"/>
  <c r="H1" i="2"/>
  <c r="F1" i="22"/>
  <c r="H1" i="7"/>
  <c r="H1" i="5"/>
  <c r="G1" i="5"/>
  <c r="F1" i="5"/>
  <c r="F1" i="2"/>
  <c r="K1" i="1"/>
  <c r="B43" i="16"/>
  <c r="B30" i="16"/>
  <c r="B46" i="16"/>
  <c r="B18" i="16"/>
  <c r="BH170" i="16"/>
  <c r="BT170" i="16"/>
  <c r="CF170" i="16"/>
  <c r="B13" i="16"/>
  <c r="B44" i="16"/>
  <c r="B37" i="16"/>
  <c r="B57" i="16"/>
  <c r="J168" i="16"/>
  <c r="V167" i="16"/>
  <c r="AH168" i="16"/>
  <c r="AT167" i="16"/>
  <c r="M168" i="16"/>
  <c r="Y170" i="16"/>
  <c r="AK168" i="16"/>
  <c r="AW170" i="16"/>
  <c r="BI168" i="16"/>
  <c r="BU170" i="16"/>
  <c r="CG168" i="16"/>
  <c r="B28" i="16"/>
  <c r="N171" i="16"/>
  <c r="Z171" i="16"/>
  <c r="AL168" i="16"/>
  <c r="AX169" i="16"/>
  <c r="BJ168" i="16"/>
  <c r="BV169" i="16"/>
  <c r="CH168" i="16"/>
  <c r="B42" i="16"/>
  <c r="B12" i="16"/>
  <c r="B33" i="16"/>
  <c r="B8" i="16"/>
  <c r="B22" i="16"/>
  <c r="B21" i="16"/>
  <c r="K168" i="16"/>
  <c r="W170" i="16"/>
  <c r="AI168" i="16"/>
  <c r="AU170" i="16"/>
  <c r="BG168" i="16"/>
  <c r="BS170" i="16"/>
  <c r="CE168" i="16"/>
  <c r="B68" i="16"/>
  <c r="B41" i="16"/>
  <c r="B36" i="16"/>
  <c r="B48" i="16"/>
  <c r="B51" i="16"/>
  <c r="H169" i="16"/>
  <c r="T170" i="16"/>
  <c r="B40" i="16"/>
  <c r="B11" i="16"/>
  <c r="B26" i="16"/>
  <c r="B9" i="16"/>
  <c r="B56" i="16"/>
  <c r="G169" i="16"/>
  <c r="S170" i="16"/>
  <c r="AE169" i="16"/>
  <c r="AQ170" i="16"/>
  <c r="BC169" i="16"/>
  <c r="BO170" i="16"/>
  <c r="CA169" i="16"/>
  <c r="CM170" i="16"/>
  <c r="AF169" i="16"/>
  <c r="AR170" i="16"/>
  <c r="BD169" i="16"/>
  <c r="BP170" i="16"/>
  <c r="CB169" i="16"/>
  <c r="CN170" i="16"/>
  <c r="I168" i="16"/>
  <c r="U170" i="16"/>
  <c r="AG168" i="16"/>
  <c r="AS170" i="16"/>
  <c r="BE168" i="16"/>
  <c r="BQ170" i="16"/>
  <c r="CC168" i="16"/>
  <c r="CO170" i="16"/>
  <c r="BF168" i="16"/>
  <c r="BR167" i="16"/>
  <c r="CD168" i="16"/>
  <c r="B14" i="16"/>
  <c r="B7" i="16"/>
  <c r="B10" i="16"/>
  <c r="B17" i="16"/>
  <c r="B29" i="16"/>
  <c r="B45" i="16"/>
  <c r="B31" i="16"/>
  <c r="B25" i="16"/>
  <c r="B16" i="16"/>
  <c r="B20" i="16"/>
  <c r="B24" i="16"/>
  <c r="B15" i="16"/>
  <c r="B19" i="16"/>
  <c r="B23" i="16"/>
  <c r="C232" i="16"/>
  <c r="C228" i="16"/>
  <c r="C235" i="16"/>
  <c r="C236" i="16"/>
  <c r="C234" i="16"/>
  <c r="C167" i="16"/>
  <c r="C226" i="16"/>
  <c r="C224" i="16"/>
  <c r="C170" i="16"/>
  <c r="C233" i="16"/>
  <c r="C225" i="16"/>
  <c r="C171" i="16"/>
  <c r="C229" i="16"/>
  <c r="C227" i="16"/>
  <c r="O232" i="16"/>
  <c r="O228" i="16"/>
  <c r="O235" i="16"/>
  <c r="O236" i="16"/>
  <c r="O234" i="16"/>
  <c r="O227" i="16"/>
  <c r="O167" i="16"/>
  <c r="O233" i="16"/>
  <c r="O229" i="16"/>
  <c r="O226" i="16"/>
  <c r="O170" i="16"/>
  <c r="O225" i="16"/>
  <c r="O171" i="16"/>
  <c r="AA232" i="16"/>
  <c r="AA228" i="16"/>
  <c r="AA235" i="16"/>
  <c r="AA236" i="16"/>
  <c r="AA237" i="16"/>
  <c r="AA234" i="16"/>
  <c r="AA167" i="16"/>
  <c r="AA227" i="16"/>
  <c r="AA170" i="16"/>
  <c r="AA226" i="16"/>
  <c r="AA230" i="16"/>
  <c r="AA224" i="16"/>
  <c r="AA171" i="16"/>
  <c r="AA229" i="16"/>
  <c r="AA233" i="16"/>
  <c r="AA225" i="16"/>
  <c r="AM232" i="16"/>
  <c r="AM228" i="16"/>
  <c r="AM230" i="16"/>
  <c r="AM235" i="16"/>
  <c r="AM237" i="16"/>
  <c r="AM236" i="16"/>
  <c r="AM234" i="16"/>
  <c r="AM225" i="16"/>
  <c r="AM167" i="16"/>
  <c r="AM224" i="16"/>
  <c r="AM229" i="16"/>
  <c r="AM170" i="16"/>
  <c r="AM227" i="16"/>
  <c r="AM233" i="16"/>
  <c r="AM226" i="16"/>
  <c r="AM171" i="16"/>
  <c r="AY232" i="16"/>
  <c r="AY228" i="16"/>
  <c r="AY235" i="16"/>
  <c r="AY236" i="16"/>
  <c r="AY234" i="16"/>
  <c r="AY167" i="16"/>
  <c r="AY225" i="16"/>
  <c r="AY170" i="16"/>
  <c r="AY233" i="16"/>
  <c r="AY227" i="16"/>
  <c r="AY171" i="16"/>
  <c r="AY229" i="16"/>
  <c r="AY226" i="16"/>
  <c r="BK232" i="16"/>
  <c r="BK228" i="16"/>
  <c r="BK235" i="16"/>
  <c r="BK233" i="16"/>
  <c r="BK236" i="16"/>
  <c r="BK234" i="16"/>
  <c r="BK167" i="16"/>
  <c r="BK229" i="16"/>
  <c r="BK170" i="16"/>
  <c r="BK225" i="16"/>
  <c r="BK171" i="16"/>
  <c r="BK227" i="16"/>
  <c r="BK226" i="16"/>
  <c r="BW232" i="16"/>
  <c r="BW228" i="16"/>
  <c r="BW235" i="16"/>
  <c r="BW233" i="16"/>
  <c r="BW236" i="16"/>
  <c r="BW230" i="16"/>
  <c r="BW234" i="16"/>
  <c r="BW167" i="16"/>
  <c r="BW226" i="16"/>
  <c r="BW227" i="16"/>
  <c r="BW170" i="16"/>
  <c r="BW224" i="16"/>
  <c r="BW225" i="16"/>
  <c r="BW171" i="16"/>
  <c r="BW229" i="16"/>
  <c r="CI232" i="16"/>
  <c r="CI228" i="16"/>
  <c r="CI235" i="16"/>
  <c r="CI233" i="16"/>
  <c r="CI236" i="16"/>
  <c r="CI234" i="16"/>
  <c r="CI167" i="16"/>
  <c r="CI229" i="16"/>
  <c r="CI226" i="16"/>
  <c r="CI170" i="16"/>
  <c r="CI227" i="16"/>
  <c r="CI225" i="16"/>
  <c r="CI171" i="16"/>
  <c r="CI224" i="16"/>
  <c r="U167" i="16"/>
  <c r="AS167" i="16"/>
  <c r="BQ167" i="16"/>
  <c r="CO167" i="16"/>
  <c r="Z168" i="16"/>
  <c r="AX168" i="16"/>
  <c r="BV168" i="16"/>
  <c r="D232" i="16"/>
  <c r="D228" i="16"/>
  <c r="D235" i="16"/>
  <c r="D233" i="16"/>
  <c r="D236" i="16"/>
  <c r="D234" i="16"/>
  <c r="D226" i="16"/>
  <c r="D224" i="16"/>
  <c r="D170" i="16"/>
  <c r="D168" i="16"/>
  <c r="D225" i="16"/>
  <c r="D171" i="16"/>
  <c r="D229" i="16"/>
  <c r="D227" i="16"/>
  <c r="P232" i="16"/>
  <c r="P228" i="16"/>
  <c r="P235" i="16"/>
  <c r="P233" i="16"/>
  <c r="P236" i="16"/>
  <c r="P234" i="16"/>
  <c r="P229" i="16"/>
  <c r="P226" i="16"/>
  <c r="P170" i="16"/>
  <c r="P168" i="16"/>
  <c r="P225" i="16"/>
  <c r="P171" i="16"/>
  <c r="P227" i="16"/>
  <c r="AB232" i="16"/>
  <c r="AB228" i="16"/>
  <c r="AB235" i="16"/>
  <c r="AB233" i="16"/>
  <c r="AB236" i="16"/>
  <c r="AB234" i="16"/>
  <c r="AB227" i="16"/>
  <c r="AB170" i="16"/>
  <c r="AB226" i="16"/>
  <c r="AB168" i="16"/>
  <c r="AB230" i="16"/>
  <c r="AB224" i="16"/>
  <c r="AB171" i="16"/>
  <c r="AB229" i="16"/>
  <c r="AB225" i="16"/>
  <c r="AN232" i="16"/>
  <c r="AN228" i="16"/>
  <c r="AN230" i="16"/>
  <c r="AN235" i="16"/>
  <c r="AN233" i="16"/>
  <c r="AN236" i="16"/>
  <c r="AN234" i="16"/>
  <c r="AN224" i="16"/>
  <c r="AN229" i="16"/>
  <c r="AN170" i="16"/>
  <c r="AN227" i="16"/>
  <c r="AN168" i="16"/>
  <c r="AN226" i="16"/>
  <c r="AN171" i="16"/>
  <c r="AN225" i="16"/>
  <c r="AZ232" i="16"/>
  <c r="AZ228" i="16"/>
  <c r="AZ235" i="16"/>
  <c r="AZ233" i="16"/>
  <c r="AZ236" i="16"/>
  <c r="AZ234" i="16"/>
  <c r="AZ225" i="16"/>
  <c r="AZ170" i="16"/>
  <c r="AZ224" i="16"/>
  <c r="AZ168" i="16"/>
  <c r="AZ227" i="16"/>
  <c r="AZ171" i="16"/>
  <c r="AZ229" i="16"/>
  <c r="AZ226" i="16"/>
  <c r="AZ230" i="16"/>
  <c r="BL232" i="16"/>
  <c r="BL228" i="16"/>
  <c r="BL235" i="16"/>
  <c r="BL233" i="16"/>
  <c r="BL236" i="16"/>
  <c r="BL234" i="16"/>
  <c r="BL229" i="16"/>
  <c r="BL170" i="16"/>
  <c r="BL225" i="16"/>
  <c r="BL168" i="16"/>
  <c r="BL171" i="16"/>
  <c r="BL227" i="16"/>
  <c r="BL226" i="16"/>
  <c r="BX232" i="16"/>
  <c r="BX228" i="16"/>
  <c r="BX235" i="16"/>
  <c r="BX233" i="16"/>
  <c r="BX236" i="16"/>
  <c r="BX234" i="16"/>
  <c r="BX226" i="16"/>
  <c r="BX227" i="16"/>
  <c r="BX170" i="16"/>
  <c r="BX224" i="16"/>
  <c r="BX168" i="16"/>
  <c r="BX225" i="16"/>
  <c r="BX171" i="16"/>
  <c r="BX229" i="16"/>
  <c r="CJ232" i="16"/>
  <c r="CJ228" i="16"/>
  <c r="CJ235" i="16"/>
  <c r="CJ233" i="16"/>
  <c r="CJ236" i="16"/>
  <c r="CJ234" i="16"/>
  <c r="CJ229" i="16"/>
  <c r="CJ226" i="16"/>
  <c r="CJ170" i="16"/>
  <c r="CJ168" i="16"/>
  <c r="CJ227" i="16"/>
  <c r="CJ225" i="16"/>
  <c r="CJ171" i="16"/>
  <c r="CJ224" i="16"/>
  <c r="B69" i="16"/>
  <c r="C168" i="16"/>
  <c r="AA168" i="16"/>
  <c r="AY168" i="16"/>
  <c r="BW168" i="16"/>
  <c r="M170" i="16"/>
  <c r="AK170" i="16"/>
  <c r="BI170" i="16"/>
  <c r="CG170" i="16"/>
  <c r="B58" i="16"/>
  <c r="E230" i="16"/>
  <c r="E228" i="16"/>
  <c r="E235" i="16"/>
  <c r="E226" i="16"/>
  <c r="E233" i="16"/>
  <c r="E236" i="16"/>
  <c r="E234" i="16"/>
  <c r="E232" i="16"/>
  <c r="E170" i="16"/>
  <c r="E168" i="16"/>
  <c r="E225" i="16"/>
  <c r="E229" i="16"/>
  <c r="E227" i="16"/>
  <c r="E169" i="16"/>
  <c r="E224" i="16"/>
  <c r="Q228" i="16"/>
  <c r="Q235" i="16"/>
  <c r="Q226" i="16"/>
  <c r="Q233" i="16"/>
  <c r="Q236" i="16"/>
  <c r="Q234" i="16"/>
  <c r="Q232" i="16"/>
  <c r="Q229" i="16"/>
  <c r="Q170" i="16"/>
  <c r="Q224" i="16"/>
  <c r="Q168" i="16"/>
  <c r="Q225" i="16"/>
  <c r="Q169" i="16"/>
  <c r="Q227" i="16"/>
  <c r="AC228" i="16"/>
  <c r="AC235" i="16"/>
  <c r="AC226" i="16"/>
  <c r="AC233" i="16"/>
  <c r="AC236" i="16"/>
  <c r="AC234" i="16"/>
  <c r="AC232" i="16"/>
  <c r="AC227" i="16"/>
  <c r="AC170" i="16"/>
  <c r="AC168" i="16"/>
  <c r="AC229" i="16"/>
  <c r="AC225" i="16"/>
  <c r="AC169" i="16"/>
  <c r="AO228" i="16"/>
  <c r="AO230" i="16"/>
  <c r="AO235" i="16"/>
  <c r="AO226" i="16"/>
  <c r="AO233" i="16"/>
  <c r="AO236" i="16"/>
  <c r="AO234" i="16"/>
  <c r="AO232" i="16"/>
  <c r="AO229" i="16"/>
  <c r="AO170" i="16"/>
  <c r="AO227" i="16"/>
  <c r="AO168" i="16"/>
  <c r="AO169" i="16"/>
  <c r="AO225" i="16"/>
  <c r="AO224" i="16"/>
  <c r="BA228" i="16"/>
  <c r="BA235" i="16"/>
  <c r="BA226" i="16"/>
  <c r="BA224" i="16"/>
  <c r="BA233" i="16"/>
  <c r="BA236" i="16"/>
  <c r="BA234" i="16"/>
  <c r="BA232" i="16"/>
  <c r="BA225" i="16"/>
  <c r="BA170" i="16"/>
  <c r="BA168" i="16"/>
  <c r="BA227" i="16"/>
  <c r="BA229" i="16"/>
  <c r="BA230" i="16"/>
  <c r="BA169" i="16"/>
  <c r="BM228" i="16"/>
  <c r="BM235" i="16"/>
  <c r="BM226" i="16"/>
  <c r="BM233" i="16"/>
  <c r="BM236" i="16"/>
  <c r="BM234" i="16"/>
  <c r="BM232" i="16"/>
  <c r="BM229" i="16"/>
  <c r="BM170" i="16"/>
  <c r="BM225" i="16"/>
  <c r="BM168" i="16"/>
  <c r="BM171" i="16"/>
  <c r="BM227" i="16"/>
  <c r="BM169" i="16"/>
  <c r="BY228" i="16"/>
  <c r="BY235" i="16"/>
  <c r="BY226" i="16"/>
  <c r="BY233" i="16"/>
  <c r="BY236" i="16"/>
  <c r="BY234" i="16"/>
  <c r="BY232" i="16"/>
  <c r="BY227" i="16"/>
  <c r="BY170" i="16"/>
  <c r="BY224" i="16"/>
  <c r="BY168" i="16"/>
  <c r="BY225" i="16"/>
  <c r="BY171" i="16"/>
  <c r="BY229" i="16"/>
  <c r="BY169" i="16"/>
  <c r="CK228" i="16"/>
  <c r="CK235" i="16"/>
  <c r="CK226" i="16"/>
  <c r="CK224" i="16"/>
  <c r="CK230" i="16"/>
  <c r="CK233" i="16"/>
  <c r="CK236" i="16"/>
  <c r="CK234" i="16"/>
  <c r="CK232" i="16"/>
  <c r="CK229" i="16"/>
  <c r="CK170" i="16"/>
  <c r="CK168" i="16"/>
  <c r="CK227" i="16"/>
  <c r="CK225" i="16"/>
  <c r="CK171" i="16"/>
  <c r="CK169" i="16"/>
  <c r="D167" i="16"/>
  <c r="AB167" i="16"/>
  <c r="AZ167" i="16"/>
  <c r="BX167" i="16"/>
  <c r="N169" i="16"/>
  <c r="AL169" i="16"/>
  <c r="BJ169" i="16"/>
  <c r="CH169" i="16"/>
  <c r="B55" i="16"/>
  <c r="F235" i="16"/>
  <c r="F226" i="16"/>
  <c r="F233" i="16"/>
  <c r="F229" i="16"/>
  <c r="F236" i="16"/>
  <c r="F230" i="16"/>
  <c r="F228" i="16"/>
  <c r="F170" i="16"/>
  <c r="F232" i="16"/>
  <c r="F168" i="16"/>
  <c r="F225" i="16"/>
  <c r="F171" i="16"/>
  <c r="F227" i="16"/>
  <c r="F234" i="16"/>
  <c r="F224" i="16"/>
  <c r="R235" i="16"/>
  <c r="R226" i="16"/>
  <c r="R233" i="16"/>
  <c r="R229" i="16"/>
  <c r="R236" i="16"/>
  <c r="R228" i="16"/>
  <c r="R170" i="16"/>
  <c r="R224" i="16"/>
  <c r="R168" i="16"/>
  <c r="R225" i="16"/>
  <c r="R171" i="16"/>
  <c r="R234" i="16"/>
  <c r="R232" i="16"/>
  <c r="R227" i="16"/>
  <c r="AD235" i="16"/>
  <c r="AD226" i="16"/>
  <c r="AD233" i="16"/>
  <c r="AD229" i="16"/>
  <c r="AD236" i="16"/>
  <c r="AD228" i="16"/>
  <c r="AD170" i="16"/>
  <c r="AD168" i="16"/>
  <c r="AD232" i="16"/>
  <c r="AD234" i="16"/>
  <c r="AD171" i="16"/>
  <c r="AD225" i="16"/>
  <c r="AD227" i="16"/>
  <c r="AP230" i="16"/>
  <c r="AP235" i="16"/>
  <c r="AP226" i="16"/>
  <c r="AP233" i="16"/>
  <c r="AP229" i="16"/>
  <c r="AP236" i="16"/>
  <c r="AP228" i="16"/>
  <c r="AP170" i="16"/>
  <c r="AP227" i="16"/>
  <c r="AP168" i="16"/>
  <c r="AP234" i="16"/>
  <c r="AP171" i="16"/>
  <c r="AP225" i="16"/>
  <c r="AP232" i="16"/>
  <c r="AP224" i="16"/>
  <c r="BB235" i="16"/>
  <c r="BB226" i="16"/>
  <c r="BB224" i="16"/>
  <c r="BB233" i="16"/>
  <c r="BB229" i="16"/>
  <c r="BB237" i="16"/>
  <c r="BB236" i="16"/>
  <c r="BB228" i="16"/>
  <c r="BB170" i="16"/>
  <c r="BB234" i="16"/>
  <c r="BB168" i="16"/>
  <c r="BB227" i="16"/>
  <c r="BB171" i="16"/>
  <c r="BB232" i="16"/>
  <c r="BB230" i="16"/>
  <c r="BB225" i="16"/>
  <c r="BN235" i="16"/>
  <c r="BN226" i="16"/>
  <c r="BN233" i="16"/>
  <c r="BN229" i="16"/>
  <c r="BN236" i="16"/>
  <c r="BN228" i="16"/>
  <c r="BN170" i="16"/>
  <c r="BN225" i="16"/>
  <c r="BN232" i="16"/>
  <c r="BN168" i="16"/>
  <c r="BN171" i="16"/>
  <c r="BN227" i="16"/>
  <c r="BN234" i="16"/>
  <c r="BZ235" i="16"/>
  <c r="BZ226" i="16"/>
  <c r="BZ233" i="16"/>
  <c r="BZ229" i="16"/>
  <c r="BZ236" i="16"/>
  <c r="BZ228" i="16"/>
  <c r="BZ170" i="16"/>
  <c r="BZ168" i="16"/>
  <c r="BZ225" i="16"/>
  <c r="BZ171" i="16"/>
  <c r="BZ234" i="16"/>
  <c r="BZ232" i="16"/>
  <c r="BZ227" i="16"/>
  <c r="CL235" i="16"/>
  <c r="CL226" i="16"/>
  <c r="CL224" i="16"/>
  <c r="CL230" i="16"/>
  <c r="CL233" i="16"/>
  <c r="CL229" i="16"/>
  <c r="CL236" i="16"/>
  <c r="CL232" i="16"/>
  <c r="CL228" i="16"/>
  <c r="CL170" i="16"/>
  <c r="CL168" i="16"/>
  <c r="CL227" i="16"/>
  <c r="CL225" i="16"/>
  <c r="CL171" i="16"/>
  <c r="CL234" i="16"/>
  <c r="E167" i="16"/>
  <c r="AC167" i="16"/>
  <c r="BA167" i="16"/>
  <c r="BY167" i="16"/>
  <c r="O169" i="16"/>
  <c r="AM169" i="16"/>
  <c r="BK169" i="16"/>
  <c r="CI169" i="16"/>
  <c r="G235" i="16"/>
  <c r="G233" i="16"/>
  <c r="G229" i="16"/>
  <c r="G236" i="16"/>
  <c r="G232" i="16"/>
  <c r="G230" i="16"/>
  <c r="G168" i="16"/>
  <c r="G225" i="16"/>
  <c r="G171" i="16"/>
  <c r="G227" i="16"/>
  <c r="G234" i="16"/>
  <c r="G167" i="16"/>
  <c r="G224" i="16"/>
  <c r="G228" i="16"/>
  <c r="G226" i="16"/>
  <c r="S235" i="16"/>
  <c r="S233" i="16"/>
  <c r="S229" i="16"/>
  <c r="S230" i="16"/>
  <c r="S236" i="16"/>
  <c r="S232" i="16"/>
  <c r="S226" i="16"/>
  <c r="S224" i="16"/>
  <c r="S168" i="16"/>
  <c r="S228" i="16"/>
  <c r="S225" i="16"/>
  <c r="S171" i="16"/>
  <c r="S234" i="16"/>
  <c r="S227" i="16"/>
  <c r="S167" i="16"/>
  <c r="AE235" i="16"/>
  <c r="AE233" i="16"/>
  <c r="AE229" i="16"/>
  <c r="AE236" i="16"/>
  <c r="AE232" i="16"/>
  <c r="AE168" i="16"/>
  <c r="AE226" i="16"/>
  <c r="AE234" i="16"/>
  <c r="AE230" i="16"/>
  <c r="AE171" i="16"/>
  <c r="AE224" i="16"/>
  <c r="AE225" i="16"/>
  <c r="AE167" i="16"/>
  <c r="AE228" i="16"/>
  <c r="AE227" i="16"/>
  <c r="AQ235" i="16"/>
  <c r="AQ233" i="16"/>
  <c r="AQ229" i="16"/>
  <c r="AQ236" i="16"/>
  <c r="AQ232" i="16"/>
  <c r="AQ227" i="16"/>
  <c r="AQ168" i="16"/>
  <c r="AQ234" i="16"/>
  <c r="AQ228" i="16"/>
  <c r="AQ171" i="16"/>
  <c r="AQ226" i="16"/>
  <c r="AQ225" i="16"/>
  <c r="AQ167" i="16"/>
  <c r="BC235" i="16"/>
  <c r="BC233" i="16"/>
  <c r="BC229" i="16"/>
  <c r="BC237" i="16"/>
  <c r="BC230" i="16"/>
  <c r="BC236" i="16"/>
  <c r="BC232" i="16"/>
  <c r="BC234" i="16"/>
  <c r="BC168" i="16"/>
  <c r="BC227" i="16"/>
  <c r="BC224" i="16"/>
  <c r="BC171" i="16"/>
  <c r="BC228" i="16"/>
  <c r="BC226" i="16"/>
  <c r="BC167" i="16"/>
  <c r="BC225" i="16"/>
  <c r="BO235" i="16"/>
  <c r="BO233" i="16"/>
  <c r="BO229" i="16"/>
  <c r="BO236" i="16"/>
  <c r="BO232" i="16"/>
  <c r="BO228" i="16"/>
  <c r="BO225" i="16"/>
  <c r="BO168" i="16"/>
  <c r="BO171" i="16"/>
  <c r="BO227" i="16"/>
  <c r="BO167" i="16"/>
  <c r="BO226" i="16"/>
  <c r="BO224" i="16"/>
  <c r="BO234" i="16"/>
  <c r="CA235" i="16"/>
  <c r="CA233" i="16"/>
  <c r="CA229" i="16"/>
  <c r="CA236" i="16"/>
  <c r="CA232" i="16"/>
  <c r="CA168" i="16"/>
  <c r="CA225" i="16"/>
  <c r="CA171" i="16"/>
  <c r="CA228" i="16"/>
  <c r="CA234" i="16"/>
  <c r="CA167" i="16"/>
  <c r="CA227" i="16"/>
  <c r="CA226" i="16"/>
  <c r="CM235" i="16"/>
  <c r="CM233" i="16"/>
  <c r="CM229" i="16"/>
  <c r="CM236" i="16"/>
  <c r="CM232" i="16"/>
  <c r="CM228" i="16"/>
  <c r="CM226" i="16"/>
  <c r="CM168" i="16"/>
  <c r="CM227" i="16"/>
  <c r="CM225" i="16"/>
  <c r="CM171" i="16"/>
  <c r="CM234" i="16"/>
  <c r="CM224" i="16"/>
  <c r="CM167" i="16"/>
  <c r="B66" i="16"/>
  <c r="B67" i="16"/>
  <c r="F167" i="16"/>
  <c r="AD167" i="16"/>
  <c r="BB167" i="16"/>
  <c r="BZ167" i="16"/>
  <c r="P169" i="16"/>
  <c r="AN169" i="16"/>
  <c r="BL169" i="16"/>
  <c r="CJ169" i="16"/>
  <c r="H233" i="16"/>
  <c r="H229" i="16"/>
  <c r="H236" i="16"/>
  <c r="H234" i="16"/>
  <c r="H235" i="16"/>
  <c r="H232" i="16"/>
  <c r="H168" i="16"/>
  <c r="H225" i="16"/>
  <c r="H171" i="16"/>
  <c r="H227" i="16"/>
  <c r="H228" i="16"/>
  <c r="H226" i="16"/>
  <c r="T233" i="16"/>
  <c r="T229" i="16"/>
  <c r="T230" i="16"/>
  <c r="T236" i="16"/>
  <c r="T234" i="16"/>
  <c r="T235" i="16"/>
  <c r="T226" i="16"/>
  <c r="T224" i="16"/>
  <c r="T168" i="16"/>
  <c r="T228" i="16"/>
  <c r="T225" i="16"/>
  <c r="T171" i="16"/>
  <c r="T232" i="16"/>
  <c r="T227" i="16"/>
  <c r="AF233" i="16"/>
  <c r="AF229" i="16"/>
  <c r="AF236" i="16"/>
  <c r="AF234" i="16"/>
  <c r="AF237" i="16"/>
  <c r="AF235" i="16"/>
  <c r="AF168" i="16"/>
  <c r="AF232" i="16"/>
  <c r="AF226" i="16"/>
  <c r="AF230" i="16"/>
  <c r="AF171" i="16"/>
  <c r="AF224" i="16"/>
  <c r="AF225" i="16"/>
  <c r="AF228" i="16"/>
  <c r="AF227" i="16"/>
  <c r="AR233" i="16"/>
  <c r="AR229" i="16"/>
  <c r="AR236" i="16"/>
  <c r="AR234" i="16"/>
  <c r="AR235" i="16"/>
  <c r="AR168" i="16"/>
  <c r="AR228" i="16"/>
  <c r="AR171" i="16"/>
  <c r="AR226" i="16"/>
  <c r="AR225" i="16"/>
  <c r="AR232" i="16"/>
  <c r="AR227" i="16"/>
  <c r="BD233" i="16"/>
  <c r="BD229" i="16"/>
  <c r="BD230" i="16"/>
  <c r="BD236" i="16"/>
  <c r="BD234" i="16"/>
  <c r="BD235" i="16"/>
  <c r="BD168" i="16"/>
  <c r="BD227" i="16"/>
  <c r="BD224" i="16"/>
  <c r="BD171" i="16"/>
  <c r="BD232" i="16"/>
  <c r="BD228" i="16"/>
  <c r="BD226" i="16"/>
  <c r="BD225" i="16"/>
  <c r="BP230" i="16"/>
  <c r="BP233" i="16"/>
  <c r="BP229" i="16"/>
  <c r="BP237" i="16"/>
  <c r="BP236" i="16"/>
  <c r="BP234" i="16"/>
  <c r="BP235" i="16"/>
  <c r="BP168" i="16"/>
  <c r="BP232" i="16"/>
  <c r="BP171" i="16"/>
  <c r="BP227" i="16"/>
  <c r="BP226" i="16"/>
  <c r="BP224" i="16"/>
  <c r="BP228" i="16"/>
  <c r="BP225" i="16"/>
  <c r="CB233" i="16"/>
  <c r="CB229" i="16"/>
  <c r="CB236" i="16"/>
  <c r="CB234" i="16"/>
  <c r="CB235" i="16"/>
  <c r="CB168" i="16"/>
  <c r="CB225" i="16"/>
  <c r="CB224" i="16"/>
  <c r="CB171" i="16"/>
  <c r="CB230" i="16"/>
  <c r="CB228" i="16"/>
  <c r="CB232" i="16"/>
  <c r="CB227" i="16"/>
  <c r="CB226" i="16"/>
  <c r="CN233" i="16"/>
  <c r="CN229" i="16"/>
  <c r="CN236" i="16"/>
  <c r="CN234" i="16"/>
  <c r="CN235" i="16"/>
  <c r="CN226" i="16"/>
  <c r="CN168" i="16"/>
  <c r="CN227" i="16"/>
  <c r="CN225" i="16"/>
  <c r="CN171" i="16"/>
  <c r="CN232" i="16"/>
  <c r="CN228" i="16"/>
  <c r="H167" i="16"/>
  <c r="AF167" i="16"/>
  <c r="BD167" i="16"/>
  <c r="CB167" i="16"/>
  <c r="R169" i="16"/>
  <c r="AP169" i="16"/>
  <c r="BN169" i="16"/>
  <c r="CL169" i="16"/>
  <c r="E171" i="16"/>
  <c r="I233" i="16"/>
  <c r="I229" i="16"/>
  <c r="I236" i="16"/>
  <c r="I234" i="16"/>
  <c r="I235" i="16"/>
  <c r="I225" i="16"/>
  <c r="I171" i="16"/>
  <c r="I227" i="16"/>
  <c r="I169" i="16"/>
  <c r="I228" i="16"/>
  <c r="I226" i="16"/>
  <c r="I232" i="16"/>
  <c r="U233" i="16"/>
  <c r="U229" i="16"/>
  <c r="U230" i="16"/>
  <c r="U236" i="16"/>
  <c r="U234" i="16"/>
  <c r="U235" i="16"/>
  <c r="U228" i="16"/>
  <c r="U225" i="16"/>
  <c r="U171" i="16"/>
  <c r="U169" i="16"/>
  <c r="U232" i="16"/>
  <c r="U227" i="16"/>
  <c r="U226" i="16"/>
  <c r="U224" i="16"/>
  <c r="AG233" i="16"/>
  <c r="AG229" i="16"/>
  <c r="AG236" i="16"/>
  <c r="AG234" i="16"/>
  <c r="AG237" i="16"/>
  <c r="AG235" i="16"/>
  <c r="AG232" i="16"/>
  <c r="AG226" i="16"/>
  <c r="AG230" i="16"/>
  <c r="AG171" i="16"/>
  <c r="AG224" i="16"/>
  <c r="AG225" i="16"/>
  <c r="AG169" i="16"/>
  <c r="AG228" i="16"/>
  <c r="AG227" i="16"/>
  <c r="AS233" i="16"/>
  <c r="AS229" i="16"/>
  <c r="AS236" i="16"/>
  <c r="AS234" i="16"/>
  <c r="AS235" i="16"/>
  <c r="AS228" i="16"/>
  <c r="AS171" i="16"/>
  <c r="AS226" i="16"/>
  <c r="AS169" i="16"/>
  <c r="AS225" i="16"/>
  <c r="AS232" i="16"/>
  <c r="AS224" i="16"/>
  <c r="AS227" i="16"/>
  <c r="BE233" i="16"/>
  <c r="BE229" i="16"/>
  <c r="BE236" i="16"/>
  <c r="BE234" i="16"/>
  <c r="BE235" i="16"/>
  <c r="BE227" i="16"/>
  <c r="BE171" i="16"/>
  <c r="BE232" i="16"/>
  <c r="BE169" i="16"/>
  <c r="BE228" i="16"/>
  <c r="BE226" i="16"/>
  <c r="BE225" i="16"/>
  <c r="BQ233" i="16"/>
  <c r="BQ229" i="16"/>
  <c r="BQ236" i="16"/>
  <c r="BQ234" i="16"/>
  <c r="BQ235" i="16"/>
  <c r="BQ230" i="16"/>
  <c r="BQ232" i="16"/>
  <c r="BQ171" i="16"/>
  <c r="BQ227" i="16"/>
  <c r="BQ169" i="16"/>
  <c r="BQ226" i="16"/>
  <c r="BQ224" i="16"/>
  <c r="BQ228" i="16"/>
  <c r="BQ225" i="16"/>
  <c r="CC233" i="16"/>
  <c r="CC229" i="16"/>
  <c r="CC237" i="16"/>
  <c r="CC236" i="16"/>
  <c r="CC234" i="16"/>
  <c r="CC235" i="16"/>
  <c r="CC225" i="16"/>
  <c r="CC224" i="16"/>
  <c r="CC171" i="16"/>
  <c r="CC230" i="16"/>
  <c r="CC228" i="16"/>
  <c r="CC169" i="16"/>
  <c r="CC232" i="16"/>
  <c r="CC227" i="16"/>
  <c r="CC226" i="16"/>
  <c r="CO233" i="16"/>
  <c r="CO229" i="16"/>
  <c r="CO236" i="16"/>
  <c r="CO234" i="16"/>
  <c r="CO235" i="16"/>
  <c r="CO227" i="16"/>
  <c r="CO225" i="16"/>
  <c r="CO171" i="16"/>
  <c r="CO169" i="16"/>
  <c r="CO232" i="16"/>
  <c r="CO228" i="16"/>
  <c r="CO226" i="16"/>
  <c r="I167" i="16"/>
  <c r="AG167" i="16"/>
  <c r="BE167" i="16"/>
  <c r="CC167" i="16"/>
  <c r="N168" i="16"/>
  <c r="S169" i="16"/>
  <c r="AQ169" i="16"/>
  <c r="BO169" i="16"/>
  <c r="CM169" i="16"/>
  <c r="B35" i="16"/>
  <c r="B39" i="16"/>
  <c r="B54" i="16"/>
  <c r="J229" i="16"/>
  <c r="J236" i="16"/>
  <c r="J227" i="16"/>
  <c r="J234" i="16"/>
  <c r="J235" i="16"/>
  <c r="J233" i="16"/>
  <c r="J171" i="16"/>
  <c r="J169" i="16"/>
  <c r="J228" i="16"/>
  <c r="J226" i="16"/>
  <c r="J224" i="16"/>
  <c r="J170" i="16"/>
  <c r="J232" i="16"/>
  <c r="J230" i="16"/>
  <c r="J225" i="16"/>
  <c r="V229" i="16"/>
  <c r="V236" i="16"/>
  <c r="V227" i="16"/>
  <c r="V234" i="16"/>
  <c r="V235" i="16"/>
  <c r="V233" i="16"/>
  <c r="V228" i="16"/>
  <c r="V225" i="16"/>
  <c r="V171" i="16"/>
  <c r="V169" i="16"/>
  <c r="V232" i="16"/>
  <c r="V170" i="16"/>
  <c r="V226" i="16"/>
  <c r="AH229" i="16"/>
  <c r="AH236" i="16"/>
  <c r="AH227" i="16"/>
  <c r="AH234" i="16"/>
  <c r="AH235" i="16"/>
  <c r="AH233" i="16"/>
  <c r="AH232" i="16"/>
  <c r="AH226" i="16"/>
  <c r="AH230" i="16"/>
  <c r="AH171" i="16"/>
  <c r="AH224" i="16"/>
  <c r="AH225" i="16"/>
  <c r="AH169" i="16"/>
  <c r="AH228" i="16"/>
  <c r="AH170" i="16"/>
  <c r="AT229" i="16"/>
  <c r="AT236" i="16"/>
  <c r="AT227" i="16"/>
  <c r="AT234" i="16"/>
  <c r="AT235" i="16"/>
  <c r="AT233" i="16"/>
  <c r="AT230" i="16"/>
  <c r="AT171" i="16"/>
  <c r="AT226" i="16"/>
  <c r="AT169" i="16"/>
  <c r="AT225" i="16"/>
  <c r="AT232" i="16"/>
  <c r="AT224" i="16"/>
  <c r="AT170" i="16"/>
  <c r="AT228" i="16"/>
  <c r="BF229" i="16"/>
  <c r="BF236" i="16"/>
  <c r="BF227" i="16"/>
  <c r="BF234" i="16"/>
  <c r="BF235" i="16"/>
  <c r="BF233" i="16"/>
  <c r="BF171" i="16"/>
  <c r="BF232" i="16"/>
  <c r="BF169" i="16"/>
  <c r="BF228" i="16"/>
  <c r="BF226" i="16"/>
  <c r="BF225" i="16"/>
  <c r="BF170" i="16"/>
  <c r="BR229" i="16"/>
  <c r="BR236" i="16"/>
  <c r="BR227" i="16"/>
  <c r="BR234" i="16"/>
  <c r="BR235" i="16"/>
  <c r="BR233" i="16"/>
  <c r="BR171" i="16"/>
  <c r="BR169" i="16"/>
  <c r="BR230" i="16"/>
  <c r="BR226" i="16"/>
  <c r="BR224" i="16"/>
  <c r="BR170" i="16"/>
  <c r="BR228" i="16"/>
  <c r="BR225" i="16"/>
  <c r="BR232" i="16"/>
  <c r="CD229" i="16"/>
  <c r="CD237" i="16"/>
  <c r="CD236" i="16"/>
  <c r="CD227" i="16"/>
  <c r="CD234" i="16"/>
  <c r="CD235" i="16"/>
  <c r="CD233" i="16"/>
  <c r="CD224" i="16"/>
  <c r="CD171" i="16"/>
  <c r="CD230" i="16"/>
  <c r="CD228" i="16"/>
  <c r="CD169" i="16"/>
  <c r="CD232" i="16"/>
  <c r="CD226" i="16"/>
  <c r="CD170" i="16"/>
  <c r="CD225" i="16"/>
  <c r="J167" i="16"/>
  <c r="AH167" i="16"/>
  <c r="BF167" i="16"/>
  <c r="CD167" i="16"/>
  <c r="O168" i="16"/>
  <c r="AM168" i="16"/>
  <c r="BK168" i="16"/>
  <c r="CI168" i="16"/>
  <c r="T169" i="16"/>
  <c r="AR169" i="16"/>
  <c r="BP169" i="16"/>
  <c r="CN169" i="16"/>
  <c r="Q171" i="16"/>
  <c r="B50" i="16"/>
  <c r="K236" i="16"/>
  <c r="K227" i="16"/>
  <c r="K237" i="16"/>
  <c r="K234" i="16"/>
  <c r="K233" i="16"/>
  <c r="K229" i="16"/>
  <c r="K171" i="16"/>
  <c r="K169" i="16"/>
  <c r="K167" i="16"/>
  <c r="K235" i="16"/>
  <c r="K228" i="16"/>
  <c r="K226" i="16"/>
  <c r="K224" i="16"/>
  <c r="K232" i="16"/>
  <c r="K230" i="16"/>
  <c r="K225" i="16"/>
  <c r="W236" i="16"/>
  <c r="W227" i="16"/>
  <c r="W234" i="16"/>
  <c r="W233" i="16"/>
  <c r="W229" i="16"/>
  <c r="W228" i="16"/>
  <c r="W225" i="16"/>
  <c r="W171" i="16"/>
  <c r="W169" i="16"/>
  <c r="W235" i="16"/>
  <c r="W232" i="16"/>
  <c r="W167" i="16"/>
  <c r="W226" i="16"/>
  <c r="AI236" i="16"/>
  <c r="AI227" i="16"/>
  <c r="AI224" i="16"/>
  <c r="AI234" i="16"/>
  <c r="AI230" i="16"/>
  <c r="AI235" i="16"/>
  <c r="AI233" i="16"/>
  <c r="AI229" i="16"/>
  <c r="AI171" i="16"/>
  <c r="AI225" i="16"/>
  <c r="AI169" i="16"/>
  <c r="AI167" i="16"/>
  <c r="AI228" i="16"/>
  <c r="AI232" i="16"/>
  <c r="AI226" i="16"/>
  <c r="AU236" i="16"/>
  <c r="AU227" i="16"/>
  <c r="AU234" i="16"/>
  <c r="AU232" i="16"/>
  <c r="AU235" i="16"/>
  <c r="AU233" i="16"/>
  <c r="AU229" i="16"/>
  <c r="AU230" i="16"/>
  <c r="AU171" i="16"/>
  <c r="AU226" i="16"/>
  <c r="AU169" i="16"/>
  <c r="AU225" i="16"/>
  <c r="AU167" i="16"/>
  <c r="AU224" i="16"/>
  <c r="AU228" i="16"/>
  <c r="BG236" i="16"/>
  <c r="BG227" i="16"/>
  <c r="BG234" i="16"/>
  <c r="BG232" i="16"/>
  <c r="BG235" i="16"/>
  <c r="BG233" i="16"/>
  <c r="BG229" i="16"/>
  <c r="BG171" i="16"/>
  <c r="BG224" i="16"/>
  <c r="BG169" i="16"/>
  <c r="BG228" i="16"/>
  <c r="BG226" i="16"/>
  <c r="BG167" i="16"/>
  <c r="BG225" i="16"/>
  <c r="BS236" i="16"/>
  <c r="BS227" i="16"/>
  <c r="BS234" i="16"/>
  <c r="BS232" i="16"/>
  <c r="BS235" i="16"/>
  <c r="BS233" i="16"/>
  <c r="BS229" i="16"/>
  <c r="BS171" i="16"/>
  <c r="BS169" i="16"/>
  <c r="BS167" i="16"/>
  <c r="BS226" i="16"/>
  <c r="BS228" i="16"/>
  <c r="BS225" i="16"/>
  <c r="CE237" i="16"/>
  <c r="CE236" i="16"/>
  <c r="CE227" i="16"/>
  <c r="CE234" i="16"/>
  <c r="CE232" i="16"/>
  <c r="CE235" i="16"/>
  <c r="CE233" i="16"/>
  <c r="CE229" i="16"/>
  <c r="CE171" i="16"/>
  <c r="CE230" i="16"/>
  <c r="CE228" i="16"/>
  <c r="CE169" i="16"/>
  <c r="CE167" i="16"/>
  <c r="CE226" i="16"/>
  <c r="CE225" i="16"/>
  <c r="CE224" i="16"/>
  <c r="P167" i="16"/>
  <c r="AN167" i="16"/>
  <c r="BL167" i="16"/>
  <c r="CJ167" i="16"/>
  <c r="U168" i="16"/>
  <c r="AS168" i="16"/>
  <c r="BQ168" i="16"/>
  <c r="CO168" i="16"/>
  <c r="Z169" i="16"/>
  <c r="G170" i="16"/>
  <c r="AE170" i="16"/>
  <c r="BC170" i="16"/>
  <c r="CA170" i="16"/>
  <c r="L236" i="16"/>
  <c r="L234" i="16"/>
  <c r="L225" i="16"/>
  <c r="L232" i="16"/>
  <c r="L233" i="16"/>
  <c r="L169" i="16"/>
  <c r="L227" i="16"/>
  <c r="L167" i="16"/>
  <c r="L235" i="16"/>
  <c r="L229" i="16"/>
  <c r="L228" i="16"/>
  <c r="L226" i="16"/>
  <c r="L224" i="16"/>
  <c r="L168" i="16"/>
  <c r="L230" i="16"/>
  <c r="L171" i="16"/>
  <c r="X236" i="16"/>
  <c r="X230" i="16"/>
  <c r="X234" i="16"/>
  <c r="X225" i="16"/>
  <c r="X232" i="16"/>
  <c r="X233" i="16"/>
  <c r="X229" i="16"/>
  <c r="X169" i="16"/>
  <c r="X235" i="16"/>
  <c r="X167" i="16"/>
  <c r="X227" i="16"/>
  <c r="X226" i="16"/>
  <c r="X168" i="16"/>
  <c r="X224" i="16"/>
  <c r="X228" i="16"/>
  <c r="X171" i="16"/>
  <c r="AJ236" i="16"/>
  <c r="AJ234" i="16"/>
  <c r="AJ225" i="16"/>
  <c r="AJ232" i="16"/>
  <c r="AJ233" i="16"/>
  <c r="AJ235" i="16"/>
  <c r="AJ169" i="16"/>
  <c r="AJ167" i="16"/>
  <c r="AJ228" i="16"/>
  <c r="AJ229" i="16"/>
  <c r="AJ227" i="16"/>
  <c r="AJ168" i="16"/>
  <c r="AJ226" i="16"/>
  <c r="AJ171" i="16"/>
  <c r="AV236" i="16"/>
  <c r="AV227" i="16"/>
  <c r="AV234" i="16"/>
  <c r="AV225" i="16"/>
  <c r="AV232" i="16"/>
  <c r="AV237" i="16"/>
  <c r="AV233" i="16"/>
  <c r="AV235" i="16"/>
  <c r="AV229" i="16"/>
  <c r="AV226" i="16"/>
  <c r="AV169" i="16"/>
  <c r="AV167" i="16"/>
  <c r="AV224" i="16"/>
  <c r="AV168" i="16"/>
  <c r="AV228" i="16"/>
  <c r="AV230" i="16"/>
  <c r="AV171" i="16"/>
  <c r="BH236" i="16"/>
  <c r="BH227" i="16"/>
  <c r="BH234" i="16"/>
  <c r="BH225" i="16"/>
  <c r="BH232" i="16"/>
  <c r="BH235" i="16"/>
  <c r="BH233" i="16"/>
  <c r="BH224" i="16"/>
  <c r="BH169" i="16"/>
  <c r="BH228" i="16"/>
  <c r="BH226" i="16"/>
  <c r="BH167" i="16"/>
  <c r="BH229" i="16"/>
  <c r="BH168" i="16"/>
  <c r="BH171" i="16"/>
  <c r="BT236" i="16"/>
  <c r="BT227" i="16"/>
  <c r="BT234" i="16"/>
  <c r="BT225" i="16"/>
  <c r="BT232" i="16"/>
  <c r="BT235" i="16"/>
  <c r="BT233" i="16"/>
  <c r="BT229" i="16"/>
  <c r="BT169" i="16"/>
  <c r="BT167" i="16"/>
  <c r="BT226" i="16"/>
  <c r="BT228" i="16"/>
  <c r="BT168" i="16"/>
  <c r="BT171" i="16"/>
  <c r="CF236" i="16"/>
  <c r="CF227" i="16"/>
  <c r="CF234" i="16"/>
  <c r="CF225" i="16"/>
  <c r="CF232" i="16"/>
  <c r="CF230" i="16"/>
  <c r="CF235" i="16"/>
  <c r="CF233" i="16"/>
  <c r="CF228" i="16"/>
  <c r="CF169" i="16"/>
  <c r="CF167" i="16"/>
  <c r="CF229" i="16"/>
  <c r="CF226" i="16"/>
  <c r="CF168" i="16"/>
  <c r="CF224" i="16"/>
  <c r="CF171" i="16"/>
  <c r="Q167" i="16"/>
  <c r="AO167" i="16"/>
  <c r="BM167" i="16"/>
  <c r="CK167" i="16"/>
  <c r="V168" i="16"/>
  <c r="AT168" i="16"/>
  <c r="BR168" i="16"/>
  <c r="C169" i="16"/>
  <c r="AA169" i="16"/>
  <c r="AY169" i="16"/>
  <c r="BW169" i="16"/>
  <c r="H170" i="16"/>
  <c r="AF170" i="16"/>
  <c r="BD170" i="16"/>
  <c r="CB170" i="16"/>
  <c r="AC171" i="16"/>
  <c r="B34" i="16"/>
  <c r="B38" i="16"/>
  <c r="B53" i="16"/>
  <c r="M237" i="16"/>
  <c r="M234" i="16"/>
  <c r="M225" i="16"/>
  <c r="M232" i="16"/>
  <c r="M235" i="16"/>
  <c r="M236" i="16"/>
  <c r="M169" i="16"/>
  <c r="M227" i="16"/>
  <c r="M167" i="16"/>
  <c r="M233" i="16"/>
  <c r="M229" i="16"/>
  <c r="M228" i="16"/>
  <c r="M226" i="16"/>
  <c r="M224" i="16"/>
  <c r="M230" i="16"/>
  <c r="M171" i="16"/>
  <c r="Y237" i="16"/>
  <c r="Y230" i="16"/>
  <c r="Y234" i="16"/>
  <c r="Y225" i="16"/>
  <c r="Y232" i="16"/>
  <c r="Y235" i="16"/>
  <c r="Y236" i="16"/>
  <c r="Y233" i="16"/>
  <c r="Y169" i="16"/>
  <c r="Y167" i="16"/>
  <c r="Y227" i="16"/>
  <c r="Y226" i="16"/>
  <c r="Y224" i="16"/>
  <c r="Y228" i="16"/>
  <c r="Y171" i="16"/>
  <c r="Y229" i="16"/>
  <c r="AK234" i="16"/>
  <c r="AK225" i="16"/>
  <c r="AK232" i="16"/>
  <c r="AK235" i="16"/>
  <c r="AK236" i="16"/>
  <c r="AK169" i="16"/>
  <c r="AK167" i="16"/>
  <c r="AK228" i="16"/>
  <c r="AK229" i="16"/>
  <c r="AK227" i="16"/>
  <c r="AK233" i="16"/>
  <c r="AK226" i="16"/>
  <c r="AK171" i="16"/>
  <c r="AW234" i="16"/>
  <c r="AW225" i="16"/>
  <c r="AW232" i="16"/>
  <c r="AW235" i="16"/>
  <c r="AW236" i="16"/>
  <c r="AW169" i="16"/>
  <c r="AW167" i="16"/>
  <c r="AW224" i="16"/>
  <c r="AW233" i="16"/>
  <c r="AW228" i="16"/>
  <c r="AW227" i="16"/>
  <c r="AW230" i="16"/>
  <c r="AW171" i="16"/>
  <c r="AW229" i="16"/>
  <c r="AW226" i="16"/>
  <c r="BI234" i="16"/>
  <c r="BI225" i="16"/>
  <c r="BI230" i="16"/>
  <c r="BI232" i="16"/>
  <c r="BI235" i="16"/>
  <c r="BI236" i="16"/>
  <c r="BI227" i="16"/>
  <c r="BI169" i="16"/>
  <c r="BI228" i="16"/>
  <c r="BI226" i="16"/>
  <c r="BI167" i="16"/>
  <c r="BI233" i="16"/>
  <c r="BI229" i="16"/>
  <c r="BI171" i="16"/>
  <c r="BI224" i="16"/>
  <c r="BU234" i="16"/>
  <c r="BU225" i="16"/>
  <c r="BU224" i="16"/>
  <c r="BU232" i="16"/>
  <c r="BU228" i="16"/>
  <c r="BU235" i="16"/>
  <c r="BU236" i="16"/>
  <c r="BU227" i="16"/>
  <c r="BU169" i="16"/>
  <c r="BU233" i="16"/>
  <c r="BU167" i="16"/>
  <c r="BU226" i="16"/>
  <c r="BU171" i="16"/>
  <c r="BU229" i="16"/>
  <c r="CG234" i="16"/>
  <c r="CG225" i="16"/>
  <c r="CG232" i="16"/>
  <c r="CG228" i="16"/>
  <c r="CG235" i="16"/>
  <c r="CG236" i="16"/>
  <c r="CG227" i="16"/>
  <c r="CG169" i="16"/>
  <c r="CG167" i="16"/>
  <c r="CG229" i="16"/>
  <c r="CG226" i="16"/>
  <c r="CG171" i="16"/>
  <c r="CG233" i="16"/>
  <c r="R167" i="16"/>
  <c r="AP167" i="16"/>
  <c r="BN167" i="16"/>
  <c r="BN1" i="16"/>
  <c r="CL167" i="16"/>
  <c r="W168" i="16"/>
  <c r="AU168" i="16"/>
  <c r="BS168" i="16"/>
  <c r="D169" i="16"/>
  <c r="AB169" i="16"/>
  <c r="AZ169" i="16"/>
  <c r="BX169" i="16"/>
  <c r="I170" i="16"/>
  <c r="AG170" i="16"/>
  <c r="BE170" i="16"/>
  <c r="CC170" i="16"/>
  <c r="AO171" i="16"/>
  <c r="B49" i="16"/>
  <c r="N234" i="16"/>
  <c r="N232" i="16"/>
  <c r="N228" i="16"/>
  <c r="N235" i="16"/>
  <c r="N236" i="16"/>
  <c r="N227" i="16"/>
  <c r="N167" i="16"/>
  <c r="N233" i="16"/>
  <c r="N229" i="16"/>
  <c r="N226" i="16"/>
  <c r="N224" i="16"/>
  <c r="N170" i="16"/>
  <c r="N230" i="16"/>
  <c r="N225" i="16"/>
  <c r="Z234" i="16"/>
  <c r="Z232" i="16"/>
  <c r="Z228" i="16"/>
  <c r="Z235" i="16"/>
  <c r="Z236" i="16"/>
  <c r="Z237" i="16"/>
  <c r="Z230" i="16"/>
  <c r="Z167" i="16"/>
  <c r="Z227" i="16"/>
  <c r="Z170" i="16"/>
  <c r="Z226" i="16"/>
  <c r="Z224" i="16"/>
  <c r="Z229" i="16"/>
  <c r="Z233" i="16"/>
  <c r="Z225" i="16"/>
  <c r="AL234" i="16"/>
  <c r="AL232" i="16"/>
  <c r="AL228" i="16"/>
  <c r="AL235" i="16"/>
  <c r="AL236" i="16"/>
  <c r="AL225" i="16"/>
  <c r="AL167" i="16"/>
  <c r="AL229" i="16"/>
  <c r="AL170" i="16"/>
  <c r="AL227" i="16"/>
  <c r="AL233" i="16"/>
  <c r="AL226" i="16"/>
  <c r="AL171" i="16"/>
  <c r="AX234" i="16"/>
  <c r="AX232" i="16"/>
  <c r="AX228" i="16"/>
  <c r="AX235" i="16"/>
  <c r="AX236" i="16"/>
  <c r="AX167" i="16"/>
  <c r="AX225" i="16"/>
  <c r="AX170" i="16"/>
  <c r="AX233" i="16"/>
  <c r="AX227" i="16"/>
  <c r="AX171" i="16"/>
  <c r="AX229" i="16"/>
  <c r="AX226" i="16"/>
  <c r="BJ234" i="16"/>
  <c r="BJ230" i="16"/>
  <c r="BJ232" i="16"/>
  <c r="BJ228" i="16"/>
  <c r="BJ235" i="16"/>
  <c r="BJ236" i="16"/>
  <c r="BJ226" i="16"/>
  <c r="BJ167" i="16"/>
  <c r="BJ233" i="16"/>
  <c r="BJ229" i="16"/>
  <c r="BJ170" i="16"/>
  <c r="BJ225" i="16"/>
  <c r="BJ171" i="16"/>
  <c r="BJ224" i="16"/>
  <c r="BJ227" i="16"/>
  <c r="BV234" i="16"/>
  <c r="BV224" i="16"/>
  <c r="BV232" i="16"/>
  <c r="BV228" i="16"/>
  <c r="BV235" i="16"/>
  <c r="BV236" i="16"/>
  <c r="BV233" i="16"/>
  <c r="BV167" i="16"/>
  <c r="BV226" i="16"/>
  <c r="BV227" i="16"/>
  <c r="BV170" i="16"/>
  <c r="BV225" i="16"/>
  <c r="BV171" i="16"/>
  <c r="BV229" i="16"/>
  <c r="CH234" i="16"/>
  <c r="CH232" i="16"/>
  <c r="CH228" i="16"/>
  <c r="CH235" i="16"/>
  <c r="CH236" i="16"/>
  <c r="CH167" i="16"/>
  <c r="CH229" i="16"/>
  <c r="CH226" i="16"/>
  <c r="CH170" i="16"/>
  <c r="CH227" i="16"/>
  <c r="CH225" i="16"/>
  <c r="CH171" i="16"/>
  <c r="CH233" i="16"/>
  <c r="T167" i="16"/>
  <c r="AR167" i="16"/>
  <c r="AR1" i="16"/>
  <c r="BP167" i="16"/>
  <c r="CN167" i="16"/>
  <c r="CN1" i="16"/>
  <c r="Y168" i="16"/>
  <c r="AW168" i="16"/>
  <c r="BU168" i="16"/>
  <c r="F169" i="16"/>
  <c r="AD169" i="16"/>
  <c r="BB169" i="16"/>
  <c r="BZ169" i="16"/>
  <c r="K170" i="16"/>
  <c r="AI170" i="16"/>
  <c r="BG170" i="16"/>
  <c r="CE170" i="16"/>
  <c r="BA171" i="16"/>
  <c r="P51" i="14" a="1"/>
  <c r="P51" i="14"/>
  <c r="O49" i="14" a="1"/>
  <c r="O49" i="14"/>
  <c r="U76" i="14"/>
  <c r="S67" i="14" a="1"/>
  <c r="S67" i="14"/>
  <c r="S66" i="14"/>
  <c r="R66" i="14"/>
  <c r="U37" i="14"/>
  <c r="T19" i="14" a="1"/>
  <c r="T19" i="14"/>
  <c r="S39" i="14"/>
  <c r="R79" i="14"/>
  <c r="Q10" i="14"/>
  <c r="P67" i="14" a="1"/>
  <c r="P67" i="14"/>
  <c r="O76" i="14"/>
  <c r="S60" i="14" a="1"/>
  <c r="S60" i="14"/>
  <c r="Q60" i="14" a="1"/>
  <c r="Q60" i="14"/>
  <c r="U51" i="14" a="1"/>
  <c r="U51" i="14"/>
  <c r="T51" i="14" a="1"/>
  <c r="T51" i="14"/>
  <c r="S51" i="14" a="1"/>
  <c r="S51" i="14"/>
  <c r="R51" i="14" a="1"/>
  <c r="R51" i="14"/>
  <c r="Q51" i="14" a="1"/>
  <c r="Q51" i="14"/>
  <c r="U49" i="14" a="1"/>
  <c r="U49" i="14"/>
  <c r="S49" i="14" a="1"/>
  <c r="S49" i="14"/>
  <c r="U48" i="14"/>
  <c r="S48" i="14"/>
  <c r="R48" i="14"/>
  <c r="Q48" i="14"/>
  <c r="S41" i="14" a="1"/>
  <c r="S41" i="14"/>
  <c r="R41" i="14" a="1"/>
  <c r="R41" i="14"/>
  <c r="Q41" i="14" a="1"/>
  <c r="Q41" i="14"/>
  <c r="O41" i="14" a="1"/>
  <c r="O41" i="14"/>
  <c r="S40" i="14"/>
  <c r="R40" i="14"/>
  <c r="Q40" i="14"/>
  <c r="P40" i="14"/>
  <c r="U39" i="14"/>
  <c r="U38" i="14"/>
  <c r="S38" i="14"/>
  <c r="R38" i="14"/>
  <c r="Q38" i="14"/>
  <c r="P38" i="14"/>
  <c r="P37" i="14"/>
  <c r="O37" i="14"/>
  <c r="U36" i="14"/>
  <c r="S36" i="14"/>
  <c r="R36" i="14"/>
  <c r="R33" i="14" a="1"/>
  <c r="R33" i="14"/>
  <c r="Q33" i="14" a="1"/>
  <c r="Q33" i="14"/>
  <c r="P33" i="14" a="1"/>
  <c r="P33" i="14"/>
  <c r="O32" i="14"/>
  <c r="U28" i="14" a="1"/>
  <c r="U28" i="14"/>
  <c r="S28" i="14" a="1"/>
  <c r="S28" i="14"/>
  <c r="O28" i="14" a="1"/>
  <c r="O28" i="14"/>
  <c r="U21" i="14" a="1"/>
  <c r="U21" i="14"/>
  <c r="T21" i="14" a="1"/>
  <c r="T21" i="14"/>
  <c r="S21" i="14" a="1"/>
  <c r="S21" i="14"/>
  <c r="R21" i="14" a="1"/>
  <c r="R21" i="14"/>
  <c r="Q21" i="14" a="1"/>
  <c r="Q21" i="14"/>
  <c r="P21" i="14" a="1"/>
  <c r="P21" i="14"/>
  <c r="O21" i="14" a="1"/>
  <c r="O21" i="14"/>
  <c r="U19" i="14" a="1"/>
  <c r="U19" i="14"/>
  <c r="Q19" i="14" a="1"/>
  <c r="Q19" i="14"/>
  <c r="P19" i="14" a="1"/>
  <c r="P19" i="14"/>
  <c r="O19" i="14" a="1"/>
  <c r="O19" i="14"/>
  <c r="U11" i="14" a="1"/>
  <c r="U11" i="14"/>
  <c r="P11" i="14" a="1"/>
  <c r="P11" i="14"/>
  <c r="O11" i="14" a="1"/>
  <c r="O11" i="14"/>
  <c r="U10" i="14"/>
  <c r="S10" i="14"/>
  <c r="S9" i="14"/>
  <c r="R9" i="14"/>
  <c r="Q9" i="14"/>
  <c r="P9" i="14"/>
  <c r="O9" i="14"/>
  <c r="U8" i="14"/>
  <c r="Q8" i="14"/>
  <c r="U7" i="14"/>
  <c r="S7" i="14"/>
  <c r="R7" i="14"/>
  <c r="Q7" i="14"/>
  <c r="P7" i="14"/>
  <c r="S6" i="14"/>
  <c r="P6" i="14"/>
  <c r="O6" i="14"/>
  <c r="U4" i="14"/>
  <c r="T4" i="14"/>
  <c r="S4" i="14"/>
  <c r="R4" i="14"/>
  <c r="Q4" i="14"/>
  <c r="P4" i="14"/>
  <c r="O4" i="14"/>
  <c r="O2" i="14"/>
  <c r="S1" i="14"/>
  <c r="R1" i="14"/>
  <c r="Q1" i="14"/>
  <c r="P1" i="14"/>
  <c r="O1" i="14"/>
  <c r="U1" i="14"/>
  <c r="T1" i="14"/>
  <c r="U80" i="12"/>
  <c r="T77" i="12" a="1"/>
  <c r="T77" i="12"/>
  <c r="T76" i="12"/>
  <c r="Q66" i="12"/>
  <c r="U40" i="12"/>
  <c r="U37" i="12"/>
  <c r="T19" i="12" a="1"/>
  <c r="T19" i="12"/>
  <c r="S39" i="12"/>
  <c r="R79" i="12"/>
  <c r="Q79" i="12"/>
  <c r="P67" i="12" a="1"/>
  <c r="P67" i="12"/>
  <c r="O76" i="12"/>
  <c r="R60" i="12" a="1"/>
  <c r="R60" i="12"/>
  <c r="Q60" i="12" a="1"/>
  <c r="Q60" i="12"/>
  <c r="U51" i="12" a="1"/>
  <c r="U51" i="12"/>
  <c r="T51" i="12" a="1"/>
  <c r="T51" i="12"/>
  <c r="S51" i="12" a="1"/>
  <c r="S51" i="12"/>
  <c r="R51" i="12" a="1"/>
  <c r="R51" i="12"/>
  <c r="Q51" i="12" a="1"/>
  <c r="Q51" i="12"/>
  <c r="P51" i="12" a="1"/>
  <c r="P51" i="12"/>
  <c r="O51" i="12" a="1"/>
  <c r="O51" i="12"/>
  <c r="T49" i="12" a="1"/>
  <c r="T49" i="12"/>
  <c r="R49" i="12" a="1"/>
  <c r="R49" i="12"/>
  <c r="O49" i="12" a="1"/>
  <c r="O49" i="12"/>
  <c r="U48" i="12"/>
  <c r="T48" i="12"/>
  <c r="R48" i="12"/>
  <c r="Q48" i="12"/>
  <c r="P48" i="12"/>
  <c r="R41" i="12" a="1"/>
  <c r="R41" i="12"/>
  <c r="Q41" i="12" a="1"/>
  <c r="Q41" i="12"/>
  <c r="R40" i="12"/>
  <c r="Q40" i="12"/>
  <c r="P40" i="12"/>
  <c r="O40" i="12"/>
  <c r="U39" i="12"/>
  <c r="T39" i="12"/>
  <c r="Q39" i="12"/>
  <c r="U38" i="12"/>
  <c r="T38" i="12"/>
  <c r="R38" i="12"/>
  <c r="Q38" i="12"/>
  <c r="P38" i="12"/>
  <c r="O38" i="12"/>
  <c r="P37" i="12"/>
  <c r="O37" i="12"/>
  <c r="U36" i="12"/>
  <c r="T36" i="12"/>
  <c r="R36" i="12"/>
  <c r="Q36" i="12"/>
  <c r="R33" i="12" a="1"/>
  <c r="R33" i="12"/>
  <c r="Q33" i="12" a="1"/>
  <c r="Q33" i="12"/>
  <c r="P33" i="12" a="1"/>
  <c r="P33" i="12"/>
  <c r="O33" i="12" a="1"/>
  <c r="O33" i="12"/>
  <c r="Q32" i="12"/>
  <c r="U28" i="12" a="1"/>
  <c r="U28" i="12"/>
  <c r="T28" i="12" a="1"/>
  <c r="T28" i="12"/>
  <c r="Q28" i="12" a="1"/>
  <c r="Q28" i="12"/>
  <c r="O28" i="12" a="1"/>
  <c r="O28" i="12"/>
  <c r="U21" i="12" a="1"/>
  <c r="U21" i="12"/>
  <c r="T21" i="12" a="1"/>
  <c r="T21" i="12"/>
  <c r="S21" i="12" a="1"/>
  <c r="S21" i="12"/>
  <c r="R21" i="12" a="1"/>
  <c r="R21" i="12"/>
  <c r="Q21" i="12" a="1"/>
  <c r="Q21" i="12"/>
  <c r="P21" i="12" a="1"/>
  <c r="P21" i="12"/>
  <c r="O21" i="12" a="1"/>
  <c r="O21" i="12"/>
  <c r="U19" i="12" a="1"/>
  <c r="U19" i="12"/>
  <c r="Q19" i="12" a="1"/>
  <c r="Q19" i="12"/>
  <c r="P19" i="12" a="1"/>
  <c r="P19" i="12"/>
  <c r="O19" i="12" a="1"/>
  <c r="O19" i="12"/>
  <c r="U18" i="12"/>
  <c r="R18" i="12"/>
  <c r="Q18" i="12"/>
  <c r="O18" i="12"/>
  <c r="U11" i="12" a="1"/>
  <c r="U11" i="12"/>
  <c r="T11" i="12" a="1"/>
  <c r="T11" i="12"/>
  <c r="Q11" i="12" a="1"/>
  <c r="Q11" i="12"/>
  <c r="P11" i="12" a="1"/>
  <c r="P11" i="12"/>
  <c r="O11" i="12" a="1"/>
  <c r="O11" i="12"/>
  <c r="U10" i="12"/>
  <c r="T10" i="12"/>
  <c r="R10" i="12"/>
  <c r="Q10" i="12"/>
  <c r="P10" i="12"/>
  <c r="O10" i="12"/>
  <c r="U9" i="12"/>
  <c r="R9" i="12"/>
  <c r="Q9" i="12"/>
  <c r="P9" i="12"/>
  <c r="O9" i="12"/>
  <c r="U8" i="12"/>
  <c r="T8" i="12"/>
  <c r="R8" i="12"/>
  <c r="Q8" i="12"/>
  <c r="P8" i="12"/>
  <c r="U7" i="12"/>
  <c r="T7" i="12"/>
  <c r="S7" i="12"/>
  <c r="R7" i="12"/>
  <c r="Q7" i="12"/>
  <c r="P7" i="12"/>
  <c r="O7" i="12"/>
  <c r="U6" i="12"/>
  <c r="R6" i="12"/>
  <c r="Q6" i="12"/>
  <c r="P6" i="12"/>
  <c r="O6" i="12"/>
  <c r="U4" i="12"/>
  <c r="T4" i="12"/>
  <c r="S4" i="12"/>
  <c r="R4" i="12"/>
  <c r="Q4" i="12"/>
  <c r="P4" i="12"/>
  <c r="O4" i="12"/>
  <c r="O2" i="12"/>
  <c r="S1" i="12"/>
  <c r="Q1" i="12"/>
  <c r="P1" i="12"/>
  <c r="O1" i="12"/>
  <c r="U1" i="12"/>
  <c r="T1" i="12"/>
  <c r="P51" i="11" a="1"/>
  <c r="P51" i="11"/>
  <c r="O48" i="11"/>
  <c r="O77" i="11" a="1"/>
  <c r="O77" i="11"/>
  <c r="S66" i="11"/>
  <c r="O66" i="11"/>
  <c r="U7" i="11"/>
  <c r="U37" i="11"/>
  <c r="T19" i="11" a="1"/>
  <c r="T19" i="11"/>
  <c r="S39" i="11"/>
  <c r="R79" i="11"/>
  <c r="Q10" i="11"/>
  <c r="P67" i="11" a="1"/>
  <c r="P67" i="11"/>
  <c r="O76" i="11"/>
  <c r="S60" i="11" a="1"/>
  <c r="S60" i="11"/>
  <c r="Q60" i="11" a="1"/>
  <c r="Q60" i="11"/>
  <c r="U51" i="11" a="1"/>
  <c r="U51" i="11"/>
  <c r="T51" i="11" a="1"/>
  <c r="T51" i="11"/>
  <c r="S51" i="11" a="1"/>
  <c r="S51" i="11"/>
  <c r="R51" i="11" a="1"/>
  <c r="R51" i="11"/>
  <c r="Q51" i="11" a="1"/>
  <c r="Q51" i="11"/>
  <c r="T49" i="11" a="1"/>
  <c r="T49" i="11"/>
  <c r="S49" i="11" a="1"/>
  <c r="S49" i="11"/>
  <c r="O49" i="11" a="1"/>
  <c r="O49" i="11"/>
  <c r="T48" i="11"/>
  <c r="S48" i="11"/>
  <c r="R48" i="11"/>
  <c r="Q48" i="11"/>
  <c r="S41" i="11" a="1"/>
  <c r="S41" i="11"/>
  <c r="R41" i="11" a="1"/>
  <c r="R41" i="11"/>
  <c r="Q41" i="11" a="1"/>
  <c r="Q41" i="11"/>
  <c r="O41" i="11" a="1"/>
  <c r="O41" i="11"/>
  <c r="S40" i="11"/>
  <c r="R40" i="11"/>
  <c r="Q40" i="11"/>
  <c r="O40" i="11"/>
  <c r="U39" i="11"/>
  <c r="T38" i="11"/>
  <c r="S38" i="11"/>
  <c r="R38" i="11"/>
  <c r="Q38" i="11"/>
  <c r="O37" i="11"/>
  <c r="T36" i="11"/>
  <c r="S36" i="11"/>
  <c r="R36" i="11"/>
  <c r="R33" i="11" a="1"/>
  <c r="R33" i="11"/>
  <c r="Q33" i="11" a="1"/>
  <c r="Q33" i="11"/>
  <c r="O32" i="11"/>
  <c r="T28" i="11" a="1"/>
  <c r="T28" i="11"/>
  <c r="S28" i="11" a="1"/>
  <c r="S28" i="11"/>
  <c r="O28" i="11" a="1"/>
  <c r="O28" i="11"/>
  <c r="U21" i="11" a="1"/>
  <c r="U21" i="11"/>
  <c r="T21" i="11" a="1"/>
  <c r="T21" i="11"/>
  <c r="S21" i="11" a="1"/>
  <c r="S21" i="11"/>
  <c r="R21" i="11" a="1"/>
  <c r="R21" i="11"/>
  <c r="Q21" i="11" a="1"/>
  <c r="Q21" i="11"/>
  <c r="P21" i="11" a="1"/>
  <c r="P21" i="11"/>
  <c r="O21" i="11" a="1"/>
  <c r="O21" i="11"/>
  <c r="U19" i="11" a="1"/>
  <c r="U19" i="11"/>
  <c r="Q19" i="11" a="1"/>
  <c r="Q19" i="11"/>
  <c r="O19" i="11" a="1"/>
  <c r="O19" i="11"/>
  <c r="O18" i="11"/>
  <c r="T11" i="11" a="1"/>
  <c r="T11" i="11"/>
  <c r="O11" i="11" a="1"/>
  <c r="O11" i="11"/>
  <c r="T10" i="11"/>
  <c r="S10" i="11"/>
  <c r="O10" i="11"/>
  <c r="S9" i="11"/>
  <c r="R9" i="11"/>
  <c r="Q9" i="11"/>
  <c r="O9" i="11"/>
  <c r="U8" i="11"/>
  <c r="T7" i="11"/>
  <c r="S7" i="11"/>
  <c r="R7" i="11"/>
  <c r="Q7" i="11"/>
  <c r="O7" i="11"/>
  <c r="O6" i="11"/>
  <c r="U4" i="11"/>
  <c r="T4" i="11"/>
  <c r="S4" i="11"/>
  <c r="R4" i="11"/>
  <c r="Q4" i="11"/>
  <c r="P4" i="11"/>
  <c r="O4" i="11"/>
  <c r="O2" i="11"/>
  <c r="S1" i="11"/>
  <c r="R1" i="11"/>
  <c r="Q1" i="11"/>
  <c r="P1" i="11"/>
  <c r="O1" i="11"/>
  <c r="U1" i="11"/>
  <c r="T1" i="11"/>
  <c r="P52" i="22" a="1"/>
  <c r="P52" i="22"/>
  <c r="O60" i="22" a="1"/>
  <c r="O60" i="22"/>
  <c r="U80" i="22"/>
  <c r="T77" i="22" a="1"/>
  <c r="T77" i="22"/>
  <c r="O77" i="22" a="1"/>
  <c r="O77" i="22"/>
  <c r="T76" i="22"/>
  <c r="Q66" i="22"/>
  <c r="P66" i="22"/>
  <c r="O66" i="22"/>
  <c r="U38" i="22"/>
  <c r="T19" i="22" a="1"/>
  <c r="T19" i="22"/>
  <c r="S40" i="22"/>
  <c r="R79" i="22"/>
  <c r="Q10" i="22"/>
  <c r="P67" i="22" a="1"/>
  <c r="P67" i="22"/>
  <c r="O76" i="22"/>
  <c r="R60" i="22" a="1"/>
  <c r="R60" i="22"/>
  <c r="Q60" i="22" a="1"/>
  <c r="Q60" i="22"/>
  <c r="U52" i="22" a="1"/>
  <c r="U52" i="22"/>
  <c r="T52" i="22" a="1"/>
  <c r="T52" i="22"/>
  <c r="S52" i="22" a="1"/>
  <c r="S52" i="22"/>
  <c r="R52" i="22" a="1"/>
  <c r="R52" i="22"/>
  <c r="Q52" i="22" a="1"/>
  <c r="Q52" i="22"/>
  <c r="U50" i="22" a="1"/>
  <c r="U50" i="22"/>
  <c r="T50" i="22" a="1"/>
  <c r="T50" i="22"/>
  <c r="O50" i="22" a="1"/>
  <c r="O50" i="22"/>
  <c r="T49" i="22"/>
  <c r="R49" i="22"/>
  <c r="Q49" i="22"/>
  <c r="R42" i="22" a="1"/>
  <c r="R42" i="22"/>
  <c r="Q42" i="22" a="1"/>
  <c r="Q42" i="22"/>
  <c r="O42" i="22" a="1"/>
  <c r="O42" i="22"/>
  <c r="Q41" i="22"/>
  <c r="P41" i="22"/>
  <c r="O41" i="22"/>
  <c r="U40" i="22"/>
  <c r="U39" i="22"/>
  <c r="T39" i="22"/>
  <c r="R39" i="22"/>
  <c r="Q39" i="22"/>
  <c r="P39" i="22"/>
  <c r="O39" i="22"/>
  <c r="P38" i="22"/>
  <c r="O38" i="22"/>
  <c r="U37" i="22"/>
  <c r="T37" i="22"/>
  <c r="R37" i="22"/>
  <c r="Q34" i="22" a="1"/>
  <c r="Q34" i="22"/>
  <c r="P34" i="22" a="1"/>
  <c r="P34" i="22"/>
  <c r="O34" i="22" a="1"/>
  <c r="O34" i="22"/>
  <c r="O33" i="22"/>
  <c r="U28" i="22" a="1"/>
  <c r="U28" i="22"/>
  <c r="T28" i="22" a="1"/>
  <c r="T28" i="22"/>
  <c r="O28" i="22" a="1"/>
  <c r="O28" i="22"/>
  <c r="U21" i="22" a="1"/>
  <c r="U21" i="22"/>
  <c r="T21" i="22" a="1"/>
  <c r="T21" i="22"/>
  <c r="S21" i="22" a="1"/>
  <c r="S21" i="22"/>
  <c r="R21" i="22" a="1"/>
  <c r="R21" i="22"/>
  <c r="Q21" i="22" a="1"/>
  <c r="Q21" i="22"/>
  <c r="P21" i="22" a="1"/>
  <c r="P21" i="22"/>
  <c r="O21" i="22" a="1"/>
  <c r="O21" i="22"/>
  <c r="U19" i="22" a="1"/>
  <c r="U19" i="22"/>
  <c r="Q19" i="22" a="1"/>
  <c r="Q19" i="22"/>
  <c r="P19" i="22" a="1"/>
  <c r="P19" i="22"/>
  <c r="O19" i="22" a="1"/>
  <c r="O19" i="22"/>
  <c r="O18" i="22"/>
  <c r="U11" i="22" a="1"/>
  <c r="U11" i="22"/>
  <c r="T11" i="22" a="1"/>
  <c r="T11" i="22"/>
  <c r="P11" i="22" a="1"/>
  <c r="P11" i="22"/>
  <c r="O11" i="22" a="1"/>
  <c r="O11" i="22"/>
  <c r="U10" i="22"/>
  <c r="T10" i="22"/>
  <c r="O10" i="22"/>
  <c r="R9" i="22"/>
  <c r="Q9" i="22"/>
  <c r="P9" i="22"/>
  <c r="O9" i="22"/>
  <c r="U8" i="22"/>
  <c r="Q8" i="22"/>
  <c r="O8" i="22"/>
  <c r="U7" i="22"/>
  <c r="T7" i="22"/>
  <c r="S7" i="22"/>
  <c r="R7" i="22"/>
  <c r="Q7" i="22"/>
  <c r="P7" i="22"/>
  <c r="O7" i="22"/>
  <c r="P6" i="22"/>
  <c r="O6" i="22"/>
  <c r="U4" i="22"/>
  <c r="T4" i="22"/>
  <c r="S4" i="22"/>
  <c r="R4" i="22"/>
  <c r="Q4" i="22"/>
  <c r="P4" i="22"/>
  <c r="O4" i="22"/>
  <c r="O2" i="22"/>
  <c r="S1" i="22"/>
  <c r="R1" i="22"/>
  <c r="Q1" i="22"/>
  <c r="P1" i="22"/>
  <c r="O1" i="22"/>
  <c r="U1" i="22"/>
  <c r="T1" i="22"/>
  <c r="P51" i="21" a="1"/>
  <c r="P51" i="21"/>
  <c r="O48" i="21"/>
  <c r="T79" i="21"/>
  <c r="S76" i="21" a="1"/>
  <c r="S76" i="21"/>
  <c r="O76" i="21" a="1"/>
  <c r="O76" i="21"/>
  <c r="S75" i="21"/>
  <c r="S65" i="21"/>
  <c r="P65" i="21"/>
  <c r="O65" i="21"/>
  <c r="U37" i="21"/>
  <c r="T19" i="21" a="1"/>
  <c r="T19" i="21"/>
  <c r="S39" i="21"/>
  <c r="R78" i="21"/>
  <c r="Q10" i="21"/>
  <c r="P66" i="21" a="1"/>
  <c r="P66" i="21"/>
  <c r="O75" i="21"/>
  <c r="S59" i="21" a="1"/>
  <c r="S59" i="21"/>
  <c r="Q59" i="21" a="1"/>
  <c r="Q59" i="21"/>
  <c r="T51" i="21" a="1"/>
  <c r="T51" i="21"/>
  <c r="S51" i="21" a="1"/>
  <c r="S51" i="21"/>
  <c r="R51" i="21" a="1"/>
  <c r="R51" i="21"/>
  <c r="Q51" i="21" a="1"/>
  <c r="Q51" i="21"/>
  <c r="T49" i="21" a="1"/>
  <c r="T49" i="21"/>
  <c r="S49" i="21" a="1"/>
  <c r="S49" i="21"/>
  <c r="O49" i="21" a="1"/>
  <c r="O49" i="21"/>
  <c r="T48" i="21"/>
  <c r="S48" i="21"/>
  <c r="S41" i="21" a="1"/>
  <c r="S41" i="21"/>
  <c r="O41" i="21" a="1"/>
  <c r="O41" i="21"/>
  <c r="S40" i="21"/>
  <c r="P40" i="21"/>
  <c r="O40" i="21"/>
  <c r="U39" i="21"/>
  <c r="T38" i="21"/>
  <c r="S38" i="21"/>
  <c r="Q38" i="21"/>
  <c r="P38" i="21"/>
  <c r="P37" i="21"/>
  <c r="O37" i="21"/>
  <c r="U36" i="21"/>
  <c r="T36" i="21"/>
  <c r="S36" i="21"/>
  <c r="Q33" i="21" a="1"/>
  <c r="Q33" i="21"/>
  <c r="P33" i="21" a="1"/>
  <c r="P33" i="21"/>
  <c r="O32" i="21"/>
  <c r="T28" i="21" a="1"/>
  <c r="T28" i="21"/>
  <c r="S28" i="21" a="1"/>
  <c r="S28" i="21"/>
  <c r="O28" i="21" a="1"/>
  <c r="O28" i="21"/>
  <c r="T21" i="21" a="1"/>
  <c r="T21" i="21"/>
  <c r="S21" i="21" a="1"/>
  <c r="S21" i="21"/>
  <c r="R21" i="21" a="1"/>
  <c r="R21" i="21"/>
  <c r="Q21" i="21" a="1"/>
  <c r="Q21" i="21"/>
  <c r="P21" i="21" a="1"/>
  <c r="P21" i="21"/>
  <c r="O21" i="21" a="1"/>
  <c r="O21" i="21"/>
  <c r="P19" i="21" a="1"/>
  <c r="P19" i="21"/>
  <c r="O19" i="21" a="1"/>
  <c r="O19" i="21"/>
  <c r="O18" i="21"/>
  <c r="U11" i="21" a="1"/>
  <c r="U11" i="21"/>
  <c r="T11" i="21" a="1"/>
  <c r="T11" i="21"/>
  <c r="P11" i="21" a="1"/>
  <c r="P11" i="21"/>
  <c r="O11" i="21" a="1"/>
  <c r="O11" i="21"/>
  <c r="U10" i="21"/>
  <c r="T10" i="21"/>
  <c r="S10" i="21"/>
  <c r="O10" i="21"/>
  <c r="S9" i="21"/>
  <c r="Q9" i="21"/>
  <c r="P9" i="21"/>
  <c r="O9" i="21"/>
  <c r="U8" i="21"/>
  <c r="U7" i="21"/>
  <c r="T7" i="21"/>
  <c r="S7" i="21"/>
  <c r="R7" i="21"/>
  <c r="Q7" i="21"/>
  <c r="P7" i="21"/>
  <c r="O7" i="21"/>
  <c r="P6" i="21"/>
  <c r="O6" i="21"/>
  <c r="U4" i="21"/>
  <c r="T4" i="21"/>
  <c r="S4" i="21"/>
  <c r="R4" i="21"/>
  <c r="Q4" i="21"/>
  <c r="P4" i="21"/>
  <c r="O4" i="21"/>
  <c r="O2" i="21"/>
  <c r="S1" i="21"/>
  <c r="R1" i="21"/>
  <c r="Q1" i="21"/>
  <c r="P1" i="21"/>
  <c r="O1" i="21"/>
  <c r="T1" i="21"/>
  <c r="S79" i="15"/>
  <c r="R77" i="15" a="1"/>
  <c r="R77" i="15"/>
  <c r="P76" i="15"/>
  <c r="P66" i="15"/>
  <c r="T39" i="15"/>
  <c r="U38" i="15"/>
  <c r="T19" i="15" a="1"/>
  <c r="T19" i="15"/>
  <c r="S40" i="15"/>
  <c r="R79" i="15"/>
  <c r="Q10" i="15"/>
  <c r="P67" i="15" a="1"/>
  <c r="P67" i="15"/>
  <c r="O76" i="15"/>
  <c r="S60" i="15" a="1"/>
  <c r="S60" i="15"/>
  <c r="Q60" i="15" a="1"/>
  <c r="Q60" i="15"/>
  <c r="P60" i="15" a="1"/>
  <c r="P60" i="15"/>
  <c r="U52" i="15" a="1"/>
  <c r="U52" i="15"/>
  <c r="T52" i="15" a="1"/>
  <c r="T52" i="15"/>
  <c r="S52" i="15" a="1"/>
  <c r="S52" i="15"/>
  <c r="R52" i="15" a="1"/>
  <c r="R52" i="15"/>
  <c r="Q52" i="15" a="1"/>
  <c r="Q52" i="15"/>
  <c r="P52" i="15" a="1"/>
  <c r="P52" i="15"/>
  <c r="O52" i="15" a="1"/>
  <c r="O52" i="15"/>
  <c r="U50" i="15" a="1"/>
  <c r="U50" i="15"/>
  <c r="S50" i="15" a="1"/>
  <c r="S50" i="15"/>
  <c r="R50" i="15" a="1"/>
  <c r="R50" i="15"/>
  <c r="P50" i="15" a="1"/>
  <c r="P50" i="15"/>
  <c r="S49" i="15"/>
  <c r="R49" i="15"/>
  <c r="P49" i="15"/>
  <c r="S42" i="15" a="1"/>
  <c r="S42" i="15"/>
  <c r="R42" i="15" a="1"/>
  <c r="R42" i="15"/>
  <c r="S41" i="15"/>
  <c r="R41" i="15"/>
  <c r="Q41" i="15"/>
  <c r="P41" i="15"/>
  <c r="T40" i="15"/>
  <c r="P40" i="15"/>
  <c r="U39" i="15"/>
  <c r="S39" i="15"/>
  <c r="R39" i="15"/>
  <c r="Q39" i="15"/>
  <c r="P39" i="15"/>
  <c r="O39" i="15"/>
  <c r="P38" i="15"/>
  <c r="U37" i="15"/>
  <c r="S37" i="15"/>
  <c r="Q37" i="15"/>
  <c r="P37" i="15"/>
  <c r="R34" i="15" a="1"/>
  <c r="R34" i="15"/>
  <c r="Q34" i="15" a="1"/>
  <c r="Q34" i="15"/>
  <c r="P34" i="15" a="1"/>
  <c r="P34" i="15"/>
  <c r="O34" i="15" a="1"/>
  <c r="O34" i="15"/>
  <c r="P33" i="15"/>
  <c r="U21" i="15" a="1"/>
  <c r="U21" i="15"/>
  <c r="T21" i="15" a="1"/>
  <c r="T21" i="15"/>
  <c r="S21" i="15" a="1"/>
  <c r="S21" i="15"/>
  <c r="R21" i="15" a="1"/>
  <c r="R21" i="15"/>
  <c r="Q21" i="15" a="1"/>
  <c r="Q21" i="15"/>
  <c r="P21" i="15" a="1"/>
  <c r="P21" i="15"/>
  <c r="O21" i="15" a="1"/>
  <c r="O21" i="15"/>
  <c r="S19" i="15" a="1"/>
  <c r="S19" i="15"/>
  <c r="Q19" i="15" a="1"/>
  <c r="Q19" i="15"/>
  <c r="P19" i="15" a="1"/>
  <c r="P19" i="15"/>
  <c r="U18" i="15"/>
  <c r="R18" i="15"/>
  <c r="P18" i="15"/>
  <c r="U11" i="15" a="1"/>
  <c r="U11" i="15"/>
  <c r="T11" i="15" a="1"/>
  <c r="T11" i="15"/>
  <c r="S11" i="15" a="1"/>
  <c r="S11" i="15"/>
  <c r="P11" i="15" a="1"/>
  <c r="P11" i="15"/>
  <c r="O11" i="15" a="1"/>
  <c r="O11" i="15"/>
  <c r="U10" i="15"/>
  <c r="T10" i="15"/>
  <c r="S10" i="15"/>
  <c r="R10" i="15"/>
  <c r="P10" i="15"/>
  <c r="S9" i="15"/>
  <c r="R9" i="15"/>
  <c r="Q9" i="15"/>
  <c r="P9" i="15"/>
  <c r="O9" i="15"/>
  <c r="U8" i="15"/>
  <c r="T8" i="15"/>
  <c r="Q8" i="15"/>
  <c r="P8" i="15"/>
  <c r="U7" i="15"/>
  <c r="T7" i="15"/>
  <c r="S7" i="15"/>
  <c r="R7" i="15"/>
  <c r="Q7" i="15"/>
  <c r="P7" i="15"/>
  <c r="O7" i="15"/>
  <c r="S6" i="15"/>
  <c r="P6" i="15"/>
  <c r="O6" i="15"/>
  <c r="U4" i="15"/>
  <c r="T4" i="15"/>
  <c r="S4" i="15"/>
  <c r="R4" i="15"/>
  <c r="Q4" i="15"/>
  <c r="P4" i="15"/>
  <c r="O4" i="15"/>
  <c r="O2" i="15"/>
  <c r="S1" i="15"/>
  <c r="R1" i="15"/>
  <c r="Q1" i="15"/>
  <c r="P1" i="15"/>
  <c r="O1" i="15"/>
  <c r="U1" i="15"/>
  <c r="T1" i="15"/>
  <c r="O51" i="7" a="1"/>
  <c r="O51" i="7"/>
  <c r="S78" i="7"/>
  <c r="R76" i="7" a="1"/>
  <c r="R76" i="7"/>
  <c r="Q75" i="7"/>
  <c r="P75" i="7"/>
  <c r="Q66" i="7" a="1"/>
  <c r="Q66" i="7"/>
  <c r="S65" i="7"/>
  <c r="Q65" i="7"/>
  <c r="U38" i="7"/>
  <c r="T36" i="7"/>
  <c r="Q37" i="7"/>
  <c r="U37" i="7"/>
  <c r="T19" i="7" a="1"/>
  <c r="T19" i="7"/>
  <c r="S39" i="7"/>
  <c r="R78" i="7"/>
  <c r="Q78" i="7"/>
  <c r="P66" i="7" a="1"/>
  <c r="P66" i="7"/>
  <c r="O75" i="7"/>
  <c r="S59" i="7" a="1"/>
  <c r="S59" i="7"/>
  <c r="P59" i="7" a="1"/>
  <c r="P59" i="7"/>
  <c r="U51" i="7" a="1"/>
  <c r="U51" i="7"/>
  <c r="T51" i="7" a="1"/>
  <c r="T51" i="7"/>
  <c r="S51" i="7" a="1"/>
  <c r="S51" i="7"/>
  <c r="R51" i="7" a="1"/>
  <c r="R51" i="7"/>
  <c r="Q51" i="7" a="1"/>
  <c r="Q51" i="7"/>
  <c r="P51" i="7" a="1"/>
  <c r="P51" i="7"/>
  <c r="R49" i="7" a="1"/>
  <c r="R49" i="7"/>
  <c r="Q49" i="7" a="1"/>
  <c r="Q49" i="7"/>
  <c r="S48" i="7"/>
  <c r="Q48" i="7"/>
  <c r="P48" i="7"/>
  <c r="S41" i="7" a="1"/>
  <c r="S41" i="7"/>
  <c r="R41" i="7" a="1"/>
  <c r="R41" i="7"/>
  <c r="Q41" i="7" a="1"/>
  <c r="Q41" i="7"/>
  <c r="S40" i="7"/>
  <c r="Q40" i="7"/>
  <c r="P40" i="7"/>
  <c r="U39" i="7"/>
  <c r="Q39" i="7"/>
  <c r="S38" i="7"/>
  <c r="R38" i="7"/>
  <c r="Q38" i="7"/>
  <c r="P38" i="7"/>
  <c r="R36" i="7"/>
  <c r="Q36" i="7"/>
  <c r="Q33" i="7" a="1"/>
  <c r="Q33" i="7"/>
  <c r="Q32" i="7"/>
  <c r="S28" i="7" a="1"/>
  <c r="S28" i="7"/>
  <c r="Q28" i="7" a="1"/>
  <c r="Q28" i="7"/>
  <c r="U21" i="7" a="1"/>
  <c r="U21" i="7"/>
  <c r="T21" i="7" a="1"/>
  <c r="T21" i="7"/>
  <c r="S21" i="7" a="1"/>
  <c r="S21" i="7"/>
  <c r="R21" i="7" a="1"/>
  <c r="R21" i="7"/>
  <c r="Q21" i="7" a="1"/>
  <c r="Q21" i="7"/>
  <c r="P21" i="7" a="1"/>
  <c r="P21" i="7"/>
  <c r="O21" i="7" a="1"/>
  <c r="O21" i="7"/>
  <c r="U19" i="7" a="1"/>
  <c r="U19" i="7"/>
  <c r="S19" i="7" a="1"/>
  <c r="S19" i="7"/>
  <c r="Q19" i="7" a="1"/>
  <c r="Q19" i="7"/>
  <c r="P19" i="7" a="1"/>
  <c r="P19" i="7"/>
  <c r="U18" i="7"/>
  <c r="Q18" i="7"/>
  <c r="U11" i="7" a="1"/>
  <c r="U11" i="7"/>
  <c r="S11" i="7" a="1"/>
  <c r="S11" i="7"/>
  <c r="Q11" i="7" a="1"/>
  <c r="Q11" i="7"/>
  <c r="U10" i="7"/>
  <c r="S10" i="7"/>
  <c r="R10" i="7"/>
  <c r="Q10" i="7"/>
  <c r="S9" i="7"/>
  <c r="Q9" i="7"/>
  <c r="P9" i="7"/>
  <c r="U8" i="7"/>
  <c r="T8" i="7"/>
  <c r="Q8" i="7"/>
  <c r="S7" i="7"/>
  <c r="R7" i="7"/>
  <c r="Q7" i="7"/>
  <c r="P7" i="7"/>
  <c r="S6" i="7"/>
  <c r="Q6" i="7"/>
  <c r="U4" i="7"/>
  <c r="T4" i="7"/>
  <c r="S4" i="7"/>
  <c r="R4" i="7"/>
  <c r="Q4" i="7"/>
  <c r="P4" i="7"/>
  <c r="O4" i="7"/>
  <c r="O2" i="7"/>
  <c r="S1" i="7"/>
  <c r="R1" i="7"/>
  <c r="Q1" i="7"/>
  <c r="P1" i="7"/>
  <c r="O1" i="7"/>
  <c r="U1" i="7"/>
  <c r="T1" i="7"/>
  <c r="O51" i="6" a="1"/>
  <c r="O51" i="6"/>
  <c r="U79" i="6"/>
  <c r="S79" i="6"/>
  <c r="S77" i="6" a="1"/>
  <c r="S77" i="6"/>
  <c r="R77" i="6" a="1"/>
  <c r="R77" i="6"/>
  <c r="U76" i="6"/>
  <c r="R76" i="6"/>
  <c r="P76" i="6"/>
  <c r="S67" i="6" a="1"/>
  <c r="S67" i="6"/>
  <c r="S66" i="6"/>
  <c r="R66" i="6"/>
  <c r="T7" i="6"/>
  <c r="U37" i="6"/>
  <c r="T19" i="6" a="1"/>
  <c r="T19" i="6"/>
  <c r="S39" i="6"/>
  <c r="R79" i="6"/>
  <c r="Q10" i="6"/>
  <c r="P67" i="6" a="1"/>
  <c r="P67" i="6"/>
  <c r="O76" i="6"/>
  <c r="S60" i="6" a="1"/>
  <c r="S60" i="6"/>
  <c r="R60" i="6" a="1"/>
  <c r="R60" i="6"/>
  <c r="Q60" i="6" a="1"/>
  <c r="Q60" i="6"/>
  <c r="P60" i="6" a="1"/>
  <c r="P60" i="6"/>
  <c r="U51" i="6" a="1"/>
  <c r="U51" i="6"/>
  <c r="T51" i="6" a="1"/>
  <c r="T51" i="6"/>
  <c r="S51" i="6" a="1"/>
  <c r="S51" i="6"/>
  <c r="R51" i="6" a="1"/>
  <c r="R51" i="6"/>
  <c r="Q51" i="6" a="1"/>
  <c r="Q51" i="6"/>
  <c r="P51" i="6" a="1"/>
  <c r="P51" i="6"/>
  <c r="U49" i="6" a="1"/>
  <c r="U49" i="6"/>
  <c r="S49" i="6" a="1"/>
  <c r="S49" i="6"/>
  <c r="R49" i="6" a="1"/>
  <c r="R49" i="6"/>
  <c r="U48" i="6"/>
  <c r="R48" i="6"/>
  <c r="P48" i="6"/>
  <c r="S41" i="6" a="1"/>
  <c r="S41" i="6"/>
  <c r="R41" i="6" a="1"/>
  <c r="R41" i="6"/>
  <c r="S40" i="6"/>
  <c r="R40" i="6"/>
  <c r="U39" i="6"/>
  <c r="R39" i="6"/>
  <c r="U38" i="6"/>
  <c r="S38" i="6"/>
  <c r="R38" i="6"/>
  <c r="Q38" i="6"/>
  <c r="P38" i="6"/>
  <c r="S37" i="6"/>
  <c r="R37" i="6"/>
  <c r="P37" i="6"/>
  <c r="U36" i="6"/>
  <c r="S36" i="6"/>
  <c r="R36" i="6"/>
  <c r="Q36" i="6"/>
  <c r="R33" i="6" a="1"/>
  <c r="R33" i="6"/>
  <c r="P33" i="6" a="1"/>
  <c r="P33" i="6"/>
  <c r="R32" i="6"/>
  <c r="U28" i="6" a="1"/>
  <c r="U28" i="6"/>
  <c r="S28" i="6" a="1"/>
  <c r="S28" i="6"/>
  <c r="R28" i="6" a="1"/>
  <c r="R28" i="6"/>
  <c r="P28" i="6" a="1"/>
  <c r="P28" i="6"/>
  <c r="U21" i="6" a="1"/>
  <c r="U21" i="6"/>
  <c r="T21" i="6" a="1"/>
  <c r="T21" i="6"/>
  <c r="S21" i="6" a="1"/>
  <c r="S21" i="6"/>
  <c r="R21" i="6" a="1"/>
  <c r="R21" i="6"/>
  <c r="Q21" i="6" a="1"/>
  <c r="Q21" i="6"/>
  <c r="P21" i="6" a="1"/>
  <c r="P21" i="6"/>
  <c r="U19" i="6" a="1"/>
  <c r="U19" i="6"/>
  <c r="S19" i="6" a="1"/>
  <c r="S19" i="6"/>
  <c r="R19" i="6" a="1"/>
  <c r="R19" i="6"/>
  <c r="Q19" i="6" a="1"/>
  <c r="Q19" i="6"/>
  <c r="U18" i="6"/>
  <c r="R18" i="6"/>
  <c r="P18" i="6"/>
  <c r="U11" i="6" a="1"/>
  <c r="U11" i="6"/>
  <c r="S11" i="6" a="1"/>
  <c r="S11" i="6"/>
  <c r="R11" i="6" a="1"/>
  <c r="R11" i="6"/>
  <c r="P11" i="6" a="1"/>
  <c r="P11" i="6"/>
  <c r="S10" i="6"/>
  <c r="R10" i="6"/>
  <c r="U9" i="6"/>
  <c r="S9" i="6"/>
  <c r="R9" i="6"/>
  <c r="Q9" i="6"/>
  <c r="U8" i="6"/>
  <c r="S8" i="6"/>
  <c r="R8" i="6"/>
  <c r="U7" i="6"/>
  <c r="S7" i="6"/>
  <c r="R7" i="6"/>
  <c r="Q7" i="6"/>
  <c r="P7" i="6"/>
  <c r="S6" i="6"/>
  <c r="R6" i="6"/>
  <c r="P6" i="6"/>
  <c r="U4" i="6"/>
  <c r="T4" i="6"/>
  <c r="S4" i="6"/>
  <c r="R4" i="6"/>
  <c r="Q4" i="6"/>
  <c r="P4" i="6"/>
  <c r="O4" i="6"/>
  <c r="O2" i="6"/>
  <c r="S1" i="6"/>
  <c r="R1" i="6"/>
  <c r="Q1" i="6"/>
  <c r="O1" i="6"/>
  <c r="U1" i="6"/>
  <c r="T1" i="6"/>
  <c r="P1" i="6"/>
  <c r="O60" i="5" a="1"/>
  <c r="O60" i="5"/>
  <c r="T80" i="5"/>
  <c r="O77" i="5" a="1"/>
  <c r="O77" i="5"/>
  <c r="S76" i="5"/>
  <c r="S66" i="5"/>
  <c r="P66" i="5"/>
  <c r="O66" i="5"/>
  <c r="U37" i="5"/>
  <c r="T19" i="5" a="1"/>
  <c r="T19" i="5"/>
  <c r="S39" i="5"/>
  <c r="R79" i="5"/>
  <c r="Q10" i="5"/>
  <c r="P67" i="5" a="1"/>
  <c r="P67" i="5"/>
  <c r="O76" i="5"/>
  <c r="S60" i="5" a="1"/>
  <c r="S60" i="5"/>
  <c r="Q60" i="5" a="1"/>
  <c r="Q60" i="5"/>
  <c r="U51" i="5" a="1"/>
  <c r="U51" i="5"/>
  <c r="T51" i="5" a="1"/>
  <c r="T51" i="5"/>
  <c r="S51" i="5" a="1"/>
  <c r="S51" i="5"/>
  <c r="R51" i="5" a="1"/>
  <c r="R51" i="5"/>
  <c r="Q51" i="5" a="1"/>
  <c r="Q51" i="5"/>
  <c r="P51" i="5" a="1"/>
  <c r="P51" i="5"/>
  <c r="U49" i="5" a="1"/>
  <c r="U49" i="5"/>
  <c r="T49" i="5" a="1"/>
  <c r="T49" i="5"/>
  <c r="S49" i="5" a="1"/>
  <c r="S49" i="5"/>
  <c r="O49" i="5" a="1"/>
  <c r="O49" i="5"/>
  <c r="U48" i="5"/>
  <c r="T48" i="5"/>
  <c r="S48" i="5"/>
  <c r="Q48" i="5"/>
  <c r="S41" i="5" a="1"/>
  <c r="S41" i="5"/>
  <c r="Q41" i="5" a="1"/>
  <c r="Q41" i="5"/>
  <c r="O41" i="5" a="1"/>
  <c r="O41" i="5"/>
  <c r="S40" i="5"/>
  <c r="Q40" i="5"/>
  <c r="P40" i="5"/>
  <c r="O40" i="5"/>
  <c r="U39" i="5"/>
  <c r="U38" i="5"/>
  <c r="T38" i="5"/>
  <c r="S38" i="5"/>
  <c r="Q38" i="5"/>
  <c r="P38" i="5"/>
  <c r="O38" i="5"/>
  <c r="P37" i="5"/>
  <c r="O37" i="5"/>
  <c r="U36" i="5"/>
  <c r="T36" i="5"/>
  <c r="S36" i="5"/>
  <c r="O36" i="5"/>
  <c r="Q33" i="5" a="1"/>
  <c r="Q33" i="5"/>
  <c r="P33" i="5" a="1"/>
  <c r="P33" i="5"/>
  <c r="O33" i="5" a="1"/>
  <c r="O33" i="5"/>
  <c r="O32" i="5"/>
  <c r="U28" i="5" a="1"/>
  <c r="U28" i="5"/>
  <c r="T28" i="5" a="1"/>
  <c r="T28" i="5"/>
  <c r="S28" i="5" a="1"/>
  <c r="S28" i="5"/>
  <c r="O28" i="5" a="1"/>
  <c r="O28" i="5"/>
  <c r="U21" i="5" a="1"/>
  <c r="U21" i="5"/>
  <c r="T21" i="5" a="1"/>
  <c r="T21" i="5"/>
  <c r="S21" i="5" a="1"/>
  <c r="S21" i="5"/>
  <c r="R21" i="5" a="1"/>
  <c r="R21" i="5"/>
  <c r="Q21" i="5" a="1"/>
  <c r="Q21" i="5"/>
  <c r="P21" i="5" a="1"/>
  <c r="P21" i="5"/>
  <c r="O21" i="5" a="1"/>
  <c r="O21" i="5"/>
  <c r="U19" i="5" a="1"/>
  <c r="U19" i="5"/>
  <c r="S19" i="5" a="1"/>
  <c r="S19" i="5"/>
  <c r="Q19" i="5" a="1"/>
  <c r="Q19" i="5"/>
  <c r="P19" i="5" a="1"/>
  <c r="P19" i="5"/>
  <c r="O19" i="5" a="1"/>
  <c r="O19" i="5"/>
  <c r="O18" i="5"/>
  <c r="U11" i="5" a="1"/>
  <c r="U11" i="5"/>
  <c r="T11" i="5" a="1"/>
  <c r="T11" i="5"/>
  <c r="P11" i="5" a="1"/>
  <c r="P11" i="5"/>
  <c r="O11" i="5" a="1"/>
  <c r="O11" i="5"/>
  <c r="U10" i="5"/>
  <c r="T10" i="5"/>
  <c r="S10" i="5"/>
  <c r="O10" i="5"/>
  <c r="S9" i="5"/>
  <c r="Q9" i="5"/>
  <c r="P9" i="5"/>
  <c r="O9" i="5"/>
  <c r="U8" i="5"/>
  <c r="Q8" i="5"/>
  <c r="O8" i="5"/>
  <c r="U7" i="5"/>
  <c r="T7" i="5"/>
  <c r="S7" i="5"/>
  <c r="Q7" i="5"/>
  <c r="P7" i="5"/>
  <c r="O7" i="5"/>
  <c r="S6" i="5"/>
  <c r="P6" i="5"/>
  <c r="O6" i="5"/>
  <c r="U4" i="5"/>
  <c r="T4" i="5"/>
  <c r="S4" i="5"/>
  <c r="R4" i="5"/>
  <c r="Q4" i="5"/>
  <c r="P4" i="5"/>
  <c r="O4" i="5"/>
  <c r="O2" i="5"/>
  <c r="S1" i="5"/>
  <c r="R1" i="5"/>
  <c r="Q1" i="5"/>
  <c r="P1" i="5"/>
  <c r="O1" i="5"/>
  <c r="U1" i="5"/>
  <c r="T1" i="5"/>
  <c r="P51" i="4" a="1"/>
  <c r="P51" i="4"/>
  <c r="O51" i="4" a="1"/>
  <c r="O51" i="4"/>
  <c r="O77" i="4" a="1"/>
  <c r="O77" i="4"/>
  <c r="Q76" i="4"/>
  <c r="Q67" i="4" a="1"/>
  <c r="Q67" i="4"/>
  <c r="S66" i="4"/>
  <c r="Q66" i="4"/>
  <c r="U37" i="4"/>
  <c r="T19" i="4" a="1"/>
  <c r="T19" i="4"/>
  <c r="S39" i="4"/>
  <c r="R79" i="4"/>
  <c r="Q79" i="4"/>
  <c r="P67" i="4" a="1"/>
  <c r="P67" i="4"/>
  <c r="O76" i="4"/>
  <c r="S60" i="4" a="1"/>
  <c r="S60" i="4"/>
  <c r="Q60" i="4" a="1"/>
  <c r="Q60" i="4"/>
  <c r="U51" i="4" a="1"/>
  <c r="U51" i="4"/>
  <c r="T51" i="4" a="1"/>
  <c r="T51" i="4"/>
  <c r="S51" i="4" a="1"/>
  <c r="S51" i="4"/>
  <c r="R51" i="4" a="1"/>
  <c r="R51" i="4"/>
  <c r="Q51" i="4" a="1"/>
  <c r="Q51" i="4"/>
  <c r="T49" i="4" a="1"/>
  <c r="T49" i="4"/>
  <c r="R49" i="4" a="1"/>
  <c r="R49" i="4"/>
  <c r="O49" i="4" a="1"/>
  <c r="O49" i="4"/>
  <c r="T48" i="4"/>
  <c r="S48" i="4"/>
  <c r="Q48" i="4"/>
  <c r="P48" i="4"/>
  <c r="S41" i="4" a="1"/>
  <c r="S41" i="4"/>
  <c r="R41" i="4" a="1"/>
  <c r="R41" i="4"/>
  <c r="Q41" i="4" a="1"/>
  <c r="Q41" i="4"/>
  <c r="S40" i="4"/>
  <c r="R40" i="4"/>
  <c r="Q40" i="4"/>
  <c r="P40" i="4"/>
  <c r="U39" i="4"/>
  <c r="T39" i="4"/>
  <c r="Q39" i="4"/>
  <c r="U38" i="4"/>
  <c r="T38" i="4"/>
  <c r="S38" i="4"/>
  <c r="R38" i="4"/>
  <c r="Q38" i="4"/>
  <c r="P38" i="4"/>
  <c r="O38" i="4"/>
  <c r="P37" i="4"/>
  <c r="O37" i="4"/>
  <c r="U36" i="4"/>
  <c r="T36" i="4"/>
  <c r="R36" i="4"/>
  <c r="Q36" i="4"/>
  <c r="R33" i="4" a="1"/>
  <c r="R33" i="4"/>
  <c r="Q33" i="4" a="1"/>
  <c r="Q33" i="4"/>
  <c r="O33" i="4" a="1"/>
  <c r="O33" i="4"/>
  <c r="Q32" i="4"/>
  <c r="U28" i="4" a="1"/>
  <c r="U28" i="4"/>
  <c r="T28" i="4" a="1"/>
  <c r="T28" i="4"/>
  <c r="S28" i="4" a="1"/>
  <c r="S28" i="4"/>
  <c r="Q28" i="4" a="1"/>
  <c r="Q28" i="4"/>
  <c r="O28" i="4" a="1"/>
  <c r="O28" i="4"/>
  <c r="U21" i="4" a="1"/>
  <c r="U21" i="4"/>
  <c r="T21" i="4" a="1"/>
  <c r="T21" i="4"/>
  <c r="S21" i="4" a="1"/>
  <c r="S21" i="4"/>
  <c r="R21" i="4" a="1"/>
  <c r="R21" i="4"/>
  <c r="Q21" i="4" a="1"/>
  <c r="Q21" i="4"/>
  <c r="P21" i="4" a="1"/>
  <c r="P21" i="4"/>
  <c r="O21" i="4" a="1"/>
  <c r="O21" i="4"/>
  <c r="U19" i="4" a="1"/>
  <c r="U19" i="4"/>
  <c r="S19" i="4" a="1"/>
  <c r="S19" i="4"/>
  <c r="Q19" i="4" a="1"/>
  <c r="Q19" i="4"/>
  <c r="P19" i="4" a="1"/>
  <c r="P19" i="4"/>
  <c r="O19" i="4" a="1"/>
  <c r="O19" i="4"/>
  <c r="U18" i="4"/>
  <c r="Q18" i="4"/>
  <c r="O18" i="4"/>
  <c r="U11" i="4" a="1"/>
  <c r="U11" i="4"/>
  <c r="S11" i="4" a="1"/>
  <c r="S11" i="4"/>
  <c r="Q11" i="4" a="1"/>
  <c r="Q11" i="4"/>
  <c r="P11" i="4" a="1"/>
  <c r="P11" i="4"/>
  <c r="O11" i="4" a="1"/>
  <c r="O11" i="4"/>
  <c r="U10" i="4"/>
  <c r="T10" i="4"/>
  <c r="S10" i="4"/>
  <c r="R10" i="4"/>
  <c r="Q10" i="4"/>
  <c r="S9" i="4"/>
  <c r="R9" i="4"/>
  <c r="Q9" i="4"/>
  <c r="P9" i="4"/>
  <c r="U8" i="4"/>
  <c r="T8" i="4"/>
  <c r="Q8" i="4"/>
  <c r="U7" i="4"/>
  <c r="T7" i="4"/>
  <c r="S7" i="4"/>
  <c r="R7" i="4"/>
  <c r="Q7" i="4"/>
  <c r="P7" i="4"/>
  <c r="O7" i="4"/>
  <c r="S6" i="4"/>
  <c r="Q6" i="4"/>
  <c r="P6" i="4"/>
  <c r="O6" i="4"/>
  <c r="U4" i="4"/>
  <c r="T4" i="4"/>
  <c r="S4" i="4"/>
  <c r="R4" i="4"/>
  <c r="Q4" i="4"/>
  <c r="P4" i="4"/>
  <c r="O4" i="4"/>
  <c r="O2" i="4"/>
  <c r="S1" i="4"/>
  <c r="R1" i="4"/>
  <c r="Q1" i="4"/>
  <c r="P1" i="4"/>
  <c r="O1" i="4"/>
  <c r="U1" i="4"/>
  <c r="T1" i="4"/>
  <c r="P51" i="2" a="1"/>
  <c r="P51" i="2"/>
  <c r="O48" i="2"/>
  <c r="O77" i="2" a="1"/>
  <c r="O77" i="2"/>
  <c r="S66" i="2"/>
  <c r="O66" i="2"/>
  <c r="U37" i="2"/>
  <c r="T19" i="2" a="1"/>
  <c r="T19" i="2"/>
  <c r="S39" i="2"/>
  <c r="R79" i="2"/>
  <c r="Q10" i="2"/>
  <c r="P67" i="2" a="1"/>
  <c r="P67" i="2"/>
  <c r="O76" i="2"/>
  <c r="S60" i="2" a="1"/>
  <c r="S60" i="2"/>
  <c r="Q60" i="2" a="1"/>
  <c r="Q60" i="2"/>
  <c r="U51" i="2" a="1"/>
  <c r="U51" i="2"/>
  <c r="T51" i="2" a="1"/>
  <c r="T51" i="2"/>
  <c r="S51" i="2" a="1"/>
  <c r="S51" i="2"/>
  <c r="R51" i="2" a="1"/>
  <c r="R51" i="2"/>
  <c r="Q51" i="2" a="1"/>
  <c r="Q51" i="2"/>
  <c r="T49" i="2" a="1"/>
  <c r="T49" i="2"/>
  <c r="S49" i="2" a="1"/>
  <c r="S49" i="2"/>
  <c r="O49" i="2" a="1"/>
  <c r="O49" i="2"/>
  <c r="U48" i="2"/>
  <c r="T48" i="2"/>
  <c r="S48" i="2"/>
  <c r="R48" i="2"/>
  <c r="Q48" i="2"/>
  <c r="S41" i="2" a="1"/>
  <c r="S41" i="2"/>
  <c r="R41" i="2" a="1"/>
  <c r="R41" i="2"/>
  <c r="Q41" i="2" a="1"/>
  <c r="Q41" i="2"/>
  <c r="O41" i="2" a="1"/>
  <c r="O41" i="2"/>
  <c r="S40" i="2"/>
  <c r="R40" i="2"/>
  <c r="Q40" i="2"/>
  <c r="P40" i="2"/>
  <c r="O40" i="2"/>
  <c r="U39" i="2"/>
  <c r="T38" i="2"/>
  <c r="S38" i="2"/>
  <c r="R38" i="2"/>
  <c r="Q38" i="2"/>
  <c r="P38" i="2"/>
  <c r="O37" i="2"/>
  <c r="U36" i="2"/>
  <c r="T36" i="2"/>
  <c r="S36" i="2"/>
  <c r="R36" i="2"/>
  <c r="Q33" i="2" a="1"/>
  <c r="Q33" i="2"/>
  <c r="P33" i="2" a="1"/>
  <c r="P33" i="2"/>
  <c r="O32" i="2"/>
  <c r="U28" i="2" a="1"/>
  <c r="U28" i="2"/>
  <c r="T28" i="2" a="1"/>
  <c r="T28" i="2"/>
  <c r="S28" i="2" a="1"/>
  <c r="S28" i="2"/>
  <c r="O28" i="2" a="1"/>
  <c r="O28" i="2"/>
  <c r="U21" i="2" a="1"/>
  <c r="U21" i="2"/>
  <c r="T21" i="2" a="1"/>
  <c r="T21" i="2"/>
  <c r="S21" i="2" a="1"/>
  <c r="S21" i="2"/>
  <c r="R21" i="2" a="1"/>
  <c r="R21" i="2"/>
  <c r="Q21" i="2" a="1"/>
  <c r="Q21" i="2"/>
  <c r="P21" i="2" a="1"/>
  <c r="P21" i="2"/>
  <c r="O21" i="2" a="1"/>
  <c r="O21" i="2"/>
  <c r="U19" i="2" a="1"/>
  <c r="U19" i="2"/>
  <c r="Q19" i="2" a="1"/>
  <c r="Q19" i="2"/>
  <c r="P19" i="2" a="1"/>
  <c r="P19" i="2"/>
  <c r="O19" i="2" a="1"/>
  <c r="O19" i="2"/>
  <c r="O18" i="2"/>
  <c r="U11" i="2" a="1"/>
  <c r="U11" i="2"/>
  <c r="T11" i="2" a="1"/>
  <c r="T11" i="2"/>
  <c r="O11" i="2" a="1"/>
  <c r="O11" i="2"/>
  <c r="U10" i="2"/>
  <c r="T10" i="2"/>
  <c r="S10" i="2"/>
  <c r="O10" i="2"/>
  <c r="S9" i="2"/>
  <c r="R9" i="2"/>
  <c r="Q9" i="2"/>
  <c r="P9" i="2"/>
  <c r="O9" i="2"/>
  <c r="U8" i="2"/>
  <c r="O8" i="2"/>
  <c r="U7" i="2"/>
  <c r="T7" i="2"/>
  <c r="S7" i="2"/>
  <c r="R7" i="2"/>
  <c r="Q7" i="2"/>
  <c r="P7" i="2"/>
  <c r="O7" i="2"/>
  <c r="O6" i="2"/>
  <c r="U4" i="2"/>
  <c r="T4" i="2"/>
  <c r="S4" i="2"/>
  <c r="R4" i="2"/>
  <c r="Q4" i="2"/>
  <c r="P4" i="2"/>
  <c r="O4" i="2"/>
  <c r="O2" i="2"/>
  <c r="S1" i="2"/>
  <c r="R1" i="2"/>
  <c r="Q1" i="2"/>
  <c r="P1" i="2"/>
  <c r="O1" i="2"/>
  <c r="U1" i="2"/>
  <c r="T1" i="2"/>
  <c r="O51" i="3" a="1"/>
  <c r="O51" i="3"/>
  <c r="R77" i="3" a="1"/>
  <c r="R77" i="3"/>
  <c r="P76" i="3"/>
  <c r="P66" i="3"/>
  <c r="U37" i="3"/>
  <c r="T19" i="3" a="1"/>
  <c r="T19" i="3"/>
  <c r="S39" i="3"/>
  <c r="R79" i="3"/>
  <c r="Q10" i="3"/>
  <c r="P67" i="3" a="1"/>
  <c r="P67" i="3"/>
  <c r="O76" i="3"/>
  <c r="Q60" i="3" a="1"/>
  <c r="Q60" i="3"/>
  <c r="P60" i="3" a="1"/>
  <c r="P60" i="3"/>
  <c r="U51" i="3" a="1"/>
  <c r="U51" i="3"/>
  <c r="T51" i="3" a="1"/>
  <c r="T51" i="3"/>
  <c r="S51" i="3" a="1"/>
  <c r="S51" i="3"/>
  <c r="R51" i="3" a="1"/>
  <c r="R51" i="3"/>
  <c r="Q51" i="3" a="1"/>
  <c r="Q51" i="3"/>
  <c r="P51" i="3" a="1"/>
  <c r="P51" i="3"/>
  <c r="U49" i="3" a="1"/>
  <c r="U49" i="3"/>
  <c r="T49" i="3" a="1"/>
  <c r="T49" i="3"/>
  <c r="R49" i="3" a="1"/>
  <c r="R49" i="3"/>
  <c r="P49" i="3" a="1"/>
  <c r="P49" i="3"/>
  <c r="T48" i="3"/>
  <c r="R48" i="3"/>
  <c r="P48" i="3"/>
  <c r="S41" i="3" a="1"/>
  <c r="S41" i="3"/>
  <c r="R41" i="3" a="1"/>
  <c r="R41" i="3"/>
  <c r="R40" i="3"/>
  <c r="Q40" i="3"/>
  <c r="P40" i="3"/>
  <c r="O40" i="3"/>
  <c r="T39" i="3"/>
  <c r="P39" i="3"/>
  <c r="U38" i="3"/>
  <c r="T38" i="3"/>
  <c r="S38" i="3"/>
  <c r="R38" i="3"/>
  <c r="Q38" i="3"/>
  <c r="P38" i="3"/>
  <c r="O38" i="3"/>
  <c r="P37" i="3"/>
  <c r="O37" i="3"/>
  <c r="U36" i="3"/>
  <c r="T36" i="3"/>
  <c r="Q36" i="3"/>
  <c r="P36" i="3"/>
  <c r="R33" i="3" a="1"/>
  <c r="R33" i="3"/>
  <c r="Q33" i="3" a="1"/>
  <c r="Q33" i="3"/>
  <c r="P33" i="3" a="1"/>
  <c r="P33" i="3"/>
  <c r="O33" i="3" a="1"/>
  <c r="O33" i="3"/>
  <c r="P32" i="3"/>
  <c r="U28" i="3" a="1"/>
  <c r="U28" i="3"/>
  <c r="T28" i="3" a="1"/>
  <c r="T28" i="3"/>
  <c r="P28" i="3" a="1"/>
  <c r="P28" i="3"/>
  <c r="O28" i="3" a="1"/>
  <c r="O28" i="3"/>
  <c r="U21" i="3" a="1"/>
  <c r="U21" i="3"/>
  <c r="T21" i="3" a="1"/>
  <c r="T21" i="3"/>
  <c r="S21" i="3" a="1"/>
  <c r="S21" i="3"/>
  <c r="R21" i="3" a="1"/>
  <c r="R21" i="3"/>
  <c r="Q21" i="3" a="1"/>
  <c r="Q21" i="3"/>
  <c r="P21" i="3" a="1"/>
  <c r="P21" i="3"/>
  <c r="O21" i="3" a="1"/>
  <c r="O21" i="3"/>
  <c r="Q19" i="3" a="1"/>
  <c r="Q19" i="3"/>
  <c r="P19" i="3" a="1"/>
  <c r="P19" i="3"/>
  <c r="U18" i="3"/>
  <c r="P18" i="3"/>
  <c r="U11" i="3" a="1"/>
  <c r="U11" i="3"/>
  <c r="T11" i="3" a="1"/>
  <c r="T11" i="3"/>
  <c r="P11" i="3" a="1"/>
  <c r="P11" i="3"/>
  <c r="O11" i="3" a="1"/>
  <c r="O11" i="3"/>
  <c r="U10" i="3"/>
  <c r="T10" i="3"/>
  <c r="R10" i="3"/>
  <c r="P10" i="3"/>
  <c r="R9" i="3"/>
  <c r="Q9" i="3"/>
  <c r="P9" i="3"/>
  <c r="O9" i="3"/>
  <c r="T8" i="3"/>
  <c r="P8" i="3"/>
  <c r="U7" i="3"/>
  <c r="T7" i="3"/>
  <c r="R7" i="3"/>
  <c r="Q7" i="3"/>
  <c r="P7" i="3"/>
  <c r="O7" i="3"/>
  <c r="P6" i="3"/>
  <c r="O6" i="3"/>
  <c r="U4" i="3"/>
  <c r="T4" i="3"/>
  <c r="S4" i="3"/>
  <c r="R4" i="3"/>
  <c r="Q4" i="3"/>
  <c r="P4" i="3"/>
  <c r="O4" i="3"/>
  <c r="O2" i="3"/>
  <c r="S1" i="3"/>
  <c r="R1" i="3"/>
  <c r="Q1" i="3"/>
  <c r="P1" i="3"/>
  <c r="O1" i="3"/>
  <c r="U1" i="3"/>
  <c r="T1" i="3"/>
  <c r="U4" i="1"/>
  <c r="T4" i="1"/>
  <c r="S4" i="1"/>
  <c r="R4" i="1"/>
  <c r="Q4" i="1"/>
  <c r="P4" i="1"/>
  <c r="O4" i="1"/>
  <c r="O2" i="1"/>
  <c r="BP1" i="16"/>
  <c r="CK1" i="16"/>
  <c r="CL1" i="16"/>
  <c r="M1" i="16"/>
  <c r="AH1" i="16"/>
  <c r="AP1" i="16"/>
  <c r="L1" i="16"/>
  <c r="N1" i="16"/>
  <c r="R1" i="16"/>
  <c r="Z1" i="16"/>
  <c r="T1" i="16"/>
  <c r="BM1" i="16"/>
  <c r="CJ1" i="16"/>
  <c r="BL1" i="16"/>
  <c r="CG1" i="16"/>
  <c r="BU1" i="16"/>
  <c r="Y1" i="16"/>
  <c r="AN1" i="16"/>
  <c r="J1" i="16"/>
  <c r="CE1" i="16"/>
  <c r="AX1" i="16"/>
  <c r="BV1" i="16"/>
  <c r="AL1" i="16"/>
  <c r="AK1" i="16"/>
  <c r="Q1" i="16"/>
  <c r="X1" i="16"/>
  <c r="AF1" i="16"/>
  <c r="C1" i="16"/>
  <c r="H1" i="16"/>
  <c r="AQ1" i="16"/>
  <c r="AY1" i="16"/>
  <c r="AI1" i="16"/>
  <c r="CD1" i="16"/>
  <c r="AM1" i="16"/>
  <c r="W1" i="16"/>
  <c r="BF1" i="16"/>
  <c r="BX1" i="16"/>
  <c r="CM1" i="16"/>
  <c r="AE1" i="16"/>
  <c r="AZ1" i="16"/>
  <c r="S1" i="16"/>
  <c r="AB1" i="16"/>
  <c r="BZ1" i="16"/>
  <c r="D1" i="16"/>
  <c r="CO1" i="16"/>
  <c r="AV1" i="16"/>
  <c r="CH1" i="16"/>
  <c r="AT1" i="16"/>
  <c r="CF1" i="16"/>
  <c r="P1" i="16"/>
  <c r="BG1" i="16"/>
  <c r="BB1" i="16"/>
  <c r="BY1" i="16"/>
  <c r="BQ1" i="16"/>
  <c r="CI1" i="16"/>
  <c r="V1" i="16"/>
  <c r="BS1" i="16"/>
  <c r="CC1" i="16"/>
  <c r="AD1" i="16"/>
  <c r="CA1" i="16"/>
  <c r="BA1" i="16"/>
  <c r="AS1" i="16"/>
  <c r="AA1" i="16"/>
  <c r="BI1" i="16"/>
  <c r="BJ1" i="16"/>
  <c r="BE1" i="16"/>
  <c r="F1" i="16"/>
  <c r="AC1" i="16"/>
  <c r="U1" i="16"/>
  <c r="BW1" i="16"/>
  <c r="O1" i="16"/>
  <c r="BR1" i="16"/>
  <c r="BT1" i="16"/>
  <c r="AJ1" i="16"/>
  <c r="AU1" i="16"/>
  <c r="K1" i="16"/>
  <c r="AG1" i="16"/>
  <c r="CB1" i="16"/>
  <c r="BO1" i="16"/>
  <c r="BC1" i="16"/>
  <c r="E1" i="16"/>
  <c r="AW1" i="16"/>
  <c r="AO1" i="16"/>
  <c r="BH1" i="16"/>
  <c r="I1" i="16"/>
  <c r="BD1" i="16"/>
  <c r="G1" i="16"/>
  <c r="BK1" i="16"/>
  <c r="T10" i="14"/>
  <c r="T7" i="14"/>
  <c r="O7" i="14"/>
  <c r="T8" i="14"/>
  <c r="R10" i="14"/>
  <c r="S11" i="14" a="1"/>
  <c r="S11" i="14"/>
  <c r="U18" i="14"/>
  <c r="O33" i="14" a="1"/>
  <c r="O33" i="14"/>
  <c r="Q36" i="14"/>
  <c r="O38" i="14"/>
  <c r="T39" i="14"/>
  <c r="P48" i="14"/>
  <c r="R49" i="14" a="1"/>
  <c r="R49" i="14"/>
  <c r="P60" i="14" a="1"/>
  <c r="P60" i="14"/>
  <c r="P76" i="14"/>
  <c r="R77" i="14" a="1"/>
  <c r="R77" i="14"/>
  <c r="S79" i="14"/>
  <c r="Q67" i="14" a="1"/>
  <c r="Q67" i="14"/>
  <c r="Q76" i="14"/>
  <c r="T79" i="14"/>
  <c r="T11" i="14" a="1"/>
  <c r="T11" i="14"/>
  <c r="O40" i="14"/>
  <c r="O66" i="14"/>
  <c r="R76" i="14"/>
  <c r="S77" i="14" a="1"/>
  <c r="S77" i="14"/>
  <c r="U79" i="14"/>
  <c r="T28" i="14" a="1"/>
  <c r="T28" i="14"/>
  <c r="T36" i="14"/>
  <c r="P66" i="14"/>
  <c r="R67" i="14" a="1"/>
  <c r="R67" i="14"/>
  <c r="S76" i="14"/>
  <c r="T80" i="14"/>
  <c r="T48" i="14"/>
  <c r="T49" i="14" a="1"/>
  <c r="T49" i="14"/>
  <c r="R60" i="14" a="1"/>
  <c r="R60" i="14"/>
  <c r="Q66" i="14"/>
  <c r="T76" i="14"/>
  <c r="T77" i="14" a="1"/>
  <c r="T77" i="14"/>
  <c r="U80" i="14"/>
  <c r="O77" i="14" a="1"/>
  <c r="O77" i="14"/>
  <c r="U77" i="14" a="1"/>
  <c r="U77" i="14"/>
  <c r="Q6" i="14"/>
  <c r="O8" i="14"/>
  <c r="T9" i="14"/>
  <c r="P18" i="14"/>
  <c r="R19" i="14" a="1"/>
  <c r="R19" i="14"/>
  <c r="P28" i="14" a="1"/>
  <c r="P28" i="14"/>
  <c r="Q37" i="14"/>
  <c r="O39" i="14"/>
  <c r="T40" i="14"/>
  <c r="T41" i="14" a="1"/>
  <c r="T41" i="14"/>
  <c r="T66" i="14"/>
  <c r="T67" i="14" a="1"/>
  <c r="T67" i="14"/>
  <c r="O18" i="14"/>
  <c r="R6" i="14"/>
  <c r="P8" i="14"/>
  <c r="U9" i="14"/>
  <c r="Q11" i="14" a="1"/>
  <c r="Q11" i="14"/>
  <c r="Q18" i="14"/>
  <c r="P32" i="14"/>
  <c r="S33" i="14" a="1"/>
  <c r="S33" i="14"/>
  <c r="R37" i="14"/>
  <c r="P39" i="14"/>
  <c r="U40" i="14"/>
  <c r="P49" i="14" a="1"/>
  <c r="P49" i="14"/>
  <c r="O51" i="14" a="1"/>
  <c r="O51" i="14"/>
  <c r="T60" i="14" a="1"/>
  <c r="T60" i="14"/>
  <c r="U66" i="14"/>
  <c r="P77" i="14" a="1"/>
  <c r="P77" i="14"/>
  <c r="O79" i="14"/>
  <c r="O10" i="14"/>
  <c r="R18" i="14"/>
  <c r="S19" i="14" a="1"/>
  <c r="S19" i="14"/>
  <c r="Q28" i="14" a="1"/>
  <c r="Q28" i="14"/>
  <c r="Q32" i="14"/>
  <c r="S37" i="14"/>
  <c r="Q39" i="14"/>
  <c r="U41" i="14" a="1"/>
  <c r="U41" i="14"/>
  <c r="O67" i="14" a="1"/>
  <c r="O67" i="14"/>
  <c r="U67" i="14" a="1"/>
  <c r="U67" i="14"/>
  <c r="P79" i="14"/>
  <c r="T38" i="14"/>
  <c r="T6" i="14"/>
  <c r="R8" i="14"/>
  <c r="P10" i="14"/>
  <c r="R11" i="14" a="1"/>
  <c r="R11" i="14"/>
  <c r="S18" i="14"/>
  <c r="R32" i="14"/>
  <c r="O36" i="14"/>
  <c r="T37" i="14"/>
  <c r="R39" i="14"/>
  <c r="Q49" i="14" a="1"/>
  <c r="Q49" i="14"/>
  <c r="O60" i="14" a="1"/>
  <c r="O60" i="14"/>
  <c r="U60" i="14" a="1"/>
  <c r="U60" i="14"/>
  <c r="Q77" i="14" a="1"/>
  <c r="Q77" i="14"/>
  <c r="Q79" i="14"/>
  <c r="U6" i="14"/>
  <c r="S8" i="14"/>
  <c r="T18" i="14"/>
  <c r="R28" i="14" a="1"/>
  <c r="R28" i="14"/>
  <c r="S32" i="14"/>
  <c r="P36" i="14"/>
  <c r="P41" i="14" a="1"/>
  <c r="P41" i="14"/>
  <c r="O48" i="14"/>
  <c r="S11" i="12" a="1"/>
  <c r="S11" i="12"/>
  <c r="P60" i="12" a="1"/>
  <c r="P60" i="12"/>
  <c r="P76" i="12"/>
  <c r="R77" i="12" a="1"/>
  <c r="R77" i="12"/>
  <c r="S79" i="12"/>
  <c r="S10" i="12"/>
  <c r="S28" i="12" a="1"/>
  <c r="S28" i="12"/>
  <c r="Q67" i="12" a="1"/>
  <c r="Q67" i="12"/>
  <c r="Q76" i="12"/>
  <c r="T79" i="12"/>
  <c r="S36" i="12"/>
  <c r="S49" i="12" a="1"/>
  <c r="S49" i="12"/>
  <c r="O66" i="12"/>
  <c r="R76" i="12"/>
  <c r="S77" i="12" a="1"/>
  <c r="S77" i="12"/>
  <c r="U79" i="12"/>
  <c r="S48" i="12"/>
  <c r="P66" i="12"/>
  <c r="R67" i="12" a="1"/>
  <c r="R67" i="12"/>
  <c r="S76" i="12"/>
  <c r="T80" i="12"/>
  <c r="S41" i="12" a="1"/>
  <c r="S41" i="12"/>
  <c r="R66" i="12"/>
  <c r="S67" i="12" a="1"/>
  <c r="S67" i="12"/>
  <c r="U76" i="12"/>
  <c r="S38" i="12"/>
  <c r="S9" i="12"/>
  <c r="S40" i="12"/>
  <c r="U49" i="12" a="1"/>
  <c r="U49" i="12"/>
  <c r="S60" i="12" a="1"/>
  <c r="S60" i="12"/>
  <c r="S66" i="12"/>
  <c r="O77" i="12" a="1"/>
  <c r="O77" i="12"/>
  <c r="U77" i="12" a="1"/>
  <c r="U77" i="12"/>
  <c r="O8" i="12"/>
  <c r="T9" i="12"/>
  <c r="P18" i="12"/>
  <c r="R19" i="12" a="1"/>
  <c r="R19" i="12"/>
  <c r="P28" i="12" a="1"/>
  <c r="P28" i="12"/>
  <c r="O32" i="12"/>
  <c r="Q37" i="12"/>
  <c r="O39" i="12"/>
  <c r="T40" i="12"/>
  <c r="T41" i="12" a="1"/>
  <c r="T41" i="12"/>
  <c r="T66" i="12"/>
  <c r="T67" i="12" a="1"/>
  <c r="T67" i="12"/>
  <c r="P32" i="12"/>
  <c r="S33" i="12" a="1"/>
  <c r="S33" i="12"/>
  <c r="R37" i="12"/>
  <c r="P39" i="12"/>
  <c r="P49" i="12" a="1"/>
  <c r="P49" i="12"/>
  <c r="T60" i="12" a="1"/>
  <c r="T60" i="12"/>
  <c r="U66" i="12"/>
  <c r="P77" i="12" a="1"/>
  <c r="P77" i="12"/>
  <c r="O79" i="12"/>
  <c r="S6" i="12"/>
  <c r="S19" i="12" a="1"/>
  <c r="S19" i="12"/>
  <c r="S37" i="12"/>
  <c r="O41" i="12" a="1"/>
  <c r="O41" i="12"/>
  <c r="U41" i="12" a="1"/>
  <c r="U41" i="12"/>
  <c r="O67" i="12" a="1"/>
  <c r="O67" i="12"/>
  <c r="U67" i="12" a="1"/>
  <c r="U67" i="12"/>
  <c r="P79" i="12"/>
  <c r="T6" i="12"/>
  <c r="R11" i="12" a="1"/>
  <c r="R11" i="12"/>
  <c r="S18" i="12"/>
  <c r="R32" i="12"/>
  <c r="O36" i="12"/>
  <c r="T37" i="12"/>
  <c r="R39" i="12"/>
  <c r="Q49" i="12" a="1"/>
  <c r="Q49" i="12"/>
  <c r="O60" i="12" a="1"/>
  <c r="O60" i="12"/>
  <c r="U60" i="12" a="1"/>
  <c r="U60" i="12"/>
  <c r="Q77" i="12" a="1"/>
  <c r="Q77" i="12"/>
  <c r="S8" i="12"/>
  <c r="T18" i="12"/>
  <c r="R28" i="12" a="1"/>
  <c r="R28" i="12"/>
  <c r="S32" i="12"/>
  <c r="P36" i="12"/>
  <c r="P41" i="12" a="1"/>
  <c r="P41" i="12"/>
  <c r="O48" i="12"/>
  <c r="P11" i="11" a="1"/>
  <c r="P11" i="11"/>
  <c r="T8" i="11"/>
  <c r="R10" i="11"/>
  <c r="S11" i="11" a="1"/>
  <c r="S11" i="11"/>
  <c r="U18" i="11"/>
  <c r="O33" i="11" a="1"/>
  <c r="O33" i="11"/>
  <c r="Q36" i="11"/>
  <c r="O38" i="11"/>
  <c r="T39" i="11"/>
  <c r="P48" i="11"/>
  <c r="R49" i="11" a="1"/>
  <c r="R49" i="11"/>
  <c r="P60" i="11" a="1"/>
  <c r="P60" i="11"/>
  <c r="P76" i="11"/>
  <c r="R77" i="11" a="1"/>
  <c r="R77" i="11"/>
  <c r="S79" i="11"/>
  <c r="Q67" i="11" a="1"/>
  <c r="Q67" i="11"/>
  <c r="Q76" i="11"/>
  <c r="T79" i="11"/>
  <c r="P33" i="11" a="1"/>
  <c r="P33" i="11"/>
  <c r="R76" i="11"/>
  <c r="S77" i="11" a="1"/>
  <c r="S77" i="11"/>
  <c r="U79" i="11"/>
  <c r="P7" i="11"/>
  <c r="P9" i="11"/>
  <c r="U10" i="11"/>
  <c r="P19" i="11" a="1"/>
  <c r="P19" i="11"/>
  <c r="P40" i="11"/>
  <c r="P66" i="11"/>
  <c r="R67" i="11" a="1"/>
  <c r="R67" i="11"/>
  <c r="S76" i="11"/>
  <c r="T80" i="11"/>
  <c r="U11" i="11" a="1"/>
  <c r="U11" i="11"/>
  <c r="U36" i="11"/>
  <c r="R60" i="11" a="1"/>
  <c r="R60" i="11"/>
  <c r="Q66" i="11"/>
  <c r="T76" i="11"/>
  <c r="T77" i="11" a="1"/>
  <c r="T77" i="11"/>
  <c r="U80" i="11"/>
  <c r="U28" i="11" a="1"/>
  <c r="U28" i="11"/>
  <c r="U48" i="11"/>
  <c r="R66" i="11"/>
  <c r="S67" i="11" a="1"/>
  <c r="S67" i="11"/>
  <c r="U76" i="11"/>
  <c r="P37" i="11"/>
  <c r="U38" i="11"/>
  <c r="U77" i="11" a="1"/>
  <c r="U77" i="11"/>
  <c r="Q6" i="11"/>
  <c r="O8" i="11"/>
  <c r="T9" i="11"/>
  <c r="P18" i="11"/>
  <c r="R19" i="11" a="1"/>
  <c r="R19" i="11"/>
  <c r="P28" i="11" a="1"/>
  <c r="P28" i="11"/>
  <c r="Q37" i="11"/>
  <c r="O39" i="11"/>
  <c r="T40" i="11"/>
  <c r="T41" i="11" a="1"/>
  <c r="T41" i="11"/>
  <c r="T66" i="11"/>
  <c r="T67" i="11" a="1"/>
  <c r="T67" i="11"/>
  <c r="R6" i="11"/>
  <c r="P8" i="11"/>
  <c r="U9" i="11"/>
  <c r="Q11" i="11" a="1"/>
  <c r="Q11" i="11"/>
  <c r="Q18" i="11"/>
  <c r="P32" i="11"/>
  <c r="S33" i="11" a="1"/>
  <c r="S33" i="11"/>
  <c r="R37" i="11"/>
  <c r="P39" i="11"/>
  <c r="U40" i="11"/>
  <c r="P49" i="11" a="1"/>
  <c r="P49" i="11"/>
  <c r="O51" i="11" a="1"/>
  <c r="O51" i="11"/>
  <c r="T60" i="11" a="1"/>
  <c r="T60" i="11"/>
  <c r="U66" i="11"/>
  <c r="P77" i="11" a="1"/>
  <c r="P77" i="11"/>
  <c r="O79" i="11"/>
  <c r="P38" i="11"/>
  <c r="U49" i="11" a="1"/>
  <c r="U49" i="11"/>
  <c r="S6" i="11"/>
  <c r="Q8" i="11"/>
  <c r="R18" i="11"/>
  <c r="S19" i="11" a="1"/>
  <c r="S19" i="11"/>
  <c r="Q28" i="11" a="1"/>
  <c r="Q28" i="11"/>
  <c r="Q32" i="11"/>
  <c r="S37" i="11"/>
  <c r="Q39" i="11"/>
  <c r="U41" i="11" a="1"/>
  <c r="U41" i="11"/>
  <c r="O67" i="11" a="1"/>
  <c r="O67" i="11"/>
  <c r="U67" i="11" a="1"/>
  <c r="U67" i="11"/>
  <c r="P79" i="11"/>
  <c r="T6" i="11"/>
  <c r="R8" i="11"/>
  <c r="P10" i="11"/>
  <c r="R11" i="11" a="1"/>
  <c r="R11" i="11"/>
  <c r="S18" i="11"/>
  <c r="R32" i="11"/>
  <c r="O36" i="11"/>
  <c r="T37" i="11"/>
  <c r="R39" i="11"/>
  <c r="Q49" i="11" a="1"/>
  <c r="Q49" i="11"/>
  <c r="O60" i="11" a="1"/>
  <c r="O60" i="11"/>
  <c r="U60" i="11" a="1"/>
  <c r="U60" i="11"/>
  <c r="Q77" i="11" a="1"/>
  <c r="Q77" i="11"/>
  <c r="Q79" i="11"/>
  <c r="P6" i="11"/>
  <c r="U6" i="11"/>
  <c r="S8" i="11"/>
  <c r="T18" i="11"/>
  <c r="R28" i="11" a="1"/>
  <c r="R28" i="11"/>
  <c r="S32" i="11"/>
  <c r="P36" i="11"/>
  <c r="P41" i="11" a="1"/>
  <c r="P41" i="11"/>
  <c r="T8" i="22"/>
  <c r="R10" i="22"/>
  <c r="S11" i="22" a="1"/>
  <c r="S11" i="22"/>
  <c r="U18" i="22"/>
  <c r="Q37" i="22"/>
  <c r="T40" i="22"/>
  <c r="P49" i="22"/>
  <c r="R50" i="22" a="1"/>
  <c r="R50" i="22"/>
  <c r="P60" i="22" a="1"/>
  <c r="P60" i="22"/>
  <c r="P76" i="22"/>
  <c r="R77" i="22" a="1"/>
  <c r="R77" i="22"/>
  <c r="S79" i="22"/>
  <c r="S10" i="22"/>
  <c r="S28" i="22" a="1"/>
  <c r="S28" i="22"/>
  <c r="Q67" i="22" a="1"/>
  <c r="Q67" i="22"/>
  <c r="Q76" i="22"/>
  <c r="T79" i="22"/>
  <c r="S37" i="22"/>
  <c r="S50" i="22" a="1"/>
  <c r="S50" i="22"/>
  <c r="R76" i="22"/>
  <c r="S77" i="22" a="1"/>
  <c r="S77" i="22"/>
  <c r="U79" i="22"/>
  <c r="S49" i="22"/>
  <c r="R67" i="22" a="1"/>
  <c r="R67" i="22"/>
  <c r="S76" i="22"/>
  <c r="T80" i="22"/>
  <c r="R41" i="22"/>
  <c r="S42" i="22" a="1"/>
  <c r="S42" i="22"/>
  <c r="U49" i="22"/>
  <c r="R66" i="22"/>
  <c r="S67" i="22" a="1"/>
  <c r="S67" i="22"/>
  <c r="U76" i="22"/>
  <c r="R34" i="22" a="1"/>
  <c r="R34" i="22"/>
  <c r="S60" i="22" a="1"/>
  <c r="S60" i="22"/>
  <c r="S66" i="22"/>
  <c r="U77" i="22" a="1"/>
  <c r="U77" i="22"/>
  <c r="Q6" i="22"/>
  <c r="T9" i="22"/>
  <c r="P18" i="22"/>
  <c r="R19" i="22" a="1"/>
  <c r="R19" i="22"/>
  <c r="P28" i="22" a="1"/>
  <c r="P28" i="22"/>
  <c r="Q38" i="22"/>
  <c r="O40" i="22"/>
  <c r="T41" i="22"/>
  <c r="T42" i="22" a="1"/>
  <c r="T42" i="22"/>
  <c r="T66" i="22"/>
  <c r="T67" i="22" a="1"/>
  <c r="T67" i="22"/>
  <c r="S41" i="22"/>
  <c r="R6" i="22"/>
  <c r="P8" i="22"/>
  <c r="U9" i="22"/>
  <c r="Q11" i="22" a="1"/>
  <c r="Q11" i="22"/>
  <c r="Q18" i="22"/>
  <c r="P33" i="22"/>
  <c r="S34" i="22" a="1"/>
  <c r="S34" i="22"/>
  <c r="R38" i="22"/>
  <c r="P40" i="22"/>
  <c r="U41" i="22"/>
  <c r="P50" i="22" a="1"/>
  <c r="P50" i="22"/>
  <c r="O52" i="22" a="1"/>
  <c r="O52" i="22"/>
  <c r="T60" i="22" a="1"/>
  <c r="T60" i="22"/>
  <c r="U66" i="22"/>
  <c r="P77" i="22" a="1"/>
  <c r="P77" i="22"/>
  <c r="O79" i="22"/>
  <c r="S39" i="22"/>
  <c r="S9" i="22"/>
  <c r="S6" i="22"/>
  <c r="R18" i="22"/>
  <c r="S19" i="22" a="1"/>
  <c r="S19" i="22"/>
  <c r="Q28" i="22" a="1"/>
  <c r="Q28" i="22"/>
  <c r="Q33" i="22"/>
  <c r="S38" i="22"/>
  <c r="Q40" i="22"/>
  <c r="U42" i="22" a="1"/>
  <c r="U42" i="22"/>
  <c r="O67" i="22" a="1"/>
  <c r="O67" i="22"/>
  <c r="U67" i="22" a="1"/>
  <c r="U67" i="22"/>
  <c r="P79" i="22"/>
  <c r="T6" i="22"/>
  <c r="R8" i="22"/>
  <c r="P10" i="22"/>
  <c r="R11" i="22" a="1"/>
  <c r="R11" i="22"/>
  <c r="S18" i="22"/>
  <c r="R33" i="22"/>
  <c r="O37" i="22"/>
  <c r="T38" i="22"/>
  <c r="R40" i="22"/>
  <c r="Q50" i="22" a="1"/>
  <c r="Q50" i="22"/>
  <c r="U60" i="22" a="1"/>
  <c r="U60" i="22"/>
  <c r="Q77" i="22" a="1"/>
  <c r="Q77" i="22"/>
  <c r="Q79" i="22"/>
  <c r="U6" i="22"/>
  <c r="S8" i="22"/>
  <c r="T18" i="22"/>
  <c r="R28" i="22" a="1"/>
  <c r="R28" i="22"/>
  <c r="S33" i="22"/>
  <c r="P37" i="22"/>
  <c r="P42" i="22" a="1"/>
  <c r="P42" i="22"/>
  <c r="O49" i="22"/>
  <c r="T8" i="21"/>
  <c r="R10" i="21"/>
  <c r="S11" i="21" a="1"/>
  <c r="S11" i="21"/>
  <c r="U18" i="21"/>
  <c r="O33" i="21" a="1"/>
  <c r="O33" i="21"/>
  <c r="Q36" i="21"/>
  <c r="O38" i="21"/>
  <c r="T39" i="21"/>
  <c r="P48" i="21"/>
  <c r="R49" i="21" a="1"/>
  <c r="R49" i="21"/>
  <c r="P59" i="21" a="1"/>
  <c r="P59" i="21"/>
  <c r="P75" i="21"/>
  <c r="R76" i="21" a="1"/>
  <c r="R76" i="21"/>
  <c r="S78" i="21"/>
  <c r="R36" i="21"/>
  <c r="Q41" i="21" a="1"/>
  <c r="Q41" i="21"/>
  <c r="Q48" i="21"/>
  <c r="Q66" i="21" a="1"/>
  <c r="Q66" i="21"/>
  <c r="Q75" i="21"/>
  <c r="T78" i="21"/>
  <c r="R48" i="21"/>
  <c r="R75" i="21"/>
  <c r="U78" i="21"/>
  <c r="R41" i="21" a="1"/>
  <c r="R41" i="21"/>
  <c r="Q40" i="21"/>
  <c r="R59" i="21" a="1"/>
  <c r="R59" i="21"/>
  <c r="Q65" i="21"/>
  <c r="T75" i="21"/>
  <c r="T76" i="21" a="1"/>
  <c r="T76" i="21"/>
  <c r="U79" i="21"/>
  <c r="Q19" i="21" a="1"/>
  <c r="Q19" i="21"/>
  <c r="R65" i="21"/>
  <c r="S66" i="21" a="1"/>
  <c r="S66" i="21"/>
  <c r="U75" i="21"/>
  <c r="Q6" i="21"/>
  <c r="O8" i="21"/>
  <c r="T9" i="21"/>
  <c r="P18" i="21"/>
  <c r="R19" i="21" a="1"/>
  <c r="R19" i="21"/>
  <c r="P28" i="21" a="1"/>
  <c r="P28" i="21"/>
  <c r="Q37" i="21"/>
  <c r="O39" i="21"/>
  <c r="T40" i="21"/>
  <c r="T41" i="21" a="1"/>
  <c r="T41" i="21"/>
  <c r="T65" i="21"/>
  <c r="T66" i="21" a="1"/>
  <c r="T66" i="21"/>
  <c r="R33" i="21" a="1"/>
  <c r="R33" i="21"/>
  <c r="U38" i="21"/>
  <c r="R6" i="21"/>
  <c r="P8" i="21"/>
  <c r="U9" i="21"/>
  <c r="Q11" i="21" a="1"/>
  <c r="Q11" i="21"/>
  <c r="Q18" i="21"/>
  <c r="P32" i="21"/>
  <c r="S33" i="21" a="1"/>
  <c r="S33" i="21"/>
  <c r="R37" i="21"/>
  <c r="P39" i="21"/>
  <c r="P49" i="21" a="1"/>
  <c r="P49" i="21"/>
  <c r="O51" i="21" a="1"/>
  <c r="O51" i="21"/>
  <c r="T59" i="21" a="1"/>
  <c r="T59" i="21"/>
  <c r="U65" i="21"/>
  <c r="P76" i="21" a="1"/>
  <c r="P76" i="21"/>
  <c r="O78" i="21"/>
  <c r="R66" i="21" a="1"/>
  <c r="R66" i="21"/>
  <c r="S6" i="21"/>
  <c r="Q8" i="21"/>
  <c r="R18" i="21"/>
  <c r="S19" i="21" a="1"/>
  <c r="S19" i="21"/>
  <c r="Q28" i="21" a="1"/>
  <c r="Q28" i="21"/>
  <c r="Q32" i="21"/>
  <c r="S37" i="21"/>
  <c r="Q39" i="21"/>
  <c r="U41" i="21" a="1"/>
  <c r="U41" i="21"/>
  <c r="O66" i="21" a="1"/>
  <c r="O66" i="21"/>
  <c r="P78" i="21"/>
  <c r="T6" i="21"/>
  <c r="R8" i="21"/>
  <c r="P10" i="21"/>
  <c r="R11" i="21" a="1"/>
  <c r="R11" i="21"/>
  <c r="S18" i="21"/>
  <c r="R32" i="21"/>
  <c r="O36" i="21"/>
  <c r="T37" i="21"/>
  <c r="R39" i="21"/>
  <c r="Q49" i="21" a="1"/>
  <c r="Q49" i="21"/>
  <c r="O59" i="21" a="1"/>
  <c r="O59" i="21"/>
  <c r="Q76" i="21" a="1"/>
  <c r="Q76" i="21"/>
  <c r="Q78" i="21"/>
  <c r="R38" i="21"/>
  <c r="R9" i="21"/>
  <c r="R40" i="21"/>
  <c r="U6" i="21"/>
  <c r="S8" i="21"/>
  <c r="T18" i="21"/>
  <c r="R28" i="21" a="1"/>
  <c r="R28" i="21"/>
  <c r="S32" i="21"/>
  <c r="P36" i="21"/>
  <c r="P41" i="21" a="1"/>
  <c r="P41" i="21"/>
  <c r="O19" i="15" a="1"/>
  <c r="O19" i="15"/>
  <c r="U19" i="15" a="1"/>
  <c r="U19" i="15"/>
  <c r="R37" i="15"/>
  <c r="U40" i="15"/>
  <c r="Q42" i="15" a="1"/>
  <c r="Q42" i="15"/>
  <c r="Q49" i="15"/>
  <c r="Q67" i="15" a="1"/>
  <c r="Q67" i="15"/>
  <c r="Q76" i="15"/>
  <c r="T79" i="15"/>
  <c r="O41" i="15"/>
  <c r="O66" i="15"/>
  <c r="R76" i="15"/>
  <c r="S77" i="15" a="1"/>
  <c r="S77" i="15"/>
  <c r="U79" i="15"/>
  <c r="T37" i="15"/>
  <c r="R67" i="15" a="1"/>
  <c r="R67" i="15"/>
  <c r="S76" i="15"/>
  <c r="T80" i="15"/>
  <c r="T49" i="15"/>
  <c r="T50" i="15" a="1"/>
  <c r="T50" i="15"/>
  <c r="R60" i="15" a="1"/>
  <c r="R60" i="15"/>
  <c r="Q66" i="15"/>
  <c r="T76" i="15"/>
  <c r="T77" i="15" a="1"/>
  <c r="T77" i="15"/>
  <c r="U80" i="15"/>
  <c r="O28" i="15" a="1"/>
  <c r="O28" i="15"/>
  <c r="O38" i="15"/>
  <c r="U49" i="15"/>
  <c r="R66" i="15"/>
  <c r="S67" i="15" a="1"/>
  <c r="S67" i="15"/>
  <c r="U76" i="15"/>
  <c r="S66" i="15"/>
  <c r="O77" i="15" a="1"/>
  <c r="O77" i="15"/>
  <c r="U77" i="15" a="1"/>
  <c r="U77" i="15"/>
  <c r="O18" i="15"/>
  <c r="Q6" i="15"/>
  <c r="O8" i="15"/>
  <c r="T9" i="15"/>
  <c r="R19" i="15" a="1"/>
  <c r="R19" i="15"/>
  <c r="O33" i="15"/>
  <c r="Q38" i="15"/>
  <c r="O40" i="15"/>
  <c r="T41" i="15"/>
  <c r="T42" i="15" a="1"/>
  <c r="T42" i="15"/>
  <c r="T66" i="15"/>
  <c r="T67" i="15" a="1"/>
  <c r="T67" i="15"/>
  <c r="R6" i="15"/>
  <c r="U9" i="15"/>
  <c r="Q11" i="15" a="1"/>
  <c r="Q11" i="15"/>
  <c r="Q18" i="15"/>
  <c r="S34" i="15" a="1"/>
  <c r="S34" i="15"/>
  <c r="R38" i="15"/>
  <c r="U41" i="15"/>
  <c r="T60" i="15" a="1"/>
  <c r="T60" i="15"/>
  <c r="U66" i="15"/>
  <c r="P77" i="15" a="1"/>
  <c r="P77" i="15"/>
  <c r="O79" i="15"/>
  <c r="O50" i="15" a="1"/>
  <c r="O50" i="15"/>
  <c r="O10" i="15"/>
  <c r="Q33" i="15"/>
  <c r="S38" i="15"/>
  <c r="Q40" i="15"/>
  <c r="O42" i="15" a="1"/>
  <c r="O42" i="15"/>
  <c r="U42" i="15" a="1"/>
  <c r="U42" i="15"/>
  <c r="O67" i="15" a="1"/>
  <c r="O67" i="15"/>
  <c r="U67" i="15" a="1"/>
  <c r="U67" i="15"/>
  <c r="P79" i="15"/>
  <c r="T6" i="15"/>
  <c r="R8" i="15"/>
  <c r="R11" i="15" a="1"/>
  <c r="R11" i="15"/>
  <c r="S18" i="15"/>
  <c r="R33" i="15"/>
  <c r="O37" i="15"/>
  <c r="T38" i="15"/>
  <c r="R40" i="15"/>
  <c r="Q50" i="15" a="1"/>
  <c r="Q50" i="15"/>
  <c r="O60" i="15" a="1"/>
  <c r="O60" i="15"/>
  <c r="U60" i="15" a="1"/>
  <c r="U60" i="15"/>
  <c r="Q77" i="15" a="1"/>
  <c r="Q77" i="15"/>
  <c r="Q79" i="15"/>
  <c r="U6" i="15"/>
  <c r="S8" i="15"/>
  <c r="T18" i="15"/>
  <c r="S33" i="15"/>
  <c r="P42" i="15" a="1"/>
  <c r="P42" i="15"/>
  <c r="O49" i="15"/>
  <c r="O7" i="7"/>
  <c r="O19" i="7" a="1"/>
  <c r="O19" i="7"/>
  <c r="T78" i="7"/>
  <c r="O9" i="7"/>
  <c r="T10" i="7"/>
  <c r="T11" i="7" a="1"/>
  <c r="T11" i="7"/>
  <c r="P33" i="7" a="1"/>
  <c r="P33" i="7"/>
  <c r="S36" i="7"/>
  <c r="O40" i="7"/>
  <c r="R48" i="7"/>
  <c r="S49" i="7" a="1"/>
  <c r="S49" i="7"/>
  <c r="Q59" i="7" a="1"/>
  <c r="Q59" i="7"/>
  <c r="O65" i="7"/>
  <c r="R75" i="7"/>
  <c r="S76" i="7" a="1"/>
  <c r="S76" i="7"/>
  <c r="U78" i="7"/>
  <c r="P65" i="7"/>
  <c r="R66" i="7" a="1"/>
  <c r="R66" i="7"/>
  <c r="S75" i="7"/>
  <c r="T79" i="7"/>
  <c r="U36" i="7"/>
  <c r="T48" i="7"/>
  <c r="T49" i="7" a="1"/>
  <c r="T49" i="7"/>
  <c r="R59" i="7" a="1"/>
  <c r="R59" i="7"/>
  <c r="T75" i="7"/>
  <c r="T76" i="7" a="1"/>
  <c r="T76" i="7"/>
  <c r="U79" i="7"/>
  <c r="T28" i="7" a="1"/>
  <c r="T28" i="7"/>
  <c r="O6" i="7"/>
  <c r="T7" i="7"/>
  <c r="R9" i="7"/>
  <c r="U28" i="7" a="1"/>
  <c r="U28" i="7"/>
  <c r="O37" i="7"/>
  <c r="T38" i="7"/>
  <c r="R40" i="7"/>
  <c r="U48" i="7"/>
  <c r="R65" i="7"/>
  <c r="S66" i="7" a="1"/>
  <c r="S66" i="7"/>
  <c r="U75" i="7"/>
  <c r="R33" i="7" a="1"/>
  <c r="R33" i="7"/>
  <c r="P37" i="7"/>
  <c r="O76" i="7" a="1"/>
  <c r="O76" i="7"/>
  <c r="U76" i="7" a="1"/>
  <c r="U76" i="7"/>
  <c r="O33" i="7" a="1"/>
  <c r="O33" i="7"/>
  <c r="O38" i="7"/>
  <c r="T39" i="7"/>
  <c r="O11" i="7" a="1"/>
  <c r="O11" i="7"/>
  <c r="O49" i="7" a="1"/>
  <c r="O49" i="7"/>
  <c r="O8" i="7"/>
  <c r="T9" i="7"/>
  <c r="P18" i="7"/>
  <c r="R19" i="7" a="1"/>
  <c r="R19" i="7"/>
  <c r="P28" i="7" a="1"/>
  <c r="P28" i="7"/>
  <c r="O32" i="7"/>
  <c r="O39" i="7"/>
  <c r="T40" i="7"/>
  <c r="T41" i="7" a="1"/>
  <c r="T41" i="7"/>
  <c r="T65" i="7"/>
  <c r="T66" i="7" a="1"/>
  <c r="T66" i="7"/>
  <c r="U49" i="7" a="1"/>
  <c r="U49" i="7"/>
  <c r="R6" i="7"/>
  <c r="P8" i="7"/>
  <c r="U9" i="7"/>
  <c r="P32" i="7"/>
  <c r="S33" i="7" a="1"/>
  <c r="S33" i="7"/>
  <c r="R37" i="7"/>
  <c r="P39" i="7"/>
  <c r="U40" i="7"/>
  <c r="P49" i="7" a="1"/>
  <c r="P49" i="7"/>
  <c r="T59" i="7" a="1"/>
  <c r="T59" i="7"/>
  <c r="U65" i="7"/>
  <c r="P76" i="7" a="1"/>
  <c r="P76" i="7"/>
  <c r="O78" i="7"/>
  <c r="O28" i="7" a="1"/>
  <c r="O28" i="7"/>
  <c r="P6" i="7"/>
  <c r="O18" i="7"/>
  <c r="O10" i="7"/>
  <c r="R18" i="7"/>
  <c r="S37" i="7"/>
  <c r="O41" i="7" a="1"/>
  <c r="O41" i="7"/>
  <c r="U41" i="7" a="1"/>
  <c r="U41" i="7"/>
  <c r="O66" i="7" a="1"/>
  <c r="O66" i="7"/>
  <c r="U66" i="7" a="1"/>
  <c r="U66" i="7"/>
  <c r="P78" i="7"/>
  <c r="U7" i="7"/>
  <c r="T6" i="7"/>
  <c r="R8" i="7"/>
  <c r="P10" i="7"/>
  <c r="R11" i="7" a="1"/>
  <c r="R11" i="7"/>
  <c r="S18" i="7"/>
  <c r="R32" i="7"/>
  <c r="O36" i="7"/>
  <c r="T37" i="7"/>
  <c r="R39" i="7"/>
  <c r="O59" i="7" a="1"/>
  <c r="O59" i="7"/>
  <c r="U59" i="7" a="1"/>
  <c r="U59" i="7"/>
  <c r="Q76" i="7" a="1"/>
  <c r="Q76" i="7"/>
  <c r="P11" i="7" a="1"/>
  <c r="P11" i="7"/>
  <c r="U6" i="7"/>
  <c r="S8" i="7"/>
  <c r="T18" i="7"/>
  <c r="R28" i="7" a="1"/>
  <c r="R28" i="7"/>
  <c r="S32" i="7"/>
  <c r="P36" i="7"/>
  <c r="P41" i="7" a="1"/>
  <c r="P41" i="7"/>
  <c r="O48" i="7"/>
  <c r="Q41" i="6" a="1"/>
  <c r="Q41" i="6"/>
  <c r="Q48" i="6"/>
  <c r="Q67" i="6" a="1"/>
  <c r="Q67" i="6"/>
  <c r="Q76" i="6"/>
  <c r="T79" i="6"/>
  <c r="O7" i="6"/>
  <c r="T8" i="6"/>
  <c r="O9" i="6"/>
  <c r="T11" i="6" a="1"/>
  <c r="T11" i="6"/>
  <c r="O40" i="6"/>
  <c r="O66" i="6"/>
  <c r="P9" i="6"/>
  <c r="U10" i="6"/>
  <c r="P19" i="6" a="1"/>
  <c r="P19" i="6"/>
  <c r="O21" i="6" a="1"/>
  <c r="O21" i="6"/>
  <c r="T28" i="6" a="1"/>
  <c r="T28" i="6"/>
  <c r="T36" i="6"/>
  <c r="P40" i="6"/>
  <c r="S48" i="6"/>
  <c r="P66" i="6"/>
  <c r="R67" i="6" a="1"/>
  <c r="R67" i="6"/>
  <c r="S76" i="6"/>
  <c r="T80" i="6"/>
  <c r="T10" i="6"/>
  <c r="O11" i="6" a="1"/>
  <c r="O11" i="6"/>
  <c r="Q33" i="6" a="1"/>
  <c r="Q33" i="6"/>
  <c r="Q40" i="6"/>
  <c r="T48" i="6"/>
  <c r="T49" i="6" a="1"/>
  <c r="T49" i="6"/>
  <c r="Q66" i="6"/>
  <c r="T76" i="6"/>
  <c r="T77" i="6" a="1"/>
  <c r="T77" i="6"/>
  <c r="U80" i="6"/>
  <c r="O18" i="6"/>
  <c r="O49" i="6" a="1"/>
  <c r="O49" i="6"/>
  <c r="O77" i="6" a="1"/>
  <c r="O77" i="6"/>
  <c r="U77" i="6" a="1"/>
  <c r="U77" i="6"/>
  <c r="O37" i="6"/>
  <c r="T38" i="6"/>
  <c r="O8" i="6"/>
  <c r="T9" i="6"/>
  <c r="O32" i="6"/>
  <c r="O39" i="6"/>
  <c r="P8" i="6"/>
  <c r="Q11" i="6" a="1"/>
  <c r="Q11" i="6"/>
  <c r="Q18" i="6"/>
  <c r="P32" i="6"/>
  <c r="S33" i="6" a="1"/>
  <c r="S33" i="6"/>
  <c r="P39" i="6"/>
  <c r="U40" i="6"/>
  <c r="P49" i="6" a="1"/>
  <c r="P49" i="6"/>
  <c r="T60" i="6" a="1"/>
  <c r="T60" i="6"/>
  <c r="U66" i="6"/>
  <c r="P77" i="6" a="1"/>
  <c r="P77" i="6"/>
  <c r="O79" i="6"/>
  <c r="O33" i="6" a="1"/>
  <c r="O33" i="6"/>
  <c r="O38" i="6"/>
  <c r="T39" i="6"/>
  <c r="O6" i="6"/>
  <c r="O28" i="6" a="1"/>
  <c r="O28" i="6"/>
  <c r="T67" i="6" a="1"/>
  <c r="T67" i="6"/>
  <c r="Q8" i="6"/>
  <c r="O10" i="6"/>
  <c r="Q28" i="6" a="1"/>
  <c r="Q28" i="6"/>
  <c r="Q32" i="6"/>
  <c r="Q39" i="6"/>
  <c r="O41" i="6" a="1"/>
  <c r="O41" i="6"/>
  <c r="U41" i="6" a="1"/>
  <c r="U41" i="6"/>
  <c r="O67" i="6" a="1"/>
  <c r="O67" i="6"/>
  <c r="U67" i="6" a="1"/>
  <c r="U67" i="6"/>
  <c r="P79" i="6"/>
  <c r="Q6" i="6"/>
  <c r="T41" i="6" a="1"/>
  <c r="T41" i="6"/>
  <c r="T66" i="6"/>
  <c r="T6" i="6"/>
  <c r="P10" i="6"/>
  <c r="S18" i="6"/>
  <c r="O36" i="6"/>
  <c r="T37" i="6"/>
  <c r="Q49" i="6" a="1"/>
  <c r="Q49" i="6"/>
  <c r="O60" i="6" a="1"/>
  <c r="O60" i="6"/>
  <c r="U60" i="6" a="1"/>
  <c r="U60" i="6"/>
  <c r="Q77" i="6" a="1"/>
  <c r="Q77" i="6"/>
  <c r="Q79" i="6"/>
  <c r="O19" i="6" a="1"/>
  <c r="O19" i="6"/>
  <c r="Q37" i="6"/>
  <c r="T40" i="6"/>
  <c r="U6" i="6"/>
  <c r="T18" i="6"/>
  <c r="S32" i="6"/>
  <c r="P36" i="6"/>
  <c r="P41" i="6" a="1"/>
  <c r="P41" i="6"/>
  <c r="O48" i="6"/>
  <c r="T8" i="5"/>
  <c r="R10" i="5"/>
  <c r="S11" i="5" a="1"/>
  <c r="S11" i="5"/>
  <c r="U18" i="5"/>
  <c r="Q36" i="5"/>
  <c r="T39" i="5"/>
  <c r="P48" i="5"/>
  <c r="R49" i="5" a="1"/>
  <c r="R49" i="5"/>
  <c r="P60" i="5" a="1"/>
  <c r="P60" i="5"/>
  <c r="P76" i="5"/>
  <c r="R77" i="5" a="1"/>
  <c r="R77" i="5"/>
  <c r="S79" i="5"/>
  <c r="R36" i="5"/>
  <c r="Q67" i="5" a="1"/>
  <c r="Q67" i="5"/>
  <c r="Q76" i="5"/>
  <c r="T79" i="5"/>
  <c r="R48" i="5"/>
  <c r="R76" i="5"/>
  <c r="S77" i="5" a="1"/>
  <c r="S77" i="5"/>
  <c r="U79" i="5"/>
  <c r="R60" i="5" a="1"/>
  <c r="R60" i="5"/>
  <c r="Q66" i="5"/>
  <c r="T76" i="5"/>
  <c r="T77" i="5" a="1"/>
  <c r="T77" i="5"/>
  <c r="U80" i="5"/>
  <c r="R66" i="5"/>
  <c r="S67" i="5" a="1"/>
  <c r="S67" i="5"/>
  <c r="U76" i="5"/>
  <c r="R33" i="5" a="1"/>
  <c r="R33" i="5"/>
  <c r="U77" i="5" a="1"/>
  <c r="U77" i="5"/>
  <c r="R7" i="5"/>
  <c r="R38" i="5"/>
  <c r="Q6" i="5"/>
  <c r="T9" i="5"/>
  <c r="P18" i="5"/>
  <c r="R19" i="5" a="1"/>
  <c r="R19" i="5"/>
  <c r="P28" i="5" a="1"/>
  <c r="P28" i="5"/>
  <c r="Q37" i="5"/>
  <c r="O39" i="5"/>
  <c r="T40" i="5"/>
  <c r="T41" i="5" a="1"/>
  <c r="T41" i="5"/>
  <c r="T66" i="5"/>
  <c r="T67" i="5" a="1"/>
  <c r="T67" i="5"/>
  <c r="R41" i="5" a="1"/>
  <c r="R41" i="5"/>
  <c r="R9" i="5"/>
  <c r="R6" i="5"/>
  <c r="P8" i="5"/>
  <c r="U9" i="5"/>
  <c r="Q11" i="5" a="1"/>
  <c r="Q11" i="5"/>
  <c r="Q18" i="5"/>
  <c r="P32" i="5"/>
  <c r="S33" i="5" a="1"/>
  <c r="S33" i="5"/>
  <c r="R37" i="5"/>
  <c r="P39" i="5"/>
  <c r="U40" i="5"/>
  <c r="P49" i="5" a="1"/>
  <c r="P49" i="5"/>
  <c r="O51" i="5" a="1"/>
  <c r="O51" i="5"/>
  <c r="T60" i="5" a="1"/>
  <c r="T60" i="5"/>
  <c r="U66" i="5"/>
  <c r="P77" i="5" a="1"/>
  <c r="P77" i="5"/>
  <c r="O79" i="5"/>
  <c r="R18" i="5"/>
  <c r="Q28" i="5" a="1"/>
  <c r="Q28" i="5"/>
  <c r="Q32" i="5"/>
  <c r="S37" i="5"/>
  <c r="Q39" i="5"/>
  <c r="U41" i="5" a="1"/>
  <c r="U41" i="5"/>
  <c r="O67" i="5" a="1"/>
  <c r="O67" i="5"/>
  <c r="U67" i="5" a="1"/>
  <c r="U67" i="5"/>
  <c r="P79" i="5"/>
  <c r="R67" i="5" a="1"/>
  <c r="R67" i="5"/>
  <c r="R40" i="5"/>
  <c r="T6" i="5"/>
  <c r="R8" i="5"/>
  <c r="P10" i="5"/>
  <c r="R11" i="5" a="1"/>
  <c r="R11" i="5"/>
  <c r="S18" i="5"/>
  <c r="R32" i="5"/>
  <c r="T37" i="5"/>
  <c r="R39" i="5"/>
  <c r="Q49" i="5" a="1"/>
  <c r="Q49" i="5"/>
  <c r="U60" i="5" a="1"/>
  <c r="U60" i="5"/>
  <c r="Q77" i="5" a="1"/>
  <c r="Q77" i="5"/>
  <c r="Q79" i="5"/>
  <c r="U6" i="5"/>
  <c r="S8" i="5"/>
  <c r="T18" i="5"/>
  <c r="R28" i="5" a="1"/>
  <c r="R28" i="5"/>
  <c r="S32" i="5"/>
  <c r="P36" i="5"/>
  <c r="P41" i="5" a="1"/>
  <c r="P41" i="5"/>
  <c r="O48" i="5"/>
  <c r="P60" i="4" a="1"/>
  <c r="P60" i="4"/>
  <c r="P76" i="4"/>
  <c r="R77" i="4" a="1"/>
  <c r="R77" i="4"/>
  <c r="S79" i="4"/>
  <c r="T79" i="4"/>
  <c r="O9" i="4"/>
  <c r="T11" i="4" a="1"/>
  <c r="T11" i="4"/>
  <c r="P33" i="4" a="1"/>
  <c r="P33" i="4"/>
  <c r="S36" i="4"/>
  <c r="O40" i="4"/>
  <c r="R48" i="4"/>
  <c r="S49" i="4" a="1"/>
  <c r="S49" i="4"/>
  <c r="O66" i="4"/>
  <c r="R76" i="4"/>
  <c r="S77" i="4" a="1"/>
  <c r="S77" i="4"/>
  <c r="U79" i="4"/>
  <c r="P66" i="4"/>
  <c r="R67" i="4" a="1"/>
  <c r="R67" i="4"/>
  <c r="S76" i="4"/>
  <c r="T80" i="4"/>
  <c r="R60" i="4" a="1"/>
  <c r="R60" i="4"/>
  <c r="T76" i="4"/>
  <c r="T77" i="4" a="1"/>
  <c r="T77" i="4"/>
  <c r="U80" i="4"/>
  <c r="U48" i="4"/>
  <c r="R66" i="4"/>
  <c r="S67" i="4" a="1"/>
  <c r="S67" i="4"/>
  <c r="U76" i="4"/>
  <c r="U77" i="4" a="1"/>
  <c r="U77" i="4"/>
  <c r="O8" i="4"/>
  <c r="T9" i="4"/>
  <c r="P18" i="4"/>
  <c r="R19" i="4" a="1"/>
  <c r="R19" i="4"/>
  <c r="P28" i="4" a="1"/>
  <c r="P28" i="4"/>
  <c r="O32" i="4"/>
  <c r="Q37" i="4"/>
  <c r="O39" i="4"/>
  <c r="T40" i="4"/>
  <c r="T41" i="4" a="1"/>
  <c r="T41" i="4"/>
  <c r="T66" i="4"/>
  <c r="T67" i="4" a="1"/>
  <c r="T67" i="4"/>
  <c r="R6" i="4"/>
  <c r="P8" i="4"/>
  <c r="U9" i="4"/>
  <c r="P32" i="4"/>
  <c r="S33" i="4" a="1"/>
  <c r="S33" i="4"/>
  <c r="R37" i="4"/>
  <c r="P39" i="4"/>
  <c r="U40" i="4"/>
  <c r="P49" i="4" a="1"/>
  <c r="P49" i="4"/>
  <c r="T60" i="4" a="1"/>
  <c r="T60" i="4"/>
  <c r="U66" i="4"/>
  <c r="P77" i="4" a="1"/>
  <c r="P77" i="4"/>
  <c r="O79" i="4"/>
  <c r="O10" i="4"/>
  <c r="R18" i="4"/>
  <c r="S37" i="4"/>
  <c r="O41" i="4" a="1"/>
  <c r="O41" i="4"/>
  <c r="U41" i="4" a="1"/>
  <c r="U41" i="4"/>
  <c r="O67" i="4" a="1"/>
  <c r="O67" i="4"/>
  <c r="U67" i="4" a="1"/>
  <c r="U67" i="4"/>
  <c r="P79" i="4"/>
  <c r="T6" i="4"/>
  <c r="R8" i="4"/>
  <c r="P10" i="4"/>
  <c r="R11" i="4" a="1"/>
  <c r="R11" i="4"/>
  <c r="S18" i="4"/>
  <c r="R32" i="4"/>
  <c r="O36" i="4"/>
  <c r="T37" i="4"/>
  <c r="R39" i="4"/>
  <c r="Q49" i="4" a="1"/>
  <c r="Q49" i="4"/>
  <c r="O60" i="4" a="1"/>
  <c r="O60" i="4"/>
  <c r="U60" i="4" a="1"/>
  <c r="U60" i="4"/>
  <c r="Q77" i="4" a="1"/>
  <c r="Q77" i="4"/>
  <c r="U49" i="4" a="1"/>
  <c r="U49" i="4"/>
  <c r="U6" i="4"/>
  <c r="S8" i="4"/>
  <c r="T18" i="4"/>
  <c r="R28" i="4" a="1"/>
  <c r="R28" i="4"/>
  <c r="S32" i="4"/>
  <c r="P36" i="4"/>
  <c r="P41" i="4" a="1"/>
  <c r="P41" i="4"/>
  <c r="O48" i="4"/>
  <c r="T8" i="2"/>
  <c r="R10" i="2"/>
  <c r="S11" i="2" a="1"/>
  <c r="S11" i="2"/>
  <c r="U18" i="2"/>
  <c r="O33" i="2" a="1"/>
  <c r="O33" i="2"/>
  <c r="Q36" i="2"/>
  <c r="O38" i="2"/>
  <c r="T39" i="2"/>
  <c r="P48" i="2"/>
  <c r="R49" i="2" a="1"/>
  <c r="R49" i="2"/>
  <c r="P60" i="2" a="1"/>
  <c r="P60" i="2"/>
  <c r="P76" i="2"/>
  <c r="R77" i="2" a="1"/>
  <c r="R77" i="2"/>
  <c r="S79" i="2"/>
  <c r="Q67" i="2" a="1"/>
  <c r="Q67" i="2"/>
  <c r="Q76" i="2"/>
  <c r="T79" i="2"/>
  <c r="R76" i="2"/>
  <c r="S77" i="2" a="1"/>
  <c r="S77" i="2"/>
  <c r="U79" i="2"/>
  <c r="P66" i="2"/>
  <c r="R67" i="2" a="1"/>
  <c r="R67" i="2"/>
  <c r="S76" i="2"/>
  <c r="T80" i="2"/>
  <c r="R60" i="2" a="1"/>
  <c r="R60" i="2"/>
  <c r="Q66" i="2"/>
  <c r="T76" i="2"/>
  <c r="T77" i="2" a="1"/>
  <c r="T77" i="2"/>
  <c r="U80" i="2"/>
  <c r="R66" i="2"/>
  <c r="S67" i="2" a="1"/>
  <c r="S67" i="2"/>
  <c r="U76" i="2"/>
  <c r="P11" i="2" a="1"/>
  <c r="P11" i="2"/>
  <c r="P37" i="2"/>
  <c r="U77" i="2" a="1"/>
  <c r="U77" i="2"/>
  <c r="R33" i="2" a="1"/>
  <c r="R33" i="2"/>
  <c r="U38" i="2"/>
  <c r="Q6" i="2"/>
  <c r="T9" i="2"/>
  <c r="P18" i="2"/>
  <c r="R19" i="2" a="1"/>
  <c r="R19" i="2"/>
  <c r="P28" i="2" a="1"/>
  <c r="P28" i="2"/>
  <c r="Q37" i="2"/>
  <c r="O39" i="2"/>
  <c r="T40" i="2"/>
  <c r="T41" i="2" a="1"/>
  <c r="T41" i="2"/>
  <c r="T66" i="2"/>
  <c r="T67" i="2" a="1"/>
  <c r="T67" i="2"/>
  <c r="P6" i="2"/>
  <c r="R6" i="2"/>
  <c r="P8" i="2"/>
  <c r="U9" i="2"/>
  <c r="Q11" i="2" a="1"/>
  <c r="Q11" i="2"/>
  <c r="Q18" i="2"/>
  <c r="P32" i="2"/>
  <c r="S33" i="2" a="1"/>
  <c r="S33" i="2"/>
  <c r="R37" i="2"/>
  <c r="P39" i="2"/>
  <c r="U40" i="2"/>
  <c r="P49" i="2" a="1"/>
  <c r="P49" i="2"/>
  <c r="O51" i="2" a="1"/>
  <c r="O51" i="2"/>
  <c r="T60" i="2" a="1"/>
  <c r="T60" i="2"/>
  <c r="U66" i="2"/>
  <c r="P77" i="2" a="1"/>
  <c r="P77" i="2"/>
  <c r="O79" i="2"/>
  <c r="S6" i="2"/>
  <c r="Q8" i="2"/>
  <c r="R18" i="2"/>
  <c r="S19" i="2" a="1"/>
  <c r="S19" i="2"/>
  <c r="Q28" i="2" a="1"/>
  <c r="Q28" i="2"/>
  <c r="Q32" i="2"/>
  <c r="S37" i="2"/>
  <c r="Q39" i="2"/>
  <c r="U41" i="2" a="1"/>
  <c r="U41" i="2"/>
  <c r="O67" i="2" a="1"/>
  <c r="O67" i="2"/>
  <c r="U67" i="2" a="1"/>
  <c r="U67" i="2"/>
  <c r="P79" i="2"/>
  <c r="T6" i="2"/>
  <c r="R8" i="2"/>
  <c r="P10" i="2"/>
  <c r="R11" i="2" a="1"/>
  <c r="R11" i="2"/>
  <c r="S18" i="2"/>
  <c r="R32" i="2"/>
  <c r="O36" i="2"/>
  <c r="T37" i="2"/>
  <c r="R39" i="2"/>
  <c r="Q49" i="2" a="1"/>
  <c r="Q49" i="2"/>
  <c r="O60" i="2" a="1"/>
  <c r="O60" i="2"/>
  <c r="U60" i="2" a="1"/>
  <c r="U60" i="2"/>
  <c r="Q77" i="2" a="1"/>
  <c r="Q77" i="2"/>
  <c r="Q79" i="2"/>
  <c r="U49" i="2" a="1"/>
  <c r="U49" i="2"/>
  <c r="U6" i="2"/>
  <c r="S8" i="2"/>
  <c r="T18" i="2"/>
  <c r="R28" i="2" a="1"/>
  <c r="R28" i="2"/>
  <c r="S32" i="2"/>
  <c r="P36" i="2"/>
  <c r="P41" i="2" a="1"/>
  <c r="P41" i="2"/>
  <c r="S11" i="3" a="1"/>
  <c r="S11" i="3"/>
  <c r="S66" i="3"/>
  <c r="S79" i="3"/>
  <c r="S48" i="3"/>
  <c r="S7" i="3"/>
  <c r="S36" i="3"/>
  <c r="S49" i="3" a="1"/>
  <c r="S49" i="3"/>
  <c r="S60" i="3" a="1"/>
  <c r="S60" i="3"/>
  <c r="S9" i="3"/>
  <c r="S40" i="3"/>
  <c r="U8" i="3"/>
  <c r="S10" i="3"/>
  <c r="O19" i="3" a="1"/>
  <c r="O19" i="3"/>
  <c r="U19" i="3" a="1"/>
  <c r="U19" i="3"/>
  <c r="S28" i="3" a="1"/>
  <c r="S28" i="3"/>
  <c r="R36" i="3"/>
  <c r="U39" i="3"/>
  <c r="Q41" i="3" a="1"/>
  <c r="Q41" i="3"/>
  <c r="Q48" i="3"/>
  <c r="Q67" i="3" a="1"/>
  <c r="Q67" i="3"/>
  <c r="Q76" i="3"/>
  <c r="T79" i="3"/>
  <c r="O66" i="3"/>
  <c r="R76" i="3"/>
  <c r="S77" i="3" a="1"/>
  <c r="S77" i="3"/>
  <c r="U79" i="3"/>
  <c r="R67" i="3" a="1"/>
  <c r="R67" i="3"/>
  <c r="S76" i="3"/>
  <c r="T80" i="3"/>
  <c r="R60" i="3" a="1"/>
  <c r="R60" i="3"/>
  <c r="Q66" i="3"/>
  <c r="T76" i="3"/>
  <c r="T77" i="3" a="1"/>
  <c r="T77" i="3"/>
  <c r="U80" i="3"/>
  <c r="U48" i="3"/>
  <c r="R66" i="3"/>
  <c r="S67" i="3" a="1"/>
  <c r="S67" i="3"/>
  <c r="U76" i="3"/>
  <c r="O77" i="3" a="1"/>
  <c r="O77" i="3"/>
  <c r="U77" i="3" a="1"/>
  <c r="U77" i="3"/>
  <c r="Q6" i="3"/>
  <c r="O8" i="3"/>
  <c r="T9" i="3"/>
  <c r="R19" i="3" a="1"/>
  <c r="R19" i="3"/>
  <c r="O32" i="3"/>
  <c r="Q37" i="3"/>
  <c r="O39" i="3"/>
  <c r="T40" i="3"/>
  <c r="T41" i="3" a="1"/>
  <c r="T41" i="3"/>
  <c r="T66" i="3"/>
  <c r="T67" i="3" a="1"/>
  <c r="T67" i="3"/>
  <c r="R6" i="3"/>
  <c r="U9" i="3"/>
  <c r="Q11" i="3" a="1"/>
  <c r="Q11" i="3"/>
  <c r="Q18" i="3"/>
  <c r="S33" i="3" a="1"/>
  <c r="S33" i="3"/>
  <c r="R37" i="3"/>
  <c r="U40" i="3"/>
  <c r="T60" i="3" a="1"/>
  <c r="T60" i="3"/>
  <c r="U66" i="3"/>
  <c r="P77" i="3" a="1"/>
  <c r="P77" i="3"/>
  <c r="O79" i="3"/>
  <c r="O49" i="3" a="1"/>
  <c r="O49" i="3"/>
  <c r="S6" i="3"/>
  <c r="Q8" i="3"/>
  <c r="O10" i="3"/>
  <c r="R18" i="3"/>
  <c r="S19" i="3" a="1"/>
  <c r="S19" i="3"/>
  <c r="Q28" i="3" a="1"/>
  <c r="Q28" i="3"/>
  <c r="Q32" i="3"/>
  <c r="S37" i="3"/>
  <c r="Q39" i="3"/>
  <c r="O41" i="3" a="1"/>
  <c r="O41" i="3"/>
  <c r="U41" i="3" a="1"/>
  <c r="U41" i="3"/>
  <c r="O67" i="3" a="1"/>
  <c r="O67" i="3"/>
  <c r="U67" i="3" a="1"/>
  <c r="U67" i="3"/>
  <c r="P79" i="3"/>
  <c r="O18" i="3"/>
  <c r="T6" i="3"/>
  <c r="R8" i="3"/>
  <c r="R11" i="3" a="1"/>
  <c r="R11" i="3"/>
  <c r="S18" i="3"/>
  <c r="R32" i="3"/>
  <c r="O36" i="3"/>
  <c r="T37" i="3"/>
  <c r="R39" i="3"/>
  <c r="Q49" i="3" a="1"/>
  <c r="Q49" i="3"/>
  <c r="O60" i="3" a="1"/>
  <c r="O60" i="3"/>
  <c r="U60" i="3" a="1"/>
  <c r="U60" i="3"/>
  <c r="Q77" i="3" a="1"/>
  <c r="Q77" i="3"/>
  <c r="Q79" i="3"/>
  <c r="U6" i="3"/>
  <c r="S8" i="3"/>
  <c r="T18" i="3"/>
  <c r="R28" i="3" a="1"/>
  <c r="R28" i="3"/>
  <c r="S32" i="3"/>
  <c r="P41" i="3" a="1"/>
  <c r="P41" i="3"/>
  <c r="O48" i="3"/>
  <c r="O32" i="1"/>
  <c r="P41" i="1" a="1"/>
  <c r="P41" i="1"/>
  <c r="P32" i="1"/>
  <c r="P11" i="1" a="1"/>
  <c r="P11" i="1"/>
  <c r="R11" i="1" a="1"/>
  <c r="R11" i="1"/>
  <c r="R32" i="1"/>
  <c r="R41" i="1" a="1"/>
  <c r="R41" i="1"/>
  <c r="S32" i="1"/>
  <c r="S11" i="1" a="1"/>
  <c r="S11" i="1"/>
  <c r="S41" i="1" a="1"/>
  <c r="S41" i="1"/>
  <c r="T11" i="1" a="1"/>
  <c r="T11" i="1"/>
  <c r="T41" i="1" a="1"/>
  <c r="T41" i="1"/>
  <c r="U11" i="1" a="1"/>
  <c r="U11" i="1"/>
  <c r="U41" i="1" a="1"/>
  <c r="U41" i="1"/>
  <c r="O41" i="1" a="1"/>
  <c r="O41" i="1"/>
  <c r="O11" i="1" a="1"/>
  <c r="O11" i="1"/>
  <c r="Q11" i="1" a="1"/>
  <c r="Q11" i="1"/>
  <c r="Q32" i="1"/>
  <c r="Q41" i="1" a="1"/>
  <c r="Q41" i="1"/>
  <c r="U40" i="1"/>
  <c r="T8" i="1"/>
  <c r="S18" i="1"/>
  <c r="Q40" i="1"/>
  <c r="U66" i="1"/>
  <c r="Q6" i="1"/>
  <c r="U79" i="1"/>
  <c r="U39" i="1"/>
  <c r="Q76" i="1"/>
  <c r="S40" i="1"/>
  <c r="T39" i="1"/>
  <c r="T66" i="1"/>
  <c r="T18" i="1"/>
  <c r="U37" i="1"/>
  <c r="T40" i="1"/>
  <c r="U18" i="1"/>
  <c r="O21" i="1" a="1"/>
  <c r="O21" i="1"/>
  <c r="O51" i="1" a="1"/>
  <c r="O51" i="1"/>
  <c r="P51" i="1" a="1"/>
  <c r="P51" i="1"/>
  <c r="P21" i="1" a="1"/>
  <c r="P21" i="1"/>
  <c r="Q39" i="1"/>
  <c r="Q8" i="1"/>
  <c r="O36" i="1"/>
  <c r="Q7" i="1"/>
  <c r="Q48" i="1"/>
  <c r="U38" i="1"/>
  <c r="O8" i="1"/>
  <c r="T38" i="1"/>
  <c r="S79" i="1"/>
  <c r="S48" i="1"/>
  <c r="R8" i="1"/>
  <c r="P6" i="1"/>
  <c r="P40" i="1"/>
  <c r="P48" i="1"/>
  <c r="O6" i="1"/>
  <c r="R38" i="1"/>
  <c r="P38" i="1"/>
  <c r="P10" i="1"/>
  <c r="U7" i="1"/>
  <c r="T10" i="1"/>
  <c r="T6" i="1"/>
  <c r="S7" i="1"/>
  <c r="S6" i="1"/>
  <c r="S10" i="1"/>
  <c r="R79" i="1"/>
  <c r="R37" i="1"/>
  <c r="P67" i="1" a="1"/>
  <c r="P67" i="1"/>
  <c r="P39" i="1"/>
  <c r="P18" i="1"/>
  <c r="T67" i="1" a="1"/>
  <c r="T67" i="1"/>
  <c r="S37" i="1"/>
  <c r="O38" i="1"/>
  <c r="R7" i="1"/>
  <c r="R10" i="1"/>
  <c r="P8" i="1"/>
  <c r="P66" i="1"/>
  <c r="S51" i="1" a="1"/>
  <c r="S51" i="1"/>
  <c r="S21" i="1" a="1"/>
  <c r="S21" i="1"/>
  <c r="Q37" i="1"/>
  <c r="O7" i="1"/>
  <c r="U10" i="1"/>
  <c r="U80" i="1"/>
  <c r="T36" i="1"/>
  <c r="T80" i="1"/>
  <c r="S39" i="1"/>
  <c r="S9" i="1"/>
  <c r="R36" i="1"/>
  <c r="R6" i="1"/>
  <c r="R39" i="1"/>
  <c r="P7" i="1"/>
  <c r="O39" i="1"/>
  <c r="O9" i="1"/>
  <c r="O37" i="1"/>
  <c r="Q51" i="1" a="1"/>
  <c r="Q51" i="1"/>
  <c r="Q21" i="1" a="1"/>
  <c r="Q21" i="1"/>
  <c r="Q10" i="1"/>
  <c r="U6" i="1"/>
  <c r="T76" i="1"/>
  <c r="S66" i="1"/>
  <c r="R9" i="1"/>
  <c r="P36" i="1"/>
  <c r="R51" i="1" a="1"/>
  <c r="R51" i="1"/>
  <c r="R21" i="1" a="1"/>
  <c r="R21" i="1"/>
  <c r="O67" i="1" a="1"/>
  <c r="O67" i="1"/>
  <c r="O48" i="1"/>
  <c r="Q18" i="1"/>
  <c r="O79" i="1"/>
  <c r="U76" i="1"/>
  <c r="T9" i="1"/>
  <c r="S67" i="1" a="1"/>
  <c r="S67" i="1"/>
  <c r="R18" i="1"/>
  <c r="R67" i="1" a="1"/>
  <c r="R67" i="1"/>
  <c r="P76" i="1"/>
  <c r="P37" i="1"/>
  <c r="O18" i="1"/>
  <c r="T21" i="1" a="1"/>
  <c r="T21" i="1"/>
  <c r="T51" i="1" a="1"/>
  <c r="T51" i="1"/>
  <c r="Q79" i="1"/>
  <c r="U21" i="1" a="1"/>
  <c r="U21" i="1"/>
  <c r="U51" i="1" a="1"/>
  <c r="U51" i="1"/>
  <c r="Q36" i="1"/>
  <c r="Q67" i="1" a="1"/>
  <c r="Q67" i="1"/>
  <c r="Q66" i="1"/>
  <c r="U36" i="1"/>
  <c r="U67" i="1" a="1"/>
  <c r="U67" i="1"/>
  <c r="T79" i="1"/>
  <c r="T48" i="1"/>
  <c r="S36" i="1"/>
  <c r="S38" i="1"/>
  <c r="R66" i="1"/>
  <c r="R40" i="1"/>
  <c r="O40" i="1"/>
  <c r="O66" i="1"/>
  <c r="U9" i="1"/>
  <c r="U8" i="1"/>
  <c r="S76" i="1"/>
  <c r="R48" i="1"/>
  <c r="P79" i="1"/>
  <c r="P9" i="1"/>
  <c r="O10" i="1"/>
  <c r="Q38" i="1"/>
  <c r="Q9" i="1"/>
  <c r="U48" i="1"/>
  <c r="T7" i="1"/>
  <c r="T37" i="1"/>
  <c r="S8" i="1"/>
  <c r="R76" i="1"/>
  <c r="O76" i="1"/>
  <c r="T1" i="1"/>
  <c r="Q1" i="1"/>
  <c r="U1" i="1"/>
  <c r="P1" i="1"/>
  <c r="O1" i="1"/>
  <c r="S1" i="1"/>
  <c r="R1" i="1"/>
  <c r="L171" i="21"/>
  <c r="L169" i="21"/>
  <c r="U48" i="21"/>
  <c r="L1" i="21"/>
  <c r="U1" i="21"/>
  <c r="U51" i="21" a="1"/>
  <c r="U51" i="21"/>
  <c r="U28" i="21" a="1"/>
  <c r="U28" i="21"/>
  <c r="U21" i="21" a="1"/>
  <c r="U21" i="21"/>
  <c r="U19" i="21" a="1"/>
  <c r="U19" i="21"/>
  <c r="U49" i="21" a="1"/>
  <c r="U49" i="21"/>
  <c r="U76" i="21" a="1"/>
  <c r="U76" i="21"/>
  <c r="U40" i="21"/>
  <c r="U66" i="21" a="1"/>
  <c r="U66" i="21"/>
  <c r="U59" i="21" a="1"/>
  <c r="U59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Tara Connell</author>
  </authors>
  <commentList>
    <comment ref="U8" authorId="0" shapeId="0" xr:uid="{516B472E-3B6B-7543-9EDF-7DBA3904EF1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shift only</t>
        </r>
      </text>
    </comment>
    <comment ref="BQ8" authorId="0" shapeId="0" xr:uid="{85B86D97-4A38-4B4A-B5E8-D037D3724D5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AM</t>
        </r>
      </text>
    </comment>
    <comment ref="C9" authorId="0" shapeId="0" xr:uid="{968DDB6D-5A96-F74D-8DAC-5BBCC465778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D9" authorId="0" shapeId="0" xr:uid="{4211E864-A01C-DB4F-85AC-A6880BAF403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J9" authorId="0" shapeId="0" xr:uid="{BC47C874-4AC3-1441-9C7B-9944116C465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K9" authorId="0" shapeId="0" xr:uid="{5AD756DA-D901-524E-BFA4-4AF489FADDF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Q9" authorId="0" shapeId="0" xr:uid="{19BE586C-EE47-2A49-8BC9-C7CC5746C76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R9" authorId="0" shapeId="0" xr:uid="{4D8A110B-8DAA-D346-A433-B18385B506E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X9" authorId="0" shapeId="0" xr:uid="{39904961-463C-1B48-A901-5BB82B5B56E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Y9" authorId="0" shapeId="0" xr:uid="{39749FEE-911E-CF46-9A1D-148DAE8CF4F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AA9" authorId="0" shapeId="0" xr:uid="{9DAB9793-01C7-9145-8226-A79C96B9A46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AE9" authorId="0" shapeId="0" xr:uid="{C4A03C58-B63E-6B45-A03E-E6C1944BE4A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AF9" authorId="0" shapeId="0" xr:uid="{C3884F98-35EC-1A4E-9E54-961AA9BD175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AP9" authorId="0" shapeId="0" xr:uid="{243F8A3F-7440-0D47-A9DB-29B268F6A1F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AS9" authorId="0" shapeId="0" xr:uid="{2CBAD0C5-B9BA-ED4E-AE5B-B60E31370B5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AT9" authorId="0" shapeId="0" xr:uid="{B272981E-EE27-964D-8905-B52DA86F054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AZ9" authorId="0" shapeId="0" xr:uid="{95FEE76F-2CCD-3445-B9C7-E0BCA70C4D0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BA9" authorId="0" shapeId="0" xr:uid="{556E1A42-F437-5E42-9009-A58039D2484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BU9" authorId="0" shapeId="0" xr:uid="{1FAE7306-50A6-8B43-A518-B0A6F751E02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BV9" authorId="0" shapeId="0" xr:uid="{721DB534-5075-2544-82EB-DA4E7B67869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CB9" authorId="0" shapeId="0" xr:uid="{020F29BB-120F-B64F-A825-1BDC2029B3F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CC9" authorId="0" shapeId="0" xr:uid="{86EA523A-FA3D-DF48-B016-6D72DD4B59C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CI9" authorId="0" shapeId="0" xr:uid="{353F108D-B048-4049-A2DA-6CFDFF73652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CJ9" authorId="0" shapeId="0" xr:uid="{3B0ED20F-EDA7-034D-83AC-9E3C7408C09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AA10" authorId="0" shapeId="0" xr:uid="{51664146-1525-6D40-BFB9-67A5AF51C62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AM only</t>
        </r>
      </text>
    </comment>
    <comment ref="AI10" authorId="0" shapeId="0" xr:uid="{AAE3B592-575B-2B44-9D66-8E732A02074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AM only</t>
        </r>
      </text>
    </comment>
    <comment ref="CL10" authorId="0" shapeId="0" xr:uid="{4E79A599-9714-B840-988E-A4F72CF0116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C11" authorId="0" shapeId="0" xr:uid="{5155B45C-16DF-0648-9DD8-5A8CCAC0726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J11" authorId="0" shapeId="0" xr:uid="{A7C76427-5E04-4046-B3CF-8D28F9E7B26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L11" authorId="0" shapeId="0" xr:uid="{4D95C788-53A1-B14E-9564-DF41C313FB0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Q11" authorId="0" shapeId="0" xr:uid="{AD6BF1D5-1153-9A4F-9FEE-C75C879DA84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X11" authorId="0" shapeId="0" xr:uid="{136C4B50-EAE0-C240-B96A-648F0A83C2D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AE11" authorId="0" shapeId="0" xr:uid="{30802DAB-81B6-DA45-99D9-D1C8EB29823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AS11" authorId="0" shapeId="0" xr:uid="{334CC202-02AD-6443-A19F-9244CCFCA91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AZ11" authorId="0" shapeId="0" xr:uid="{63256C11-542C-F548-BC5C-768CD1B8077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BU11" authorId="0" shapeId="0" xr:uid="{30995C1B-C3D4-0546-9A7C-8CDD202EA37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CB11" authorId="0" shapeId="0" xr:uid="{9DF851BE-2D3E-7140-8C38-F3075BE39C0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CH11" authorId="0" shapeId="0" xr:uid="{19F77C4E-0802-8E4F-B4BE-CE6F8848914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SSU</t>
        </r>
      </text>
    </comment>
    <comment ref="CI11" authorId="0" shapeId="0" xr:uid="{ED00F07F-7F5D-0E47-977D-81B8354CF09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D12" authorId="0" shapeId="0" xr:uid="{F4BFB0F3-A679-0C4F-B4BC-E767025888B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 for M+M</t>
        </r>
      </text>
    </comment>
    <comment ref="BO12" authorId="0" shapeId="0" xr:uid="{B9C52FE6-D5E1-AB49-8DE0-98091242C3D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 M+M</t>
        </r>
      </text>
    </comment>
    <comment ref="C13" authorId="0" shapeId="0" xr:uid="{3D59D7AB-1E50-2E43-940D-9D51507AB4B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David happy to swap from friday but leave as SSU</t>
        </r>
      </text>
    </comment>
    <comment ref="E13" authorId="0" shapeId="0" xr:uid="{ED673F82-AA1F-8449-A130-25604473C1E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ACEM</t>
        </r>
      </text>
    </comment>
    <comment ref="G13" authorId="0" shapeId="0" xr:uid="{0AE6CB4D-2850-504C-A65F-E4C8935A7F4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swapped from Monday am</t>
        </r>
      </text>
    </comment>
    <comment ref="L13" authorId="0" shapeId="0" xr:uid="{754869F4-F3D9-B143-B906-34CD2E75FBB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 not CSO - MOSCE</t>
        </r>
      </text>
    </comment>
    <comment ref="Q13" authorId="0" shapeId="0" xr:uid="{A4358D60-ECE3-8E4C-83CA-F9EFF56E201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 MOSCE</t>
        </r>
      </text>
    </comment>
    <comment ref="T13" authorId="0" shapeId="0" xr:uid="{049EA791-EFD8-2640-9E8A-8472D9D2A3E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 PE standard setting</t>
        </r>
      </text>
    </comment>
    <comment ref="Z13" authorId="0" shapeId="0" xr:uid="{9DBF31F2-C124-6F43-9B4D-9FF393E1478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ACEM</t>
        </r>
      </text>
    </comment>
    <comment ref="AB13" authorId="0" shapeId="0" xr:uid="{757309AC-F297-B24D-AB60-D7171134CDB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CS/ACEM/OFF</t>
        </r>
      </text>
    </comment>
    <comment ref="AE13" authorId="0" shapeId="0" xr:uid="{D77F2B8F-A297-924B-9C82-D9EC9B8C4CC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AW13" authorId="0" shapeId="0" xr:uid="{91895727-0576-4B43-8D30-B776F662AAA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CS offsite only</t>
        </r>
      </text>
    </comment>
    <comment ref="BP13" authorId="0" shapeId="0" xr:uid="{A42E27C7-FC94-884D-9535-9C3E4FC189F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CD13" authorId="0" shapeId="0" xr:uid="{EE049272-1428-5741-BD78-4CFCC77C6D2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CS Office</t>
        </r>
      </text>
    </comment>
    <comment ref="CF13" authorId="0" shapeId="0" xr:uid="{56AE3AB8-44FF-0747-B30B-EC43C14D93F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CS/ACEM/off only</t>
        </r>
      </text>
    </comment>
    <comment ref="CK13" authorId="0" shapeId="0" xr:uid="{438C232D-81EC-B144-9B10-F8DAC8BDBD2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ACEM or CS</t>
        </r>
      </text>
    </comment>
    <comment ref="D14" authorId="0" shapeId="0" xr:uid="{32FE4E2A-35C9-A04B-91BA-6B563CC2E22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F14" authorId="0" shapeId="0" xr:uid="{F32AE033-1B8C-4C41-9C18-29B98981647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</t>
        </r>
      </text>
    </comment>
    <comment ref="K14" authorId="0" shapeId="0" xr:uid="{3771EA3D-5596-5C45-89D7-A4679E24561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M14" authorId="0" shapeId="0" xr:uid="{B40AC13C-9C7E-ED47-B4CF-03D22F2A4C9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</t>
        </r>
      </text>
    </comment>
    <comment ref="R14" authorId="0" shapeId="0" xr:uid="{6BC63640-F20E-C146-9DFC-042A358709B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T14" authorId="0" shapeId="0" xr:uid="{9C72482B-E43E-3642-8299-95A5F42DC69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</t>
        </r>
      </text>
    </comment>
    <comment ref="Z14" authorId="0" shapeId="0" xr:uid="{EDEC677F-9165-574A-8B6E-289F9F4EFB5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clinical</t>
        </r>
      </text>
    </comment>
    <comment ref="AA14" authorId="0" shapeId="0" xr:uid="{CED6F59C-C7FD-604E-BF2B-8FFA9316456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AF14" authorId="0" shapeId="0" xr:uid="{A775E5DE-2067-4F44-863C-294EDAE3DAE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AH14" authorId="0" shapeId="0" xr:uid="{8F2DCBDB-9E47-6B4E-892A-ACA0EEA1CD2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</t>
        </r>
      </text>
    </comment>
    <comment ref="AM14" authorId="0" shapeId="0" xr:uid="{F8471E15-6A2A-E445-B7FD-1D1A5400D14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AO14" authorId="0" shapeId="0" xr:uid="{F81CED16-ADAA-1643-9257-8CCE90BD6CE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</t>
        </r>
      </text>
    </comment>
    <comment ref="BH14" authorId="0" shapeId="0" xr:uid="{5A43B905-C965-D44B-BD19-37930255549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BJ14" authorId="0" shapeId="0" xr:uid="{649D9F58-A6C6-6548-B2DB-1D6E6A6381E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</t>
        </r>
      </text>
    </comment>
    <comment ref="BQ14" authorId="0" shapeId="0" xr:uid="{3C62C3B8-233F-2A46-B0D9-A172655F22A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</t>
        </r>
      </text>
    </comment>
    <comment ref="BX14" authorId="0" shapeId="0" xr:uid="{6E24F5E3-A202-7E4C-A2DF-63187FBB896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</t>
        </r>
      </text>
    </comment>
    <comment ref="CC14" authorId="0" shapeId="0" xr:uid="{FF640B4A-D69E-9F45-8BDF-37BAAA779B5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CE14" authorId="0" shapeId="0" xr:uid="{1C8A5D8A-8393-B049-B489-A36564B899C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</t>
        </r>
      </text>
    </comment>
    <comment ref="CJ14" authorId="0" shapeId="0" xr:uid="{177111C7-024F-5547-B7FD-FC422968B68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CL14" authorId="0" shapeId="0" xr:uid="{0AD9FCB0-5DA8-7143-9D5E-DF441E3B97D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</t>
        </r>
      </text>
    </comment>
    <comment ref="C15" authorId="0" shapeId="0" xr:uid="{D6E7FED8-EEEF-DD41-952E-72D26457F98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 orientation</t>
        </r>
      </text>
    </comment>
    <comment ref="E15" authorId="0" shapeId="0" xr:uid="{A6D2FF43-9A04-3D41-A276-F1309EEB774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CS only</t>
        </r>
      </text>
    </comment>
    <comment ref="F16" authorId="0" shapeId="0" xr:uid="{A93FB308-90B4-B141-8BF3-49B2E105C60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</t>
        </r>
      </text>
    </comment>
    <comment ref="K16" authorId="0" shapeId="0" xr:uid="{AFD26EB1-39D8-6447-BBFF-39CC322B8C0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 - NOT OFFICE</t>
        </r>
      </text>
    </comment>
    <comment ref="T16" authorId="0" shapeId="0" xr:uid="{271DFE63-10D2-CB41-B1B5-F18BDC2777D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</t>
        </r>
      </text>
    </comment>
    <comment ref="Y16" authorId="0" shapeId="0" xr:uid="{D8A9C759-2A57-7A49-8FD9-A81B9C905F1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 - NOT OFFICE</t>
        </r>
      </text>
    </comment>
    <comment ref="AF16" authorId="0" shapeId="0" xr:uid="{7ADB6C07-6E30-7540-AE96-0AA0C6AACA8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AG16" authorId="0" shapeId="0" xr:uid="{483BF6BE-21F5-8644-ADB0-98186CCB8D2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 not office - SIM</t>
        </r>
      </text>
    </comment>
    <comment ref="AO16" authorId="0" shapeId="0" xr:uid="{DD373545-0BF9-9D47-B766-E4D75A37A75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</t>
        </r>
      </text>
    </comment>
    <comment ref="AT16" authorId="0" shapeId="0" xr:uid="{10E04E98-F052-9147-A85F-D5B92E763E6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AU16" authorId="0" shapeId="0" xr:uid="{82C9AC94-DA3F-224C-8BD9-55F3ACA884B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 not office - SIM</t>
        </r>
      </text>
    </comment>
    <comment ref="BA16" authorId="0" shapeId="0" xr:uid="{FF55671B-9411-7F4D-A714-E8C6147E4BD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BB16" authorId="0" shapeId="0" xr:uid="{C39A0B06-8B0D-2149-B2C7-C620FBB8884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 not office - SIM</t>
        </r>
      </text>
    </comment>
    <comment ref="BJ16" authorId="0" shapeId="0" xr:uid="{90C4BD47-A2FE-9B4D-977C-9578CABCCA9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</t>
        </r>
      </text>
    </comment>
    <comment ref="BL16" authorId="0" shapeId="0" xr:uid="{B7B11EBB-5DB7-164A-97F6-CD42983ECDF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AM</t>
        </r>
      </text>
    </comment>
    <comment ref="BO16" authorId="0" shapeId="0" xr:uid="{06763ECA-FE0D-6240-B975-0A849047BBC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 - NOT OFFICE</t>
        </r>
      </text>
    </comment>
    <comment ref="BX16" authorId="0" shapeId="0" xr:uid="{773152EC-707A-DF46-ADE0-3F925DB775D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 - NOT OFFICE</t>
        </r>
      </text>
    </comment>
    <comment ref="AR17" authorId="0" shapeId="0" xr:uid="{958F305F-28CC-2E45-9BD2-8FB0D88E357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BO17" authorId="0" shapeId="0" xr:uid="{24987638-434C-F44C-8C0F-35D8A5EAB1C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D19" authorId="0" shapeId="0" xr:uid="{883ED965-057C-B743-89AC-5B54B7C99A2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am only </t>
        </r>
      </text>
    </comment>
    <comment ref="F19" authorId="0" shapeId="0" xr:uid="{20D97D36-0F2C-0A45-BB5A-0B404AA8E0F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Q19" authorId="0" shapeId="0" xr:uid="{BC3029C2-3AF7-7445-A4CE-BD6669B93A3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 - weekend PM shifts</t>
        </r>
      </text>
    </comment>
    <comment ref="R19" authorId="0" shapeId="0" xr:uid="{032918A6-7EA8-5141-A017-B06A2F01372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am only </t>
        </r>
      </text>
    </comment>
    <comment ref="T19" authorId="0" shapeId="0" xr:uid="{1C6E70DE-05AA-344E-88BE-AE010FEF850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AF19" authorId="0" shapeId="0" xr:uid="{6E52377F-D114-E948-8159-95E5C2CD56D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am only </t>
        </r>
      </text>
    </comment>
    <comment ref="AH19" authorId="0" shapeId="0" xr:uid="{C1C490AD-BBF9-9A41-A762-4FD6091AB7B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BG19" authorId="0" shapeId="0" xr:uid="{E4877D8F-2733-AA48-8ECE-2E53B0A2646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shifts only this week</t>
        </r>
      </text>
    </comment>
    <comment ref="BH19" authorId="0" shapeId="0" xr:uid="{08CFE0A5-38ED-454D-9AFB-EF2BFEF9379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am only </t>
        </r>
      </text>
    </comment>
    <comment ref="BI19" authorId="0" shapeId="0" xr:uid="{C60647D9-DC8E-0D47-9979-3B4727352DD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shifts only this week</t>
        </r>
      </text>
    </comment>
    <comment ref="BJ19" authorId="0" shapeId="0" xr:uid="{D3230C7A-03C1-1C4E-A4C5-83EFC83F04E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BV19" authorId="0" shapeId="0" xr:uid="{425A1AF1-BD49-7647-9363-57324E4EF16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am only </t>
        </r>
      </text>
    </comment>
    <comment ref="CL19" authorId="0" shapeId="0" xr:uid="{B2609156-F587-294D-816C-357C8B989CE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E20" authorId="0" shapeId="0" xr:uid="{D9184FD2-1A4F-4E4F-93CF-819DA17E9AD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G20" authorId="0" shapeId="0" xr:uid="{14740564-385A-C941-B146-E1D4BE1E3F7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 if working</t>
        </r>
      </text>
    </comment>
    <comment ref="S20" authorId="0" shapeId="0" xr:uid="{212F9721-D1C3-3A41-A313-6682C2AB4E6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U20" authorId="0" shapeId="0" xr:uid="{4A215495-1BF4-DE46-B1B7-B8CD558357D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 if working</t>
        </r>
      </text>
    </comment>
    <comment ref="AG20" authorId="0" shapeId="0" xr:uid="{09B7AE46-B281-374F-B328-A78123FE3B0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AU20" authorId="0" shapeId="0" xr:uid="{CCFF4768-8EFA-964B-ACE9-93716BABF27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BI20" authorId="0" shapeId="0" xr:uid="{B64A7F92-73D0-4D45-A954-27E0D9A9549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BW20" authorId="0" shapeId="0" xr:uid="{CF7E5092-296F-7646-8A78-6D19E107E42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CK20" authorId="0" shapeId="0" xr:uid="{224A5014-A1C9-E841-889E-18C495A7E9F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F21" authorId="0" shapeId="0" xr:uid="{C65DE939-1FEB-E844-96B8-17FF46489EA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CS</t>
        </r>
      </text>
    </comment>
    <comment ref="I21" authorId="0" shapeId="0" xr:uid="{BFE189E8-7BCB-8F45-BE3F-EACA026D5D0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AF21" authorId="0" shapeId="0" xr:uid="{3B2728E9-8B92-4345-8BD5-B1017D18533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AM</t>
        </r>
      </text>
    </comment>
    <comment ref="AH21" authorId="0" shapeId="0" xr:uid="{EBA70EE5-3DAB-D549-96CD-D7B05823B20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SWING</t>
        </r>
      </text>
    </comment>
    <comment ref="AS21" authorId="0" shapeId="0" xr:uid="{0822D641-7842-334F-893B-76BB51C77C6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AW21" authorId="0" shapeId="0" xr:uid="{0619EA9A-6913-D643-9D43-62D24F90BCB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AM</t>
        </r>
      </text>
    </comment>
    <comment ref="BI21" authorId="0" shapeId="0" xr:uid="{087F862B-D761-2840-8DB3-0AF6F3885E3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CS</t>
        </r>
      </text>
    </comment>
    <comment ref="BJ21" authorId="0" shapeId="0" xr:uid="{8BA78BB4-B38F-2C44-9058-3E14BF7FB39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BU21" authorId="0" shapeId="0" xr:uid="{43F2C0A0-9967-A743-A7DC-73341853D84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BW21" authorId="0" shapeId="0" xr:uid="{6B521564-DFD3-9542-A9C2-CEA1463E3D0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SWING</t>
        </r>
      </text>
    </comment>
    <comment ref="J22" authorId="0" shapeId="0" xr:uid="{8052CEF7-ACC4-B641-A75E-959A2E4FD6E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am off to prevent PM/AM</t>
        </r>
      </text>
    </comment>
    <comment ref="L22" authorId="0" shapeId="0" xr:uid="{EB1610EB-23E2-0249-8052-91FE384F1A0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 wednesdays</t>
        </r>
      </text>
    </comment>
    <comment ref="X22" authorId="0" shapeId="0" xr:uid="{BE1AD5D7-2A45-9B4E-8994-879E41DA3EE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am off to prevent PM/AM</t>
        </r>
      </text>
    </comment>
    <comment ref="Z22" authorId="0" shapeId="0" xr:uid="{B00388F0-1A2B-7A47-89C4-D3C4E2FCD7C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 wednesdays</t>
        </r>
      </text>
    </comment>
    <comment ref="AZ22" authorId="0" shapeId="0" xr:uid="{32F366B9-9045-8F46-9290-2C607C67B4F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am off to prevent PM/AM</t>
        </r>
      </text>
    </comment>
    <comment ref="BB22" authorId="0" shapeId="0" xr:uid="{9B5CD9BD-9F5B-C14A-A6B8-AACA4DCCDB7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 wednesdays</t>
        </r>
      </text>
    </comment>
    <comment ref="BP22" authorId="0" shapeId="0" xr:uid="{10911DCF-FF25-8F48-B1F2-E1693E784E9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 wed</t>
        </r>
      </text>
    </comment>
    <comment ref="CB22" authorId="0" shapeId="0" xr:uid="{40CB4BC8-52F0-C54C-A87C-6BB5268C7C3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am off to prevent PM/AM</t>
        </r>
      </text>
    </comment>
    <comment ref="CD22" authorId="0" shapeId="0" xr:uid="{45EFEEB3-BCAE-3B4A-88AA-066C09F7008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 wed</t>
        </r>
      </text>
    </comment>
    <comment ref="I23" authorId="0" shapeId="0" xr:uid="{BEC4AE39-6940-3848-A5C3-91D896E8706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likely working paeds PM</t>
        </r>
      </text>
    </comment>
    <comment ref="L23" authorId="0" shapeId="0" xr:uid="{C90A54EC-0913-9147-B485-4720FFB19CF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off</t>
        </r>
      </text>
    </comment>
    <comment ref="Z23" authorId="0" shapeId="0" xr:uid="{A871AE70-C54A-6E4C-A4B0-3FA091FDF5A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off</t>
        </r>
      </text>
    </comment>
    <comment ref="AN23" authorId="0" shapeId="0" xr:uid="{C92A09A9-22D8-4344-9637-B13E2026EC8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off</t>
        </r>
      </text>
    </comment>
    <comment ref="C24" authorId="0" shapeId="0" xr:uid="{1F6F4931-AA09-4C48-8B7E-F638D44535E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 orientation</t>
        </r>
      </text>
    </comment>
    <comment ref="Q24" authorId="0" shapeId="0" xr:uid="{4FFDEB58-987E-4648-905B-74A1C123F99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T24" authorId="0" shapeId="0" xr:uid="{80D7C290-7FB5-FE46-873D-A1C0DA79D3D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AD24" authorId="0" shapeId="0" xr:uid="{F85AC228-02D5-4946-9F59-C7486FA882C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Paed AM</t>
        </r>
      </text>
    </comment>
    <comment ref="J25" authorId="0" shapeId="0" xr:uid="{AB0EA17B-E76E-7C43-9FB5-6ADC066F90D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BW26" authorId="0" shapeId="0" xr:uid="{5BEF4C14-D967-1646-AD29-114E8B61E87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 shift</t>
        </r>
      </text>
    </comment>
    <comment ref="H28" authorId="0" shapeId="0" xr:uid="{1F7D075C-C697-504F-A88E-523A3FB4935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Sat am off kids sports</t>
        </r>
      </text>
    </comment>
    <comment ref="O28" authorId="0" shapeId="0" xr:uid="{7570BFF5-A0F7-3840-A6BB-C1F6ACD7487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Sat am off kids sports</t>
        </r>
      </text>
    </comment>
    <comment ref="V28" authorId="0" shapeId="0" xr:uid="{E0A0F93A-E47B-8746-8F0D-F5EEF690BBE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Sat am off kids sports</t>
        </r>
      </text>
    </comment>
    <comment ref="CH28" authorId="0" shapeId="0" xr:uid="{C8EBAD18-23D5-A546-9C70-4F124001636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Can work</t>
        </r>
      </text>
    </comment>
    <comment ref="C29" authorId="0" shapeId="0" xr:uid="{5B9D626E-8944-4D4E-88F5-A5E58E24E70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Dentist</t>
        </r>
      </text>
    </comment>
    <comment ref="U29" authorId="0" shapeId="0" xr:uid="{23598D5C-1804-4F49-87F5-9B110B0725B1}">
      <text>
        <r>
          <rPr>
            <b/>
            <sz val="10"/>
            <color rgb="FF000000"/>
            <rFont val="Tahoma"/>
            <family val="2"/>
          </rPr>
          <t>Tara Connell:</t>
        </r>
      </text>
    </comment>
    <comment ref="AP29" authorId="0" shapeId="0" xr:uid="{F92B6A08-5AE9-F848-8C63-7CAD2BBDA72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AQ29" authorId="0" shapeId="0" xr:uid="{756CD67E-5053-4E44-BB51-41BEBE2F5A2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?Support emergo - 0900-1200</t>
        </r>
      </text>
    </comment>
    <comment ref="BP29" authorId="0" shapeId="0" xr:uid="{A02F9C92-43C5-994F-84FA-E001000361B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 only</t>
        </r>
      </text>
    </comment>
    <comment ref="E30" authorId="0" shapeId="0" xr:uid="{C66A0A14-BFC7-D041-9958-055A52CDE18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Wed CS</t>
        </r>
      </text>
    </comment>
    <comment ref="L30" authorId="0" shapeId="0" xr:uid="{4DE8D64B-D9E8-ED45-AE4C-D9481AE0008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Wed CS</t>
        </r>
      </text>
    </comment>
    <comment ref="S30" authorId="0" shapeId="0" xr:uid="{4DEB31A5-C954-9045-A88D-ED2FEFDA7D0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Wed CS</t>
        </r>
      </text>
    </comment>
    <comment ref="U30" authorId="0" shapeId="0" xr:uid="{F2DB7F19-95A9-9747-89AE-3DDFFDE9433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Z30" authorId="0" shapeId="0" xr:uid="{154B3264-748D-814C-843A-F7DFDAF83E9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Wed CS</t>
        </r>
      </text>
    </comment>
    <comment ref="AB30" authorId="0" shapeId="0" xr:uid="{C256D15B-13B8-4845-B611-F9553477837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AM</t>
        </r>
      </text>
    </comment>
    <comment ref="BI30" authorId="0" shapeId="0" xr:uid="{DE112217-A8F2-7A4C-BDD1-8C924AEBC37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Wed CS</t>
        </r>
      </text>
    </comment>
    <comment ref="BP30" authorId="0" shapeId="0" xr:uid="{50C6E5BD-19F1-9044-BAA9-3978296D024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Wed CS</t>
        </r>
      </text>
    </comment>
    <comment ref="BW30" authorId="0" shapeId="0" xr:uid="{BCA9E18B-0750-8F41-97B3-1C3569F449D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Wed CS</t>
        </r>
      </text>
    </comment>
    <comment ref="CD30" authorId="0" shapeId="0" xr:uid="{8F0A7E3D-7C33-F348-A519-30ABD83301E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Wed CS</t>
        </r>
      </text>
    </comment>
    <comment ref="CK30" authorId="0" shapeId="0" xr:uid="{895BEDF3-7656-534C-A563-34F8313DE7C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Wed CS</t>
        </r>
      </text>
    </comment>
    <comment ref="D31" authorId="0" shapeId="0" xr:uid="{10DEE180-1275-0543-A826-4C27AB598C4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needs one day CS this week</t>
        </r>
      </text>
    </comment>
    <comment ref="AZ31" authorId="0" shapeId="0" xr:uid="{0A109212-2B66-D044-B78E-A4F77163299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 orientation</t>
        </r>
      </text>
    </comment>
    <comment ref="D32" authorId="0" shapeId="0" xr:uid="{C6B8780D-6392-0445-8D7A-7F16C8B4BB3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prefer CS/AM only </t>
        </r>
      </text>
    </comment>
    <comment ref="K32" authorId="0" shapeId="0" xr:uid="{6D2EE58A-73B0-3945-A07F-9BD5A04C966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prefer CS/AM only </t>
        </r>
      </text>
    </comment>
    <comment ref="R32" authorId="0" shapeId="0" xr:uid="{4E76E771-F4CE-5A49-9B40-A405F46236D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prefer CS/AM only </t>
        </r>
      </text>
    </comment>
    <comment ref="U32" authorId="0" shapeId="0" xr:uid="{CAE03C0D-4180-724A-952E-086F05D4F02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or CS only</t>
        </r>
      </text>
    </comment>
    <comment ref="Y32" authorId="0" shapeId="0" xr:uid="{386B3AD7-AEF4-974D-99CC-6749FBF9948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prefer CS/AM only </t>
        </r>
      </text>
    </comment>
    <comment ref="AF32" authorId="0" shapeId="0" xr:uid="{FBE4DB0F-1FC8-B840-9347-3CA21C9F905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prefer CS/AM only </t>
        </r>
      </text>
    </comment>
    <comment ref="AM32" authorId="0" shapeId="0" xr:uid="{34F2BB41-7AC1-5044-B6BC-F4CC3136254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prefer CS/AM only </t>
        </r>
      </text>
    </comment>
    <comment ref="AT32" authorId="0" shapeId="0" xr:uid="{54C95A6F-FBCE-9648-A519-4ADB39FAB00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prefer CS/AM only </t>
        </r>
      </text>
    </comment>
    <comment ref="AW32" authorId="0" shapeId="0" xr:uid="{83FA9B7E-41C6-774E-9DB2-81FCD412B1C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or CS only</t>
        </r>
      </text>
    </comment>
    <comment ref="BA32" authorId="0" shapeId="0" xr:uid="{7E225D7D-B6F6-274E-94CF-8850D6A4B62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prefer CS/AM only </t>
        </r>
      </text>
    </comment>
    <comment ref="BO32" authorId="0" shapeId="0" xr:uid="{5512EE9B-A767-AE4A-8A64-90B7D98804E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AM only</t>
        </r>
      </text>
    </comment>
    <comment ref="BV32" authorId="0" shapeId="0" xr:uid="{D04881B4-33A4-C94D-9DE3-A45B4979F4F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prefer CS/AM only </t>
        </r>
      </text>
    </comment>
    <comment ref="CC32" authorId="0" shapeId="0" xr:uid="{99501A4C-00C6-1A42-B2CF-B228D95DF52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prefer CS/AM only </t>
        </r>
      </text>
    </comment>
    <comment ref="CF32" authorId="0" shapeId="0" xr:uid="{DCF95B5D-F4A5-3741-A35F-BE9212793E9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CJ32" authorId="0" shapeId="0" xr:uid="{DA0DE069-4BD2-6645-ABDE-3BD653D583E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prefer CS/AM only </t>
        </r>
      </text>
    </comment>
    <comment ref="C33" authorId="0" shapeId="0" xr:uid="{AF2B1C35-72AF-064E-9ABC-BC1E084AC7F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shift</t>
        </r>
      </text>
    </comment>
    <comment ref="D33" authorId="0" shapeId="0" xr:uid="{D219F9B6-4739-D84B-AD11-78874B7A198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 - PM off and PM evening prior</t>
        </r>
      </text>
    </comment>
    <comment ref="N33" authorId="0" shapeId="0" xr:uid="{480D538A-0A3C-DF4B-B1E5-492243B6DE9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shift</t>
        </r>
      </text>
    </comment>
    <comment ref="AB33" authorId="0" shapeId="0" xr:uid="{200F694D-EEAD-6D4D-AE4A-C8CA6224CD1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shift</t>
        </r>
      </text>
    </comment>
    <comment ref="AE33" authorId="0" shapeId="0" xr:uid="{280F26D7-83B8-564E-9BE0-74C0BF38D7B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shift</t>
        </r>
      </text>
    </comment>
    <comment ref="AL33" authorId="0" shapeId="0" xr:uid="{57F1C5B8-D921-E746-8654-AC7D94DA711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working elsewhere</t>
        </r>
      </text>
    </comment>
    <comment ref="AT33" authorId="0" shapeId="0" xr:uid="{4546B42A-0E35-294F-B740-CFE8480C490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 or PM</t>
        </r>
      </text>
    </comment>
    <comment ref="AV33" authorId="0" shapeId="0" xr:uid="{CD88AFA8-AD66-A540-8DF2-765609D143A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AZ33" authorId="0" shapeId="0" xr:uid="{BB0D2487-7AA1-5B40-A491-72A337866C4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shift</t>
        </r>
      </text>
    </comment>
    <comment ref="BN33" authorId="0" shapeId="0" xr:uid="{6984724D-B707-A04D-AFF8-69AC150C89A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shift - elsewhere</t>
        </r>
      </text>
    </comment>
    <comment ref="BR33" authorId="0" shapeId="0" xr:uid="{A6510FC4-82E2-654A-9923-1AE19E880FE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shift</t>
        </r>
      </text>
    </comment>
    <comment ref="CB33" authorId="0" shapeId="0" xr:uid="{14CC217C-F35F-E344-8493-344F74248C0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shift</t>
        </r>
      </text>
    </comment>
    <comment ref="CF33" authorId="0" shapeId="0" xr:uid="{468347F2-1811-754A-B948-5EC279EE39E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shift</t>
        </r>
      </text>
    </comment>
    <comment ref="CI33" authorId="0" shapeId="0" xr:uid="{E298B2A5-DB1D-0C4A-9C3F-919E4012928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shift</t>
        </r>
      </text>
    </comment>
    <comment ref="CO33" authorId="0" shapeId="0" xr:uid="{4FE0D636-FF86-3D43-A9FA-8820C8F4ED8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shift</t>
        </r>
      </text>
    </comment>
    <comment ref="E35" authorId="0" shapeId="0" xr:uid="{9B62EBCD-F432-794A-B4C2-EC1ACAAFC92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F35" authorId="0" shapeId="0" xr:uid="{BABE015F-15B7-C746-A78C-EC23892AE19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wants off</t>
        </r>
      </text>
    </comment>
    <comment ref="W35" authorId="0" shapeId="0" xr:uid="{E4E37688-D4A2-F946-A226-4CB3015361B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Z35" authorId="0" shapeId="0" xr:uid="{4C6D74B7-5E5F-1B4B-B494-10BFC851E27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AE35" authorId="0" shapeId="0" xr:uid="{F0564181-D542-9740-B4F0-A868024A03D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CS</t>
        </r>
      </text>
    </comment>
    <comment ref="AN35" authorId="0" shapeId="0" xr:uid="{C7C856FB-04F2-464D-95CE-03A7FC688F3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AS35" authorId="0" shapeId="0" xr:uid="{E122AA09-EDF1-0246-9CDD-E8D9099A4ED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CS</t>
        </r>
      </text>
    </comment>
    <comment ref="BB35" authorId="0" shapeId="0" xr:uid="{40282BE8-4A6D-5E4D-A0A0-44CA16207B9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BI35" authorId="0" shapeId="0" xr:uid="{7F9563DD-A6AA-F745-9C02-407AB1E8F5E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BM35" authorId="0" shapeId="0" xr:uid="{3C915C78-09DF-6949-9702-578E20CEE7D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CA35" authorId="0" shapeId="0" xr:uid="{5EC784BE-7152-754C-AEA7-49E35543A43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CB35" authorId="0" shapeId="0" xr:uid="{C65A1886-401E-E64D-9951-27AB37A64BC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CS</t>
        </r>
      </text>
    </comment>
    <comment ref="CK35" authorId="0" shapeId="0" xr:uid="{70F9B759-1B93-CE49-92F8-F65E4020733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AG37" authorId="0" shapeId="0" xr:uid="{41FAC7A5-4288-E54C-9CFD-4CED1FF78E7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 for SIM</t>
        </r>
      </text>
    </comment>
    <comment ref="AU37" authorId="0" shapeId="0" xr:uid="{C9883BD8-B34F-E149-B201-C84BD01D0CA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 for SIM</t>
        </r>
      </text>
    </comment>
    <comment ref="AZ37" authorId="0" shapeId="0" xr:uid="{E93E305A-6181-B24D-A03C-E43C2CE5120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intern orientation</t>
        </r>
      </text>
    </comment>
    <comment ref="F38" authorId="0" shapeId="0" xr:uid="{54725161-4010-C044-8661-265A2AB78CC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CS</t>
        </r>
      </text>
    </comment>
    <comment ref="I38" authorId="0" shapeId="0" xr:uid="{2375E589-0861-E54A-ADF3-744219F4C51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K38" authorId="0" shapeId="0" xr:uid="{C160B5CA-D5A0-7C4B-9814-0B7B24A7D62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SWING</t>
        </r>
      </text>
    </comment>
    <comment ref="M38" authorId="0" shapeId="0" xr:uid="{5E5001E5-AE21-CA4C-BA15-3343DC3D513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CS</t>
        </r>
      </text>
    </comment>
    <comment ref="Q38" authorId="0" shapeId="0" xr:uid="{81532677-C895-4F40-974C-31428395A80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T38" authorId="0" shapeId="0" xr:uid="{20E221C7-CA03-AC42-9A79-B3689E78A59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CS</t>
        </r>
      </text>
    </comment>
    <comment ref="AA38" authorId="0" shapeId="0" xr:uid="{CF65B28B-054B-CE4D-9C43-2224D0C782D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CS</t>
        </r>
      </text>
    </comment>
    <comment ref="AC38" authorId="0" shapeId="0" xr:uid="{2F0DA1AA-3EF4-E046-B78D-69FFBDE5B07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AE38" authorId="0" shapeId="0" xr:uid="{9EDB8497-9A86-8C40-9C34-8EC4DBE407A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CS</t>
        </r>
      </text>
    </comment>
    <comment ref="AH38" authorId="0" shapeId="0" xr:uid="{BAE7C4EF-C7AE-E64A-83A2-092F0E4306D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CS</t>
        </r>
      </text>
    </comment>
    <comment ref="AO38" authorId="0" shapeId="0" xr:uid="{10C63247-DC12-8F49-B0D8-AD26714E0EE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CS</t>
        </r>
      </text>
    </comment>
    <comment ref="AP38" authorId="0" shapeId="0" xr:uid="{C4C9D302-875D-1A43-A7CF-263BAB771FC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AS38" authorId="0" shapeId="0" xr:uid="{FEB01020-7104-5E43-BB51-D79C2D59493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AM</t>
        </r>
      </text>
    </comment>
    <comment ref="AV38" authorId="0" shapeId="0" xr:uid="{F8DE608D-2AC2-6C41-86B2-2624AA81D3F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CS</t>
        </r>
      </text>
    </comment>
    <comment ref="BB38" authorId="0" shapeId="0" xr:uid="{6AD86876-AC64-FA4C-A350-533CF7EAE70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SWING</t>
        </r>
      </text>
    </comment>
    <comment ref="BC38" authorId="0" shapeId="0" xr:uid="{83A91659-1E4C-B04F-B1B5-63BB9159C47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CS</t>
        </r>
      </text>
    </comment>
    <comment ref="BG38" authorId="0" shapeId="0" xr:uid="{D123E188-74F7-0243-8D46-9498737AC50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CS</t>
        </r>
      </text>
    </comment>
    <comment ref="BI38" authorId="0" shapeId="0" xr:uid="{5703827C-D126-8941-9C45-B378EF62ADD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off if possible</t>
        </r>
      </text>
    </comment>
    <comment ref="BJ38" authorId="0" shapeId="0" xr:uid="{87694BD0-FBC7-C949-91D1-387D1D45EB0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CS</t>
        </r>
      </text>
    </comment>
    <comment ref="CE38" authorId="0" shapeId="0" xr:uid="{428ABF08-090F-E64A-BC85-92C1C0F4665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CS</t>
        </r>
      </text>
    </comment>
    <comment ref="CF38" authorId="0" shapeId="0" xr:uid="{FC923B78-B2B7-1E46-8014-C9CB3581116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CS</t>
        </r>
      </text>
    </comment>
    <comment ref="CI38" authorId="0" shapeId="0" xr:uid="{10D936A6-EAC8-9946-B382-DE1C2B0FE4A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SWING</t>
        </r>
      </text>
    </comment>
    <comment ref="CL38" authorId="0" shapeId="0" xr:uid="{80713A7D-B614-FC46-AA72-FF0D4141CEE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CS</t>
        </r>
      </text>
    </comment>
    <comment ref="J39" authorId="0" shapeId="0" xr:uid="{4E45B9AC-BE38-184C-B453-B4E65A0402D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K39" authorId="0" shapeId="0" xr:uid="{F3BD4E71-0652-B845-9365-2D1FF6DD058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Q39" authorId="0" shapeId="0" xr:uid="{5E8D954B-CAC6-ED4D-919E-BA42994B2C2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R39" authorId="0" shapeId="0" xr:uid="{017383B2-5F79-1042-A131-371EDBAE050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AB39" authorId="0" shapeId="0" xr:uid="{7E4860F4-28D1-8344-BE7A-20F2A337583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</t>
        </r>
      </text>
    </comment>
    <comment ref="E40" authorId="0" shapeId="0" xr:uid="{24A0863B-BB34-914F-96AB-6179AD2ABFC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OFF for teaching</t>
        </r>
      </text>
    </comment>
    <comment ref="L40" authorId="0" shapeId="0" xr:uid="{C76F2244-64C2-494A-9889-5EE3DD1F649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OFF for teaching</t>
        </r>
      </text>
    </comment>
    <comment ref="Q40" authorId="0" shapeId="0" xr:uid="{8E654713-05B6-B640-80C5-0AE27B702D3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 mock OSCE</t>
        </r>
      </text>
    </comment>
    <comment ref="S40" authorId="0" shapeId="0" xr:uid="{B98D2D29-C4BF-454A-B6B2-A2F9FF065F3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OFF for teaching</t>
        </r>
      </text>
    </comment>
    <comment ref="Z40" authorId="0" shapeId="0" xr:uid="{7F3797C2-94BE-A249-8A88-2E170EA504E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OFF for teaching</t>
        </r>
      </text>
    </comment>
    <comment ref="AG40" authorId="0" shapeId="0" xr:uid="{B3E5F89A-0D04-9941-95F7-F20D6F3F34D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OFF for teaching</t>
        </r>
      </text>
    </comment>
    <comment ref="AN40" authorId="0" shapeId="0" xr:uid="{F31DC235-0EB9-6C40-B7A0-38795C74318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OFF for teaching</t>
        </r>
      </text>
    </comment>
    <comment ref="AS40" authorId="0" shapeId="0" xr:uid="{AE2ADA59-DD82-4546-80A4-719BE18F8C9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BB40" authorId="0" shapeId="0" xr:uid="{A55A836F-3B78-C540-8103-9C8FA98CA57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OFF for teaching</t>
        </r>
      </text>
    </comment>
    <comment ref="BI40" authorId="0" shapeId="0" xr:uid="{DC4682E0-246A-7741-B1B5-29F4EE1B2B4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OFF for teaching</t>
        </r>
      </text>
    </comment>
    <comment ref="BP40" authorId="0" shapeId="0" xr:uid="{456C6A98-795A-3C4D-AFF1-D9926601C16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OFF for teaching</t>
        </r>
      </text>
    </comment>
    <comment ref="BW40" authorId="0" shapeId="0" xr:uid="{D0F30E3A-C058-B64C-A0B6-2F216D9F4B4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OFF for teaching</t>
        </r>
      </text>
    </comment>
    <comment ref="CD40" authorId="0" shapeId="0" xr:uid="{F540A333-D5D7-4249-8181-A6C8352F8A3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OFF for teaching</t>
        </r>
      </text>
    </comment>
    <comment ref="C41" authorId="0" shapeId="0" xr:uid="{BBA0EA09-CFD6-F247-BDE2-A8C29256708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J41" authorId="0" shapeId="0" xr:uid="{1282503C-6943-FD43-9AF4-40229CC3088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Q41" authorId="0" shapeId="0" xr:uid="{9D3E69CA-2334-AF40-A10F-7055963F797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T42" authorId="0" shapeId="0" xr:uid="{16E8F91C-CF45-A348-AD91-FCA52EF4538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office</t>
        </r>
      </text>
    </comment>
    <comment ref="BN42" authorId="0" shapeId="0" xr:uid="{4579930D-983F-984A-80CA-6AB7A1328E0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resus/on call</t>
        </r>
      </text>
    </comment>
    <comment ref="BQ42" authorId="0" shapeId="0" xr:uid="{8392327E-BA2F-A147-B157-1284B618F54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not office</t>
        </r>
      </text>
    </comment>
    <comment ref="BZ42" authorId="0" shapeId="0" xr:uid="{DFC42F89-0C43-9142-B983-A8E4C750E2A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AM if possible</t>
        </r>
      </text>
    </comment>
    <comment ref="CA42" authorId="0" shapeId="0" xr:uid="{3C8AB401-F990-4F4C-B83F-8785776D427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SSU</t>
        </r>
      </text>
    </comment>
    <comment ref="C43" authorId="0" shapeId="0" xr:uid="{F882C8D2-5E7A-7A4B-B44F-5034F707239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I43" authorId="0" shapeId="0" xr:uid="{1FE714A5-2F0C-384E-B9D6-62AE126B772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L43" authorId="0" shapeId="0" xr:uid="{95D7A17D-1A93-6147-A662-5E77D5ECA66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DH CS</t>
        </r>
      </text>
    </comment>
    <comment ref="N43" authorId="0" shapeId="0" xr:uid="{9399762E-F5AE-E34B-9524-4020C4CE778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S43" authorId="0" shapeId="0" xr:uid="{6989FE90-E2C9-6645-B3C7-BC7B3CD997C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V43" authorId="0" shapeId="0" xr:uid="{92BDEF97-5B2C-BF46-B0B9-0271974A6D8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consider PM SSU given 3 PM in row
</t>
        </r>
      </text>
    </comment>
    <comment ref="W43" authorId="0" shapeId="0" xr:uid="{FFE4EB3F-F4CA-7746-A3E1-D371FF7D2A9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X43" authorId="0" shapeId="0" xr:uid="{1AF500E8-A0B5-CF41-913F-7ABC1C2469B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AK43" authorId="0" shapeId="0" xr:uid="{5797586A-72C5-9A4B-82B2-98E55EDAD87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AN43" authorId="0" shapeId="0" xr:uid="{999403C5-3BCC-FE4E-A977-7B7C8EA9C8E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AZ43" authorId="0" shapeId="0" xr:uid="{658CA632-6620-FB43-B165-245E277E50D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BD43" authorId="0" shapeId="0" xr:uid="{561F0A86-E9FE-0F4E-AC93-708ECCD3EE5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CS</t>
        </r>
      </text>
    </comment>
    <comment ref="BP43" authorId="0" shapeId="0" xr:uid="{82ECE501-F2F6-3544-A89F-22C22F136BB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BU43" authorId="0" shapeId="0" xr:uid="{C85002F5-11F9-3E48-82D1-FCCBDB80A68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CB43" authorId="0" shapeId="0" xr:uid="{464CC0CF-CD3A-7442-9570-620AC208569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CI43" authorId="0" shapeId="0" xr:uid="{3147990E-7557-BC49-9CD9-153FCEF82C8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AD44" authorId="0" shapeId="0" xr:uid="{889F4421-FB70-7F4D-9A54-745EAB2CAC2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AK44" authorId="0" shapeId="0" xr:uid="{26FE5F00-E74C-2C4F-BA15-26E5C257759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BD44" authorId="0" shapeId="0" xr:uid="{242BC6C9-2DF9-3B4F-AA75-6CA8C1DD606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or CS only</t>
        </r>
      </text>
    </comment>
    <comment ref="CH44" authorId="0" shapeId="0" xr:uid="{768AADB5-E809-8247-9745-E71EE4B7D76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Q45" authorId="0" shapeId="0" xr:uid="{D433663E-5C21-B14B-A619-FEE71F45CC4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shifts only</t>
        </r>
      </text>
    </comment>
    <comment ref="S45" authorId="0" shapeId="0" xr:uid="{FC98BA9C-5142-E248-A98B-65DF6177927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shifts only</t>
        </r>
      </text>
    </comment>
    <comment ref="X45" authorId="0" shapeId="0" xr:uid="{50C8E7F5-7068-5F4C-9A8B-3BCCE16DA7A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shifts only</t>
        </r>
      </text>
    </comment>
    <comment ref="Z45" authorId="0" shapeId="0" xr:uid="{64D6C594-7295-FF42-8E6B-DB5C3F8190F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shifts only</t>
        </r>
      </text>
    </comment>
    <comment ref="AE45" authorId="0" shapeId="0" xr:uid="{E8BDB5A9-E8A0-5A42-A7D2-8B34CC2536E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shifts only</t>
        </r>
      </text>
    </comment>
    <comment ref="AG45" authorId="0" shapeId="0" xr:uid="{EFED7502-4747-CA4B-9D14-C292A2FEACD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shifts only</t>
        </r>
      </text>
    </comment>
    <comment ref="AN45" authorId="0" shapeId="0" xr:uid="{9DA30B8F-C63F-134F-A800-4D26385A260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shifts only</t>
        </r>
      </text>
    </comment>
    <comment ref="AS45" authorId="0" shapeId="0" xr:uid="{29027BC2-22EA-5A4A-A738-D1536CF61FA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shifts only</t>
        </r>
      </text>
    </comment>
    <comment ref="AU45" authorId="0" shapeId="0" xr:uid="{809B4A23-DC7A-6448-B5E7-C602CACFBCCE}">
      <text>
        <r>
          <rPr>
            <b/>
            <sz val="10"/>
            <color rgb="FF000000"/>
            <rFont val="Tahoma"/>
            <family val="2"/>
          </rPr>
          <t xml:space="preserve">Tara Connell
</t>
        </r>
        <r>
          <rPr>
            <b/>
            <sz val="10"/>
            <color rgb="FF000000"/>
            <rFont val="Tahoma"/>
            <family val="2"/>
          </rPr>
          <t>CS not office</t>
        </r>
      </text>
    </comment>
    <comment ref="BW45" authorId="0" shapeId="0" xr:uid="{33FE5E72-BF82-E24F-AAB6-356870C1C83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CS office - court</t>
        </r>
      </text>
    </comment>
    <comment ref="CD45" authorId="0" shapeId="0" xr:uid="{39F1B15F-A6BF-D24F-B036-42C7F95EBAA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Q46" authorId="0" shapeId="0" xr:uid="{25309783-AC42-3846-A8F5-DB7C349F098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R46" authorId="0" shapeId="0" xr:uid="{1743D602-DA87-9049-B1D5-6450FD8603E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PM</t>
        </r>
      </text>
    </comment>
    <comment ref="AS46" authorId="0" shapeId="0" xr:uid="{53EB0E1C-1030-EE44-A6AA-B6C80496BA3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AM</t>
        </r>
      </text>
    </comment>
    <comment ref="AT46" authorId="0" shapeId="0" xr:uid="{244DB3C7-A6A2-F842-AF7B-C049EC492B4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PM</t>
        </r>
      </text>
    </comment>
    <comment ref="AZ46" authorId="0" shapeId="0" xr:uid="{C64E5026-9828-5B4D-845A-845E0FA44F7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AM</t>
        </r>
      </text>
    </comment>
    <comment ref="BA46" authorId="0" shapeId="0" xr:uid="{EAB35F5B-767F-9D49-A954-ED303F62435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PM</t>
        </r>
      </text>
    </comment>
    <comment ref="BG46" authorId="0" shapeId="0" xr:uid="{C2786C38-4A4B-9546-9871-EC4EADA9FE0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AM</t>
        </r>
      </text>
    </comment>
    <comment ref="BH46" authorId="0" shapeId="0" xr:uid="{45DF388F-F43A-9240-9576-C9108AC299C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PM</t>
        </r>
      </text>
    </comment>
    <comment ref="BO46" authorId="0" shapeId="0" xr:uid="{4B26703B-7BE8-D947-94A2-AA081245FBC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</t>
        </r>
      </text>
    </comment>
    <comment ref="BQ46" authorId="0" shapeId="0" xr:uid="{378FDF5D-EF78-2740-AAB2-E9441427FC7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AM</t>
        </r>
      </text>
    </comment>
    <comment ref="BU46" authorId="0" shapeId="0" xr:uid="{AEF085B0-3B19-EE46-A8BA-EA19328501A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AM</t>
        </r>
      </text>
    </comment>
    <comment ref="BV46" authorId="0" shapeId="0" xr:uid="{A621B691-C51E-9C44-BCA3-E8EC34FDD5A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PM</t>
        </r>
      </text>
    </comment>
    <comment ref="CB46" authorId="0" shapeId="0" xr:uid="{DAC49F5E-9A61-CB43-9FDD-C6E170A2DBC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AM</t>
        </r>
      </text>
    </comment>
    <comment ref="CE46" authorId="0" shapeId="0" xr:uid="{0845A435-57E1-8F4E-9DD4-95C5A8EE606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PM</t>
        </r>
      </text>
    </comment>
    <comment ref="CI46" authorId="0" shapeId="0" xr:uid="{B31B88C0-5DCD-244D-B43D-E677C59B1F6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AM</t>
        </r>
      </text>
    </comment>
    <comment ref="CJ46" authorId="0" shapeId="0" xr:uid="{555E6DC4-C38A-C34E-92F2-2C8747B1078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PM</t>
        </r>
      </text>
    </comment>
    <comment ref="AG47" authorId="0" shapeId="0" xr:uid="{789219FA-0690-6140-9356-D95FBD76747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AM only - early start Thursday am</t>
        </r>
      </text>
    </comment>
    <comment ref="BL47" authorId="0" shapeId="0" xr:uid="{E6C6EA52-4910-B347-89DB-6E3A4A1FF60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SSU (might change to PM SSU)</t>
        </r>
      </text>
    </comment>
    <comment ref="R48" authorId="0" shapeId="0" xr:uid="{BB03FEFD-5C56-DD44-A1A3-5ACDF8D04B4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AM only
</t>
        </r>
      </text>
    </comment>
    <comment ref="T48" authorId="0" shapeId="0" xr:uid="{05EEA23B-3AC8-3C44-BED5-3DE6B156096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AM only
</t>
        </r>
      </text>
    </comment>
    <comment ref="AA48" authorId="0" shapeId="0" xr:uid="{6BA36C66-DB9A-F049-9DDF-1D1808E1553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AF48" authorId="0" shapeId="0" xr:uid="{720DD9F5-6544-6441-969D-1EBB629B5BC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AO48" authorId="0" shapeId="0" xr:uid="{0C49F3E8-22BE-2D4A-A381-72EF0A46A8F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AT48" authorId="0" shapeId="0" xr:uid="{3FC2B802-63F9-C642-98FF-27FD0A72033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AY48" authorId="0" shapeId="0" xr:uid="{C8B82669-D441-E142-954A-FEE3167E5AB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BC48" authorId="0" shapeId="0" xr:uid="{1EDB2C24-747B-4A43-A70F-383B513BA77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BQ48" authorId="0" shapeId="0" xr:uid="{2A561794-47F5-D64D-9D65-A91ED26B998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BV48" authorId="0" shapeId="0" xr:uid="{B5E269EC-0797-DD43-A381-19906A38938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CA48" authorId="0" shapeId="0" xr:uid="{DB6E2F2A-7ABC-CD47-AF5B-78D467E1B75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CC48" authorId="0" shapeId="0" xr:uid="{3F78C3A8-81C0-2D46-92DE-0CA73713702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CD48" authorId="0" shapeId="0" xr:uid="{E3B31E28-26B8-F14A-A5BF-B9A4600C394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E49" authorId="0" shapeId="0" xr:uid="{536DB7C8-71B9-4842-911B-A064C123E86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N49" authorId="0" shapeId="0" xr:uid="{522569FC-5A43-7249-A90D-7EA623B6326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CS</t>
        </r>
      </text>
    </comment>
    <comment ref="Q49" authorId="0" shapeId="0" xr:uid="{185E0F3A-574A-4947-90F2-8B8E3F5EB6B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AM</t>
        </r>
      </text>
    </comment>
    <comment ref="AB49" authorId="0" shapeId="0" xr:uid="{2797FBE8-1277-8F41-A19E-D646D7A99FE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SWING</t>
        </r>
      </text>
    </comment>
    <comment ref="AF49" authorId="0" shapeId="0" xr:uid="{7EE06C7C-C8A1-2042-937B-B86B2B77F44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AP49" authorId="0" shapeId="0" xr:uid="{7EFD46D5-84E7-2040-9729-1E338533973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AS49" authorId="0" shapeId="0" xr:uid="{72F6FCD9-DE60-3F41-B95F-72E38ACA907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CS</t>
        </r>
      </text>
    </comment>
    <comment ref="BF49" authorId="0" shapeId="0" xr:uid="{76C67A25-E018-7443-9AA0-35C7BB26F61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AM</t>
        </r>
      </text>
    </comment>
    <comment ref="BI49" authorId="0" shapeId="0" xr:uid="{B437EAC5-7AA8-6844-9431-FDF2B0AFA3C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BQ49" authorId="0" shapeId="0" xr:uid="{B13284FC-1FD5-5748-9F16-3BC882D7722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BW49" authorId="0" shapeId="0" xr:uid="{30A632C7-DDD2-B448-8D57-20CD99500E8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CB49" authorId="0" shapeId="0" xr:uid="{CD48A69B-A9DA-FA4C-ADAF-4E5EDAFBEE3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CS</t>
        </r>
      </text>
    </comment>
    <comment ref="CF49" authorId="0" shapeId="0" xr:uid="{486957F3-3A39-3B4E-A30A-950FA1BFAD8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SWING</t>
        </r>
      </text>
    </comment>
    <comment ref="C50" authorId="0" shapeId="0" xr:uid="{DCB2E9D2-5DFB-B040-852C-4CB1D81CD3E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SWING</t>
        </r>
      </text>
    </comment>
    <comment ref="G50" authorId="0" shapeId="0" xr:uid="{D674BCBE-DDEF-834D-9A31-28B556F8BBC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CS</t>
        </r>
      </text>
    </comment>
    <comment ref="N50" authorId="0" shapeId="0" xr:uid="{02C7184B-6E92-D54F-9306-5B5C928C3A7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O50" authorId="0" shapeId="0" xr:uid="{6F7BA57F-1339-BD48-A5A9-37671C8F6FB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SWING</t>
        </r>
      </text>
    </comment>
    <comment ref="AA50" authorId="0" shapeId="0" xr:uid="{2B2A51A3-00D2-C64D-8C92-29CF485B72A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SWING</t>
        </r>
      </text>
    </comment>
    <comment ref="AC50" authorId="0" shapeId="0" xr:uid="{456D9246-F1C4-8348-A13E-5E7D00DD770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AM</t>
        </r>
      </text>
    </comment>
    <comment ref="AE50" authorId="0" shapeId="0" xr:uid="{B556AAAC-6845-C64A-A1C7-293AEC0C773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SWING</t>
        </r>
      </text>
    </comment>
    <comment ref="AI50" authorId="0" shapeId="0" xr:uid="{DB1748AF-2635-8B4D-A7DA-909671D860F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CS</t>
        </r>
      </text>
    </comment>
    <comment ref="AM50" authorId="0" shapeId="0" xr:uid="{6712F928-3794-5944-91A6-5B9F05545DA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PM shift - med student education</t>
        </r>
      </text>
    </comment>
    <comment ref="AU50" authorId="0" shapeId="0" xr:uid="{57E238E7-1DD9-5146-BE9E-B2EDF54DD8E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AW50" authorId="0" shapeId="0" xr:uid="{84548E8F-6BC9-EE4B-8615-AFF761E3E86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CS</t>
        </r>
      </text>
    </comment>
    <comment ref="AY50" authorId="0" shapeId="0" xr:uid="{5ED237C2-9F70-FC4D-BE82-F5E93296700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AM</t>
        </r>
      </text>
    </comment>
    <comment ref="BB50" authorId="0" shapeId="0" xr:uid="{C5A09238-37EA-4943-B2D5-D3032D1D43C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BD50" authorId="0" shapeId="0" xr:uid="{84ECAF51-7B0B-C043-A311-3D77DA9EFA1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CS</t>
        </r>
      </text>
    </comment>
    <comment ref="BH50" authorId="0" shapeId="0" xr:uid="{3D5B50B7-DBB3-1B49-87B1-0DD9E09CA18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BJ50" authorId="0" shapeId="0" xr:uid="{73ED9ABC-D84F-5548-9066-52696BDA4FF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AM</t>
        </r>
      </text>
    </comment>
    <comment ref="BP50" authorId="0" shapeId="0" xr:uid="{8357BD99-3B61-2242-9ED5-7AA6DE0A3C2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BR50" authorId="0" shapeId="0" xr:uid="{10F29717-3B39-E841-B3E1-051BADC4FD3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BU50" authorId="0" shapeId="0" xr:uid="{24E9146E-A64B-E242-BBFC-48950169123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CS</t>
        </r>
      </text>
    </comment>
    <comment ref="BW50" authorId="0" shapeId="0" xr:uid="{8397DEA8-69C9-0948-885F-9936EAEFE34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AM</t>
        </r>
      </text>
    </comment>
    <comment ref="CB50" authorId="0" shapeId="0" xr:uid="{609F1DC5-7F1F-3E48-9CF0-55F90976E18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 Med student education</t>
        </r>
      </text>
    </comment>
    <comment ref="CC50" authorId="0" shapeId="0" xr:uid="{CDF330AA-AC5C-734A-B10D-02F03C3521A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SWING</t>
        </r>
      </text>
    </comment>
    <comment ref="CE50" authorId="0" shapeId="0" xr:uid="{ED07C1E9-43AF-1A45-B7C0-980AF064C79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wanted CS monday but needs at least 1 long weekend. </t>
        </r>
      </text>
    </comment>
    <comment ref="CI50" authorId="0" shapeId="0" xr:uid="{C125C150-E262-3D4F-A931-4CE99D4F1BE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CS</t>
        </r>
      </text>
    </comment>
    <comment ref="CJ50" authorId="0" shapeId="0" xr:uid="{B89FF750-5E69-5B4A-8671-3B5F3A1B2D9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D51" authorId="0" shapeId="0" xr:uid="{0D7892AF-28F7-3446-9CE7-65C7EE81810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F51" authorId="0" shapeId="0" xr:uid="{02EB3351-7D45-CE4A-A659-2FB87C76428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G51" authorId="0" shapeId="0" xr:uid="{9BE4F20F-C432-394D-B617-7FC2BB1245F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J51" authorId="0" shapeId="0" xr:uid="{D8524D34-31E0-7441-AA3D-BC9EE45168B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L51" authorId="0" shapeId="0" xr:uid="{264748DD-397A-2A46-B895-C788B1E97EB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M51" authorId="0" shapeId="0" xr:uid="{FD2A7F71-F61A-AB43-9FD1-17ED6371A53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Q51" authorId="0" shapeId="0" xr:uid="{6EBA8061-AABB-0647-A74E-4ADE0F6D83D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CS</t>
        </r>
      </text>
    </comment>
    <comment ref="R51" authorId="0" shapeId="0" xr:uid="{4D8200CA-1A56-A945-9635-DE9946BDC83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S51" authorId="0" shapeId="0" xr:uid="{517F53BA-B113-DE48-942F-CA53FBB4745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Y51" authorId="0" shapeId="0" xr:uid="{EBD81033-3337-134A-AD2D-E561DD02F5A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CS</t>
        </r>
      </text>
    </comment>
    <comment ref="Z51" authorId="0" shapeId="0" xr:uid="{A867060E-260C-CB42-BA56-0BACA953D0F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CS</t>
        </r>
      </text>
    </comment>
    <comment ref="AE51" authorId="0" shapeId="0" xr:uid="{22C97588-7BC3-DE41-B202-36C63985DBD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AG51" authorId="0" shapeId="0" xr:uid="{F522EDB4-0119-E74F-A844-7E2973E1E6B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AN51" authorId="0" shapeId="0" xr:uid="{0E5F8ED5-094F-544B-A506-AD19E938E07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AO51" authorId="0" shapeId="0" xr:uid="{88687F8D-D5E0-B545-9BC5-4E9928F8713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AR51" authorId="0" shapeId="0" xr:uid="{DAB5B733-F8FA-7745-B853-55C32E0349A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AW51" authorId="0" shapeId="0" xr:uid="{A1303B78-B795-7043-B608-765F64602E2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AY51" authorId="0" shapeId="0" xr:uid="{4A6D5DEF-3515-724E-9425-63D18B22413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AZ51" authorId="0" shapeId="0" xr:uid="{036ED780-22D5-6D4F-842C-42DA047A313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CS</t>
        </r>
      </text>
    </comment>
    <comment ref="BA51" authorId="0" shapeId="0" xr:uid="{8318CA85-2263-C948-B19C-AD62D6CCD37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CS</t>
        </r>
      </text>
    </comment>
    <comment ref="BP51" authorId="0" shapeId="0" xr:uid="{240707F3-022D-E04B-AD26-C51B49B9D7A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BR51" authorId="0" shapeId="0" xr:uid="{2A9A1F08-C6E9-7F40-B3CE-EF913F8EF72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CS</t>
        </r>
      </text>
    </comment>
    <comment ref="BU51" authorId="0" shapeId="0" xr:uid="{67ECED9C-548B-774F-8D90-79180B7A52B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BW51" authorId="0" shapeId="0" xr:uid="{92E993F8-3839-9542-A0FB-84FBDDDD06F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BX51" authorId="0" shapeId="0" xr:uid="{A5546A35-DF87-FE4F-87DA-32979D89995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C52" authorId="0" shapeId="0" xr:uid="{FF6B0FC3-FBC9-CE47-804F-8681F3CECFB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F52" authorId="0" shapeId="0" xr:uid="{79FE72A7-991B-6944-877C-736818E1318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O52" authorId="0" shapeId="0" xr:uid="{7062D562-84FD-9E42-8239-F63AD6CD133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P52" authorId="0" shapeId="0" xr:uid="{B4673958-C890-F741-9BD8-CB2838732FC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S52" authorId="0" shapeId="0" xr:uid="{650F0C14-9AF9-2A47-9838-7A83A01AB50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CS</t>
        </r>
      </text>
    </comment>
    <comment ref="T52" authorId="0" shapeId="0" xr:uid="{A3CCD677-3810-CB47-83CF-009A79F510A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AB52" authorId="0" shapeId="0" xr:uid="{1BB58B96-2678-344B-B864-90523D6F429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CS</t>
        </r>
      </text>
    </comment>
    <comment ref="AD52" authorId="0" shapeId="0" xr:uid="{62C47B38-9CF2-F849-9E61-B5A737E34B7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AE52" authorId="0" shapeId="0" xr:uid="{F34BAFE7-DBE9-A74D-A7FB-196EA316B6B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AF52" authorId="0" shapeId="0" xr:uid="{2DF4AEEB-CC5E-9041-A656-6C843B8F231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AL52" authorId="0" shapeId="0" xr:uid="{B56F98F4-7463-354C-8FCA-315E6ED2358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AM52" authorId="0" shapeId="0" xr:uid="{3724F759-4918-E949-8CE6-DBD4BA5136E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AN52" authorId="0" shapeId="0" xr:uid="{364B08B0-771D-614B-A290-6A6966B95C2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CS</t>
        </r>
      </text>
    </comment>
    <comment ref="L53" authorId="0" shapeId="0" xr:uid="{9097FED1-C1C6-894A-85BF-56172EA83E1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P53" authorId="0" shapeId="0" xr:uid="{AE7740F5-84B9-E441-9A6C-C22397A07E6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Z53" authorId="0" shapeId="0" xr:uid="{6D1DB82C-AD92-8543-89EC-7B0BE903205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AG56" authorId="0" shapeId="0" xr:uid="{F048F1C6-363E-2849-8F02-721100BE919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float</t>
        </r>
      </text>
    </comment>
    <comment ref="BF56" authorId="0" shapeId="0" xr:uid="{92BCBF81-FEB1-014E-B8E6-A37BB9B65CA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wants Sunday</t>
        </r>
      </text>
    </comment>
    <comment ref="BI56" authorId="0" shapeId="0" xr:uid="{AE625372-0376-4644-BEA0-7C5AC5D38B3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leave as AM - and leave as float
</t>
        </r>
      </text>
    </comment>
    <comment ref="CG56" authorId="0" shapeId="0" xr:uid="{F930222F-FE10-5C46-B414-DF250873FCB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AM SSU</t>
        </r>
      </text>
    </comment>
    <comment ref="Y58" authorId="0" shapeId="0" xr:uid="{38A271A6-C5BC-724E-A121-6A4F57C45AA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Dandenong PM</t>
        </r>
      </text>
    </comment>
    <comment ref="CC58" authorId="0" shapeId="0" xr:uid="{561DA7C1-108D-D546-B235-AABE19FEF8A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Dandenong PM</t>
        </r>
      </text>
    </comment>
    <comment ref="C66" authorId="0" shapeId="0" xr:uid="{B7874D00-2B27-8246-ADFA-F5D883C0395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</t>
        </r>
      </text>
    </comment>
    <comment ref="S98" authorId="0" shapeId="0" xr:uid="{6DE33782-7735-F448-A917-2FC573A0A98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</t>
        </r>
      </text>
    </comment>
    <comment ref="BB98" authorId="0" shapeId="0" xr:uid="{D3C079A9-2C43-BE44-B216-0C351C867DF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Tara Connell</author>
    <author>tc={3183ECB0-F10B-47BA-BF81-E9CD28F6E63E}</author>
    <author>tc={FC5BDE05-6FF2-4A8C-B92C-19BB3D01F37E}</author>
    <author>tc={227ACAAA-5676-4832-87CC-EAA8F1092EE7}</author>
    <author>tc={FE765581-F456-4874-A6E0-B8E5A3A63187}</author>
    <author>tc={26C8B5A6-BD5D-4EC6-9F98-DCCAC12FC7FC}</author>
    <author>Maddy Jona</author>
    <author>tc={028A3D59-AD50-4246-A74C-686597868E71}</author>
    <author>tc={3D227800-A49E-4390-B1CA-3CE6B1063A7E}</author>
    <author>tc={DA5D42DD-79DA-4C66-AB3C-0628CFC6FD75}</author>
    <author>tc={4C1254BF-7C4F-4E3A-B0D5-806FCDB4FEE2}</author>
    <author>tc={01349454-4093-4D89-8DBF-1C000A893260}</author>
    <author>tc={D6F9EEEE-AEE6-4E57-B8AB-0EB834567FB3}</author>
    <author>tc={08BBDE44-E064-49D2-A919-9082D2C5EA3E}</author>
    <author>tc={417B883B-C3D7-4E97-96C6-9EB159D426AD}</author>
    <author>tc={E2C41A2A-350C-4A0A-88D6-CA37A120C92D}</author>
    <author>tc={CC4070DA-70D4-4040-9509-5B0E3F65A7D3}</author>
    <author>tc={5B50908F-065C-478C-9B99-ACAF7ADDF57D}</author>
    <author>tc={C7AFCB71-DD44-4612-BF27-1FB4C172D485}</author>
    <author>tc={46D0BE34-3049-48CB-AF91-674A994E72D0}</author>
    <author>tc={1055A9FA-CCE7-4330-BA80-7B7D10A55328}</author>
  </authors>
  <commentList>
    <comment ref="F9" authorId="0" shapeId="0" xr:uid="{0D12E7A8-2436-D848-9F48-D748F6752A3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G9" authorId="0" shapeId="0" xr:uid="{67CC6FE8-94A5-194B-893B-3254F8B3C12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F11" authorId="0" shapeId="0" xr:uid="{9CC00EEB-7F69-9149-9BE8-0E1B84A3057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G12" authorId="0" shapeId="0" xr:uid="{D56FABCD-6282-E94A-9A73-FC7C5D9C3F4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 for M+M</t>
        </r>
      </text>
    </comment>
    <comment ref="F13" authorId="0" shapeId="0" xr:uid="{A91A63D3-B79D-8D45-9A1A-5FE87B4121B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David happy to swap from friday but leave as SSU</t>
        </r>
      </text>
    </comment>
    <comment ref="H13" authorId="0" shapeId="0" xr:uid="{BEB3338C-4F29-C84A-86AB-1A22E11AF22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ACEM</t>
        </r>
      </text>
    </comment>
    <comment ref="J13" authorId="0" shapeId="0" xr:uid="{93C5D601-ABD1-8E41-A78F-2ED6B18BC1D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swapped from Monday am</t>
        </r>
      </text>
    </comment>
    <comment ref="G14" authorId="0" shapeId="0" xr:uid="{A6A91BD1-91C3-3941-8F26-E7305443FC1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I14" authorId="0" shapeId="0" xr:uid="{4FC37FE3-4D66-A44D-8A3B-70B60B539C7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</t>
        </r>
      </text>
    </comment>
    <comment ref="F15" authorId="0" shapeId="0" xr:uid="{75641E1C-4081-AE4E-8E45-5F4B572CD98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 orientation</t>
        </r>
      </text>
    </comment>
    <comment ref="H15" authorId="0" shapeId="0" xr:uid="{946320C7-6C4B-FC4A-9F2B-49FA864E762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CS only</t>
        </r>
      </text>
    </comment>
    <comment ref="I16" authorId="0" shapeId="0" xr:uid="{BC44F0D9-17A9-1D4D-96DD-F97E402C103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</t>
        </r>
      </text>
    </comment>
    <comment ref="G19" authorId="0" shapeId="0" xr:uid="{43AD130D-53AC-144D-8998-F3DD2047229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am only </t>
        </r>
      </text>
    </comment>
    <comment ref="I19" authorId="0" shapeId="0" xr:uid="{85B1DBD6-7989-9D4C-AFF5-54375C93257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H20" authorId="0" shapeId="0" xr:uid="{DC816AD0-3939-3246-8E4C-CC50D0D6352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J20" authorId="0" shapeId="0" xr:uid="{90054FAE-4426-374D-B0B3-29E462E1B4B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 if working</t>
        </r>
      </text>
    </comment>
    <comment ref="K20" authorId="1" shapeId="0" xr:uid="{3183ECB0-F10B-47BA-BF81-E9CD28F6E63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pay full shift </t>
      </text>
    </comment>
    <comment ref="I21" authorId="0" shapeId="0" xr:uid="{D0C0DE6E-B739-F84A-826F-0DF4472A9C5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CS</t>
        </r>
      </text>
    </comment>
    <comment ref="L21" authorId="0" shapeId="0" xr:uid="{4E8CE8F0-58EF-E34A-990D-BBF767A734C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L23" authorId="0" shapeId="0" xr:uid="{037C84A8-C131-034D-B5C1-59AD4A1A8B4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likely working paeds PM</t>
        </r>
      </text>
    </comment>
    <comment ref="F24" authorId="0" shapeId="0" xr:uid="{AB6DCD7E-D872-1E4A-9082-052555656C9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 orientation</t>
        </r>
      </text>
    </comment>
    <comment ref="K28" authorId="0" shapeId="0" xr:uid="{4208671C-3B76-AE4D-B040-F97A1443891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Sat am off kids sports</t>
        </r>
      </text>
    </comment>
    <comment ref="F29" authorId="0" shapeId="0" xr:uid="{B91F9957-9D23-3A4C-99B6-40FC86AC0CE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Dentist</t>
        </r>
      </text>
    </comment>
    <comment ref="H30" authorId="0" shapeId="0" xr:uid="{ED46CDE2-5481-F64E-9DAB-EC4F78041B6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Wed CS</t>
        </r>
      </text>
    </comment>
    <comment ref="G31" authorId="0" shapeId="0" xr:uid="{B5B33CB3-7C58-2A49-9B2D-B98867A3A00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needs one day CS this week</t>
        </r>
      </text>
    </comment>
    <comment ref="G32" authorId="0" shapeId="0" xr:uid="{ABDE632C-2FB5-1A40-8CBB-73A30141CC1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prefer CS/AM only </t>
        </r>
      </text>
    </comment>
    <comment ref="F33" authorId="0" shapeId="0" xr:uid="{41E5A93D-DB0A-CE44-B7C9-1C775E602F5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shift</t>
        </r>
      </text>
    </comment>
    <comment ref="G33" authorId="0" shapeId="0" xr:uid="{EB6AE18A-3436-224D-BC54-E2C81D996B3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 - PM off and PM evening prior</t>
        </r>
      </text>
    </comment>
    <comment ref="H35" authorId="0" shapeId="0" xr:uid="{A951E04A-02FE-714D-8F94-E624AA798C3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I35" authorId="0" shapeId="0" xr:uid="{50DBFD9B-E4B2-B843-A2F9-5E12C704865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wants off</t>
        </r>
      </text>
    </comment>
    <comment ref="I38" authorId="0" shapeId="0" xr:uid="{7DC28984-9F7C-2D48-A800-C9B21569568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CS</t>
        </r>
      </text>
    </comment>
    <comment ref="L38" authorId="0" shapeId="0" xr:uid="{20657820-1DDA-AF4E-A4AF-398284D360B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H40" authorId="0" shapeId="0" xr:uid="{57033657-F500-3C41-B4CC-20FB1B03CEA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OFF for teaching</t>
        </r>
      </text>
    </comment>
    <comment ref="F41" authorId="0" shapeId="0" xr:uid="{B78F04A5-867F-F842-B013-F0801C37E75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L41" authorId="2" shapeId="0" xr:uid="{FC5BDE05-6FF2-4A8C-B92C-19BB3D01F37E}">
      <text>
        <t>[Threaded comment]
Your version of Excel allows you to read this threaded comment; however, any edits to it will get removed if the file is opened in a newer version of Excel. Learn more: https://go.microsoft.com/fwlink/?linkid=870924
Comment:
    do not pay, pay week 2</t>
      </text>
    </comment>
    <comment ref="F43" authorId="0" shapeId="0" xr:uid="{2E3446A5-256D-4248-B6BA-BD3F1E703C1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L43" authorId="0" shapeId="0" xr:uid="{52DC0C10-BED4-9641-9B1B-754A4293C6C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H49" authorId="0" shapeId="0" xr:uid="{D28162DE-4FAC-424E-92E8-204900418DF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F50" authorId="0" shapeId="0" xr:uid="{171BE2AD-C0AA-8A46-B6DB-8D188DEC4CC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SWING</t>
        </r>
      </text>
    </comment>
    <comment ref="J50" authorId="0" shapeId="0" xr:uid="{B4211192-7F81-0F46-803C-FE62800A337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CS</t>
        </r>
      </text>
    </comment>
    <comment ref="G51" authorId="0" shapeId="0" xr:uid="{2F662A96-540C-5A4C-A83C-D2A3F7623AC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I51" authorId="0" shapeId="0" xr:uid="{508251F1-5144-2A48-B8FA-9FADA9AD5F8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J51" authorId="0" shapeId="0" xr:uid="{632824D4-C608-1849-930C-768F22162F7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F52" authorId="0" shapeId="0" xr:uid="{16CCA215-3227-FF43-AAA9-9E49A965BBD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I52" authorId="0" shapeId="0" xr:uid="{DFF43C91-98CA-F54A-9DF4-BC9A3AB37FB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L54" authorId="3" shapeId="0" xr:uid="{227ACAAA-5676-4832-87CC-EAA8F1092EE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pay am shift worked week 2 </t>
      </text>
    </comment>
    <comment ref="F67" authorId="0" shapeId="0" xr:uid="{74E6F7A0-66E5-814E-828F-71A31D87DED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</t>
        </r>
      </text>
    </comment>
    <comment ref="L78" authorId="4" shapeId="0" xr:uid="{FE765581-F456-4874-A6E0-B8E5A3A63187}">
      <text>
        <t>[Threaded comment]
Your version of Excel allows you to read this threaded comment; however, any edits to it will get removed if the file is opened in a newer version of Excel. Learn more: https://go.microsoft.com/fwlink/?linkid=870924
Comment:
    2 hours orientation</t>
      </text>
    </comment>
    <comment ref="L87" authorId="5" shapeId="0" xr:uid="{26C8B5A6-BD5D-4EC6-9F98-DCCAC12FC7FC}">
      <text>
        <t>[Threaded comment]
Your version of Excel allows you to read this threaded comment; however, any edits to it will get removed if the file is opened in a newer version of Excel. Learn more: https://go.microsoft.com/fwlink/?linkid=870924
Comment:
    2 hours for orientation</t>
      </text>
    </comment>
    <comment ref="L92" authorId="6" shapeId="0" xr:uid="{26D84D71-B21C-4BF3-88AE-FA3EBC9F9368}">
      <text>
        <r>
          <rPr>
            <sz val="12"/>
            <color theme="1"/>
            <rFont val="Calibri"/>
            <family val="2"/>
            <scheme val="minor"/>
          </rPr>
          <t xml:space="preserve">Maddy Jona:
pay for 0800-1730 </t>
        </r>
      </text>
    </comment>
    <comment ref="J95" authorId="7" shapeId="0" xr:uid="{028A3D59-AD50-4246-A74C-686597868E71}">
      <text>
        <t>[Threaded comment]
Your version of Excel allows you to read this threaded comment; however, any edits to it will get removed if the file is opened in a newer version of Excel. Learn more: https://go.microsoft.com/fwlink/?linkid=870924
Comment:
    2 hour orientation</t>
      </text>
    </comment>
    <comment ref="I96" authorId="8" shapeId="0" xr:uid="{3D227800-A49E-4390-B1CA-3CE6B1063A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hours orientation </t>
      </text>
    </comment>
    <comment ref="J114" authorId="9" shapeId="0" xr:uid="{DA5D42DD-79DA-4C66-AB3C-0628CFC6FD75}">
      <text>
        <t>[Threaded comment]
Your version of Excel allows you to read this threaded comment; however, any edits to it will get removed if the file is opened in a newer version of Excel. Learn more: https://go.microsoft.com/fwlink/?linkid=870924
Comment:
    2 hour orientation</t>
      </text>
    </comment>
    <comment ref="I117" authorId="10" shapeId="0" xr:uid="{4C1254BF-7C4F-4E3A-B0D5-806FCDB4FEE2}">
      <text>
        <t>[Threaded comment]
Your version of Excel allows you to read this threaded comment; however, any edits to it will get removed if the file is opened in a newer version of Excel. Learn more: https://go.microsoft.com/fwlink/?linkid=870924
Comment:
    2 hours for orientation</t>
      </text>
    </comment>
    <comment ref="I121" authorId="11" shapeId="0" xr:uid="{01349454-4093-4D89-8DBF-1C000A8932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pay am shift worked week2 </t>
      </text>
    </comment>
    <comment ref="I123" authorId="12" shapeId="0" xr:uid="{D6F9EEEE-AEE6-4E57-B8AB-0EB834567FB3}">
      <text>
        <t>[Threaded comment]
Your version of Excel allows you to read this threaded comment; however, any edits to it will get removed if the file is opened in a newer version of Excel. Learn more: https://go.microsoft.com/fwlink/?linkid=870924
Comment:
    do not pay, paying week 2
Reply:
    2 hours for orientation</t>
      </text>
    </comment>
    <comment ref="J124" authorId="13" shapeId="0" xr:uid="{08BBDE44-E064-49D2-A919-9082D2C5EA3E}">
      <text>
        <t>[Threaded comment]
Your version of Excel allows you to read this threaded comment; however, any edits to it will get removed if the file is opened in a newer version of Excel. Learn more: https://go.microsoft.com/fwlink/?linkid=870924
Comment:
    2 hours for orientation</t>
      </text>
    </comment>
    <comment ref="J133" authorId="14" shapeId="0" xr:uid="{417B883B-C3D7-4E97-96C6-9EB159D426AD}">
      <text>
        <t>[Threaded comment]
Your version of Excel allows you to read this threaded comment; however, any edits to it will get removed if the file is opened in a newer version of Excel. Learn more: https://go.microsoft.com/fwlink/?linkid=870924
Comment:
    pay full shift for orientation</t>
      </text>
    </comment>
    <comment ref="D145" authorId="15" shapeId="0" xr:uid="{E2C41A2A-350C-4A0A-88D6-CA37A120C92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reliever for nathan </t>
      </text>
    </comment>
    <comment ref="J149" authorId="16" shapeId="0" xr:uid="{CC4070DA-70D4-4040-9509-5B0E3F65A7D3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daniel 7/2</t>
      </text>
    </comment>
    <comment ref="F150" authorId="17" shapeId="0" xr:uid="{5B50908F-065C-478C-9B99-ACAF7ADDF57D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elliot 7/2</t>
      </text>
    </comment>
    <comment ref="K153" authorId="18" shapeId="0" xr:uid="{C7AFCB71-DD44-4612-BF27-1FB4C172D485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arooj for 2/2</t>
      </text>
    </comment>
    <comment ref="K155" authorId="19" shapeId="0" xr:uid="{46D0BE34-3049-48CB-AF91-674A994E72D0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sarah 6/2</t>
      </text>
    </comment>
    <comment ref="F158" authorId="20" shapeId="0" xr:uid="{1055A9FA-CCE7-4330-BA80-7B7D10A553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orientation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Tara Connell</author>
    <author>tc={BC095959-C34F-425C-B234-DAB82B704003}</author>
    <author>tc={0EC288C5-9A6C-43F8-AFEC-06186DFE9088}</author>
    <author>tc={2F9A227A-DC1E-4328-8136-73EFB2ECB4E1}</author>
    <author>tc={F34C9D24-14DC-4F1A-92FC-1BC31B39A6C8}</author>
    <author>tc={862C7390-3B85-4E57-85C9-0A1149AD4F49}</author>
    <author>tc={8DC99907-E8DA-4DEB-AC9D-6911A5136F06}</author>
    <author>tc={8FAE602C-B26B-4448-B5EE-9ACFB33F4B66}</author>
    <author>tc={E68B3E3C-19E9-47CE-AFC3-74ACC44E12F5}</author>
    <author>tc={7CD0EB2F-1FFA-4CC7-9E1B-66C64262111E}</author>
    <author>tc={84020379-F9C1-4A2F-BA8F-E796F10D100D}</author>
  </authors>
  <commentList>
    <comment ref="F9" authorId="0" shapeId="0" xr:uid="{56B6CF2C-63A2-B64D-B77C-A63229D6B92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G9" authorId="0" shapeId="0" xr:uid="{B3FE60D2-F65A-8742-BD12-7359F668F57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F11" authorId="0" shapeId="0" xr:uid="{DE3E41EE-E3CB-0049-9079-7B3BF55DBC1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H11" authorId="0" shapeId="0" xr:uid="{ECE3D9FD-660A-E54C-B77F-E2002877C0E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H13" authorId="0" shapeId="0" xr:uid="{77F83FD1-DCF7-284E-9344-442EBCF23C2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 not CSO - MOSCE</t>
        </r>
      </text>
    </comment>
    <comment ref="G14" authorId="0" shapeId="0" xr:uid="{BFEE8567-44F3-FF43-96A4-073D9CD84FE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I14" authorId="0" shapeId="0" xr:uid="{27C50741-8BA7-9B45-8423-50C26CBD712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</t>
        </r>
      </text>
    </comment>
    <comment ref="G16" authorId="0" shapeId="0" xr:uid="{6E2AFCC6-8BDF-C740-994B-10EADE8BD14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 - NOT OFFICE</t>
        </r>
      </text>
    </comment>
    <comment ref="F22" authorId="0" shapeId="0" xr:uid="{F6915818-2A5B-864F-876E-0417A31A8EF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am off to prevent PM/AM</t>
        </r>
      </text>
    </comment>
    <comment ref="H22" authorId="0" shapeId="0" xr:uid="{04913BB9-0CF6-4F4B-A900-7A5EDC8DDE5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 wednesdays</t>
        </r>
      </text>
    </comment>
    <comment ref="H23" authorId="0" shapeId="0" xr:uid="{28624DF2-1BCB-E54B-AACC-909A7D0ED2F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off</t>
        </r>
      </text>
    </comment>
    <comment ref="F25" authorId="0" shapeId="0" xr:uid="{414602CA-8C27-094C-9FB2-9E58C92A4A4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K28" authorId="0" shapeId="0" xr:uid="{C3A7E5EC-3699-CE46-A09C-2B5668F8699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Sat am off kids sports</t>
        </r>
      </text>
    </comment>
    <comment ref="H30" authorId="0" shapeId="0" xr:uid="{84A3906A-7849-A849-A6E6-1511BBE969F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Wed CS</t>
        </r>
      </text>
    </comment>
    <comment ref="G32" authorId="0" shapeId="0" xr:uid="{3677BD55-F934-7743-9355-B945958B98C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prefer CS/AM only </t>
        </r>
      </text>
    </comment>
    <comment ref="J33" authorId="0" shapeId="0" xr:uid="{1E81D01A-E348-DD43-AF08-01E916B99E4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shift</t>
        </r>
      </text>
    </comment>
    <comment ref="G38" authorId="0" shapeId="0" xr:uid="{EAF5CD4E-6838-4342-A4DA-6B128D385CC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SWING</t>
        </r>
      </text>
    </comment>
    <comment ref="I38" authorId="0" shapeId="0" xr:uid="{A0A8AB01-D7E8-9C43-ACFA-63977E1C957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CS</t>
        </r>
      </text>
    </comment>
    <comment ref="F39" authorId="0" shapeId="0" xr:uid="{71600F92-7FEF-4041-8A4D-86CC3649CEF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G39" authorId="0" shapeId="0" xr:uid="{525050F9-50A5-3541-BC28-10771E8F66B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H40" authorId="0" shapeId="0" xr:uid="{40E1ADDA-2F17-6648-A034-6DA809BB3FB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OFF for teaching</t>
        </r>
      </text>
    </comment>
    <comment ref="F41" authorId="0" shapeId="0" xr:uid="{A05D6A03-80CF-3A4C-9EB4-4F5F2234454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L41" authorId="1" shapeId="0" xr:uid="{BC095959-C34F-425C-B234-DAB82B704003}">
      <text>
        <t>[Threaded comment]
Your version of Excel allows you to read this threaded comment; however, any edits to it will get removed if the file is opened in a newer version of Excel. Learn more: https://go.microsoft.com/fwlink/?linkid=870924
Comment:
    pay AM shift worked week 1</t>
      </text>
    </comment>
    <comment ref="H43" authorId="0" shapeId="0" xr:uid="{2F5CF703-477F-BF44-814C-E279485F95D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DH CS</t>
        </r>
      </text>
    </comment>
    <comment ref="J43" authorId="0" shapeId="0" xr:uid="{60955676-839C-7A49-94EF-5ED1E96CC23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J49" authorId="0" shapeId="0" xr:uid="{EB512541-E195-C947-903E-8215BFAE504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CS</t>
        </r>
      </text>
    </comment>
    <comment ref="J50" authorId="0" shapeId="0" xr:uid="{0A3CA519-4EC5-CB4B-BA1B-B3DAB72B473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K50" authorId="0" shapeId="0" xr:uid="{67F5F03E-8062-AE46-AD18-4460A839BD4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SWING</t>
        </r>
      </text>
    </comment>
    <comment ref="F51" authorId="0" shapeId="0" xr:uid="{E61832D1-4BB7-934F-A3E5-F39CA80B9E7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H51" authorId="0" shapeId="0" xr:uid="{9D255959-02E4-3C49-8040-04EED7D289E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I51" authorId="0" shapeId="0" xr:uid="{ED6533F8-72DF-F942-BED8-2BED76DB58E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K52" authorId="0" shapeId="0" xr:uid="{2BE4596B-BBC4-5E45-99AD-E9E9B49B816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L52" authorId="0" shapeId="0" xr:uid="{20F39253-19DA-9F4C-ACB2-90ACEEC3442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H53" authorId="0" shapeId="0" xr:uid="{252524C1-3888-0B4C-8B87-2983727CBA4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L53" authorId="0" shapeId="0" xr:uid="{F626BB4C-E70E-324D-BC60-284DD8AE52B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L54" authorId="2" shapeId="0" xr:uid="{0EC288C5-9A6C-43F8-AFEC-06186DFE90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 not pay, paid week 1 </t>
      </text>
    </comment>
    <comment ref="H75" authorId="3" shapeId="0" xr:uid="{2F9A227A-DC1E-4328-8136-73EFB2ECB4E1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mark for 11/2</t>
      </text>
    </comment>
    <comment ref="G76" authorId="4" shapeId="0" xr:uid="{F34C9D24-14DC-4F1A-92FC-1BC31B39A6C8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dennis for 10/2</t>
      </text>
    </comment>
    <comment ref="I86" authorId="5" shapeId="0" xr:uid="{862C7390-3B85-4E57-85C9-0A1149AD4F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pay 0800-1730 working extra nights </t>
      </text>
    </comment>
    <comment ref="J109" authorId="6" shapeId="0" xr:uid="{8DC99907-E8DA-4DEB-AC9D-6911A5136F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1300-1730 sick leave </t>
      </text>
    </comment>
    <comment ref="K115" authorId="7" shapeId="0" xr:uid="{8FAE602C-B26B-4448-B5EE-9ACFB33F4B66}">
      <text>
        <t>[Threaded comment]
Your version of Excel allows you to read this threaded comment; however, any edits to it will get removed if the file is opened in a newer version of Excel. Learn more: https://go.microsoft.com/fwlink/?linkid=870924
Comment:
    2 hours orientation</t>
      </text>
    </comment>
    <comment ref="G121" authorId="8" shapeId="0" xr:uid="{E68B3E3C-19E9-47CE-AFC3-74ACC44E12F5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lisa for 5/2/ do not pay. paid week 1</t>
      </text>
    </comment>
    <comment ref="G123" authorId="9" shapeId="0" xr:uid="{7CD0EB2F-1FFA-4CC7-9E1B-66C64262111E}">
      <text>
        <t>[Threaded comment]
Your version of Excel allows you to read this threaded comment; however, any edits to it will get removed if the file is opened in a newer version of Excel. Learn more: https://go.microsoft.com/fwlink/?linkid=870924
Comment:
    pay AM shift worked week 2</t>
      </text>
    </comment>
    <comment ref="G128" authorId="10" shapeId="0" xr:uid="{84020379-F9C1-4A2F-BA8F-E796F10D100D}">
      <text>
        <t>[Threaded comment]
Your version of Excel allows you to read this threaded comment; however, any edits to it will get removed if the file is opened in a newer version of Excel. Learn more: https://go.microsoft.com/fwlink/?linkid=870924
Comment:
    2 hours for orientation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Tara Connell</author>
    <author>tc={FD45C394-7633-4D37-8ABE-09581D0C5F32}</author>
    <author>tc={AC39D35E-9EA9-46D6-95B5-0FF90D519F06}</author>
    <author>tc={953E1942-9CC3-4360-AC44-3F5867FB7275}</author>
    <author>tc={E814C21D-7BA2-4787-9090-45AA6303BEE0}</author>
    <author>tc={8C0331F8-C6F6-4ADB-A0CA-1F31A2E8C8D4}</author>
    <author>tc={D84C41B1-A981-41B4-AB9B-1010683476BC}</author>
    <author>tc={296451FA-4C9E-4557-BF1E-58EFD8F5C542}</author>
    <author>tc={C25F218F-77F0-4C9D-93A1-54E79C1F8214}</author>
    <author>tc={8D57DD30-3B75-4E3E-8AE3-E502566EC661}</author>
    <author>tc={A6DAF5E8-3591-436D-82D7-7EB6EB73F29F}</author>
    <author>tc={B5D0F27B-FB64-4603-A834-FA9CFAE13DF4}</author>
    <author>tc={61587DAB-0D47-41DD-8846-3C99501C42C3}</author>
  </authors>
  <commentList>
    <comment ref="J8" authorId="0" shapeId="0" xr:uid="{50809203-F0ED-9F48-9DE0-E60796381CA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shift only</t>
        </r>
      </text>
    </comment>
    <comment ref="F9" authorId="0" shapeId="0" xr:uid="{377259E9-F853-324B-8C26-EDFE392E207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G9" authorId="0" shapeId="0" xr:uid="{AF958741-D3F8-454C-9272-E1D76DE24BE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F11" authorId="0" shapeId="0" xr:uid="{A2177A97-2C60-A441-937D-E3B1EFFE56F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K12" authorId="1" shapeId="0" xr:uid="{FD45C394-7633-4D37-8ABE-09581D0C5F32}">
      <text>
        <t>[Threaded comment]
Your version of Excel allows you to read this threaded comment; however, any edits to it will get removed if the file is opened in a newer version of Excel. Learn more: https://go.microsoft.com/fwlink/?linkid=870924
Comment:
    do not pay, pay week 4</t>
      </text>
    </comment>
    <comment ref="F13" authorId="0" shapeId="0" xr:uid="{BA5150A1-6B11-F546-B63F-6C886CA7809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 MOSCE</t>
        </r>
      </text>
    </comment>
    <comment ref="I13" authorId="0" shapeId="0" xr:uid="{5336EEE5-A288-F342-8965-B34E9D43ED7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 PE standard setting</t>
        </r>
      </text>
    </comment>
    <comment ref="G14" authorId="0" shapeId="0" xr:uid="{F196436F-E58B-4546-923F-0CA7B301C62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I14" authorId="0" shapeId="0" xr:uid="{8DDED176-C636-9849-B6A7-DCDFD5CFD6D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</t>
        </r>
      </text>
    </comment>
    <comment ref="I16" authorId="0" shapeId="0" xr:uid="{0472C4F9-CDE2-F643-8B69-BB7A4D7A5D5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</t>
        </r>
      </text>
    </comment>
    <comment ref="F19" authorId="0" shapeId="0" xr:uid="{60ACE9A1-7FF1-A74D-9B8A-444878FF2F9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 - weekend PM shifts</t>
        </r>
      </text>
    </comment>
    <comment ref="G19" authorId="0" shapeId="0" xr:uid="{11F7AD41-F120-F347-9853-286197F6A4F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am only </t>
        </r>
      </text>
    </comment>
    <comment ref="I19" authorId="0" shapeId="0" xr:uid="{FB4CC2A9-2D39-E34A-AED3-D3BF9B8BF19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H20" authorId="0" shapeId="0" xr:uid="{3D8962DF-9B4E-BF46-A5CB-6397690092E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J20" authorId="0" shapeId="0" xr:uid="{F95A1F13-BC3C-FB49-9901-5099FB0B2E1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 if working</t>
        </r>
      </text>
    </comment>
    <comment ref="F24" authorId="0" shapeId="0" xr:uid="{8D3AED2B-AFDA-4541-8ACE-2FE31ADAFA3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I24" authorId="0" shapeId="0" xr:uid="{CFA4D88A-F5C0-A64C-877C-38A500C1F3D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K28" authorId="0" shapeId="0" xr:uid="{6E65719A-70C7-3949-B950-A83DB94CD67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Sat am off kids sports</t>
        </r>
      </text>
    </comment>
    <comment ref="J29" authorId="0" shapeId="0" xr:uid="{132ACC92-E8A4-0C40-A0F8-9279ED1B700E}">
      <text>
        <r>
          <rPr>
            <b/>
            <sz val="10"/>
            <color rgb="FF000000"/>
            <rFont val="Tahoma"/>
            <family val="2"/>
          </rPr>
          <t>Tara Connell:</t>
        </r>
      </text>
    </comment>
    <comment ref="H30" authorId="0" shapeId="0" xr:uid="{987E11BB-9AF5-1B4E-8E5C-84210EA19AC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Wed CS</t>
        </r>
      </text>
    </comment>
    <comment ref="J30" authorId="0" shapeId="0" xr:uid="{FA049E96-457E-6141-BBE9-D301EB0569E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G32" authorId="0" shapeId="0" xr:uid="{D22C1A0F-7731-EB4D-A099-C01C1800C16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prefer CS/AM only </t>
        </r>
      </text>
    </comment>
    <comment ref="J32" authorId="0" shapeId="0" xr:uid="{DF57A7AB-8A3A-4B47-8DAB-1BF4D3CAE9A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or CS only</t>
        </r>
      </text>
    </comment>
    <comment ref="L35" authorId="0" shapeId="0" xr:uid="{31785642-F8F9-4E48-98DC-FFFD44C9384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F38" authorId="0" shapeId="0" xr:uid="{2B80586E-DC3D-C142-8DDD-9F65F15B359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I38" authorId="0" shapeId="0" xr:uid="{CE744D67-F2DD-E749-A5E6-F390EA7A315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CS</t>
        </r>
      </text>
    </comment>
    <comment ref="F39" authorId="0" shapeId="0" xr:uid="{E6734FEB-B7AC-0D49-9C2C-9B8FAEEC00E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G39" authorId="0" shapeId="0" xr:uid="{EA87E430-F761-F643-B44B-7DCDEDAB35D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F40" authorId="0" shapeId="0" xr:uid="{3508C9B8-9204-DD4C-8FA7-56F4B150A26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 mock OSCE</t>
        </r>
      </text>
    </comment>
    <comment ref="H40" authorId="0" shapeId="0" xr:uid="{4C25F9B2-47E2-9B40-B588-43E5066EC81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OFF for teaching</t>
        </r>
      </text>
    </comment>
    <comment ref="F41" authorId="0" shapeId="0" xr:uid="{E478C5E7-88FA-9C4E-9A0A-E47231E228D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K41" authorId="2" shapeId="0" xr:uid="{AC39D35E-9EA9-46D6-95B5-0FF90D519F06}">
      <text>
        <t>[Threaded comment]
Your version of Excel allows you to read this threaded comment; however, any edits to it will get removed if the file is opened in a newer version of Excel. Learn more: https://go.microsoft.com/fwlink/?linkid=870924
Comment:
    do not pay. pay week 6</t>
      </text>
    </comment>
    <comment ref="I42" authorId="0" shapeId="0" xr:uid="{7BC5D818-1BCE-7741-9FE9-3FE659B09E8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office</t>
        </r>
      </text>
    </comment>
    <comment ref="H43" authorId="0" shapeId="0" xr:uid="{E276F404-1E6B-B740-A424-D2C15A9C72B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K43" authorId="0" shapeId="0" xr:uid="{B0F9663F-7C31-CE4E-B6E2-3F348AB4595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consider PM SSU given 3 PM in row
</t>
        </r>
      </text>
    </comment>
    <comment ref="L43" authorId="0" shapeId="0" xr:uid="{345FDC22-895C-2847-BD54-DFE491F311B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F45" authorId="0" shapeId="0" xr:uid="{8FD515C2-28D1-D348-9BA7-C351BED2152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shifts only</t>
        </r>
      </text>
    </comment>
    <comment ref="H45" authorId="0" shapeId="0" xr:uid="{D66AB51E-6D8E-7047-B092-956BE888539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shifts only</t>
        </r>
      </text>
    </comment>
    <comment ref="F46" authorId="0" shapeId="0" xr:uid="{48BA410B-FDCD-B04A-850D-F48E3DF6122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G46" authorId="0" shapeId="0" xr:uid="{3719F479-929C-1247-86B3-D4B8B0931D5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PM</t>
        </r>
      </text>
    </comment>
    <comment ref="G48" authorId="0" shapeId="0" xr:uid="{161B4028-0C35-7F46-AFBA-86C0087C0E4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AM only
</t>
        </r>
      </text>
    </comment>
    <comment ref="I48" authorId="0" shapeId="0" xr:uid="{B4C8C803-7D9B-294F-9514-6AA5983B6A3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AM only
</t>
        </r>
      </text>
    </comment>
    <comment ref="F49" authorId="0" shapeId="0" xr:uid="{1FD84DAF-6A87-B64B-AC27-86BB9603293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AM</t>
        </r>
      </text>
    </comment>
    <comment ref="F51" authorId="0" shapeId="0" xr:uid="{1F4578CB-A350-1A41-A722-165412E4FE4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CS</t>
        </r>
      </text>
    </comment>
    <comment ref="G51" authorId="0" shapeId="0" xr:uid="{0F626D72-FE35-0342-9ED5-993C255F050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H51" authorId="0" shapeId="0" xr:uid="{A5A78F42-A487-784B-8D5F-531BEBCD6D8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H52" authorId="0" shapeId="0" xr:uid="{6DA5C115-F36F-F140-B375-4F5BCCF4D8A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CS</t>
        </r>
      </text>
    </comment>
    <comment ref="I52" authorId="0" shapeId="0" xr:uid="{13F9B593-37AD-A64B-B126-36B03DED829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F70" authorId="3" shapeId="0" xr:uid="{953E1942-9CC3-4360-AC44-3F5867FB7275}">
      <text>
        <t>[Threaded comment]
Your version of Excel allows you to read this threaded comment; however, any edits to it will get removed if the file is opened in a newer version of Excel. Learn more: https://go.microsoft.com/fwlink/?linkid=870924
Comment:
    do not pay, pay week 4</t>
      </text>
    </comment>
    <comment ref="I76" authorId="4" shapeId="0" xr:uid="{E814C21D-7BA2-4787-9090-45AA6303BE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pay pm shift </t>
      </text>
    </comment>
    <comment ref="L86" authorId="5" shapeId="0" xr:uid="{8C0331F8-C6F6-4ADB-A0CA-1F31A2E8C8D4}">
      <text>
        <t>[Threaded comment]
Your version of Excel allows you to read this threaded comment; however, any edits to it will get removed if the file is opened in a newer version of Excel. Learn more: https://go.microsoft.com/fwlink/?linkid=870924
Comment:
    do not pay, pay week 4</t>
      </text>
    </comment>
    <comment ref="K96" authorId="6" shapeId="0" xr:uid="{D84C41B1-A981-41B4-AB9B-1010683476BC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kelly for 19/2</t>
      </text>
    </comment>
    <comment ref="H99" authorId="0" shapeId="0" xr:uid="{92771884-746B-214A-A218-82515329BF8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</t>
        </r>
      </text>
    </comment>
    <comment ref="G105" authorId="7" shapeId="0" xr:uid="{296451FA-4C9E-4557-BF1E-58EFD8F5C542}">
      <text>
        <t>[Threaded comment]
Your version of Excel allows you to read this threaded comment; however, any edits to it will get removed if the file is opened in a newer version of Excel. Learn more: https://go.microsoft.com/fwlink/?linkid=870924
Comment:
    2 hour for orientation</t>
      </text>
    </comment>
    <comment ref="I109" authorId="8" shapeId="0" xr:uid="{C25F218F-77F0-4C9D-93A1-54E79C1F8214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poh for 21/2</t>
      </text>
    </comment>
    <comment ref="I114" authorId="9" shapeId="0" xr:uid="{8D57DD30-3B75-4E3E-8AE3-E502566EC661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brendan</t>
      </text>
    </comment>
    <comment ref="I116" authorId="10" shapeId="0" xr:uid="{A6DAF5E8-3591-436D-82D7-7EB6EB73F29F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ankush</t>
      </text>
    </comment>
    <comment ref="I129" authorId="11" shapeId="0" xr:uid="{B5D0F27B-FB64-4603-A834-FA9CFAE13DF4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will for 18/2</t>
      </text>
    </comment>
    <comment ref="H135" authorId="12" shapeId="0" xr:uid="{61587DAB-0D47-41DD-8846-3C99501C42C3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harrison for 19/2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Tara Connell</author>
    <author>tc={833CA7B4-A770-4444-B6C0-49ABA120D55D}</author>
    <author>tc={4B22133A-DC45-4C86-B60F-7EEE906FF329}</author>
    <author>tc={B74A3881-61D7-4BFB-B7F6-58190EB9E37D}</author>
    <author>tc={383DFB10-C7DB-4DA3-BD9D-BA5D1B7A6ACA}</author>
    <author>tc={40958802-ADB2-4C76-9122-14601DBBF5F8}</author>
    <author>tc={5D5A11B2-75DF-4DF8-A4D3-9F3D2F5774C3}</author>
    <author>tc={E109860A-04DD-423A-A100-4DB9B00843CD}</author>
    <author>tc={AC6AD9B9-CCCC-45EC-B342-2BE53FEE426C}</author>
    <author>tc={8071A364-9049-49B6-8A14-3AD77B2E0F3A}</author>
    <author>tc={0D1751DB-9947-43C0-B39F-8FDF36640BF0}</author>
    <author>tc={F8C7C0BE-D315-401E-A86C-985B0B806292}</author>
    <author>tc={B85336CB-A938-495B-B870-3261FA5871FF}</author>
    <author>tc={1C082B1A-2FF4-47DC-9D59-9B1766413C36}</author>
    <author>tc={938A70FB-300F-4613-9603-3DC0A0293E9E}</author>
  </authors>
  <commentList>
    <comment ref="F9" authorId="0" shapeId="0" xr:uid="{493C8C07-6756-E34C-8AAC-76E6BE837D2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G9" authorId="0" shapeId="0" xr:uid="{18D3AB05-82B3-EC44-AEFF-D4C8B604730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I9" authorId="0" shapeId="0" xr:uid="{3446B232-7D3C-5F44-B993-C389DFCB301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I10" authorId="0" shapeId="0" xr:uid="{C0025E8A-74A7-9640-ABA8-54AE2AA80CE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AM only</t>
        </r>
      </text>
    </comment>
    <comment ref="F11" authorId="0" shapeId="0" xr:uid="{71050611-842F-DF4C-9BDF-A5259861BE5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K12" authorId="1" shapeId="0" xr:uid="{833CA7B4-A770-4444-B6C0-49ABA120D55D}">
      <text>
        <t>[Threaded comment]
Your version of Excel allows you to read this threaded comment; however, any edits to it will get removed if the file is opened in a newer version of Excel. Learn more: https://go.microsoft.com/fwlink/?linkid=870924
Comment:
    pay PM worked week 3</t>
      </text>
    </comment>
    <comment ref="H13" authorId="0" shapeId="0" xr:uid="{4962461B-DDDF-0549-8CE8-F7588538886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ACEM</t>
        </r>
      </text>
    </comment>
    <comment ref="J13" authorId="0" shapeId="0" xr:uid="{891413CF-7E5C-6B40-A0F8-13B9E27ED76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CS/ACEM/OFF</t>
        </r>
      </text>
    </comment>
    <comment ref="H14" authorId="0" shapeId="0" xr:uid="{45DB4610-1511-8341-AEE1-7D4EA535768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clinical</t>
        </r>
      </text>
    </comment>
    <comment ref="I14" authorId="0" shapeId="0" xr:uid="{1AC1EB35-4BB9-2A4A-AF5F-CAE9716F11A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G16" authorId="0" shapeId="0" xr:uid="{12B397B8-A03B-994F-BF99-FA7E456D174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 - NOT OFFICE</t>
        </r>
      </text>
    </comment>
    <comment ref="F22" authorId="0" shapeId="0" xr:uid="{6905E8AD-6E65-544C-B237-C52B539057E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am off to prevent PM/AM</t>
        </r>
      </text>
    </comment>
    <comment ref="H22" authorId="0" shapeId="0" xr:uid="{C2F02B10-3773-FE47-9F42-04C0F5D8A42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 wednesdays</t>
        </r>
      </text>
    </comment>
    <comment ref="H23" authorId="0" shapeId="0" xr:uid="{309106C1-1214-5F40-9977-1C511634733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off</t>
        </r>
      </text>
    </comment>
    <comment ref="L24" authorId="0" shapeId="0" xr:uid="{EC358FE6-E87A-9B41-9B09-D8734680498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Paed AM</t>
        </r>
      </text>
    </comment>
    <comment ref="H30" authorId="0" shapeId="0" xr:uid="{D8BCBA40-1AB3-494F-B621-706A9062360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Wed CS</t>
        </r>
      </text>
    </comment>
    <comment ref="J30" authorId="0" shapeId="0" xr:uid="{8E6C49A3-22C1-1C4F-8D4E-BC162EC1BC4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AM</t>
        </r>
      </text>
    </comment>
    <comment ref="G32" authorId="0" shapeId="0" xr:uid="{983DE7D3-89EC-6A49-8919-A6D87AC12D3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prefer CS/AM only </t>
        </r>
      </text>
    </comment>
    <comment ref="J33" authorId="0" shapeId="0" xr:uid="{3E67C6DB-321E-0442-9D6F-424EB412D90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shift</t>
        </r>
      </text>
    </comment>
    <comment ref="H35" authorId="0" shapeId="0" xr:uid="{66B7A4A0-F124-9F48-AD48-E485F7A213F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I38" authorId="0" shapeId="0" xr:uid="{A3A5C9B9-6003-6540-B426-6DEF38D9B0C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CS</t>
        </r>
      </text>
    </comment>
    <comment ref="K38" authorId="0" shapeId="0" xr:uid="{1D759CF7-19BE-5545-9566-F74D70E865E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J39" authorId="0" shapeId="0" xr:uid="{20BAF4FF-084E-6247-B991-9C248A89EFA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</t>
        </r>
      </text>
    </comment>
    <comment ref="H40" authorId="0" shapeId="0" xr:uid="{D697B664-BFFB-EB48-9BB8-4E0D5D3D936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OFF for teaching</t>
        </r>
      </text>
    </comment>
    <comment ref="F43" authorId="0" shapeId="0" xr:uid="{1BCC21A9-B1FB-4F42-9EA1-4225D281456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L44" authorId="0" shapeId="0" xr:uid="{9CA58BED-15F1-F64A-AAEF-11ECDFC0C24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F45" authorId="0" shapeId="0" xr:uid="{4CC181BB-A55E-8841-8697-696372EDDB5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shifts only</t>
        </r>
      </text>
    </comment>
    <comment ref="H45" authorId="0" shapeId="0" xr:uid="{B96EAF08-B9C3-1C47-8891-B3F47C92467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shifts only</t>
        </r>
      </text>
    </comment>
    <comment ref="I48" authorId="0" shapeId="0" xr:uid="{DF54131D-AFB4-8F4D-BCCC-0DA4A66166D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J49" authorId="0" shapeId="0" xr:uid="{CA46C6B5-B1E1-1440-87AA-CD319D0EFC4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SWING</t>
        </r>
      </text>
    </comment>
    <comment ref="I50" authorId="0" shapeId="0" xr:uid="{B62B2A41-D4B5-4241-8C90-2B26E5047F9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SWING</t>
        </r>
      </text>
    </comment>
    <comment ref="K50" authorId="0" shapeId="0" xr:uid="{E296BF81-AC91-A946-9B3F-DEA972058AE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AM</t>
        </r>
      </text>
    </comment>
    <comment ref="G51" authorId="0" shapeId="0" xr:uid="{E5A86C1C-491F-0F45-8D4B-90602A1F425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CS</t>
        </r>
      </text>
    </comment>
    <comment ref="H51" authorId="0" shapeId="0" xr:uid="{309B7831-9849-C648-8514-1B99E6977AB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CS</t>
        </r>
      </text>
    </comment>
    <comment ref="J52" authorId="0" shapeId="0" xr:uid="{5D53E543-FA4C-8642-8422-CFA4FF0255E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CS</t>
        </r>
      </text>
    </comment>
    <comment ref="L52" authorId="0" shapeId="0" xr:uid="{B706C391-6EAB-4845-AAD0-3BEDEF9F803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H53" authorId="0" shapeId="0" xr:uid="{2DD39770-4BE8-2A49-BF03-50E7A064EBF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G58" authorId="0" shapeId="0" xr:uid="{92DFE97F-09E0-DD43-A113-C5A28C2DF8A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Dandenong PM</t>
        </r>
      </text>
    </comment>
    <comment ref="F70" authorId="2" shapeId="0" xr:uid="{4B22133A-DC45-4C86-B60F-7EEE906FF329}">
      <text>
        <t>[Threaded comment]
Your version of Excel allows you to read this threaded comment; however, any edits to it will get removed if the file is opened in a newer version of Excel. Learn more: https://go.microsoft.com/fwlink/?linkid=870924
Comment:
    pay am shift worked week 3</t>
      </text>
    </comment>
    <comment ref="G86" authorId="3" shapeId="0" xr:uid="{B74A3881-61D7-4BFB-B7F6-58190EB9E3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pay am shift </t>
      </text>
    </comment>
    <comment ref="L86" authorId="4" shapeId="0" xr:uid="{383DFB10-C7DB-4DA3-BD9D-BA5D1B7A6ACA}">
      <text>
        <t>[Threaded comment]
Your version of Excel allows you to read this threaded comment; however, any edits to it will get removed if the file is opened in a newer version of Excel. Learn more: https://go.microsoft.com/fwlink/?linkid=870924
Comment:
    pay PM worked week 3</t>
      </text>
    </comment>
    <comment ref="I97" authorId="5" shapeId="0" xr:uid="{40958802-ADB2-4C76-9122-14601DBBF5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swap with rachel </t>
      </text>
    </comment>
    <comment ref="I103" authorId="6" shapeId="0" xr:uid="{5D5A11B2-75DF-4DF8-A4D3-9F3D2F577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swap with giovana </t>
      </text>
    </comment>
    <comment ref="K108" authorId="7" shapeId="0" xr:uid="{E109860A-04DD-423A-A100-4DB9B00843CD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harmeen for 28/2 and 1/3</t>
      </text>
    </comment>
    <comment ref="I116" authorId="8" shapeId="0" xr:uid="{AC6AD9B9-CCCC-45EC-B342-2BE53FEE426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swap with aaron b </t>
      </text>
    </comment>
    <comment ref="I117" authorId="9" shapeId="0" xr:uid="{8071A364-9049-49B6-8A14-3AD77B2E0F3A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brendan</t>
      </text>
    </comment>
    <comment ref="G136" authorId="10" shapeId="0" xr:uid="{0D1751DB-9947-43C0-B39F-8FDF36640BF0}">
      <text>
        <t>[Threaded comment]
Your version of Excel allows you to read this threaded comment; however, any edits to it will get removed if the file is opened in a newer version of Excel. Learn more: https://go.microsoft.com/fwlink/?linkid=870924
Comment:
    2 hours orientation</t>
      </text>
    </comment>
    <comment ref="D145" authorId="11" shapeId="0" xr:uid="{F8C7C0BE-D315-401E-A86C-985B0B8062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reliever for nathan </t>
      </text>
    </comment>
    <comment ref="L153" authorId="12" shapeId="0" xr:uid="{B85336CB-A938-495B-B870-3261FA5871FF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elliot for 26/2</t>
      </text>
    </comment>
    <comment ref="I155" authorId="13" shapeId="0" xr:uid="{1C082B1A-2FF4-47DC-9D59-9B1766413C36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elliot for 1/3</t>
      </text>
    </comment>
    <comment ref="L157" authorId="14" shapeId="0" xr:uid="{938A70FB-300F-4613-9603-3DC0A0293E9E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ann for 6/3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Tara Connell</author>
    <author>tc={FF004168-E85E-4E25-BC07-A4264A41E53C}</author>
    <author>tc={A067AEF8-25D1-4EB1-86A2-DEA8FA86DDD9}</author>
    <author>tc={8E7B5586-06FC-4840-B58B-C2A82C258039}</author>
    <author>tc={7E9B40A9-D0DB-41CB-BECD-B83AD7AA1ABB}</author>
    <author>tc={A76E1931-F42B-46A8-8BA8-327ADDF7685D}</author>
  </authors>
  <commentList>
    <comment ref="F9" authorId="0" shapeId="0" xr:uid="{28EF96D1-4E66-7F4C-81ED-F68637D7715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G9" authorId="0" shapeId="0" xr:uid="{994F63C9-2F5A-5A48-A50F-6FF24803FD3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J10" authorId="0" shapeId="0" xr:uid="{45DCE90D-FB89-4D4A-A8F5-4F759827425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AM only</t>
        </r>
      </text>
    </comment>
    <comment ref="F11" authorId="0" shapeId="0" xr:uid="{F74A5FB9-3F3B-FE4B-81AA-78B9541FC86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F13" authorId="0" shapeId="0" xr:uid="{FCD64577-2587-8746-9C80-AB4972B5EFF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G14" authorId="0" shapeId="0" xr:uid="{017BA342-0BAD-E540-9E85-6F080F5CE32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I14" authorId="0" shapeId="0" xr:uid="{B7F071FA-7D1E-F241-ADC5-8F97526D133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</t>
        </r>
      </text>
    </comment>
    <comment ref="G16" authorId="0" shapeId="0" xr:uid="{AD3B4B4B-EEE7-DC41-8A60-3DC1A22442A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H16" authorId="0" shapeId="0" xr:uid="{84DAA24F-0FBA-BB42-B269-018E8D209B2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 not office - SIM</t>
        </r>
      </text>
    </comment>
    <comment ref="G19" authorId="0" shapeId="0" xr:uid="{1451E854-1FE2-7742-99EA-75025914975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am only </t>
        </r>
      </text>
    </comment>
    <comment ref="H20" authorId="0" shapeId="0" xr:uid="{04873E56-B559-FB4E-9C1D-4DE94D7E6DC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G21" authorId="0" shapeId="0" xr:uid="{3538F88F-16F4-164E-AF65-92FAA3067AC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AM</t>
        </r>
      </text>
    </comment>
    <comment ref="I21" authorId="0" shapeId="0" xr:uid="{F463A738-FAEB-5046-8CEE-771C024BDCF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SWING</t>
        </r>
      </text>
    </comment>
    <comment ref="G32" authorId="0" shapeId="0" xr:uid="{A343FF58-3C98-4E47-8062-AA179DC7ADE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prefer CS/AM only </t>
        </r>
      </text>
    </comment>
    <comment ref="F33" authorId="0" shapeId="0" xr:uid="{F49DA091-0771-7743-BD24-B1916A0B4EF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shift</t>
        </r>
      </text>
    </comment>
    <comment ref="F35" authorId="0" shapeId="0" xr:uid="{4AEA67BC-EB13-2E4F-AB20-68A3D1C0B71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CS</t>
        </r>
      </text>
    </comment>
    <comment ref="F38" authorId="0" shapeId="0" xr:uid="{86ED38C3-6C35-E04B-80B6-58715ED82A3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CS</t>
        </r>
      </text>
    </comment>
    <comment ref="I38" authorId="0" shapeId="0" xr:uid="{2DF9B2B4-02F5-954E-AFF2-1F05C641400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CS</t>
        </r>
      </text>
    </comment>
    <comment ref="H40" authorId="0" shapeId="0" xr:uid="{CFEACF1E-38EF-034A-BAFB-62AE3873D5C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OFF for teaching</t>
        </r>
      </text>
    </comment>
    <comment ref="L43" authorId="0" shapeId="0" xr:uid="{8E8ED38E-CDCF-F44C-B188-23B3365B4E8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L44" authorId="0" shapeId="0" xr:uid="{CC3F6EFD-30C9-4B48-B351-D9D9F730BEA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F45" authorId="0" shapeId="0" xr:uid="{1FDBE5BC-F6F2-4F4B-9685-82767C7D1E8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shifts only</t>
        </r>
      </text>
    </comment>
    <comment ref="H45" authorId="0" shapeId="0" xr:uid="{295A13F4-CB33-1442-BC92-2330E59DF82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shifts only</t>
        </r>
      </text>
    </comment>
    <comment ref="H47" authorId="0" shapeId="0" xr:uid="{DAAEB22C-F24D-EB44-BA5B-4348EF04B2B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AM only - early start Thursday am</t>
        </r>
      </text>
    </comment>
    <comment ref="G48" authorId="0" shapeId="0" xr:uid="{CDFA5088-E791-2D47-849D-2A11235986B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G49" authorId="0" shapeId="0" xr:uid="{5FE31A8B-720F-D449-8CA7-B75AD1D7332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F50" authorId="0" shapeId="0" xr:uid="{D0E71065-2E94-F143-A807-A820B5C251C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SWING</t>
        </r>
      </text>
    </comment>
    <comment ref="J50" authorId="0" shapeId="0" xr:uid="{AA02B5DC-A544-D54E-9EDD-5C3E7FD845C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CS</t>
        </r>
      </text>
    </comment>
    <comment ref="F51" authorId="0" shapeId="0" xr:uid="{BD149B27-16BF-4D40-A2C8-513C8C57589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H51" authorId="0" shapeId="0" xr:uid="{B84B0346-4195-0049-99F8-082338FE52A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F52" authorId="0" shapeId="0" xr:uid="{0D89188F-AFE9-8345-925B-D9E09C19F95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G52" authorId="0" shapeId="0" xr:uid="{9EA90E7F-21C5-6646-AD30-1D2E401E8CC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H56" authorId="0" shapeId="0" xr:uid="{0D9239EC-C6D2-2A40-B2D9-2F9893C4D98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float</t>
        </r>
      </text>
    </comment>
    <comment ref="L77" authorId="1" shapeId="0" xr:uid="{FF004168-E85E-4E25-BC07-A4264A41E53C}">
      <text>
        <t>[Threaded comment]
Your version of Excel allows you to read this threaded comment; however, any edits to it will get removed if the file is opened in a newer version of Excel. Learn more: https://go.microsoft.com/fwlink/?linkid=870924
Comment:
    pay AM shift worked for will week 6</t>
      </text>
    </comment>
    <comment ref="H79" authorId="2" shapeId="0" xr:uid="{A067AEF8-25D1-4EB1-86A2-DEA8FA86DDD9}">
      <text>
        <t>[Threaded comment]
Your version of Excel allows you to read this threaded comment; however, any edits to it will get removed if the file is opened in a newer version of Excel. Learn more: https://go.microsoft.com/fwlink/?linkid=870924
Comment:
    do not pay, pay week 6</t>
      </text>
    </comment>
    <comment ref="I150" authorId="3" shapeId="0" xr:uid="{8E7B5586-06FC-4840-B58B-C2A82C258039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roxana for 2/3</t>
      </text>
    </comment>
    <comment ref="J150" authorId="4" shapeId="0" xr:uid="{7E9B40A9-D0DB-41CB-BECD-B83AD7AA1ABB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roxana for 1/3</t>
      </text>
    </comment>
    <comment ref="F156" authorId="5" shapeId="0" xr:uid="{A76E1931-F42B-46A8-8BA8-327ADDF7685D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ann for 5/3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Tara Connell</author>
    <author>tc={030CECAB-CDDD-40E9-9764-C37292987B1E}</author>
    <author>tc={AB055EE0-A830-43B0-8774-388393FFC97E}</author>
    <author>tc={4E6D0F8A-7B24-4A20-B014-26CEB6B22069}</author>
    <author>tc={EB4E9E76-1B61-42D1-AEDA-5AFD125A6E39}</author>
    <author>tc={1F696525-0B87-43A0-BC1F-91C269673561}</author>
    <author>tc={3350FF24-8C7C-40AA-A13C-A4426FAFC88C}</author>
    <author>tc={95AB044E-6F2D-49D7-9D63-F2452FF7CEF1}</author>
    <author>tc={11755912-DAEA-434A-931C-1AC5053B5FD1}</author>
    <author>tc={3DC4E348-30CA-4B2C-B2BD-CFED877D3426}</author>
  </authors>
  <commentList>
    <comment ref="J9" authorId="0" shapeId="0" xr:uid="{63D170AB-65E3-E54F-AD22-6B537099B00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G14" authorId="0" shapeId="0" xr:uid="{20ECD075-DAE2-A649-9CDB-0AF49048353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I14" authorId="0" shapeId="0" xr:uid="{91544570-8A2E-9B4E-89A7-E8A8A7A300A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</t>
        </r>
      </text>
    </comment>
    <comment ref="I16" authorId="0" shapeId="0" xr:uid="{AB7FDD11-05C1-E640-B33D-1DC989E981E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</t>
        </r>
      </text>
    </comment>
    <comment ref="L17" authorId="0" shapeId="0" xr:uid="{4B528539-AF48-834C-8546-A7699FC7CD5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H23" authorId="0" shapeId="0" xr:uid="{7BDC3ED9-19BB-E743-A192-4D6584E3538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off</t>
        </r>
      </text>
    </comment>
    <comment ref="J29" authorId="0" shapeId="0" xr:uid="{F83335B8-403A-A949-A6E7-98FCB18C706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K29" authorId="0" shapeId="0" xr:uid="{92FF4DC5-903B-5D43-A3FC-BDEB72BA027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?Support emergo - 0900-1200</t>
        </r>
      </text>
    </comment>
    <comment ref="G32" authorId="0" shapeId="0" xr:uid="{0194A60B-22F5-734A-B45E-50A311BC7EF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prefer CS/AM only </t>
        </r>
      </text>
    </comment>
    <comment ref="F33" authorId="0" shapeId="0" xr:uid="{7A216710-449F-CB4F-9092-A2C638E0A9B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working elsewhere</t>
        </r>
      </text>
    </comment>
    <comment ref="H35" authorId="0" shapeId="0" xr:uid="{A3F7C3B5-0467-F044-9721-02CCA75AB80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I38" authorId="0" shapeId="0" xr:uid="{0F083920-8938-AA44-9E89-855CB5452F5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CS</t>
        </r>
      </text>
    </comment>
    <comment ref="J38" authorId="0" shapeId="0" xr:uid="{19DE95DF-CEFE-0441-844C-B2AE931AF0A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H40" authorId="0" shapeId="0" xr:uid="{88E6B894-D0BA-6C47-BA55-92F9E0BEDF6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OFF for teaching</t>
        </r>
      </text>
    </comment>
    <comment ref="K41" authorId="1" shapeId="0" xr:uid="{030CECAB-CDDD-40E9-9764-C37292987B1E}">
      <text>
        <t>[Threaded comment]
Your version of Excel allows you to read this threaded comment; however, any edits to it will get removed if the file is opened in a newer version of Excel. Learn more: https://go.microsoft.com/fwlink/?linkid=870924
Comment:
    pay AM shift worked week 3</t>
      </text>
    </comment>
    <comment ref="G42" authorId="2" shapeId="0" xr:uid="{AB055EE0-A830-43B0-8774-388393FFC97E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sunday 22/3 0730-1700</t>
      </text>
    </comment>
    <comment ref="H43" authorId="0" shapeId="0" xr:uid="{D4D6F42D-0138-FC48-929D-9F946FEEF58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H45" authorId="0" shapeId="0" xr:uid="{257794A1-7FEF-D546-8139-A0209FB36FB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shifts only</t>
        </r>
      </text>
    </comment>
    <comment ref="H48" authorId="3" shapeId="0" xr:uid="{4E6D0F8A-7B24-4A20-B014-26CEB6B22069}">
      <text>
        <t>[Threaded comment]
Your version of Excel allows you to read this threaded comment; however, any edits to it will get removed if the file is opened in a newer version of Excel. Learn more: https://go.microsoft.com/fwlink/?linkid=870924
Comment:
    pay am shift working week 10</t>
      </text>
    </comment>
    <comment ref="I48" authorId="0" shapeId="0" xr:uid="{A851AE86-4FAB-7143-A8EB-05B492E48E7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J49" authorId="0" shapeId="0" xr:uid="{1E920651-D0C2-5D47-BF8F-647BB591A3D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G50" authorId="0" shapeId="0" xr:uid="{D2C952C7-DEB3-1545-A96C-5536660A5FA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PM shift - med student education</t>
        </r>
      </text>
    </comment>
    <comment ref="H51" authorId="0" shapeId="0" xr:uid="{2EE14D04-4419-E04B-AE41-382B010BB81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I51" authorId="0" shapeId="0" xr:uid="{5EAD2924-0616-D247-BC59-6A8729D1245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L51" authorId="0" shapeId="0" xr:uid="{189520DD-80C5-0D48-9A84-F9CF9190163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F52" authorId="0" shapeId="0" xr:uid="{9BFF390C-0F60-4C49-994E-84A0B80630B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G52" authorId="0" shapeId="0" xr:uid="{351A8EF9-D13E-8E4F-A80B-0FE2C4A0D6C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H52" authorId="0" shapeId="0" xr:uid="{901C2ACB-EE58-3646-B880-3FE5CA3F70B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CS</t>
        </r>
      </text>
    </comment>
    <comment ref="H54" authorId="4" shapeId="0" xr:uid="{EB4E9E76-1B61-42D1-AEDA-5AFD125A6E39}">
      <text>
        <t>[Threaded comment]
Your version of Excel allows you to read this threaded comment; however, any edits to it will get removed if the file is opened in a newer version of Excel. Learn more: https://go.microsoft.com/fwlink/?linkid=870924
Comment:
    do not pay, pay week 10</t>
      </text>
    </comment>
    <comment ref="L77" authorId="5" shapeId="0" xr:uid="{1F696525-0B87-43A0-BC1F-91C269673561}">
      <text>
        <t>[Threaded comment]
Your version of Excel allows you to read this threaded comment; however, any edits to it will get removed if the file is opened in a newer version of Excel. Learn more: https://go.microsoft.com/fwlink/?linkid=870924
Comment:
    do not pay, paid week 5</t>
      </text>
    </comment>
    <comment ref="G79" authorId="6" shapeId="0" xr:uid="{3350FF24-8C7C-40AA-A13C-A4426FAFC88C}">
      <text>
        <t>[Threaded comment]
Your version of Excel allows you to read this threaded comment; however, any edits to it will get removed if the file is opened in a newer version of Excel. Learn more: https://go.microsoft.com/fwlink/?linkid=870924
Comment:
    pay pm shift worked for amy in week 5</t>
      </text>
    </comment>
    <comment ref="G89" authorId="7" shapeId="0" xr:uid="{95AB044E-6F2D-49D7-9D63-F2452FF7CEF1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poh for 22/3</t>
      </text>
    </comment>
    <comment ref="L107" authorId="8" shapeId="0" xr:uid="{11755912-DAEA-434A-931C-1AC5053B5FD1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kelly for 9/3</t>
      </text>
    </comment>
    <comment ref="F109" authorId="9" shapeId="0" xr:uid="{3DC4E348-30CA-4B2C-B2BD-CFED877D3426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jerome for 15/3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Tara Connell</author>
    <author>tc={7CA117CB-95F6-4548-83F3-5F1C7280106D}</author>
    <author>tc={D6570958-7102-417C-A8E7-8B40F1BC6700}</author>
    <author>tc={A31430A4-9BD0-417E-B821-D4E1137F6B72}</author>
    <author>tc={5D68B4C5-E687-498F-9E0A-9A852669EE11}</author>
    <author>tc={A6E7D228-7DBF-4BCB-A37A-A0100BA795BD}</author>
    <author>tc={39737F27-8351-4666-B8B3-679E36459073}</author>
    <author>tc={F35EECBF-EC1B-4B29-88FC-D9768ADDD907}</author>
    <author>tc={253511CC-FDA7-4E84-9435-5F1AF4D1A1DE}</author>
    <author>tc={44123C11-C241-443D-A2A6-AA171AFFDFB0}</author>
    <author>tc={4D0C3020-FB60-4B45-ADBA-ABC495B8A568}</author>
  </authors>
  <commentList>
    <comment ref="F9" authorId="0" shapeId="0" xr:uid="{D669395F-2973-1F44-A003-AF229352EAF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G9" authorId="0" shapeId="0" xr:uid="{F487D7D6-9F3F-A942-A26C-D42F7FA0003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F11" authorId="0" shapeId="0" xr:uid="{3F632A36-FD07-3B4D-A722-DB25E69D5D0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J13" authorId="0" shapeId="0" xr:uid="{5235B1C1-C62C-8C4B-A2CF-10BC636992C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CS offsite only</t>
        </r>
      </text>
    </comment>
    <comment ref="G16" authorId="0" shapeId="0" xr:uid="{E0559105-664F-224F-83E7-B831E4FCE3B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H16" authorId="0" shapeId="0" xr:uid="{6939334F-7307-0640-A831-CA263BE153F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 not office - SIM</t>
        </r>
      </text>
    </comment>
    <comment ref="H20" authorId="0" shapeId="0" xr:uid="{6875661F-47DD-B24B-82F7-EC285DAC91C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F21" authorId="0" shapeId="0" xr:uid="{4ABACEE3-03C3-2945-B609-5645AA3AAF0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J21" authorId="0" shapeId="0" xr:uid="{DF3F8B64-8C62-3146-910C-7DF790EBB6E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AM</t>
        </r>
      </text>
    </comment>
    <comment ref="G32" authorId="0" shapeId="0" xr:uid="{7F21B473-3C0A-4546-82D0-F299E8F4E1A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prefer CS/AM only </t>
        </r>
      </text>
    </comment>
    <comment ref="J32" authorId="0" shapeId="0" xr:uid="{08D52BEC-81A6-2043-B06D-309435A084E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or CS only</t>
        </r>
      </text>
    </comment>
    <comment ref="G33" authorId="0" shapeId="0" xr:uid="{F32EDE2B-393F-1149-B1BF-DBD8C8BE798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 or PM</t>
        </r>
      </text>
    </comment>
    <comment ref="I33" authorId="0" shapeId="0" xr:uid="{E804C923-2CD6-B94D-96F7-6464897B59C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F35" authorId="0" shapeId="0" xr:uid="{8C26A171-83B9-3749-820C-449B43B0746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CS</t>
        </r>
      </text>
    </comment>
    <comment ref="H37" authorId="0" shapeId="0" xr:uid="{215FDE62-53ED-8A49-A9EA-6758B7E56F5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 for SIM</t>
        </r>
      </text>
    </comment>
    <comment ref="F38" authorId="0" shapeId="0" xr:uid="{02B35ED1-9065-AD49-A86A-6943A892586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AM</t>
        </r>
      </text>
    </comment>
    <comment ref="I38" authorId="0" shapeId="0" xr:uid="{1AE2A754-49A0-284F-A3BC-97B210E4CEA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CS</t>
        </r>
      </text>
    </comment>
    <comment ref="F40" authorId="0" shapeId="0" xr:uid="{0FBFFE21-1945-1C48-90E1-C50A4F66B89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L42" authorId="1" shapeId="0" xr:uid="{7CA117CB-95F6-4548-83F3-5F1C728010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working instead of the 10/3 </t>
      </text>
    </comment>
    <comment ref="F45" authorId="0" shapeId="0" xr:uid="{E6CE6EC2-1556-0341-8543-49CB43FC94C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shifts only</t>
        </r>
      </text>
    </comment>
    <comment ref="H45" authorId="0" shapeId="0" xr:uid="{15AADE3B-09A7-3540-B025-E8C4E0048C8A}">
      <text>
        <r>
          <rPr>
            <b/>
            <sz val="10"/>
            <color rgb="FF000000"/>
            <rFont val="Tahoma"/>
            <family val="2"/>
          </rPr>
          <t xml:space="preserve">Tara Connell
</t>
        </r>
        <r>
          <rPr>
            <b/>
            <sz val="10"/>
            <color rgb="FF000000"/>
            <rFont val="Tahoma"/>
            <family val="2"/>
          </rPr>
          <t>CS not office</t>
        </r>
      </text>
    </comment>
    <comment ref="F46" authorId="0" shapeId="0" xr:uid="{4101B6D0-89C7-214E-935A-68DD710EE9C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AM</t>
        </r>
      </text>
    </comment>
    <comment ref="G46" authorId="0" shapeId="0" xr:uid="{E378148C-03AE-FB4B-BB02-F2CE0B5A682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PM</t>
        </r>
      </text>
    </comment>
    <comment ref="G48" authorId="0" shapeId="0" xr:uid="{0DF66354-433D-7B46-B129-FFCE40F5603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H48" authorId="2" shapeId="0" xr:uid="{D6570958-7102-417C-A8E7-8B40F1BC67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 not pay, paid week 6 </t>
      </text>
    </comment>
    <comment ref="L48" authorId="0" shapeId="0" xr:uid="{938C261D-614A-694D-A28D-3B0FA2DFABE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F49" authorId="0" shapeId="0" xr:uid="{7B98D0F2-B46C-5B4A-8639-65813438627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CS</t>
        </r>
      </text>
    </comment>
    <comment ref="H50" authorId="0" shapeId="0" xr:uid="{6DF45F74-60F8-7940-A227-282E13E6C57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J50" authorId="0" shapeId="0" xr:uid="{5558275D-8F14-374A-A855-D9F2C0B9297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CS</t>
        </r>
      </text>
    </comment>
    <comment ref="L50" authorId="0" shapeId="0" xr:uid="{8C791D57-CF58-4342-A464-9B2F3AA80F1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AM</t>
        </r>
      </text>
    </comment>
    <comment ref="J51" authorId="0" shapeId="0" xr:uid="{D67711D0-E2F7-F848-8B7F-222340246D7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L51" authorId="0" shapeId="0" xr:uid="{DA79EA66-8C59-A842-A624-F8807709125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H54" authorId="3" shapeId="0" xr:uid="{A31430A4-9BD0-417E-B821-D4E1137F6B72}">
      <text>
        <t>[Threaded comment]
Your version of Excel allows you to read this threaded comment; however, any edits to it will get removed if the file is opened in a newer version of Excel. Learn more: https://go.microsoft.com/fwlink/?linkid=870924
Comment:
    pay am shift worked week 6</t>
      </text>
    </comment>
    <comment ref="I83" authorId="4" shapeId="0" xr:uid="{5D68B4C5-E687-498F-9E0A-9A852669EE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worked 2 extra nights </t>
      </text>
    </comment>
    <comment ref="H87" authorId="5" shapeId="0" xr:uid="{A6E7D228-7DBF-4BCB-A37A-A0100BA795BD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craig for 21/3</t>
      </text>
    </comment>
    <comment ref="L95" authorId="6" shapeId="0" xr:uid="{39737F27-8351-4666-B8B3-679E36459073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clare for 10/3</t>
      </text>
    </comment>
    <comment ref="K100" authorId="7" shapeId="0" xr:uid="{F35EECBF-EC1B-4B29-88FC-D9768ADDD907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shiv for 18/3</t>
      </text>
    </comment>
    <comment ref="G119" authorId="8" shapeId="0" xr:uid="{253511CC-FDA7-4E84-9435-5F1AF4D1A1D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worked night 16/3 </t>
      </text>
    </comment>
    <comment ref="G125" authorId="9" shapeId="0" xr:uid="{44123C11-C241-443D-A2A6-AA171AFFDFB0}">
      <text>
        <t>[Threaded comment]
Your version of Excel allows you to read this threaded comment; however, any edits to it will get removed if the file is opened in a newer version of Excel. Learn more: https://go.microsoft.com/fwlink/?linkid=870924
Comment:
    pay Am shift for extra nights</t>
      </text>
    </comment>
    <comment ref="G142" authorId="10" shapeId="0" xr:uid="{4D0C3020-FB60-4B45-ADBA-ABC495B8A5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worked nightshift on the 16/3 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Tara Connell</author>
    <author>tc={48044F19-D2D3-4208-8D1E-3A1C68CDC9F5}</author>
    <author>tc={B7ED9C9B-A03A-4FD9-BD2D-44BE1CAA7C25}</author>
    <author>tc={E58320C4-36DA-4EA0-BD62-6412B7350473}</author>
    <author>tc={0F78A844-51B9-424F-9A88-061298B31706}</author>
    <author>tc={33077852-0E67-4344-929A-D378E1D18F6C}</author>
    <author>tc={A914323E-96B2-4D3B-ADAA-166DA5E5593E}</author>
  </authors>
  <commentList>
    <comment ref="F9" authorId="0" shapeId="0" xr:uid="{5E2921F4-7F1D-B146-B047-4C302088079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G9" authorId="0" shapeId="0" xr:uid="{DA368E47-2A6E-CC48-B52E-B178BF550FD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I10" authorId="1" shapeId="0" xr:uid="{48044F19-D2D3-4208-8D1E-3A1C68CDC9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pay AM shift worked week 10 for helen </t>
      </text>
    </comment>
    <comment ref="F11" authorId="0" shapeId="0" xr:uid="{804ED996-9E25-974A-996D-23D908E8ADC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G16" authorId="0" shapeId="0" xr:uid="{54EA9EE8-5A44-B34F-B288-C43BE14EC69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H16" authorId="0" shapeId="0" xr:uid="{B13DCEC8-CAA1-F844-A1B4-7F239F8BE3A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 not office - SIM</t>
        </r>
      </text>
    </comment>
    <comment ref="F22" authorId="0" shapeId="0" xr:uid="{869BD181-6804-3E46-87F7-33B83DA66F0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am off to prevent PM/AM</t>
        </r>
      </text>
    </comment>
    <comment ref="H22" authorId="0" shapeId="0" xr:uid="{9398B663-AEAA-C740-8472-1D5AE2CA83F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 wednesdays</t>
        </r>
      </text>
    </comment>
    <comment ref="F31" authorId="0" shapeId="0" xr:uid="{1AEE8CBE-639C-9B4D-9160-E3C69280DB4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 orientation</t>
        </r>
      </text>
    </comment>
    <comment ref="G32" authorId="0" shapeId="0" xr:uid="{740F2829-E24D-1141-948F-BC3FCFDC58A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prefer CS/AM only </t>
        </r>
      </text>
    </comment>
    <comment ref="F33" authorId="0" shapeId="0" xr:uid="{D676119F-FAEF-6843-8F23-F95A740AD37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shift</t>
        </r>
      </text>
    </comment>
    <comment ref="H35" authorId="0" shapeId="0" xr:uid="{4184E3D3-DC80-3F49-8F82-ABD87B2A743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F37" authorId="0" shapeId="0" xr:uid="{51B1DCCC-54E0-A74E-B29F-E80B3FFB3E6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intern orientation</t>
        </r>
      </text>
    </comment>
    <comment ref="H38" authorId="0" shapeId="0" xr:uid="{FE5FE7A3-D09F-9841-8497-D52358097EB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SWING</t>
        </r>
      </text>
    </comment>
    <comment ref="I38" authorId="0" shapeId="0" xr:uid="{2E2EACDC-01E4-564D-965F-0F1898B2C31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CS</t>
        </r>
      </text>
    </comment>
    <comment ref="H40" authorId="0" shapeId="0" xr:uid="{41A6AB16-9285-A249-B066-CDF568B45FA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OFF for teaching</t>
        </r>
      </text>
    </comment>
    <comment ref="F43" authorId="0" shapeId="0" xr:uid="{140110A2-F816-AC44-AFE4-5BD08DA1636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J43" authorId="0" shapeId="0" xr:uid="{990DA10E-8C71-6F41-AA97-D07D438C424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CS</t>
        </r>
      </text>
    </comment>
    <comment ref="J44" authorId="0" shapeId="0" xr:uid="{BDD684CB-0B27-D842-8C71-19EE582CC1C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or CS only</t>
        </r>
      </text>
    </comment>
    <comment ref="F46" authorId="0" shapeId="0" xr:uid="{40AECB18-ACD0-4240-B620-9226B1A32E3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AM</t>
        </r>
      </text>
    </comment>
    <comment ref="G46" authorId="0" shapeId="0" xr:uid="{B75022EB-3080-524C-8D98-F2042847F82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PM</t>
        </r>
      </text>
    </comment>
    <comment ref="H48" authorId="2" shapeId="0" xr:uid="{B7ED9C9B-A03A-4FD9-BD2D-44BE1CAA7C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swapped with Suhail 25/3 and 26/3 both pm shifts 
Reply:
    not 26/3 its 1/4 </t>
      </text>
    </comment>
    <comment ref="I48" authorId="0" shapeId="0" xr:uid="{1A61CCA1-E592-9C4A-AC84-16E877C3557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L49" authorId="0" shapeId="0" xr:uid="{BBA178D8-04F6-C243-AA03-D5E142151A6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AM</t>
        </r>
      </text>
    </comment>
    <comment ref="H50" authorId="0" shapeId="0" xr:uid="{EB6E83CC-9ABA-784A-B869-537543ADACE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J50" authorId="0" shapeId="0" xr:uid="{52FA44E2-475F-8C4D-A6F9-0E8B8622792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CS</t>
        </r>
      </text>
    </comment>
    <comment ref="F51" authorId="0" shapeId="0" xr:uid="{A28492BF-DAF0-2341-AA0E-FAC6123BF3E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CS</t>
        </r>
      </text>
    </comment>
    <comment ref="G51" authorId="0" shapeId="0" xr:uid="{29BEEF88-5238-A946-A102-85406D4A8FA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CS</t>
        </r>
      </text>
    </comment>
    <comment ref="F53" authorId="3" shapeId="0" xr:uid="{E58320C4-36DA-4EA0-BD62-6412B73504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working am shift today instead of his shift on the 30/3 </t>
      </text>
    </comment>
    <comment ref="L56" authorId="0" shapeId="0" xr:uid="{8C1AC918-5665-CB4E-9C6F-DC1949614F5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wants Sunday</t>
        </r>
      </text>
    </comment>
    <comment ref="I57" authorId="4" shapeId="0" xr:uid="{0F78A844-51B9-424F-9A88-061298B31706}">
      <text>
        <t>[Threaded comment]
Your version of Excel allows you to read this threaded comment; however, any edits to it will get removed if the file is opened in a newer version of Excel. Learn more: https://go.microsoft.com/fwlink/?linkid=870924
Comment:
    do not pay, paid week 10</t>
      </text>
    </comment>
    <comment ref="H98" authorId="0" shapeId="0" xr:uid="{061AE349-39E1-4341-9B95-95966DCB7A1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</t>
        </r>
      </text>
    </comment>
    <comment ref="H131" authorId="5" shapeId="0" xr:uid="{33077852-0E67-4344-929A-D378E1D18F6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pay am shift for HTGR course
</t>
      </text>
    </comment>
    <comment ref="J131" authorId="6" shapeId="0" xr:uid="{A914323E-96B2-4D3B-ADAA-166DA5E5593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pauy AM shift for HTGR course 
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Tara Connell</author>
    <author>tc={3A074B29-CB8B-4488-B4F7-83B0E48C36A9}</author>
    <author>tc={37FBB7B0-2204-4CE3-A445-7E986158BB12}</author>
    <author>tc={03839B9D-E0CB-4F90-9935-BFB6A7E5671F}</author>
    <author>tc={91BB81DA-D1A3-46F3-8E43-1F8531A3B870}</author>
  </authors>
  <commentList>
    <comment ref="G14" authorId="0" shapeId="0" xr:uid="{AE5F5372-F158-2C44-89B2-188457FD13E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I14" authorId="0" shapeId="0" xr:uid="{D902F7AB-6DAF-F24D-BCDD-D1570A5B232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</t>
        </r>
      </text>
    </comment>
    <comment ref="I16" authorId="0" shapeId="0" xr:uid="{F0EDD8AB-DC43-C946-8F68-F7729D9A0B2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</t>
        </r>
      </text>
    </comment>
    <comment ref="K16" authorId="0" shapeId="0" xr:uid="{D6683F58-7266-FD4E-A50D-21AF03246EB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AM</t>
        </r>
      </text>
    </comment>
    <comment ref="F19" authorId="0" shapeId="0" xr:uid="{54E1CD1A-93FF-C34B-BA69-07EB658FCFB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shifts only this week</t>
        </r>
      </text>
    </comment>
    <comment ref="G19" authorId="0" shapeId="0" xr:uid="{474D32DC-BE1A-064F-8260-3F3E6707CCE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am only </t>
        </r>
      </text>
    </comment>
    <comment ref="H19" authorId="0" shapeId="0" xr:uid="{02BF1A05-96CB-6C4C-80AE-6B13F6998BA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shifts only this week</t>
        </r>
      </text>
    </comment>
    <comment ref="I19" authorId="0" shapeId="0" xr:uid="{399CAC08-4D3C-0247-916B-FE29F946906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H20" authorId="0" shapeId="0" xr:uid="{EB86318A-B67D-0840-9A5A-0A470B77B2E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H21" authorId="0" shapeId="0" xr:uid="{71724F60-F927-1040-BB03-67C8EE77C4B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CS</t>
        </r>
      </text>
    </comment>
    <comment ref="I21" authorId="0" shapeId="0" xr:uid="{411E4F0A-0DE2-E648-86E6-367A6FEE860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H30" authorId="0" shapeId="0" xr:uid="{CF9ED158-1BD1-7E46-A186-C004122F4C5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Wed CS</t>
        </r>
      </text>
    </comment>
    <comment ref="H35" authorId="0" shapeId="0" xr:uid="{0FE9B8FE-43E2-C543-8880-9013EEC6B6B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L35" authorId="0" shapeId="0" xr:uid="{AB7D7AE6-2D31-354F-974B-256E10B2195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F38" authorId="0" shapeId="0" xr:uid="{89D49975-6D16-CA47-850C-60073E76DB0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CS</t>
        </r>
      </text>
    </comment>
    <comment ref="H38" authorId="0" shapeId="0" xr:uid="{A11BC066-0335-9245-BAA9-F2088EC2F52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off if possible</t>
        </r>
      </text>
    </comment>
    <comment ref="I38" authorId="0" shapeId="0" xr:uid="{A4F6980B-4F10-7E4E-8624-CFA9D7C8FA5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CS</t>
        </r>
      </text>
    </comment>
    <comment ref="H40" authorId="0" shapeId="0" xr:uid="{4E44DB44-A818-F645-B0CC-067B41C1C8D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OFF for teaching</t>
        </r>
      </text>
    </comment>
    <comment ref="F46" authorId="0" shapeId="0" xr:uid="{1F5CA934-F26F-4744-84F6-E7BC7457B05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AM</t>
        </r>
      </text>
    </comment>
    <comment ref="G46" authorId="0" shapeId="0" xr:uid="{DC172319-A50B-D848-BFA4-12FE0F63E1F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PM</t>
        </r>
      </text>
    </comment>
    <comment ref="K47" authorId="0" shapeId="0" xr:uid="{2537A6B2-5BEF-CE48-AE4D-A63B82283EB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SSU (might change to PM SSU)</t>
        </r>
      </text>
    </comment>
    <comment ref="H49" authorId="0" shapeId="0" xr:uid="{DD298DC0-8F20-AF48-B0F6-A18FAD8576A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G50" authorId="0" shapeId="0" xr:uid="{02E5776E-A656-C54A-92B8-C8CEA2FC227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I50" authorId="0" shapeId="0" xr:uid="{4FC9FA7B-DFCC-0942-8711-97F32068A56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AM</t>
        </r>
      </text>
    </comment>
    <comment ref="F52" authorId="1" shapeId="0" xr:uid="{3A074B29-CB8B-4488-B4F7-83B0E48C36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worked 23/3 instead </t>
      </text>
    </comment>
    <comment ref="H53" authorId="2" shapeId="0" xr:uid="{37FBB7B0-2204-4CE3-A445-7E986158BB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swap with rami 25/3 and 1/4 pm shifts </t>
      </text>
    </comment>
    <comment ref="H56" authorId="0" shapeId="0" xr:uid="{646691C1-4A7B-384A-BC77-8A76A7C2450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leave as AM - and leave as float
</t>
        </r>
      </text>
    </comment>
    <comment ref="J87" authorId="3" shapeId="0" xr:uid="{03839B9D-E0CB-4F90-9935-BFB6A7E5671F}">
      <text>
        <t>[Threaded comment]
Your version of Excel allows you to read this threaded comment; however, any edits to it will get removed if the file is opened in a newer version of Excel. Learn more: https://go.microsoft.com/fwlink/?linkid=870924
Comment:
    pay 0800-1730</t>
      </text>
    </comment>
    <comment ref="L96" authorId="4" shapeId="0" xr:uid="{91BB81DA-D1A3-46F3-8E43-1F8531A3B870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paul 5/4 &amp; 8/4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tc={C13D38CE-F8FA-48EA-AC8E-37521F9FCF1B}</author>
    <author>Tara Connell</author>
    <author>tc={185C839D-F947-49B6-A042-61F73A708AFE}</author>
    <author>tc={7C70A40C-5B53-4FEA-9231-9254F4314038}</author>
    <author>tc={1BF7BF29-0EC0-4AA2-8E78-AC7AFD337353}</author>
    <author>tc={B6F2F493-46AA-4A90-B3B0-15973FAA6C4C}</author>
    <author>tc={78D1A425-CDBC-42AC-A5AA-33F79DE1C538}</author>
    <author>tc={232680CD-27A8-4139-B5E5-340400B3D0BA}</author>
    <author>tc={BC4FA3D9-2500-4C56-A7D2-C101B2224DAB}</author>
    <author>tc={3B13751D-55F2-4D42-A16E-C1234F3151BA}</author>
    <author>tc={64C353D4-2160-4AF4-A19A-0C012699D71E}</author>
    <author>tc={E3B7672E-BBC8-4483-A23A-CB8CB49B5FCA}</author>
    <author>tc={8C2B3ACA-D084-458E-90E4-3F4F5342A92F}</author>
  </authors>
  <commentList>
    <comment ref="H10" authorId="0" shapeId="0" xr:uid="{C13D38CE-F8FA-48EA-AC8E-37521F9FCF1B}">
      <text>
        <t>[Threaded comment]
Your version of Excel allows you to read this threaded comment; however, any edits to it will get removed if the file is opened in a newer version of Excel. Learn more: https://go.microsoft.com/fwlink/?linkid=870924
Comment:
    do not pay, paid week 8</t>
      </text>
    </comment>
    <comment ref="H13" authorId="1" shapeId="0" xr:uid="{C49431DE-F7E3-E84C-934E-9FA5B2AA201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I14" authorId="1" shapeId="0" xr:uid="{CD9D1EEE-2235-AB43-A70A-838036335CF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</t>
        </r>
      </text>
    </comment>
    <comment ref="G16" authorId="1" shapeId="0" xr:uid="{F906471A-3B02-AF4A-88DA-9EA89DE195D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 - NOT OFFICE</t>
        </r>
      </text>
    </comment>
    <comment ref="G17" authorId="1" shapeId="0" xr:uid="{E80AF9EA-1C2C-1743-B4CE-C5F47AA2579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F22" authorId="1" shapeId="0" xr:uid="{F845932E-FE99-48BC-9D08-12F17D7FB82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H22" authorId="1" shapeId="0" xr:uid="{9269B66D-B73D-7545-865D-2ECBAFF2A86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 wed</t>
        </r>
      </text>
    </comment>
    <comment ref="H29" authorId="1" shapeId="0" xr:uid="{A041870A-B81E-6446-9925-44AF1F99342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 only</t>
        </r>
      </text>
    </comment>
    <comment ref="H30" authorId="1" shapeId="0" xr:uid="{E979DA03-3CFA-3C45-8B5D-1411BD0ED3F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Wed CS</t>
        </r>
      </text>
    </comment>
    <comment ref="G32" authorId="1" shapeId="0" xr:uid="{8935DBC5-4591-E345-AC88-77F0544F2E7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AM only</t>
        </r>
      </text>
    </comment>
    <comment ref="F33" authorId="1" shapeId="0" xr:uid="{C5B478E9-4802-444A-8F19-5972B1988A0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shift - elsewhere</t>
        </r>
      </text>
    </comment>
    <comment ref="J33" authorId="1" shapeId="0" xr:uid="{4DA3DF83-5BB5-614A-AD28-2AD7E04DB6E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shift</t>
        </r>
      </text>
    </comment>
    <comment ref="H40" authorId="1" shapeId="0" xr:uid="{5D97E76C-0B9B-CA49-BA20-68BFC3F0565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OFF for teaching</t>
        </r>
      </text>
    </comment>
    <comment ref="F42" authorId="1" shapeId="0" xr:uid="{F66105AB-CAE5-3849-9576-51B4BFFA891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resus/on call</t>
        </r>
      </text>
    </comment>
    <comment ref="I42" authorId="1" shapeId="0" xr:uid="{51B552DA-6266-0248-8307-F6B70730C18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not office</t>
        </r>
      </text>
    </comment>
    <comment ref="H43" authorId="1" shapeId="0" xr:uid="{4071B751-FF46-E94E-88B7-1F27080C74C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G46" authorId="1" shapeId="0" xr:uid="{4942F1E1-852A-F64A-B3B5-C930FAB28F9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</t>
        </r>
      </text>
    </comment>
    <comment ref="I46" authorId="1" shapeId="0" xr:uid="{64E4A79B-3C29-4370-B545-FB54E969D19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AM</t>
        </r>
      </text>
    </comment>
    <comment ref="H48" authorId="2" shapeId="0" xr:uid="{185C839D-F947-49B6-A042-61F73A708A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 not pay, paid week 6 </t>
      </text>
    </comment>
    <comment ref="I48" authorId="1" shapeId="0" xr:uid="{275A1F01-FF8C-AD4E-A585-9E6C879F79F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I49" authorId="1" shapeId="0" xr:uid="{90DE9C38-F3D6-3D41-900E-CCB8CF2EEE4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H50" authorId="1" shapeId="0" xr:uid="{7081548B-5395-3D47-A198-94A85EC1C9B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J50" authorId="1" shapeId="0" xr:uid="{49C1040E-1D1F-D542-B7EF-7D2E7269D65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J51" authorId="1" shapeId="0" xr:uid="{4FA8C4A3-1349-7B45-AB0D-B7102EEA47C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CS</t>
        </r>
      </text>
    </comment>
    <comment ref="H54" authorId="3" shapeId="0" xr:uid="{7C70A40C-5B53-4FEA-9231-9254F4314038}">
      <text>
        <t>[Threaded comment]
Your version of Excel allows you to read this threaded comment; however, any edits to it will get removed if the file is opened in a newer version of Excel. Learn more: https://go.microsoft.com/fwlink/?linkid=870924
Comment:
    pay pm shift worked week 6</t>
      </text>
    </comment>
    <comment ref="K54" authorId="1" shapeId="0" xr:uid="{37582D82-184A-914B-9137-D78B8A771D7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I57" authorId="4" shapeId="0" xr:uid="{1BF7BF29-0EC0-4AA2-8E78-AC7AFD337353}">
      <text>
        <t>[Threaded comment]
Your version of Excel allows you to read this threaded comment; however, any edits to it will get removed if the file is opened in a newer version of Excel. Learn more: https://go.microsoft.com/fwlink/?linkid=870924
Comment:
    pay PM shift worked for nicola weke 8</t>
      </text>
    </comment>
    <comment ref="J79" authorId="5" shapeId="0" xr:uid="{B6F2F493-46AA-4A90-B3B0-15973FAA6C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swap with amy </t>
      </text>
    </comment>
    <comment ref="F83" authorId="6" shapeId="0" xr:uid="{78D1A425-CDBC-42AC-A5AA-33F79DE1C538}">
      <text>
        <t>[Threaded comment]
Your version of Excel allows you to read this threaded comment; however, any edits to it will get removed if the file is opened in a newer version of Excel. Learn more: https://go.microsoft.com/fwlink/?linkid=870924
Comment:
    wrked extra nights</t>
      </text>
    </comment>
    <comment ref="G83" authorId="7" shapeId="0" xr:uid="{232680CD-27A8-4139-B5E5-340400B3D0BA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worked extra nights</t>
      </text>
    </comment>
    <comment ref="H94" authorId="8" shapeId="0" xr:uid="{BC4FA3D9-2500-4C56-A7D2-C101B2224DAB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poh for 11/4</t>
      </text>
    </comment>
    <comment ref="K95" authorId="9" shapeId="0" xr:uid="{3B13751D-55F2-4D42-A16E-C1234F3151BA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deslin for 8/4</t>
      </text>
    </comment>
    <comment ref="I102" authorId="10" shapeId="0" xr:uid="{64C353D4-2160-4AF4-A19A-0C012699D71E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paul for 10/4</t>
      </text>
    </comment>
    <comment ref="H103" authorId="11" shapeId="0" xr:uid="{E3B7672E-BBC8-4483-A23A-CB8CB49B5FCA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Giovana and paul 5/4 &amp; 8/4</t>
      </text>
    </comment>
    <comment ref="J103" authorId="12" shapeId="0" xr:uid="{8C2B3ACA-D084-458E-90E4-3F4F5342A92F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rachel for 9/4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Tara Connell</author>
    <author>tc={293EC136-5077-4C4F-8038-0E19D8F78444}</author>
    <author>tc={1D0A0CD7-996E-44CB-8CE2-67718BFE3D7A}</author>
    <author>tc={62FADBF5-CB4F-4B54-99B9-0BBF220AE378}</author>
    <author>tc={6406E70C-9C11-4E97-916F-CA69479AAA05}</author>
    <author>tc={F767B9BA-8554-429A-A1FD-BD65A2BB9B60}</author>
    <author>tc={8979A39C-501D-481F-8593-81DD10F140FA}</author>
    <author>tc={8440FF9E-6F91-4896-8910-0604F1BF75E3}</author>
    <author>tc={463549C0-D749-43AB-89D2-0281FE6983AB}</author>
  </authors>
  <commentList>
    <comment ref="F9" authorId="0" shapeId="0" xr:uid="{CBC761C0-67AD-7F4D-9611-DACAB804EE0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G9" authorId="0" shapeId="0" xr:uid="{D8252183-3E0B-364E-A8FD-B6CD5E988A4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F11" authorId="0" shapeId="0" xr:uid="{3450070C-48B4-A142-A4C8-38CE20D05F1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I14" authorId="0" shapeId="0" xr:uid="{E8FD9B18-67C5-124C-977F-EDE3ACF6177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</t>
        </r>
      </text>
    </comment>
    <comment ref="I16" authorId="0" shapeId="0" xr:uid="{DAB37953-66E0-3149-8DD2-2FF6D74DDB0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 - NOT OFFICE</t>
        </r>
      </text>
    </comment>
    <comment ref="G19" authorId="0" shapeId="0" xr:uid="{25A1B443-66FA-A94F-B524-AF3A40EAF2E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am only </t>
        </r>
      </text>
    </comment>
    <comment ref="H20" authorId="0" shapeId="0" xr:uid="{DF970084-3A3C-C040-837B-5107D077A96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F21" authorId="0" shapeId="0" xr:uid="{2CCA7E0C-5347-5949-9DA3-1F1FECBF100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H21" authorId="0" shapeId="0" xr:uid="{8583D29E-3127-EF45-BB4D-ED692F0A5E4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SWING</t>
        </r>
      </text>
    </comment>
    <comment ref="H26" authorId="0" shapeId="0" xr:uid="{5F42F461-8F24-3044-97BA-1BBADD31F11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 shift</t>
        </r>
      </text>
    </comment>
    <comment ref="H30" authorId="0" shapeId="0" xr:uid="{CF1354C3-80BF-C340-9B34-EFD8E5779D2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Wed CS</t>
        </r>
      </text>
    </comment>
    <comment ref="G32" authorId="0" shapeId="0" xr:uid="{37C853F1-0031-E047-A3B1-DEBF4850DE0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prefer CS/AM only </t>
        </r>
      </text>
    </comment>
    <comment ref="L35" authorId="0" shapeId="0" xr:uid="{8D90DE32-4A2E-CF49-A00D-B7FA511199F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H40" authorId="0" shapeId="0" xr:uid="{B85A4A5B-EECA-7F46-8D88-FBF9B98C532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OFF for teaching</t>
        </r>
      </text>
    </comment>
    <comment ref="K42" authorId="0" shapeId="0" xr:uid="{6BFB8132-BCEE-6C41-BD21-D9FC576100E3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AM if possible</t>
        </r>
      </text>
    </comment>
    <comment ref="L42" authorId="0" shapeId="0" xr:uid="{8270B524-64A1-6445-81A2-7C534341ED2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SSU</t>
        </r>
      </text>
    </comment>
    <comment ref="F43" authorId="0" shapeId="0" xr:uid="{97CAB556-D331-CB4E-90F2-BDDB9CCF60C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AM</t>
        </r>
      </text>
    </comment>
    <comment ref="F45" authorId="1" shapeId="0" xr:uid="{293EC136-5077-4C4F-8038-0E19D8F78444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swapped with susan 13/4 and 19/4</t>
      </text>
    </comment>
    <comment ref="H45" authorId="0" shapeId="0" xr:uid="{8564D36F-DBF0-DD43-BCAA-CF5AFB1B079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CS office - court</t>
        </r>
      </text>
    </comment>
    <comment ref="F46" authorId="0" shapeId="0" xr:uid="{27440199-744B-E34A-9310-E765F8C528B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AM</t>
        </r>
      </text>
    </comment>
    <comment ref="G46" authorId="0" shapeId="0" xr:uid="{E42EE431-C2BE-9F4B-AAA8-15746B2D33FC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PM</t>
        </r>
      </text>
    </comment>
    <comment ref="G48" authorId="0" shapeId="0" xr:uid="{AB2B73BF-AE1E-1542-9B33-F63D36CB9A1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L48" authorId="0" shapeId="0" xr:uid="{B3914B8A-4D3C-984D-BCBB-C589F950C88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H49" authorId="0" shapeId="0" xr:uid="{FE87D3A3-AEFF-BB4E-9F8A-24878D1D3EA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F50" authorId="0" shapeId="0" xr:uid="{143C3F85-BB6D-E543-B262-57BFB7E99B8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CS</t>
        </r>
      </text>
    </comment>
    <comment ref="H50" authorId="0" shapeId="0" xr:uid="{1B6BF64F-B900-4A46-A7A9-890289316BC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AM</t>
        </r>
      </text>
    </comment>
    <comment ref="K50" authorId="2" shapeId="0" xr:uid="{1D0A0CD7-996E-44CB-8CE2-67718BFE3D7A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varuna 18/4 &amp; 3/5</t>
      </text>
    </comment>
    <comment ref="F51" authorId="0" shapeId="0" xr:uid="{9A930874-6AC2-9B49-9AB3-41480F839D8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H51" authorId="0" shapeId="0" xr:uid="{EBB612D6-7281-2146-A563-6BA6B2C864C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I51" authorId="0" shapeId="0" xr:uid="{CB355797-92B8-074D-B70B-F40211005F2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a PM</t>
        </r>
      </text>
    </comment>
    <comment ref="F70" authorId="3" shapeId="0" xr:uid="{62FADBF5-CB4F-4B54-99B9-0BBF220AE3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swap with ana 13/4 &amp; 14/4 with 18/4 &amp; 19/4 </t>
      </text>
    </comment>
    <comment ref="G77" authorId="4" shapeId="0" xr:uid="{6406E70C-9C11-4E97-916F-CA69479AAA05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swapped with Jess 10, 11/4 &amp; 14, 15/4</t>
      </text>
    </comment>
    <comment ref="K77" authorId="5" shapeId="0" xr:uid="{F767B9BA-8554-429A-A1FD-BD65A2BB9B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taken off friday 10/4 with swap with Jess this is the makeup shift </t>
      </text>
    </comment>
    <comment ref="K84" authorId="6" shapeId="0" xr:uid="{8979A39C-501D-481F-8593-81DD10F140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swap with Subama 17/4 &amp; 18/4 </t>
      </text>
    </comment>
    <comment ref="G104" authorId="7" shapeId="0" xr:uid="{8440FF9E-6F91-4896-8910-0604F1BF75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worked nights pay day </t>
      </text>
    </comment>
    <comment ref="J104" authorId="8" shapeId="0" xr:uid="{463549C0-D749-43AB-89D2-0281FE6983A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worked extra nights pay day  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tc={A5C3A612-A9B8-4EC6-8CEC-2C58BC4D38C5}</author>
    <author>Tara Connell</author>
    <author>tc={75B70E58-CB57-4829-BF40-3E6ECC246C0B}</author>
    <author>tc={659563E0-D1E4-40B6-8906-745C51D7DD88}</author>
    <author>tc={A5AD480A-0381-4BC8-BB1F-38D4D899C1B2}</author>
  </authors>
  <commentList>
    <comment ref="F8" authorId="0" shapeId="0" xr:uid="{A5C3A612-A9B8-4EC6-8CEC-2C58BC4D38C5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worked extra shift on 13/4 pay 0800-1730</t>
      </text>
    </comment>
    <comment ref="F9" authorId="1" shapeId="0" xr:uid="{ED024A4A-F40F-0B4D-B771-B3562C998F5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G9" authorId="1" shapeId="0" xr:uid="{7BB9A4B8-8308-644D-8958-36B7172128F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F11" authorId="1" shapeId="0" xr:uid="{9413EA13-48DF-274C-9E81-801BE6F923C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L11" authorId="1" shapeId="0" xr:uid="{9AC85D57-49E6-C243-9FF5-30D594C65B2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SSU</t>
        </r>
      </text>
    </comment>
    <comment ref="H13" authorId="1" shapeId="0" xr:uid="{26B93B94-2F96-1543-81CB-2B585F6FC14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CS Office</t>
        </r>
      </text>
    </comment>
    <comment ref="J13" authorId="1" shapeId="0" xr:uid="{DE38E8D8-2757-C54A-8DA0-6C1721959EC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CS/ACEM/off only</t>
        </r>
      </text>
    </comment>
    <comment ref="G14" authorId="1" shapeId="0" xr:uid="{17AA557C-EE93-DE4B-9ECF-373B5969614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I14" authorId="1" shapeId="0" xr:uid="{817DA237-8BFF-D449-94E1-9F856A9795C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only</t>
        </r>
      </text>
    </comment>
    <comment ref="F22" authorId="1" shapeId="0" xr:uid="{C5E5BE70-8FD2-D740-BFA6-8EA787DC339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am off to prevent PM/AM</t>
        </r>
      </text>
    </comment>
    <comment ref="H22" authorId="1" shapeId="0" xr:uid="{E20E4238-C134-F949-99CA-4BF32E0B1E15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prefer CS wed</t>
        </r>
      </text>
    </comment>
    <comment ref="L28" authorId="1" shapeId="0" xr:uid="{4EFD6DB5-39D5-B340-B420-BDA338268E32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Can work</t>
        </r>
      </text>
    </comment>
    <comment ref="H30" authorId="1" shapeId="0" xr:uid="{3B9D05BE-FA4E-B84F-AB12-2A7ECD1E777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Wed CS</t>
        </r>
      </text>
    </comment>
    <comment ref="G32" authorId="1" shapeId="0" xr:uid="{F38296BB-8F3B-DF42-B30B-AD003D640E9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prefer CS/AM only </t>
        </r>
      </text>
    </comment>
    <comment ref="J32" authorId="1" shapeId="0" xr:uid="{9C3DFDED-30BB-C04F-959B-C18B05E54E5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F33" authorId="1" shapeId="0" xr:uid="{01C7ED70-B8D6-1640-9A5D-EA5609FC852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shift</t>
        </r>
      </text>
    </comment>
    <comment ref="J33" authorId="1" shapeId="0" xr:uid="{48A55442-FE8C-B342-841D-E8F7582CCFC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shift</t>
        </r>
      </text>
    </comment>
    <comment ref="F35" authorId="1" shapeId="0" xr:uid="{93A3F8DF-9F59-CC48-B40B-B857A57EF53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CS</t>
        </r>
      </text>
    </comment>
    <comment ref="I38" authorId="1" shapeId="0" xr:uid="{CE4A09B1-932D-2048-90BB-DBB858B0CFD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CS</t>
        </r>
      </text>
    </comment>
    <comment ref="J38" authorId="1" shapeId="0" xr:uid="{1CF4229A-093A-BF43-805B-6D9787FFBDB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CS</t>
        </r>
      </text>
    </comment>
    <comment ref="H40" authorId="1" shapeId="0" xr:uid="{94F58451-B10B-F143-95EB-5DE4A540CEF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or OFF for teaching</t>
        </r>
      </text>
    </comment>
    <comment ref="G42" authorId="2" shapeId="0" xr:uid="{75B70E58-CB57-4829-BF40-3E6ECC246C0B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WORKOING 2/5 INSTEAD</t>
      </text>
    </comment>
    <comment ref="F43" authorId="1" shapeId="0" xr:uid="{63C42F5D-D3DE-364C-AEA2-0F66965F848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L44" authorId="1" shapeId="0" xr:uid="{85114ABA-92E8-9842-B7D7-0638E685EC6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H45" authorId="1" shapeId="0" xr:uid="{D48A5345-76CF-1D4C-ADDF-14DD2643636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F46" authorId="1" shapeId="0" xr:uid="{18BD692D-728D-4344-956D-0258F7415D5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AM</t>
        </r>
      </text>
    </comment>
    <comment ref="I46" authorId="1" shapeId="0" xr:uid="{828270B1-5FD9-B743-AF1C-85D96258594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PM</t>
        </r>
      </text>
    </comment>
    <comment ref="G48" authorId="1" shapeId="0" xr:uid="{294CE4B6-713F-1049-9FE1-1ABC11807AD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H48" authorId="1" shapeId="0" xr:uid="{3419931C-7E65-CC4C-B91B-611BEE83395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F49" authorId="1" shapeId="0" xr:uid="{4CC63999-FA0B-0740-9AB5-FA79C89468B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CS</t>
        </r>
      </text>
    </comment>
    <comment ref="J49" authorId="1" shapeId="0" xr:uid="{A107F6D5-C08C-6849-A2EB-44C272ADF7C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SWING</t>
        </r>
      </text>
    </comment>
    <comment ref="F50" authorId="1" shapeId="0" xr:uid="{F3AA2DD3-44E9-C745-A85D-5FCADC24DC6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 Med student education</t>
        </r>
      </text>
    </comment>
    <comment ref="G50" authorId="1" shapeId="0" xr:uid="{B70A01FB-C166-6448-8932-67970B99188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SWING</t>
        </r>
      </text>
    </comment>
    <comment ref="I50" authorId="1" shapeId="0" xr:uid="{0E60340C-0724-D247-A977-5A73F490F4E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wanted CS monday but needs at least 1 long weekend. </t>
        </r>
      </text>
    </comment>
    <comment ref="K56" authorId="1" shapeId="0" xr:uid="{90CAFCED-847F-2445-9D60-3BEEB30AE3FD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AM SSU</t>
        </r>
      </text>
    </comment>
    <comment ref="G58" authorId="1" shapeId="0" xr:uid="{673BE645-1D02-2644-9A8D-00A7529EB406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Dandenong PM</t>
        </r>
      </text>
    </comment>
    <comment ref="F116" authorId="3" shapeId="0" xr:uid="{659563E0-D1E4-40B6-8906-745C51D7DD88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swapped with aaron b 20/4 and 30/4</t>
      </text>
    </comment>
    <comment ref="J117" authorId="4" shapeId="0" xr:uid="{A5AD480A-0381-4BC8-BB1F-38D4D899C1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swapped with philip 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Tara Connell</author>
    <author>tc={8188AF53-947F-4583-8499-7B4652806893}</author>
    <author>tc={30EBEA27-26E2-4252-BC14-73CFBE5FCFE6}</author>
    <author>tc={D46A05B4-FA9D-49B4-B4DF-9D8F9D75E730}</author>
    <author>tc={CA18D055-9D24-4CA5-A7DD-455AC686E4B5}</author>
    <author>tc={13817332-DEFD-416D-BC1F-B5C0A32DEA1C}</author>
    <author>tc={FD0416C6-E07F-44A2-93E7-E16D252DCB7A}</author>
  </authors>
  <commentList>
    <comment ref="F9" authorId="0" shapeId="0" xr:uid="{223E9446-5FC6-FD43-8545-3F04A9978EA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H9" authorId="0" shapeId="0" xr:uid="{8FD7351B-902C-274E-92B0-0F9B8C36B23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I9" authorId="0" shapeId="0" xr:uid="{EFD3407C-0C5A-0A4C-BA52-D47BE2F4867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I10" authorId="0" shapeId="0" xr:uid="{BD390022-079C-A14E-851C-611F854ADFBB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F11" authorId="0" shapeId="0" xr:uid="{CB5507B6-769A-0644-85E3-070AE6C2C57E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H13" authorId="0" shapeId="0" xr:uid="{E8594678-05D7-5F42-8767-9B6CE7F5336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ACEM or CS</t>
        </r>
      </text>
    </comment>
    <comment ref="G14" authorId="0" shapeId="0" xr:uid="{A06ED599-6CB6-2040-ADF9-3ECF1A187CD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CS only</t>
        </r>
      </text>
    </comment>
    <comment ref="I19" authorId="0" shapeId="0" xr:uid="{F99A1689-A3F7-D748-A07A-5410B81B4C1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only</t>
        </r>
      </text>
    </comment>
    <comment ref="H20" authorId="0" shapeId="0" xr:uid="{D52CC956-B3E4-A54C-BDFC-A602E4CFEAB8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CS</t>
        </r>
      </text>
    </comment>
    <comment ref="H30" authorId="0" shapeId="0" xr:uid="{59796DC6-C857-8046-8744-DDC34847489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Wed CS</t>
        </r>
      </text>
    </comment>
    <comment ref="G32" authorId="0" shapeId="0" xr:uid="{76697519-21D7-D24F-91A4-2F1A9B5FCBB1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prefer CS/AM only </t>
        </r>
      </text>
    </comment>
    <comment ref="F33" authorId="0" shapeId="0" xr:uid="{391AAD66-BF87-FB44-9180-5E509F3F00D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PM shift</t>
        </r>
      </text>
    </comment>
    <comment ref="L33" authorId="0" shapeId="0" xr:uid="{15A8121B-CE0A-EB4B-ACED-705F5B66D1C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AM shift</t>
        </r>
      </text>
    </comment>
    <comment ref="H35" authorId="0" shapeId="0" xr:uid="{CAA7FE53-F939-8A4D-A497-079D9E904D8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F38" authorId="0" shapeId="0" xr:uid="{A0A5DE01-C2D9-7F42-818E-7DFAF2CB66B0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SWING</t>
        </r>
      </text>
    </comment>
    <comment ref="I38" authorId="0" shapeId="0" xr:uid="{421EB966-2194-C54F-9154-6D9AEFB4EAF7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off or CS</t>
        </r>
      </text>
    </comment>
    <comment ref="K42" authorId="1" shapeId="0" xr:uid="{8188AF53-947F-4583-8499-7B4652806893}">
      <text>
        <t>[Threaded comment]
Your version of Excel allows you to read this threaded comment; however, any edits to it will get removed if the file is opened in a newer version of Excel. Learn more: https://go.microsoft.com/fwlink/?linkid=870924
Comment:
    INSTED PF THE 21/4</t>
      </text>
    </comment>
    <comment ref="F43" authorId="0" shapeId="0" xr:uid="{CFA8FE71-6016-F244-8319-9B4FF0E65C69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Dand PM</t>
        </r>
      </text>
    </comment>
    <comment ref="F46" authorId="0" shapeId="0" xr:uid="{1915C141-D25E-1846-961E-27C2699B452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AM</t>
        </r>
      </text>
    </comment>
    <comment ref="G46" authorId="0" shapeId="0" xr:uid="{1AF97456-08A0-2A46-9676-09C16CE89EE4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leave as PM</t>
        </r>
      </text>
    </comment>
    <comment ref="F50" authorId="0" shapeId="0" xr:uid="{462CC44D-219F-8542-9F35-6D8469A461CA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CS</t>
        </r>
      </text>
    </comment>
    <comment ref="G50" authorId="0" shapeId="0" xr:uid="{6016BBAE-E28B-B646-894D-E0283F3191FF}">
      <text>
        <r>
          <rPr>
            <b/>
            <sz val="10"/>
            <color rgb="FF000000"/>
            <rFont val="Tahoma"/>
            <family val="2"/>
          </rPr>
          <t>Tara Connell: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VHH PM</t>
        </r>
      </text>
    </comment>
    <comment ref="L50" authorId="2" shapeId="0" xr:uid="{30EBEA27-26E2-4252-BC14-73CFBE5FCFE6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tara k 18/4 &amp; 3/5</t>
      </text>
    </comment>
    <comment ref="F95" authorId="3" shapeId="0" xr:uid="{D46A05B4-FA9D-49B4-B4DF-9D8F9D75E7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worked 24/4 1630-0000 instead </t>
      </text>
    </comment>
    <comment ref="I117" authorId="4" shapeId="0" xr:uid="{CA18D055-9D24-4CA5-A7DD-455AC686E4B5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Brendon 20/4 &amp; 30/4</t>
      </text>
    </comment>
    <comment ref="I133" authorId="5" shapeId="0" xr:uid="{13817332-DEFD-416D-BC1F-B5C0A32DEA1C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wil for 27/4</t>
      </text>
    </comment>
    <comment ref="F135" authorId="6" shapeId="0" xr:uid="{FD0416C6-E07F-44A2-93E7-E16D252DCB7A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brier for 30/4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<sst xmlns="http://schemas.openxmlformats.org/spreadsheetml/2006/main" count="15978" uniqueCount="611">
  <si>
    <t>Week</t>
  </si>
  <si>
    <t>AM</t>
  </si>
  <si>
    <t>PM</t>
  </si>
  <si>
    <t>CS</t>
  </si>
  <si>
    <t>Day</t>
  </si>
  <si>
    <t>Emp No</t>
  </si>
  <si>
    <t>Monday</t>
  </si>
  <si>
    <t>Tuesday</t>
  </si>
  <si>
    <t>Wednesday</t>
  </si>
  <si>
    <t>Thursday</t>
  </si>
  <si>
    <t>Friday</t>
  </si>
  <si>
    <t>Saturday</t>
  </si>
  <si>
    <t>Sunday</t>
  </si>
  <si>
    <t>Date</t>
  </si>
  <si>
    <t>AM-PM</t>
  </si>
  <si>
    <t>Primary written exam</t>
  </si>
  <si>
    <t>Mock OSCE</t>
  </si>
  <si>
    <t>Skills day</t>
  </si>
  <si>
    <t>Labour Day</t>
  </si>
  <si>
    <t>Fellowship OSCE</t>
  </si>
  <si>
    <t>Good Friday</t>
  </si>
  <si>
    <t>Easter Saturday</t>
  </si>
  <si>
    <t>Easter Sunday</t>
  </si>
  <si>
    <t>Easter Monday</t>
  </si>
  <si>
    <t>School holidays</t>
  </si>
  <si>
    <t>Anzac day</t>
  </si>
  <si>
    <t>SMS</t>
  </si>
  <si>
    <t>Jeniffer KIM-BLACKMORE</t>
  </si>
  <si>
    <t>Sabbatical leave</t>
  </si>
  <si>
    <t>James FORDYCE</t>
  </si>
  <si>
    <t>CME leave</t>
  </si>
  <si>
    <t>Annual leave</t>
  </si>
  <si>
    <t>0800-1730 ACC</t>
  </si>
  <si>
    <t>0800-1730 CS</t>
  </si>
  <si>
    <t>1430-0000 PSSC</t>
  </si>
  <si>
    <t>1430-0000 PRC</t>
  </si>
  <si>
    <t>1430-0000 PGC</t>
  </si>
  <si>
    <t>0800-1730 ARC</t>
  </si>
  <si>
    <t>1430-0000 PAC</t>
  </si>
  <si>
    <t>PHNW</t>
  </si>
  <si>
    <t>0730-1700 ASSC</t>
  </si>
  <si>
    <t>0800-1730 AFC</t>
  </si>
  <si>
    <t>Maddy JONA</t>
  </si>
  <si>
    <t>0800-1730 AGC</t>
  </si>
  <si>
    <t>1430-0000 PFC</t>
  </si>
  <si>
    <t>Nicola RODD</t>
  </si>
  <si>
    <t>1430-0000 PCC</t>
  </si>
  <si>
    <t>0800-1730 AAC</t>
  </si>
  <si>
    <t>Diana EGERTON-WARBURTON</t>
  </si>
  <si>
    <t>Steve TROUPAKIS</t>
  </si>
  <si>
    <t>0800-1730 CSO</t>
  </si>
  <si>
    <t>David LIGHTFOOT</t>
  </si>
  <si>
    <t>0800-1730 CSM</t>
  </si>
  <si>
    <t>ACEM</t>
  </si>
  <si>
    <t>EXAM</t>
  </si>
  <si>
    <t>Qingyang CHEN</t>
  </si>
  <si>
    <t>Abi THANIKASALAM</t>
  </si>
  <si>
    <t>0800-1730 DEMT</t>
  </si>
  <si>
    <t>Anastasia SFAKIOTAKI</t>
  </si>
  <si>
    <t>Richard HAYDON</t>
  </si>
  <si>
    <t>Dandenong CL</t>
  </si>
  <si>
    <t>Dandenong AL</t>
  </si>
  <si>
    <t xml:space="preserve">Dandenong </t>
  </si>
  <si>
    <t>Ananth SUNDARALINGAM</t>
  </si>
  <si>
    <t>Mina NESSIM</t>
  </si>
  <si>
    <t>Dandenong</t>
  </si>
  <si>
    <t>Parental leave</t>
  </si>
  <si>
    <t>Dandenong PL</t>
  </si>
  <si>
    <t>Chamara WALATHARA</t>
  </si>
  <si>
    <t>Casey</t>
  </si>
  <si>
    <t>Casey AL</t>
  </si>
  <si>
    <t>Jimmy XAVIER</t>
  </si>
  <si>
    <t>Other - Military leave</t>
  </si>
  <si>
    <t>Erica CHAN</t>
  </si>
  <si>
    <t>Other</t>
  </si>
  <si>
    <t>CME leave - 38hrs</t>
  </si>
  <si>
    <t>Pat FINN</t>
  </si>
  <si>
    <t>Paeds</t>
  </si>
  <si>
    <t>Paeds PL</t>
  </si>
  <si>
    <t>Michael COMAN</t>
  </si>
  <si>
    <t>Paeds AL</t>
  </si>
  <si>
    <t>Tecwyn DAVIES</t>
  </si>
  <si>
    <t>Gargi KANABAR</t>
  </si>
  <si>
    <t>PARTTIME SMS</t>
  </si>
  <si>
    <t>Jackie HERINGTON</t>
  </si>
  <si>
    <t>0800-1800 AGC</t>
  </si>
  <si>
    <t>1400-0000 PSSC</t>
  </si>
  <si>
    <t>0800-1800 ARC</t>
  </si>
  <si>
    <t>1400-0000 PFC</t>
  </si>
  <si>
    <t>0730-1730 ASSC</t>
  </si>
  <si>
    <t>0800-1800 CS</t>
  </si>
  <si>
    <t>0800-1800 ACC</t>
  </si>
  <si>
    <t>1400-0000 PAC</t>
  </si>
  <si>
    <t>1400-0000 PGC</t>
  </si>
  <si>
    <t>1400-0000 PRC</t>
  </si>
  <si>
    <t>0800-1800 AFC</t>
  </si>
  <si>
    <t>Tara JOHANSSON</t>
  </si>
  <si>
    <t>Andre VANZYL</t>
  </si>
  <si>
    <t>LSL</t>
  </si>
  <si>
    <t>Brad DICK</t>
  </si>
  <si>
    <t>0800-1245 CS OS</t>
  </si>
  <si>
    <t>Stephen GILDFIND</t>
  </si>
  <si>
    <t>Andy LIM</t>
  </si>
  <si>
    <t>Jon CHEAH</t>
  </si>
  <si>
    <t>Scott JOSEY</t>
  </si>
  <si>
    <t>AL 9.5hrs</t>
  </si>
  <si>
    <t>Annual leave 19hrs</t>
  </si>
  <si>
    <t>CL 9.5hrs</t>
  </si>
  <si>
    <t>CME 19hrs</t>
  </si>
  <si>
    <t>Hugh SINGLETON</t>
  </si>
  <si>
    <t>Qais ABUAGLA</t>
  </si>
  <si>
    <t>Daniel PROCEL</t>
  </si>
  <si>
    <t>Yan WANG</t>
  </si>
  <si>
    <t>Julia DILLON</t>
  </si>
  <si>
    <t>Susan HAHNEMANN</t>
  </si>
  <si>
    <t xml:space="preserve"> </t>
  </si>
  <si>
    <t>Varuna RUGGOO</t>
  </si>
  <si>
    <t>Paige SMITH</t>
  </si>
  <si>
    <t>Ben CHEUNG</t>
  </si>
  <si>
    <t>Aftab SAMDANI</t>
  </si>
  <si>
    <t>Sindy BALACHATHIRAN</t>
  </si>
  <si>
    <t>Sick leave</t>
  </si>
  <si>
    <t>Michelle BERTOLUCCI</t>
  </si>
  <si>
    <t>Rami SHENOUDA</t>
  </si>
  <si>
    <t>Barry CUNNINGHAM</t>
  </si>
  <si>
    <t>Bendigo fortnightly</t>
  </si>
  <si>
    <t>Tara KAMATH</t>
  </si>
  <si>
    <t>V C</t>
  </si>
  <si>
    <t>Jeremy LEE</t>
  </si>
  <si>
    <t>Jacqueline MOREL</t>
  </si>
  <si>
    <t>0800-1730 agc</t>
  </si>
  <si>
    <t>1430-0000 pac</t>
  </si>
  <si>
    <t>Suhail WANI</t>
  </si>
  <si>
    <t>Maureen KOO</t>
  </si>
  <si>
    <t>0800-1800 AAC</t>
  </si>
  <si>
    <t>Herris XIAO</t>
  </si>
  <si>
    <t>Andrew HAMMOND</t>
  </si>
  <si>
    <t>Helen PSIHOGIOS</t>
  </si>
  <si>
    <t>Amy LEUTHAUSER</t>
  </si>
  <si>
    <t>0800-1730 CS DH</t>
  </si>
  <si>
    <t>1030-2000 SWA</t>
  </si>
  <si>
    <t>GERIATRICIAN  61</t>
  </si>
  <si>
    <t>REZA</t>
  </si>
  <si>
    <t>ALISHA</t>
  </si>
  <si>
    <t>HAVE</t>
  </si>
  <si>
    <t>SMS Day</t>
    <phoneticPr fontId="3" type="noConversion"/>
  </si>
  <si>
    <t>SMS Evening</t>
    <phoneticPr fontId="3" type="noConversion"/>
  </si>
  <si>
    <t>CMO</t>
  </si>
  <si>
    <t>Titus HACKMAN</t>
  </si>
  <si>
    <t>0800-1730</t>
  </si>
  <si>
    <t>1430-0000</t>
  </si>
  <si>
    <t>CSO</t>
  </si>
  <si>
    <t>Heather LACEY</t>
  </si>
  <si>
    <t>1000-2000 SWA</t>
  </si>
  <si>
    <t>Sam HAIFI</t>
  </si>
  <si>
    <t>0800-1800</t>
  </si>
  <si>
    <t>Saleem SULTANI</t>
  </si>
  <si>
    <t>SENIOR REG</t>
  </si>
  <si>
    <t>NIGHTS</t>
  </si>
  <si>
    <t>Patrick Tan 1</t>
  </si>
  <si>
    <t>1600-0000 SWP</t>
  </si>
  <si>
    <t>2300-0900 N1</t>
  </si>
  <si>
    <t xml:space="preserve">1000-1730 SWA </t>
  </si>
  <si>
    <t>1000-1730 SWA</t>
  </si>
  <si>
    <t xml:space="preserve">Miles Ma 1 </t>
  </si>
  <si>
    <t>0930-1730 SWA</t>
  </si>
  <si>
    <t>Dennis Chung 1</t>
  </si>
  <si>
    <t>1630-0000 SWP</t>
  </si>
  <si>
    <t xml:space="preserve">Mark Douglas 0.75 </t>
  </si>
  <si>
    <t xml:space="preserve">1600-0000 SWP </t>
  </si>
  <si>
    <t>Amy Rose 0.75</t>
  </si>
  <si>
    <t>Joseph Vu 0.5</t>
  </si>
  <si>
    <t>Exam leave</t>
  </si>
  <si>
    <t>William Mioch 0.5</t>
  </si>
  <si>
    <t>Jessica Burgess 0.25</t>
  </si>
  <si>
    <t>Ana Nazimuddin 0.5</t>
  </si>
  <si>
    <t>INTERMEDIATE REG</t>
  </si>
  <si>
    <t xml:space="preserve">Hannah Meiklejohn 1 </t>
  </si>
  <si>
    <t>2300-0900 NSSJ</t>
  </si>
  <si>
    <t xml:space="preserve">Joshua Feek 1 </t>
  </si>
  <si>
    <t>Mikhar Haripersad 1</t>
  </si>
  <si>
    <t>0800-1630 SWA</t>
  </si>
  <si>
    <t xml:space="preserve">Harmeen Kaur 0.5 </t>
  </si>
  <si>
    <t>1530-0000 SWP</t>
  </si>
  <si>
    <t>0900-1730 SWA</t>
  </si>
  <si>
    <t>Shiv  Barlett 0.5</t>
  </si>
  <si>
    <t xml:space="preserve">Clare Djatmoko 0.5 </t>
  </si>
  <si>
    <t xml:space="preserve">Exam leave </t>
  </si>
  <si>
    <t>1530-0000</t>
  </si>
  <si>
    <t>JUNIOR REG</t>
  </si>
  <si>
    <t>Christina McLure 1</t>
  </si>
  <si>
    <t>1430-0000 PHJ</t>
  </si>
  <si>
    <t>2300-0900</t>
  </si>
  <si>
    <t>Clare Bristow 1</t>
  </si>
  <si>
    <t>0800-1730PH</t>
  </si>
  <si>
    <t>1430-0000 SWP</t>
  </si>
  <si>
    <t>Christopher Klonis 1</t>
  </si>
  <si>
    <t xml:space="preserve">orientation </t>
  </si>
  <si>
    <t>Deslin Araullo 1</t>
  </si>
  <si>
    <t>Poh Ling Tan 0.75</t>
  </si>
  <si>
    <t>Giovana Mendes Teles 1</t>
  </si>
  <si>
    <t>Conference leave</t>
  </si>
  <si>
    <t xml:space="preserve">Isobel Galloway 1 </t>
  </si>
  <si>
    <t>1100-2030 SWA</t>
  </si>
  <si>
    <t>Aditya Mehta 0.75</t>
  </si>
  <si>
    <t>Jessica Mcquillan 0.75</t>
  </si>
  <si>
    <t>Jirayut Prompen (Craig) 1</t>
  </si>
  <si>
    <t>Sylvia Osahan 0.75</t>
  </si>
  <si>
    <t>Rachel Morgan 0.75</t>
  </si>
  <si>
    <t>Paul Crawford 0.75</t>
  </si>
  <si>
    <t>Laura Walsh 0.5</t>
  </si>
  <si>
    <t>Clara chia 0.5</t>
  </si>
  <si>
    <t xml:space="preserve"> Jerome So 1</t>
  </si>
  <si>
    <t>1100-1900 SWA</t>
  </si>
  <si>
    <t>Subarna Chowdhury 0.75</t>
  </si>
  <si>
    <t>1100-2000 SWA</t>
  </si>
  <si>
    <t>Kelly Hotchin 1</t>
  </si>
  <si>
    <t>ED Orientation Mon. Teaching: All Reg Wed 1000-1500*</t>
  </si>
  <si>
    <t>Teaching: All Reg Wed 1000-1500</t>
  </si>
  <si>
    <t>HMO MUST BE 111</t>
  </si>
  <si>
    <t>Brianna Dawn Murphy</t>
  </si>
  <si>
    <t>2300-0830 NSSJ</t>
  </si>
  <si>
    <t>2300-0830</t>
  </si>
  <si>
    <t>2300-0830 NHJ</t>
  </si>
  <si>
    <t>0730-1700 ASSJ</t>
  </si>
  <si>
    <t>0800-1730 AHJ</t>
  </si>
  <si>
    <t>1430-0000 PSSJ</t>
  </si>
  <si>
    <t>Ankush Das</t>
  </si>
  <si>
    <t>Aaron Gauntlett</t>
  </si>
  <si>
    <t>1000-1930 SWA</t>
  </si>
  <si>
    <t>Brendan Chong</t>
  </si>
  <si>
    <t>Aaron Badwal</t>
  </si>
  <si>
    <t xml:space="preserve">Areeba  Bashar </t>
  </si>
  <si>
    <t>Mason Shao Hong Lee</t>
  </si>
  <si>
    <t>Milos  Babovic</t>
  </si>
  <si>
    <t>Aaron Ng</t>
  </si>
  <si>
    <t>Vishnu Rao</t>
  </si>
  <si>
    <t>Lisa McCarthy</t>
  </si>
  <si>
    <t>Zobia Zaheer</t>
  </si>
  <si>
    <t>Phillip Romo</t>
  </si>
  <si>
    <t>Chris Foo</t>
  </si>
  <si>
    <t>Fadia Ikram</t>
  </si>
  <si>
    <t>Devuni Fernando</t>
  </si>
  <si>
    <t>Harrison Liu</t>
  </si>
  <si>
    <t>Pin Cheng Wong</t>
  </si>
  <si>
    <t>Tram Pham (0.5 EFT)</t>
  </si>
  <si>
    <t>Nathan Pakenham</t>
  </si>
  <si>
    <t>Brier Jones</t>
  </si>
  <si>
    <t>Michael Ferguson</t>
  </si>
  <si>
    <t>Will Kimpson</t>
  </si>
  <si>
    <t>AL0.5</t>
  </si>
  <si>
    <t>Maryam Patel</t>
  </si>
  <si>
    <t>Tori-Ann Black</t>
  </si>
  <si>
    <t>Joydeep Ghosh</t>
  </si>
  <si>
    <t>Henley James-Smith</t>
  </si>
  <si>
    <t>Shuning Wang</t>
  </si>
  <si>
    <t>Mareesha Noyahr</t>
  </si>
  <si>
    <t>Natalie Lynn Stanley</t>
  </si>
  <si>
    <t>Wathsala Samaranayake</t>
  </si>
  <si>
    <t>700647 vs 703788</t>
  </si>
  <si>
    <t>Intern</t>
  </si>
  <si>
    <t>Aarushi Pathania</t>
  </si>
  <si>
    <t>Sim Centre</t>
  </si>
  <si>
    <t>AL</t>
  </si>
  <si>
    <t>Requested day off</t>
  </si>
  <si>
    <t>1230-2200 SWP</t>
  </si>
  <si>
    <t>Sarah Wu</t>
  </si>
  <si>
    <t>Arooj Imran</t>
  </si>
  <si>
    <t>Ann Twodros</t>
  </si>
  <si>
    <t>Filip Pesevski</t>
  </si>
  <si>
    <t>Elliott McGaughran</t>
  </si>
  <si>
    <t>Ranusha Nanayakkara</t>
  </si>
  <si>
    <t>Daniel  Trakman</t>
  </si>
  <si>
    <t>Sarah Chuang</t>
  </si>
  <si>
    <t>Roxana Fourcroy</t>
  </si>
  <si>
    <t>*Teaching all interns Thurs 12.30 (hospital)</t>
  </si>
  <si>
    <t>Late start AM</t>
  </si>
  <si>
    <t>Late start PM</t>
  </si>
  <si>
    <t>NIGHT</t>
  </si>
  <si>
    <t>trg_5_0930</t>
  </si>
  <si>
    <t>trg_3.75_0930</t>
  </si>
  <si>
    <t>trg_2.5_0930</t>
  </si>
  <si>
    <t>trg_1.25_0930</t>
  </si>
  <si>
    <t>N/A</t>
  </si>
  <si>
    <t>trg_4_0930</t>
  </si>
  <si>
    <t>ARC</t>
  </si>
  <si>
    <t>AAC</t>
  </si>
  <si>
    <t>AGC</t>
  </si>
  <si>
    <t>ACC</t>
  </si>
  <si>
    <t>ASSC</t>
  </si>
  <si>
    <t>AFC/AWC</t>
  </si>
  <si>
    <t>PRC</t>
  </si>
  <si>
    <t>PAC</t>
  </si>
  <si>
    <t>PGC</t>
  </si>
  <si>
    <t>PCC</t>
  </si>
  <si>
    <t>PSSC</t>
  </si>
  <si>
    <t>PFC/AWC</t>
  </si>
  <si>
    <t>Role  (uploaded)</t>
  </si>
  <si>
    <t>Pager No (uploaded)</t>
  </si>
  <si>
    <t>Cost Centre  (Not Used)</t>
  </si>
  <si>
    <t>Name  (Not Used)</t>
  </si>
  <si>
    <t>AM SHIFT</t>
  </si>
  <si>
    <t>SPACE 23</t>
  </si>
  <si>
    <t>GREEN SMS</t>
  </si>
  <si>
    <t>JEN SMS</t>
  </si>
  <si>
    <t>AMBER SMS</t>
  </si>
  <si>
    <t>JAMES SMS</t>
  </si>
  <si>
    <t>RESUS LEAD</t>
  </si>
  <si>
    <t>MADDY SMS</t>
  </si>
  <si>
    <t>SSU SMS</t>
  </si>
  <si>
    <t>NICOLA SMS</t>
  </si>
  <si>
    <t xml:space="preserve"> CLINIC LEAD</t>
  </si>
  <si>
    <t>DIANA SMS</t>
  </si>
  <si>
    <t>SMS/REGISTRARS</t>
  </si>
  <si>
    <t>STEVE T SMS</t>
  </si>
  <si>
    <t>DAVID SMS</t>
  </si>
  <si>
    <t>QING SMS</t>
  </si>
  <si>
    <t>S/L AM</t>
  </si>
  <si>
    <t>ABI SMS</t>
  </si>
  <si>
    <t>ANASTASIA SMS</t>
  </si>
  <si>
    <t>RICHARD SMS</t>
  </si>
  <si>
    <t>ANANTH SMS</t>
  </si>
  <si>
    <t>HUB  JMS</t>
  </si>
  <si>
    <t>AHJ</t>
  </si>
  <si>
    <t>MINA SMS</t>
  </si>
  <si>
    <t>SSU JMS</t>
  </si>
  <si>
    <t>ASSJ</t>
  </si>
  <si>
    <t>CHAMARA SMS</t>
  </si>
  <si>
    <t>1530-0000 PRC</t>
  </si>
  <si>
    <t>JIMMY SMS</t>
  </si>
  <si>
    <t>HMO/INTERN</t>
  </si>
  <si>
    <t>ERICA SMS</t>
  </si>
  <si>
    <t>PAT SMS</t>
  </si>
  <si>
    <t>MICHAEL SMS</t>
  </si>
  <si>
    <t>TECWYN SMS</t>
  </si>
  <si>
    <t>GARGI SMS</t>
  </si>
  <si>
    <t>PART TIME SMS</t>
  </si>
  <si>
    <t>JACKIE SMS</t>
  </si>
  <si>
    <t>AM Swing start</t>
  </si>
  <si>
    <t>SWA</t>
  </si>
  <si>
    <t>TARA J. SMS</t>
  </si>
  <si>
    <t>ANDRE SMS</t>
  </si>
  <si>
    <t xml:space="preserve">S/L AM </t>
  </si>
  <si>
    <t>BRAD SMS</t>
  </si>
  <si>
    <t>STEPHEN G SMS</t>
  </si>
  <si>
    <t>GERIATRICIAN</t>
  </si>
  <si>
    <t>ANDY L  SMS</t>
  </si>
  <si>
    <t>OFFICE CS</t>
  </si>
  <si>
    <t>JON SMS</t>
  </si>
  <si>
    <t>SCOTT SMS</t>
  </si>
  <si>
    <t>PM SHIFT</t>
  </si>
  <si>
    <t>SPACE 22</t>
  </si>
  <si>
    <t>HUGH SMS</t>
  </si>
  <si>
    <t>QAIS SMS</t>
  </si>
  <si>
    <t>DANIEL SMS</t>
  </si>
  <si>
    <t>YAN SMS</t>
  </si>
  <si>
    <t>JULIA SMS</t>
  </si>
  <si>
    <t>CLINIC LEAD</t>
  </si>
  <si>
    <t>SUSAN SMS</t>
  </si>
  <si>
    <t xml:space="preserve">S/L PM </t>
  </si>
  <si>
    <t>SMS/REGISTRAR</t>
  </si>
  <si>
    <t>VARUNA SMS</t>
  </si>
  <si>
    <t>PAIGE SMS</t>
  </si>
  <si>
    <t>BEN SMS</t>
  </si>
  <si>
    <t>AFTAB SMS</t>
  </si>
  <si>
    <t>SINDY SMS</t>
  </si>
  <si>
    <t>MICHELLE SMS</t>
  </si>
  <si>
    <t>RAMI SMS</t>
  </si>
  <si>
    <t>HUB JMS</t>
  </si>
  <si>
    <t>PHJ</t>
  </si>
  <si>
    <t>BARRY SMS</t>
  </si>
  <si>
    <t xml:space="preserve">S/L CS </t>
  </si>
  <si>
    <t>PSSJ</t>
  </si>
  <si>
    <t>TARA K. SMS</t>
  </si>
  <si>
    <t>JEREMY SMS</t>
  </si>
  <si>
    <t>JACQUELINE SMS</t>
  </si>
  <si>
    <t>SUHAIL SMS</t>
  </si>
  <si>
    <t>MAUREEN SMS</t>
  </si>
  <si>
    <t>HERRIS SMS</t>
  </si>
  <si>
    <t>ANDREW H SMS</t>
  </si>
  <si>
    <t>HELEN SMS</t>
  </si>
  <si>
    <t>AMY SMS</t>
  </si>
  <si>
    <t xml:space="preserve">RACHEL SMS </t>
  </si>
  <si>
    <t xml:space="preserve">Rachel Rosler </t>
  </si>
  <si>
    <t xml:space="preserve">PM Swing Start </t>
  </si>
  <si>
    <t>SWP</t>
  </si>
  <si>
    <t>MANEESHA</t>
  </si>
  <si>
    <t xml:space="preserve">MANEESHA </t>
  </si>
  <si>
    <t>NIGHT SHIFT</t>
  </si>
  <si>
    <t>SPACE 13</t>
  </si>
  <si>
    <t>REG in CHARGE</t>
  </si>
  <si>
    <t>TITUS CMO</t>
  </si>
  <si>
    <t>REG/HMO/INTERN</t>
  </si>
  <si>
    <t>HEATHER CMO</t>
  </si>
  <si>
    <t>SAM CMO</t>
  </si>
  <si>
    <t>SALEEM CMO</t>
  </si>
  <si>
    <t>PATRICK SR</t>
  </si>
  <si>
    <t>MILES SR</t>
  </si>
  <si>
    <t>DENNIS SR</t>
  </si>
  <si>
    <t>MARK SR</t>
  </si>
  <si>
    <t>NHJ</t>
  </si>
  <si>
    <t>AMY SR</t>
  </si>
  <si>
    <t>NSSJ</t>
  </si>
  <si>
    <t>JOSEPH SR</t>
  </si>
  <si>
    <t>1630-0000</t>
  </si>
  <si>
    <t>WILLIAM SR</t>
  </si>
  <si>
    <t>ON CALL SMS</t>
  </si>
  <si>
    <t>JESS SR</t>
  </si>
  <si>
    <t>ANA CMO</t>
  </si>
  <si>
    <t>HANNAH IR</t>
  </si>
  <si>
    <t>JOSHUA IR</t>
  </si>
  <si>
    <t>MIKHAR IR</t>
  </si>
  <si>
    <t>HARMEEN IR</t>
  </si>
  <si>
    <t>1000-1730</t>
  </si>
  <si>
    <t>SHIV IR</t>
  </si>
  <si>
    <t>CLARE IR</t>
  </si>
  <si>
    <t>CHRISTINA JR</t>
  </si>
  <si>
    <t>CLARE JR</t>
  </si>
  <si>
    <t>CHRISTOPHER JR</t>
  </si>
  <si>
    <t>DESLIN JR</t>
  </si>
  <si>
    <t>POH JR</t>
  </si>
  <si>
    <t>GIOVANA JR</t>
  </si>
  <si>
    <t>ISOBEL JR</t>
  </si>
  <si>
    <t>ADI JR</t>
  </si>
  <si>
    <t>JESSICA JR</t>
  </si>
  <si>
    <t>CRAIG JR</t>
  </si>
  <si>
    <t>SYLVIA JR</t>
  </si>
  <si>
    <t>RACHEL JR</t>
  </si>
  <si>
    <t>PAUL JR</t>
  </si>
  <si>
    <t>LAURA JR</t>
  </si>
  <si>
    <t>CLARA JR</t>
  </si>
  <si>
    <t>JEROME JR</t>
  </si>
  <si>
    <t>SUBARNA JR</t>
  </si>
  <si>
    <t>KELLY JR</t>
  </si>
  <si>
    <t>HMO - MUST BE 111</t>
  </si>
  <si>
    <t>BRIANNA HMO</t>
  </si>
  <si>
    <t>ANKUSH HMO</t>
  </si>
  <si>
    <t>AARON G. HMO</t>
  </si>
  <si>
    <t>BRENDAN HMO</t>
  </si>
  <si>
    <t>AARON B. HMO</t>
  </si>
  <si>
    <t>AREEBA HMO</t>
  </si>
  <si>
    <t>MASON HMO</t>
  </si>
  <si>
    <t xml:space="preserve">S/L NS </t>
  </si>
  <si>
    <t>MILOS HMO</t>
  </si>
  <si>
    <t>AARON N. HMO</t>
  </si>
  <si>
    <t>VISHNU HMO</t>
  </si>
  <si>
    <t>LISA HMO</t>
  </si>
  <si>
    <t>ZOBIA HMO</t>
  </si>
  <si>
    <t>PHILLIP HMO</t>
  </si>
  <si>
    <t>CHRIS HMO</t>
  </si>
  <si>
    <t>FADIA HMO</t>
  </si>
  <si>
    <t>DEVUNI HMO</t>
  </si>
  <si>
    <t>HARRISON HMO</t>
  </si>
  <si>
    <t>PIN HMO</t>
  </si>
  <si>
    <t>TRAM HMO</t>
  </si>
  <si>
    <t>NATHAN HMO</t>
  </si>
  <si>
    <t>BRIER HMO</t>
  </si>
  <si>
    <t>0800-1530</t>
  </si>
  <si>
    <t>MIKEY HMO</t>
  </si>
  <si>
    <t>WILL HMO</t>
  </si>
  <si>
    <t>MARYAM HMO</t>
  </si>
  <si>
    <t>TORI-ANN HMO</t>
  </si>
  <si>
    <t>JOYDEEP HMO</t>
  </si>
  <si>
    <t>HENLEY HMO</t>
  </si>
  <si>
    <t>SHUNING HMO</t>
  </si>
  <si>
    <t>MAREESHA HMO</t>
  </si>
  <si>
    <t>NATALIE HMO</t>
  </si>
  <si>
    <t>WATHSALA HMO</t>
  </si>
  <si>
    <t>TBC</t>
  </si>
  <si>
    <t>SUMEDH HMO</t>
  </si>
  <si>
    <t xml:space="preserve">Sumedh Sangamnerkar </t>
  </si>
  <si>
    <t>S/L night</t>
  </si>
  <si>
    <t>INTERN</t>
  </si>
  <si>
    <t>Arushi INT</t>
  </si>
  <si>
    <t>Sarah W. INT</t>
  </si>
  <si>
    <t>Arooj INT</t>
  </si>
  <si>
    <t xml:space="preserve">S\L AM </t>
  </si>
  <si>
    <t>Ann INT</t>
  </si>
  <si>
    <t>Filip INT</t>
  </si>
  <si>
    <t>Elliott INT</t>
  </si>
  <si>
    <t>Ranusha INT</t>
  </si>
  <si>
    <t>Daniel INT</t>
  </si>
  <si>
    <t>Sarah C. INT</t>
  </si>
  <si>
    <t>Raxanna INT</t>
  </si>
  <si>
    <t>Jayce INT</t>
  </si>
  <si>
    <t>Jayce Liu</t>
  </si>
  <si>
    <t>0800-1200</t>
  </si>
  <si>
    <t xml:space="preserve">0730-1700 ASSJ </t>
  </si>
  <si>
    <t>LOCUM</t>
  </si>
  <si>
    <t>TRAINING TIME</t>
  </si>
  <si>
    <t>S/L PM</t>
  </si>
  <si>
    <t xml:space="preserve">0800-1730 ACC </t>
  </si>
  <si>
    <t>S/L CS</t>
  </si>
  <si>
    <t xml:space="preserve">Parental Leave </t>
  </si>
  <si>
    <t>ARRHCHIE</t>
  </si>
  <si>
    <t xml:space="preserve">1630-0000 SWP </t>
  </si>
  <si>
    <t>0800-1300</t>
  </si>
  <si>
    <t>Roxana INT</t>
  </si>
  <si>
    <t xml:space="preserve">0800-1730 AGC </t>
  </si>
  <si>
    <t xml:space="preserve">S/ L PM swing </t>
  </si>
  <si>
    <t xml:space="preserve">SL PM </t>
  </si>
  <si>
    <t>1000-17300 SWA</t>
  </si>
  <si>
    <t xml:space="preserve">PM </t>
  </si>
  <si>
    <t xml:space="preserve">AL </t>
  </si>
  <si>
    <t xml:space="preserve">A/L </t>
  </si>
  <si>
    <t>1700-0000 SWP</t>
  </si>
  <si>
    <t>1000-1930  SWA</t>
  </si>
  <si>
    <t xml:space="preserve">S\L PM </t>
  </si>
  <si>
    <t>S/L SW PM</t>
  </si>
  <si>
    <t xml:space="preserve">Conference Leave </t>
  </si>
  <si>
    <t>S/L NIGHT</t>
  </si>
  <si>
    <t>SHARON HMO</t>
  </si>
  <si>
    <t xml:space="preserve">Sharon Bong </t>
  </si>
  <si>
    <t>Fam Leave</t>
  </si>
  <si>
    <t xml:space="preserve">OFF </t>
  </si>
  <si>
    <t>JENNY</t>
  </si>
  <si>
    <t xml:space="preserve">S\L SW </t>
  </si>
  <si>
    <t xml:space="preserve">C/L </t>
  </si>
  <si>
    <t>S/L</t>
  </si>
  <si>
    <t>S/L NS</t>
  </si>
  <si>
    <t>Retrieving data. Wait a few seconds and try to cut or copy again.</t>
  </si>
  <si>
    <t xml:space="preserve">0800-1730 ARC </t>
  </si>
  <si>
    <t xml:space="preserve">0800-1730 AFC </t>
  </si>
  <si>
    <t xml:space="preserve">  </t>
  </si>
  <si>
    <t>1630-0000 PSSC</t>
  </si>
  <si>
    <t>REZA PHNW</t>
  </si>
  <si>
    <t>ARRHCIE</t>
  </si>
  <si>
    <t>Christina Hatton 1</t>
  </si>
  <si>
    <t>0800-1530 SWA</t>
  </si>
  <si>
    <t>0900-1830 SWA</t>
  </si>
  <si>
    <t xml:space="preserve">S/L AM  </t>
  </si>
  <si>
    <t xml:space="preserve">S/L PM  </t>
  </si>
  <si>
    <t>LWOP</t>
  </si>
  <si>
    <t xml:space="preserve">JAYCE INT </t>
  </si>
  <si>
    <t>1100-1730 SWA</t>
  </si>
  <si>
    <t>Rachel ROSLER</t>
  </si>
  <si>
    <t>Isabelle SMS</t>
  </si>
  <si>
    <t xml:space="preserve">Isabelle Hau </t>
  </si>
  <si>
    <t>Exam Leave</t>
  </si>
  <si>
    <t xml:space="preserve">S/L SW </t>
  </si>
  <si>
    <t>1630-0000 PHJ</t>
  </si>
  <si>
    <t>1230-0000 SWP</t>
  </si>
  <si>
    <t>0800-1400 SWA</t>
  </si>
  <si>
    <t>173/</t>
  </si>
  <si>
    <t xml:space="preserve">Jayce INT  </t>
  </si>
  <si>
    <t xml:space="preserve">Jayce Liu </t>
  </si>
  <si>
    <t xml:space="preserve">0800-1730 CS </t>
  </si>
  <si>
    <t>1800-0000 SWP</t>
  </si>
  <si>
    <t>0800-1245 CS</t>
  </si>
  <si>
    <t>0800-1600 SWA</t>
  </si>
  <si>
    <t>ARHHCHIE</t>
  </si>
  <si>
    <t xml:space="preserve">S/L Night </t>
  </si>
  <si>
    <t>i</t>
  </si>
  <si>
    <t>Parental Leave</t>
  </si>
  <si>
    <t>Elana INT</t>
  </si>
  <si>
    <t>Elana Vitaljic</t>
  </si>
  <si>
    <t>Tong INT</t>
  </si>
  <si>
    <t>Tong Hieu</t>
  </si>
  <si>
    <t>Nhan INT</t>
  </si>
  <si>
    <t>Nhan Anh Nathan Le</t>
  </si>
  <si>
    <t>0900-1300 O</t>
  </si>
  <si>
    <t> </t>
  </si>
  <si>
    <t>Delia INT</t>
  </si>
  <si>
    <t>Delia Feng Hui Chua</t>
  </si>
  <si>
    <t>0800-1330 SWA</t>
  </si>
  <si>
    <t>Iolanda INT</t>
  </si>
  <si>
    <t>Iolanda Miceli</t>
  </si>
  <si>
    <t>1230-1800 SWA</t>
  </si>
  <si>
    <t>Peter INT</t>
  </si>
  <si>
    <t>Zhangnan Xu</t>
  </si>
  <si>
    <t>Jason INT</t>
  </si>
  <si>
    <t>Jason Nguyen</t>
  </si>
  <si>
    <t>Sewni INT</t>
  </si>
  <si>
    <t xml:space="preserve">Sewni Samarawickrama </t>
  </si>
  <si>
    <t>S/L SW</t>
  </si>
  <si>
    <t>Jean-Luc INT</t>
  </si>
  <si>
    <t>Jean-Luc Karavendzas</t>
  </si>
  <si>
    <t>May INT</t>
  </si>
  <si>
    <t>May Yi Foo</t>
  </si>
  <si>
    <t xml:space="preserve">Jayce INT </t>
  </si>
  <si>
    <t>1430-0000 ARC</t>
  </si>
  <si>
    <t>Carers leave</t>
  </si>
  <si>
    <t>VALERIE</t>
  </si>
  <si>
    <t>ALISHA PHNW</t>
  </si>
  <si>
    <t xml:space="preserve">S/.L PM </t>
  </si>
  <si>
    <t>Off</t>
  </si>
  <si>
    <t>NS</t>
  </si>
  <si>
    <t>Nathan INT</t>
  </si>
  <si>
    <t xml:space="preserve">AM </t>
  </si>
  <si>
    <t xml:space="preserve">   </t>
  </si>
  <si>
    <t xml:space="preserve">BRENDON HMO </t>
  </si>
  <si>
    <t xml:space="preserve">conference </t>
  </si>
  <si>
    <t xml:space="preserve">conference leave </t>
  </si>
  <si>
    <t xml:space="preserve">0800-1730 AHJ </t>
  </si>
  <si>
    <t xml:space="preserve">ATACAN HMO </t>
  </si>
  <si>
    <t>Atacan Ertugrul</t>
  </si>
  <si>
    <t xml:space="preserve">Jayce Int </t>
  </si>
  <si>
    <t>1430-0000PSSC</t>
  </si>
  <si>
    <t xml:space="preserve">JENNY </t>
  </si>
  <si>
    <t xml:space="preserve">S/L NS  </t>
  </si>
  <si>
    <t xml:space="preserve">Brendan Chong </t>
  </si>
  <si>
    <t>SIM</t>
  </si>
  <si>
    <t>0800-1730 CS OS</t>
  </si>
  <si>
    <t>0730-1500 ASSC</t>
  </si>
  <si>
    <t>1000-1500 SWA</t>
  </si>
  <si>
    <t>1000-1500 CS</t>
  </si>
  <si>
    <t xml:space="preserve">Annual Leave </t>
  </si>
  <si>
    <t>STEWART HMO</t>
  </si>
  <si>
    <t>Stewart Todd</t>
  </si>
  <si>
    <t>THOMAS HMO</t>
  </si>
  <si>
    <t>Thomas Masters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</si>
</sst>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"/>
  </numFmts>
  <fonts count="38"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</font>
    <font>
      <sz val="10"/>
      <color indexed="17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sz val="10"/>
      <color rgb="FFFF0000"/>
      <name val="Calibri"/>
      <family val="2"/>
      <scheme val="minor"/>
    </font>
    <font>
      <b/>
      <sz val="10"/>
      <color indexed="8"/>
      <name val="Calibri"/>
      <family val="2"/>
    </font>
    <font>
      <sz val="10"/>
      <color rgb="FFF7FFA3"/>
      <name val="Calibri"/>
      <family val="2"/>
      <scheme val="minor"/>
    </font>
    <font>
      <b/>
      <sz val="10"/>
      <color theme="1"/>
      <name val="Aptos Narrow"/>
      <family val="2"/>
    </font>
    <font>
      <b/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Calibri"/>
      <family val="2"/>
    </font>
    <font>
      <strike/>
      <sz val="10"/>
      <name val="Calibri"/>
      <family val="2"/>
      <scheme val="minor"/>
    </font>
    <font>
      <strike/>
      <sz val="10"/>
      <color theme="1"/>
      <name val="Calibri"/>
      <family val="2"/>
      <scheme val="minor"/>
    </font>
    <font>
      <b/>
      <sz val="10"/>
      <color rgb="FF000000"/>
      <name val="Calibri"/>
    </font>
    <font>
      <sz val="10"/>
      <name val="Calibri"/>
    </font>
    <font>
      <sz val="10"/>
      <color rgb="FF000000"/>
      <name val="Calibri"/>
    </font>
  </fonts>
  <fills count="5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1FB714"/>
        <bgColor indexed="64"/>
      </patternFill>
    </fill>
    <fill>
      <patternFill patternType="solid">
        <fgColor rgb="FFAFFC0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1ADC1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ADD6"/>
        <bgColor indexed="64"/>
      </patternFill>
    </fill>
    <fill>
      <patternFill patternType="solid">
        <fgColor rgb="FFC091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D5CBFF"/>
        <bgColor indexed="64"/>
      </patternFill>
    </fill>
    <fill>
      <patternFill patternType="solid">
        <fgColor rgb="FFC1FF16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919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DFA"/>
        <bgColor indexed="64"/>
      </patternFill>
    </fill>
    <fill>
      <patternFill patternType="solid">
        <fgColor rgb="FFFFD6A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7AEFF"/>
        <bgColor indexed="64"/>
      </patternFill>
    </fill>
    <fill>
      <patternFill patternType="solid">
        <fgColor rgb="FFD7AEFF"/>
        <bgColor rgb="FF000000"/>
      </patternFill>
    </fill>
    <fill>
      <patternFill patternType="solid">
        <fgColor rgb="FFFFFDA9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DA9"/>
        <bgColor rgb="FF000000"/>
      </patternFill>
    </fill>
    <fill>
      <patternFill patternType="solid">
        <fgColor rgb="FFD5FFFF"/>
        <bgColor indexed="64"/>
      </patternFill>
    </fill>
    <fill>
      <patternFill patternType="solid">
        <fgColor rgb="FFFFD6A9"/>
        <bgColor rgb="FF000000"/>
      </patternFill>
    </fill>
    <fill>
      <patternFill patternType="solid">
        <fgColor rgb="FFBBF800"/>
        <bgColor indexed="64"/>
      </patternFill>
    </fill>
    <fill>
      <patternFill patternType="solid">
        <fgColor rgb="FFA2FFFB"/>
        <bgColor indexed="64"/>
      </patternFill>
    </fill>
    <fill>
      <patternFill patternType="solid">
        <fgColor rgb="FFFFCDFA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7FFA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darkUp">
        <fgColor theme="4" tint="0.59996337778862885"/>
        <bgColor theme="0"/>
      </patternFill>
    </fill>
    <fill>
      <patternFill patternType="solid">
        <fgColor indexed="35"/>
        <bgColor auto="1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theme="9" tint="0.39997558519241921"/>
        <bgColor theme="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theme="9" tint="0.59999389629810485"/>
        <bgColor indexed="64"/>
      </patternFill>
    </fill>
  </fills>
  <borders count="124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n">
        <color indexed="12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12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6">
    <xf numFmtId="0" fontId="0" fillId="0" borderId="0"/>
    <xf numFmtId="0" fontId="8" fillId="0" borderId="0"/>
    <xf numFmtId="0" fontId="9" fillId="0" borderId="0"/>
    <xf numFmtId="0" fontId="13" fillId="0" borderId="0"/>
    <xf numFmtId="0" fontId="13" fillId="0" borderId="0"/>
    <xf numFmtId="0" fontId="20" fillId="0" borderId="0"/>
  </cellStyleXfs>
  <cellXfs count="990">
    <xf numFmtId="0" fontId="0" fillId="0" borderId="0" xfId="0"/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8" xfId="0" applyFont="1" applyFill="1" applyBorder="1" applyAlignment="1" applyProtection="1">
      <alignment horizontal="center"/>
      <protection locked="0"/>
    </xf>
    <xf numFmtId="0" fontId="1" fillId="2" borderId="4" xfId="0" applyFont="1" applyFill="1" applyBorder="1"/>
    <xf numFmtId="0" fontId="2" fillId="7" borderId="6" xfId="0" applyFont="1" applyFill="1" applyBorder="1" applyAlignment="1" applyProtection="1">
      <alignment horizontal="center"/>
      <protection locked="0"/>
    </xf>
    <xf numFmtId="0" fontId="1" fillId="2" borderId="12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10" xfId="0" applyFont="1" applyFill="1" applyBorder="1"/>
    <xf numFmtId="0" fontId="1" fillId="2" borderId="16" xfId="0" applyFont="1" applyFill="1" applyBorder="1"/>
    <xf numFmtId="0" fontId="4" fillId="2" borderId="4" xfId="0" applyFont="1" applyFill="1" applyBorder="1"/>
    <xf numFmtId="0" fontId="1" fillId="2" borderId="25" xfId="0" applyFont="1" applyFill="1" applyBorder="1"/>
    <xf numFmtId="0" fontId="1" fillId="2" borderId="4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10" xfId="0" applyFont="1" applyFill="1" applyBorder="1"/>
    <xf numFmtId="0" fontId="2" fillId="0" borderId="14" xfId="0" applyFont="1" applyBorder="1"/>
    <xf numFmtId="0" fontId="2" fillId="0" borderId="4" xfId="0" applyFont="1" applyBorder="1"/>
    <xf numFmtId="0" fontId="1" fillId="0" borderId="19" xfId="0" applyFont="1" applyBorder="1"/>
    <xf numFmtId="0" fontId="1" fillId="0" borderId="4" xfId="0" applyFont="1" applyBorder="1"/>
    <xf numFmtId="0" fontId="1" fillId="0" borderId="5" xfId="0" applyFont="1" applyBorder="1"/>
    <xf numFmtId="0" fontId="1" fillId="2" borderId="19" xfId="0" applyFont="1" applyFill="1" applyBorder="1" applyAlignment="1">
      <alignment horizontal="left"/>
    </xf>
    <xf numFmtId="0" fontId="2" fillId="0" borderId="13" xfId="0" applyFont="1" applyBorder="1" applyAlignment="1" applyProtection="1">
      <alignment horizontal="center"/>
      <protection locked="0"/>
    </xf>
    <xf numFmtId="0" fontId="2" fillId="0" borderId="14" xfId="0" applyFont="1" applyBorder="1" applyAlignment="1" applyProtection="1">
      <alignment horizontal="center"/>
      <protection locked="0"/>
    </xf>
    <xf numFmtId="0" fontId="2" fillId="0" borderId="15" xfId="0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14" fontId="2" fillId="0" borderId="16" xfId="0" applyNumberFormat="1" applyFont="1" applyBorder="1" applyAlignment="1" applyProtection="1">
      <alignment horizontal="center"/>
      <protection locked="0"/>
    </xf>
    <xf numFmtId="14" fontId="2" fillId="0" borderId="10" xfId="0" applyNumberFormat="1" applyFont="1" applyBorder="1" applyAlignment="1" applyProtection="1">
      <alignment horizontal="center"/>
      <protection locked="0"/>
    </xf>
    <xf numFmtId="0" fontId="2" fillId="3" borderId="16" xfId="0" applyFont="1" applyFill="1" applyBorder="1" applyAlignment="1" applyProtection="1">
      <alignment horizontal="center"/>
      <protection locked="0"/>
    </xf>
    <xf numFmtId="0" fontId="2" fillId="3" borderId="10" xfId="0" applyFont="1" applyFill="1" applyBorder="1" applyAlignment="1" applyProtection="1">
      <alignment horizontal="center"/>
      <protection locked="0"/>
    </xf>
    <xf numFmtId="0" fontId="2" fillId="3" borderId="20" xfId="0" applyFont="1" applyFill="1" applyBorder="1" applyAlignment="1" applyProtection="1">
      <alignment horizontal="center"/>
      <protection locked="0"/>
    </xf>
    <xf numFmtId="0" fontId="2" fillId="3" borderId="6" xfId="0" applyFont="1" applyFill="1" applyBorder="1" applyAlignment="1" applyProtection="1">
      <alignment horizontal="center"/>
      <protection locked="0"/>
    </xf>
    <xf numFmtId="1" fontId="3" fillId="2" borderId="24" xfId="0" applyNumberFormat="1" applyFont="1" applyFill="1" applyBorder="1" applyProtection="1">
      <protection locked="0"/>
    </xf>
    <xf numFmtId="0" fontId="1" fillId="2" borderId="20" xfId="0" applyFont="1" applyFill="1" applyBorder="1"/>
    <xf numFmtId="0" fontId="4" fillId="0" borderId="0" xfId="0" applyFont="1"/>
    <xf numFmtId="0" fontId="2" fillId="2" borderId="29" xfId="0" applyFont="1" applyFill="1" applyBorder="1" applyAlignment="1" applyProtection="1">
      <alignment horizontal="center" vertical="center"/>
      <protection locked="0"/>
    </xf>
    <xf numFmtId="0" fontId="1" fillId="24" borderId="18" xfId="0" applyFont="1" applyFill="1" applyBorder="1"/>
    <xf numFmtId="0" fontId="1" fillId="25" borderId="18" xfId="0" applyFont="1" applyFill="1" applyBorder="1"/>
    <xf numFmtId="0" fontId="1" fillId="23" borderId="17" xfId="0" applyFont="1" applyFill="1" applyBorder="1"/>
    <xf numFmtId="0" fontId="1" fillId="23" borderId="18" xfId="0" applyFont="1" applyFill="1" applyBorder="1"/>
    <xf numFmtId="0" fontId="1" fillId="23" borderId="25" xfId="0" applyFont="1" applyFill="1" applyBorder="1"/>
    <xf numFmtId="0" fontId="1" fillId="24" borderId="17" xfId="0" applyFont="1" applyFill="1" applyBorder="1"/>
    <xf numFmtId="0" fontId="1" fillId="29" borderId="10" xfId="0" applyFont="1" applyFill="1" applyBorder="1"/>
    <xf numFmtId="0" fontId="1" fillId="24" borderId="10" xfId="0" applyFont="1" applyFill="1" applyBorder="1"/>
    <xf numFmtId="0" fontId="1" fillId="0" borderId="10" xfId="0" applyFont="1" applyBorder="1"/>
    <xf numFmtId="0" fontId="1" fillId="29" borderId="19" xfId="0" applyFont="1" applyFill="1" applyBorder="1"/>
    <xf numFmtId="0" fontId="1" fillId="29" borderId="19" xfId="0" applyFont="1" applyFill="1" applyBorder="1" applyAlignment="1">
      <alignment horizontal="left"/>
    </xf>
    <xf numFmtId="0" fontId="1" fillId="0" borderId="29" xfId="0" applyFont="1" applyBorder="1"/>
    <xf numFmtId="1" fontId="2" fillId="4" borderId="24" xfId="0" applyNumberFormat="1" applyFont="1" applyFill="1" applyBorder="1" applyAlignment="1" applyProtection="1">
      <alignment horizontal="center"/>
      <protection locked="0"/>
    </xf>
    <xf numFmtId="1" fontId="2" fillId="0" borderId="6" xfId="0" applyNumberFormat="1" applyFont="1" applyBorder="1" applyProtection="1">
      <protection locked="0"/>
    </xf>
    <xf numFmtId="1" fontId="2" fillId="0" borderId="24" xfId="0" applyNumberFormat="1" applyFont="1" applyBorder="1" applyProtection="1">
      <protection locked="0"/>
    </xf>
    <xf numFmtId="0" fontId="2" fillId="0" borderId="24" xfId="0" applyFont="1" applyBorder="1"/>
    <xf numFmtId="0" fontId="1" fillId="0" borderId="11" xfId="0" applyFont="1" applyBorder="1"/>
    <xf numFmtId="0" fontId="1" fillId="8" borderId="19" xfId="0" applyFont="1" applyFill="1" applyBorder="1"/>
    <xf numFmtId="0" fontId="3" fillId="5" borderId="30" xfId="0" applyFont="1" applyFill="1" applyBorder="1" applyAlignment="1" applyProtection="1">
      <alignment horizontal="center"/>
      <protection locked="0"/>
    </xf>
    <xf numFmtId="0" fontId="1" fillId="31" borderId="19" xfId="0" applyFont="1" applyFill="1" applyBorder="1"/>
    <xf numFmtId="0" fontId="4" fillId="0" borderId="0" xfId="0" applyFont="1" applyProtection="1">
      <protection locked="0"/>
    </xf>
    <xf numFmtId="0" fontId="2" fillId="2" borderId="1" xfId="0" applyFont="1" applyFill="1" applyBorder="1" applyProtection="1">
      <protection locked="0"/>
    </xf>
    <xf numFmtId="0" fontId="4" fillId="0" borderId="19" xfId="0" applyFont="1" applyBorder="1" applyProtection="1">
      <protection locked="0"/>
    </xf>
    <xf numFmtId="0" fontId="1" fillId="2" borderId="12" xfId="0" applyFont="1" applyFill="1" applyBorder="1" applyProtection="1">
      <protection locked="0"/>
    </xf>
    <xf numFmtId="0" fontId="1" fillId="2" borderId="18" xfId="0" applyFont="1" applyFill="1" applyBorder="1" applyProtection="1">
      <protection locked="0"/>
    </xf>
    <xf numFmtId="0" fontId="1" fillId="2" borderId="25" xfId="0" applyFont="1" applyFill="1" applyBorder="1" applyProtection="1">
      <protection locked="0"/>
    </xf>
    <xf numFmtId="0" fontId="1" fillId="2" borderId="10" xfId="0" applyFont="1" applyFill="1" applyBorder="1" applyProtection="1">
      <protection locked="0"/>
    </xf>
    <xf numFmtId="0" fontId="3" fillId="2" borderId="26" xfId="0" applyFont="1" applyFill="1" applyBorder="1" applyProtection="1">
      <protection locked="0"/>
    </xf>
    <xf numFmtId="0" fontId="1" fillId="0" borderId="4" xfId="0" applyFont="1" applyBorder="1" applyProtection="1">
      <protection locked="0"/>
    </xf>
    <xf numFmtId="0" fontId="1" fillId="2" borderId="19" xfId="0" applyFont="1" applyFill="1" applyBorder="1" applyProtection="1">
      <protection locked="0"/>
    </xf>
    <xf numFmtId="0" fontId="1" fillId="0" borderId="19" xfId="0" applyFont="1" applyBorder="1" applyProtection="1">
      <protection locked="0"/>
    </xf>
    <xf numFmtId="0" fontId="1" fillId="2" borderId="20" xfId="0" applyFont="1" applyFill="1" applyBorder="1" applyProtection="1">
      <protection locked="0"/>
    </xf>
    <xf numFmtId="0" fontId="4" fillId="0" borderId="4" xfId="0" applyFont="1" applyBorder="1" applyProtection="1">
      <protection locked="0"/>
    </xf>
    <xf numFmtId="0" fontId="3" fillId="0" borderId="0" xfId="0" applyFont="1" applyProtection="1">
      <protection locked="0"/>
    </xf>
    <xf numFmtId="0" fontId="2" fillId="6" borderId="8" xfId="0" applyFont="1" applyFill="1" applyBorder="1" applyAlignment="1" applyProtection="1">
      <alignment horizontal="center"/>
      <protection locked="0"/>
    </xf>
    <xf numFmtId="14" fontId="1" fillId="8" borderId="19" xfId="0" applyNumberFormat="1" applyFont="1" applyFill="1" applyBorder="1" applyProtection="1">
      <protection locked="0"/>
    </xf>
    <xf numFmtId="0" fontId="2" fillId="0" borderId="7" xfId="0" applyFont="1" applyBorder="1" applyProtection="1">
      <protection locked="0"/>
    </xf>
    <xf numFmtId="0" fontId="1" fillId="24" borderId="19" xfId="0" applyFont="1" applyFill="1" applyBorder="1" applyProtection="1">
      <protection locked="0"/>
    </xf>
    <xf numFmtId="0" fontId="1" fillId="10" borderId="19" xfId="0" applyFont="1" applyFill="1" applyBorder="1" applyProtection="1">
      <protection locked="0"/>
    </xf>
    <xf numFmtId="0" fontId="1" fillId="2" borderId="19" xfId="0" applyFont="1" applyFill="1" applyBorder="1" applyAlignment="1" applyProtection="1">
      <alignment horizontal="left"/>
      <protection locked="0"/>
    </xf>
    <xf numFmtId="0" fontId="1" fillId="9" borderId="19" xfId="0" applyFont="1" applyFill="1" applyBorder="1" applyProtection="1">
      <protection locked="0"/>
    </xf>
    <xf numFmtId="0" fontId="4" fillId="0" borderId="30" xfId="0" applyFont="1" applyBorder="1" applyProtection="1">
      <protection locked="0"/>
    </xf>
    <xf numFmtId="0" fontId="10" fillId="9" borderId="26" xfId="0" applyFont="1" applyFill="1" applyBorder="1" applyAlignment="1" applyProtection="1">
      <alignment vertical="center"/>
      <protection locked="0"/>
    </xf>
    <xf numFmtId="0" fontId="3" fillId="2" borderId="26" xfId="0" applyFont="1" applyFill="1" applyBorder="1" applyAlignment="1" applyProtection="1">
      <alignment vertical="center"/>
      <protection locked="0"/>
    </xf>
    <xf numFmtId="1" fontId="3" fillId="2" borderId="26" xfId="0" applyNumberFormat="1" applyFont="1" applyFill="1" applyBorder="1" applyAlignment="1" applyProtection="1">
      <alignment vertical="center"/>
      <protection locked="0"/>
    </xf>
    <xf numFmtId="0" fontId="4" fillId="0" borderId="39" xfId="0" applyFont="1" applyBorder="1" applyProtection="1">
      <protection locked="0"/>
    </xf>
    <xf numFmtId="0" fontId="4" fillId="0" borderId="24" xfId="0" applyFont="1" applyBorder="1" applyProtection="1">
      <protection locked="0"/>
    </xf>
    <xf numFmtId="0" fontId="3" fillId="2" borderId="6" xfId="0" applyFont="1" applyFill="1" applyBorder="1" applyAlignment="1" applyProtection="1">
      <alignment vertical="center"/>
      <protection locked="0"/>
    </xf>
    <xf numFmtId="1" fontId="2" fillId="0" borderId="23" xfId="0" applyNumberFormat="1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2" fillId="15" borderId="26" xfId="0" applyFont="1" applyFill="1" applyBorder="1" applyProtection="1">
      <protection locked="0"/>
    </xf>
    <xf numFmtId="0" fontId="10" fillId="15" borderId="26" xfId="0" applyFont="1" applyFill="1" applyBorder="1" applyProtection="1">
      <protection locked="0"/>
    </xf>
    <xf numFmtId="0" fontId="3" fillId="0" borderId="1" xfId="0" applyFont="1" applyBorder="1" applyProtection="1">
      <protection locked="0"/>
    </xf>
    <xf numFmtId="0" fontId="4" fillId="0" borderId="0" xfId="0" applyFont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4" fillId="0" borderId="15" xfId="0" applyFont="1" applyBorder="1" applyAlignment="1">
      <alignment horizontal="center" vertical="top"/>
    </xf>
    <xf numFmtId="0" fontId="4" fillId="0" borderId="21" xfId="0" applyFont="1" applyBorder="1" applyAlignment="1">
      <alignment horizontal="center" vertical="top"/>
    </xf>
    <xf numFmtId="14" fontId="4" fillId="0" borderId="16" xfId="0" applyNumberFormat="1" applyFont="1" applyBorder="1" applyAlignment="1">
      <alignment horizontal="center" vertical="top"/>
    </xf>
    <xf numFmtId="14" fontId="4" fillId="0" borderId="10" xfId="0" applyNumberFormat="1" applyFont="1" applyBorder="1" applyAlignment="1">
      <alignment horizontal="center" vertical="top"/>
    </xf>
    <xf numFmtId="14" fontId="4" fillId="0" borderId="20" xfId="0" applyNumberFormat="1" applyFont="1" applyBorder="1" applyAlignment="1">
      <alignment horizontal="center" vertical="top"/>
    </xf>
    <xf numFmtId="0" fontId="4" fillId="11" borderId="8" xfId="0" applyFont="1" applyFill="1" applyBorder="1" applyAlignment="1">
      <alignment horizontal="center" vertical="top"/>
    </xf>
    <xf numFmtId="0" fontId="4" fillId="2" borderId="34" xfId="0" applyFont="1" applyFill="1" applyBorder="1" applyAlignment="1">
      <alignment horizontal="center" vertical="top"/>
    </xf>
    <xf numFmtId="0" fontId="4" fillId="2" borderId="18" xfId="0" applyFont="1" applyFill="1" applyBorder="1" applyAlignment="1">
      <alignment horizontal="center" vertical="top"/>
    </xf>
    <xf numFmtId="0" fontId="4" fillId="2" borderId="25" xfId="0" applyFont="1" applyFill="1" applyBorder="1" applyAlignment="1">
      <alignment horizontal="center" vertical="top"/>
    </xf>
    <xf numFmtId="0" fontId="4" fillId="0" borderId="0" xfId="0" applyFont="1" applyAlignment="1">
      <alignment vertical="top"/>
    </xf>
    <xf numFmtId="0" fontId="4" fillId="2" borderId="19" xfId="0" applyFont="1" applyFill="1" applyBorder="1" applyAlignment="1">
      <alignment horizontal="center" vertical="top"/>
    </xf>
    <xf numFmtId="0" fontId="4" fillId="22" borderId="8" xfId="0" applyFont="1" applyFill="1" applyBorder="1" applyAlignment="1">
      <alignment horizontal="center" vertical="top"/>
    </xf>
    <xf numFmtId="0" fontId="4" fillId="11" borderId="42" xfId="0" applyFont="1" applyFill="1" applyBorder="1" applyAlignment="1">
      <alignment horizontal="center" vertical="top"/>
    </xf>
    <xf numFmtId="0" fontId="4" fillId="2" borderId="17" xfId="0" applyFont="1" applyFill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17" xfId="0" applyFont="1" applyBorder="1" applyAlignment="1">
      <alignment horizontal="center" vertical="top"/>
    </xf>
    <xf numFmtId="0" fontId="4" fillId="0" borderId="18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0" fontId="4" fillId="21" borderId="44" xfId="0" applyFont="1" applyFill="1" applyBorder="1" applyAlignment="1">
      <alignment horizontal="center" vertical="top"/>
    </xf>
    <xf numFmtId="0" fontId="4" fillId="21" borderId="32" xfId="0" applyFont="1" applyFill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4" fillId="9" borderId="19" xfId="0" applyFont="1" applyFill="1" applyBorder="1" applyAlignment="1" applyProtection="1">
      <alignment vertical="center"/>
      <protection locked="0"/>
    </xf>
    <xf numFmtId="1" fontId="2" fillId="0" borderId="10" xfId="0" applyNumberFormat="1" applyFont="1" applyBorder="1" applyAlignment="1" applyProtection="1">
      <alignment horizontal="center"/>
      <protection locked="0"/>
    </xf>
    <xf numFmtId="0" fontId="1" fillId="2" borderId="2" xfId="0" applyFont="1" applyFill="1" applyBorder="1" applyAlignment="1">
      <alignment horizontal="center"/>
    </xf>
    <xf numFmtId="0" fontId="1" fillId="2" borderId="29" xfId="0" applyFont="1" applyFill="1" applyBorder="1"/>
    <xf numFmtId="0" fontId="2" fillId="2" borderId="31" xfId="0" applyFont="1" applyFill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0" borderId="9" xfId="0" applyFont="1" applyBorder="1" applyAlignment="1" applyProtection="1">
      <alignment horizontal="center"/>
      <protection locked="0"/>
    </xf>
    <xf numFmtId="14" fontId="2" fillId="2" borderId="10" xfId="0" applyNumberFormat="1" applyFont="1" applyFill="1" applyBorder="1" applyAlignment="1" applyProtection="1">
      <alignment horizontal="center"/>
      <protection locked="0"/>
    </xf>
    <xf numFmtId="0" fontId="1" fillId="2" borderId="42" xfId="0" applyFont="1" applyFill="1" applyBorder="1" applyAlignment="1" applyProtection="1">
      <alignment horizontal="center"/>
      <protection locked="0"/>
    </xf>
    <xf numFmtId="0" fontId="1" fillId="24" borderId="25" xfId="0" applyFont="1" applyFill="1" applyBorder="1"/>
    <xf numFmtId="0" fontId="1" fillId="0" borderId="21" xfId="0" applyFont="1" applyBorder="1"/>
    <xf numFmtId="0" fontId="1" fillId="28" borderId="19" xfId="0" applyFont="1" applyFill="1" applyBorder="1"/>
    <xf numFmtId="0" fontId="1" fillId="30" borderId="19" xfId="0" applyFont="1" applyFill="1" applyBorder="1"/>
    <xf numFmtId="0" fontId="1" fillId="9" borderId="19" xfId="0" applyFont="1" applyFill="1" applyBorder="1"/>
    <xf numFmtId="0" fontId="1" fillId="36" borderId="19" xfId="0" applyFont="1" applyFill="1" applyBorder="1"/>
    <xf numFmtId="1" fontId="3" fillId="26" borderId="24" xfId="0" applyNumberFormat="1" applyFont="1" applyFill="1" applyBorder="1" applyProtection="1">
      <protection locked="0"/>
    </xf>
    <xf numFmtId="0" fontId="2" fillId="2" borderId="24" xfId="0" applyFont="1" applyFill="1" applyBorder="1" applyAlignment="1" applyProtection="1">
      <alignment horizontal="left"/>
      <protection locked="0"/>
    </xf>
    <xf numFmtId="1" fontId="2" fillId="2" borderId="23" xfId="0" applyNumberFormat="1" applyFont="1" applyFill="1" applyBorder="1" applyProtection="1">
      <protection locked="0"/>
    </xf>
    <xf numFmtId="0" fontId="2" fillId="2" borderId="24" xfId="0" applyFont="1" applyFill="1" applyBorder="1"/>
    <xf numFmtId="0" fontId="1" fillId="15" borderId="19" xfId="0" applyFont="1" applyFill="1" applyBorder="1"/>
    <xf numFmtId="0" fontId="2" fillId="3" borderId="1" xfId="0" applyFont="1" applyFill="1" applyBorder="1" applyAlignment="1" applyProtection="1">
      <alignment horizontal="center"/>
      <protection locked="0"/>
    </xf>
    <xf numFmtId="0" fontId="1" fillId="0" borderId="22" xfId="0" applyFont="1" applyBorder="1"/>
    <xf numFmtId="0" fontId="1" fillId="2" borderId="24" xfId="0" applyFont="1" applyFill="1" applyBorder="1" applyAlignment="1">
      <alignment horizontal="center"/>
    </xf>
    <xf numFmtId="0" fontId="4" fillId="0" borderId="19" xfId="0" applyFont="1" applyBorder="1"/>
    <xf numFmtId="0" fontId="1" fillId="2" borderId="30" xfId="0" applyFont="1" applyFill="1" applyBorder="1" applyAlignment="1">
      <alignment horizontal="center"/>
    </xf>
    <xf numFmtId="0" fontId="3" fillId="5" borderId="6" xfId="0" applyFont="1" applyFill="1" applyBorder="1" applyAlignment="1" applyProtection="1">
      <alignment horizontal="center"/>
      <protection locked="0"/>
    </xf>
    <xf numFmtId="49" fontId="24" fillId="2" borderId="40" xfId="0" applyNumberFormat="1" applyFont="1" applyFill="1" applyBorder="1"/>
    <xf numFmtId="0" fontId="1" fillId="0" borderId="4" xfId="0" applyFont="1" applyBorder="1" applyAlignment="1">
      <alignment horizontal="center"/>
    </xf>
    <xf numFmtId="49" fontId="26" fillId="2" borderId="40" xfId="0" applyNumberFormat="1" applyFont="1" applyFill="1" applyBorder="1"/>
    <xf numFmtId="49" fontId="23" fillId="2" borderId="40" xfId="0" applyNumberFormat="1" applyFont="1" applyFill="1" applyBorder="1"/>
    <xf numFmtId="49" fontId="23" fillId="9" borderId="40" xfId="0" applyNumberFormat="1" applyFont="1" applyFill="1" applyBorder="1"/>
    <xf numFmtId="49" fontId="24" fillId="2" borderId="41" xfId="0" applyNumberFormat="1" applyFont="1" applyFill="1" applyBorder="1"/>
    <xf numFmtId="0" fontId="1" fillId="2" borderId="23" xfId="0" applyFont="1" applyFill="1" applyBorder="1" applyAlignment="1">
      <alignment horizontal="center"/>
    </xf>
    <xf numFmtId="0" fontId="23" fillId="2" borderId="30" xfId="0" applyFont="1" applyFill="1" applyBorder="1"/>
    <xf numFmtId="0" fontId="28" fillId="2" borderId="40" xfId="0" applyFont="1" applyFill="1" applyBorder="1"/>
    <xf numFmtId="0" fontId="18" fillId="2" borderId="40" xfId="0" applyFont="1" applyFill="1" applyBorder="1"/>
    <xf numFmtId="49" fontId="18" fillId="2" borderId="40" xfId="0" applyNumberFormat="1" applyFont="1" applyFill="1" applyBorder="1"/>
    <xf numFmtId="49" fontId="18" fillId="2" borderId="0" xfId="0" applyNumberFormat="1" applyFont="1" applyFill="1"/>
    <xf numFmtId="49" fontId="29" fillId="2" borderId="40" xfId="0" applyNumberFormat="1" applyFont="1" applyFill="1" applyBorder="1"/>
    <xf numFmtId="0" fontId="18" fillId="2" borderId="41" xfId="0" applyFont="1" applyFill="1" applyBorder="1"/>
    <xf numFmtId="0" fontId="29" fillId="2" borderId="0" xfId="0" applyFont="1" applyFill="1"/>
    <xf numFmtId="49" fontId="29" fillId="2" borderId="41" xfId="0" applyNumberFormat="1" applyFont="1" applyFill="1" applyBorder="1"/>
    <xf numFmtId="0" fontId="1" fillId="0" borderId="10" xfId="0" applyFont="1" applyBorder="1" applyAlignment="1">
      <alignment horizontal="center"/>
    </xf>
    <xf numFmtId="49" fontId="16" fillId="39" borderId="10" xfId="0" applyNumberFormat="1" applyFont="1" applyFill="1" applyBorder="1"/>
    <xf numFmtId="0" fontId="16" fillId="39" borderId="10" xfId="0" applyFont="1" applyFill="1" applyBorder="1"/>
    <xf numFmtId="0" fontId="4" fillId="2" borderId="10" xfId="0" applyFont="1" applyFill="1" applyBorder="1"/>
    <xf numFmtId="49" fontId="16" fillId="2" borderId="10" xfId="0" applyNumberFormat="1" applyFont="1" applyFill="1" applyBorder="1"/>
    <xf numFmtId="0" fontId="16" fillId="2" borderId="10" xfId="0" applyFont="1" applyFill="1" applyBorder="1"/>
    <xf numFmtId="0" fontId="4" fillId="12" borderId="10" xfId="0" applyFont="1" applyFill="1" applyBorder="1"/>
    <xf numFmtId="0" fontId="16" fillId="0" borderId="10" xfId="0" applyFont="1" applyBorder="1"/>
    <xf numFmtId="0" fontId="16" fillId="22" borderId="10" xfId="0" applyFont="1" applyFill="1" applyBorder="1"/>
    <xf numFmtId="1" fontId="2" fillId="0" borderId="45" xfId="0" applyNumberFormat="1" applyFont="1" applyBorder="1" applyProtection="1">
      <protection locked="0"/>
    </xf>
    <xf numFmtId="1" fontId="2" fillId="0" borderId="46" xfId="0" applyNumberFormat="1" applyFont="1" applyBorder="1" applyProtection="1">
      <protection locked="0"/>
    </xf>
    <xf numFmtId="1" fontId="5" fillId="8" borderId="47" xfId="0" applyNumberFormat="1" applyFont="1" applyFill="1" applyBorder="1" applyProtection="1">
      <protection locked="0"/>
    </xf>
    <xf numFmtId="14" fontId="1" fillId="8" borderId="19" xfId="0" applyNumberFormat="1" applyFont="1" applyFill="1" applyBorder="1"/>
    <xf numFmtId="0" fontId="1" fillId="25" borderId="19" xfId="0" applyFont="1" applyFill="1" applyBorder="1"/>
    <xf numFmtId="0" fontId="1" fillId="2" borderId="0" xfId="0" applyFont="1" applyFill="1"/>
    <xf numFmtId="0" fontId="1" fillId="42" borderId="0" xfId="0" applyFont="1" applyFill="1"/>
    <xf numFmtId="0" fontId="1" fillId="37" borderId="19" xfId="0" applyFont="1" applyFill="1" applyBorder="1"/>
    <xf numFmtId="0" fontId="1" fillId="42" borderId="19" xfId="0" applyFont="1" applyFill="1" applyBorder="1"/>
    <xf numFmtId="0" fontId="30" fillId="0" borderId="8" xfId="0" applyFont="1" applyBorder="1"/>
    <xf numFmtId="1" fontId="5" fillId="0" borderId="21" xfId="0" applyNumberFormat="1" applyFont="1" applyBorder="1" applyProtection="1">
      <protection locked="0"/>
    </xf>
    <xf numFmtId="0" fontId="2" fillId="0" borderId="7" xfId="0" applyFont="1" applyBorder="1"/>
    <xf numFmtId="49" fontId="24" fillId="2" borderId="0" xfId="0" applyNumberFormat="1" applyFont="1" applyFill="1"/>
    <xf numFmtId="0" fontId="2" fillId="6" borderId="8" xfId="0" applyFont="1" applyFill="1" applyBorder="1" applyAlignment="1">
      <alignment horizontal="center"/>
    </xf>
    <xf numFmtId="0" fontId="2" fillId="2" borderId="48" xfId="0" applyFont="1" applyFill="1" applyBorder="1"/>
    <xf numFmtId="0" fontId="1" fillId="7" borderId="19" xfId="0" applyFont="1" applyFill="1" applyBorder="1"/>
    <xf numFmtId="0" fontId="2" fillId="0" borderId="24" xfId="0" applyFont="1" applyBorder="1" applyAlignment="1">
      <alignment horizontal="center"/>
    </xf>
    <xf numFmtId="49" fontId="24" fillId="2" borderId="40" xfId="0" applyNumberFormat="1" applyFont="1" applyFill="1" applyBorder="1" applyProtection="1">
      <protection locked="0"/>
    </xf>
    <xf numFmtId="49" fontId="26" fillId="2" borderId="40" xfId="0" applyNumberFormat="1" applyFont="1" applyFill="1" applyBorder="1" applyProtection="1">
      <protection locked="0"/>
    </xf>
    <xf numFmtId="49" fontId="23" fillId="2" borderId="40" xfId="0" applyNumberFormat="1" applyFont="1" applyFill="1" applyBorder="1" applyProtection="1">
      <protection locked="0"/>
    </xf>
    <xf numFmtId="49" fontId="23" fillId="9" borderId="40" xfId="0" applyNumberFormat="1" applyFont="1" applyFill="1" applyBorder="1" applyProtection="1">
      <protection locked="0"/>
    </xf>
    <xf numFmtId="49" fontId="24" fillId="2" borderId="41" xfId="0" applyNumberFormat="1" applyFont="1" applyFill="1" applyBorder="1" applyProtection="1">
      <protection locked="0"/>
    </xf>
    <xf numFmtId="0" fontId="23" fillId="2" borderId="30" xfId="0" applyFont="1" applyFill="1" applyBorder="1" applyProtection="1">
      <protection locked="0"/>
    </xf>
    <xf numFmtId="0" fontId="28" fillId="2" borderId="40" xfId="0" applyFont="1" applyFill="1" applyBorder="1" applyProtection="1">
      <protection locked="0"/>
    </xf>
    <xf numFmtId="0" fontId="18" fillId="2" borderId="40" xfId="0" applyFont="1" applyFill="1" applyBorder="1" applyProtection="1">
      <protection locked="0"/>
    </xf>
    <xf numFmtId="49" fontId="18" fillId="2" borderId="40" xfId="0" applyNumberFormat="1" applyFont="1" applyFill="1" applyBorder="1" applyProtection="1">
      <protection locked="0"/>
    </xf>
    <xf numFmtId="49" fontId="18" fillId="2" borderId="0" xfId="0" applyNumberFormat="1" applyFont="1" applyFill="1" applyProtection="1">
      <protection locked="0"/>
    </xf>
    <xf numFmtId="49" fontId="29" fillId="2" borderId="40" xfId="0" applyNumberFormat="1" applyFont="1" applyFill="1" applyBorder="1" applyProtection="1">
      <protection locked="0"/>
    </xf>
    <xf numFmtId="0" fontId="18" fillId="2" borderId="41" xfId="0" applyFont="1" applyFill="1" applyBorder="1" applyProtection="1">
      <protection locked="0"/>
    </xf>
    <xf numFmtId="0" fontId="29" fillId="2" borderId="0" xfId="0" applyFont="1" applyFill="1" applyProtection="1">
      <protection locked="0"/>
    </xf>
    <xf numFmtId="49" fontId="29" fillId="2" borderId="41" xfId="0" applyNumberFormat="1" applyFont="1" applyFill="1" applyBorder="1" applyProtection="1">
      <protection locked="0"/>
    </xf>
    <xf numFmtId="0" fontId="30" fillId="0" borderId="8" xfId="0" applyFont="1" applyBorder="1" applyProtection="1">
      <protection locked="0"/>
    </xf>
    <xf numFmtId="49" fontId="24" fillId="2" borderId="0" xfId="0" applyNumberFormat="1" applyFont="1" applyFill="1" applyProtection="1">
      <protection locked="0"/>
    </xf>
    <xf numFmtId="0" fontId="1" fillId="2" borderId="23" xfId="0" applyFont="1" applyFill="1" applyBorder="1" applyAlignment="1" applyProtection="1">
      <alignment horizontal="center"/>
      <protection locked="0"/>
    </xf>
    <xf numFmtId="0" fontId="1" fillId="2" borderId="24" xfId="0" applyFont="1" applyFill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0" fontId="1" fillId="2" borderId="17" xfId="0" applyFont="1" applyFill="1" applyBorder="1" applyProtection="1">
      <protection locked="0"/>
    </xf>
    <xf numFmtId="0" fontId="1" fillId="25" borderId="18" xfId="0" applyFont="1" applyFill="1" applyBorder="1" applyProtection="1">
      <protection locked="0"/>
    </xf>
    <xf numFmtId="0" fontId="1" fillId="31" borderId="19" xfId="0" applyFont="1" applyFill="1" applyBorder="1" applyProtection="1">
      <protection locked="0"/>
    </xf>
    <xf numFmtId="0" fontId="1" fillId="29" borderId="19" xfId="0" applyFont="1" applyFill="1" applyBorder="1" applyAlignment="1" applyProtection="1">
      <alignment horizontal="left"/>
      <protection locked="0"/>
    </xf>
    <xf numFmtId="0" fontId="1" fillId="15" borderId="19" xfId="0" applyFont="1" applyFill="1" applyBorder="1" applyProtection="1">
      <protection locked="0"/>
    </xf>
    <xf numFmtId="0" fontId="4" fillId="2" borderId="10" xfId="0" applyFont="1" applyFill="1" applyBorder="1" applyProtection="1">
      <protection locked="0"/>
    </xf>
    <xf numFmtId="49" fontId="16" fillId="2" borderId="10" xfId="0" applyNumberFormat="1" applyFont="1" applyFill="1" applyBorder="1" applyProtection="1">
      <protection locked="0"/>
    </xf>
    <xf numFmtId="49" fontId="16" fillId="39" borderId="10" xfId="0" applyNumberFormat="1" applyFont="1" applyFill="1" applyBorder="1" applyProtection="1">
      <protection locked="0"/>
    </xf>
    <xf numFmtId="0" fontId="16" fillId="2" borderId="10" xfId="0" applyFont="1" applyFill="1" applyBorder="1" applyProtection="1">
      <protection locked="0"/>
    </xf>
    <xf numFmtId="0" fontId="1" fillId="8" borderId="19" xfId="0" applyFont="1" applyFill="1" applyBorder="1" applyProtection="1">
      <protection locked="0"/>
    </xf>
    <xf numFmtId="0" fontId="1" fillId="2" borderId="16" xfId="0" applyFont="1" applyFill="1" applyBorder="1" applyProtection="1">
      <protection locked="0"/>
    </xf>
    <xf numFmtId="0" fontId="1" fillId="30" borderId="19" xfId="0" applyFont="1" applyFill="1" applyBorder="1" applyProtection="1">
      <protection locked="0"/>
    </xf>
    <xf numFmtId="0" fontId="1" fillId="2" borderId="0" xfId="0" applyFont="1" applyFill="1" applyProtection="1">
      <protection locked="0"/>
    </xf>
    <xf numFmtId="0" fontId="1" fillId="24" borderId="17" xfId="0" applyFont="1" applyFill="1" applyBorder="1" applyProtection="1">
      <protection locked="0"/>
    </xf>
    <xf numFmtId="0" fontId="1" fillId="36" borderId="19" xfId="0" applyFont="1" applyFill="1" applyBorder="1" applyProtection="1">
      <protection locked="0"/>
    </xf>
    <xf numFmtId="0" fontId="16" fillId="0" borderId="10" xfId="0" applyFont="1" applyBorder="1" applyProtection="1">
      <protection locked="0"/>
    </xf>
    <xf numFmtId="0" fontId="1" fillId="29" borderId="19" xfId="0" applyFont="1" applyFill="1" applyBorder="1" applyProtection="1">
      <protection locked="0"/>
    </xf>
    <xf numFmtId="0" fontId="1" fillId="0" borderId="10" xfId="0" applyFont="1" applyBorder="1" applyProtection="1">
      <protection locked="0"/>
    </xf>
    <xf numFmtId="0" fontId="1" fillId="24" borderId="18" xfId="0" applyFont="1" applyFill="1" applyBorder="1" applyProtection="1">
      <protection locked="0"/>
    </xf>
    <xf numFmtId="0" fontId="1" fillId="24" borderId="25" xfId="0" applyFont="1" applyFill="1" applyBorder="1" applyProtection="1">
      <protection locked="0"/>
    </xf>
    <xf numFmtId="0" fontId="1" fillId="24" borderId="10" xfId="0" applyFont="1" applyFill="1" applyBorder="1" applyProtection="1">
      <protection locked="0"/>
    </xf>
    <xf numFmtId="0" fontId="16" fillId="22" borderId="10" xfId="0" applyFont="1" applyFill="1" applyBorder="1" applyProtection="1">
      <protection locked="0"/>
    </xf>
    <xf numFmtId="0" fontId="1" fillId="23" borderId="18" xfId="0" applyFont="1" applyFill="1" applyBorder="1" applyProtection="1">
      <protection locked="0"/>
    </xf>
    <xf numFmtId="0" fontId="1" fillId="23" borderId="25" xfId="0" applyFont="1" applyFill="1" applyBorder="1" applyProtection="1">
      <protection locked="0"/>
    </xf>
    <xf numFmtId="0" fontId="1" fillId="29" borderId="10" xfId="0" applyFont="1" applyFill="1" applyBorder="1" applyProtection="1">
      <protection locked="0"/>
    </xf>
    <xf numFmtId="0" fontId="1" fillId="23" borderId="17" xfId="0" applyFont="1" applyFill="1" applyBorder="1" applyProtection="1">
      <protection locked="0"/>
    </xf>
    <xf numFmtId="0" fontId="1" fillId="42" borderId="0" xfId="0" applyFont="1" applyFill="1" applyProtection="1">
      <protection locked="0"/>
    </xf>
    <xf numFmtId="0" fontId="4" fillId="2" borderId="16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center" vertical="top"/>
    </xf>
    <xf numFmtId="0" fontId="4" fillId="2" borderId="20" xfId="0" applyFont="1" applyFill="1" applyBorder="1" applyAlignment="1">
      <alignment horizontal="center" vertical="top"/>
    </xf>
    <xf numFmtId="0" fontId="30" fillId="0" borderId="30" xfId="0" applyFont="1" applyBorder="1" applyProtection="1">
      <protection locked="0"/>
    </xf>
    <xf numFmtId="0" fontId="1" fillId="2" borderId="22" xfId="0" applyFont="1" applyFill="1" applyBorder="1"/>
    <xf numFmtId="0" fontId="1" fillId="38" borderId="22" xfId="0" applyFont="1" applyFill="1" applyBorder="1"/>
    <xf numFmtId="0" fontId="1" fillId="38" borderId="47" xfId="0" applyFont="1" applyFill="1" applyBorder="1"/>
    <xf numFmtId="0" fontId="1" fillId="38" borderId="22" xfId="0" applyFont="1" applyFill="1" applyBorder="1" applyProtection="1">
      <protection locked="0"/>
    </xf>
    <xf numFmtId="0" fontId="1" fillId="38" borderId="47" xfId="0" applyFont="1" applyFill="1" applyBorder="1" applyProtection="1">
      <protection locked="0"/>
    </xf>
    <xf numFmtId="0" fontId="1" fillId="38" borderId="12" xfId="0" applyFont="1" applyFill="1" applyBorder="1" applyProtection="1">
      <protection locked="0"/>
    </xf>
    <xf numFmtId="0" fontId="31" fillId="0" borderId="22" xfId="0" applyFont="1" applyBorder="1" applyProtection="1">
      <protection locked="0"/>
    </xf>
    <xf numFmtId="0" fontId="4" fillId="0" borderId="1" xfId="0" applyFont="1" applyBorder="1" applyAlignment="1">
      <alignment horizontal="center" vertical="top"/>
    </xf>
    <xf numFmtId="0" fontId="4" fillId="2" borderId="22" xfId="0" applyFont="1" applyFill="1" applyBorder="1" applyAlignment="1">
      <alignment horizontal="center" vertical="top" wrapText="1"/>
    </xf>
    <xf numFmtId="0" fontId="4" fillId="2" borderId="43" xfId="0" applyFont="1" applyFill="1" applyBorder="1" applyAlignment="1">
      <alignment horizontal="center" vertical="top" wrapText="1"/>
    </xf>
    <xf numFmtId="0" fontId="4" fillId="2" borderId="38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1" fillId="31" borderId="10" xfId="0" applyFont="1" applyFill="1" applyBorder="1" applyProtection="1">
      <protection locked="0"/>
    </xf>
    <xf numFmtId="0" fontId="1" fillId="31" borderId="29" xfId="0" applyFont="1" applyFill="1" applyBorder="1" applyProtection="1">
      <protection locked="0"/>
    </xf>
    <xf numFmtId="0" fontId="1" fillId="0" borderId="16" xfId="0" applyFont="1" applyBorder="1" applyProtection="1">
      <protection locked="0"/>
    </xf>
    <xf numFmtId="0" fontId="1" fillId="10" borderId="29" xfId="0" applyFont="1" applyFill="1" applyBorder="1" applyProtection="1">
      <protection locked="0"/>
    </xf>
    <xf numFmtId="0" fontId="33" fillId="24" borderId="19" xfId="0" applyFont="1" applyFill="1" applyBorder="1" applyProtection="1">
      <protection locked="0"/>
    </xf>
    <xf numFmtId="0" fontId="34" fillId="24" borderId="34" xfId="0" applyFont="1" applyFill="1" applyBorder="1" applyAlignment="1">
      <alignment horizontal="center" vertical="top"/>
    </xf>
    <xf numFmtId="0" fontId="1" fillId="10" borderId="19" xfId="0" applyFont="1" applyFill="1" applyBorder="1" applyAlignment="1" applyProtection="1">
      <alignment horizontal="left"/>
      <protection locked="0"/>
    </xf>
    <xf numFmtId="0" fontId="4" fillId="0" borderId="10" xfId="0" applyFont="1" applyBorder="1" applyProtection="1">
      <protection locked="0"/>
    </xf>
    <xf numFmtId="0" fontId="16" fillId="8" borderId="10" xfId="0" applyFont="1" applyFill="1" applyBorder="1" applyProtection="1">
      <protection locked="0"/>
    </xf>
    <xf numFmtId="0" fontId="4" fillId="8" borderId="10" xfId="0" applyFont="1" applyFill="1" applyBorder="1" applyProtection="1">
      <protection locked="0"/>
    </xf>
    <xf numFmtId="0" fontId="16" fillId="10" borderId="10" xfId="0" applyFont="1" applyFill="1" applyBorder="1" applyProtection="1">
      <protection locked="0"/>
    </xf>
    <xf numFmtId="0" fontId="4" fillId="12" borderId="2" xfId="0" applyFont="1" applyFill="1" applyBorder="1" applyAlignment="1">
      <alignment horizontal="center" vertical="top"/>
    </xf>
    <xf numFmtId="0" fontId="4" fillId="12" borderId="26" xfId="0" applyFont="1" applyFill="1" applyBorder="1" applyAlignment="1">
      <alignment horizontal="center" vertical="top"/>
    </xf>
    <xf numFmtId="0" fontId="4" fillId="12" borderId="37" xfId="0" applyFont="1" applyFill="1" applyBorder="1" applyAlignment="1">
      <alignment horizontal="center" vertical="top"/>
    </xf>
    <xf numFmtId="0" fontId="36" fillId="51" borderId="49" xfId="0" applyFont="1" applyFill="1" applyBorder="1" applyProtection="1">
      <protection locked="0"/>
    </xf>
    <xf numFmtId="0" fontId="36" fillId="51" borderId="50" xfId="0" applyFont="1" applyFill="1" applyBorder="1" applyProtection="1">
      <protection locked="0"/>
    </xf>
    <xf numFmtId="0" fontId="36" fillId="52" borderId="49" xfId="0" applyFont="1" applyFill="1" applyBorder="1" applyProtection="1">
      <protection locked="0"/>
    </xf>
    <xf numFmtId="0" fontId="36" fillId="0" borderId="49" xfId="0" applyFont="1" applyBorder="1" applyProtection="1">
      <protection locked="0"/>
    </xf>
    <xf numFmtId="0" fontId="36" fillId="0" borderId="50" xfId="0" applyFont="1" applyBorder="1" applyProtection="1">
      <protection locked="0"/>
    </xf>
    <xf numFmtId="0" fontId="36" fillId="52" borderId="12" xfId="0" applyFont="1" applyFill="1" applyBorder="1" applyProtection="1">
      <protection locked="0"/>
    </xf>
    <xf numFmtId="0" fontId="36" fillId="0" borderId="12" xfId="0" applyFont="1" applyBorder="1" applyProtection="1">
      <protection locked="0"/>
    </xf>
    <xf numFmtId="0" fontId="36" fillId="0" borderId="51" xfId="0" applyFont="1" applyBorder="1" applyProtection="1">
      <protection locked="0"/>
    </xf>
    <xf numFmtId="0" fontId="36" fillId="51" borderId="52" xfId="0" applyFont="1" applyFill="1" applyBorder="1" applyProtection="1">
      <protection locked="0"/>
    </xf>
    <xf numFmtId="0" fontId="36" fillId="0" borderId="52" xfId="0" applyFont="1" applyBorder="1" applyProtection="1">
      <protection locked="0"/>
    </xf>
    <xf numFmtId="0" fontId="36" fillId="0" borderId="53" xfId="0" applyFont="1" applyBorder="1" applyProtection="1">
      <protection locked="0"/>
    </xf>
    <xf numFmtId="0" fontId="36" fillId="52" borderId="54" xfId="0" applyFont="1" applyFill="1" applyBorder="1" applyProtection="1">
      <protection locked="0"/>
    </xf>
    <xf numFmtId="0" fontId="36" fillId="51" borderId="54" xfId="0" applyFont="1" applyFill="1" applyBorder="1" applyProtection="1">
      <protection locked="0"/>
    </xf>
    <xf numFmtId="0" fontId="36" fillId="0" borderId="54" xfId="0" applyFont="1" applyBorder="1" applyProtection="1">
      <protection locked="0"/>
    </xf>
    <xf numFmtId="0" fontId="36" fillId="0" borderId="55" xfId="0" applyFont="1" applyBorder="1" applyProtection="1">
      <protection locked="0"/>
    </xf>
    <xf numFmtId="0" fontId="36" fillId="53" borderId="49" xfId="0" applyFont="1" applyFill="1" applyBorder="1" applyProtection="1">
      <protection locked="0"/>
    </xf>
    <xf numFmtId="0" fontId="4" fillId="0" borderId="19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30" xfId="0" applyFont="1" applyBorder="1" applyAlignment="1" applyProtection="1">
      <alignment horizontal="center"/>
      <protection locked="0"/>
    </xf>
    <xf numFmtId="0" fontId="4" fillId="0" borderId="39" xfId="0" applyFont="1" applyBorder="1" applyAlignment="1" applyProtection="1">
      <alignment horizontal="center"/>
      <protection locked="0"/>
    </xf>
    <xf numFmtId="0" fontId="14" fillId="9" borderId="19" xfId="0" applyFont="1" applyFill="1" applyBorder="1" applyAlignment="1" applyProtection="1">
      <alignment horizontal="center" vertical="center"/>
      <protection locked="0"/>
    </xf>
    <xf numFmtId="1" fontId="2" fillId="0" borderId="46" xfId="0" applyNumberFormat="1" applyFont="1" applyBorder="1" applyAlignment="1" applyProtection="1">
      <alignment horizontal="center"/>
      <protection locked="0"/>
    </xf>
    <xf numFmtId="0" fontId="4" fillId="0" borderId="24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1" fillId="0" borderId="57" xfId="0" applyFont="1" applyBorder="1"/>
    <xf numFmtId="0" fontId="1" fillId="25" borderId="57" xfId="0" applyFont="1" applyFill="1" applyBorder="1"/>
    <xf numFmtId="1" fontId="2" fillId="26" borderId="58" xfId="0" applyNumberFormat="1" applyFont="1" applyFill="1" applyBorder="1" applyProtection="1">
      <protection locked="0"/>
    </xf>
    <xf numFmtId="1" fontId="2" fillId="2" borderId="58" xfId="0" applyNumberFormat="1" applyFont="1" applyFill="1" applyBorder="1" applyProtection="1">
      <protection locked="0"/>
    </xf>
    <xf numFmtId="1" fontId="5" fillId="0" borderId="58" xfId="0" applyNumberFormat="1" applyFont="1" applyBorder="1" applyProtection="1">
      <protection locked="0"/>
    </xf>
    <xf numFmtId="1" fontId="3" fillId="2" borderId="58" xfId="5" applyNumberFormat="1" applyFont="1" applyFill="1" applyBorder="1" applyAlignment="1" applyProtection="1">
      <alignment horizontal="left"/>
      <protection locked="0"/>
    </xf>
    <xf numFmtId="1" fontId="1" fillId="0" borderId="10" xfId="0" applyNumberFormat="1" applyFont="1" applyBorder="1" applyAlignment="1" applyProtection="1">
      <alignment horizontal="center"/>
      <protection locked="0"/>
    </xf>
    <xf numFmtId="0" fontId="1" fillId="8" borderId="22" xfId="0" applyFont="1" applyFill="1" applyBorder="1" applyProtection="1">
      <protection locked="0"/>
    </xf>
    <xf numFmtId="0" fontId="10" fillId="0" borderId="0" xfId="0" applyFont="1" applyProtection="1">
      <protection locked="0"/>
    </xf>
    <xf numFmtId="0" fontId="21" fillId="0" borderId="12" xfId="1" applyFont="1" applyBorder="1" applyAlignment="1" applyProtection="1">
      <alignment horizontal="center"/>
      <protection locked="0"/>
    </xf>
    <xf numFmtId="0" fontId="21" fillId="0" borderId="22" xfId="1" applyFont="1" applyBorder="1" applyAlignment="1" applyProtection="1">
      <alignment horizontal="center"/>
      <protection locked="0"/>
    </xf>
    <xf numFmtId="0" fontId="21" fillId="0" borderId="47" xfId="1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35" fillId="0" borderId="47" xfId="0" applyFont="1" applyBorder="1" applyProtection="1">
      <protection locked="0"/>
    </xf>
    <xf numFmtId="0" fontId="36" fillId="0" borderId="0" xfId="0" applyFont="1" applyProtection="1">
      <protection locked="0"/>
    </xf>
    <xf numFmtId="0" fontId="1" fillId="8" borderId="19" xfId="0" applyFont="1" applyFill="1" applyBorder="1" applyAlignment="1" applyProtection="1">
      <alignment horizontal="left"/>
      <protection locked="0"/>
    </xf>
    <xf numFmtId="0" fontId="36" fillId="8" borderId="49" xfId="0" applyFont="1" applyFill="1" applyBorder="1" applyProtection="1">
      <protection locked="0"/>
    </xf>
    <xf numFmtId="0" fontId="36" fillId="8" borderId="12" xfId="0" applyFont="1" applyFill="1" applyBorder="1" applyProtection="1">
      <protection locked="0"/>
    </xf>
    <xf numFmtId="0" fontId="36" fillId="54" borderId="49" xfId="0" applyFont="1" applyFill="1" applyBorder="1" applyProtection="1">
      <protection locked="0"/>
    </xf>
    <xf numFmtId="0" fontId="36" fillId="8" borderId="0" xfId="0" applyFont="1" applyFill="1" applyProtection="1">
      <protection locked="0"/>
    </xf>
    <xf numFmtId="1" fontId="2" fillId="8" borderId="10" xfId="0" applyNumberFormat="1" applyFont="1" applyFill="1" applyBorder="1" applyAlignment="1" applyProtection="1">
      <alignment horizontal="center"/>
      <protection locked="0"/>
    </xf>
    <xf numFmtId="0" fontId="1" fillId="2" borderId="60" xfId="0" applyFont="1" applyFill="1" applyBorder="1" applyProtection="1">
      <protection locked="0"/>
    </xf>
    <xf numFmtId="1" fontId="2" fillId="0" borderId="60" xfId="0" applyNumberFormat="1" applyFont="1" applyBorder="1" applyAlignment="1" applyProtection="1">
      <alignment horizontal="center"/>
      <protection locked="0"/>
    </xf>
    <xf numFmtId="0" fontId="1" fillId="6" borderId="60" xfId="0" applyFont="1" applyFill="1" applyBorder="1" applyProtection="1">
      <protection locked="0"/>
    </xf>
    <xf numFmtId="0" fontId="1" fillId="0" borderId="60" xfId="0" applyFont="1" applyBorder="1" applyAlignment="1" applyProtection="1">
      <alignment horizontal="center"/>
      <protection locked="0"/>
    </xf>
    <xf numFmtId="0" fontId="35" fillId="0" borderId="60" xfId="0" applyFont="1" applyBorder="1" applyProtection="1">
      <protection locked="0"/>
    </xf>
    <xf numFmtId="0" fontId="36" fillId="15" borderId="60" xfId="0" applyFont="1" applyFill="1" applyBorder="1" applyAlignment="1" applyProtection="1">
      <alignment horizontal="center"/>
      <protection locked="0"/>
    </xf>
    <xf numFmtId="0" fontId="1" fillId="22" borderId="60" xfId="0" applyFont="1" applyFill="1" applyBorder="1" applyProtection="1">
      <protection locked="0"/>
    </xf>
    <xf numFmtId="0" fontId="1" fillId="8" borderId="60" xfId="0" applyFont="1" applyFill="1" applyBorder="1" applyProtection="1">
      <protection locked="0"/>
    </xf>
    <xf numFmtId="0" fontId="2" fillId="0" borderId="65" xfId="0" applyFont="1" applyBorder="1" applyAlignment="1" applyProtection="1">
      <alignment horizontal="center"/>
      <protection locked="0"/>
    </xf>
    <xf numFmtId="164" fontId="2" fillId="0" borderId="65" xfId="0" applyNumberFormat="1" applyFont="1" applyBorder="1" applyAlignment="1" applyProtection="1">
      <alignment horizontal="center"/>
      <protection locked="0"/>
    </xf>
    <xf numFmtId="0" fontId="2" fillId="0" borderId="65" xfId="0" applyFont="1" applyBorder="1"/>
    <xf numFmtId="0" fontId="1" fillId="2" borderId="65" xfId="0" applyFont="1" applyFill="1" applyBorder="1"/>
    <xf numFmtId="0" fontId="2" fillId="3" borderId="66" xfId="0" applyFont="1" applyFill="1" applyBorder="1" applyAlignment="1" applyProtection="1">
      <alignment horizontal="center"/>
      <protection locked="0"/>
    </xf>
    <xf numFmtId="0" fontId="2" fillId="3" borderId="67" xfId="0" applyFont="1" applyFill="1" applyBorder="1" applyAlignment="1" applyProtection="1">
      <alignment horizontal="center"/>
      <protection locked="0"/>
    </xf>
    <xf numFmtId="0" fontId="2" fillId="3" borderId="68" xfId="0" applyFont="1" applyFill="1" applyBorder="1" applyAlignment="1" applyProtection="1">
      <alignment horizontal="center"/>
      <protection locked="0"/>
    </xf>
    <xf numFmtId="0" fontId="2" fillId="3" borderId="65" xfId="0" applyFont="1" applyFill="1" applyBorder="1" applyAlignment="1" applyProtection="1">
      <alignment horizontal="center"/>
      <protection locked="0"/>
    </xf>
    <xf numFmtId="0" fontId="2" fillId="3" borderId="69" xfId="0" applyFont="1" applyFill="1" applyBorder="1" applyAlignment="1" applyProtection="1">
      <alignment horizontal="center"/>
      <protection locked="0"/>
    </xf>
    <xf numFmtId="0" fontId="7" fillId="0" borderId="65" xfId="0" applyFont="1" applyBorder="1" applyProtection="1">
      <protection locked="0"/>
    </xf>
    <xf numFmtId="1" fontId="3" fillId="2" borderId="65" xfId="0" applyNumberFormat="1" applyFont="1" applyFill="1" applyBorder="1" applyProtection="1">
      <protection locked="0"/>
    </xf>
    <xf numFmtId="0" fontId="1" fillId="2" borderId="67" xfId="0" applyFont="1" applyFill="1" applyBorder="1" applyAlignment="1">
      <alignment horizontal="center"/>
    </xf>
    <xf numFmtId="0" fontId="1" fillId="25" borderId="68" xfId="0" applyFont="1" applyFill="1" applyBorder="1"/>
    <xf numFmtId="0" fontId="1" fillId="25" borderId="65" xfId="0" applyFont="1" applyFill="1" applyBorder="1"/>
    <xf numFmtId="0" fontId="1" fillId="25" borderId="69" xfId="0" applyFont="1" applyFill="1" applyBorder="1"/>
    <xf numFmtId="0" fontId="1" fillId="0" borderId="65" xfId="0" applyFont="1" applyBorder="1"/>
    <xf numFmtId="0" fontId="3" fillId="2" borderId="70" xfId="0" applyFont="1" applyFill="1" applyBorder="1"/>
    <xf numFmtId="0" fontId="1" fillId="27" borderId="68" xfId="0" applyFont="1" applyFill="1" applyBorder="1"/>
    <xf numFmtId="0" fontId="1" fillId="27" borderId="65" xfId="0" applyFont="1" applyFill="1" applyBorder="1"/>
    <xf numFmtId="0" fontId="1" fillId="27" borderId="69" xfId="0" applyFont="1" applyFill="1" applyBorder="1"/>
    <xf numFmtId="0" fontId="1" fillId="22" borderId="67" xfId="0" applyFont="1" applyFill="1" applyBorder="1"/>
    <xf numFmtId="0" fontId="1" fillId="22" borderId="70" xfId="0" applyFont="1" applyFill="1" applyBorder="1"/>
    <xf numFmtId="0" fontId="1" fillId="22" borderId="69" xfId="0" applyFont="1" applyFill="1" applyBorder="1"/>
    <xf numFmtId="0" fontId="1" fillId="29" borderId="65" xfId="0" applyFont="1" applyFill="1" applyBorder="1"/>
    <xf numFmtId="0" fontId="1" fillId="29" borderId="69" xfId="0" applyFont="1" applyFill="1" applyBorder="1"/>
    <xf numFmtId="0" fontId="1" fillId="2" borderId="69" xfId="0" applyFont="1" applyFill="1" applyBorder="1"/>
    <xf numFmtId="0" fontId="1" fillId="24" borderId="68" xfId="0" applyFont="1" applyFill="1" applyBorder="1"/>
    <xf numFmtId="0" fontId="1" fillId="24" borderId="65" xfId="0" applyFont="1" applyFill="1" applyBorder="1"/>
    <xf numFmtId="0" fontId="1" fillId="24" borderId="69" xfId="0" applyFont="1" applyFill="1" applyBorder="1"/>
    <xf numFmtId="1" fontId="2" fillId="2" borderId="70" xfId="0" applyNumberFormat="1" applyFont="1" applyFill="1" applyBorder="1" applyProtection="1">
      <protection locked="0"/>
    </xf>
    <xf numFmtId="0" fontId="1" fillId="2" borderId="68" xfId="0" applyFont="1" applyFill="1" applyBorder="1"/>
    <xf numFmtId="1" fontId="3" fillId="2" borderId="70" xfId="0" applyNumberFormat="1" applyFont="1" applyFill="1" applyBorder="1" applyProtection="1">
      <protection locked="0"/>
    </xf>
    <xf numFmtId="1" fontId="3" fillId="2" borderId="67" xfId="0" applyNumberFormat="1" applyFont="1" applyFill="1" applyBorder="1" applyProtection="1">
      <protection locked="0"/>
    </xf>
    <xf numFmtId="0" fontId="1" fillId="29" borderId="68" xfId="0" applyFont="1" applyFill="1" applyBorder="1"/>
    <xf numFmtId="0" fontId="1" fillId="23" borderId="65" xfId="0" applyFont="1" applyFill="1" applyBorder="1"/>
    <xf numFmtId="0" fontId="3" fillId="2" borderId="67" xfId="0" applyFont="1" applyFill="1" applyBorder="1"/>
    <xf numFmtId="0" fontId="1" fillId="29" borderId="71" xfId="0" applyFont="1" applyFill="1" applyBorder="1"/>
    <xf numFmtId="0" fontId="1" fillId="2" borderId="71" xfId="0" applyFont="1" applyFill="1" applyBorder="1"/>
    <xf numFmtId="0" fontId="1" fillId="0" borderId="68" xfId="0" applyFont="1" applyBorder="1"/>
    <xf numFmtId="0" fontId="1" fillId="9" borderId="65" xfId="0" applyFont="1" applyFill="1" applyBorder="1"/>
    <xf numFmtId="0" fontId="1" fillId="9" borderId="71" xfId="0" applyFont="1" applyFill="1" applyBorder="1"/>
    <xf numFmtId="0" fontId="1" fillId="31" borderId="65" xfId="0" applyFont="1" applyFill="1" applyBorder="1"/>
    <xf numFmtId="0" fontId="1" fillId="31" borderId="71" xfId="0" applyFont="1" applyFill="1" applyBorder="1"/>
    <xf numFmtId="0" fontId="1" fillId="28" borderId="65" xfId="0" applyFont="1" applyFill="1" applyBorder="1"/>
    <xf numFmtId="0" fontId="1" fillId="22" borderId="68" xfId="0" applyFont="1" applyFill="1" applyBorder="1"/>
    <xf numFmtId="0" fontId="1" fillId="22" borderId="65" xfId="0" applyFont="1" applyFill="1" applyBorder="1"/>
    <xf numFmtId="0" fontId="1" fillId="30" borderId="65" xfId="0" applyFont="1" applyFill="1" applyBorder="1"/>
    <xf numFmtId="0" fontId="25" fillId="29" borderId="68" xfId="0" applyFont="1" applyFill="1" applyBorder="1"/>
    <xf numFmtId="0" fontId="1" fillId="23" borderId="68" xfId="0" applyFont="1" applyFill="1" applyBorder="1"/>
    <xf numFmtId="0" fontId="1" fillId="36" borderId="65" xfId="0" applyFont="1" applyFill="1" applyBorder="1"/>
    <xf numFmtId="0" fontId="1" fillId="23" borderId="71" xfId="0" applyFont="1" applyFill="1" applyBorder="1"/>
    <xf numFmtId="0" fontId="1" fillId="24" borderId="71" xfId="0" applyFont="1" applyFill="1" applyBorder="1"/>
    <xf numFmtId="0" fontId="3" fillId="26" borderId="67" xfId="0" applyFont="1" applyFill="1" applyBorder="1"/>
    <xf numFmtId="0" fontId="1" fillId="30" borderId="71" xfId="0" applyFont="1" applyFill="1" applyBorder="1"/>
    <xf numFmtId="0" fontId="2" fillId="26" borderId="70" xfId="0" applyFont="1" applyFill="1" applyBorder="1"/>
    <xf numFmtId="0" fontId="1" fillId="29" borderId="67" xfId="0" applyFont="1" applyFill="1" applyBorder="1"/>
    <xf numFmtId="0" fontId="1" fillId="29" borderId="70" xfId="0" applyFont="1" applyFill="1" applyBorder="1"/>
    <xf numFmtId="0" fontId="1" fillId="23" borderId="67" xfId="0" applyFont="1" applyFill="1" applyBorder="1"/>
    <xf numFmtId="0" fontId="1" fillId="23" borderId="70" xfId="0" applyFont="1" applyFill="1" applyBorder="1"/>
    <xf numFmtId="0" fontId="1" fillId="23" borderId="69" xfId="0" applyFont="1" applyFill="1" applyBorder="1"/>
    <xf numFmtId="1" fontId="3" fillId="26" borderId="67" xfId="0" applyNumberFormat="1" applyFont="1" applyFill="1" applyBorder="1" applyProtection="1">
      <protection locked="0"/>
    </xf>
    <xf numFmtId="0" fontId="1" fillId="32" borderId="65" xfId="0" applyFont="1" applyFill="1" applyBorder="1"/>
    <xf numFmtId="0" fontId="1" fillId="32" borderId="69" xfId="0" applyFont="1" applyFill="1" applyBorder="1"/>
    <xf numFmtId="0" fontId="1" fillId="2" borderId="67" xfId="0" applyFont="1" applyFill="1" applyBorder="1"/>
    <xf numFmtId="0" fontId="1" fillId="2" borderId="70" xfId="0" applyFont="1" applyFill="1" applyBorder="1"/>
    <xf numFmtId="0" fontId="1" fillId="24" borderId="67" xfId="0" applyFont="1" applyFill="1" applyBorder="1"/>
    <xf numFmtId="0" fontId="1" fillId="24" borderId="70" xfId="0" applyFont="1" applyFill="1" applyBorder="1"/>
    <xf numFmtId="0" fontId="2" fillId="3" borderId="70" xfId="0" applyFont="1" applyFill="1" applyBorder="1" applyAlignment="1" applyProtection="1">
      <alignment horizontal="center"/>
      <protection locked="0"/>
    </xf>
    <xf numFmtId="0" fontId="1" fillId="3" borderId="65" xfId="0" applyFont="1" applyFill="1" applyBorder="1"/>
    <xf numFmtId="0" fontId="1" fillId="31" borderId="68" xfId="0" applyFont="1" applyFill="1" applyBorder="1"/>
    <xf numFmtId="0" fontId="1" fillId="9" borderId="68" xfId="0" applyFont="1" applyFill="1" applyBorder="1"/>
    <xf numFmtId="0" fontId="1" fillId="33" borderId="68" xfId="0" applyFont="1" applyFill="1" applyBorder="1"/>
    <xf numFmtId="0" fontId="1" fillId="33" borderId="65" xfId="0" applyFont="1" applyFill="1" applyBorder="1"/>
    <xf numFmtId="0" fontId="1" fillId="22" borderId="71" xfId="0" applyFont="1" applyFill="1" applyBorder="1"/>
    <xf numFmtId="0" fontId="1" fillId="2" borderId="65" xfId="0" applyFont="1" applyFill="1" applyBorder="1" applyAlignment="1">
      <alignment horizontal="center"/>
    </xf>
    <xf numFmtId="0" fontId="2" fillId="2" borderId="67" xfId="0" applyFont="1" applyFill="1" applyBorder="1"/>
    <xf numFmtId="0" fontId="1" fillId="29" borderId="65" xfId="0" applyFont="1" applyFill="1" applyBorder="1" applyAlignment="1">
      <alignment horizontal="left"/>
    </xf>
    <xf numFmtId="0" fontId="1" fillId="0" borderId="69" xfId="0" applyFont="1" applyBorder="1"/>
    <xf numFmtId="0" fontId="1" fillId="2" borderId="68" xfId="0" applyFont="1" applyFill="1" applyBorder="1" applyAlignment="1">
      <alignment horizontal="left"/>
    </xf>
    <xf numFmtId="0" fontId="1" fillId="2" borderId="65" xfId="0" applyFont="1" applyFill="1" applyBorder="1" applyAlignment="1">
      <alignment horizontal="left"/>
    </xf>
    <xf numFmtId="0" fontId="1" fillId="2" borderId="69" xfId="0" applyFont="1" applyFill="1" applyBorder="1" applyAlignment="1">
      <alignment horizontal="left"/>
    </xf>
    <xf numFmtId="0" fontId="1" fillId="15" borderId="65" xfId="0" applyFont="1" applyFill="1" applyBorder="1" applyAlignment="1">
      <alignment horizontal="left"/>
    </xf>
    <xf numFmtId="0" fontId="1" fillId="29" borderId="69" xfId="0" applyFont="1" applyFill="1" applyBorder="1" applyAlignment="1">
      <alignment horizontal="left"/>
    </xf>
    <xf numFmtId="0" fontId="1" fillId="25" borderId="65" xfId="0" applyFont="1" applyFill="1" applyBorder="1" applyAlignment="1">
      <alignment horizontal="left"/>
    </xf>
    <xf numFmtId="0" fontId="1" fillId="24" borderId="65" xfId="0" applyFont="1" applyFill="1" applyBorder="1" applyAlignment="1">
      <alignment horizontal="left"/>
    </xf>
    <xf numFmtId="0" fontId="1" fillId="24" borderId="69" xfId="0" applyFont="1" applyFill="1" applyBorder="1" applyAlignment="1">
      <alignment horizontal="left"/>
    </xf>
    <xf numFmtId="0" fontId="1" fillId="24" borderId="68" xfId="0" applyFont="1" applyFill="1" applyBorder="1" applyAlignment="1">
      <alignment horizontal="left"/>
    </xf>
    <xf numFmtId="0" fontId="1" fillId="2" borderId="71" xfId="0" applyFont="1" applyFill="1" applyBorder="1" applyAlignment="1">
      <alignment horizontal="left"/>
    </xf>
    <xf numFmtId="0" fontId="1" fillId="29" borderId="68" xfId="0" applyFont="1" applyFill="1" applyBorder="1" applyAlignment="1">
      <alignment horizontal="left"/>
    </xf>
    <xf numFmtId="0" fontId="1" fillId="29" borderId="71" xfId="0" applyFont="1" applyFill="1" applyBorder="1" applyAlignment="1">
      <alignment horizontal="left"/>
    </xf>
    <xf numFmtId="0" fontId="1" fillId="24" borderId="71" xfId="0" applyFont="1" applyFill="1" applyBorder="1" applyAlignment="1">
      <alignment horizontal="left"/>
    </xf>
    <xf numFmtId="0" fontId="1" fillId="31" borderId="65" xfId="0" applyFont="1" applyFill="1" applyBorder="1" applyAlignment="1">
      <alignment horizontal="left"/>
    </xf>
    <xf numFmtId="0" fontId="1" fillId="2" borderId="67" xfId="0" applyFont="1" applyFill="1" applyBorder="1" applyAlignment="1">
      <alignment horizontal="left"/>
    </xf>
    <xf numFmtId="0" fontId="1" fillId="15" borderId="65" xfId="0" applyFont="1" applyFill="1" applyBorder="1"/>
    <xf numFmtId="1" fontId="2" fillId="2" borderId="65" xfId="0" applyNumberFormat="1" applyFont="1" applyFill="1" applyBorder="1" applyProtection="1">
      <protection locked="0"/>
    </xf>
    <xf numFmtId="0" fontId="1" fillId="2" borderId="70" xfId="0" applyFont="1" applyFill="1" applyBorder="1" applyAlignment="1">
      <alignment horizontal="center"/>
    </xf>
    <xf numFmtId="1" fontId="2" fillId="4" borderId="66" xfId="0" applyNumberFormat="1" applyFont="1" applyFill="1" applyBorder="1" applyAlignment="1" applyProtection="1">
      <alignment horizontal="center"/>
      <protection locked="0"/>
    </xf>
    <xf numFmtId="1" fontId="2" fillId="4" borderId="68" xfId="0" applyNumberFormat="1" applyFont="1" applyFill="1" applyBorder="1" applyProtection="1">
      <protection locked="0"/>
    </xf>
    <xf numFmtId="1" fontId="2" fillId="4" borderId="65" xfId="0" applyNumberFormat="1" applyFont="1" applyFill="1" applyBorder="1" applyProtection="1">
      <protection locked="0"/>
    </xf>
    <xf numFmtId="1" fontId="2" fillId="4" borderId="69" xfId="0" applyNumberFormat="1" applyFont="1" applyFill="1" applyBorder="1" applyProtection="1">
      <protection locked="0"/>
    </xf>
    <xf numFmtId="1" fontId="2" fillId="2" borderId="66" xfId="0" applyNumberFormat="1" applyFont="1" applyFill="1" applyBorder="1" applyProtection="1">
      <protection locked="0"/>
    </xf>
    <xf numFmtId="0" fontId="1" fillId="12" borderId="65" xfId="0" applyFont="1" applyFill="1" applyBorder="1"/>
    <xf numFmtId="0" fontId="7" fillId="5" borderId="68" xfId="0" applyFont="1" applyFill="1" applyBorder="1" applyProtection="1">
      <protection locked="0"/>
    </xf>
    <xf numFmtId="0" fontId="7" fillId="5" borderId="65" xfId="0" applyFont="1" applyFill="1" applyBorder="1" applyProtection="1">
      <protection locked="0"/>
    </xf>
    <xf numFmtId="0" fontId="7" fillId="5" borderId="69" xfId="0" applyFont="1" applyFill="1" applyBorder="1" applyProtection="1">
      <protection locked="0"/>
    </xf>
    <xf numFmtId="0" fontId="1" fillId="0" borderId="65" xfId="0" applyFont="1" applyBorder="1" applyAlignment="1">
      <alignment horizontal="center"/>
    </xf>
    <xf numFmtId="0" fontId="16" fillId="22" borderId="65" xfId="0" applyFont="1" applyFill="1" applyBorder="1"/>
    <xf numFmtId="49" fontId="16" fillId="22" borderId="65" xfId="0" applyNumberFormat="1" applyFont="1" applyFill="1" applyBorder="1"/>
    <xf numFmtId="0" fontId="4" fillId="12" borderId="65" xfId="0" applyFont="1" applyFill="1" applyBorder="1"/>
    <xf numFmtId="0" fontId="16" fillId="2" borderId="65" xfId="0" applyFont="1" applyFill="1" applyBorder="1"/>
    <xf numFmtId="0" fontId="4" fillId="2" borderId="65" xfId="0" applyFont="1" applyFill="1" applyBorder="1"/>
    <xf numFmtId="49" fontId="16" fillId="2" borderId="65" xfId="0" applyNumberFormat="1" applyFont="1" applyFill="1" applyBorder="1"/>
    <xf numFmtId="0" fontId="16" fillId="0" borderId="65" xfId="0" applyFont="1" applyBorder="1"/>
    <xf numFmtId="0" fontId="16" fillId="39" borderId="65" xfId="0" applyFont="1" applyFill="1" applyBorder="1"/>
    <xf numFmtId="0" fontId="14" fillId="15" borderId="65" xfId="0" applyFont="1" applyFill="1" applyBorder="1"/>
    <xf numFmtId="49" fontId="16" fillId="39" borderId="65" xfId="0" applyNumberFormat="1" applyFont="1" applyFill="1" applyBorder="1"/>
    <xf numFmtId="49" fontId="16" fillId="0" borderId="65" xfId="0" applyNumberFormat="1" applyFont="1" applyBorder="1"/>
    <xf numFmtId="0" fontId="4" fillId="22" borderId="65" xfId="0" applyFont="1" applyFill="1" applyBorder="1"/>
    <xf numFmtId="0" fontId="1" fillId="8" borderId="65" xfId="0" applyFont="1" applyFill="1" applyBorder="1" applyAlignment="1">
      <alignment horizontal="center"/>
    </xf>
    <xf numFmtId="0" fontId="16" fillId="40" borderId="65" xfId="0" applyFont="1" applyFill="1" applyBorder="1"/>
    <xf numFmtId="49" fontId="16" fillId="40" borderId="65" xfId="0" applyNumberFormat="1" applyFont="1" applyFill="1" applyBorder="1"/>
    <xf numFmtId="49" fontId="24" fillId="2" borderId="65" xfId="0" applyNumberFormat="1" applyFont="1" applyFill="1" applyBorder="1"/>
    <xf numFmtId="49" fontId="26" fillId="2" borderId="65" xfId="0" applyNumberFormat="1" applyFont="1" applyFill="1" applyBorder="1" applyAlignment="1">
      <alignment vertical="center"/>
    </xf>
    <xf numFmtId="0" fontId="14" fillId="39" borderId="65" xfId="0" applyFont="1" applyFill="1" applyBorder="1"/>
    <xf numFmtId="0" fontId="16" fillId="41" borderId="65" xfId="0" applyFont="1" applyFill="1" applyBorder="1"/>
    <xf numFmtId="0" fontId="14" fillId="41" borderId="65" xfId="0" applyFont="1" applyFill="1" applyBorder="1"/>
    <xf numFmtId="0" fontId="14" fillId="2" borderId="65" xfId="0" applyFont="1" applyFill="1" applyBorder="1"/>
    <xf numFmtId="0" fontId="26" fillId="2" borderId="65" xfId="0" applyFont="1" applyFill="1" applyBorder="1"/>
    <xf numFmtId="49" fontId="23" fillId="2" borderId="65" xfId="0" applyNumberFormat="1" applyFont="1" applyFill="1" applyBorder="1"/>
    <xf numFmtId="0" fontId="16" fillId="12" borderId="65" xfId="0" applyFont="1" applyFill="1" applyBorder="1"/>
    <xf numFmtId="49" fontId="27" fillId="39" borderId="65" xfId="0" applyNumberFormat="1" applyFont="1" applyFill="1" applyBorder="1"/>
    <xf numFmtId="49" fontId="27" fillId="2" borderId="65" xfId="0" applyNumberFormat="1" applyFont="1" applyFill="1" applyBorder="1"/>
    <xf numFmtId="0" fontId="23" fillId="2" borderId="65" xfId="0" applyFont="1" applyFill="1" applyBorder="1"/>
    <xf numFmtId="0" fontId="1" fillId="7" borderId="65" xfId="0" applyFont="1" applyFill="1" applyBorder="1" applyProtection="1">
      <protection locked="0"/>
    </xf>
    <xf numFmtId="0" fontId="4" fillId="0" borderId="65" xfId="0" applyFont="1" applyBorder="1"/>
    <xf numFmtId="0" fontId="18" fillId="2" borderId="65" xfId="0" applyFont="1" applyFill="1" applyBorder="1"/>
    <xf numFmtId="49" fontId="16" fillId="25" borderId="65" xfId="0" applyNumberFormat="1" applyFont="1" applyFill="1" applyBorder="1"/>
    <xf numFmtId="0" fontId="4" fillId="39" borderId="65" xfId="0" applyFont="1" applyFill="1" applyBorder="1"/>
    <xf numFmtId="0" fontId="28" fillId="2" borderId="65" xfId="0" applyFont="1" applyFill="1" applyBorder="1"/>
    <xf numFmtId="0" fontId="29" fillId="2" borderId="65" xfId="0" applyFont="1" applyFill="1" applyBorder="1"/>
    <xf numFmtId="49" fontId="29" fillId="2" borderId="65" xfId="0" applyNumberFormat="1" applyFont="1" applyFill="1" applyBorder="1"/>
    <xf numFmtId="0" fontId="3" fillId="2" borderId="65" xfId="5" applyFont="1" applyFill="1" applyBorder="1" applyAlignment="1">
      <alignment horizontal="left"/>
    </xf>
    <xf numFmtId="0" fontId="4" fillId="2" borderId="65" xfId="0" applyFont="1" applyFill="1" applyBorder="1" applyAlignment="1">
      <alignment horizontal="center"/>
    </xf>
    <xf numFmtId="0" fontId="1" fillId="42" borderId="65" xfId="0" applyFont="1" applyFill="1" applyBorder="1"/>
    <xf numFmtId="0" fontId="14" fillId="43" borderId="65" xfId="0" applyFont="1" applyFill="1" applyBorder="1"/>
    <xf numFmtId="1" fontId="3" fillId="2" borderId="65" xfId="5" applyNumberFormat="1" applyFont="1" applyFill="1" applyBorder="1" applyAlignment="1">
      <alignment horizontal="left"/>
    </xf>
    <xf numFmtId="0" fontId="1" fillId="37" borderId="65" xfId="0" applyFont="1" applyFill="1" applyBorder="1"/>
    <xf numFmtId="0" fontId="14" fillId="9" borderId="65" xfId="0" applyFont="1" applyFill="1" applyBorder="1"/>
    <xf numFmtId="0" fontId="10" fillId="9" borderId="65" xfId="0" applyFont="1" applyFill="1" applyBorder="1" applyAlignment="1">
      <alignment horizontal="left"/>
    </xf>
    <xf numFmtId="16" fontId="1" fillId="8" borderId="65" xfId="0" applyNumberFormat="1" applyFont="1" applyFill="1" applyBorder="1" applyAlignment="1">
      <alignment horizontal="center"/>
    </xf>
    <xf numFmtId="0" fontId="1" fillId="0" borderId="70" xfId="0" applyFont="1" applyBorder="1"/>
    <xf numFmtId="1" fontId="5" fillId="8" borderId="70" xfId="0" applyNumberFormat="1" applyFont="1" applyFill="1" applyBorder="1" applyProtection="1">
      <protection locked="0"/>
    </xf>
    <xf numFmtId="1" fontId="2" fillId="8" borderId="65" xfId="0" applyNumberFormat="1" applyFont="1" applyFill="1" applyBorder="1" applyAlignment="1" applyProtection="1">
      <alignment horizontal="center"/>
      <protection locked="0"/>
    </xf>
    <xf numFmtId="0" fontId="1" fillId="8" borderId="65" xfId="0" applyFont="1" applyFill="1" applyBorder="1"/>
    <xf numFmtId="0" fontId="1" fillId="8" borderId="70" xfId="0" applyFont="1" applyFill="1" applyBorder="1"/>
    <xf numFmtId="1" fontId="1" fillId="0" borderId="65" xfId="0" applyNumberFormat="1" applyFont="1" applyBorder="1" applyAlignment="1" applyProtection="1">
      <alignment horizontal="center"/>
      <protection locked="0"/>
    </xf>
    <xf numFmtId="0" fontId="1" fillId="44" borderId="65" xfId="2" applyFont="1" applyFill="1" applyBorder="1"/>
    <xf numFmtId="0" fontId="1" fillId="48" borderId="65" xfId="0" applyFont="1" applyFill="1" applyBorder="1"/>
    <xf numFmtId="0" fontId="1" fillId="10" borderId="65" xfId="0" applyFont="1" applyFill="1" applyBorder="1"/>
    <xf numFmtId="0" fontId="1" fillId="49" borderId="65" xfId="0" applyFont="1" applyFill="1" applyBorder="1"/>
    <xf numFmtId="0" fontId="1" fillId="38" borderId="65" xfId="0" applyFont="1" applyFill="1" applyBorder="1"/>
    <xf numFmtId="0" fontId="30" fillId="0" borderId="66" xfId="0" applyFont="1" applyBorder="1"/>
    <xf numFmtId="0" fontId="1" fillId="45" borderId="65" xfId="0" applyFont="1" applyFill="1" applyBorder="1"/>
    <xf numFmtId="0" fontId="1" fillId="50" borderId="65" xfId="2" applyFont="1" applyFill="1" applyBorder="1"/>
    <xf numFmtId="0" fontId="31" fillId="48" borderId="65" xfId="0" applyFont="1" applyFill="1" applyBorder="1"/>
    <xf numFmtId="1" fontId="5" fillId="0" borderId="65" xfId="0" applyNumberFormat="1" applyFont="1" applyBorder="1" applyProtection="1">
      <protection locked="0"/>
    </xf>
    <xf numFmtId="1" fontId="2" fillId="0" borderId="65" xfId="0" applyNumberFormat="1" applyFont="1" applyBorder="1" applyAlignment="1" applyProtection="1">
      <alignment horizontal="center"/>
      <protection locked="0"/>
    </xf>
    <xf numFmtId="0" fontId="21" fillId="0" borderId="65" xfId="1" applyFont="1" applyBorder="1" applyAlignment="1">
      <alignment horizontal="center"/>
    </xf>
    <xf numFmtId="1" fontId="5" fillId="0" borderId="70" xfId="0" applyNumberFormat="1" applyFont="1" applyBorder="1" applyProtection="1">
      <protection locked="0"/>
    </xf>
    <xf numFmtId="1" fontId="2" fillId="0" borderId="70" xfId="0" applyNumberFormat="1" applyFont="1" applyBorder="1" applyProtection="1">
      <protection locked="0"/>
    </xf>
    <xf numFmtId="0" fontId="1" fillId="47" borderId="65" xfId="0" applyFont="1" applyFill="1" applyBorder="1" applyAlignment="1">
      <alignment horizontal="center"/>
    </xf>
    <xf numFmtId="0" fontId="2" fillId="2" borderId="70" xfId="0" applyFont="1" applyFill="1" applyBorder="1"/>
    <xf numFmtId="0" fontId="2" fillId="2" borderId="70" xfId="0" applyFont="1" applyFill="1" applyBorder="1" applyAlignment="1">
      <alignment vertical="center"/>
    </xf>
    <xf numFmtId="0" fontId="2" fillId="0" borderId="67" xfId="0" applyFont="1" applyBorder="1"/>
    <xf numFmtId="0" fontId="1" fillId="12" borderId="65" xfId="0" applyFont="1" applyFill="1" applyBorder="1" applyAlignment="1">
      <alignment horizontal="center"/>
    </xf>
    <xf numFmtId="0" fontId="1" fillId="21" borderId="65" xfId="0" applyFont="1" applyFill="1" applyBorder="1" applyAlignment="1">
      <alignment horizontal="center"/>
    </xf>
    <xf numFmtId="0" fontId="1" fillId="10" borderId="65" xfId="0" applyFont="1" applyFill="1" applyBorder="1" applyAlignment="1">
      <alignment horizontal="center"/>
    </xf>
    <xf numFmtId="0" fontId="1" fillId="34" borderId="65" xfId="0" applyFont="1" applyFill="1" applyBorder="1" applyAlignment="1">
      <alignment horizontal="center"/>
    </xf>
    <xf numFmtId="0" fontId="1" fillId="35" borderId="65" xfId="0" applyFont="1" applyFill="1" applyBorder="1" applyAlignment="1">
      <alignment horizontal="center"/>
    </xf>
    <xf numFmtId="0" fontId="1" fillId="23" borderId="65" xfId="0" applyFont="1" applyFill="1" applyBorder="1" applyAlignment="1">
      <alignment horizontal="center"/>
    </xf>
    <xf numFmtId="0" fontId="1" fillId="32" borderId="65" xfId="0" applyFont="1" applyFill="1" applyBorder="1" applyAlignment="1">
      <alignment horizontal="center"/>
    </xf>
    <xf numFmtId="0" fontId="1" fillId="0" borderId="66" xfId="0" applyFont="1" applyBorder="1"/>
    <xf numFmtId="0" fontId="2" fillId="0" borderId="67" xfId="0" applyFont="1" applyBorder="1" applyAlignment="1">
      <alignment horizontal="center"/>
    </xf>
    <xf numFmtId="0" fontId="3" fillId="0" borderId="66" xfId="0" applyFont="1" applyBorder="1" applyProtection="1">
      <protection locked="0"/>
    </xf>
    <xf numFmtId="0" fontId="2" fillId="3" borderId="71" xfId="0" applyFont="1" applyFill="1" applyBorder="1" applyAlignment="1" applyProtection="1">
      <alignment horizontal="center"/>
      <protection locked="0"/>
    </xf>
    <xf numFmtId="0" fontId="2" fillId="9" borderId="66" xfId="0" applyFont="1" applyFill="1" applyBorder="1" applyAlignment="1" applyProtection="1">
      <alignment horizontal="left" vertical="center"/>
      <protection locked="0"/>
    </xf>
    <xf numFmtId="1" fontId="3" fillId="2" borderId="66" xfId="0" applyNumberFormat="1" applyFont="1" applyFill="1" applyBorder="1" applyAlignment="1" applyProtection="1">
      <alignment vertical="center"/>
      <protection locked="0"/>
    </xf>
    <xf numFmtId="0" fontId="14" fillId="0" borderId="71" xfId="0" applyFont="1" applyBorder="1" applyAlignment="1" applyProtection="1">
      <alignment vertical="center"/>
      <protection locked="0"/>
    </xf>
    <xf numFmtId="0" fontId="4" fillId="10" borderId="66" xfId="0" applyFont="1" applyFill="1" applyBorder="1" applyAlignment="1">
      <alignment horizontal="center" vertical="top"/>
    </xf>
    <xf numFmtId="0" fontId="4" fillId="2" borderId="65" xfId="0" applyFont="1" applyFill="1" applyBorder="1" applyAlignment="1">
      <alignment horizontal="center" vertical="top"/>
    </xf>
    <xf numFmtId="0" fontId="4" fillId="2" borderId="69" xfId="0" applyFont="1" applyFill="1" applyBorder="1" applyAlignment="1">
      <alignment horizontal="center" vertical="top"/>
    </xf>
    <xf numFmtId="0" fontId="14" fillId="0" borderId="71" xfId="0" applyFont="1" applyBorder="1" applyAlignment="1" applyProtection="1">
      <alignment vertical="center" wrapText="1"/>
      <protection locked="0"/>
    </xf>
    <xf numFmtId="0" fontId="4" fillId="8" borderId="66" xfId="0" applyFont="1" applyFill="1" applyBorder="1" applyAlignment="1">
      <alignment horizontal="center" vertical="top"/>
    </xf>
    <xf numFmtId="0" fontId="3" fillId="2" borderId="66" xfId="0" applyFont="1" applyFill="1" applyBorder="1" applyAlignment="1" applyProtection="1">
      <alignment vertical="center"/>
      <protection locked="0"/>
    </xf>
    <xf numFmtId="0" fontId="4" fillId="13" borderId="66" xfId="0" applyFont="1" applyFill="1" applyBorder="1" applyAlignment="1">
      <alignment horizontal="center" vertical="top"/>
    </xf>
    <xf numFmtId="0" fontId="14" fillId="15" borderId="71" xfId="0" applyFont="1" applyFill="1" applyBorder="1" applyAlignment="1" applyProtection="1">
      <alignment vertical="center"/>
      <protection locked="0"/>
    </xf>
    <xf numFmtId="0" fontId="4" fillId="20" borderId="66" xfId="0" applyFont="1" applyFill="1" applyBorder="1" applyAlignment="1">
      <alignment horizontal="center" vertical="top"/>
    </xf>
    <xf numFmtId="0" fontId="1" fillId="0" borderId="71" xfId="0" applyFont="1" applyBorder="1" applyAlignment="1" applyProtection="1">
      <alignment vertical="center"/>
      <protection locked="0"/>
    </xf>
    <xf numFmtId="16" fontId="14" fillId="0" borderId="71" xfId="0" applyNumberFormat="1" applyFont="1" applyBorder="1" applyAlignment="1" applyProtection="1">
      <alignment vertical="center" wrapText="1"/>
      <protection locked="0"/>
    </xf>
    <xf numFmtId="0" fontId="4" fillId="17" borderId="66" xfId="0" applyFont="1" applyFill="1" applyBorder="1" applyAlignment="1">
      <alignment horizontal="center" vertical="top"/>
    </xf>
    <xf numFmtId="0" fontId="10" fillId="9" borderId="66" xfId="0" applyFont="1" applyFill="1" applyBorder="1" applyAlignment="1" applyProtection="1">
      <alignment vertical="center"/>
      <protection locked="0"/>
    </xf>
    <xf numFmtId="0" fontId="14" fillId="2" borderId="71" xfId="0" applyFont="1" applyFill="1" applyBorder="1" applyAlignment="1" applyProtection="1">
      <alignment vertical="center" wrapText="1"/>
      <protection locked="0"/>
    </xf>
    <xf numFmtId="0" fontId="3" fillId="0" borderId="66" xfId="0" applyFont="1" applyBorder="1" applyAlignment="1" applyProtection="1">
      <alignment vertical="center"/>
      <protection locked="0"/>
    </xf>
    <xf numFmtId="0" fontId="2" fillId="2" borderId="66" xfId="0" applyFont="1" applyFill="1" applyBorder="1" applyProtection="1">
      <protection locked="0"/>
    </xf>
    <xf numFmtId="0" fontId="14" fillId="15" borderId="71" xfId="0" applyFont="1" applyFill="1" applyBorder="1" applyAlignment="1" applyProtection="1">
      <alignment wrapText="1"/>
      <protection locked="0"/>
    </xf>
    <xf numFmtId="0" fontId="1" fillId="0" borderId="71" xfId="0" applyFont="1" applyBorder="1" applyAlignment="1" applyProtection="1">
      <alignment vertical="center" wrapText="1"/>
      <protection locked="0"/>
    </xf>
    <xf numFmtId="0" fontId="1" fillId="9" borderId="71" xfId="0" applyFont="1" applyFill="1" applyBorder="1" applyAlignment="1" applyProtection="1">
      <alignment vertical="center"/>
      <protection locked="0"/>
    </xf>
    <xf numFmtId="0" fontId="2" fillId="3" borderId="66" xfId="0" applyFont="1" applyFill="1" applyBorder="1" applyAlignment="1" applyProtection="1">
      <alignment horizontal="center" vertical="center"/>
      <protection locked="0"/>
    </xf>
    <xf numFmtId="0" fontId="2" fillId="3" borderId="71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vertical="center"/>
      <protection locked="0"/>
    </xf>
    <xf numFmtId="0" fontId="4" fillId="2" borderId="64" xfId="0" applyFont="1" applyFill="1" applyBorder="1" applyAlignment="1">
      <alignment horizontal="center" vertical="top" wrapText="1"/>
    </xf>
    <xf numFmtId="0" fontId="4" fillId="10" borderId="67" xfId="0" applyFont="1" applyFill="1" applyBorder="1" applyAlignment="1">
      <alignment horizontal="center" vertical="top"/>
    </xf>
    <xf numFmtId="0" fontId="4" fillId="2" borderId="68" xfId="0" applyFont="1" applyFill="1" applyBorder="1" applyAlignment="1">
      <alignment horizontal="center" vertical="top"/>
    </xf>
    <xf numFmtId="0" fontId="14" fillId="19" borderId="67" xfId="0" applyFont="1" applyFill="1" applyBorder="1" applyAlignment="1">
      <alignment horizontal="center" vertical="top"/>
    </xf>
    <xf numFmtId="0" fontId="4" fillId="13" borderId="67" xfId="0" applyFont="1" applyFill="1" applyBorder="1" applyAlignment="1">
      <alignment horizontal="center" vertical="top"/>
    </xf>
    <xf numFmtId="0" fontId="2" fillId="2" borderId="66" xfId="0" applyFont="1" applyFill="1" applyBorder="1" applyAlignment="1" applyProtection="1">
      <alignment horizontal="left" vertical="center"/>
      <protection locked="0"/>
    </xf>
    <xf numFmtId="0" fontId="4" fillId="20" borderId="67" xfId="0" applyFont="1" applyFill="1" applyBorder="1" applyAlignment="1">
      <alignment horizontal="center" vertical="top"/>
    </xf>
    <xf numFmtId="0" fontId="4" fillId="17" borderId="67" xfId="0" applyFont="1" applyFill="1" applyBorder="1" applyAlignment="1">
      <alignment horizontal="center" vertical="top"/>
    </xf>
    <xf numFmtId="0" fontId="1" fillId="8" borderId="68" xfId="0" applyFont="1" applyFill="1" applyBorder="1"/>
    <xf numFmtId="1" fontId="3" fillId="2" borderId="66" xfId="0" applyNumberFormat="1" applyFont="1" applyFill="1" applyBorder="1" applyProtection="1">
      <protection locked="0"/>
    </xf>
    <xf numFmtId="0" fontId="4" fillId="0" borderId="66" xfId="0" applyFont="1" applyBorder="1" applyProtection="1">
      <protection locked="0"/>
    </xf>
    <xf numFmtId="0" fontId="2" fillId="0" borderId="66" xfId="0" applyFont="1" applyBorder="1" applyProtection="1">
      <protection locked="0"/>
    </xf>
    <xf numFmtId="0" fontId="14" fillId="0" borderId="71" xfId="0" applyFont="1" applyBorder="1" applyAlignment="1" applyProtection="1">
      <alignment wrapText="1"/>
      <protection locked="0"/>
    </xf>
    <xf numFmtId="0" fontId="4" fillId="0" borderId="71" xfId="0" applyFont="1" applyBorder="1" applyProtection="1">
      <protection locked="0"/>
    </xf>
    <xf numFmtId="0" fontId="3" fillId="2" borderId="66" xfId="0" applyFont="1" applyFill="1" applyBorder="1" applyProtection="1">
      <protection locked="0"/>
    </xf>
    <xf numFmtId="0" fontId="14" fillId="15" borderId="71" xfId="0" applyFont="1" applyFill="1" applyBorder="1" applyAlignment="1" applyProtection="1">
      <alignment vertical="center" wrapText="1"/>
      <protection locked="0"/>
    </xf>
    <xf numFmtId="0" fontId="17" fillId="16" borderId="71" xfId="0" applyFont="1" applyFill="1" applyBorder="1" applyAlignment="1" applyProtection="1">
      <alignment vertical="center" wrapText="1"/>
      <protection locked="0"/>
    </xf>
    <xf numFmtId="1" fontId="2" fillId="0" borderId="66" xfId="0" applyNumberFormat="1" applyFont="1" applyBorder="1" applyProtection="1">
      <protection locked="0"/>
    </xf>
    <xf numFmtId="0" fontId="6" fillId="15" borderId="71" xfId="0" applyFont="1" applyFill="1" applyBorder="1" applyAlignment="1" applyProtection="1">
      <alignment vertical="center"/>
      <protection locked="0"/>
    </xf>
    <xf numFmtId="0" fontId="3" fillId="5" borderId="66" xfId="0" applyFont="1" applyFill="1" applyBorder="1" applyAlignment="1" applyProtection="1">
      <alignment horizontal="center"/>
      <protection locked="0"/>
    </xf>
    <xf numFmtId="0" fontId="2" fillId="15" borderId="66" xfId="0" applyFont="1" applyFill="1" applyBorder="1" applyProtection="1">
      <protection locked="0"/>
    </xf>
    <xf numFmtId="0" fontId="4" fillId="8" borderId="65" xfId="0" applyFont="1" applyFill="1" applyBorder="1"/>
    <xf numFmtId="0" fontId="10" fillId="15" borderId="66" xfId="0" applyFont="1" applyFill="1" applyBorder="1" applyProtection="1">
      <protection locked="0"/>
    </xf>
    <xf numFmtId="49" fontId="24" fillId="2" borderId="65" xfId="0" applyNumberFormat="1" applyFont="1" applyFill="1" applyBorder="1" applyProtection="1">
      <protection locked="0"/>
    </xf>
    <xf numFmtId="0" fontId="23" fillId="2" borderId="66" xfId="0" applyFont="1" applyFill="1" applyBorder="1" applyProtection="1">
      <protection locked="0"/>
    </xf>
    <xf numFmtId="49" fontId="26" fillId="2" borderId="65" xfId="0" applyNumberFormat="1" applyFont="1" applyFill="1" applyBorder="1" applyAlignment="1" applyProtection="1">
      <alignment vertical="center"/>
      <protection locked="0"/>
    </xf>
    <xf numFmtId="0" fontId="26" fillId="2" borderId="65" xfId="0" applyFont="1" applyFill="1" applyBorder="1" applyProtection="1">
      <protection locked="0"/>
    </xf>
    <xf numFmtId="49" fontId="23" fillId="2" borderId="65" xfId="0" applyNumberFormat="1" applyFont="1" applyFill="1" applyBorder="1" applyProtection="1">
      <protection locked="0"/>
    </xf>
    <xf numFmtId="0" fontId="23" fillId="2" borderId="65" xfId="0" applyFont="1" applyFill="1" applyBorder="1" applyProtection="1">
      <protection locked="0"/>
    </xf>
    <xf numFmtId="0" fontId="3" fillId="0" borderId="65" xfId="0" applyFont="1" applyBorder="1" applyProtection="1">
      <protection locked="0"/>
    </xf>
    <xf numFmtId="0" fontId="18" fillId="2" borderId="65" xfId="0" applyFont="1" applyFill="1" applyBorder="1" applyProtection="1">
      <protection locked="0"/>
    </xf>
    <xf numFmtId="0" fontId="28" fillId="2" borderId="65" xfId="0" applyFont="1" applyFill="1" applyBorder="1" applyProtection="1">
      <protection locked="0"/>
    </xf>
    <xf numFmtId="0" fontId="29" fillId="2" borderId="65" xfId="0" applyFont="1" applyFill="1" applyBorder="1" applyProtection="1">
      <protection locked="0"/>
    </xf>
    <xf numFmtId="49" fontId="19" fillId="2" borderId="66" xfId="0" applyNumberFormat="1" applyFont="1" applyFill="1" applyBorder="1" applyProtection="1">
      <protection locked="0"/>
    </xf>
    <xf numFmtId="0" fontId="2" fillId="19" borderId="66" xfId="0" applyFont="1" applyFill="1" applyBorder="1" applyAlignment="1" applyProtection="1">
      <alignment horizontal="center"/>
      <protection locked="0"/>
    </xf>
    <xf numFmtId="0" fontId="2" fillId="0" borderId="67" xfId="0" applyFont="1" applyBorder="1" applyProtection="1">
      <protection locked="0"/>
    </xf>
    <xf numFmtId="0" fontId="3" fillId="2" borderId="65" xfId="5" applyFont="1" applyFill="1" applyBorder="1" applyAlignment="1" applyProtection="1">
      <alignment horizontal="left"/>
      <protection locked="0"/>
    </xf>
    <xf numFmtId="1" fontId="3" fillId="2" borderId="65" xfId="5" applyNumberFormat="1" applyFont="1" applyFill="1" applyBorder="1" applyAlignment="1" applyProtection="1">
      <alignment horizontal="left"/>
      <protection locked="0"/>
    </xf>
    <xf numFmtId="0" fontId="10" fillId="9" borderId="65" xfId="0" applyFont="1" applyFill="1" applyBorder="1" applyAlignment="1" applyProtection="1">
      <alignment horizontal="left"/>
      <protection locked="0"/>
    </xf>
    <xf numFmtId="0" fontId="3" fillId="8" borderId="65" xfId="0" applyFont="1" applyFill="1" applyBorder="1" applyProtection="1">
      <protection locked="0"/>
    </xf>
    <xf numFmtId="0" fontId="10" fillId="0" borderId="65" xfId="0" applyFont="1" applyBorder="1" applyProtection="1">
      <protection locked="0"/>
    </xf>
    <xf numFmtId="0" fontId="30" fillId="0" borderId="66" xfId="0" applyFont="1" applyBorder="1" applyProtection="1">
      <protection locked="0"/>
    </xf>
    <xf numFmtId="1" fontId="5" fillId="0" borderId="66" xfId="0" applyNumberFormat="1" applyFont="1" applyBorder="1" applyProtection="1">
      <protection locked="0"/>
    </xf>
    <xf numFmtId="0" fontId="3" fillId="2" borderId="70" xfId="0" applyFont="1" applyFill="1" applyBorder="1" applyProtection="1">
      <protection locked="0"/>
    </xf>
    <xf numFmtId="0" fontId="1" fillId="2" borderId="65" xfId="0" applyFont="1" applyFill="1" applyBorder="1" applyProtection="1">
      <protection locked="0"/>
    </xf>
    <xf numFmtId="0" fontId="1" fillId="0" borderId="65" xfId="0" applyFont="1" applyBorder="1" applyProtection="1">
      <protection locked="0"/>
    </xf>
    <xf numFmtId="0" fontId="1" fillId="0" borderId="67" xfId="0" applyFont="1" applyBorder="1" applyAlignment="1">
      <alignment horizontal="center" vertical="top"/>
    </xf>
    <xf numFmtId="0" fontId="4" fillId="0" borderId="65" xfId="0" applyFont="1" applyBorder="1" applyProtection="1">
      <protection locked="0"/>
    </xf>
    <xf numFmtId="0" fontId="1" fillId="25" borderId="68" xfId="0" applyFont="1" applyFill="1" applyBorder="1" applyProtection="1">
      <protection locked="0"/>
    </xf>
    <xf numFmtId="0" fontId="1" fillId="25" borderId="65" xfId="0" applyFont="1" applyFill="1" applyBorder="1" applyProtection="1">
      <protection locked="0"/>
    </xf>
    <xf numFmtId="0" fontId="1" fillId="25" borderId="69" xfId="0" applyFont="1" applyFill="1" applyBorder="1" applyProtection="1">
      <protection locked="0"/>
    </xf>
    <xf numFmtId="0" fontId="1" fillId="22" borderId="67" xfId="0" applyFont="1" applyFill="1" applyBorder="1" applyProtection="1">
      <protection locked="0"/>
    </xf>
    <xf numFmtId="0" fontId="1" fillId="22" borderId="70" xfId="0" applyFont="1" applyFill="1" applyBorder="1" applyProtection="1">
      <protection locked="0"/>
    </xf>
    <xf numFmtId="0" fontId="1" fillId="22" borderId="69" xfId="0" applyFont="1" applyFill="1" applyBorder="1" applyProtection="1">
      <protection locked="0"/>
    </xf>
    <xf numFmtId="0" fontId="1" fillId="2" borderId="68" xfId="0" applyFont="1" applyFill="1" applyBorder="1" applyProtection="1">
      <protection locked="0"/>
    </xf>
    <xf numFmtId="0" fontId="1" fillId="29" borderId="65" xfId="0" applyFont="1" applyFill="1" applyBorder="1" applyProtection="1">
      <protection locked="0"/>
    </xf>
    <xf numFmtId="0" fontId="1" fillId="2" borderId="69" xfId="0" applyFont="1" applyFill="1" applyBorder="1" applyProtection="1">
      <protection locked="0"/>
    </xf>
    <xf numFmtId="0" fontId="1" fillId="8" borderId="65" xfId="0" applyFont="1" applyFill="1" applyBorder="1" applyProtection="1">
      <protection locked="0"/>
    </xf>
    <xf numFmtId="0" fontId="1" fillId="29" borderId="69" xfId="0" applyFont="1" applyFill="1" applyBorder="1" applyProtection="1">
      <protection locked="0"/>
    </xf>
    <xf numFmtId="0" fontId="1" fillId="29" borderId="71" xfId="0" applyFont="1" applyFill="1" applyBorder="1" applyProtection="1">
      <protection locked="0"/>
    </xf>
    <xf numFmtId="0" fontId="1" fillId="0" borderId="68" xfId="0" applyFont="1" applyBorder="1" applyProtection="1">
      <protection locked="0"/>
    </xf>
    <xf numFmtId="0" fontId="1" fillId="29" borderId="68" xfId="0" applyFont="1" applyFill="1" applyBorder="1" applyProtection="1">
      <protection locked="0"/>
    </xf>
    <xf numFmtId="0" fontId="1" fillId="31" borderId="65" xfId="0" applyFont="1" applyFill="1" applyBorder="1" applyProtection="1">
      <protection locked="0"/>
    </xf>
    <xf numFmtId="0" fontId="1" fillId="31" borderId="71" xfId="0" applyFont="1" applyFill="1" applyBorder="1" applyProtection="1">
      <protection locked="0"/>
    </xf>
    <xf numFmtId="0" fontId="1" fillId="2" borderId="67" xfId="0" applyFont="1" applyFill="1" applyBorder="1" applyProtection="1">
      <protection locked="0"/>
    </xf>
    <xf numFmtId="0" fontId="1" fillId="2" borderId="70" xfId="0" applyFont="1" applyFill="1" applyBorder="1" applyProtection="1">
      <protection locked="0"/>
    </xf>
    <xf numFmtId="0" fontId="1" fillId="29" borderId="67" xfId="0" applyFont="1" applyFill="1" applyBorder="1" applyProtection="1">
      <protection locked="0"/>
    </xf>
    <xf numFmtId="0" fontId="1" fillId="29" borderId="70" xfId="0" applyFont="1" applyFill="1" applyBorder="1" applyProtection="1">
      <protection locked="0"/>
    </xf>
    <xf numFmtId="0" fontId="1" fillId="9" borderId="68" xfId="0" applyFont="1" applyFill="1" applyBorder="1" applyProtection="1">
      <protection locked="0"/>
    </xf>
    <xf numFmtId="0" fontId="1" fillId="9" borderId="65" xfId="0" applyFont="1" applyFill="1" applyBorder="1" applyProtection="1">
      <protection locked="0"/>
    </xf>
    <xf numFmtId="0" fontId="1" fillId="8" borderId="68" xfId="0" applyFont="1" applyFill="1" applyBorder="1" applyProtection="1">
      <protection locked="0"/>
    </xf>
    <xf numFmtId="0" fontId="1" fillId="22" borderId="68" xfId="0" applyFont="1" applyFill="1" applyBorder="1" applyProtection="1">
      <protection locked="0"/>
    </xf>
    <xf numFmtId="0" fontId="1" fillId="22" borderId="65" xfId="0" applyFont="1" applyFill="1" applyBorder="1" applyProtection="1">
      <protection locked="0"/>
    </xf>
    <xf numFmtId="0" fontId="1" fillId="22" borderId="71" xfId="0" applyFont="1" applyFill="1" applyBorder="1" applyProtection="1">
      <protection locked="0"/>
    </xf>
    <xf numFmtId="0" fontId="1" fillId="27" borderId="68" xfId="0" applyFont="1" applyFill="1" applyBorder="1" applyProtection="1">
      <protection locked="0"/>
    </xf>
    <xf numFmtId="0" fontId="1" fillId="27" borderId="65" xfId="0" applyFont="1" applyFill="1" applyBorder="1" applyProtection="1">
      <protection locked="0"/>
    </xf>
    <xf numFmtId="0" fontId="1" fillId="27" borderId="69" xfId="0" applyFont="1" applyFill="1" applyBorder="1" applyProtection="1">
      <protection locked="0"/>
    </xf>
    <xf numFmtId="0" fontId="1" fillId="0" borderId="69" xfId="0" applyFont="1" applyBorder="1" applyProtection="1">
      <protection locked="0"/>
    </xf>
    <xf numFmtId="0" fontId="1" fillId="8" borderId="68" xfId="0" applyFont="1" applyFill="1" applyBorder="1" applyAlignment="1" applyProtection="1">
      <alignment horizontal="left"/>
      <protection locked="0"/>
    </xf>
    <xf numFmtId="0" fontId="1" fillId="2" borderId="65" xfId="0" applyFont="1" applyFill="1" applyBorder="1" applyAlignment="1" applyProtection="1">
      <alignment horizontal="left"/>
      <protection locked="0"/>
    </xf>
    <xf numFmtId="0" fontId="1" fillId="15" borderId="65" xfId="0" applyFont="1" applyFill="1" applyBorder="1" applyAlignment="1" applyProtection="1">
      <alignment horizontal="left"/>
      <protection locked="0"/>
    </xf>
    <xf numFmtId="0" fontId="1" fillId="8" borderId="65" xfId="0" applyFont="1" applyFill="1" applyBorder="1" applyAlignment="1" applyProtection="1">
      <alignment horizontal="left"/>
      <protection locked="0"/>
    </xf>
    <xf numFmtId="0" fontId="1" fillId="2" borderId="69" xfId="0" applyFont="1" applyFill="1" applyBorder="1" applyAlignment="1" applyProtection="1">
      <alignment horizontal="left"/>
      <protection locked="0"/>
    </xf>
    <xf numFmtId="0" fontId="1" fillId="2" borderId="71" xfId="0" applyFont="1" applyFill="1" applyBorder="1" applyProtection="1">
      <protection locked="0"/>
    </xf>
    <xf numFmtId="0" fontId="1" fillId="10" borderId="68" xfId="0" applyFont="1" applyFill="1" applyBorder="1" applyProtection="1">
      <protection locked="0"/>
    </xf>
    <xf numFmtId="0" fontId="1" fillId="10" borderId="65" xfId="0" applyFont="1" applyFill="1" applyBorder="1" applyProtection="1">
      <protection locked="0"/>
    </xf>
    <xf numFmtId="0" fontId="1" fillId="10" borderId="69" xfId="0" applyFont="1" applyFill="1" applyBorder="1" applyProtection="1">
      <protection locked="0"/>
    </xf>
    <xf numFmtId="0" fontId="1" fillId="29" borderId="68" xfId="0" applyFont="1" applyFill="1" applyBorder="1" applyAlignment="1" applyProtection="1">
      <alignment horizontal="left"/>
      <protection locked="0"/>
    </xf>
    <xf numFmtId="0" fontId="1" fillId="29" borderId="71" xfId="0" applyFont="1" applyFill="1" applyBorder="1" applyAlignment="1" applyProtection="1">
      <alignment horizontal="left"/>
      <protection locked="0"/>
    </xf>
    <xf numFmtId="0" fontId="1" fillId="29" borderId="65" xfId="0" applyFont="1" applyFill="1" applyBorder="1" applyAlignment="1" applyProtection="1">
      <alignment horizontal="left"/>
      <protection locked="0"/>
    </xf>
    <xf numFmtId="0" fontId="1" fillId="2" borderId="68" xfId="0" applyFont="1" applyFill="1" applyBorder="1" applyAlignment="1" applyProtection="1">
      <alignment horizontal="left"/>
      <protection locked="0"/>
    </xf>
    <xf numFmtId="0" fontId="1" fillId="31" borderId="65" xfId="0" applyFont="1" applyFill="1" applyBorder="1" applyAlignment="1" applyProtection="1">
      <alignment horizontal="left"/>
      <protection locked="0"/>
    </xf>
    <xf numFmtId="0" fontId="1" fillId="2" borderId="71" xfId="0" applyFont="1" applyFill="1" applyBorder="1" applyAlignment="1" applyProtection="1">
      <alignment horizontal="left"/>
      <protection locked="0"/>
    </xf>
    <xf numFmtId="0" fontId="1" fillId="15" borderId="65" xfId="0" applyFont="1" applyFill="1" applyBorder="1" applyProtection="1">
      <protection locked="0"/>
    </xf>
    <xf numFmtId="0" fontId="1" fillId="0" borderId="65" xfId="0" applyFont="1" applyBorder="1" applyAlignment="1" applyProtection="1">
      <alignment horizontal="center"/>
      <protection locked="0"/>
    </xf>
    <xf numFmtId="0" fontId="4" fillId="8" borderId="65" xfId="0" applyFont="1" applyFill="1" applyBorder="1" applyProtection="1">
      <protection locked="0"/>
    </xf>
    <xf numFmtId="0" fontId="16" fillId="2" borderId="65" xfId="0" applyFont="1" applyFill="1" applyBorder="1" applyProtection="1">
      <protection locked="0"/>
    </xf>
    <xf numFmtId="0" fontId="4" fillId="2" borderId="65" xfId="0" applyFont="1" applyFill="1" applyBorder="1" applyProtection="1">
      <protection locked="0"/>
    </xf>
    <xf numFmtId="49" fontId="16" fillId="2" borderId="65" xfId="0" applyNumberFormat="1" applyFont="1" applyFill="1" applyBorder="1" applyProtection="1">
      <protection locked="0"/>
    </xf>
    <xf numFmtId="0" fontId="16" fillId="0" borderId="65" xfId="0" applyFont="1" applyBorder="1" applyProtection="1">
      <protection locked="0"/>
    </xf>
    <xf numFmtId="0" fontId="16" fillId="22" borderId="65" xfId="0" applyFont="1" applyFill="1" applyBorder="1" applyProtection="1">
      <protection locked="0"/>
    </xf>
    <xf numFmtId="0" fontId="16" fillId="39" borderId="65" xfId="0" applyFont="1" applyFill="1" applyBorder="1" applyProtection="1">
      <protection locked="0"/>
    </xf>
    <xf numFmtId="0" fontId="16" fillId="40" borderId="65" xfId="0" applyFont="1" applyFill="1" applyBorder="1" applyProtection="1">
      <protection locked="0"/>
    </xf>
    <xf numFmtId="0" fontId="4" fillId="12" borderId="65" xfId="0" applyFont="1" applyFill="1" applyBorder="1" applyProtection="1">
      <protection locked="0"/>
    </xf>
    <xf numFmtId="0" fontId="1" fillId="2" borderId="65" xfId="0" applyFont="1" applyFill="1" applyBorder="1" applyAlignment="1" applyProtection="1">
      <alignment horizontal="center"/>
      <protection locked="0"/>
    </xf>
    <xf numFmtId="49" fontId="16" fillId="39" borderId="65" xfId="0" applyNumberFormat="1" applyFont="1" applyFill="1" applyBorder="1" applyProtection="1">
      <protection locked="0"/>
    </xf>
    <xf numFmtId="0" fontId="16" fillId="41" borderId="65" xfId="0" applyFont="1" applyFill="1" applyBorder="1" applyProtection="1">
      <protection locked="0"/>
    </xf>
    <xf numFmtId="0" fontId="14" fillId="41" borderId="65" xfId="0" applyFont="1" applyFill="1" applyBorder="1" applyProtection="1">
      <protection locked="0"/>
    </xf>
    <xf numFmtId="0" fontId="14" fillId="39" borderId="65" xfId="0" applyFont="1" applyFill="1" applyBorder="1" applyProtection="1">
      <protection locked="0"/>
    </xf>
    <xf numFmtId="0" fontId="14" fillId="2" borderId="65" xfId="0" applyFont="1" applyFill="1" applyBorder="1" applyProtection="1">
      <protection locked="0"/>
    </xf>
    <xf numFmtId="0" fontId="1" fillId="8" borderId="65" xfId="0" applyFont="1" applyFill="1" applyBorder="1" applyAlignment="1" applyProtection="1">
      <alignment horizontal="center"/>
      <protection locked="0"/>
    </xf>
    <xf numFmtId="0" fontId="4" fillId="22" borderId="65" xfId="0" applyFont="1" applyFill="1" applyBorder="1" applyProtection="1">
      <protection locked="0"/>
    </xf>
    <xf numFmtId="0" fontId="4" fillId="2" borderId="65" xfId="0" applyFont="1" applyFill="1" applyBorder="1" applyAlignment="1" applyProtection="1">
      <alignment horizontal="center"/>
      <protection locked="0"/>
    </xf>
    <xf numFmtId="0" fontId="1" fillId="37" borderId="65" xfId="0" applyFont="1" applyFill="1" applyBorder="1" applyProtection="1">
      <protection locked="0"/>
    </xf>
    <xf numFmtId="0" fontId="1" fillId="42" borderId="65" xfId="0" applyFont="1" applyFill="1" applyBorder="1" applyProtection="1">
      <protection locked="0"/>
    </xf>
    <xf numFmtId="16" fontId="1" fillId="8" borderId="65" xfId="0" applyNumberFormat="1" applyFont="1" applyFill="1" applyBorder="1" applyAlignment="1" applyProtection="1">
      <alignment horizontal="center"/>
      <protection locked="0"/>
    </xf>
    <xf numFmtId="0" fontId="1" fillId="49" borderId="65" xfId="0" applyFont="1" applyFill="1" applyBorder="1" applyProtection="1">
      <protection locked="0"/>
    </xf>
    <xf numFmtId="0" fontId="1" fillId="45" borderId="65" xfId="0" applyFont="1" applyFill="1" applyBorder="1" applyProtection="1">
      <protection locked="0"/>
    </xf>
    <xf numFmtId="0" fontId="1" fillId="38" borderId="65" xfId="0" applyFont="1" applyFill="1" applyBorder="1" applyProtection="1">
      <protection locked="0"/>
    </xf>
    <xf numFmtId="0" fontId="1" fillId="48" borderId="65" xfId="0" applyFont="1" applyFill="1" applyBorder="1" applyProtection="1">
      <protection locked="0"/>
    </xf>
    <xf numFmtId="0" fontId="21" fillId="0" borderId="65" xfId="1" applyFont="1" applyBorder="1" applyAlignment="1" applyProtection="1">
      <alignment horizontal="center"/>
      <protection locked="0"/>
    </xf>
    <xf numFmtId="0" fontId="1" fillId="47" borderId="65" xfId="0" applyFont="1" applyFill="1" applyBorder="1" applyAlignment="1" applyProtection="1">
      <alignment horizontal="center"/>
      <protection locked="0"/>
    </xf>
    <xf numFmtId="0" fontId="1" fillId="30" borderId="65" xfId="0" applyFont="1" applyFill="1" applyBorder="1" applyProtection="1">
      <protection locked="0"/>
    </xf>
    <xf numFmtId="0" fontId="1" fillId="23" borderId="65" xfId="0" applyFont="1" applyFill="1" applyBorder="1" applyProtection="1">
      <protection locked="0"/>
    </xf>
    <xf numFmtId="0" fontId="4" fillId="39" borderId="65" xfId="0" applyFont="1" applyFill="1" applyBorder="1" applyProtection="1">
      <protection locked="0"/>
    </xf>
    <xf numFmtId="0" fontId="1" fillId="50" borderId="65" xfId="2" applyFont="1" applyFill="1" applyBorder="1" applyProtection="1">
      <protection locked="0"/>
    </xf>
    <xf numFmtId="0" fontId="31" fillId="48" borderId="65" xfId="0" applyFont="1" applyFill="1" applyBorder="1" applyProtection="1">
      <protection locked="0"/>
    </xf>
    <xf numFmtId="0" fontId="1" fillId="40" borderId="65" xfId="0" applyFont="1" applyFill="1" applyBorder="1" applyProtection="1">
      <protection locked="0"/>
    </xf>
    <xf numFmtId="0" fontId="1" fillId="32" borderId="65" xfId="0" applyFont="1" applyFill="1" applyBorder="1" applyProtection="1">
      <protection locked="0"/>
    </xf>
    <xf numFmtId="0" fontId="1" fillId="32" borderId="69" xfId="0" applyFont="1" applyFill="1" applyBorder="1" applyProtection="1">
      <protection locked="0"/>
    </xf>
    <xf numFmtId="0" fontId="1" fillId="9" borderId="71" xfId="0" applyFont="1" applyFill="1" applyBorder="1" applyProtection="1">
      <protection locked="0"/>
    </xf>
    <xf numFmtId="0" fontId="1" fillId="29" borderId="69" xfId="0" applyFont="1" applyFill="1" applyBorder="1" applyAlignment="1" applyProtection="1">
      <alignment horizontal="left"/>
      <protection locked="0"/>
    </xf>
    <xf numFmtId="0" fontId="14" fillId="0" borderId="71" xfId="0" applyFont="1" applyBorder="1" applyAlignment="1" applyProtection="1">
      <alignment horizontal="center" vertical="center"/>
      <protection locked="0"/>
    </xf>
    <xf numFmtId="0" fontId="14" fillId="0" borderId="71" xfId="0" applyFont="1" applyBorder="1" applyAlignment="1" applyProtection="1">
      <alignment horizontal="center" vertical="center" wrapText="1"/>
      <protection locked="0"/>
    </xf>
    <xf numFmtId="0" fontId="14" fillId="15" borderId="71" xfId="0" applyFont="1" applyFill="1" applyBorder="1" applyAlignment="1" applyProtection="1">
      <alignment horizontal="center" vertical="center"/>
      <protection locked="0"/>
    </xf>
    <xf numFmtId="0" fontId="1" fillId="0" borderId="71" xfId="0" applyFont="1" applyBorder="1" applyAlignment="1" applyProtection="1">
      <alignment horizontal="center" vertical="center"/>
      <protection locked="0"/>
    </xf>
    <xf numFmtId="0" fontId="14" fillId="2" borderId="71" xfId="0" applyFont="1" applyFill="1" applyBorder="1" applyAlignment="1" applyProtection="1">
      <alignment horizontal="center" vertical="center" wrapText="1"/>
      <protection locked="0"/>
    </xf>
    <xf numFmtId="0" fontId="14" fillId="15" borderId="71" xfId="0" applyFont="1" applyFill="1" applyBorder="1" applyAlignment="1" applyProtection="1">
      <alignment horizontal="center" wrapText="1"/>
      <protection locked="0"/>
    </xf>
    <xf numFmtId="0" fontId="1" fillId="0" borderId="71" xfId="0" applyFont="1" applyBorder="1" applyAlignment="1" applyProtection="1">
      <alignment horizontal="center" vertical="center" wrapText="1"/>
      <protection locked="0"/>
    </xf>
    <xf numFmtId="0" fontId="1" fillId="9" borderId="71" xfId="0" applyFont="1" applyFill="1" applyBorder="1" applyAlignment="1" applyProtection="1">
      <alignment horizontal="center" vertical="center"/>
      <protection locked="0"/>
    </xf>
    <xf numFmtId="0" fontId="1" fillId="15" borderId="71" xfId="0" applyFont="1" applyFill="1" applyBorder="1" applyAlignment="1" applyProtection="1">
      <alignment horizontal="center" vertical="center" wrapText="1"/>
      <protection locked="0"/>
    </xf>
    <xf numFmtId="0" fontId="14" fillId="19" borderId="71" xfId="0" applyFont="1" applyFill="1" applyBorder="1" applyAlignment="1" applyProtection="1">
      <alignment horizontal="center" vertical="center" wrapText="1"/>
      <protection locked="0"/>
    </xf>
    <xf numFmtId="0" fontId="14" fillId="0" borderId="71" xfId="0" applyFont="1" applyBorder="1" applyAlignment="1" applyProtection="1">
      <alignment horizontal="center" wrapText="1"/>
      <protection locked="0"/>
    </xf>
    <xf numFmtId="0" fontId="4" fillId="0" borderId="71" xfId="0" applyFont="1" applyBorder="1" applyAlignment="1" applyProtection="1">
      <alignment horizontal="center"/>
      <protection locked="0"/>
    </xf>
    <xf numFmtId="0" fontId="14" fillId="15" borderId="71" xfId="0" applyFont="1" applyFill="1" applyBorder="1" applyAlignment="1" applyProtection="1">
      <alignment horizontal="center" vertical="center" wrapText="1"/>
      <protection locked="0"/>
    </xf>
    <xf numFmtId="0" fontId="17" fillId="16" borderId="71" xfId="0" applyFont="1" applyFill="1" applyBorder="1" applyAlignment="1" applyProtection="1">
      <alignment horizontal="center" vertical="center" wrapText="1"/>
      <protection locked="0"/>
    </xf>
    <xf numFmtId="0" fontId="6" fillId="15" borderId="71" xfId="0" applyFont="1" applyFill="1" applyBorder="1" applyAlignment="1" applyProtection="1">
      <alignment horizontal="center" vertical="center"/>
      <protection locked="0"/>
    </xf>
    <xf numFmtId="0" fontId="4" fillId="40" borderId="65" xfId="0" applyFont="1" applyFill="1" applyBorder="1" applyProtection="1">
      <protection locked="0"/>
    </xf>
    <xf numFmtId="49" fontId="16" fillId="40" borderId="65" xfId="0" applyNumberFormat="1" applyFont="1" applyFill="1" applyBorder="1" applyProtection="1">
      <protection locked="0"/>
    </xf>
    <xf numFmtId="0" fontId="16" fillId="8" borderId="65" xfId="0" applyFont="1" applyFill="1" applyBorder="1" applyProtection="1">
      <protection locked="0"/>
    </xf>
    <xf numFmtId="0" fontId="4" fillId="0" borderId="65" xfId="0" applyFont="1" applyBorder="1" applyAlignment="1" applyProtection="1">
      <alignment horizontal="center"/>
      <protection locked="0"/>
    </xf>
    <xf numFmtId="0" fontId="1" fillId="24" borderId="68" xfId="0" applyFont="1" applyFill="1" applyBorder="1" applyProtection="1">
      <protection locked="0"/>
    </xf>
    <xf numFmtId="0" fontId="1" fillId="24" borderId="67" xfId="0" applyFont="1" applyFill="1" applyBorder="1" applyProtection="1">
      <protection locked="0"/>
    </xf>
    <xf numFmtId="0" fontId="1" fillId="33" borderId="68" xfId="0" applyFont="1" applyFill="1" applyBorder="1" applyProtection="1">
      <protection locked="0"/>
    </xf>
    <xf numFmtId="0" fontId="1" fillId="24" borderId="65" xfId="0" applyFont="1" applyFill="1" applyBorder="1" applyProtection="1">
      <protection locked="0"/>
    </xf>
    <xf numFmtId="0" fontId="1" fillId="15" borderId="71" xfId="0" applyFont="1" applyFill="1" applyBorder="1" applyAlignment="1" applyProtection="1">
      <alignment vertical="center" wrapText="1"/>
      <protection locked="0"/>
    </xf>
    <xf numFmtId="0" fontId="1" fillId="24" borderId="68" xfId="0" applyFont="1" applyFill="1" applyBorder="1" applyAlignment="1" applyProtection="1">
      <alignment horizontal="left"/>
      <protection locked="0"/>
    </xf>
    <xf numFmtId="0" fontId="14" fillId="19" borderId="71" xfId="0" applyFont="1" applyFill="1" applyBorder="1" applyAlignment="1" applyProtection="1">
      <alignment vertical="center" wrapText="1"/>
      <protection locked="0"/>
    </xf>
    <xf numFmtId="0" fontId="1" fillId="8" borderId="70" xfId="0" applyFont="1" applyFill="1" applyBorder="1" applyProtection="1">
      <protection locked="0"/>
    </xf>
    <xf numFmtId="0" fontId="1" fillId="12" borderId="65" xfId="0" applyFont="1" applyFill="1" applyBorder="1" applyProtection="1">
      <protection locked="0"/>
    </xf>
    <xf numFmtId="0" fontId="16" fillId="12" borderId="65" xfId="0" applyFont="1" applyFill="1" applyBorder="1" applyProtection="1">
      <protection locked="0"/>
    </xf>
    <xf numFmtId="0" fontId="1" fillId="23" borderId="68" xfId="0" applyFont="1" applyFill="1" applyBorder="1" applyProtection="1">
      <protection locked="0"/>
    </xf>
    <xf numFmtId="0" fontId="1" fillId="36" borderId="65" xfId="0" applyFont="1" applyFill="1" applyBorder="1" applyProtection="1">
      <protection locked="0"/>
    </xf>
    <xf numFmtId="0" fontId="1" fillId="23" borderId="71" xfId="0" applyFont="1" applyFill="1" applyBorder="1" applyProtection="1">
      <protection locked="0"/>
    </xf>
    <xf numFmtId="0" fontId="1" fillId="23" borderId="67" xfId="0" applyFont="1" applyFill="1" applyBorder="1" applyProtection="1">
      <protection locked="0"/>
    </xf>
    <xf numFmtId="0" fontId="1" fillId="23" borderId="70" xfId="0" applyFont="1" applyFill="1" applyBorder="1" applyProtection="1">
      <protection locked="0"/>
    </xf>
    <xf numFmtId="0" fontId="1" fillId="23" borderId="69" xfId="0" applyFont="1" applyFill="1" applyBorder="1" applyProtection="1">
      <protection locked="0"/>
    </xf>
    <xf numFmtId="0" fontId="1" fillId="25" borderId="65" xfId="0" applyFont="1" applyFill="1" applyBorder="1" applyAlignment="1" applyProtection="1">
      <alignment horizontal="left"/>
      <protection locked="0"/>
    </xf>
    <xf numFmtId="0" fontId="1" fillId="8" borderId="71" xfId="0" applyFont="1" applyFill="1" applyBorder="1" applyProtection="1">
      <protection locked="0"/>
    </xf>
    <xf numFmtId="49" fontId="16" fillId="0" borderId="65" xfId="0" applyNumberFormat="1" applyFont="1" applyBorder="1" applyProtection="1">
      <protection locked="0"/>
    </xf>
    <xf numFmtId="49" fontId="16" fillId="22" borderId="65" xfId="0" applyNumberFormat="1" applyFont="1" applyFill="1" applyBorder="1" applyProtection="1">
      <protection locked="0"/>
    </xf>
    <xf numFmtId="0" fontId="1" fillId="2" borderId="67" xfId="0" applyFont="1" applyFill="1" applyBorder="1" applyAlignment="1" applyProtection="1">
      <alignment horizontal="left"/>
      <protection locked="0"/>
    </xf>
    <xf numFmtId="0" fontId="14" fillId="15" borderId="65" xfId="0" applyFont="1" applyFill="1" applyBorder="1" applyProtection="1">
      <protection locked="0"/>
    </xf>
    <xf numFmtId="0" fontId="35" fillId="0" borderId="65" xfId="0" applyFont="1" applyBorder="1" applyProtection="1">
      <protection locked="0"/>
    </xf>
    <xf numFmtId="0" fontId="36" fillId="15" borderId="65" xfId="0" applyFont="1" applyFill="1" applyBorder="1" applyAlignment="1" applyProtection="1">
      <alignment horizontal="center"/>
      <protection locked="0"/>
    </xf>
    <xf numFmtId="0" fontId="1" fillId="24" borderId="69" xfId="0" applyFont="1" applyFill="1" applyBorder="1" applyProtection="1">
      <protection locked="0"/>
    </xf>
    <xf numFmtId="0" fontId="1" fillId="24" borderId="71" xfId="0" applyFont="1" applyFill="1" applyBorder="1" applyProtection="1">
      <protection locked="0"/>
    </xf>
    <xf numFmtId="0" fontId="1" fillId="24" borderId="70" xfId="0" applyFont="1" applyFill="1" applyBorder="1" applyProtection="1">
      <protection locked="0"/>
    </xf>
    <xf numFmtId="0" fontId="1" fillId="33" borderId="65" xfId="0" applyFont="1" applyFill="1" applyBorder="1" applyProtection="1">
      <protection locked="0"/>
    </xf>
    <xf numFmtId="0" fontId="1" fillId="24" borderId="65" xfId="0" applyFont="1" applyFill="1" applyBorder="1" applyAlignment="1" applyProtection="1">
      <alignment horizontal="left"/>
      <protection locked="0"/>
    </xf>
    <xf numFmtId="0" fontId="1" fillId="24" borderId="69" xfId="0" applyFont="1" applyFill="1" applyBorder="1" applyAlignment="1" applyProtection="1">
      <alignment horizontal="left"/>
      <protection locked="0"/>
    </xf>
    <xf numFmtId="0" fontId="1" fillId="24" borderId="71" xfId="0" applyFont="1" applyFill="1" applyBorder="1" applyAlignment="1" applyProtection="1">
      <alignment horizontal="left"/>
      <protection locked="0"/>
    </xf>
    <xf numFmtId="0" fontId="33" fillId="24" borderId="65" xfId="0" applyFont="1" applyFill="1" applyBorder="1" applyProtection="1">
      <protection locked="0"/>
    </xf>
    <xf numFmtId="0" fontId="37" fillId="16" borderId="71" xfId="0" applyFont="1" applyFill="1" applyBorder="1" applyAlignment="1" applyProtection="1">
      <alignment vertical="center" wrapText="1"/>
      <protection locked="0"/>
    </xf>
    <xf numFmtId="0" fontId="36" fillId="15" borderId="71" xfId="0" applyFont="1" applyFill="1" applyBorder="1" applyAlignment="1" applyProtection="1">
      <alignment vertical="center"/>
      <protection locked="0"/>
    </xf>
    <xf numFmtId="49" fontId="27" fillId="39" borderId="65" xfId="0" applyNumberFormat="1" applyFont="1" applyFill="1" applyBorder="1" applyProtection="1">
      <protection locked="0"/>
    </xf>
    <xf numFmtId="49" fontId="27" fillId="2" borderId="65" xfId="0" applyNumberFormat="1" applyFont="1" applyFill="1" applyBorder="1" applyProtection="1">
      <protection locked="0"/>
    </xf>
    <xf numFmtId="0" fontId="1" fillId="30" borderId="71" xfId="0" applyFont="1" applyFill="1" applyBorder="1" applyProtection="1">
      <protection locked="0"/>
    </xf>
    <xf numFmtId="0" fontId="1" fillId="40" borderId="70" xfId="0" applyFont="1" applyFill="1" applyBorder="1" applyProtection="1">
      <protection locked="0"/>
    </xf>
    <xf numFmtId="0" fontId="1" fillId="40" borderId="69" xfId="0" applyFont="1" applyFill="1" applyBorder="1" applyProtection="1">
      <protection locked="0"/>
    </xf>
    <xf numFmtId="0" fontId="14" fillId="43" borderId="65" xfId="0" applyFont="1" applyFill="1" applyBorder="1" applyProtection="1">
      <protection locked="0"/>
    </xf>
    <xf numFmtId="0" fontId="14" fillId="9" borderId="65" xfId="0" applyFont="1" applyFill="1" applyBorder="1" applyProtection="1">
      <protection locked="0"/>
    </xf>
    <xf numFmtId="0" fontId="3" fillId="0" borderId="65" xfId="5" applyFont="1" applyBorder="1" applyAlignment="1" applyProtection="1">
      <alignment horizontal="left"/>
      <protection locked="0"/>
    </xf>
    <xf numFmtId="0" fontId="2" fillId="37" borderId="67" xfId="0" applyFont="1" applyFill="1" applyBorder="1" applyProtection="1">
      <protection locked="0"/>
    </xf>
    <xf numFmtId="1" fontId="3" fillId="37" borderId="65" xfId="5" applyNumberFormat="1" applyFont="1" applyFill="1" applyBorder="1" applyAlignment="1" applyProtection="1">
      <alignment horizontal="left"/>
      <protection locked="0"/>
    </xf>
    <xf numFmtId="0" fontId="1" fillId="37" borderId="65" xfId="0" applyFont="1" applyFill="1" applyBorder="1" applyAlignment="1" applyProtection="1">
      <alignment horizontal="center"/>
      <protection locked="0"/>
    </xf>
    <xf numFmtId="0" fontId="1" fillId="0" borderId="70" xfId="0" applyFont="1" applyBorder="1" applyProtection="1">
      <protection locked="0"/>
    </xf>
    <xf numFmtId="0" fontId="1" fillId="3" borderId="65" xfId="0" applyFont="1" applyFill="1" applyBorder="1" applyProtection="1">
      <protection locked="0"/>
    </xf>
    <xf numFmtId="0" fontId="1" fillId="2" borderId="73" xfId="0" applyFont="1" applyFill="1" applyBorder="1" applyAlignment="1">
      <alignment horizontal="center"/>
    </xf>
    <xf numFmtId="0" fontId="1" fillId="2" borderId="74" xfId="0" applyFont="1" applyFill="1" applyBorder="1"/>
    <xf numFmtId="1" fontId="2" fillId="0" borderId="74" xfId="0" applyNumberFormat="1" applyFont="1" applyBorder="1" applyAlignment="1" applyProtection="1">
      <alignment horizontal="center"/>
      <protection locked="0"/>
    </xf>
    <xf numFmtId="1" fontId="2" fillId="7" borderId="75" xfId="0" applyNumberFormat="1" applyFont="1" applyFill="1" applyBorder="1" applyProtection="1">
      <protection locked="0"/>
    </xf>
    <xf numFmtId="1" fontId="2" fillId="2" borderId="76" xfId="0" applyNumberFormat="1" applyFont="1" applyFill="1" applyBorder="1" applyAlignment="1" applyProtection="1">
      <alignment vertical="center"/>
      <protection locked="0"/>
    </xf>
    <xf numFmtId="0" fontId="3" fillId="5" borderId="76" xfId="0" applyFont="1" applyFill="1" applyBorder="1" applyAlignment="1" applyProtection="1">
      <alignment horizontal="center"/>
      <protection locked="0"/>
    </xf>
    <xf numFmtId="0" fontId="7" fillId="5" borderId="77" xfId="0" applyFont="1" applyFill="1" applyBorder="1" applyProtection="1">
      <protection locked="0"/>
    </xf>
    <xf numFmtId="0" fontId="7" fillId="5" borderId="74" xfId="0" applyFont="1" applyFill="1" applyBorder="1" applyProtection="1">
      <protection locked="0"/>
    </xf>
    <xf numFmtId="0" fontId="7" fillId="5" borderId="78" xfId="0" applyFont="1" applyFill="1" applyBorder="1" applyProtection="1">
      <protection locked="0"/>
    </xf>
    <xf numFmtId="0" fontId="2" fillId="6" borderId="76" xfId="0" applyFont="1" applyFill="1" applyBorder="1" applyAlignment="1" applyProtection="1">
      <alignment horizontal="center"/>
      <protection locked="0"/>
    </xf>
    <xf numFmtId="0" fontId="1" fillId="6" borderId="74" xfId="0" applyFont="1" applyFill="1" applyBorder="1"/>
    <xf numFmtId="0" fontId="3" fillId="0" borderId="76" xfId="0" applyFont="1" applyBorder="1" applyProtection="1">
      <protection locked="0"/>
    </xf>
    <xf numFmtId="0" fontId="1" fillId="0" borderId="74" xfId="0" applyFont="1" applyBorder="1" applyAlignment="1">
      <alignment horizontal="center"/>
    </xf>
    <xf numFmtId="0" fontId="1" fillId="6" borderId="74" xfId="0" applyFont="1" applyFill="1" applyBorder="1" applyProtection="1">
      <protection locked="0"/>
    </xf>
    <xf numFmtId="0" fontId="4" fillId="0" borderId="6" xfId="0" applyFont="1" applyBorder="1" applyAlignment="1">
      <alignment horizontal="center" vertical="top"/>
    </xf>
    <xf numFmtId="0" fontId="4" fillId="0" borderId="26" xfId="0" applyFont="1" applyBorder="1" applyAlignment="1">
      <alignment horizontal="center" vertical="top"/>
    </xf>
    <xf numFmtId="0" fontId="4" fillId="0" borderId="37" xfId="0" applyFont="1" applyBorder="1" applyAlignment="1">
      <alignment horizontal="center" vertical="top"/>
    </xf>
    <xf numFmtId="0" fontId="4" fillId="2" borderId="16" xfId="0" applyFont="1" applyFill="1" applyBorder="1" applyAlignment="1">
      <alignment horizontal="center" vertical="top" wrapText="1"/>
    </xf>
    <xf numFmtId="0" fontId="4" fillId="2" borderId="43" xfId="0" applyFont="1" applyFill="1" applyBorder="1" applyAlignment="1">
      <alignment horizontal="center" vertical="top" wrapText="1"/>
    </xf>
    <xf numFmtId="0" fontId="4" fillId="2" borderId="44" xfId="0" applyFont="1" applyFill="1" applyBorder="1" applyAlignment="1">
      <alignment horizontal="center" vertical="top" wrapText="1"/>
    </xf>
    <xf numFmtId="0" fontId="4" fillId="2" borderId="10" xfId="0" applyFont="1" applyFill="1" applyBorder="1" applyAlignment="1">
      <alignment horizontal="center" vertical="top" wrapText="1"/>
    </xf>
    <xf numFmtId="0" fontId="4" fillId="2" borderId="22" xfId="0" applyFont="1" applyFill="1" applyBorder="1" applyAlignment="1">
      <alignment horizontal="center" vertical="top" wrapText="1"/>
    </xf>
    <xf numFmtId="0" fontId="4" fillId="2" borderId="32" xfId="0" applyFont="1" applyFill="1" applyBorder="1" applyAlignment="1">
      <alignment horizontal="center" vertical="top" wrapText="1"/>
    </xf>
    <xf numFmtId="0" fontId="4" fillId="12" borderId="3" xfId="0" applyFont="1" applyFill="1" applyBorder="1" applyAlignment="1">
      <alignment horizontal="center" vertical="top"/>
    </xf>
    <xf numFmtId="0" fontId="4" fillId="12" borderId="1" xfId="0" applyFont="1" applyFill="1" applyBorder="1" applyAlignment="1">
      <alignment horizontal="center" vertical="top"/>
    </xf>
    <xf numFmtId="0" fontId="4" fillId="12" borderId="45" xfId="0" applyFont="1" applyFill="1" applyBorder="1" applyAlignment="1">
      <alignment horizontal="center" vertical="top"/>
    </xf>
    <xf numFmtId="0" fontId="4" fillId="0" borderId="17" xfId="0" applyFont="1" applyBorder="1" applyAlignment="1">
      <alignment horizontal="center" vertical="top" wrapText="1"/>
    </xf>
    <xf numFmtId="0" fontId="4" fillId="0" borderId="68" xfId="0" applyFont="1" applyBorder="1" applyAlignment="1">
      <alignment horizontal="center" vertical="top" wrapText="1"/>
    </xf>
    <xf numFmtId="0" fontId="4" fillId="0" borderId="18" xfId="0" applyFont="1" applyBorder="1" applyAlignment="1">
      <alignment horizontal="center" vertical="top" wrapText="1"/>
    </xf>
    <xf numFmtId="0" fontId="4" fillId="0" borderId="65" xfId="0" applyFont="1" applyBorder="1" applyAlignment="1">
      <alignment horizontal="center" vertical="top" wrapText="1"/>
    </xf>
    <xf numFmtId="0" fontId="4" fillId="0" borderId="67" xfId="0" applyFont="1" applyBorder="1" applyAlignment="1">
      <alignment horizontal="center" vertical="top"/>
    </xf>
    <xf numFmtId="0" fontId="4" fillId="2" borderId="65" xfId="0" applyFont="1" applyFill="1" applyBorder="1" applyAlignment="1">
      <alignment horizontal="center" vertical="top" wrapText="1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1" fillId="2" borderId="62" xfId="0" applyFont="1" applyFill="1" applyBorder="1" applyAlignment="1">
      <alignment horizontal="center" vertical="top"/>
    </xf>
    <xf numFmtId="0" fontId="1" fillId="2" borderId="63" xfId="0" applyFont="1" applyFill="1" applyBorder="1" applyAlignment="1">
      <alignment horizontal="center" vertical="top"/>
    </xf>
    <xf numFmtId="0" fontId="1" fillId="2" borderId="64" xfId="0" applyFont="1" applyFill="1" applyBorder="1" applyAlignment="1">
      <alignment horizontal="center" vertical="top"/>
    </xf>
    <xf numFmtId="0" fontId="1" fillId="10" borderId="3" xfId="0" applyFont="1" applyFill="1" applyBorder="1" applyAlignment="1">
      <alignment horizontal="center" vertical="top"/>
    </xf>
    <xf numFmtId="0" fontId="1" fillId="10" borderId="27" xfId="0" applyFont="1" applyFill="1" applyBorder="1" applyAlignment="1">
      <alignment horizontal="center" vertical="top"/>
    </xf>
    <xf numFmtId="0" fontId="1" fillId="10" borderId="28" xfId="0" applyFont="1" applyFill="1" applyBorder="1" applyAlignment="1">
      <alignment horizontal="center" vertical="top"/>
    </xf>
    <xf numFmtId="49" fontId="16" fillId="0" borderId="59" xfId="0" applyNumberFormat="1" applyFont="1" applyBorder="1" applyAlignment="1" applyProtection="1">
      <alignment horizontal="center"/>
      <protection locked="0"/>
    </xf>
    <xf numFmtId="49" fontId="16" fillId="0" borderId="23" xfId="0" applyNumberFormat="1" applyFont="1" applyBorder="1" applyAlignment="1" applyProtection="1">
      <alignment horizontal="center"/>
      <protection locked="0"/>
    </xf>
    <xf numFmtId="49" fontId="16" fillId="0" borderId="56" xfId="0" applyNumberFormat="1" applyFont="1" applyBorder="1" applyAlignment="1" applyProtection="1">
      <alignment horizontal="center"/>
      <protection locked="0"/>
    </xf>
    <xf numFmtId="0" fontId="4" fillId="2" borderId="20" xfId="0" applyFont="1" applyFill="1" applyBorder="1" applyAlignment="1">
      <alignment horizontal="center" vertical="top" wrapText="1"/>
    </xf>
    <xf numFmtId="0" fontId="4" fillId="2" borderId="38" xfId="0" applyFont="1" applyFill="1" applyBorder="1" applyAlignment="1">
      <alignment horizontal="center" vertical="top" wrapText="1"/>
    </xf>
    <xf numFmtId="0" fontId="4" fillId="2" borderId="35" xfId="0" applyFont="1" applyFill="1" applyBorder="1" applyAlignment="1">
      <alignment horizontal="center" vertical="top" wrapText="1"/>
    </xf>
    <xf numFmtId="0" fontId="4" fillId="0" borderId="25" xfId="0" applyFont="1" applyBorder="1" applyAlignment="1">
      <alignment horizontal="center" vertical="top" wrapText="1"/>
    </xf>
    <xf numFmtId="0" fontId="4" fillId="0" borderId="69" xfId="0" applyFont="1" applyBorder="1" applyAlignment="1">
      <alignment horizontal="center" vertical="top" wrapText="1"/>
    </xf>
    <xf numFmtId="0" fontId="1" fillId="13" borderId="9" xfId="0" applyFont="1" applyFill="1" applyBorder="1" applyAlignment="1">
      <alignment horizontal="center" vertical="center"/>
    </xf>
    <xf numFmtId="0" fontId="1" fillId="13" borderId="7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top" wrapText="1"/>
    </xf>
    <xf numFmtId="0" fontId="4" fillId="2" borderId="15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4" fillId="0" borderId="76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 wrapText="1"/>
    </xf>
    <xf numFmtId="0" fontId="1" fillId="0" borderId="65" xfId="0" applyFont="1" applyBorder="1" applyAlignment="1">
      <alignment horizontal="center" vertical="top" wrapText="1"/>
    </xf>
    <xf numFmtId="0" fontId="4" fillId="13" borderId="66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top" wrapText="1"/>
    </xf>
    <xf numFmtId="0" fontId="4" fillId="12" borderId="2" xfId="0" applyFont="1" applyFill="1" applyBorder="1" applyAlignment="1">
      <alignment horizontal="center" vertical="top"/>
    </xf>
    <xf numFmtId="0" fontId="4" fillId="12" borderId="26" xfId="0" applyFont="1" applyFill="1" applyBorder="1" applyAlignment="1">
      <alignment horizontal="center" vertical="top"/>
    </xf>
    <xf numFmtId="0" fontId="4" fillId="12" borderId="37" xfId="0" applyFont="1" applyFill="1" applyBorder="1" applyAlignment="1">
      <alignment horizontal="center" vertical="top"/>
    </xf>
    <xf numFmtId="0" fontId="4" fillId="2" borderId="33" xfId="0" applyFont="1" applyFill="1" applyBorder="1" applyAlignment="1">
      <alignment horizontal="center" vertical="top" wrapText="1"/>
    </xf>
    <xf numFmtId="0" fontId="4" fillId="2" borderId="12" xfId="0" applyFont="1" applyFill="1" applyBorder="1" applyAlignment="1">
      <alignment horizontal="center" vertical="top" wrapText="1"/>
    </xf>
    <xf numFmtId="0" fontId="4" fillId="2" borderId="36" xfId="0" applyFont="1" applyFill="1" applyBorder="1" applyAlignment="1">
      <alignment horizontal="center" vertical="top" wrapText="1"/>
    </xf>
    <xf numFmtId="0" fontId="4" fillId="20" borderId="3" xfId="0" applyFont="1" applyFill="1" applyBorder="1" applyAlignment="1">
      <alignment horizontal="center" vertical="top"/>
    </xf>
    <xf numFmtId="0" fontId="4" fillId="20" borderId="27" xfId="0" applyFont="1" applyFill="1" applyBorder="1" applyAlignment="1">
      <alignment horizontal="center" vertical="top"/>
    </xf>
    <xf numFmtId="0" fontId="4" fillId="20" borderId="28" xfId="0" applyFont="1" applyFill="1" applyBorder="1" applyAlignment="1">
      <alignment horizontal="center" vertical="top"/>
    </xf>
    <xf numFmtId="0" fontId="4" fillId="2" borderId="68" xfId="0" applyFont="1" applyFill="1" applyBorder="1" applyAlignment="1">
      <alignment horizontal="center" vertical="top" wrapText="1"/>
    </xf>
    <xf numFmtId="0" fontId="4" fillId="2" borderId="69" xfId="0" applyFont="1" applyFill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75" xfId="0" applyFont="1" applyBorder="1" applyAlignment="1">
      <alignment horizontal="center" vertical="top"/>
    </xf>
    <xf numFmtId="0" fontId="1" fillId="13" borderId="67" xfId="0" applyFont="1" applyFill="1" applyBorder="1" applyAlignment="1">
      <alignment horizontal="center" vertical="center"/>
    </xf>
    <xf numFmtId="0" fontId="37" fillId="0" borderId="70" xfId="0" applyFont="1" applyBorder="1" applyAlignment="1" applyProtection="1">
      <alignment horizontal="center"/>
      <protection locked="0"/>
    </xf>
    <xf numFmtId="0" fontId="37" fillId="0" borderId="24" xfId="0" applyFont="1" applyBorder="1" applyAlignment="1" applyProtection="1">
      <alignment horizontal="center"/>
      <protection locked="0"/>
    </xf>
    <xf numFmtId="0" fontId="37" fillId="0" borderId="61" xfId="0" applyFont="1" applyBorder="1" applyAlignment="1" applyProtection="1">
      <alignment horizontal="center"/>
      <protection locked="0"/>
    </xf>
    <xf numFmtId="0" fontId="4" fillId="14" borderId="3" xfId="0" applyFont="1" applyFill="1" applyBorder="1" applyAlignment="1">
      <alignment horizontal="center"/>
    </xf>
    <xf numFmtId="0" fontId="4" fillId="14" borderId="27" xfId="0" applyFont="1" applyFill="1" applyBorder="1" applyAlignment="1">
      <alignment horizontal="center"/>
    </xf>
    <xf numFmtId="0" fontId="4" fillId="14" borderId="28" xfId="0" applyFont="1" applyFill="1" applyBorder="1" applyAlignment="1">
      <alignment horizontal="center"/>
    </xf>
    <xf numFmtId="0" fontId="21" fillId="0" borderId="33" xfId="1" applyFont="1" applyBorder="1" applyAlignment="1">
      <alignment horizontal="center"/>
    </xf>
    <xf numFmtId="0" fontId="21" fillId="0" borderId="14" xfId="1" applyFont="1" applyBorder="1" applyAlignment="1">
      <alignment horizontal="center"/>
    </xf>
    <xf numFmtId="0" fontId="21" fillId="0" borderId="15" xfId="1" applyFont="1" applyBorder="1" applyAlignment="1">
      <alignment horizontal="center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49" fontId="16" fillId="25" borderId="23" xfId="0" applyNumberFormat="1" applyFont="1" applyFill="1" applyBorder="1" applyAlignment="1">
      <alignment horizontal="center"/>
    </xf>
    <xf numFmtId="49" fontId="16" fillId="25" borderId="56" xfId="0" applyNumberFormat="1" applyFont="1" applyFill="1" applyBorder="1" applyAlignment="1">
      <alignment horizontal="center"/>
    </xf>
    <xf numFmtId="49" fontId="16" fillId="0" borderId="59" xfId="0" applyNumberFormat="1" applyFont="1" applyBorder="1" applyAlignment="1">
      <alignment horizontal="center"/>
    </xf>
    <xf numFmtId="49" fontId="16" fillId="0" borderId="23" xfId="0" applyNumberFormat="1" applyFont="1" applyBorder="1" applyAlignment="1">
      <alignment horizontal="center"/>
    </xf>
    <xf numFmtId="49" fontId="16" fillId="0" borderId="56" xfId="0" applyNumberFormat="1" applyFont="1" applyBorder="1" applyAlignment="1">
      <alignment horizontal="center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2" fillId="2" borderId="29" xfId="0" applyFont="1" applyFill="1" applyBorder="1" applyAlignment="1" applyProtection="1">
      <alignment horizontal="center" vertical="center"/>
      <protection locked="0"/>
    </xf>
    <xf numFmtId="0" fontId="4" fillId="0" borderId="40" xfId="0" applyFont="1" applyBorder="1" applyAlignment="1">
      <alignment horizontal="center" vertical="top" wrapText="1"/>
    </xf>
    <xf numFmtId="49" fontId="16" fillId="25" borderId="75" xfId="0" applyNumberFormat="1" applyFont="1" applyFill="1" applyBorder="1" applyAlignment="1">
      <alignment horizontal="center"/>
    </xf>
    <xf numFmtId="0" fontId="4" fillId="2" borderId="40" xfId="0" applyFont="1" applyFill="1" applyBorder="1" applyAlignment="1">
      <alignment horizontal="center" vertical="top" wrapText="1"/>
    </xf>
    <xf numFmtId="0" fontId="21" fillId="0" borderId="33" xfId="1" applyFont="1" applyBorder="1" applyAlignment="1" applyProtection="1">
      <alignment horizontal="center"/>
      <protection locked="0"/>
    </xf>
    <xf numFmtId="0" fontId="21" fillId="0" borderId="14" xfId="1" applyFont="1" applyBorder="1" applyAlignment="1" applyProtection="1">
      <alignment horizontal="center"/>
      <protection locked="0"/>
    </xf>
    <xf numFmtId="0" fontId="21" fillId="0" borderId="15" xfId="1" applyFont="1" applyBorder="1" applyAlignment="1" applyProtection="1">
      <alignment horizontal="center"/>
      <protection locked="0"/>
    </xf>
    <xf numFmtId="0" fontId="4" fillId="2" borderId="13" xfId="0" applyFont="1" applyFill="1" applyBorder="1" applyAlignment="1">
      <alignment horizontal="center" vertical="top" wrapText="1"/>
    </xf>
    <xf numFmtId="0" fontId="2" fillId="0" borderId="75" xfId="0" applyFont="1" applyBorder="1" applyAlignment="1" applyProtection="1">
      <alignment horizontal="center"/>
      <protection locked="0"/>
    </xf>
    <xf numFmtId="0" fontId="1" fillId="0" borderId="74" xfId="0" applyFont="1" applyBorder="1"/>
    <xf numFmtId="0" fontId="1" fillId="2" borderId="79" xfId="0" applyFont="1" applyFill="1" applyBorder="1"/>
    <xf numFmtId="0" fontId="1" fillId="2" borderId="80" xfId="0" applyFont="1" applyFill="1" applyBorder="1"/>
    <xf numFmtId="0" fontId="1" fillId="2" borderId="81" xfId="0" applyFont="1" applyFill="1" applyBorder="1"/>
    <xf numFmtId="49" fontId="26" fillId="2" borderId="82" xfId="0" applyNumberFormat="1" applyFont="1" applyFill="1" applyBorder="1"/>
    <xf numFmtId="0" fontId="2" fillId="6" borderId="76" xfId="0" applyFont="1" applyFill="1" applyBorder="1" applyAlignment="1">
      <alignment horizontal="center"/>
    </xf>
    <xf numFmtId="0" fontId="4" fillId="2" borderId="74" xfId="0" applyFont="1" applyFill="1" applyBorder="1"/>
    <xf numFmtId="0" fontId="7" fillId="0" borderId="74" xfId="0" applyFont="1" applyBorder="1" applyProtection="1">
      <protection locked="0"/>
    </xf>
    <xf numFmtId="0" fontId="16" fillId="0" borderId="83" xfId="0" applyFont="1" applyBorder="1"/>
    <xf numFmtId="0" fontId="1" fillId="2" borderId="72" xfId="0" applyFont="1" applyFill="1" applyBorder="1"/>
    <xf numFmtId="0" fontId="32" fillId="0" borderId="82" xfId="0" applyFont="1" applyBorder="1"/>
    <xf numFmtId="0" fontId="32" fillId="46" borderId="82" xfId="0" applyFont="1" applyFill="1" applyBorder="1"/>
    <xf numFmtId="49" fontId="32" fillId="0" borderId="82" xfId="0" applyNumberFormat="1" applyFont="1" applyBorder="1"/>
    <xf numFmtId="49" fontId="22" fillId="0" borderId="82" xfId="0" applyNumberFormat="1" applyFont="1" applyBorder="1"/>
    <xf numFmtId="49" fontId="26" fillId="7" borderId="82" xfId="0" applyNumberFormat="1" applyFont="1" applyFill="1" applyBorder="1" applyAlignment="1">
      <alignment horizontal="center"/>
    </xf>
    <xf numFmtId="1" fontId="2" fillId="0" borderId="84" xfId="0" applyNumberFormat="1" applyFont="1" applyBorder="1" applyProtection="1">
      <protection locked="0"/>
    </xf>
    <xf numFmtId="0" fontId="4" fillId="12" borderId="85" xfId="0" applyFont="1" applyFill="1" applyBorder="1" applyAlignment="1">
      <alignment horizontal="center" vertical="top"/>
    </xf>
    <xf numFmtId="0" fontId="4" fillId="2" borderId="86" xfId="0" applyFont="1" applyFill="1" applyBorder="1" applyAlignment="1">
      <alignment horizontal="center" vertical="top" wrapText="1"/>
    </xf>
    <xf numFmtId="0" fontId="4" fillId="2" borderId="87" xfId="0" applyFont="1" applyFill="1" applyBorder="1" applyAlignment="1">
      <alignment horizontal="center" vertical="top" wrapText="1"/>
    </xf>
    <xf numFmtId="1" fontId="2" fillId="2" borderId="85" xfId="0" applyNumberFormat="1" applyFont="1" applyFill="1" applyBorder="1" applyProtection="1">
      <protection locked="0"/>
    </xf>
    <xf numFmtId="0" fontId="1" fillId="2" borderId="88" xfId="0" applyFont="1" applyFill="1" applyBorder="1"/>
    <xf numFmtId="0" fontId="1" fillId="2" borderId="86" xfId="0" applyFont="1" applyFill="1" applyBorder="1"/>
    <xf numFmtId="0" fontId="1" fillId="2" borderId="87" xfId="0" applyFont="1" applyFill="1" applyBorder="1"/>
    <xf numFmtId="49" fontId="26" fillId="2" borderId="89" xfId="0" applyNumberFormat="1" applyFont="1" applyFill="1" applyBorder="1" applyProtection="1">
      <protection locked="0"/>
    </xf>
    <xf numFmtId="0" fontId="4" fillId="0" borderId="90" xfId="0" applyFont="1" applyBorder="1" applyAlignment="1">
      <alignment horizontal="center"/>
    </xf>
    <xf numFmtId="0" fontId="4" fillId="18" borderId="86" xfId="0" applyFont="1" applyFill="1" applyBorder="1" applyAlignment="1">
      <alignment horizontal="center" vertical="top"/>
    </xf>
    <xf numFmtId="0" fontId="4" fillId="18" borderId="87" xfId="0" applyFont="1" applyFill="1" applyBorder="1" applyAlignment="1">
      <alignment horizontal="center" vertical="top"/>
    </xf>
    <xf numFmtId="1" fontId="2" fillId="0" borderId="85" xfId="0" applyNumberFormat="1" applyFont="1" applyBorder="1" applyProtection="1">
      <protection locked="0"/>
    </xf>
    <xf numFmtId="49" fontId="26" fillId="7" borderId="82" xfId="0" applyNumberFormat="1" applyFont="1" applyFill="1" applyBorder="1" applyAlignment="1" applyProtection="1">
      <alignment horizontal="center"/>
      <protection locked="0"/>
    </xf>
    <xf numFmtId="0" fontId="4" fillId="0" borderId="88" xfId="0" applyFont="1" applyBorder="1" applyAlignment="1">
      <alignment horizontal="center" vertical="top" wrapText="1"/>
    </xf>
    <xf numFmtId="0" fontId="4" fillId="0" borderId="86" xfId="0" applyFont="1" applyBorder="1" applyAlignment="1">
      <alignment horizontal="center" vertical="top" wrapText="1"/>
    </xf>
    <xf numFmtId="0" fontId="4" fillId="0" borderId="87" xfId="0" applyFont="1" applyBorder="1" applyAlignment="1">
      <alignment horizontal="center" vertical="top" wrapText="1"/>
    </xf>
    <xf numFmtId="49" fontId="26" fillId="2" borderId="82" xfId="0" applyNumberFormat="1" applyFont="1" applyFill="1" applyBorder="1" applyProtection="1">
      <protection locked="0"/>
    </xf>
    <xf numFmtId="0" fontId="4" fillId="2" borderId="79" xfId="0" applyFont="1" applyFill="1" applyBorder="1" applyAlignment="1">
      <alignment horizontal="center" vertical="top" wrapText="1"/>
    </xf>
    <xf numFmtId="0" fontId="4" fillId="2" borderId="80" xfId="0" applyFont="1" applyFill="1" applyBorder="1" applyAlignment="1">
      <alignment horizontal="center" vertical="top" wrapText="1"/>
    </xf>
    <xf numFmtId="0" fontId="4" fillId="2" borderId="81" xfId="0" applyFont="1" applyFill="1" applyBorder="1" applyAlignment="1">
      <alignment horizontal="center" vertical="top" wrapText="1"/>
    </xf>
    <xf numFmtId="0" fontId="4" fillId="0" borderId="91" xfId="0" applyFont="1" applyBorder="1" applyAlignment="1">
      <alignment horizontal="center"/>
    </xf>
    <xf numFmtId="0" fontId="4" fillId="18" borderId="80" xfId="0" applyFont="1" applyFill="1" applyBorder="1" applyAlignment="1">
      <alignment horizontal="center" vertical="top"/>
    </xf>
    <xf numFmtId="0" fontId="4" fillId="18" borderId="81" xfId="0" applyFont="1" applyFill="1" applyBorder="1" applyAlignment="1">
      <alignment horizontal="center" vertical="top"/>
    </xf>
    <xf numFmtId="0" fontId="32" fillId="0" borderId="82" xfId="0" applyFont="1" applyBorder="1" applyProtection="1">
      <protection locked="0"/>
    </xf>
    <xf numFmtId="0" fontId="32" fillId="46" borderId="82" xfId="0" applyFont="1" applyFill="1" applyBorder="1" applyProtection="1">
      <protection locked="0"/>
    </xf>
    <xf numFmtId="49" fontId="32" fillId="0" borderId="82" xfId="0" applyNumberFormat="1" applyFont="1" applyBorder="1" applyProtection="1">
      <protection locked="0"/>
    </xf>
    <xf numFmtId="49" fontId="22" fillId="0" borderId="82" xfId="0" applyNumberFormat="1" applyFont="1" applyBorder="1" applyProtection="1">
      <protection locked="0"/>
    </xf>
    <xf numFmtId="0" fontId="1" fillId="2" borderId="88" xfId="0" applyFont="1" applyFill="1" applyBorder="1" applyProtection="1">
      <protection locked="0"/>
    </xf>
    <xf numFmtId="0" fontId="1" fillId="2" borderId="86" xfId="0" applyFont="1" applyFill="1" applyBorder="1" applyProtection="1">
      <protection locked="0"/>
    </xf>
    <xf numFmtId="0" fontId="1" fillId="2" borderId="87" xfId="0" applyFont="1" applyFill="1" applyBorder="1" applyProtection="1">
      <protection locked="0"/>
    </xf>
    <xf numFmtId="0" fontId="4" fillId="2" borderId="88" xfId="0" applyFont="1" applyFill="1" applyBorder="1" applyAlignment="1">
      <alignment horizontal="center" vertical="top" wrapText="1"/>
    </xf>
    <xf numFmtId="0" fontId="4" fillId="2" borderId="86" xfId="0" applyFont="1" applyFill="1" applyBorder="1" applyAlignment="1">
      <alignment horizontal="center" vertical="top" wrapText="1"/>
    </xf>
    <xf numFmtId="0" fontId="4" fillId="2" borderId="87" xfId="0" applyFont="1" applyFill="1" applyBorder="1" applyAlignment="1">
      <alignment horizontal="center" vertical="top" wrapText="1"/>
    </xf>
    <xf numFmtId="0" fontId="4" fillId="0" borderId="85" xfId="0" applyFont="1" applyBorder="1" applyAlignment="1">
      <alignment horizontal="center"/>
    </xf>
    <xf numFmtId="1" fontId="2" fillId="0" borderId="90" xfId="0" applyNumberFormat="1" applyFont="1" applyBorder="1" applyProtection="1">
      <protection locked="0"/>
    </xf>
    <xf numFmtId="0" fontId="32" fillId="0" borderId="89" xfId="0" applyFont="1" applyBorder="1" applyProtection="1">
      <protection locked="0"/>
    </xf>
    <xf numFmtId="0" fontId="32" fillId="46" borderId="89" xfId="0" applyFont="1" applyFill="1" applyBorder="1" applyProtection="1">
      <protection locked="0"/>
    </xf>
    <xf numFmtId="49" fontId="32" fillId="0" borderId="89" xfId="0" applyNumberFormat="1" applyFont="1" applyBorder="1" applyProtection="1">
      <protection locked="0"/>
    </xf>
    <xf numFmtId="49" fontId="22" fillId="0" borderId="89" xfId="0" applyNumberFormat="1" applyFont="1" applyBorder="1" applyProtection="1">
      <protection locked="0"/>
    </xf>
    <xf numFmtId="49" fontId="26" fillId="7" borderId="89" xfId="0" applyNumberFormat="1" applyFont="1" applyFill="1" applyBorder="1" applyAlignment="1" applyProtection="1">
      <alignment horizontal="center"/>
      <protection locked="0"/>
    </xf>
    <xf numFmtId="0" fontId="4" fillId="12" borderId="90" xfId="0" applyFont="1" applyFill="1" applyBorder="1" applyAlignment="1">
      <alignment horizontal="center" vertical="top"/>
    </xf>
    <xf numFmtId="0" fontId="4" fillId="2" borderId="92" xfId="0" applyFont="1" applyFill="1" applyBorder="1" applyAlignment="1">
      <alignment horizontal="center" vertical="top" wrapText="1"/>
    </xf>
    <xf numFmtId="0" fontId="4" fillId="2" borderId="93" xfId="0" applyFont="1" applyFill="1" applyBorder="1" applyAlignment="1">
      <alignment horizontal="center" vertical="top" wrapText="1"/>
    </xf>
    <xf numFmtId="0" fontId="4" fillId="0" borderId="94" xfId="0" applyFont="1" applyBorder="1" applyAlignment="1">
      <alignment horizontal="center" vertical="top" wrapText="1"/>
    </xf>
    <xf numFmtId="0" fontId="4" fillId="0" borderId="92" xfId="0" applyFont="1" applyBorder="1" applyAlignment="1">
      <alignment horizontal="center" vertical="top" wrapText="1"/>
    </xf>
    <xf numFmtId="0" fontId="4" fillId="0" borderId="93" xfId="0" applyFont="1" applyBorder="1" applyAlignment="1">
      <alignment horizontal="center" vertical="top" wrapText="1"/>
    </xf>
    <xf numFmtId="1" fontId="2" fillId="2" borderId="90" xfId="0" applyNumberFormat="1" applyFont="1" applyFill="1" applyBorder="1" applyProtection="1">
      <protection locked="0"/>
    </xf>
    <xf numFmtId="1" fontId="2" fillId="0" borderId="91" xfId="0" applyNumberFormat="1" applyFont="1" applyBorder="1" applyProtection="1">
      <protection locked="0"/>
    </xf>
    <xf numFmtId="0" fontId="32" fillId="0" borderId="95" xfId="0" applyFont="1" applyBorder="1" applyProtection="1">
      <protection locked="0"/>
    </xf>
    <xf numFmtId="0" fontId="32" fillId="46" borderId="95" xfId="0" applyFont="1" applyFill="1" applyBorder="1" applyProtection="1">
      <protection locked="0"/>
    </xf>
    <xf numFmtId="49" fontId="32" fillId="0" borderId="95" xfId="0" applyNumberFormat="1" applyFont="1" applyBorder="1" applyProtection="1">
      <protection locked="0"/>
    </xf>
    <xf numFmtId="49" fontId="22" fillId="0" borderId="95" xfId="0" applyNumberFormat="1" applyFont="1" applyBorder="1" applyProtection="1">
      <protection locked="0"/>
    </xf>
    <xf numFmtId="49" fontId="26" fillId="7" borderId="95" xfId="0" applyNumberFormat="1" applyFont="1" applyFill="1" applyBorder="1" applyAlignment="1" applyProtection="1">
      <alignment horizontal="center"/>
      <protection locked="0"/>
    </xf>
    <xf numFmtId="0" fontId="4" fillId="12" borderId="91" xfId="0" applyFont="1" applyFill="1" applyBorder="1" applyAlignment="1">
      <alignment horizontal="center" vertical="top"/>
    </xf>
    <xf numFmtId="0" fontId="4" fillId="2" borderId="80" xfId="0" applyFont="1" applyFill="1" applyBorder="1" applyAlignment="1">
      <alignment horizontal="center" vertical="top" wrapText="1"/>
    </xf>
    <xf numFmtId="0" fontId="4" fillId="2" borderId="81" xfId="0" applyFont="1" applyFill="1" applyBorder="1" applyAlignment="1">
      <alignment horizontal="center" vertical="top" wrapText="1"/>
    </xf>
    <xf numFmtId="0" fontId="4" fillId="0" borderId="79" xfId="0" applyFont="1" applyBorder="1" applyAlignment="1">
      <alignment horizontal="center" vertical="top" wrapText="1"/>
    </xf>
    <xf numFmtId="0" fontId="4" fillId="0" borderId="80" xfId="0" applyFont="1" applyBorder="1" applyAlignment="1">
      <alignment horizontal="center" vertical="top" wrapText="1"/>
    </xf>
    <xf numFmtId="0" fontId="4" fillId="0" borderId="81" xfId="0" applyFont="1" applyBorder="1" applyAlignment="1">
      <alignment horizontal="center" vertical="top" wrapText="1"/>
    </xf>
    <xf numFmtId="1" fontId="2" fillId="2" borderId="91" xfId="0" applyNumberFormat="1" applyFont="1" applyFill="1" applyBorder="1" applyProtection="1">
      <protection locked="0"/>
    </xf>
    <xf numFmtId="49" fontId="26" fillId="2" borderId="95" xfId="0" applyNumberFormat="1" applyFont="1" applyFill="1" applyBorder="1" applyProtection="1">
      <protection locked="0"/>
    </xf>
    <xf numFmtId="0" fontId="4" fillId="2" borderId="96" xfId="0" applyFont="1" applyFill="1" applyBorder="1" applyAlignment="1">
      <alignment horizontal="center" vertical="top" wrapText="1"/>
    </xf>
    <xf numFmtId="0" fontId="4" fillId="2" borderId="97" xfId="0" applyFont="1" applyFill="1" applyBorder="1" applyAlignment="1">
      <alignment horizontal="center" vertical="top" wrapText="1"/>
    </xf>
    <xf numFmtId="0" fontId="4" fillId="2" borderId="98" xfId="0" applyFont="1" applyFill="1" applyBorder="1" applyAlignment="1">
      <alignment horizontal="center" vertical="top" wrapText="1"/>
    </xf>
    <xf numFmtId="0" fontId="4" fillId="0" borderId="99" xfId="0" applyFont="1" applyBorder="1" applyAlignment="1">
      <alignment horizontal="center"/>
    </xf>
    <xf numFmtId="0" fontId="4" fillId="18" borderId="97" xfId="0" applyFont="1" applyFill="1" applyBorder="1" applyAlignment="1">
      <alignment horizontal="center" vertical="top"/>
    </xf>
    <xf numFmtId="0" fontId="4" fillId="18" borderId="98" xfId="0" applyFont="1" applyFill="1" applyBorder="1" applyAlignment="1">
      <alignment horizontal="center" vertical="top"/>
    </xf>
    <xf numFmtId="1" fontId="2" fillId="0" borderId="99" xfId="0" applyNumberFormat="1" applyFont="1" applyBorder="1" applyProtection="1">
      <protection locked="0"/>
    </xf>
    <xf numFmtId="0" fontId="32" fillId="0" borderId="100" xfId="0" applyFont="1" applyBorder="1" applyProtection="1">
      <protection locked="0"/>
    </xf>
    <xf numFmtId="0" fontId="32" fillId="46" borderId="100" xfId="0" applyFont="1" applyFill="1" applyBorder="1" applyProtection="1">
      <protection locked="0"/>
    </xf>
    <xf numFmtId="49" fontId="32" fillId="0" borderId="100" xfId="0" applyNumberFormat="1" applyFont="1" applyBorder="1" applyProtection="1">
      <protection locked="0"/>
    </xf>
    <xf numFmtId="49" fontId="22" fillId="0" borderId="100" xfId="0" applyNumberFormat="1" applyFont="1" applyBorder="1" applyProtection="1">
      <protection locked="0"/>
    </xf>
    <xf numFmtId="49" fontId="26" fillId="7" borderId="100" xfId="0" applyNumberFormat="1" applyFont="1" applyFill="1" applyBorder="1" applyAlignment="1" applyProtection="1">
      <alignment horizontal="center"/>
      <protection locked="0"/>
    </xf>
    <xf numFmtId="0" fontId="3" fillId="2" borderId="101" xfId="0" applyFont="1" applyFill="1" applyBorder="1" applyProtection="1">
      <protection locked="0"/>
    </xf>
    <xf numFmtId="0" fontId="1" fillId="0" borderId="102" xfId="0" applyFont="1" applyBorder="1" applyAlignment="1">
      <alignment horizontal="center" vertical="top"/>
    </xf>
    <xf numFmtId="0" fontId="4" fillId="12" borderId="99" xfId="0" applyFont="1" applyFill="1" applyBorder="1" applyAlignment="1">
      <alignment horizontal="center" vertical="top"/>
    </xf>
    <xf numFmtId="0" fontId="4" fillId="2" borderId="97" xfId="0" applyFont="1" applyFill="1" applyBorder="1" applyAlignment="1">
      <alignment horizontal="center" vertical="top" wrapText="1"/>
    </xf>
    <xf numFmtId="0" fontId="4" fillId="2" borderId="98" xfId="0" applyFont="1" applyFill="1" applyBorder="1" applyAlignment="1">
      <alignment horizontal="center" vertical="top" wrapText="1"/>
    </xf>
    <xf numFmtId="0" fontId="4" fillId="0" borderId="96" xfId="0" applyFont="1" applyBorder="1" applyAlignment="1">
      <alignment horizontal="center" vertical="top" wrapText="1"/>
    </xf>
    <xf numFmtId="0" fontId="4" fillId="0" borderId="97" xfId="0" applyFont="1" applyBorder="1" applyAlignment="1">
      <alignment horizontal="center" vertical="top" wrapText="1"/>
    </xf>
    <xf numFmtId="0" fontId="4" fillId="0" borderId="98" xfId="0" applyFont="1" applyBorder="1" applyAlignment="1">
      <alignment horizontal="center" vertical="top" wrapText="1"/>
    </xf>
    <xf numFmtId="1" fontId="2" fillId="2" borderId="99" xfId="0" applyNumberFormat="1" applyFont="1" applyFill="1" applyBorder="1" applyProtection="1">
      <protection locked="0"/>
    </xf>
    <xf numFmtId="49" fontId="26" fillId="2" borderId="103" xfId="0" applyNumberFormat="1" applyFont="1" applyFill="1" applyBorder="1" applyProtection="1">
      <protection locked="0"/>
    </xf>
    <xf numFmtId="0" fontId="4" fillId="2" borderId="104" xfId="0" applyFont="1" applyFill="1" applyBorder="1" applyAlignment="1">
      <alignment horizontal="center" vertical="top" wrapText="1"/>
    </xf>
    <xf numFmtId="0" fontId="4" fillId="2" borderId="105" xfId="0" applyFont="1" applyFill="1" applyBorder="1" applyAlignment="1">
      <alignment horizontal="center" vertical="top" wrapText="1"/>
    </xf>
    <xf numFmtId="0" fontId="4" fillId="2" borderId="106" xfId="0" applyFont="1" applyFill="1" applyBorder="1" applyAlignment="1">
      <alignment horizontal="center" vertical="top" wrapText="1"/>
    </xf>
    <xf numFmtId="0" fontId="4" fillId="0" borderId="107" xfId="0" applyFont="1" applyBorder="1" applyAlignment="1">
      <alignment horizontal="center"/>
    </xf>
    <xf numFmtId="0" fontId="4" fillId="18" borderId="105" xfId="0" applyFont="1" applyFill="1" applyBorder="1" applyAlignment="1">
      <alignment horizontal="center" vertical="top"/>
    </xf>
    <xf numFmtId="0" fontId="4" fillId="18" borderId="106" xfId="0" applyFont="1" applyFill="1" applyBorder="1" applyAlignment="1">
      <alignment horizontal="center" vertical="top"/>
    </xf>
    <xf numFmtId="1" fontId="2" fillId="0" borderId="107" xfId="0" applyNumberFormat="1" applyFont="1" applyBorder="1" applyProtection="1">
      <protection locked="0"/>
    </xf>
    <xf numFmtId="0" fontId="32" fillId="0" borderId="108" xfId="0" applyFont="1" applyBorder="1" applyProtection="1">
      <protection locked="0"/>
    </xf>
    <xf numFmtId="0" fontId="32" fillId="46" borderId="108" xfId="0" applyFont="1" applyFill="1" applyBorder="1" applyProtection="1">
      <protection locked="0"/>
    </xf>
    <xf numFmtId="49" fontId="32" fillId="0" borderId="108" xfId="0" applyNumberFormat="1" applyFont="1" applyBorder="1" applyProtection="1">
      <protection locked="0"/>
    </xf>
    <xf numFmtId="49" fontId="22" fillId="0" borderId="108" xfId="0" applyNumberFormat="1" applyFont="1" applyBorder="1" applyProtection="1">
      <protection locked="0"/>
    </xf>
    <xf numFmtId="49" fontId="26" fillId="7" borderId="108" xfId="0" applyNumberFormat="1" applyFont="1" applyFill="1" applyBorder="1" applyAlignment="1" applyProtection="1">
      <alignment horizontal="center"/>
      <protection locked="0"/>
    </xf>
    <xf numFmtId="0" fontId="4" fillId="12" borderId="107" xfId="0" applyFont="1" applyFill="1" applyBorder="1" applyAlignment="1">
      <alignment horizontal="center" vertical="top"/>
    </xf>
    <xf numFmtId="0" fontId="4" fillId="2" borderId="106" xfId="0" applyFont="1" applyFill="1" applyBorder="1" applyAlignment="1">
      <alignment horizontal="center" vertical="top" wrapText="1"/>
    </xf>
    <xf numFmtId="0" fontId="4" fillId="0" borderId="104" xfId="0" applyFont="1" applyBorder="1" applyAlignment="1">
      <alignment horizontal="center" vertical="top" wrapText="1"/>
    </xf>
    <xf numFmtId="0" fontId="4" fillId="0" borderId="106" xfId="0" applyFont="1" applyBorder="1" applyAlignment="1">
      <alignment horizontal="center" vertical="top" wrapText="1"/>
    </xf>
    <xf numFmtId="1" fontId="2" fillId="2" borderId="107" xfId="0" applyNumberFormat="1" applyFont="1" applyFill="1" applyBorder="1" applyProtection="1">
      <protection locked="0"/>
    </xf>
    <xf numFmtId="49" fontId="26" fillId="2" borderId="108" xfId="0" applyNumberFormat="1" applyFont="1" applyFill="1" applyBorder="1" applyProtection="1">
      <protection locked="0"/>
    </xf>
    <xf numFmtId="0" fontId="4" fillId="2" borderId="109" xfId="0" applyFont="1" applyFill="1" applyBorder="1" applyAlignment="1">
      <alignment horizontal="center" vertical="top" wrapText="1"/>
    </xf>
    <xf numFmtId="0" fontId="4" fillId="2" borderId="110" xfId="0" applyFont="1" applyFill="1" applyBorder="1" applyAlignment="1">
      <alignment horizontal="center" vertical="top" wrapText="1"/>
    </xf>
    <xf numFmtId="0" fontId="4" fillId="2" borderId="111" xfId="0" applyFont="1" applyFill="1" applyBorder="1" applyAlignment="1">
      <alignment horizontal="center" vertical="top" wrapText="1"/>
    </xf>
    <xf numFmtId="0" fontId="4" fillId="0" borderId="112" xfId="0" applyFont="1" applyBorder="1" applyAlignment="1">
      <alignment horizontal="center"/>
    </xf>
    <xf numFmtId="0" fontId="4" fillId="18" borderId="110" xfId="0" applyFont="1" applyFill="1" applyBorder="1" applyAlignment="1">
      <alignment horizontal="center" vertical="top"/>
    </xf>
    <xf numFmtId="0" fontId="4" fillId="18" borderId="111" xfId="0" applyFont="1" applyFill="1" applyBorder="1" applyAlignment="1">
      <alignment horizontal="center" vertical="top"/>
    </xf>
    <xf numFmtId="1" fontId="2" fillId="0" borderId="112" xfId="0" applyNumberFormat="1" applyFont="1" applyBorder="1" applyProtection="1">
      <protection locked="0"/>
    </xf>
    <xf numFmtId="0" fontId="32" fillId="0" borderId="113" xfId="0" applyFont="1" applyBorder="1" applyProtection="1">
      <protection locked="0"/>
    </xf>
    <xf numFmtId="0" fontId="32" fillId="46" borderId="113" xfId="0" applyFont="1" applyFill="1" applyBorder="1" applyProtection="1">
      <protection locked="0"/>
    </xf>
    <xf numFmtId="49" fontId="32" fillId="0" borderId="113" xfId="0" applyNumberFormat="1" applyFont="1" applyBorder="1" applyProtection="1">
      <protection locked="0"/>
    </xf>
    <xf numFmtId="49" fontId="22" fillId="0" borderId="113" xfId="0" applyNumberFormat="1" applyFont="1" applyBorder="1" applyProtection="1">
      <protection locked="0"/>
    </xf>
    <xf numFmtId="49" fontId="26" fillId="7" borderId="113" xfId="0" applyNumberFormat="1" applyFont="1" applyFill="1" applyBorder="1" applyAlignment="1" applyProtection="1">
      <alignment horizontal="center"/>
      <protection locked="0"/>
    </xf>
    <xf numFmtId="0" fontId="4" fillId="12" borderId="112" xfId="0" applyFont="1" applyFill="1" applyBorder="1" applyAlignment="1">
      <alignment horizontal="center" vertical="top"/>
    </xf>
    <xf numFmtId="0" fontId="4" fillId="2" borderId="110" xfId="0" applyFont="1" applyFill="1" applyBorder="1" applyAlignment="1">
      <alignment horizontal="center" vertical="top" wrapText="1"/>
    </xf>
    <xf numFmtId="0" fontId="4" fillId="2" borderId="111" xfId="0" applyFont="1" applyFill="1" applyBorder="1" applyAlignment="1">
      <alignment horizontal="center" vertical="top" wrapText="1"/>
    </xf>
    <xf numFmtId="0" fontId="4" fillId="0" borderId="109" xfId="0" applyFont="1" applyBorder="1" applyAlignment="1">
      <alignment horizontal="center" vertical="top" wrapText="1"/>
    </xf>
    <xf numFmtId="0" fontId="4" fillId="0" borderId="110" xfId="0" applyFont="1" applyBorder="1" applyAlignment="1">
      <alignment horizontal="center" vertical="top" wrapText="1"/>
    </xf>
    <xf numFmtId="0" fontId="4" fillId="0" borderId="111" xfId="0" applyFont="1" applyBorder="1" applyAlignment="1">
      <alignment horizontal="center" vertical="top" wrapText="1"/>
    </xf>
    <xf numFmtId="1" fontId="2" fillId="2" borderId="112" xfId="0" applyNumberFormat="1" applyFont="1" applyFill="1" applyBorder="1" applyProtection="1">
      <protection locked="0"/>
    </xf>
    <xf numFmtId="49" fontId="26" fillId="2" borderId="113" xfId="0" applyNumberFormat="1" applyFont="1" applyFill="1" applyBorder="1" applyProtection="1">
      <protection locked="0"/>
    </xf>
    <xf numFmtId="0" fontId="4" fillId="2" borderId="114" xfId="0" applyFont="1" applyFill="1" applyBorder="1" applyAlignment="1">
      <alignment horizontal="center" vertical="top" wrapText="1"/>
    </xf>
    <xf numFmtId="0" fontId="4" fillId="2" borderId="115" xfId="0" applyFont="1" applyFill="1" applyBorder="1" applyAlignment="1">
      <alignment horizontal="center" vertical="top" wrapText="1"/>
    </xf>
    <xf numFmtId="0" fontId="4" fillId="2" borderId="116" xfId="0" applyFont="1" applyFill="1" applyBorder="1" applyAlignment="1">
      <alignment horizontal="center" vertical="top" wrapText="1"/>
    </xf>
    <xf numFmtId="0" fontId="4" fillId="0" borderId="117" xfId="0" applyFont="1" applyBorder="1" applyAlignment="1">
      <alignment horizontal="center"/>
    </xf>
    <xf numFmtId="0" fontId="4" fillId="18" borderId="115" xfId="0" applyFont="1" applyFill="1" applyBorder="1" applyAlignment="1">
      <alignment horizontal="center" vertical="top"/>
    </xf>
    <xf numFmtId="0" fontId="4" fillId="18" borderId="116" xfId="0" applyFont="1" applyFill="1" applyBorder="1" applyAlignment="1">
      <alignment horizontal="center" vertical="top"/>
    </xf>
    <xf numFmtId="1" fontId="2" fillId="0" borderId="117" xfId="0" applyNumberFormat="1" applyFont="1" applyBorder="1" applyProtection="1">
      <protection locked="0"/>
    </xf>
    <xf numFmtId="0" fontId="32" fillId="0" borderId="118" xfId="0" applyFont="1" applyBorder="1" applyProtection="1">
      <protection locked="0"/>
    </xf>
    <xf numFmtId="0" fontId="32" fillId="46" borderId="118" xfId="0" applyFont="1" applyFill="1" applyBorder="1" applyProtection="1">
      <protection locked="0"/>
    </xf>
    <xf numFmtId="49" fontId="32" fillId="0" borderId="118" xfId="0" applyNumberFormat="1" applyFont="1" applyBorder="1" applyProtection="1">
      <protection locked="0"/>
    </xf>
    <xf numFmtId="49" fontId="22" fillId="0" borderId="118" xfId="0" applyNumberFormat="1" applyFont="1" applyBorder="1" applyProtection="1">
      <protection locked="0"/>
    </xf>
    <xf numFmtId="49" fontId="26" fillId="7" borderId="118" xfId="0" applyNumberFormat="1" applyFont="1" applyFill="1" applyBorder="1" applyAlignment="1" applyProtection="1">
      <alignment horizontal="center"/>
      <protection locked="0"/>
    </xf>
    <xf numFmtId="0" fontId="4" fillId="12" borderId="117" xfId="0" applyFont="1" applyFill="1" applyBorder="1" applyAlignment="1">
      <alignment horizontal="center" vertical="top"/>
    </xf>
    <xf numFmtId="0" fontId="4" fillId="2" borderId="115" xfId="0" applyFont="1" applyFill="1" applyBorder="1" applyAlignment="1">
      <alignment horizontal="center" vertical="top" wrapText="1"/>
    </xf>
    <xf numFmtId="0" fontId="4" fillId="2" borderId="116" xfId="0" applyFont="1" applyFill="1" applyBorder="1" applyAlignment="1">
      <alignment horizontal="center" vertical="top" wrapText="1"/>
    </xf>
    <xf numFmtId="0" fontId="4" fillId="0" borderId="114" xfId="0" applyFont="1" applyBorder="1" applyAlignment="1">
      <alignment horizontal="center" vertical="top" wrapText="1"/>
    </xf>
    <xf numFmtId="0" fontId="4" fillId="0" borderId="115" xfId="0" applyFont="1" applyBorder="1" applyAlignment="1">
      <alignment horizontal="center" vertical="top" wrapText="1"/>
    </xf>
    <xf numFmtId="0" fontId="4" fillId="0" borderId="116" xfId="0" applyFont="1" applyBorder="1" applyAlignment="1">
      <alignment horizontal="center" vertical="top" wrapText="1"/>
    </xf>
    <xf numFmtId="1" fontId="2" fillId="2" borderId="117" xfId="0" applyNumberFormat="1" applyFont="1" applyFill="1" applyBorder="1" applyProtection="1">
      <protection locked="0"/>
    </xf>
    <xf numFmtId="49" fontId="26" fillId="2" borderId="118" xfId="0" applyNumberFormat="1" applyFont="1" applyFill="1" applyBorder="1" applyProtection="1">
      <protection locked="0"/>
    </xf>
    <xf numFmtId="0" fontId="4" fillId="2" borderId="119" xfId="0" applyFont="1" applyFill="1" applyBorder="1" applyAlignment="1">
      <alignment horizontal="center" vertical="top" wrapText="1"/>
    </xf>
    <xf numFmtId="0" fontId="4" fillId="2" borderId="120" xfId="0" applyFont="1" applyFill="1" applyBorder="1" applyAlignment="1">
      <alignment horizontal="center" vertical="top" wrapText="1"/>
    </xf>
    <xf numFmtId="0" fontId="4" fillId="2" borderId="121" xfId="0" applyFont="1" applyFill="1" applyBorder="1" applyAlignment="1">
      <alignment horizontal="center" vertical="top" wrapText="1"/>
    </xf>
    <xf numFmtId="0" fontId="4" fillId="0" borderId="122" xfId="0" applyFont="1" applyBorder="1" applyAlignment="1">
      <alignment horizontal="center"/>
    </xf>
    <xf numFmtId="0" fontId="4" fillId="18" borderId="120" xfId="0" applyFont="1" applyFill="1" applyBorder="1" applyAlignment="1">
      <alignment horizontal="center" vertical="top"/>
    </xf>
    <xf numFmtId="0" fontId="4" fillId="18" borderId="121" xfId="0" applyFont="1" applyFill="1" applyBorder="1" applyAlignment="1">
      <alignment horizontal="center" vertical="top"/>
    </xf>
    <xf numFmtId="0" fontId="37" fillId="0" borderId="70" xfId="0" applyFont="1" applyBorder="1" applyAlignment="1" applyProtection="1">
      <protection locked="0"/>
    </xf>
    <xf numFmtId="0" fontId="37" fillId="0" borderId="24" xfId="0" applyFont="1" applyBorder="1" applyAlignment="1" applyProtection="1">
      <protection locked="0"/>
    </xf>
    <xf numFmtId="0" fontId="37" fillId="0" borderId="61" xfId="0" applyFont="1" applyBorder="1" applyAlignment="1" applyProtection="1">
      <protection locked="0"/>
    </xf>
    <xf numFmtId="1" fontId="2" fillId="0" borderId="122" xfId="0" applyNumberFormat="1" applyFont="1" applyBorder="1" applyProtection="1">
      <protection locked="0"/>
    </xf>
    <xf numFmtId="0" fontId="32" fillId="0" borderId="123" xfId="0" applyFont="1" applyBorder="1" applyProtection="1">
      <protection locked="0"/>
    </xf>
    <xf numFmtId="0" fontId="32" fillId="46" borderId="123" xfId="0" applyFont="1" applyFill="1" applyBorder="1" applyProtection="1">
      <protection locked="0"/>
    </xf>
    <xf numFmtId="49" fontId="32" fillId="0" borderId="123" xfId="0" applyNumberFormat="1" applyFont="1" applyBorder="1" applyProtection="1">
      <protection locked="0"/>
    </xf>
    <xf numFmtId="49" fontId="22" fillId="0" borderId="123" xfId="0" applyNumberFormat="1" applyFont="1" applyBorder="1" applyProtection="1">
      <protection locked="0"/>
    </xf>
    <xf numFmtId="49" fontId="26" fillId="7" borderId="123" xfId="0" applyNumberFormat="1" applyFont="1" applyFill="1" applyBorder="1" applyAlignment="1" applyProtection="1">
      <alignment horizontal="center"/>
      <protection locked="0"/>
    </xf>
  </cellXfs>
  <cellStyles count="6">
    <cellStyle name="Normal" xfId="0" builtinId="0"/>
    <cellStyle name="Normal 2 2" xfId="2" xr:uid="{C581C09E-2E93-0847-AEA7-8C26CE355D91}"/>
    <cellStyle name="Normal 3" xfId="3" xr:uid="{F74020E8-CA11-F94D-89DE-A0EC384FD743}"/>
    <cellStyle name="Normal 4" xfId="4" xr:uid="{D2B6D1D0-5BDE-BC48-8FE4-E330AE8647ED}"/>
    <cellStyle name="Normal_Draft" xfId="5" xr:uid="{3E75B687-EDA2-0941-8B6E-FDC0969B90E6}"/>
    <cellStyle name="Normal_Sheet1" xfId="1" xr:uid="{BEE2531D-34BB-8644-8884-2978B90276A1}"/>
  </cellStyles>
  <dxfs count="1921">
    <dxf>
      <fill>
        <patternFill>
          <bgColor rgb="FFFFFF00"/>
        </patternFill>
      </fill>
    </dxf>
    <dxf>
      <fill>
        <patternFill>
          <bgColor rgb="FF1ADC1F"/>
        </patternFill>
      </fill>
    </dxf>
    <dxf>
      <fill>
        <patternFill>
          <bgColor rgb="FFFFADD6"/>
        </patternFill>
      </fill>
    </dxf>
    <dxf>
      <fill>
        <patternFill>
          <bgColor rgb="FF00CCFF"/>
        </patternFill>
      </fill>
    </dxf>
    <dxf>
      <fill>
        <patternFill>
          <bgColor rgb="FFFFC000"/>
        </patternFill>
      </fill>
    </dxf>
    <dxf>
      <fill>
        <patternFill>
          <bgColor rgb="FFE7CDFF"/>
        </patternFill>
      </fill>
    </dxf>
    <dxf>
      <fill>
        <patternFill>
          <bgColor rgb="FFD5CBFF"/>
        </patternFill>
      </fill>
    </dxf>
    <dxf>
      <fill>
        <patternFill>
          <bgColor rgb="FFCCFFCC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CCFFCC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FFFDA9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2FFFB"/>
        </patternFill>
      </fill>
    </dxf>
    <dxf>
      <fill>
        <patternFill>
          <bgColor rgb="FFFF9197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A2FFFB"/>
        </patternFill>
      </fill>
    </dxf>
    <dxf>
      <fill>
        <patternFill>
          <bgColor rgb="FFE3F4FF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FFCDFA"/>
        </patternFill>
      </fill>
    </dxf>
    <dxf>
      <fill>
        <patternFill>
          <bgColor rgb="FF71DEF0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FF00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E3F4FF"/>
        </patternFill>
      </fill>
    </dxf>
    <dxf>
      <fill>
        <patternFill>
          <bgColor rgb="FFFFC000"/>
        </patternFill>
      </fill>
    </dxf>
    <dxf>
      <fill>
        <patternFill>
          <bgColor rgb="FFA2FFFB"/>
        </patternFill>
      </fill>
    </dxf>
    <dxf>
      <fill>
        <patternFill>
          <bgColor rgb="FFFFCDFA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E3F4FF"/>
        </patternFill>
      </fill>
    </dxf>
    <dxf>
      <fill>
        <patternFill>
          <bgColor rgb="FFFFC000"/>
        </patternFill>
      </fill>
    </dxf>
    <dxf>
      <fill>
        <patternFill>
          <bgColor rgb="FFA2FFFB"/>
        </patternFill>
      </fill>
    </dxf>
    <dxf>
      <fill>
        <patternFill>
          <bgColor rgb="FFFFCDFA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919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A2FFF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1ADC1F"/>
        </patternFill>
      </fill>
    </dxf>
    <dxf>
      <fill>
        <patternFill>
          <bgColor rgb="FFFFADD6"/>
        </patternFill>
      </fill>
    </dxf>
    <dxf>
      <fill>
        <patternFill>
          <bgColor rgb="FF00CC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1ADC1F"/>
        </patternFill>
      </fill>
    </dxf>
    <dxf>
      <fill>
        <patternFill>
          <bgColor rgb="FFFFADD6"/>
        </patternFill>
      </fill>
    </dxf>
    <dxf>
      <fill>
        <patternFill>
          <bgColor rgb="FF00CCFF"/>
        </patternFill>
      </fill>
    </dxf>
    <dxf>
      <fill>
        <patternFill>
          <bgColor rgb="FFFFC000"/>
        </patternFill>
      </fill>
    </dxf>
    <dxf>
      <fill>
        <patternFill>
          <bgColor rgb="FFE7CDFF"/>
        </patternFill>
      </fill>
    </dxf>
    <dxf>
      <fill>
        <patternFill>
          <bgColor rgb="FFD5CBFF"/>
        </patternFill>
      </fill>
    </dxf>
    <dxf>
      <fill>
        <patternFill>
          <bgColor rgb="FFCCFFCC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CCFFCC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FFFDA9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A2FFFB"/>
        </patternFill>
      </fill>
    </dxf>
    <dxf>
      <fill>
        <patternFill>
          <bgColor rgb="FFFF9197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FFCDFA"/>
        </patternFill>
      </fill>
    </dxf>
    <dxf>
      <fill>
        <patternFill>
          <bgColor rgb="FF71DEF0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A2FFFB"/>
        </patternFill>
      </fill>
    </dxf>
    <dxf>
      <fill>
        <patternFill>
          <bgColor rgb="FFE3F4FF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E3F4FF"/>
        </patternFill>
      </fill>
    </dxf>
    <dxf>
      <fill>
        <patternFill>
          <bgColor rgb="FFFFC000"/>
        </patternFill>
      </fill>
    </dxf>
    <dxf>
      <fill>
        <patternFill>
          <bgColor rgb="FFA2FFFB"/>
        </patternFill>
      </fill>
    </dxf>
    <dxf>
      <fill>
        <patternFill>
          <bgColor rgb="FFFFCDFA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E3F4FF"/>
        </patternFill>
      </fill>
    </dxf>
    <dxf>
      <fill>
        <patternFill>
          <bgColor rgb="FFFFC000"/>
        </patternFill>
      </fill>
    </dxf>
    <dxf>
      <fill>
        <patternFill>
          <bgColor rgb="FFA2FFFB"/>
        </patternFill>
      </fill>
    </dxf>
    <dxf>
      <fill>
        <patternFill>
          <bgColor rgb="FFFFCDFA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919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A2FFF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1ADC1F"/>
        </patternFill>
      </fill>
    </dxf>
    <dxf>
      <fill>
        <patternFill>
          <bgColor rgb="FFFFADD6"/>
        </patternFill>
      </fill>
    </dxf>
    <dxf>
      <fill>
        <patternFill>
          <bgColor rgb="FF00CC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1ADC1F"/>
        </patternFill>
      </fill>
    </dxf>
    <dxf>
      <fill>
        <patternFill>
          <bgColor rgb="FFFFADD6"/>
        </patternFill>
      </fill>
    </dxf>
    <dxf>
      <fill>
        <patternFill>
          <bgColor rgb="FF00CCFF"/>
        </patternFill>
      </fill>
    </dxf>
    <dxf>
      <fill>
        <patternFill>
          <bgColor rgb="FFFFC000"/>
        </patternFill>
      </fill>
    </dxf>
    <dxf>
      <fill>
        <patternFill>
          <bgColor rgb="FFE7CDFF"/>
        </patternFill>
      </fill>
    </dxf>
    <dxf>
      <fill>
        <patternFill>
          <bgColor rgb="FFD5CBFF"/>
        </patternFill>
      </fill>
    </dxf>
    <dxf>
      <fill>
        <patternFill>
          <bgColor rgb="FFCCFFCC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CCFFCC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FFFDA9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A2FFFB"/>
        </patternFill>
      </fill>
    </dxf>
    <dxf>
      <fill>
        <patternFill>
          <bgColor rgb="FFFF9197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A2FFFB"/>
        </patternFill>
      </fill>
    </dxf>
    <dxf>
      <fill>
        <patternFill>
          <bgColor rgb="FFE3F4FF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FFCDFA"/>
        </patternFill>
      </fill>
    </dxf>
    <dxf>
      <fill>
        <patternFill>
          <bgColor rgb="FF71DEF0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FF00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E3F4FF"/>
        </patternFill>
      </fill>
    </dxf>
    <dxf>
      <fill>
        <patternFill>
          <bgColor rgb="FFFFC000"/>
        </patternFill>
      </fill>
    </dxf>
    <dxf>
      <fill>
        <patternFill>
          <bgColor rgb="FFA2FFFB"/>
        </patternFill>
      </fill>
    </dxf>
    <dxf>
      <fill>
        <patternFill>
          <bgColor rgb="FFFFCDFA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E3F4FF"/>
        </patternFill>
      </fill>
    </dxf>
    <dxf>
      <fill>
        <patternFill>
          <bgColor rgb="FFFFC000"/>
        </patternFill>
      </fill>
    </dxf>
    <dxf>
      <fill>
        <patternFill>
          <bgColor rgb="FFA2FFFB"/>
        </patternFill>
      </fill>
    </dxf>
    <dxf>
      <fill>
        <patternFill>
          <bgColor rgb="FFFFCDFA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919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A2FFF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1ADC1F"/>
        </patternFill>
      </fill>
    </dxf>
    <dxf>
      <fill>
        <patternFill>
          <bgColor rgb="FFFFADD6"/>
        </patternFill>
      </fill>
    </dxf>
    <dxf>
      <fill>
        <patternFill>
          <bgColor rgb="FF00CC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1ADC1F"/>
        </patternFill>
      </fill>
    </dxf>
    <dxf>
      <fill>
        <patternFill>
          <bgColor rgb="FFFFADD6"/>
        </patternFill>
      </fill>
    </dxf>
    <dxf>
      <fill>
        <patternFill>
          <bgColor rgb="FF00CCFF"/>
        </patternFill>
      </fill>
    </dxf>
    <dxf>
      <fill>
        <patternFill>
          <bgColor rgb="FFFFC000"/>
        </patternFill>
      </fill>
    </dxf>
    <dxf>
      <fill>
        <patternFill>
          <bgColor rgb="FFE7CDFF"/>
        </patternFill>
      </fill>
    </dxf>
    <dxf>
      <fill>
        <patternFill>
          <bgColor rgb="FFD5CBFF"/>
        </patternFill>
      </fill>
    </dxf>
    <dxf>
      <fill>
        <patternFill>
          <bgColor rgb="FFCCFFCC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CCFFCC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FFFDA9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D5FFFF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A2FFFB"/>
        </patternFill>
      </fill>
    </dxf>
    <dxf>
      <fill>
        <patternFill>
          <bgColor rgb="FFE3F4FF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A2FFFB"/>
        </patternFill>
      </fill>
    </dxf>
    <dxf>
      <fill>
        <patternFill>
          <bgColor rgb="FFE3F4FF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A2FFFB"/>
        </patternFill>
      </fill>
    </dxf>
    <dxf>
      <fill>
        <patternFill>
          <bgColor rgb="FFFF9197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A2FFFB"/>
        </patternFill>
      </fill>
    </dxf>
    <dxf>
      <fill>
        <patternFill>
          <bgColor rgb="FFE3F4FF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FFCDFA"/>
        </patternFill>
      </fill>
    </dxf>
    <dxf>
      <fill>
        <patternFill>
          <bgColor rgb="FF71DEF0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FF00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E3F4FF"/>
        </patternFill>
      </fill>
    </dxf>
    <dxf>
      <fill>
        <patternFill>
          <bgColor rgb="FFFFC000"/>
        </patternFill>
      </fill>
    </dxf>
    <dxf>
      <fill>
        <patternFill>
          <bgColor rgb="FFA2FFFB"/>
        </patternFill>
      </fill>
    </dxf>
    <dxf>
      <fill>
        <patternFill>
          <bgColor rgb="FFFFCDFA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E3F4FF"/>
        </patternFill>
      </fill>
    </dxf>
    <dxf>
      <fill>
        <patternFill>
          <bgColor rgb="FFFFC000"/>
        </patternFill>
      </fill>
    </dxf>
    <dxf>
      <fill>
        <patternFill>
          <bgColor rgb="FFA2FFFB"/>
        </patternFill>
      </fill>
    </dxf>
    <dxf>
      <fill>
        <patternFill>
          <bgColor rgb="FFFFCDFA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919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A2FFF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1ADC1F"/>
        </patternFill>
      </fill>
    </dxf>
    <dxf>
      <fill>
        <patternFill>
          <bgColor rgb="FFFFADD6"/>
        </patternFill>
      </fill>
    </dxf>
    <dxf>
      <fill>
        <patternFill>
          <bgColor rgb="FF00CC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1ADC1F"/>
        </patternFill>
      </fill>
    </dxf>
    <dxf>
      <fill>
        <patternFill>
          <bgColor rgb="FFFFADD6"/>
        </patternFill>
      </fill>
    </dxf>
    <dxf>
      <fill>
        <patternFill>
          <bgColor rgb="FF00CCFF"/>
        </patternFill>
      </fill>
    </dxf>
    <dxf>
      <fill>
        <patternFill>
          <bgColor rgb="FFFFC000"/>
        </patternFill>
      </fill>
    </dxf>
    <dxf>
      <fill>
        <patternFill>
          <bgColor rgb="FFE7CDFF"/>
        </patternFill>
      </fill>
    </dxf>
    <dxf>
      <fill>
        <patternFill>
          <bgColor rgb="FFD5CBFF"/>
        </patternFill>
      </fill>
    </dxf>
    <dxf>
      <fill>
        <patternFill>
          <bgColor rgb="FFCCFFCC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CCFFCC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FFFDA9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A2FFFB"/>
        </patternFill>
      </fill>
    </dxf>
    <dxf>
      <fill>
        <patternFill>
          <bgColor rgb="FFE3F4FF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A2FFFB"/>
        </patternFill>
      </fill>
    </dxf>
    <dxf>
      <fill>
        <patternFill>
          <bgColor rgb="FFE3F4FF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A2FFFB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A2FFFB"/>
        </patternFill>
      </fill>
    </dxf>
    <dxf>
      <fill>
        <patternFill>
          <bgColor rgb="FFE3F4FF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FFCDFA"/>
        </patternFill>
      </fill>
    </dxf>
    <dxf>
      <fill>
        <patternFill>
          <bgColor rgb="FF71DEF0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FF00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E3F4FF"/>
        </patternFill>
      </fill>
    </dxf>
    <dxf>
      <fill>
        <patternFill>
          <bgColor rgb="FFFFC000"/>
        </patternFill>
      </fill>
    </dxf>
    <dxf>
      <fill>
        <patternFill>
          <bgColor rgb="FFA2FFFB"/>
        </patternFill>
      </fill>
    </dxf>
    <dxf>
      <fill>
        <patternFill>
          <bgColor rgb="FFFFCDFA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E3F4FF"/>
        </patternFill>
      </fill>
    </dxf>
    <dxf>
      <fill>
        <patternFill>
          <bgColor rgb="FFFFC000"/>
        </patternFill>
      </fill>
    </dxf>
    <dxf>
      <fill>
        <patternFill>
          <bgColor rgb="FFA2FFFB"/>
        </patternFill>
      </fill>
    </dxf>
    <dxf>
      <fill>
        <patternFill>
          <bgColor rgb="FFFFCDFA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919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A2FFF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1ADC1F"/>
        </patternFill>
      </fill>
    </dxf>
    <dxf>
      <fill>
        <patternFill>
          <bgColor rgb="FFFFADD6"/>
        </patternFill>
      </fill>
    </dxf>
    <dxf>
      <fill>
        <patternFill>
          <bgColor rgb="FF00CC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1ADC1F"/>
        </patternFill>
      </fill>
    </dxf>
    <dxf>
      <fill>
        <patternFill>
          <bgColor rgb="FFFFADD6"/>
        </patternFill>
      </fill>
    </dxf>
    <dxf>
      <fill>
        <patternFill>
          <bgColor rgb="FF00CCFF"/>
        </patternFill>
      </fill>
    </dxf>
    <dxf>
      <fill>
        <patternFill>
          <bgColor rgb="FFFFC000"/>
        </patternFill>
      </fill>
    </dxf>
    <dxf>
      <fill>
        <patternFill>
          <bgColor rgb="FFE7CDFF"/>
        </patternFill>
      </fill>
    </dxf>
    <dxf>
      <fill>
        <patternFill>
          <bgColor rgb="FFD5CBFF"/>
        </patternFill>
      </fill>
    </dxf>
    <dxf>
      <fill>
        <patternFill>
          <bgColor rgb="FFCCFFCC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CCFFCC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FFFDA9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A2FFFB"/>
        </patternFill>
      </fill>
    </dxf>
    <dxf>
      <fill>
        <patternFill>
          <bgColor rgb="FFE3F4FF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A2FFFB"/>
        </patternFill>
      </fill>
    </dxf>
    <dxf>
      <fill>
        <patternFill>
          <bgColor rgb="FFFF9197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A2FFFB"/>
        </patternFill>
      </fill>
    </dxf>
    <dxf>
      <fill>
        <patternFill>
          <bgColor rgb="FFE3F4FF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FFCDFA"/>
        </patternFill>
      </fill>
    </dxf>
    <dxf>
      <fill>
        <patternFill>
          <bgColor rgb="FF71DEF0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FF00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E3F4FF"/>
        </patternFill>
      </fill>
    </dxf>
    <dxf>
      <fill>
        <patternFill>
          <bgColor rgb="FFFFC000"/>
        </patternFill>
      </fill>
    </dxf>
    <dxf>
      <fill>
        <patternFill>
          <bgColor rgb="FFA2FFFB"/>
        </patternFill>
      </fill>
    </dxf>
    <dxf>
      <fill>
        <patternFill>
          <bgColor rgb="FFFFCDFA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E3F4FF"/>
        </patternFill>
      </fill>
    </dxf>
    <dxf>
      <fill>
        <patternFill>
          <bgColor rgb="FFFFC000"/>
        </patternFill>
      </fill>
    </dxf>
    <dxf>
      <fill>
        <patternFill>
          <bgColor rgb="FFA2FFFB"/>
        </patternFill>
      </fill>
    </dxf>
    <dxf>
      <fill>
        <patternFill>
          <bgColor rgb="FFFFCDFA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919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A2FFF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1ADC1F"/>
        </patternFill>
      </fill>
    </dxf>
    <dxf>
      <fill>
        <patternFill>
          <bgColor rgb="FFFFADD6"/>
        </patternFill>
      </fill>
    </dxf>
    <dxf>
      <fill>
        <patternFill>
          <bgColor rgb="FF00CC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1ADC1F"/>
        </patternFill>
      </fill>
    </dxf>
    <dxf>
      <fill>
        <patternFill>
          <bgColor rgb="FFFFADD6"/>
        </patternFill>
      </fill>
    </dxf>
    <dxf>
      <fill>
        <patternFill>
          <bgColor rgb="FF00CCFF"/>
        </patternFill>
      </fill>
    </dxf>
    <dxf>
      <fill>
        <patternFill>
          <bgColor rgb="FFFFC000"/>
        </patternFill>
      </fill>
    </dxf>
    <dxf>
      <fill>
        <patternFill>
          <bgColor rgb="FFE7CDFF"/>
        </patternFill>
      </fill>
    </dxf>
    <dxf>
      <fill>
        <patternFill>
          <bgColor rgb="FFD5CBFF"/>
        </patternFill>
      </fill>
    </dxf>
    <dxf>
      <fill>
        <patternFill>
          <bgColor rgb="FFCCFFCC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CCFFCC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FFFDA9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A2FFFB"/>
        </patternFill>
      </fill>
    </dxf>
    <dxf>
      <fill>
        <patternFill>
          <bgColor rgb="FFFF9197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A2FFFB"/>
        </patternFill>
      </fill>
    </dxf>
    <dxf>
      <fill>
        <patternFill>
          <bgColor rgb="FFE3F4FF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FFCDFA"/>
        </patternFill>
      </fill>
    </dxf>
    <dxf>
      <fill>
        <patternFill>
          <bgColor rgb="FF71DEF0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FF00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E3F4FF"/>
        </patternFill>
      </fill>
    </dxf>
    <dxf>
      <fill>
        <patternFill>
          <bgColor rgb="FFFFC000"/>
        </patternFill>
      </fill>
    </dxf>
    <dxf>
      <fill>
        <patternFill>
          <bgColor rgb="FFA2FFFB"/>
        </patternFill>
      </fill>
    </dxf>
    <dxf>
      <fill>
        <patternFill>
          <bgColor rgb="FFFFCDFA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E3F4FF"/>
        </patternFill>
      </fill>
    </dxf>
    <dxf>
      <fill>
        <patternFill>
          <bgColor rgb="FFFFC000"/>
        </patternFill>
      </fill>
    </dxf>
    <dxf>
      <fill>
        <patternFill>
          <bgColor rgb="FFA2FFFB"/>
        </patternFill>
      </fill>
    </dxf>
    <dxf>
      <fill>
        <patternFill>
          <bgColor rgb="FFFFCDFA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919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A2FFF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1ADC1F"/>
        </patternFill>
      </fill>
    </dxf>
    <dxf>
      <fill>
        <patternFill>
          <bgColor rgb="FFFFADD6"/>
        </patternFill>
      </fill>
    </dxf>
    <dxf>
      <fill>
        <patternFill>
          <bgColor rgb="FF00CC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1ADC1F"/>
        </patternFill>
      </fill>
    </dxf>
    <dxf>
      <fill>
        <patternFill>
          <bgColor rgb="FFFFADD6"/>
        </patternFill>
      </fill>
    </dxf>
    <dxf>
      <fill>
        <patternFill>
          <bgColor rgb="FF00CCFF"/>
        </patternFill>
      </fill>
    </dxf>
    <dxf>
      <fill>
        <patternFill>
          <bgColor rgb="FFFFC000"/>
        </patternFill>
      </fill>
    </dxf>
    <dxf>
      <fill>
        <patternFill>
          <bgColor rgb="FFE7CDFF"/>
        </patternFill>
      </fill>
    </dxf>
    <dxf>
      <fill>
        <patternFill>
          <bgColor rgb="FFD5CBFF"/>
        </patternFill>
      </fill>
    </dxf>
    <dxf>
      <fill>
        <patternFill>
          <bgColor rgb="FFCCFFCC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CCFFCC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FFFDA9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2FFFB"/>
        </patternFill>
      </fill>
    </dxf>
    <dxf>
      <fill>
        <patternFill>
          <bgColor rgb="FFFF9197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A2FFFB"/>
        </patternFill>
      </fill>
    </dxf>
    <dxf>
      <fill>
        <patternFill>
          <bgColor rgb="FFE3F4FF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FFCDFA"/>
        </patternFill>
      </fill>
    </dxf>
    <dxf>
      <fill>
        <patternFill>
          <bgColor rgb="FF71DEF0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FF00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E3F4FF"/>
        </patternFill>
      </fill>
    </dxf>
    <dxf>
      <fill>
        <patternFill>
          <bgColor rgb="FFFFC000"/>
        </patternFill>
      </fill>
    </dxf>
    <dxf>
      <fill>
        <patternFill>
          <bgColor rgb="FFA2FFFB"/>
        </patternFill>
      </fill>
    </dxf>
    <dxf>
      <fill>
        <patternFill>
          <bgColor rgb="FFFFCDFA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E3F4FF"/>
        </patternFill>
      </fill>
    </dxf>
    <dxf>
      <fill>
        <patternFill>
          <bgColor rgb="FFFFC000"/>
        </patternFill>
      </fill>
    </dxf>
    <dxf>
      <fill>
        <patternFill>
          <bgColor rgb="FFA2FFFB"/>
        </patternFill>
      </fill>
    </dxf>
    <dxf>
      <fill>
        <patternFill>
          <bgColor rgb="FFFFCDFA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919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A2FFF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1ADC1F"/>
        </patternFill>
      </fill>
    </dxf>
    <dxf>
      <fill>
        <patternFill>
          <bgColor rgb="FFFFADD6"/>
        </patternFill>
      </fill>
    </dxf>
    <dxf>
      <fill>
        <patternFill>
          <bgColor rgb="FF00CC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1ADC1F"/>
        </patternFill>
      </fill>
    </dxf>
    <dxf>
      <fill>
        <patternFill>
          <bgColor rgb="FFFFADD6"/>
        </patternFill>
      </fill>
    </dxf>
    <dxf>
      <fill>
        <patternFill>
          <bgColor rgb="FF00CCFF"/>
        </patternFill>
      </fill>
    </dxf>
    <dxf>
      <fill>
        <patternFill>
          <bgColor rgb="FFFFC000"/>
        </patternFill>
      </fill>
    </dxf>
    <dxf>
      <fill>
        <patternFill>
          <bgColor rgb="FFE7CDFF"/>
        </patternFill>
      </fill>
    </dxf>
    <dxf>
      <fill>
        <patternFill>
          <bgColor rgb="FFD5CBFF"/>
        </patternFill>
      </fill>
    </dxf>
    <dxf>
      <fill>
        <patternFill>
          <bgColor rgb="FFCCFFCC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CCFFCC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FFFDA9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A2FFFB"/>
        </patternFill>
      </fill>
    </dxf>
    <dxf>
      <fill>
        <patternFill>
          <bgColor rgb="FFFF9197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A2FFFB"/>
        </patternFill>
      </fill>
    </dxf>
    <dxf>
      <fill>
        <patternFill>
          <bgColor rgb="FFE3F4FF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FFCDFA"/>
        </patternFill>
      </fill>
    </dxf>
    <dxf>
      <fill>
        <patternFill>
          <bgColor rgb="FF71DEF0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FF00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E3F4FF"/>
        </patternFill>
      </fill>
    </dxf>
    <dxf>
      <fill>
        <patternFill>
          <bgColor rgb="FFFFC000"/>
        </patternFill>
      </fill>
    </dxf>
    <dxf>
      <fill>
        <patternFill>
          <bgColor rgb="FFA2FFFB"/>
        </patternFill>
      </fill>
    </dxf>
    <dxf>
      <fill>
        <patternFill>
          <bgColor rgb="FFFFCDFA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E3F4FF"/>
        </patternFill>
      </fill>
    </dxf>
    <dxf>
      <fill>
        <patternFill>
          <bgColor rgb="FFFFC000"/>
        </patternFill>
      </fill>
    </dxf>
    <dxf>
      <fill>
        <patternFill>
          <bgColor rgb="FFA2FFFB"/>
        </patternFill>
      </fill>
    </dxf>
    <dxf>
      <fill>
        <patternFill>
          <bgColor rgb="FFFFCDFA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919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A2FFF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1ADC1F"/>
        </patternFill>
      </fill>
    </dxf>
    <dxf>
      <fill>
        <patternFill>
          <bgColor rgb="FFFFADD6"/>
        </patternFill>
      </fill>
    </dxf>
    <dxf>
      <fill>
        <patternFill>
          <bgColor rgb="FF00CC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1ADC1F"/>
        </patternFill>
      </fill>
    </dxf>
    <dxf>
      <fill>
        <patternFill>
          <bgColor rgb="FFFFADD6"/>
        </patternFill>
      </fill>
    </dxf>
    <dxf>
      <fill>
        <patternFill>
          <bgColor rgb="FF00CCFF"/>
        </patternFill>
      </fill>
    </dxf>
    <dxf>
      <fill>
        <patternFill>
          <bgColor rgb="FFFFC000"/>
        </patternFill>
      </fill>
    </dxf>
    <dxf>
      <fill>
        <patternFill>
          <bgColor rgb="FFE7CDFF"/>
        </patternFill>
      </fill>
    </dxf>
    <dxf>
      <fill>
        <patternFill>
          <bgColor rgb="FFD5CBFF"/>
        </patternFill>
      </fill>
    </dxf>
    <dxf>
      <fill>
        <patternFill>
          <bgColor rgb="FFCCFFCC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CCFFCC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FFFDA9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2FFFB"/>
        </patternFill>
      </fill>
    </dxf>
    <dxf>
      <fill>
        <patternFill>
          <bgColor rgb="FFFF9197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A2FFFB"/>
        </patternFill>
      </fill>
    </dxf>
    <dxf>
      <fill>
        <patternFill>
          <bgColor rgb="FFE3F4FF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FFCDFA"/>
        </patternFill>
      </fill>
    </dxf>
    <dxf>
      <fill>
        <patternFill>
          <bgColor rgb="FF71DEF0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FF00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E3F4FF"/>
        </patternFill>
      </fill>
    </dxf>
    <dxf>
      <fill>
        <patternFill>
          <bgColor rgb="FFFFC000"/>
        </patternFill>
      </fill>
    </dxf>
    <dxf>
      <fill>
        <patternFill>
          <bgColor rgb="FFA2FFFB"/>
        </patternFill>
      </fill>
    </dxf>
    <dxf>
      <fill>
        <patternFill>
          <bgColor rgb="FFFFCDFA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E3F4FF"/>
        </patternFill>
      </fill>
    </dxf>
    <dxf>
      <fill>
        <patternFill>
          <bgColor rgb="FFFFC000"/>
        </patternFill>
      </fill>
    </dxf>
    <dxf>
      <fill>
        <patternFill>
          <bgColor rgb="FFA2FFFB"/>
        </patternFill>
      </fill>
    </dxf>
    <dxf>
      <fill>
        <patternFill>
          <bgColor rgb="FFFFCDFA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919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A2FFF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1ADC1F"/>
        </patternFill>
      </fill>
    </dxf>
    <dxf>
      <fill>
        <patternFill>
          <bgColor rgb="FFFFADD6"/>
        </patternFill>
      </fill>
    </dxf>
    <dxf>
      <fill>
        <patternFill>
          <bgColor rgb="FF00CC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1ADC1F"/>
        </patternFill>
      </fill>
    </dxf>
    <dxf>
      <fill>
        <patternFill>
          <bgColor rgb="FFFFADD6"/>
        </patternFill>
      </fill>
    </dxf>
    <dxf>
      <fill>
        <patternFill>
          <bgColor rgb="FF00CCFF"/>
        </patternFill>
      </fill>
    </dxf>
    <dxf>
      <fill>
        <patternFill>
          <bgColor rgb="FFFFC000"/>
        </patternFill>
      </fill>
    </dxf>
    <dxf>
      <fill>
        <patternFill>
          <bgColor rgb="FFE7CDFF"/>
        </patternFill>
      </fill>
    </dxf>
    <dxf>
      <fill>
        <patternFill>
          <bgColor rgb="FFD5CBFF"/>
        </patternFill>
      </fill>
    </dxf>
    <dxf>
      <fill>
        <patternFill>
          <bgColor rgb="FFCCFFCC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CCFFCC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FFFDA9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2FFFB"/>
        </patternFill>
      </fill>
    </dxf>
    <dxf>
      <fill>
        <patternFill>
          <bgColor rgb="FFFF9197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A2FFFB"/>
        </patternFill>
      </fill>
    </dxf>
    <dxf>
      <fill>
        <patternFill>
          <bgColor rgb="FFE3F4FF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FFCDFA"/>
        </patternFill>
      </fill>
    </dxf>
    <dxf>
      <fill>
        <patternFill>
          <bgColor rgb="FF71DE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E3F4FF"/>
        </patternFill>
      </fill>
    </dxf>
    <dxf>
      <fill>
        <patternFill>
          <bgColor rgb="FFFFC000"/>
        </patternFill>
      </fill>
    </dxf>
    <dxf>
      <fill>
        <patternFill>
          <bgColor rgb="FFA2FFFB"/>
        </patternFill>
      </fill>
    </dxf>
    <dxf>
      <fill>
        <patternFill>
          <bgColor rgb="FFFFCDFA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E3F4FF"/>
        </patternFill>
      </fill>
    </dxf>
    <dxf>
      <fill>
        <patternFill>
          <bgColor rgb="FFFFC000"/>
        </patternFill>
      </fill>
    </dxf>
    <dxf>
      <fill>
        <patternFill>
          <bgColor rgb="FFA2FFFB"/>
        </patternFill>
      </fill>
    </dxf>
    <dxf>
      <fill>
        <patternFill>
          <bgColor rgb="FFFFCDFA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919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A2FFF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1ADC1F"/>
        </patternFill>
      </fill>
    </dxf>
    <dxf>
      <fill>
        <patternFill>
          <bgColor rgb="FFFFADD6"/>
        </patternFill>
      </fill>
    </dxf>
    <dxf>
      <fill>
        <patternFill>
          <bgColor rgb="FF00CC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1ADC1F"/>
        </patternFill>
      </fill>
    </dxf>
    <dxf>
      <fill>
        <patternFill>
          <bgColor rgb="FFFFADD6"/>
        </patternFill>
      </fill>
    </dxf>
    <dxf>
      <fill>
        <patternFill>
          <bgColor rgb="FF00CCFF"/>
        </patternFill>
      </fill>
    </dxf>
    <dxf>
      <fill>
        <patternFill>
          <bgColor rgb="FFFFC000"/>
        </patternFill>
      </fill>
    </dxf>
    <dxf>
      <fill>
        <patternFill>
          <bgColor rgb="FFE7CDFF"/>
        </patternFill>
      </fill>
    </dxf>
    <dxf>
      <fill>
        <patternFill>
          <bgColor rgb="FFD5CBFF"/>
        </patternFill>
      </fill>
    </dxf>
    <dxf>
      <fill>
        <patternFill>
          <bgColor rgb="FFCCFFCC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CCFFCC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FFFDA9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2FFFB"/>
        </patternFill>
      </fill>
    </dxf>
    <dxf>
      <fill>
        <patternFill>
          <bgColor rgb="FFFF9197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A2FFFB"/>
        </patternFill>
      </fill>
    </dxf>
    <dxf>
      <fill>
        <patternFill>
          <bgColor rgb="FFE3F4FF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FFCDFA"/>
        </patternFill>
      </fill>
    </dxf>
    <dxf>
      <fill>
        <patternFill>
          <bgColor rgb="FF71DE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E3F4FF"/>
        </patternFill>
      </fill>
    </dxf>
    <dxf>
      <fill>
        <patternFill>
          <bgColor rgb="FFFFC000"/>
        </patternFill>
      </fill>
    </dxf>
    <dxf>
      <fill>
        <patternFill>
          <bgColor rgb="FFA2FFFB"/>
        </patternFill>
      </fill>
    </dxf>
    <dxf>
      <fill>
        <patternFill>
          <bgColor rgb="FFFFCDFA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E3F4FF"/>
        </patternFill>
      </fill>
    </dxf>
    <dxf>
      <fill>
        <patternFill>
          <bgColor rgb="FFFFC000"/>
        </patternFill>
      </fill>
    </dxf>
    <dxf>
      <fill>
        <patternFill>
          <bgColor rgb="FFA2FFFB"/>
        </patternFill>
      </fill>
    </dxf>
    <dxf>
      <fill>
        <patternFill>
          <bgColor rgb="FFFFCDFA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919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A2FFF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1ADC1F"/>
        </patternFill>
      </fill>
    </dxf>
    <dxf>
      <fill>
        <patternFill>
          <bgColor rgb="FFFFADD6"/>
        </patternFill>
      </fill>
    </dxf>
    <dxf>
      <fill>
        <patternFill>
          <bgColor rgb="FF00CC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1ADC1F"/>
        </patternFill>
      </fill>
    </dxf>
    <dxf>
      <fill>
        <patternFill>
          <bgColor rgb="FFFFADD6"/>
        </patternFill>
      </fill>
    </dxf>
    <dxf>
      <fill>
        <patternFill>
          <bgColor rgb="FF00CCFF"/>
        </patternFill>
      </fill>
    </dxf>
    <dxf>
      <fill>
        <patternFill>
          <bgColor rgb="FFFFC000"/>
        </patternFill>
      </fill>
    </dxf>
    <dxf>
      <fill>
        <patternFill>
          <bgColor rgb="FFE7CDFF"/>
        </patternFill>
      </fill>
    </dxf>
    <dxf>
      <fill>
        <patternFill>
          <bgColor rgb="FFD5CBFF"/>
        </patternFill>
      </fill>
    </dxf>
    <dxf>
      <fill>
        <patternFill>
          <bgColor rgb="FFCCFFCC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CCFFCC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FFFDA9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D5FF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2FFFB"/>
        </patternFill>
      </fill>
    </dxf>
    <dxf>
      <fill>
        <patternFill>
          <bgColor rgb="FFFF9197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A2FFFB"/>
        </patternFill>
      </fill>
    </dxf>
    <dxf>
      <fill>
        <patternFill>
          <bgColor rgb="FFE3F4FF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FFCDFA"/>
        </patternFill>
      </fill>
    </dxf>
    <dxf>
      <fill>
        <patternFill>
          <bgColor rgb="FF71DEF0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FF00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E3F4FF"/>
        </patternFill>
      </fill>
    </dxf>
    <dxf>
      <fill>
        <patternFill>
          <bgColor rgb="FFFFC000"/>
        </patternFill>
      </fill>
    </dxf>
    <dxf>
      <fill>
        <patternFill>
          <bgColor rgb="FFA2FFFB"/>
        </patternFill>
      </fill>
    </dxf>
    <dxf>
      <fill>
        <patternFill>
          <bgColor rgb="FFFFCDFA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AFFC06"/>
        </patternFill>
      </fill>
    </dxf>
    <dxf>
      <fill>
        <patternFill>
          <bgColor rgb="FFFF919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A2FFF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1ADC1F"/>
        </patternFill>
      </fill>
    </dxf>
    <dxf>
      <fill>
        <patternFill>
          <bgColor rgb="FFFFADD6"/>
        </patternFill>
      </fill>
    </dxf>
    <dxf>
      <fill>
        <patternFill>
          <bgColor rgb="FF00CCFF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A2FFFB"/>
        </patternFill>
      </fill>
    </dxf>
    <dxf>
      <fill>
        <patternFill>
          <bgColor rgb="FFE3F4FF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ill>
        <patternFill>
          <bgColor rgb="FFD5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197"/>
        </patternFill>
      </fill>
    </dxf>
    <dxf>
      <fill>
        <patternFill>
          <bgColor rgb="FFA2FFFB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DFA"/>
        </patternFill>
      </fill>
    </dxf>
    <dxf>
      <fill>
        <patternFill>
          <bgColor rgb="FFFF9197"/>
        </patternFill>
      </fill>
    </dxf>
    <dxf>
      <fill>
        <patternFill>
          <bgColor rgb="FFA2FFFB"/>
        </patternFill>
      </fill>
    </dxf>
    <dxf>
      <fill>
        <patternFill>
          <bgColor rgb="FFE3F4FF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FFC0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197"/>
        </patternFill>
      </fill>
    </dxf>
    <dxf>
      <fill>
        <patternFill>
          <bgColor rgb="FFFFCDFA"/>
        </patternFill>
      </fill>
    </dxf>
    <dxf>
      <fill>
        <patternFill>
          <bgColor rgb="FF71DEF0"/>
        </patternFill>
      </fill>
    </dxf>
    <dxf>
      <fill>
        <patternFill>
          <bgColor rgb="FFFFC000"/>
        </patternFill>
      </fill>
    </dxf>
    <dxf>
      <fill>
        <patternFill>
          <bgColor rgb="FFFFCDF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5CB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DA9"/>
      <color rgb="FFFFD6A9"/>
      <color rgb="FF1ADC1F"/>
      <color rgb="FFD5CBFF"/>
      <color rgb="FFCCFFCC"/>
      <color rgb="FFA2FFFB"/>
      <color rgb="FFFF9197"/>
      <color rgb="FFE3F4FF"/>
      <color rgb="FFD5FFFF"/>
      <color rgb="FFFFCD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ren riccioni" id="{F164D358-24AD-4F03-BB02-4522C660B51E}" userId="S::248142@monashhealth.org::108d7e24-374f-400e-bbe8-9724a4484812" providerId="AD"/>
  <person displayName="Grace Moretti" id="{DE357ECD-110A-4CA7-9FD4-4D3B7B188415}" userId="S::700732@monashhealth.org::9c197a0f-9a80-4f11-a86f-98d90a7b195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0" dT="2026-02-05T04:12:24.06" personId="{DE357ECD-110A-4CA7-9FD4-4D3B7B188415}" id="{3183ECB0-F10B-47BA-BF81-E9CD28F6E63E}">
    <text xml:space="preserve">pay full shift </text>
  </threadedComment>
  <threadedComment ref="L41" dT="2026-01-20T04:42:48.32" personId="{DE357ECD-110A-4CA7-9FD4-4D3B7B188415}" id="{FC5BDE05-6FF2-4A8C-B92C-19BB3D01F37E}">
    <text>do not pay, pay week 2</text>
  </threadedComment>
  <threadedComment ref="L54" dT="2026-01-20T04:43:00.39" personId="{DE357ECD-110A-4CA7-9FD4-4D3B7B188415}" id="{227ACAAA-5676-4832-87CC-EAA8F1092EE7}">
    <text xml:space="preserve">pay am shift worked week 2 </text>
  </threadedComment>
  <threadedComment ref="L78" dT="2026-02-02T02:40:00.60" personId="{DE357ECD-110A-4CA7-9FD4-4D3B7B188415}" id="{FE765581-F456-4874-A6E0-B8E5A3A63187}">
    <text>2 hours orientation</text>
  </threadedComment>
  <threadedComment ref="L87" dT="2026-02-05T21:47:13.84" personId="{DE357ECD-110A-4CA7-9FD4-4D3B7B188415}" id="{26C8B5A6-BD5D-4EC6-9F98-DCCAC12FC7FC}">
    <text>2 hours for orientation</text>
  </threadedComment>
  <threadedComment ref="J95" dT="2026-02-03T21:06:32.01" personId="{DE357ECD-110A-4CA7-9FD4-4D3B7B188415}" id="{028A3D59-AD50-4246-A74C-686597868E71}">
    <text>2 hour orientation</text>
  </threadedComment>
  <threadedComment ref="I96" dT="2026-02-02T22:05:37.73" personId="{DE357ECD-110A-4CA7-9FD4-4D3B7B188415}" id="{3D227800-A49E-4390-B1CA-3CE6B1063A7E}">
    <text xml:space="preserve">2 hours orientation </text>
  </threadedComment>
  <threadedComment ref="J114" dT="2026-02-03T21:06:41.25" personId="{DE357ECD-110A-4CA7-9FD4-4D3B7B188415}" id="{DA5D42DD-79DA-4C66-AB3C-0628CFC6FD75}">
    <text>2 hour orientation</text>
  </threadedComment>
  <threadedComment ref="I117" dT="2026-02-04T04:15:15.79" personId="{DE357ECD-110A-4CA7-9FD4-4D3B7B188415}" id="{4C1254BF-7C4F-4E3A-B0D5-806FCDB4FEE2}">
    <text>2 hours for orientation</text>
  </threadedComment>
  <threadedComment ref="I121" dT="2026-02-04T04:12:02.35" personId="{DE357ECD-110A-4CA7-9FD4-4D3B7B188415}" id="{01349454-4093-4D89-8DBF-1C000A893260}">
    <text xml:space="preserve">pay am shift worked week2 </text>
  </threadedComment>
  <threadedComment ref="I123" dT="2026-02-04T04:11:50.65" personId="{DE357ECD-110A-4CA7-9FD4-4D3B7B188415}" id="{D6F9EEEE-AEE6-4E57-B8AB-0EB834567FB3}">
    <text>do not pay, paying week 2</text>
  </threadedComment>
  <threadedComment ref="I123" dT="2026-02-04T04:14:49.76" personId="{DE357ECD-110A-4CA7-9FD4-4D3B7B188415}" id="{09D36E8C-A73A-488D-A250-C22EF152E8FB}" parentId="{D6F9EEEE-AEE6-4E57-B8AB-0EB834567FB3}">
    <text>2 hours for orientation</text>
  </threadedComment>
  <threadedComment ref="J124" dT="2026-02-03T20:55:21.08" personId="{DE357ECD-110A-4CA7-9FD4-4D3B7B188415}" id="{08BBDE44-E064-49D2-A919-9082D2C5EA3E}">
    <text>2 hours for orientation</text>
  </threadedComment>
  <threadedComment ref="J133" dT="2026-02-02T00:18:44.35" personId="{DE357ECD-110A-4CA7-9FD4-4D3B7B188415}" id="{417B883B-C3D7-4E97-96C6-9EB159D426AD}">
    <text>pay full shift for orientation</text>
  </threadedComment>
  <threadedComment ref="D145" dT="2026-02-03T01:43:04.65" personId="{DE357ECD-110A-4CA7-9FD4-4D3B7B188415}" id="{E2C41A2A-350C-4A0A-88D6-CA37A120C92D}">
    <text xml:space="preserve">reliever for nathan </text>
  </threadedComment>
  <threadedComment ref="J149" dT="2026-01-15T23:26:38.78" personId="{DE357ECD-110A-4CA7-9FD4-4D3B7B188415}" id="{CC4070DA-70D4-4040-9509-5B0E3F65A7D3}">
    <text>swap with daniel 7/2</text>
  </threadedComment>
  <threadedComment ref="F150" dT="2026-01-29T23:49:24.56" personId="{DE357ECD-110A-4CA7-9FD4-4D3B7B188415}" id="{5B50908F-065C-478C-9B99-ACAF7ADDF57D}">
    <text>swap with elliot 7/2</text>
  </threadedComment>
  <threadedComment ref="K153" dT="2026-01-29T23:49:51.03" personId="{DE357ECD-110A-4CA7-9FD4-4D3B7B188415}" id="{C7AFCB71-DD44-4612-BF27-1FB4C172D485}">
    <text>swap with arooj for 2/2</text>
  </threadedComment>
  <threadedComment ref="K155" dT="2026-01-15T23:26:47.81" personId="{DE357ECD-110A-4CA7-9FD4-4D3B7B188415}" id="{46D0BE34-3049-48CB-AF91-674A994E72D0}">
    <text>swap with sarah 6/2</text>
  </threadedComment>
  <threadedComment ref="F158" dT="2026-01-27T22:16:56.70" personId="{DE357ECD-110A-4CA7-9FD4-4D3B7B188415}" id="{1055A9FA-CCE7-4330-BA80-7B7D10A55328}">
    <text xml:space="preserve">orientation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41" dT="2026-01-20T04:43:23.55" personId="{DE357ECD-110A-4CA7-9FD4-4D3B7B188415}" id="{BC095959-C34F-425C-B234-DAB82B704003}">
    <text>pay AM shift worked week 1</text>
  </threadedComment>
  <threadedComment ref="L54" dT="2026-01-20T04:43:36.89" personId="{DE357ECD-110A-4CA7-9FD4-4D3B7B188415}" id="{0EC288C5-9A6C-43F8-AFEC-06186DFE9088}">
    <text xml:space="preserve">do not pay, paid week 1 </text>
  </threadedComment>
  <threadedComment ref="H75" dT="2026-01-15T03:02:52.72" personId="{DE357ECD-110A-4CA7-9FD4-4D3B7B188415}" id="{2F9A227A-DC1E-4328-8136-73EFB2ECB4E1}">
    <text>swap with mark for 11/2</text>
  </threadedComment>
  <threadedComment ref="G76" dT="2026-01-15T03:03:05.86" personId="{DE357ECD-110A-4CA7-9FD4-4D3B7B188415}" id="{F34C9D24-14DC-4F1A-92FC-1BC31B39A6C8}">
    <text>swap with dennis for 10/2</text>
  </threadedComment>
  <threadedComment ref="I86" dT="2026-01-20T05:38:15.35" personId="{DE357ECD-110A-4CA7-9FD4-4D3B7B188415}" id="{862C7390-3B85-4E57-85C9-0A1149AD4F49}">
    <text xml:space="preserve">pay 0800-1730 working extra nights </text>
  </threadedComment>
  <threadedComment ref="J109" dT="2026-01-27T23:39:46.52" personId="{DE357ECD-110A-4CA7-9FD4-4D3B7B188415}" id="{8DC99907-E8DA-4DEB-AC9D-6911A5136F06}">
    <text xml:space="preserve">1300-1730 sick leave </text>
  </threadedComment>
  <threadedComment ref="K115" dT="2026-02-02T02:53:07.96" personId="{DE357ECD-110A-4CA7-9FD4-4D3B7B188415}" id="{8FAE602C-B26B-4448-B5EE-9ACFB33F4B66}">
    <text>2 hours orientation</text>
  </threadedComment>
  <threadedComment ref="G121" dT="2026-02-04T04:11:18.29" personId="{DE357ECD-110A-4CA7-9FD4-4D3B7B188415}" id="{E68B3E3C-19E9-47CE-AFC3-74ACC44E12F5}">
    <text>swap with lisa for 5/2/ do not pay. paid week 1</text>
  </threadedComment>
  <threadedComment ref="G123" dT="2026-02-04T04:11:34.40" personId="{DE357ECD-110A-4CA7-9FD4-4D3B7B188415}" id="{7CD0EB2F-1FFA-4CC7-9E1B-66C64262111E}">
    <text>pay AM shift worked week 2</text>
  </threadedComment>
  <threadedComment ref="G128" dT="2026-02-05T21:48:46.39" personId="{DE357ECD-110A-4CA7-9FD4-4D3B7B188415}" id="{84020379-F9C1-4A2F-BA8F-E796F10D100D}">
    <text>2 hours for orientation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K12" dT="2026-02-16T02:25:52.60" personId="{DE357ECD-110A-4CA7-9FD4-4D3B7B188415}" id="{FD45C394-7633-4D37-8ABE-09581D0C5F32}">
    <text>do not pay, pay week 4</text>
  </threadedComment>
  <threadedComment ref="K41" dT="2026-02-18T22:39:25.10" personId="{DE357ECD-110A-4CA7-9FD4-4D3B7B188415}" id="{AC39D35E-9EA9-46D6-95B5-0FF90D519F06}">
    <text>do not pay. pay week 6</text>
  </threadedComment>
  <threadedComment ref="F70" dT="2026-02-15T22:41:07.25" personId="{DE357ECD-110A-4CA7-9FD4-4D3B7B188415}" id="{953E1942-9CC3-4360-AC44-3F5867FB7275}">
    <text>do not pay, pay week 4</text>
  </threadedComment>
  <threadedComment ref="I76" dT="2026-02-13T00:34:11.58" personId="{DE357ECD-110A-4CA7-9FD4-4D3B7B188415}" id="{E814C21D-7BA2-4787-9090-45AA6303BEE0}">
    <text xml:space="preserve">pay pm shift </text>
  </threadedComment>
  <threadedComment ref="L86" dT="2026-02-19T23:25:36.65" personId="{DE357ECD-110A-4CA7-9FD4-4D3B7B188415}" id="{8C0331F8-C6F6-4ADB-A0CA-1F31A2E8C8D4}">
    <text>do not pay, pay week 4</text>
  </threadedComment>
  <threadedComment ref="K96" dT="2026-02-09T21:13:02.64" personId="{DE357ECD-110A-4CA7-9FD4-4D3B7B188415}" id="{D84C41B1-A981-41B4-AB9B-1010683476BC}">
    <text>swap with kelly for 19/2</text>
  </threadedComment>
  <threadedComment ref="G105" dT="2026-02-16T22:40:43.09" personId="{DE357ECD-110A-4CA7-9FD4-4D3B7B188415}" id="{296451FA-4C9E-4557-BF1E-58EFD8F5C542}">
    <text>2 hour for orientation</text>
  </threadedComment>
  <threadedComment ref="I109" dT="2026-02-09T21:12:51.94" personId="{DE357ECD-110A-4CA7-9FD4-4D3B7B188415}" id="{C25F218F-77F0-4C9D-93A1-54E79C1F8214}">
    <text>swap with poh for 21/2</text>
  </threadedComment>
  <threadedComment ref="I114" dT="2026-02-15T21:54:17.89" personId="{DE357ECD-110A-4CA7-9FD4-4D3B7B188415}" id="{8D57DD30-3B75-4E3E-8AE3-E502566EC661}">
    <text>swap with brendan</text>
  </threadedComment>
  <threadedComment ref="I116" dT="2026-02-15T21:54:24.31" personId="{DE357ECD-110A-4CA7-9FD4-4D3B7B188415}" id="{A6DAF5E8-3591-436D-82D7-7EB6EB73F29F}">
    <text>swap with ankush</text>
  </threadedComment>
  <threadedComment ref="I129" dT="2026-02-15T21:08:53.76" personId="{DE357ECD-110A-4CA7-9FD4-4D3B7B188415}" id="{B5D0F27B-FB64-4603-A834-FA9CFAE13DF4}">
    <text>swap with will for 18/2</text>
  </threadedComment>
  <threadedComment ref="H135" dT="2026-02-15T21:09:04.79" personId="{DE357ECD-110A-4CA7-9FD4-4D3B7B188415}" id="{61587DAB-0D47-41DD-8846-3C99501C42C3}">
    <text>swap with harrison for 19/2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K12" dT="2026-02-16T02:26:03.20" personId="{DE357ECD-110A-4CA7-9FD4-4D3B7B188415}" id="{833CA7B4-A770-4444-B6C0-49ABA120D55D}">
    <text>pay PM worked week 3</text>
  </threadedComment>
  <threadedComment ref="F70" dT="2026-02-15T22:41:21.26" personId="{DE357ECD-110A-4CA7-9FD4-4D3B7B188415}" id="{4B22133A-DC45-4C86-B60F-7EEE906FF329}">
    <text>pay am shift worked week 3</text>
  </threadedComment>
  <threadedComment ref="G86" dT="2026-02-19T23:26:37.12" personId="{DE357ECD-110A-4CA7-9FD4-4D3B7B188415}" id="{B74A3881-61D7-4BFB-B7F6-58190EB9E37D}">
    <text xml:space="preserve">pay am shift </text>
  </threadedComment>
  <threadedComment ref="L86" dT="2026-02-19T23:26:27.44" personId="{DE357ECD-110A-4CA7-9FD4-4D3B7B188415}" id="{383DFB10-C7DB-4DA3-BD9D-BA5D1B7A6ACA}">
    <text>pay PM worked week 3</text>
  </threadedComment>
  <threadedComment ref="I97" dT="2026-02-17T02:59:16.97" personId="{DE357ECD-110A-4CA7-9FD4-4D3B7B188415}" id="{40958802-ADB2-4C76-9122-14601DBBF5F8}">
    <text xml:space="preserve">swap with rachel </text>
  </threadedComment>
  <threadedComment ref="I103" dT="2026-02-17T02:59:23.99" personId="{DE357ECD-110A-4CA7-9FD4-4D3B7B188415}" id="{5D5A11B2-75DF-4DF8-A4D3-9F3D2F5774C3}">
    <text xml:space="preserve">swap with giovana </text>
  </threadedComment>
  <threadedComment ref="K108" dT="2026-02-20T00:17:35.40" personId="{DE357ECD-110A-4CA7-9FD4-4D3B7B188415}" id="{E109860A-04DD-423A-A100-4DB9B00843CD}">
    <text>swap with harmeen for 28/2 and 1/3</text>
  </threadedComment>
  <threadedComment ref="I116" dT="2026-02-15T21:48:58.17" personId="{DE357ECD-110A-4CA7-9FD4-4D3B7B188415}" id="{AC6AD9B9-CCCC-45EC-B342-2BE53FEE426C}">
    <text xml:space="preserve">swap with aaron b </text>
  </threadedComment>
  <threadedComment ref="I117" dT="2026-02-15T21:49:05.53" personId="{DE357ECD-110A-4CA7-9FD4-4D3B7B188415}" id="{8071A364-9049-49B6-8A14-3AD77B2E0F3A}">
    <text>swap with brendan</text>
  </threadedComment>
  <threadedComment ref="G136" dT="2026-02-15T21:09:39.23" personId="{DE357ECD-110A-4CA7-9FD4-4D3B7B188415}" id="{0D1751DB-9947-43C0-B39F-8FDF36640BF0}">
    <text>2 hours orientation</text>
  </threadedComment>
  <threadedComment ref="D145" dT="2026-02-03T01:43:04.65" personId="{DE357ECD-110A-4CA7-9FD4-4D3B7B188415}" id="{F8C7C0BE-D315-401E-A86C-985B0B806292}">
    <text xml:space="preserve">reliever for nathan </text>
  </threadedComment>
  <threadedComment ref="L153" dT="2026-02-17T00:59:25.03" personId="{DE357ECD-110A-4CA7-9FD4-4D3B7B188415}" id="{B85336CB-A938-495B-B870-3261FA5871FF}">
    <text>swap with elliot for 26/2</text>
  </threadedComment>
  <threadedComment ref="I155" dT="2026-02-17T00:58:48.32" personId="{DE357ECD-110A-4CA7-9FD4-4D3B7B188415}" id="{1C082B1A-2FF4-47DC-9D59-9B1766413C36}">
    <text>swap with elliot for 1/3</text>
  </threadedComment>
  <threadedComment ref="L157" dT="2026-02-03T21:23:30.16" personId="{DE357ECD-110A-4CA7-9FD4-4D3B7B188415}" id="{938A70FB-300F-4613-9603-3DC0A0293E9E}">
    <text>swap with ann for 6/3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L77" dT="2026-02-04T04:19:18.86" personId="{DE357ECD-110A-4CA7-9FD4-4D3B7B188415}" id="{FF004168-E85E-4E25-BC07-A4264A41E53C}">
    <text>pay AM shift worked for will week 6</text>
  </threadedComment>
  <threadedComment ref="H79" dT="2026-02-04T04:18:12.81" personId="{DE357ECD-110A-4CA7-9FD4-4D3B7B188415}" id="{A067AEF8-25D1-4EB1-86A2-DEA8FA86DDD9}">
    <text>do not pay, pay week 6</text>
  </threadedComment>
  <threadedComment ref="I150" dT="2026-02-15T21:52:25.29" personId="{DE357ECD-110A-4CA7-9FD4-4D3B7B188415}" id="{8E7B5586-06FC-4840-B58B-C2A82C258039}">
    <text>swap with roxana for 2/3</text>
  </threadedComment>
  <threadedComment ref="J150" dT="2026-02-03T21:23:59.27" personId="{DE357ECD-110A-4CA7-9FD4-4D3B7B188415}" id="{7E9B40A9-D0DB-41CB-BECD-B83AD7AA1ABB}">
    <text>swap with roxana for 1/3</text>
  </threadedComment>
  <threadedComment ref="F156" dT="2026-02-15T21:52:14.97" personId="{DE357ECD-110A-4CA7-9FD4-4D3B7B188415}" id="{A76E1931-F42B-46A8-8BA8-327ADDF7685D}">
    <text>swap with ann for 5/3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41" dT="2026-02-18T22:39:54.91" personId="{DE357ECD-110A-4CA7-9FD4-4D3B7B188415}" id="{030CECAB-CDDD-40E9-9764-C37292987B1E}">
    <text>pay AM shift worked week 3</text>
  </threadedComment>
  <threadedComment ref="G42" dT="2026-03-01T23:06:45.96" personId="{F164D358-24AD-4F03-BB02-4522C660B51E}" id="{AB055EE0-A830-43B0-8774-388393FFC97E}">
    <text>working sunday 22/3 0730-1700</text>
  </threadedComment>
  <threadedComment ref="H48" dT="2026-02-19T21:51:25.35" personId="{DE357ECD-110A-4CA7-9FD4-4D3B7B188415}" id="{4E6D0F8A-7B24-4A20-B014-26CEB6B22069}">
    <text>pay am shift working week 10</text>
  </threadedComment>
  <threadedComment ref="H54" dT="2026-02-19T21:51:14.61" personId="{DE357ECD-110A-4CA7-9FD4-4D3B7B188415}" id="{EB4E9E76-1B61-42D1-AEDA-5AFD125A6E39}">
    <text>do not pay, pay week 10</text>
  </threadedComment>
  <threadedComment ref="L77" dT="2026-02-04T04:18:45.73" personId="{DE357ECD-110A-4CA7-9FD4-4D3B7B188415}" id="{1F696525-0B87-43A0-BC1F-91C269673561}">
    <text>do not pay, paid week 5</text>
  </threadedComment>
  <threadedComment ref="G79" dT="2026-02-04T04:18:58.41" personId="{DE357ECD-110A-4CA7-9FD4-4D3B7B188415}" id="{3350FF24-8C7C-40AA-A13C-A4426FAFC88C}">
    <text>pay pm shift worked for amy in week 5</text>
  </threadedComment>
  <threadedComment ref="G89" dT="2026-02-09T21:16:05.47" personId="{DE357ECD-110A-4CA7-9FD4-4D3B7B188415}" id="{95AB044E-6F2D-49D7-9D63-F2452FF7CEF1}">
    <text>swap with poh for 22/3</text>
  </threadedComment>
  <threadedComment ref="L107" dT="2026-02-10T01:02:10.11" personId="{DE357ECD-110A-4CA7-9FD4-4D3B7B188415}" id="{11755912-DAEA-434A-931C-1AC5053B5FD1}">
    <text>swap with kelly for 9/3</text>
  </threadedComment>
  <threadedComment ref="F109" dT="2026-02-10T01:01:57.47" personId="{DE357ECD-110A-4CA7-9FD4-4D3B7B188415}" id="{3DC4E348-30CA-4B2C-B2BD-CFED877D3426}">
    <text>swap with jerome for 15/3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L42" dT="2026-03-01T23:07:42.85" personId="{F164D358-24AD-4F03-BB02-4522C660B51E}" id="{7CA117CB-95F6-4548-83F3-5F1C7280106D}">
    <text xml:space="preserve">working instead of the 10/3 </text>
  </threadedComment>
  <threadedComment ref="H48" dT="2026-02-19T21:52:01.86" personId="{DE357ECD-110A-4CA7-9FD4-4D3B7B188415}" id="{D6570958-7102-417C-A8E7-8B40F1BC6700}">
    <text xml:space="preserve">do not pay, paid week 6 </text>
  </threadedComment>
  <threadedComment ref="H54" dT="2026-02-19T21:51:52.52" personId="{DE357ECD-110A-4CA7-9FD4-4D3B7B188415}" id="{A31430A4-9BD0-417E-B821-D4E1137F6B72}">
    <text>pay am shift worked week 6</text>
  </threadedComment>
  <threadedComment ref="I83" dT="2026-03-16T01:21:47.38" personId="{F164D358-24AD-4F03-BB02-4522C660B51E}" id="{5D68B4C5-E687-498F-9E0A-9A852669EE11}">
    <text xml:space="preserve">worked 2 extra nights </text>
  </threadedComment>
  <threadedComment ref="H87" dT="2026-02-15T21:50:44.95" personId="{DE357ECD-110A-4CA7-9FD4-4D3B7B188415}" id="{A6E7D228-7DBF-4BCB-A37A-A0100BA795BD}">
    <text>swap with craig for 21/3</text>
  </threadedComment>
  <threadedComment ref="L95" dT="2026-02-09T21:16:45.38" personId="{DE357ECD-110A-4CA7-9FD4-4D3B7B188415}" id="{39737F27-8351-4666-B8B3-679E36459073}">
    <text>swap with clare for 10/3</text>
  </threadedComment>
  <threadedComment ref="K100" dT="2026-02-15T21:50:55.11" personId="{DE357ECD-110A-4CA7-9FD4-4D3B7B188415}" id="{F35EECBF-EC1B-4B29-88FC-D9768ADDD907}">
    <text>swap with shiv for 18/3</text>
  </threadedComment>
  <threadedComment ref="G119" dT="2026-03-15T23:58:59.38" personId="{F164D358-24AD-4F03-BB02-4522C660B51E}" id="{253511CC-FDA7-4E84-9435-5F1AF4D1A1DE}">
    <text xml:space="preserve">worked night 16/3 </text>
  </threadedComment>
  <threadedComment ref="G125" dT="2026-03-11T01:09:38.16" personId="{DE357ECD-110A-4CA7-9FD4-4D3B7B188415}" id="{44123C11-C241-443D-A2A6-AA171AFFDFB0}">
    <text>pay Am shift for extra nights</text>
  </threadedComment>
  <threadedComment ref="G142" dT="2026-03-16T01:16:32.49" personId="{F164D358-24AD-4F03-BB02-4522C660B51E}" id="{4D0C3020-FB60-4B45-ADBA-ABC495B8A568}">
    <text xml:space="preserve">worked nightshift on the 16/3 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I10" dT="2026-02-03T00:17:31.17" personId="{DE357ECD-110A-4CA7-9FD4-4D3B7B188415}" id="{48044F19-D2D3-4208-8D1E-3A1C68CDC9F5}">
    <text xml:space="preserve">pay AM shift worked week 10 for helen </text>
  </threadedComment>
  <threadedComment ref="H48" dT="2026-03-17T23:19:45.08" personId="{F164D358-24AD-4F03-BB02-4522C660B51E}" id="{B7ED9C9B-A03A-4FD9-BD2D-44BE1CAA7C25}">
    <text xml:space="preserve">swapped with Suhail 25/3 and 26/3 both pm shifts </text>
  </threadedComment>
  <threadedComment ref="H48" dT="2026-03-18T02:31:22.44" personId="{F164D358-24AD-4F03-BB02-4522C660B51E}" id="{66C58AB1-EA84-4D3B-AD1F-676E180226FE}" parentId="{B7ED9C9B-A03A-4FD9-BD2D-44BE1CAA7C25}">
    <text xml:space="preserve">not 26/3 its 1/4 </text>
  </threadedComment>
  <threadedComment ref="F53" dT="2026-03-18T02:34:22.18" personId="{F164D358-24AD-4F03-BB02-4522C660B51E}" id="{E58320C4-36DA-4EA0-BD62-6412B7350473}">
    <text xml:space="preserve">working am shift today instead of his shift on the 30/3 </text>
  </threadedComment>
  <threadedComment ref="I57" dT="2026-02-03T00:16:46.09" personId="{DE357ECD-110A-4CA7-9FD4-4D3B7B188415}" id="{0F78A844-51B9-424F-9A88-061298B31706}">
    <text>do not pay, paid week 10</text>
  </threadedComment>
  <threadedComment ref="H131" dT="2026-03-12T23:44:13.83" personId="{DE357ECD-110A-4CA7-9FD4-4D3B7B188415}" id="{33077852-0E67-4344-929A-D378E1D18F6C}">
    <text xml:space="preserve">pay am shift for HTGR course
</text>
  </threadedComment>
  <threadedComment ref="J131" dT="2026-03-12T23:44:26.64" personId="{DE357ECD-110A-4CA7-9FD4-4D3B7B188415}" id="{A914323E-96B2-4D3B-ADAA-166DA5E5593E}">
    <text xml:space="preserve">pauy AM shift for HTGR course 
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F52" dT="2026-03-18T02:44:29.60" personId="{F164D358-24AD-4F03-BB02-4522C660B51E}" id="{3A074B29-CB8B-4488-B4F7-83B0E48C36A9}">
    <text xml:space="preserve">worked 23/3 instead </text>
  </threadedComment>
  <threadedComment ref="H53" dT="2026-03-18T02:32:28.83" personId="{F164D358-24AD-4F03-BB02-4522C660B51E}" id="{37FBB7B0-2204-4CE3-A445-7E986158BB12}">
    <text xml:space="preserve">swap with rami 25/3 and 1/4 pm shifts </text>
  </threadedComment>
  <threadedComment ref="J87" dT="2026-04-01T03:47:40.82" personId="{F164D358-24AD-4F03-BB02-4522C660B51E}" id="{03839B9D-E0CB-4F90-9935-BFB6A7E5671F}">
    <text>pay 0800-1730</text>
  </threadedComment>
  <threadedComment ref="L96" dT="2026-03-22T22:47:30.46" personId="{F164D358-24AD-4F03-BB02-4522C660B51E}" id="{91BB81DA-D1A3-46F3-8E43-1F8531A3B870}">
    <text>swap with paul 5/4 &amp; 8/4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H10" dT="2026-02-03T00:18:04.53" personId="{DE357ECD-110A-4CA7-9FD4-4D3B7B188415}" id="{C13D38CE-F8FA-48EA-AC8E-37521F9FCF1B}">
    <text>do not pay, paid week 8</text>
  </threadedComment>
  <threadedComment ref="H48" dT="2026-03-17T21:54:01.03" personId="{DE357ECD-110A-4CA7-9FD4-4D3B7B188415}" id="{185C839D-F947-49B6-A042-61F73A708AFE}">
    <text xml:space="preserve">do not pay, paid week 6 </text>
  </threadedComment>
  <threadedComment ref="H54" dT="2026-03-17T21:53:51.95" personId="{DE357ECD-110A-4CA7-9FD4-4D3B7B188415}" id="{7C70A40C-5B53-4FEA-9231-9254F4314038}">
    <text>pay pm shift worked week 6</text>
  </threadedComment>
  <threadedComment ref="I57" dT="2026-02-03T00:18:18.39" personId="{DE357ECD-110A-4CA7-9FD4-4D3B7B188415}" id="{1BF7BF29-0EC0-4AA2-8E78-AC7AFD337353}">
    <text>pay PM shift worked for nicola weke 8</text>
  </threadedComment>
  <threadedComment ref="J79" dT="2026-04-08T21:19:07.07" personId="{F164D358-24AD-4F03-BB02-4522C660B51E}" id="{B6F2F493-46AA-4A90-B3B0-15973FAA6C4C}">
    <text xml:space="preserve">swap with amy </text>
  </threadedComment>
  <threadedComment ref="F83" dT="2026-04-07T22:09:51.22" personId="{DE357ECD-110A-4CA7-9FD4-4D3B7B188415}" id="{78D1A425-CDBC-42AC-A5AA-33F79DE1C538}">
    <text>wrked extra nights</text>
  </threadedComment>
  <threadedComment ref="G83" dT="2026-04-07T22:09:41.28" personId="{DE357ECD-110A-4CA7-9FD4-4D3B7B188415}" id="{232680CD-27A8-4139-B5E5-340400B3D0BA}">
    <text>worked extra nights</text>
  </threadedComment>
  <threadedComment ref="H94" dT="2026-02-04T21:10:35.79" personId="{DE357ECD-110A-4CA7-9FD4-4D3B7B188415}" id="{BC4FA3D9-2500-4C56-A7D2-C101B2224DAB}">
    <text>swap with poh for 11/4</text>
  </threadedComment>
  <threadedComment ref="K95" dT="2026-02-04T21:10:08.41" personId="{DE357ECD-110A-4CA7-9FD4-4D3B7B188415}" id="{3B13751D-55F2-4D42-A16E-C1234F3151BA}">
    <text>swap with deslin for 8/4</text>
  </threadedComment>
  <threadedComment ref="I102" dT="2026-03-11T00:53:27.70" personId="{DE357ECD-110A-4CA7-9FD4-4D3B7B188415}" id="{64C353D4-2160-4AF4-A19A-0C012699D71E}">
    <text>swap with paul for 10/4</text>
  </threadedComment>
  <threadedComment ref="H103" dT="2026-03-22T22:48:13.04" personId="{F164D358-24AD-4F03-BB02-4522C660B51E}" id="{E3B7672E-BBC8-4483-A23A-CB8CB49B5FCA}">
    <text>swap with Giovana and paul 5/4 &amp; 8/4</text>
  </threadedComment>
  <threadedComment ref="J103" dT="2026-03-11T00:53:45.28" personId="{DE357ECD-110A-4CA7-9FD4-4D3B7B188415}" id="{8C2B3ACA-D084-458E-90E4-3F4F5342A92F}">
    <text>swap with rachel for 9/4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F45" dT="2026-03-17T23:28:54.34" personId="{F164D358-24AD-4F03-BB02-4522C660B51E}" id="{293EC136-5077-4C4F-8038-0E19D8F78444}">
    <text>swapped with susan 13/4 and 19/4</text>
  </threadedComment>
  <threadedComment ref="K50" dT="2026-03-16T21:09:10.29" personId="{F164D358-24AD-4F03-BB02-4522C660B51E}" id="{1D0A0CD7-996E-44CB-8CE2-67718BFE3D7A}">
    <text>swap with varuna 18/4 &amp; 3/5</text>
  </threadedComment>
  <threadedComment ref="F70" dT="2026-03-30T01:48:21.71" personId="{F164D358-24AD-4F03-BB02-4522C660B51E}" id="{62FADBF5-CB4F-4B54-99B9-0BBF220AE378}">
    <text xml:space="preserve">swap with ana 13/4 &amp; 14/4 with 18/4 &amp; 19/4 </text>
  </threadedComment>
  <threadedComment ref="G77" dT="2026-04-08T21:22:20.19" personId="{F164D358-24AD-4F03-BB02-4522C660B51E}" id="{6406E70C-9C11-4E97-916F-CA69479AAA05}">
    <text>swapped with Jess 10, 11/4 &amp; 14, 15/4</text>
  </threadedComment>
  <threadedComment ref="K77" dT="2026-04-08T21:24:02.91" personId="{F164D358-24AD-4F03-BB02-4522C660B51E}" id="{F767B9BA-8554-429A-A1FD-BD65A2BB9B60}">
    <text xml:space="preserve">taken off friday 10/4 with swap with Jess this is the makeup shift </text>
  </threadedComment>
  <threadedComment ref="K84" dT="2026-04-15T00:52:14.08" personId="{F164D358-24AD-4F03-BB02-4522C660B51E}" id="{8979A39C-501D-481F-8593-81DD10F140FA}">
    <text xml:space="preserve">swap with Subama 17/4 &amp; 18/4 </text>
  </threadedComment>
  <threadedComment ref="G104" dT="2026-04-09T04:33:37.41" personId="{F164D358-24AD-4F03-BB02-4522C660B51E}" id="{8440FF9E-6F91-4896-8910-0604F1BF75E3}">
    <text xml:space="preserve">worked nights pay day </text>
  </threadedComment>
  <threadedComment ref="J104" dT="2026-04-09T04:34:04.85" personId="{F164D358-24AD-4F03-BB02-4522C660B51E}" id="{463549C0-D749-43AB-89D2-0281FE6983AB}">
    <text xml:space="preserve">worked extra nights pay day  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F8" dT="2026-04-15T02:54:02.97" personId="{F164D358-24AD-4F03-BB02-4522C660B51E}" id="{A5C3A612-A9B8-4EC6-8CEC-2C58BC4D38C5}">
    <text>worked extra shift on 13/4 pay 0800-1730</text>
  </threadedComment>
  <threadedComment ref="G42" dT="2026-04-08T23:07:53.49" personId="{F164D358-24AD-4F03-BB02-4522C660B51E}" id="{75B70E58-CB57-4829-BF40-3E6ECC246C0B}">
    <text>WORKOING 2/5 INSTEAD</text>
  </threadedComment>
  <threadedComment ref="F116" dT="2026-03-18T20:25:30.68" personId="{F164D358-24AD-4F03-BB02-4522C660B51E}" id="{659563E0-D1E4-40B6-8906-745C51D7DD88}">
    <text>swapped with aaron b 20/4 and 30/4</text>
  </threadedComment>
  <threadedComment ref="J117" dT="2026-04-17T03:20:38.66" personId="{F164D358-24AD-4F03-BB02-4522C660B51E}" id="{A5AD480A-0381-4BC8-BB1F-38D4D899C1B2}">
    <text xml:space="preserve">swapped with philip 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K42" dT="2026-03-30T23:42:20.96" personId="{F164D358-24AD-4F03-BB02-4522C660B51E}" id="{8188AF53-947F-4583-8499-7B4652806893}">
    <text>INSTED PF THE 21/4</text>
  </threadedComment>
  <threadedComment ref="L50" dT="2026-03-16T21:10:26.09" personId="{F164D358-24AD-4F03-BB02-4522C660B51E}" id="{30EBEA27-26E2-4252-BC14-73CFBE5FCFE6}">
    <text>swap with tara k 18/4 &amp; 3/5</text>
  </threadedComment>
  <threadedComment ref="F95" dT="2026-03-31T00:29:08.60" personId="{F164D358-24AD-4F03-BB02-4522C660B51E}" id="{D46A05B4-FA9D-49B4-B4DF-9D8F9D75E730}">
    <text xml:space="preserve">worked 24/4 1630-0000 instead </text>
  </threadedComment>
  <threadedComment ref="I117" dT="2026-03-18T20:26:14.49" personId="{F164D358-24AD-4F03-BB02-4522C660B51E}" id="{CA18D055-9D24-4CA5-A7DD-455AC686E4B5}">
    <text>swap with Brendon 20/4 &amp; 30/4</text>
  </threadedComment>
  <threadedComment ref="I133" dT="2026-04-07T00:42:17.22" personId="{DE357ECD-110A-4CA7-9FD4-4D3B7B188415}" id="{13817332-DEFD-416D-BC1F-B5C0A32DEA1C}">
    <text>swap with wil for 27/4</text>
  </threadedComment>
  <threadedComment ref="F135" dT="2026-04-07T00:42:01.01" personId="{DE357ECD-110A-4CA7-9FD4-4D3B7B188415}" id="{FD0416C6-E07F-44A2-93E7-E16D252DCB7A}">
    <text>swap with brier for 30/4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60E17-6937-0248-9CFD-046BA2AE14DF}">
  <dimension ref="A1:CR239"/>
  <sheetViews>
    <sheetView zoomScale="130" zoomScaleNormal="130" workbookViewId="0">
      <pane xSplit="1" ySplit="5" topLeftCell="AR29" activePane="bottomRight" state="frozen"/>
      <selection pane="bottomRight" activeCell="C1" sqref="C1"/>
      <selection pane="bottomLeft" activeCell="A6" sqref="A6"/>
      <selection pane="topRight" activeCell="C1" sqref="C1"/>
    </sheetView>
  </sheetViews>
  <sheetFormatPr defaultColWidth="8.875" defaultRowHeight="14.25"/>
  <cols>
    <col min="1" max="1" width="23.5" style="176" customWidth="1"/>
    <col min="2" max="2" width="7.5" style="141" hidden="1" customWidth="1"/>
    <col min="3" max="3" width="12.875" style="18" customWidth="1"/>
    <col min="4" max="7" width="12.875" style="19" customWidth="1"/>
    <col min="8" max="9" width="11.375" style="19" customWidth="1"/>
    <col min="10" max="10" width="12.875" style="18" customWidth="1"/>
    <col min="11" max="14" width="12.875" style="19" customWidth="1"/>
    <col min="15" max="16" width="11.375" style="19" customWidth="1"/>
    <col min="17" max="17" width="12.875" style="18" customWidth="1"/>
    <col min="18" max="21" width="12.875" style="19" customWidth="1"/>
    <col min="22" max="23" width="11.375" style="19" customWidth="1"/>
    <col min="24" max="24" width="12.875" style="18" customWidth="1"/>
    <col min="25" max="28" width="12.875" style="19" customWidth="1"/>
    <col min="29" max="30" width="11.375" style="19" customWidth="1"/>
    <col min="31" max="31" width="12.875" style="18" customWidth="1"/>
    <col min="32" max="35" width="12.875" style="19" customWidth="1"/>
    <col min="36" max="37" width="11.375" style="19" customWidth="1"/>
    <col min="38" max="38" width="12.875" style="18" customWidth="1"/>
    <col min="39" max="42" width="12.875" style="19" customWidth="1"/>
    <col min="43" max="44" width="11.375" style="19" customWidth="1"/>
    <col min="45" max="45" width="12.875" style="18" customWidth="1"/>
    <col min="46" max="49" width="12.875" style="19" customWidth="1"/>
    <col min="50" max="51" width="11.375" style="19" customWidth="1"/>
    <col min="52" max="52" width="12.875" style="18" customWidth="1"/>
    <col min="53" max="56" width="12.875" style="19" customWidth="1"/>
    <col min="57" max="58" width="11.375" style="19" customWidth="1"/>
    <col min="59" max="59" width="12.875" style="18" customWidth="1"/>
    <col min="60" max="63" width="12.875" style="19" customWidth="1"/>
    <col min="64" max="65" width="11.375" style="19" customWidth="1"/>
    <col min="66" max="66" width="12.875" style="18" customWidth="1"/>
    <col min="67" max="70" width="12.875" style="19" customWidth="1"/>
    <col min="71" max="72" width="11.375" style="19" customWidth="1"/>
    <col min="73" max="73" width="12.875" style="18" customWidth="1"/>
    <col min="74" max="77" width="12.875" style="19" customWidth="1"/>
    <col min="78" max="79" width="11.375" style="19" customWidth="1"/>
    <col min="80" max="80" width="12.875" style="18" customWidth="1"/>
    <col min="81" max="84" width="12.875" style="19" customWidth="1"/>
    <col min="85" max="85" width="11.375" style="19" customWidth="1"/>
    <col min="86" max="86" width="11.375" style="20" customWidth="1"/>
    <col min="87" max="87" width="12.875" style="18" customWidth="1"/>
    <col min="88" max="91" width="12.875" style="19" customWidth="1"/>
    <col min="92" max="93" width="11.375" style="19" customWidth="1"/>
    <col min="94" max="94" width="7.625" style="18" customWidth="1"/>
    <col min="95" max="96" width="7.875" style="19" customWidth="1"/>
    <col min="97" max="16384" width="8.875" style="19"/>
  </cols>
  <sheetData>
    <row r="1" spans="1:96" s="9" customFormat="1" ht="15" thickBot="1">
      <c r="A1" s="14"/>
      <c r="B1" s="115"/>
      <c r="C1" s="5" t="str">
        <f>CONCATENATE(C167,"-",C168,"-",C169,"-",C170,"-",C171)</f>
        <v>14-4-15-0-9</v>
      </c>
      <c r="D1" s="5" t="str">
        <f t="shared" ref="D1:BO1" si="0">CONCATENATE(D167,"-",D168,"-",D169,"-",D170,"-",D171)</f>
        <v>15-1-18-0-9</v>
      </c>
      <c r="E1" s="5" t="str">
        <f t="shared" si="0"/>
        <v>16-1-17-1-9</v>
      </c>
      <c r="F1" s="5" t="str">
        <f t="shared" si="0"/>
        <v>17-0-18-0-9</v>
      </c>
      <c r="G1" s="5" t="str">
        <f t="shared" si="0"/>
        <v>17-0-19-0-9</v>
      </c>
      <c r="H1" s="5" t="str">
        <f t="shared" si="0"/>
        <v>15-0-14-0-9</v>
      </c>
      <c r="I1" s="5" t="str">
        <f t="shared" si="0"/>
        <v>16-0-15-0-9</v>
      </c>
      <c r="J1" s="5" t="str">
        <f t="shared" si="0"/>
        <v>15-1-18-1-9</v>
      </c>
      <c r="K1" s="5" t="str">
        <f t="shared" si="0"/>
        <v>16-0-16-1-9</v>
      </c>
      <c r="L1" s="5" t="str">
        <f t="shared" si="0"/>
        <v>16-1-16-1-9</v>
      </c>
      <c r="M1" s="5" t="str">
        <f t="shared" si="0"/>
        <v>15-1-17-1-10</v>
      </c>
      <c r="N1" s="5" t="str">
        <f t="shared" si="0"/>
        <v>16-0-17-1-9</v>
      </c>
      <c r="O1" s="5" t="str">
        <f t="shared" si="0"/>
        <v>14-0-15-1-9</v>
      </c>
      <c r="P1" s="5" t="str">
        <f t="shared" si="0"/>
        <v>13-0-16-0-9</v>
      </c>
      <c r="Q1" s="5" t="str">
        <f t="shared" si="0"/>
        <v>14-1-16-0-9</v>
      </c>
      <c r="R1" s="5" t="str">
        <f t="shared" si="0"/>
        <v>15-1-15-1-9</v>
      </c>
      <c r="S1" s="5" t="str">
        <f t="shared" si="0"/>
        <v>16-1-15-1-9</v>
      </c>
      <c r="T1" s="5" t="str">
        <f t="shared" si="0"/>
        <v>15-0-16-1-9</v>
      </c>
      <c r="U1" s="5" t="str">
        <f t="shared" si="0"/>
        <v>14-0-16-0-9</v>
      </c>
      <c r="V1" s="5" t="str">
        <f t="shared" si="0"/>
        <v>14-0-13-1-9</v>
      </c>
      <c r="W1" s="5" t="str">
        <f t="shared" si="0"/>
        <v>14-0-13-1-9</v>
      </c>
      <c r="X1" s="5" t="str">
        <f t="shared" si="0"/>
        <v>15-1-17-1-9</v>
      </c>
      <c r="Y1" s="5" t="str">
        <f t="shared" si="0"/>
        <v>16-1-21-0-8</v>
      </c>
      <c r="Z1" s="5" t="str">
        <f t="shared" si="0"/>
        <v>16-1-19-0-9</v>
      </c>
      <c r="AA1" s="5" t="str">
        <f t="shared" si="0"/>
        <v>16-1-18-1-9</v>
      </c>
      <c r="AB1" s="5" t="str">
        <f t="shared" si="0"/>
        <v>16-1-17-1-9</v>
      </c>
      <c r="AC1" s="5" t="str">
        <f t="shared" si="0"/>
        <v>13-1-15-0-9</v>
      </c>
      <c r="AD1" s="5" t="str">
        <f t="shared" si="0"/>
        <v>15-0-15-0-9</v>
      </c>
      <c r="AE1" s="5" t="str">
        <f t="shared" si="0"/>
        <v>16-2-18-1-9</v>
      </c>
      <c r="AF1" s="5" t="str">
        <f t="shared" si="0"/>
        <v>18-1-19-1-9</v>
      </c>
      <c r="AG1" s="5" t="str">
        <f t="shared" si="0"/>
        <v>16-2-19-1-9</v>
      </c>
      <c r="AH1" s="5" t="str">
        <f t="shared" si="0"/>
        <v>16-1-18-0-9</v>
      </c>
      <c r="AI1" s="5" t="str">
        <f t="shared" si="0"/>
        <v>17-0-18-1-9</v>
      </c>
      <c r="AJ1" s="5" t="str">
        <f t="shared" si="0"/>
        <v>13-1-13-0-9</v>
      </c>
      <c r="AK1" s="5" t="str">
        <f t="shared" si="0"/>
        <v>14-0-15-1-9</v>
      </c>
      <c r="AL1" s="5" t="str">
        <f t="shared" si="0"/>
        <v>16-0-19-1-8</v>
      </c>
      <c r="AM1" s="5" t="str">
        <f t="shared" si="0"/>
        <v>18-0-17-1-9</v>
      </c>
      <c r="AN1" s="5" t="str">
        <f t="shared" si="0"/>
        <v>17-2-16-1-9</v>
      </c>
      <c r="AO1" s="5" t="str">
        <f t="shared" si="0"/>
        <v>18-0-16-1-9</v>
      </c>
      <c r="AP1" s="5" t="str">
        <f t="shared" si="0"/>
        <v>16-1-17-1-9</v>
      </c>
      <c r="AQ1" s="5" t="str">
        <f t="shared" si="0"/>
        <v>12-1-16-1-9</v>
      </c>
      <c r="AR1" s="5" t="str">
        <f t="shared" si="0"/>
        <v>14-0-17-0-9</v>
      </c>
      <c r="AS1" s="5" t="str">
        <f t="shared" si="0"/>
        <v>15-1-19-0-9</v>
      </c>
      <c r="AT1" s="5" t="str">
        <f t="shared" si="0"/>
        <v>17-1-19-0-9</v>
      </c>
      <c r="AU1" s="5" t="str">
        <f t="shared" si="0"/>
        <v>15-1-18-1-9</v>
      </c>
      <c r="AV1" s="5" t="str">
        <f t="shared" si="0"/>
        <v>17-1-16-1-9</v>
      </c>
      <c r="AW1" s="5" t="str">
        <f t="shared" si="0"/>
        <v>17-1-17-0-8</v>
      </c>
      <c r="AX1" s="5" t="str">
        <f t="shared" si="0"/>
        <v>14-1-12-2-8</v>
      </c>
      <c r="AY1" s="5" t="str">
        <f t="shared" si="0"/>
        <v>14-0-13-2-8</v>
      </c>
      <c r="AZ1" s="5" t="str">
        <f t="shared" si="0"/>
        <v>14-2-16-1-8</v>
      </c>
      <c r="BA1" s="5" t="str">
        <f t="shared" si="0"/>
        <v>14-0-15-1-8</v>
      </c>
      <c r="BB1" s="5" t="str">
        <f t="shared" si="0"/>
        <v>13-2-16-1-8</v>
      </c>
      <c r="BC1" s="5" t="str">
        <f t="shared" si="0"/>
        <v>15-1-15-1-8</v>
      </c>
      <c r="BD1" s="5" t="str">
        <f t="shared" si="0"/>
        <v>15-1-16-0-8</v>
      </c>
      <c r="BE1" s="5" t="str">
        <f t="shared" si="0"/>
        <v>12-0-12-0-8</v>
      </c>
      <c r="BF1" s="5" t="str">
        <f t="shared" si="0"/>
        <v>12-0-13-0-8</v>
      </c>
      <c r="BG1" s="5" t="str">
        <f t="shared" si="0"/>
        <v>14-1-16-0-8</v>
      </c>
      <c r="BH1" s="5" t="str">
        <f t="shared" si="0"/>
        <v>14-0-15-1-8</v>
      </c>
      <c r="BI1" s="5" t="str">
        <f t="shared" si="0"/>
        <v>13-0-14-1-8</v>
      </c>
      <c r="BJ1" s="5" t="str">
        <f t="shared" si="0"/>
        <v>16-0-14-2-8</v>
      </c>
      <c r="BK1" s="5" t="str">
        <f t="shared" si="0"/>
        <v>14-0-14-1-8</v>
      </c>
      <c r="BL1" s="5" t="str">
        <f t="shared" si="0"/>
        <v>12-0-12-1-8</v>
      </c>
      <c r="BM1" s="5" t="str">
        <f t="shared" si="0"/>
        <v>12-0-13-1-8</v>
      </c>
      <c r="BN1" s="5" t="str">
        <f t="shared" si="0"/>
        <v>15-0-15-1-8</v>
      </c>
      <c r="BO1" s="5" t="str">
        <f t="shared" si="0"/>
        <v>13-1-15-1-8</v>
      </c>
      <c r="BP1" s="5" t="str">
        <f t="shared" ref="BP1:CO1" si="1">CONCATENATE(BP167,"-",BP168,"-",BP169,"-",BP170,"-",BP171)</f>
        <v>13-2-16-1-8</v>
      </c>
      <c r="BQ1" s="5" t="str">
        <f t="shared" si="1"/>
        <v>15-1-14-1-8</v>
      </c>
      <c r="BR1" s="5" t="str">
        <f t="shared" si="1"/>
        <v>15-0-14-1-8</v>
      </c>
      <c r="BS1" s="5" t="str">
        <f t="shared" si="1"/>
        <v>13-0-15-0-8</v>
      </c>
      <c r="BT1" s="5" t="str">
        <f t="shared" si="1"/>
        <v>13-0-15-0-8</v>
      </c>
      <c r="BU1" s="5" t="str">
        <f t="shared" si="1"/>
        <v>13-2-17-0-8</v>
      </c>
      <c r="BV1" s="5" t="str">
        <f t="shared" si="1"/>
        <v>14-0-16-0-8</v>
      </c>
      <c r="BW1" s="5" t="str">
        <f t="shared" si="1"/>
        <v>13-2-15-0-8</v>
      </c>
      <c r="BX1" s="5" t="str">
        <f t="shared" si="1"/>
        <v>15-0-15-1-8</v>
      </c>
      <c r="BY1" s="5" t="str">
        <f t="shared" si="1"/>
        <v>14-0-13-1-8</v>
      </c>
      <c r="BZ1" s="5" t="str">
        <f t="shared" si="1"/>
        <v>12-0-12-1-8</v>
      </c>
      <c r="CA1" s="5" t="str">
        <f t="shared" si="1"/>
        <v>13-0-13-0-8</v>
      </c>
      <c r="CB1" s="5" t="str">
        <f t="shared" si="1"/>
        <v>15-0-15-2-8</v>
      </c>
      <c r="CC1" s="5" t="str">
        <f t="shared" si="1"/>
        <v>15-0-16-1-8</v>
      </c>
      <c r="CD1" s="5" t="str">
        <f t="shared" si="1"/>
        <v>14-2-16-0-8</v>
      </c>
      <c r="CE1" s="5" t="str">
        <f t="shared" si="1"/>
        <v>15-0-16-1-8</v>
      </c>
      <c r="CF1" s="5" t="str">
        <f t="shared" si="1"/>
        <v>14-1-17-1-8</v>
      </c>
      <c r="CG1" s="5" t="str">
        <f t="shared" si="1"/>
        <v>12-1-13-0-8</v>
      </c>
      <c r="CH1" s="5" t="str">
        <f t="shared" si="1"/>
        <v>13-0-13-0-8</v>
      </c>
      <c r="CI1" s="5" t="str">
        <f t="shared" si="1"/>
        <v>14-1-15-1-8</v>
      </c>
      <c r="CJ1" s="5" t="str">
        <f t="shared" si="1"/>
        <v>14-2-15-1-8</v>
      </c>
      <c r="CK1" s="5" t="str">
        <f t="shared" si="1"/>
        <v>14-2-16-0-8</v>
      </c>
      <c r="CL1" s="5" t="str">
        <f t="shared" si="1"/>
        <v>14-1-15-1-8</v>
      </c>
      <c r="CM1" s="5" t="str">
        <f t="shared" si="1"/>
        <v>14-0-16-0-8</v>
      </c>
      <c r="CN1" s="5" t="str">
        <f t="shared" si="1"/>
        <v>12-1-12-0-9</v>
      </c>
      <c r="CO1" s="5" t="str">
        <f t="shared" si="1"/>
        <v>13-1-14-0-9</v>
      </c>
      <c r="CP1" s="116"/>
    </row>
    <row r="2" spans="1:96" s="15" customFormat="1" ht="15" thickBot="1">
      <c r="A2" s="1" t="s">
        <v>0</v>
      </c>
      <c r="B2" s="117"/>
      <c r="C2" s="809">
        <v>1</v>
      </c>
      <c r="D2" s="802"/>
      <c r="E2" s="802"/>
      <c r="F2" s="802"/>
      <c r="G2" s="802"/>
      <c r="H2" s="802"/>
      <c r="I2" s="802"/>
      <c r="J2" s="802">
        <v>2</v>
      </c>
      <c r="K2" s="802"/>
      <c r="L2" s="802"/>
      <c r="M2" s="802"/>
      <c r="N2" s="802"/>
      <c r="O2" s="802"/>
      <c r="P2" s="802"/>
      <c r="Q2" s="802">
        <v>3</v>
      </c>
      <c r="R2" s="802"/>
      <c r="S2" s="802"/>
      <c r="T2" s="802"/>
      <c r="U2" s="802"/>
      <c r="V2" s="802"/>
      <c r="W2" s="802"/>
      <c r="X2" s="802">
        <v>4</v>
      </c>
      <c r="Y2" s="802"/>
      <c r="Z2" s="802"/>
      <c r="AA2" s="802"/>
      <c r="AB2" s="802"/>
      <c r="AC2" s="802"/>
      <c r="AD2" s="802"/>
      <c r="AE2" s="802">
        <v>5</v>
      </c>
      <c r="AF2" s="802"/>
      <c r="AG2" s="802"/>
      <c r="AH2" s="802"/>
      <c r="AI2" s="802"/>
      <c r="AJ2" s="802"/>
      <c r="AK2" s="802"/>
      <c r="AL2" s="802">
        <v>6</v>
      </c>
      <c r="AM2" s="802"/>
      <c r="AN2" s="802"/>
      <c r="AO2" s="802"/>
      <c r="AP2" s="802"/>
      <c r="AQ2" s="802"/>
      <c r="AR2" s="802"/>
      <c r="AS2" s="808">
        <v>7</v>
      </c>
      <c r="AT2" s="808"/>
      <c r="AU2" s="808"/>
      <c r="AV2" s="808"/>
      <c r="AW2" s="808"/>
      <c r="AX2" s="808"/>
      <c r="AY2" s="808"/>
      <c r="AZ2" s="802">
        <v>8</v>
      </c>
      <c r="BA2" s="802"/>
      <c r="BB2" s="802"/>
      <c r="BC2" s="802"/>
      <c r="BD2" s="802"/>
      <c r="BE2" s="802"/>
      <c r="BF2" s="802"/>
      <c r="BG2" s="802">
        <v>9</v>
      </c>
      <c r="BH2" s="802"/>
      <c r="BI2" s="802"/>
      <c r="BJ2" s="802"/>
      <c r="BK2" s="802"/>
      <c r="BL2" s="802"/>
      <c r="BM2" s="802"/>
      <c r="BN2" s="802">
        <v>10</v>
      </c>
      <c r="BO2" s="802"/>
      <c r="BP2" s="802"/>
      <c r="BQ2" s="802"/>
      <c r="BR2" s="802"/>
      <c r="BS2" s="802"/>
      <c r="BT2" s="802"/>
      <c r="BU2" s="802">
        <v>11</v>
      </c>
      <c r="BV2" s="802"/>
      <c r="BW2" s="802"/>
      <c r="BX2" s="802"/>
      <c r="BY2" s="802"/>
      <c r="BZ2" s="802"/>
      <c r="CA2" s="802"/>
      <c r="CB2" s="751">
        <v>12</v>
      </c>
      <c r="CC2" s="752"/>
      <c r="CD2" s="752"/>
      <c r="CE2" s="752"/>
      <c r="CF2" s="752"/>
      <c r="CG2" s="752"/>
      <c r="CH2" s="753"/>
      <c r="CI2" s="802">
        <v>13</v>
      </c>
      <c r="CJ2" s="802"/>
      <c r="CK2" s="802"/>
      <c r="CL2" s="802"/>
      <c r="CM2" s="802"/>
      <c r="CN2" s="802"/>
      <c r="CO2" s="802"/>
      <c r="CP2" s="35" t="s">
        <v>1</v>
      </c>
      <c r="CQ2" s="15" t="s">
        <v>2</v>
      </c>
      <c r="CR2" s="15" t="s">
        <v>3</v>
      </c>
    </row>
    <row r="3" spans="1:96" s="16" customFormat="1">
      <c r="A3" s="118" t="s">
        <v>4</v>
      </c>
      <c r="B3" s="817" t="s">
        <v>5</v>
      </c>
      <c r="C3" s="22" t="s">
        <v>6</v>
      </c>
      <c r="D3" s="23" t="s">
        <v>7</v>
      </c>
      <c r="E3" s="23" t="s">
        <v>8</v>
      </c>
      <c r="F3" s="23" t="s">
        <v>9</v>
      </c>
      <c r="G3" s="23" t="s">
        <v>10</v>
      </c>
      <c r="H3" s="23" t="s">
        <v>11</v>
      </c>
      <c r="I3" s="24" t="s">
        <v>12</v>
      </c>
      <c r="J3" s="22" t="s">
        <v>6</v>
      </c>
      <c r="K3" s="23" t="s">
        <v>7</v>
      </c>
      <c r="L3" s="23" t="s">
        <v>8</v>
      </c>
      <c r="M3" s="23" t="s">
        <v>9</v>
      </c>
      <c r="N3" s="23" t="s">
        <v>10</v>
      </c>
      <c r="O3" s="23" t="s">
        <v>11</v>
      </c>
      <c r="P3" s="24" t="s">
        <v>12</v>
      </c>
      <c r="Q3" s="22" t="s">
        <v>6</v>
      </c>
      <c r="R3" s="23" t="s">
        <v>7</v>
      </c>
      <c r="S3" s="23" t="s">
        <v>8</v>
      </c>
      <c r="T3" s="23" t="s">
        <v>9</v>
      </c>
      <c r="U3" s="23" t="s">
        <v>10</v>
      </c>
      <c r="V3" s="23" t="s">
        <v>11</v>
      </c>
      <c r="W3" s="24" t="s">
        <v>12</v>
      </c>
      <c r="X3" s="22" t="s">
        <v>6</v>
      </c>
      <c r="Y3" s="23" t="s">
        <v>7</v>
      </c>
      <c r="Z3" s="23" t="s">
        <v>8</v>
      </c>
      <c r="AA3" s="23" t="s">
        <v>9</v>
      </c>
      <c r="AB3" s="23" t="s">
        <v>10</v>
      </c>
      <c r="AC3" s="23" t="s">
        <v>11</v>
      </c>
      <c r="AD3" s="24" t="s">
        <v>12</v>
      </c>
      <c r="AE3" s="22" t="s">
        <v>6</v>
      </c>
      <c r="AF3" s="23" t="s">
        <v>7</v>
      </c>
      <c r="AG3" s="23" t="s">
        <v>8</v>
      </c>
      <c r="AH3" s="23" t="s">
        <v>9</v>
      </c>
      <c r="AI3" s="23" t="s">
        <v>10</v>
      </c>
      <c r="AJ3" s="23" t="s">
        <v>11</v>
      </c>
      <c r="AK3" s="24" t="s">
        <v>12</v>
      </c>
      <c r="AL3" s="22" t="s">
        <v>6</v>
      </c>
      <c r="AM3" s="23" t="s">
        <v>7</v>
      </c>
      <c r="AN3" s="23" t="s">
        <v>8</v>
      </c>
      <c r="AO3" s="23" t="s">
        <v>9</v>
      </c>
      <c r="AP3" s="23" t="s">
        <v>10</v>
      </c>
      <c r="AQ3" s="23" t="s">
        <v>11</v>
      </c>
      <c r="AR3" s="24" t="s">
        <v>12</v>
      </c>
      <c r="AS3" s="22" t="s">
        <v>6</v>
      </c>
      <c r="AT3" s="23" t="s">
        <v>7</v>
      </c>
      <c r="AU3" s="23" t="s">
        <v>8</v>
      </c>
      <c r="AV3" s="23" t="s">
        <v>9</v>
      </c>
      <c r="AW3" s="23" t="s">
        <v>10</v>
      </c>
      <c r="AX3" s="23" t="s">
        <v>11</v>
      </c>
      <c r="AY3" s="24" t="s">
        <v>12</v>
      </c>
      <c r="AZ3" s="22" t="s">
        <v>6</v>
      </c>
      <c r="BA3" s="23" t="s">
        <v>7</v>
      </c>
      <c r="BB3" s="23" t="s">
        <v>8</v>
      </c>
      <c r="BC3" s="23" t="s">
        <v>9</v>
      </c>
      <c r="BD3" s="23" t="s">
        <v>10</v>
      </c>
      <c r="BE3" s="23" t="s">
        <v>11</v>
      </c>
      <c r="BF3" s="24" t="s">
        <v>12</v>
      </c>
      <c r="BG3" s="22" t="s">
        <v>6</v>
      </c>
      <c r="BH3" s="23" t="s">
        <v>7</v>
      </c>
      <c r="BI3" s="23" t="s">
        <v>8</v>
      </c>
      <c r="BJ3" s="23" t="s">
        <v>9</v>
      </c>
      <c r="BK3" s="23" t="s">
        <v>10</v>
      </c>
      <c r="BL3" s="23" t="s">
        <v>11</v>
      </c>
      <c r="BM3" s="24" t="s">
        <v>12</v>
      </c>
      <c r="BN3" s="22" t="s">
        <v>6</v>
      </c>
      <c r="BO3" s="23" t="s">
        <v>7</v>
      </c>
      <c r="BP3" s="23" t="s">
        <v>8</v>
      </c>
      <c r="BQ3" s="23" t="s">
        <v>9</v>
      </c>
      <c r="BR3" s="23" t="s">
        <v>10</v>
      </c>
      <c r="BS3" s="23" t="s">
        <v>11</v>
      </c>
      <c r="BT3" s="24" t="s">
        <v>12</v>
      </c>
      <c r="BU3" s="22" t="s">
        <v>6</v>
      </c>
      <c r="BV3" s="119" t="s">
        <v>7</v>
      </c>
      <c r="BW3" s="23" t="s">
        <v>8</v>
      </c>
      <c r="BX3" s="23" t="s">
        <v>9</v>
      </c>
      <c r="BY3" s="23" t="s">
        <v>10</v>
      </c>
      <c r="BZ3" s="23" t="s">
        <v>11</v>
      </c>
      <c r="CA3" s="24" t="s">
        <v>12</v>
      </c>
      <c r="CB3" s="22" t="s">
        <v>6</v>
      </c>
      <c r="CC3" s="23" t="s">
        <v>7</v>
      </c>
      <c r="CD3" s="23" t="s">
        <v>8</v>
      </c>
      <c r="CE3" s="23" t="s">
        <v>9</v>
      </c>
      <c r="CF3" s="23" t="s">
        <v>10</v>
      </c>
      <c r="CG3" s="23" t="s">
        <v>11</v>
      </c>
      <c r="CH3" s="24" t="s">
        <v>12</v>
      </c>
      <c r="CI3" s="22" t="s">
        <v>6</v>
      </c>
      <c r="CJ3" s="23" t="s">
        <v>7</v>
      </c>
      <c r="CK3" s="23" t="s">
        <v>8</v>
      </c>
      <c r="CL3" s="23" t="s">
        <v>9</v>
      </c>
      <c r="CM3" s="23" t="s">
        <v>10</v>
      </c>
      <c r="CN3" s="23" t="s">
        <v>11</v>
      </c>
      <c r="CO3" s="24" t="s">
        <v>12</v>
      </c>
      <c r="CP3" s="311"/>
    </row>
    <row r="4" spans="1:96" s="17" customFormat="1" ht="15" thickBot="1">
      <c r="A4" s="25" t="s">
        <v>13</v>
      </c>
      <c r="B4" s="120"/>
      <c r="C4" s="26">
        <v>46055</v>
      </c>
      <c r="D4" s="27">
        <v>46056</v>
      </c>
      <c r="E4" s="27">
        <v>46057</v>
      </c>
      <c r="F4" s="27">
        <v>46058</v>
      </c>
      <c r="G4" s="27">
        <v>46059</v>
      </c>
      <c r="H4" s="27">
        <v>46060</v>
      </c>
      <c r="I4" s="27">
        <v>46061</v>
      </c>
      <c r="J4" s="26">
        <v>46062</v>
      </c>
      <c r="K4" s="27">
        <v>46063</v>
      </c>
      <c r="L4" s="27">
        <v>46064</v>
      </c>
      <c r="M4" s="27">
        <v>46065</v>
      </c>
      <c r="N4" s="27">
        <v>46066</v>
      </c>
      <c r="O4" s="27">
        <v>46067</v>
      </c>
      <c r="P4" s="27">
        <v>46068</v>
      </c>
      <c r="Q4" s="26">
        <v>46069</v>
      </c>
      <c r="R4" s="27">
        <v>46070</v>
      </c>
      <c r="S4" s="27">
        <v>46071</v>
      </c>
      <c r="T4" s="27">
        <v>46072</v>
      </c>
      <c r="U4" s="27">
        <v>46073</v>
      </c>
      <c r="V4" s="27">
        <v>46074</v>
      </c>
      <c r="W4" s="27">
        <v>46075</v>
      </c>
      <c r="X4" s="26">
        <v>46076</v>
      </c>
      <c r="Y4" s="27">
        <v>46077</v>
      </c>
      <c r="Z4" s="27">
        <v>46078</v>
      </c>
      <c r="AA4" s="27">
        <v>46079</v>
      </c>
      <c r="AB4" s="27">
        <v>46080</v>
      </c>
      <c r="AC4" s="27">
        <v>46081</v>
      </c>
      <c r="AD4" s="27">
        <v>46082</v>
      </c>
      <c r="AE4" s="26">
        <v>46083</v>
      </c>
      <c r="AF4" s="27">
        <v>46084</v>
      </c>
      <c r="AG4" s="27">
        <v>46085</v>
      </c>
      <c r="AH4" s="27">
        <v>46086</v>
      </c>
      <c r="AI4" s="27">
        <v>46087</v>
      </c>
      <c r="AJ4" s="27">
        <v>46088</v>
      </c>
      <c r="AK4" s="27">
        <v>46089</v>
      </c>
      <c r="AL4" s="26">
        <v>46090</v>
      </c>
      <c r="AM4" s="27">
        <v>46091</v>
      </c>
      <c r="AN4" s="27">
        <v>46092</v>
      </c>
      <c r="AO4" s="27">
        <v>46093</v>
      </c>
      <c r="AP4" s="27">
        <v>46094</v>
      </c>
      <c r="AQ4" s="27">
        <v>46095</v>
      </c>
      <c r="AR4" s="27">
        <v>46096</v>
      </c>
      <c r="AS4" s="26">
        <v>46097</v>
      </c>
      <c r="AT4" s="27">
        <v>46098</v>
      </c>
      <c r="AU4" s="27">
        <v>46099</v>
      </c>
      <c r="AV4" s="27">
        <v>46100</v>
      </c>
      <c r="AW4" s="27">
        <v>46101</v>
      </c>
      <c r="AX4" s="27">
        <v>46102</v>
      </c>
      <c r="AY4" s="27">
        <v>46103</v>
      </c>
      <c r="AZ4" s="26">
        <v>46104</v>
      </c>
      <c r="BA4" s="27">
        <v>46105</v>
      </c>
      <c r="BB4" s="27">
        <v>46106</v>
      </c>
      <c r="BC4" s="27">
        <v>46107</v>
      </c>
      <c r="BD4" s="27">
        <v>46108</v>
      </c>
      <c r="BE4" s="27">
        <v>46109</v>
      </c>
      <c r="BF4" s="27">
        <v>46110</v>
      </c>
      <c r="BG4" s="26">
        <v>46111</v>
      </c>
      <c r="BH4" s="27">
        <v>46112</v>
      </c>
      <c r="BI4" s="27">
        <v>46113</v>
      </c>
      <c r="BJ4" s="27">
        <v>46114</v>
      </c>
      <c r="BK4" s="27">
        <v>46115</v>
      </c>
      <c r="BL4" s="27">
        <v>46116</v>
      </c>
      <c r="BM4" s="27">
        <v>46117</v>
      </c>
      <c r="BN4" s="26">
        <v>46118</v>
      </c>
      <c r="BO4" s="27">
        <v>46119</v>
      </c>
      <c r="BP4" s="27">
        <v>46120</v>
      </c>
      <c r="BQ4" s="27">
        <v>46121</v>
      </c>
      <c r="BR4" s="27">
        <v>46122</v>
      </c>
      <c r="BS4" s="27">
        <v>46123</v>
      </c>
      <c r="BT4" s="27">
        <v>46124</v>
      </c>
      <c r="BU4" s="26">
        <v>46125</v>
      </c>
      <c r="BV4" s="121">
        <v>46126</v>
      </c>
      <c r="BW4" s="27">
        <v>46127</v>
      </c>
      <c r="BX4" s="27">
        <v>46128</v>
      </c>
      <c r="BY4" s="27">
        <v>46129</v>
      </c>
      <c r="BZ4" s="27">
        <v>46130</v>
      </c>
      <c r="CA4" s="27">
        <v>46131</v>
      </c>
      <c r="CB4" s="26">
        <v>46132</v>
      </c>
      <c r="CC4" s="27">
        <v>46133</v>
      </c>
      <c r="CD4" s="27">
        <v>46134</v>
      </c>
      <c r="CE4" s="27">
        <v>46135</v>
      </c>
      <c r="CF4" s="27">
        <v>46136</v>
      </c>
      <c r="CG4" s="27">
        <v>46137</v>
      </c>
      <c r="CH4" s="27">
        <v>46138</v>
      </c>
      <c r="CI4" s="26">
        <v>46139</v>
      </c>
      <c r="CJ4" s="27">
        <v>46140</v>
      </c>
      <c r="CK4" s="27">
        <v>46141</v>
      </c>
      <c r="CL4" s="27">
        <v>46142</v>
      </c>
      <c r="CM4" s="27">
        <v>46143</v>
      </c>
      <c r="CN4" s="27">
        <v>46144</v>
      </c>
      <c r="CO4" s="27">
        <v>46145</v>
      </c>
      <c r="CP4" s="312"/>
      <c r="CQ4" s="313"/>
      <c r="CR4" s="313"/>
    </row>
    <row r="5" spans="1:96" s="3" customFormat="1">
      <c r="A5" s="2"/>
      <c r="B5" s="122" t="s">
        <v>14</v>
      </c>
      <c r="C5" s="6"/>
      <c r="D5" s="7"/>
      <c r="E5" s="7"/>
      <c r="F5" s="7"/>
      <c r="G5" s="7"/>
      <c r="H5" s="7"/>
      <c r="I5" s="12"/>
      <c r="J5" s="6"/>
      <c r="K5" s="7"/>
      <c r="L5" s="7"/>
      <c r="M5" s="7"/>
      <c r="N5" s="37" t="s">
        <v>15</v>
      </c>
      <c r="O5" s="7"/>
      <c r="P5" s="12"/>
      <c r="Q5" s="6" t="s">
        <v>16</v>
      </c>
      <c r="R5" s="7"/>
      <c r="S5" s="7" t="s">
        <v>17</v>
      </c>
      <c r="T5" s="7"/>
      <c r="U5" s="7"/>
      <c r="V5" s="7"/>
      <c r="W5" s="12"/>
      <c r="X5" s="6"/>
      <c r="Y5" s="7"/>
      <c r="Z5" s="7"/>
      <c r="AA5" s="7"/>
      <c r="AB5" s="7"/>
      <c r="AC5" s="7"/>
      <c r="AD5" s="12"/>
      <c r="AE5" s="6"/>
      <c r="AF5" s="7"/>
      <c r="AG5" s="7"/>
      <c r="AH5" s="7"/>
      <c r="AI5" s="7"/>
      <c r="AJ5" s="7"/>
      <c r="AK5" s="12"/>
      <c r="AL5" s="41" t="s">
        <v>18</v>
      </c>
      <c r="AM5" s="7"/>
      <c r="AN5" s="7"/>
      <c r="AO5" s="7"/>
      <c r="AP5" s="7"/>
      <c r="AQ5" s="7"/>
      <c r="AR5" s="12"/>
      <c r="AS5" s="6"/>
      <c r="AT5" s="37" t="s">
        <v>19</v>
      </c>
      <c r="AU5" s="37"/>
      <c r="AV5" s="37"/>
      <c r="AW5" s="37"/>
      <c r="AX5" s="7"/>
      <c r="AY5" s="12"/>
      <c r="AZ5" s="6"/>
      <c r="BA5" s="37" t="s">
        <v>19</v>
      </c>
      <c r="BB5" s="37"/>
      <c r="BC5" s="7"/>
      <c r="BD5" s="7"/>
      <c r="BE5" s="7"/>
      <c r="BF5" s="12"/>
      <c r="BG5" s="6"/>
      <c r="BH5" s="7"/>
      <c r="BI5" s="7"/>
      <c r="BJ5" s="7"/>
      <c r="BK5" s="36" t="s">
        <v>20</v>
      </c>
      <c r="BL5" s="36" t="s">
        <v>21</v>
      </c>
      <c r="BM5" s="123" t="s">
        <v>22</v>
      </c>
      <c r="BN5" s="41" t="s">
        <v>23</v>
      </c>
      <c r="BO5" s="39" t="s">
        <v>24</v>
      </c>
      <c r="BP5" s="39"/>
      <c r="BQ5" s="39"/>
      <c r="BR5" s="39"/>
      <c r="BS5" s="39"/>
      <c r="BT5" s="40"/>
      <c r="BU5" s="38" t="s">
        <v>24</v>
      </c>
      <c r="BV5" s="39"/>
      <c r="BW5" s="39"/>
      <c r="BX5" s="39"/>
      <c r="BY5" s="39"/>
      <c r="BZ5" s="39"/>
      <c r="CA5" s="40"/>
      <c r="CB5" s="6"/>
      <c r="CC5" s="7"/>
      <c r="CD5" s="7"/>
      <c r="CE5" s="7"/>
      <c r="CF5" s="7"/>
      <c r="CG5" s="36" t="s">
        <v>25</v>
      </c>
      <c r="CH5" s="12"/>
      <c r="CI5" s="6"/>
      <c r="CJ5" s="7"/>
      <c r="CK5" s="7"/>
      <c r="CL5" s="7"/>
      <c r="CM5" s="7"/>
      <c r="CN5" s="7"/>
      <c r="CO5" s="12"/>
      <c r="CP5" s="314"/>
      <c r="CQ5" s="314"/>
      <c r="CR5" s="314"/>
    </row>
    <row r="6" spans="1:96" s="3" customFormat="1">
      <c r="A6" s="315" t="s">
        <v>26</v>
      </c>
      <c r="B6" s="316"/>
      <c r="C6" s="317"/>
      <c r="D6" s="318"/>
      <c r="E6" s="318"/>
      <c r="F6" s="318"/>
      <c r="G6" s="318"/>
      <c r="H6" s="318"/>
      <c r="I6" s="319"/>
      <c r="J6" s="317"/>
      <c r="K6" s="318"/>
      <c r="L6" s="318"/>
      <c r="M6" s="318"/>
      <c r="N6" s="318"/>
      <c r="O6" s="318"/>
      <c r="P6" s="319"/>
      <c r="Q6" s="317"/>
      <c r="R6" s="318"/>
      <c r="S6" s="318"/>
      <c r="T6" s="318"/>
      <c r="U6" s="318"/>
      <c r="V6" s="318"/>
      <c r="W6" s="319"/>
      <c r="X6" s="317"/>
      <c r="Y6" s="318"/>
      <c r="Z6" s="318"/>
      <c r="AA6" s="318"/>
      <c r="AB6" s="318"/>
      <c r="AC6" s="318"/>
      <c r="AD6" s="319"/>
      <c r="AE6" s="317"/>
      <c r="AF6" s="318"/>
      <c r="AG6" s="318"/>
      <c r="AH6" s="318"/>
      <c r="AI6" s="318"/>
      <c r="AJ6" s="318"/>
      <c r="AK6" s="319"/>
      <c r="AL6" s="317"/>
      <c r="AM6" s="318"/>
      <c r="AN6" s="318"/>
      <c r="AO6" s="318"/>
      <c r="AP6" s="318"/>
      <c r="AQ6" s="318"/>
      <c r="AR6" s="319"/>
      <c r="AS6" s="317"/>
      <c r="AT6" s="318"/>
      <c r="AU6" s="318"/>
      <c r="AV6" s="318"/>
      <c r="AW6" s="318"/>
      <c r="AX6" s="318"/>
      <c r="AY6" s="319"/>
      <c r="AZ6" s="317"/>
      <c r="BA6" s="318"/>
      <c r="BB6" s="318"/>
      <c r="BC6" s="318"/>
      <c r="BD6" s="318"/>
      <c r="BE6" s="318"/>
      <c r="BF6" s="319"/>
      <c r="BG6" s="317"/>
      <c r="BH6" s="318"/>
      <c r="BI6" s="318"/>
      <c r="BJ6" s="318"/>
      <c r="BK6" s="318"/>
      <c r="BL6" s="318"/>
      <c r="BM6" s="319"/>
      <c r="BN6" s="317"/>
      <c r="BO6" s="318"/>
      <c r="BP6" s="318"/>
      <c r="BQ6" s="318"/>
      <c r="BR6" s="318"/>
      <c r="BS6" s="318"/>
      <c r="BT6" s="319"/>
      <c r="BU6" s="317"/>
      <c r="BV6" s="318"/>
      <c r="BW6" s="318"/>
      <c r="BX6" s="318"/>
      <c r="BY6" s="318"/>
      <c r="BZ6" s="318"/>
      <c r="CA6" s="319"/>
      <c r="CB6" s="317"/>
      <c r="CC6" s="318"/>
      <c r="CD6" s="318"/>
      <c r="CE6" s="318"/>
      <c r="CF6" s="318"/>
      <c r="CG6" s="318"/>
      <c r="CH6" s="319"/>
      <c r="CI6" s="317"/>
      <c r="CJ6" s="318"/>
      <c r="CK6" s="318"/>
      <c r="CL6" s="318"/>
      <c r="CM6" s="318"/>
      <c r="CN6" s="318"/>
      <c r="CO6" s="319"/>
      <c r="CP6" s="320" t="s">
        <v>1</v>
      </c>
      <c r="CQ6" s="320" t="s">
        <v>2</v>
      </c>
      <c r="CR6" s="320" t="s">
        <v>3</v>
      </c>
    </row>
    <row r="7" spans="1:96" ht="15.95" customHeight="1">
      <c r="A7" s="321" t="s">
        <v>27</v>
      </c>
      <c r="B7" s="322" t="str">
        <f t="shared" ref="B7:B26" si="2">CONCATENATE(CP7,"-",CQ7)</f>
        <v>0-0</v>
      </c>
      <c r="C7" s="323" t="s">
        <v>28</v>
      </c>
      <c r="D7" s="324"/>
      <c r="E7" s="324"/>
      <c r="F7" s="324"/>
      <c r="G7" s="324"/>
      <c r="H7" s="324"/>
      <c r="I7" s="325"/>
      <c r="J7" s="323" t="s">
        <v>28</v>
      </c>
      <c r="K7" s="324"/>
      <c r="L7" s="324"/>
      <c r="M7" s="324"/>
      <c r="N7" s="324"/>
      <c r="O7" s="324"/>
      <c r="P7" s="325"/>
      <c r="Q7" s="323" t="s">
        <v>28</v>
      </c>
      <c r="R7" s="324"/>
      <c r="S7" s="324"/>
      <c r="T7" s="324"/>
      <c r="U7" s="324"/>
      <c r="V7" s="324"/>
      <c r="W7" s="325"/>
      <c r="X7" s="323" t="s">
        <v>28</v>
      </c>
      <c r="Y7" s="324"/>
      <c r="Z7" s="324"/>
      <c r="AA7" s="324"/>
      <c r="AB7" s="324"/>
      <c r="AC7" s="324"/>
      <c r="AD7" s="325"/>
      <c r="AE7" s="323" t="s">
        <v>28</v>
      </c>
      <c r="AF7" s="324"/>
      <c r="AG7" s="324"/>
      <c r="AH7" s="324"/>
      <c r="AI7" s="324"/>
      <c r="AJ7" s="324"/>
      <c r="AK7" s="325"/>
      <c r="AL7" s="323" t="s">
        <v>28</v>
      </c>
      <c r="AM7" s="324"/>
      <c r="AN7" s="324"/>
      <c r="AO7" s="324"/>
      <c r="AP7" s="324"/>
      <c r="AQ7" s="324"/>
      <c r="AR7" s="325"/>
      <c r="AS7" s="323" t="s">
        <v>28</v>
      </c>
      <c r="AT7" s="324"/>
      <c r="AU7" s="324"/>
      <c r="AV7" s="324"/>
      <c r="AW7" s="324"/>
      <c r="AX7" s="324"/>
      <c r="AY7" s="325"/>
      <c r="AZ7" s="323" t="s">
        <v>28</v>
      </c>
      <c r="BA7" s="324"/>
      <c r="BB7" s="324"/>
      <c r="BC7" s="324"/>
      <c r="BD7" s="324"/>
      <c r="BE7" s="324"/>
      <c r="BF7" s="325"/>
      <c r="BG7" s="323" t="s">
        <v>28</v>
      </c>
      <c r="BH7" s="324"/>
      <c r="BI7" s="324"/>
      <c r="BJ7" s="324"/>
      <c r="BK7" s="324"/>
      <c r="BL7" s="324"/>
      <c r="BM7" s="325"/>
      <c r="BN7" s="323" t="s">
        <v>28</v>
      </c>
      <c r="BO7" s="324"/>
      <c r="BP7" s="324"/>
      <c r="BQ7" s="324"/>
      <c r="BR7" s="324"/>
      <c r="BS7" s="324"/>
      <c r="BT7" s="325"/>
      <c r="BU7" s="323" t="s">
        <v>28</v>
      </c>
      <c r="BV7" s="324"/>
      <c r="BW7" s="324"/>
      <c r="BX7" s="324"/>
      <c r="BY7" s="324"/>
      <c r="BZ7" s="324"/>
      <c r="CA7" s="325"/>
      <c r="CB7" s="323" t="s">
        <v>28</v>
      </c>
      <c r="CC7" s="324"/>
      <c r="CD7" s="324"/>
      <c r="CE7" s="324"/>
      <c r="CF7" s="324"/>
      <c r="CG7" s="324"/>
      <c r="CH7" s="325"/>
      <c r="CI7" s="323" t="s">
        <v>28</v>
      </c>
      <c r="CJ7" s="324"/>
      <c r="CK7" s="324"/>
      <c r="CL7" s="324"/>
      <c r="CM7" s="324"/>
      <c r="CN7" s="324"/>
      <c r="CO7" s="325"/>
      <c r="CP7" s="326">
        <f t="shared" ref="CP7:CP26" si="3">COUNTIF(C7:CO7,"0800-*")+COUNTIF(C7:CO7,"0730-*")</f>
        <v>0</v>
      </c>
      <c r="CQ7" s="326">
        <f t="shared" ref="CQ7:CQ26" si="4">COUNTIF(C7:CO7,"1430*")+COUNTIF(C7:CO7,"1400*")</f>
        <v>0</v>
      </c>
      <c r="CR7" s="326">
        <f t="shared" ref="CR7:CR26" si="5">COUNTIF(C7:CO7,"*CS*")+COUNTIF(C7:CO7,"*PHNW*")+COUNTIF(C7:CO7,"*EXAM*")</f>
        <v>0</v>
      </c>
    </row>
    <row r="8" spans="1:96" s="9" customFormat="1" ht="14.1" customHeight="1">
      <c r="A8" s="327" t="s">
        <v>29</v>
      </c>
      <c r="B8" s="322" t="str">
        <f t="shared" si="2"/>
        <v>36-6</v>
      </c>
      <c r="C8" s="328" t="s">
        <v>30</v>
      </c>
      <c r="D8" s="329"/>
      <c r="E8" s="329"/>
      <c r="F8" s="329"/>
      <c r="G8" s="329"/>
      <c r="H8" s="329"/>
      <c r="I8" s="330"/>
      <c r="J8" s="331" t="s">
        <v>31</v>
      </c>
      <c r="K8" s="332"/>
      <c r="L8" s="332"/>
      <c r="M8" s="332"/>
      <c r="N8" s="332"/>
      <c r="O8" s="332"/>
      <c r="P8" s="333"/>
      <c r="Q8" s="10" t="s">
        <v>32</v>
      </c>
      <c r="R8" s="9" t="s">
        <v>33</v>
      </c>
      <c r="S8" s="9" t="s">
        <v>33</v>
      </c>
      <c r="U8" s="9" t="s">
        <v>33</v>
      </c>
      <c r="V8" s="334"/>
      <c r="W8" s="335"/>
      <c r="X8" s="10"/>
      <c r="Y8" s="9" t="s">
        <v>33</v>
      </c>
      <c r="Z8" s="9" t="s">
        <v>33</v>
      </c>
      <c r="AA8" s="9" t="s">
        <v>33</v>
      </c>
      <c r="AC8" s="314"/>
      <c r="AD8" s="336" t="s">
        <v>34</v>
      </c>
      <c r="AE8" s="10"/>
      <c r="AF8" s="9" t="s">
        <v>33</v>
      </c>
      <c r="AG8" s="9" t="s">
        <v>33</v>
      </c>
      <c r="AH8" s="9" t="s">
        <v>33</v>
      </c>
      <c r="AI8" s="9" t="s">
        <v>35</v>
      </c>
      <c r="AJ8" s="314"/>
      <c r="AK8" s="336"/>
      <c r="AL8" s="337" t="s">
        <v>32</v>
      </c>
      <c r="AM8" s="9" t="s">
        <v>33</v>
      </c>
      <c r="AN8" s="9" t="s">
        <v>33</v>
      </c>
      <c r="AO8" s="9" t="s">
        <v>33</v>
      </c>
      <c r="AQ8" s="314"/>
      <c r="AR8" s="336"/>
      <c r="AS8" s="10"/>
      <c r="AT8" s="9" t="s">
        <v>33</v>
      </c>
      <c r="AU8" s="9" t="s">
        <v>33</v>
      </c>
      <c r="AV8" s="9" t="s">
        <v>33</v>
      </c>
      <c r="AW8" s="9" t="s">
        <v>36</v>
      </c>
      <c r="AX8" s="314"/>
      <c r="AY8" s="335"/>
      <c r="AZ8" s="10"/>
      <c r="BA8" s="9" t="s">
        <v>33</v>
      </c>
      <c r="BB8" s="9" t="s">
        <v>33</v>
      </c>
      <c r="BC8" s="9" t="s">
        <v>33</v>
      </c>
      <c r="BE8" s="314" t="s">
        <v>37</v>
      </c>
      <c r="BF8" s="336"/>
      <c r="BG8" s="10"/>
      <c r="BH8" s="9" t="s">
        <v>33</v>
      </c>
      <c r="BI8" s="9" t="s">
        <v>33</v>
      </c>
      <c r="BJ8" s="9" t="s">
        <v>38</v>
      </c>
      <c r="BK8" s="43" t="s">
        <v>39</v>
      </c>
      <c r="BL8" s="338"/>
      <c r="BM8" s="339"/>
      <c r="BN8" s="337" t="s">
        <v>39</v>
      </c>
      <c r="BO8" s="9" t="s">
        <v>33</v>
      </c>
      <c r="BP8" s="9" t="s">
        <v>33</v>
      </c>
      <c r="BQ8" s="9" t="s">
        <v>40</v>
      </c>
      <c r="BR8" s="42"/>
      <c r="BS8" s="334"/>
      <c r="BT8" s="335"/>
      <c r="BU8" s="10"/>
      <c r="BV8" s="9" t="s">
        <v>33</v>
      </c>
      <c r="BW8" s="9" t="s">
        <v>33</v>
      </c>
      <c r="BX8" s="9" t="s">
        <v>33</v>
      </c>
      <c r="BY8" s="9" t="s">
        <v>38</v>
      </c>
      <c r="BZ8" s="314"/>
      <c r="CA8" s="336"/>
      <c r="CB8" s="10"/>
      <c r="CC8" s="9" t="s">
        <v>33</v>
      </c>
      <c r="CD8" s="9" t="s">
        <v>33</v>
      </c>
      <c r="CE8" s="9" t="s">
        <v>41</v>
      </c>
      <c r="CF8" s="9" t="s">
        <v>33</v>
      </c>
      <c r="CG8" s="338"/>
      <c r="CH8" s="336"/>
      <c r="CI8" s="10"/>
      <c r="CJ8" s="9" t="s">
        <v>33</v>
      </c>
      <c r="CK8" s="9" t="s">
        <v>33</v>
      </c>
      <c r="CM8" s="9" t="s">
        <v>33</v>
      </c>
      <c r="CN8" s="314" t="s">
        <v>36</v>
      </c>
      <c r="CO8" s="336"/>
      <c r="CP8" s="326">
        <f t="shared" si="3"/>
        <v>36</v>
      </c>
      <c r="CQ8" s="326">
        <f t="shared" si="4"/>
        <v>6</v>
      </c>
      <c r="CR8" s="326">
        <f t="shared" si="5"/>
        <v>33</v>
      </c>
    </row>
    <row r="9" spans="1:96" ht="14.1" customHeight="1">
      <c r="A9" s="340" t="s">
        <v>42</v>
      </c>
      <c r="B9" s="322" t="str">
        <f t="shared" si="2"/>
        <v>34-10</v>
      </c>
      <c r="C9" s="341" t="s">
        <v>33</v>
      </c>
      <c r="D9" s="314" t="s">
        <v>33</v>
      </c>
      <c r="E9" s="334"/>
      <c r="F9" s="314" t="s">
        <v>33</v>
      </c>
      <c r="G9" s="334"/>
      <c r="H9" s="314" t="s">
        <v>36</v>
      </c>
      <c r="I9" s="336"/>
      <c r="J9" s="341" t="s">
        <v>33</v>
      </c>
      <c r="K9" s="314" t="s">
        <v>33</v>
      </c>
      <c r="L9" s="334"/>
      <c r="M9" s="314" t="s">
        <v>32</v>
      </c>
      <c r="N9" s="334" t="s">
        <v>33</v>
      </c>
      <c r="O9" s="334"/>
      <c r="P9" s="336"/>
      <c r="Q9" s="341" t="s">
        <v>33</v>
      </c>
      <c r="R9" s="314" t="s">
        <v>33</v>
      </c>
      <c r="S9" s="334"/>
      <c r="T9" s="314" t="s">
        <v>38</v>
      </c>
      <c r="U9" s="326"/>
      <c r="V9" s="314"/>
      <c r="W9" s="336" t="s">
        <v>37</v>
      </c>
      <c r="X9" s="341" t="s">
        <v>33</v>
      </c>
      <c r="Y9" s="314" t="s">
        <v>33</v>
      </c>
      <c r="Z9" s="334"/>
      <c r="AA9" s="314" t="s">
        <v>40</v>
      </c>
      <c r="AB9" s="326" t="s">
        <v>38</v>
      </c>
      <c r="AC9" s="314"/>
      <c r="AD9" s="336"/>
      <c r="AE9" s="341" t="s">
        <v>33</v>
      </c>
      <c r="AF9" s="314" t="s">
        <v>33</v>
      </c>
      <c r="AG9" s="334"/>
      <c r="AH9" s="314" t="s">
        <v>43</v>
      </c>
      <c r="AI9" s="326"/>
      <c r="AJ9" s="314" t="s">
        <v>38</v>
      </c>
      <c r="AK9" s="336"/>
      <c r="AL9" s="337" t="s">
        <v>34</v>
      </c>
      <c r="AM9" s="314" t="s">
        <v>33</v>
      </c>
      <c r="AN9" s="334"/>
      <c r="AO9" s="314" t="s">
        <v>32</v>
      </c>
      <c r="AP9" s="326" t="s">
        <v>33</v>
      </c>
      <c r="AQ9" s="314"/>
      <c r="AR9" s="336"/>
      <c r="AS9" s="341" t="s">
        <v>33</v>
      </c>
      <c r="AT9" s="314" t="s">
        <v>33</v>
      </c>
      <c r="AU9" s="334"/>
      <c r="AV9" s="314" t="s">
        <v>44</v>
      </c>
      <c r="AW9" s="326"/>
      <c r="AX9" s="314" t="s">
        <v>40</v>
      </c>
      <c r="AY9" s="336"/>
      <c r="AZ9" s="341" t="s">
        <v>33</v>
      </c>
      <c r="BA9" s="314" t="s">
        <v>33</v>
      </c>
      <c r="BB9" s="334"/>
      <c r="BC9" s="314" t="s">
        <v>37</v>
      </c>
      <c r="BD9" s="326" t="s">
        <v>36</v>
      </c>
      <c r="BE9" s="314"/>
      <c r="BF9" s="336"/>
      <c r="BG9" s="331" t="s">
        <v>31</v>
      </c>
      <c r="BH9" s="332"/>
      <c r="BI9" s="332"/>
      <c r="BJ9" s="332"/>
      <c r="BK9" s="332"/>
      <c r="BL9" s="332"/>
      <c r="BM9" s="333"/>
      <c r="BN9" s="331" t="s">
        <v>31</v>
      </c>
      <c r="BO9" s="332"/>
      <c r="BP9" s="332"/>
      <c r="BQ9" s="332"/>
      <c r="BR9" s="332"/>
      <c r="BS9" s="332"/>
      <c r="BT9" s="333"/>
      <c r="BU9" s="341" t="s">
        <v>33</v>
      </c>
      <c r="BV9" s="314" t="s">
        <v>33</v>
      </c>
      <c r="BW9" s="334"/>
      <c r="BX9" s="314" t="s">
        <v>32</v>
      </c>
      <c r="BY9" s="326"/>
      <c r="BZ9" s="314" t="s">
        <v>38</v>
      </c>
      <c r="CA9" s="336"/>
      <c r="CB9" s="341" t="s">
        <v>33</v>
      </c>
      <c r="CC9" s="314" t="s">
        <v>33</v>
      </c>
      <c r="CD9" s="334"/>
      <c r="CE9" s="314" t="s">
        <v>37</v>
      </c>
      <c r="CF9" s="326" t="s">
        <v>34</v>
      </c>
      <c r="CG9" s="338"/>
      <c r="CH9" s="336"/>
      <c r="CI9" s="341" t="s">
        <v>33</v>
      </c>
      <c r="CJ9" s="314" t="s">
        <v>33</v>
      </c>
      <c r="CK9" s="334"/>
      <c r="CL9" s="314" t="s">
        <v>35</v>
      </c>
      <c r="CM9" s="326"/>
      <c r="CN9" s="314" t="s">
        <v>43</v>
      </c>
      <c r="CO9" s="336"/>
      <c r="CP9" s="326">
        <f t="shared" si="3"/>
        <v>34</v>
      </c>
      <c r="CQ9" s="326">
        <f t="shared" si="4"/>
        <v>10</v>
      </c>
      <c r="CR9" s="326">
        <f t="shared" si="5"/>
        <v>24</v>
      </c>
    </row>
    <row r="10" spans="1:96" ht="14.1" customHeight="1">
      <c r="A10" s="342" t="s">
        <v>45</v>
      </c>
      <c r="B10" s="322" t="str">
        <f t="shared" si="2"/>
        <v>31-11</v>
      </c>
      <c r="C10" s="328" t="s">
        <v>30</v>
      </c>
      <c r="D10" s="329"/>
      <c r="E10" s="329"/>
      <c r="F10" s="329"/>
      <c r="G10" s="329"/>
      <c r="H10" s="329"/>
      <c r="I10" s="330"/>
      <c r="J10" s="341" t="s">
        <v>33</v>
      </c>
      <c r="K10" s="314" t="s">
        <v>33</v>
      </c>
      <c r="L10" s="314"/>
      <c r="M10" s="314"/>
      <c r="N10" s="314"/>
      <c r="O10" s="314" t="s">
        <v>40</v>
      </c>
      <c r="P10" s="336" t="s">
        <v>43</v>
      </c>
      <c r="Q10" s="341" t="s">
        <v>33</v>
      </c>
      <c r="R10" s="314" t="s">
        <v>33</v>
      </c>
      <c r="S10" s="314" t="s">
        <v>46</v>
      </c>
      <c r="T10" s="314"/>
      <c r="U10" s="314" t="s">
        <v>43</v>
      </c>
      <c r="V10" s="314"/>
      <c r="W10" s="336"/>
      <c r="X10" s="341" t="s">
        <v>33</v>
      </c>
      <c r="Y10" s="314" t="s">
        <v>33</v>
      </c>
      <c r="Z10" s="314" t="s">
        <v>41</v>
      </c>
      <c r="AA10" s="314"/>
      <c r="AB10" s="314" t="s">
        <v>35</v>
      </c>
      <c r="AC10" s="314"/>
      <c r="AD10" s="336"/>
      <c r="AE10" s="341" t="s">
        <v>33</v>
      </c>
      <c r="AF10" s="314" t="s">
        <v>33</v>
      </c>
      <c r="AG10" s="314"/>
      <c r="AH10" s="314"/>
      <c r="AI10" s="314"/>
      <c r="AJ10" s="314" t="s">
        <v>34</v>
      </c>
      <c r="AK10" s="336" t="s">
        <v>36</v>
      </c>
      <c r="AL10" s="337" t="s">
        <v>39</v>
      </c>
      <c r="AM10" s="314" t="s">
        <v>33</v>
      </c>
      <c r="AN10" s="314" t="s">
        <v>37</v>
      </c>
      <c r="AO10" s="314" t="s">
        <v>38</v>
      </c>
      <c r="AP10" s="314"/>
      <c r="AQ10" s="334"/>
      <c r="AR10" s="335"/>
      <c r="AS10" s="341" t="s">
        <v>33</v>
      </c>
      <c r="AT10" s="314" t="s">
        <v>33</v>
      </c>
      <c r="AU10" s="314" t="s">
        <v>40</v>
      </c>
      <c r="AV10" s="314"/>
      <c r="AW10" s="314" t="s">
        <v>46</v>
      </c>
      <c r="AX10" s="314"/>
      <c r="AY10" s="336"/>
      <c r="AZ10" s="341" t="s">
        <v>33</v>
      </c>
      <c r="BA10" s="314" t="s">
        <v>33</v>
      </c>
      <c r="BB10" s="314" t="s">
        <v>37</v>
      </c>
      <c r="BC10" s="314" t="s">
        <v>36</v>
      </c>
      <c r="BD10" s="334"/>
      <c r="BE10" s="334"/>
      <c r="BF10" s="335"/>
      <c r="BG10" s="331" t="s">
        <v>31</v>
      </c>
      <c r="BH10" s="332"/>
      <c r="BI10" s="332"/>
      <c r="BJ10" s="332"/>
      <c r="BK10" s="332"/>
      <c r="BL10" s="332"/>
      <c r="BM10" s="333"/>
      <c r="BN10" s="337" t="s">
        <v>39</v>
      </c>
      <c r="BO10" s="314" t="s">
        <v>33</v>
      </c>
      <c r="BP10" s="314"/>
      <c r="BQ10" s="314" t="s">
        <v>38</v>
      </c>
      <c r="BR10" s="314" t="s">
        <v>34</v>
      </c>
      <c r="BS10" s="314"/>
      <c r="BT10" s="336"/>
      <c r="BU10" s="341" t="s">
        <v>33</v>
      </c>
      <c r="BV10" s="314" t="s">
        <v>33</v>
      </c>
      <c r="BW10" s="314" t="s">
        <v>47</v>
      </c>
      <c r="BX10" s="314" t="s">
        <v>43</v>
      </c>
      <c r="BY10" s="314"/>
      <c r="BZ10" s="314"/>
      <c r="CA10" s="336"/>
      <c r="CB10" s="341" t="s">
        <v>33</v>
      </c>
      <c r="CC10" s="314" t="s">
        <v>33</v>
      </c>
      <c r="CD10" s="314"/>
      <c r="CE10" s="314"/>
      <c r="CF10" s="314"/>
      <c r="CG10" s="338" t="s">
        <v>35</v>
      </c>
      <c r="CH10" s="336" t="s">
        <v>38</v>
      </c>
      <c r="CI10" s="341" t="s">
        <v>33</v>
      </c>
      <c r="CJ10" s="314" t="s">
        <v>33</v>
      </c>
      <c r="CK10" s="314" t="s">
        <v>41</v>
      </c>
      <c r="CL10" s="314" t="s">
        <v>32</v>
      </c>
      <c r="CM10" s="334"/>
      <c r="CN10" s="334"/>
      <c r="CO10" s="335"/>
      <c r="CP10" s="326">
        <f t="shared" si="3"/>
        <v>31</v>
      </c>
      <c r="CQ10" s="326">
        <f t="shared" si="4"/>
        <v>11</v>
      </c>
      <c r="CR10" s="326">
        <f t="shared" si="5"/>
        <v>22</v>
      </c>
    </row>
    <row r="11" spans="1:96" ht="14.1" customHeight="1">
      <c r="A11" s="343" t="s">
        <v>48</v>
      </c>
      <c r="B11" s="322" t="str">
        <f t="shared" si="2"/>
        <v>30-10</v>
      </c>
      <c r="C11" s="341" t="s">
        <v>37</v>
      </c>
      <c r="D11" s="314" t="s">
        <v>33</v>
      </c>
      <c r="E11" s="314" t="s">
        <v>33</v>
      </c>
      <c r="F11" s="314" t="s">
        <v>38</v>
      </c>
      <c r="G11" s="314"/>
      <c r="H11" s="314"/>
      <c r="I11" s="336"/>
      <c r="J11" s="341" t="s">
        <v>33</v>
      </c>
      <c r="K11" s="314" t="s">
        <v>32</v>
      </c>
      <c r="L11" s="314" t="s">
        <v>33</v>
      </c>
      <c r="M11" s="314" t="s">
        <v>44</v>
      </c>
      <c r="N11" s="314"/>
      <c r="O11" s="314"/>
      <c r="P11" s="336"/>
      <c r="Q11" s="341" t="s">
        <v>33</v>
      </c>
      <c r="R11" s="314" t="s">
        <v>33</v>
      </c>
      <c r="S11" s="314" t="s">
        <v>40</v>
      </c>
      <c r="T11" s="314" t="s">
        <v>36</v>
      </c>
      <c r="U11" s="314"/>
      <c r="V11" s="314"/>
      <c r="W11" s="336"/>
      <c r="X11" s="341" t="s">
        <v>33</v>
      </c>
      <c r="Y11" s="314" t="s">
        <v>33</v>
      </c>
      <c r="Z11" s="314"/>
      <c r="AA11" s="314" t="s">
        <v>46</v>
      </c>
      <c r="AB11" s="314"/>
      <c r="AC11" s="314" t="s">
        <v>37</v>
      </c>
      <c r="AD11" s="336" t="s">
        <v>47</v>
      </c>
      <c r="AE11" s="341" t="s">
        <v>33</v>
      </c>
      <c r="AF11" s="314" t="s">
        <v>33</v>
      </c>
      <c r="AG11" s="314"/>
      <c r="AH11" s="314" t="s">
        <v>34</v>
      </c>
      <c r="AI11" s="314"/>
      <c r="AJ11" s="314"/>
      <c r="AK11" s="336"/>
      <c r="AL11" s="328" t="s">
        <v>30</v>
      </c>
      <c r="AM11" s="329"/>
      <c r="AN11" s="329"/>
      <c r="AO11" s="329"/>
      <c r="AP11" s="329"/>
      <c r="AQ11" s="329"/>
      <c r="AR11" s="330"/>
      <c r="AS11" s="341" t="s">
        <v>33</v>
      </c>
      <c r="AT11" s="314" t="s">
        <v>33</v>
      </c>
      <c r="AU11" s="314" t="s">
        <v>43</v>
      </c>
      <c r="AV11" s="314" t="s">
        <v>46</v>
      </c>
      <c r="AW11" s="314"/>
      <c r="AX11" s="314"/>
      <c r="AY11" s="336"/>
      <c r="AZ11" s="341" t="s">
        <v>33</v>
      </c>
      <c r="BA11" s="314" t="s">
        <v>33</v>
      </c>
      <c r="BB11" s="314" t="s">
        <v>47</v>
      </c>
      <c r="BC11" s="314" t="s">
        <v>35</v>
      </c>
      <c r="BD11" s="314"/>
      <c r="BE11" s="314"/>
      <c r="BF11" s="336"/>
      <c r="BG11" s="331" t="s">
        <v>31</v>
      </c>
      <c r="BH11" s="332"/>
      <c r="BI11" s="332"/>
      <c r="BJ11" s="332"/>
      <c r="BK11" s="332"/>
      <c r="BL11" s="332"/>
      <c r="BM11" s="333"/>
      <c r="BN11" s="331" t="s">
        <v>31</v>
      </c>
      <c r="BO11" s="332"/>
      <c r="BP11" s="332"/>
      <c r="BQ11" s="332"/>
      <c r="BR11" s="332"/>
      <c r="BS11" s="332"/>
      <c r="BT11" s="333"/>
      <c r="BU11" s="341" t="s">
        <v>33</v>
      </c>
      <c r="BV11" s="314" t="s">
        <v>33</v>
      </c>
      <c r="BW11" s="314" t="s">
        <v>40</v>
      </c>
      <c r="BX11" s="314" t="s">
        <v>35</v>
      </c>
      <c r="BY11" s="314"/>
      <c r="BZ11" s="314"/>
      <c r="CA11" s="336"/>
      <c r="CB11" s="341" t="s">
        <v>33</v>
      </c>
      <c r="CC11" s="314" t="s">
        <v>33</v>
      </c>
      <c r="CD11" s="314" t="s">
        <v>43</v>
      </c>
      <c r="CE11" s="314"/>
      <c r="CF11" s="314"/>
      <c r="CG11" s="338" t="s">
        <v>36</v>
      </c>
      <c r="CH11" s="336" t="s">
        <v>34</v>
      </c>
      <c r="CI11" s="341" t="s">
        <v>33</v>
      </c>
      <c r="CJ11" s="314" t="s">
        <v>33</v>
      </c>
      <c r="CK11" s="314" t="s">
        <v>47</v>
      </c>
      <c r="CL11" s="314"/>
      <c r="CM11" s="314"/>
      <c r="CN11" s="314"/>
      <c r="CO11" s="336"/>
      <c r="CP11" s="326">
        <f t="shared" si="3"/>
        <v>30</v>
      </c>
      <c r="CQ11" s="326">
        <f t="shared" si="4"/>
        <v>10</v>
      </c>
      <c r="CR11" s="326">
        <f t="shared" si="5"/>
        <v>20</v>
      </c>
    </row>
    <row r="12" spans="1:96" ht="14.1" customHeight="1">
      <c r="A12" s="343" t="s">
        <v>49</v>
      </c>
      <c r="B12" s="322" t="str">
        <f t="shared" si="2"/>
        <v>24-18</v>
      </c>
      <c r="C12" s="344"/>
      <c r="D12" s="314" t="s">
        <v>50</v>
      </c>
      <c r="E12" s="314" t="s">
        <v>38</v>
      </c>
      <c r="F12" s="314"/>
      <c r="G12" s="314" t="s">
        <v>40</v>
      </c>
      <c r="H12" s="314"/>
      <c r="I12" s="336"/>
      <c r="J12" s="341" t="s">
        <v>33</v>
      </c>
      <c r="K12" s="314" t="s">
        <v>43</v>
      </c>
      <c r="L12" s="314" t="s">
        <v>35</v>
      </c>
      <c r="M12" s="314"/>
      <c r="N12" s="314" t="s">
        <v>38</v>
      </c>
      <c r="O12" s="314"/>
      <c r="P12" s="336"/>
      <c r="Q12" s="341" t="s">
        <v>47</v>
      </c>
      <c r="R12" s="314" t="s">
        <v>33</v>
      </c>
      <c r="S12" s="314" t="s">
        <v>34</v>
      </c>
      <c r="T12" s="314"/>
      <c r="U12" s="314"/>
      <c r="V12" s="314" t="s">
        <v>35</v>
      </c>
      <c r="W12" s="336" t="s">
        <v>36</v>
      </c>
      <c r="X12" s="341" t="s">
        <v>33</v>
      </c>
      <c r="Y12" s="314" t="s">
        <v>40</v>
      </c>
      <c r="Z12" s="314" t="s">
        <v>46</v>
      </c>
      <c r="AA12" s="314"/>
      <c r="AB12" s="334"/>
      <c r="AC12" s="334"/>
      <c r="AD12" s="335"/>
      <c r="AE12" s="331" t="s">
        <v>31</v>
      </c>
      <c r="AF12" s="332"/>
      <c r="AG12" s="332"/>
      <c r="AH12" s="332"/>
      <c r="AI12" s="332"/>
      <c r="AJ12" s="332"/>
      <c r="AK12" s="333"/>
      <c r="AL12" s="328" t="s">
        <v>30</v>
      </c>
      <c r="AM12" s="329"/>
      <c r="AN12" s="329"/>
      <c r="AO12" s="329"/>
      <c r="AP12" s="329"/>
      <c r="AQ12" s="329"/>
      <c r="AR12" s="330"/>
      <c r="AS12" s="341" t="s">
        <v>33</v>
      </c>
      <c r="AT12" s="314" t="s">
        <v>32</v>
      </c>
      <c r="AU12" s="314" t="s">
        <v>35</v>
      </c>
      <c r="AV12" s="314" t="s">
        <v>36</v>
      </c>
      <c r="AW12" s="314"/>
      <c r="AX12" s="314"/>
      <c r="AY12" s="336"/>
      <c r="AZ12" s="341" t="s">
        <v>50</v>
      </c>
      <c r="BA12" s="314" t="s">
        <v>37</v>
      </c>
      <c r="BB12" s="314" t="s">
        <v>44</v>
      </c>
      <c r="BC12" s="314"/>
      <c r="BD12" s="314"/>
      <c r="BE12" s="314" t="s">
        <v>47</v>
      </c>
      <c r="BF12" s="336" t="s">
        <v>40</v>
      </c>
      <c r="BG12" s="341"/>
      <c r="BH12" s="314" t="s">
        <v>32</v>
      </c>
      <c r="BI12" s="314" t="s">
        <v>38</v>
      </c>
      <c r="BJ12" s="314"/>
      <c r="BK12" s="338" t="s">
        <v>39</v>
      </c>
      <c r="BL12" s="338"/>
      <c r="BM12" s="339"/>
      <c r="BN12" s="338" t="s">
        <v>43</v>
      </c>
      <c r="BO12" s="314" t="s">
        <v>33</v>
      </c>
      <c r="BP12" s="314" t="s">
        <v>34</v>
      </c>
      <c r="BQ12" s="314"/>
      <c r="BR12" s="314" t="s">
        <v>38</v>
      </c>
      <c r="BS12" s="334"/>
      <c r="BT12" s="335"/>
      <c r="BU12" s="341" t="s">
        <v>37</v>
      </c>
      <c r="BV12" s="314" t="s">
        <v>32</v>
      </c>
      <c r="BW12" s="314" t="s">
        <v>36</v>
      </c>
      <c r="BX12" s="314" t="s">
        <v>33</v>
      </c>
      <c r="BY12" s="314"/>
      <c r="BZ12" s="314"/>
      <c r="CA12" s="336"/>
      <c r="CB12" s="341" t="s">
        <v>33</v>
      </c>
      <c r="CC12" s="314" t="s">
        <v>47</v>
      </c>
      <c r="CD12" s="314" t="s">
        <v>44</v>
      </c>
      <c r="CE12" s="314"/>
      <c r="CF12" s="314"/>
      <c r="CG12" s="338" t="s">
        <v>34</v>
      </c>
      <c r="CH12" s="336" t="s">
        <v>36</v>
      </c>
      <c r="CI12" s="341" t="s">
        <v>50</v>
      </c>
      <c r="CJ12" s="314" t="s">
        <v>37</v>
      </c>
      <c r="CK12" s="314" t="s">
        <v>36</v>
      </c>
      <c r="CL12" s="314"/>
      <c r="CM12" s="314"/>
      <c r="CN12" s="314"/>
      <c r="CO12" s="336"/>
      <c r="CP12" s="326">
        <f t="shared" si="3"/>
        <v>24</v>
      </c>
      <c r="CQ12" s="326">
        <f t="shared" si="4"/>
        <v>18</v>
      </c>
      <c r="CR12" s="326">
        <f t="shared" si="5"/>
        <v>11</v>
      </c>
    </row>
    <row r="13" spans="1:96" ht="14.1" customHeight="1">
      <c r="A13" s="343" t="s">
        <v>51</v>
      </c>
      <c r="B13" s="322" t="str">
        <f t="shared" si="2"/>
        <v>30-6</v>
      </c>
      <c r="C13" s="345" t="s">
        <v>40</v>
      </c>
      <c r="D13" s="314" t="s">
        <v>52</v>
      </c>
      <c r="E13" s="314" t="s">
        <v>53</v>
      </c>
      <c r="F13" s="314"/>
      <c r="G13" s="314" t="s">
        <v>50</v>
      </c>
      <c r="H13" s="314"/>
      <c r="I13" s="336"/>
      <c r="J13" s="341" t="s">
        <v>43</v>
      </c>
      <c r="K13" s="314" t="s">
        <v>52</v>
      </c>
      <c r="L13" s="314" t="s">
        <v>33</v>
      </c>
      <c r="M13" s="314"/>
      <c r="N13" s="314" t="s">
        <v>34</v>
      </c>
      <c r="O13" s="334"/>
      <c r="P13" s="335"/>
      <c r="Q13" s="341" t="s">
        <v>33</v>
      </c>
      <c r="R13" s="314" t="s">
        <v>52</v>
      </c>
      <c r="S13" s="334"/>
      <c r="T13" s="314" t="s">
        <v>53</v>
      </c>
      <c r="U13" s="314" t="s">
        <v>32</v>
      </c>
      <c r="V13" s="314"/>
      <c r="W13" s="336"/>
      <c r="X13" s="341"/>
      <c r="Y13" s="314" t="s">
        <v>52</v>
      </c>
      <c r="Z13" s="314" t="s">
        <v>53</v>
      </c>
      <c r="AA13" s="314"/>
      <c r="AB13" s="314"/>
      <c r="AC13" s="314" t="s">
        <v>36</v>
      </c>
      <c r="AD13" s="336" t="s">
        <v>38</v>
      </c>
      <c r="AE13" s="344" t="s">
        <v>33</v>
      </c>
      <c r="AF13" s="314" t="s">
        <v>52</v>
      </c>
      <c r="AG13" s="314" t="s">
        <v>41</v>
      </c>
      <c r="AH13" s="314"/>
      <c r="AI13" s="314" t="s">
        <v>40</v>
      </c>
      <c r="AJ13" s="314"/>
      <c r="AK13" s="336"/>
      <c r="AL13" s="337" t="s">
        <v>47</v>
      </c>
      <c r="AM13" s="314" t="s">
        <v>52</v>
      </c>
      <c r="AN13" s="314" t="s">
        <v>33</v>
      </c>
      <c r="AO13" s="334"/>
      <c r="AP13" s="314" t="s">
        <v>53</v>
      </c>
      <c r="AQ13" s="334"/>
      <c r="AR13" s="335"/>
      <c r="AS13" s="341" t="s">
        <v>47</v>
      </c>
      <c r="AT13" s="314" t="s">
        <v>52</v>
      </c>
      <c r="AU13" s="324" t="s">
        <v>54</v>
      </c>
      <c r="AV13" s="334"/>
      <c r="AW13" s="314" t="s">
        <v>33</v>
      </c>
      <c r="AX13" s="334"/>
      <c r="AY13" s="335"/>
      <c r="AZ13" s="328" t="s">
        <v>30</v>
      </c>
      <c r="BA13" s="329"/>
      <c r="BB13" s="329"/>
      <c r="BC13" s="329"/>
      <c r="BD13" s="329"/>
      <c r="BE13" s="329"/>
      <c r="BF13" s="330"/>
      <c r="BG13" s="331" t="s">
        <v>31</v>
      </c>
      <c r="BH13" s="332"/>
      <c r="BI13" s="332"/>
      <c r="BJ13" s="332"/>
      <c r="BK13" s="332"/>
      <c r="BL13" s="332"/>
      <c r="BM13" s="333"/>
      <c r="BN13" s="337" t="s">
        <v>39</v>
      </c>
      <c r="BO13" s="314" t="s">
        <v>52</v>
      </c>
      <c r="BP13" s="314" t="s">
        <v>40</v>
      </c>
      <c r="BQ13" s="334"/>
      <c r="BR13" s="314" t="s">
        <v>36</v>
      </c>
      <c r="BS13" s="314"/>
      <c r="BT13" s="336"/>
      <c r="BU13" s="341" t="s">
        <v>47</v>
      </c>
      <c r="BV13" s="314" t="s">
        <v>52</v>
      </c>
      <c r="BW13" s="314" t="s">
        <v>34</v>
      </c>
      <c r="BX13" s="314"/>
      <c r="BY13" s="314" t="s">
        <v>53</v>
      </c>
      <c r="BZ13" s="334"/>
      <c r="CA13" s="335"/>
      <c r="CB13" s="341" t="s">
        <v>32</v>
      </c>
      <c r="CC13" s="314" t="s">
        <v>52</v>
      </c>
      <c r="CD13" s="314" t="s">
        <v>33</v>
      </c>
      <c r="CE13" s="314"/>
      <c r="CF13" s="314"/>
      <c r="CG13" s="338" t="s">
        <v>47</v>
      </c>
      <c r="CH13" s="336" t="s">
        <v>43</v>
      </c>
      <c r="CI13" s="344"/>
      <c r="CJ13" s="314" t="s">
        <v>52</v>
      </c>
      <c r="CK13" s="314" t="s">
        <v>53</v>
      </c>
      <c r="CL13" s="314" t="s">
        <v>36</v>
      </c>
      <c r="CM13" s="314"/>
      <c r="CN13" s="314"/>
      <c r="CO13" s="336"/>
      <c r="CP13" s="326">
        <f t="shared" si="3"/>
        <v>30</v>
      </c>
      <c r="CQ13" s="326">
        <f t="shared" si="4"/>
        <v>6</v>
      </c>
      <c r="CR13" s="326">
        <f t="shared" si="5"/>
        <v>20</v>
      </c>
    </row>
    <row r="14" spans="1:96" ht="14.1" customHeight="1">
      <c r="A14" s="346" t="s">
        <v>55</v>
      </c>
      <c r="B14" s="322" t="str">
        <f t="shared" si="2"/>
        <v>30-17</v>
      </c>
      <c r="C14" s="341" t="s">
        <v>47</v>
      </c>
      <c r="D14" s="326" t="s">
        <v>33</v>
      </c>
      <c r="E14" s="326" t="s">
        <v>37</v>
      </c>
      <c r="F14" s="326" t="s">
        <v>36</v>
      </c>
      <c r="G14" s="334"/>
      <c r="H14" s="314"/>
      <c r="I14" s="336"/>
      <c r="J14" s="341" t="s">
        <v>40</v>
      </c>
      <c r="K14" s="326" t="s">
        <v>33</v>
      </c>
      <c r="L14" s="326" t="s">
        <v>41</v>
      </c>
      <c r="M14" s="326" t="s">
        <v>46</v>
      </c>
      <c r="N14" s="334"/>
      <c r="O14" s="334"/>
      <c r="P14" s="347"/>
      <c r="Q14" s="341" t="s">
        <v>35</v>
      </c>
      <c r="R14" s="326" t="s">
        <v>33</v>
      </c>
      <c r="S14" s="326" t="s">
        <v>43</v>
      </c>
      <c r="T14" s="326" t="s">
        <v>34</v>
      </c>
      <c r="U14" s="334"/>
      <c r="V14" s="314"/>
      <c r="W14" s="336"/>
      <c r="X14" s="341"/>
      <c r="Y14" s="326"/>
      <c r="Z14" s="326" t="s">
        <v>41</v>
      </c>
      <c r="AA14" s="326" t="s">
        <v>50</v>
      </c>
      <c r="AB14" s="334"/>
      <c r="AC14" s="314" t="s">
        <v>47</v>
      </c>
      <c r="AD14" s="348" t="s">
        <v>36</v>
      </c>
      <c r="AE14" s="341" t="s">
        <v>46</v>
      </c>
      <c r="AF14" s="326" t="s">
        <v>33</v>
      </c>
      <c r="AG14" s="326" t="s">
        <v>37</v>
      </c>
      <c r="AH14" s="326"/>
      <c r="AI14" s="334"/>
      <c r="AJ14" s="314"/>
      <c r="AK14" s="336" t="s">
        <v>34</v>
      </c>
      <c r="AL14" s="337" t="s">
        <v>35</v>
      </c>
      <c r="AM14" s="326" t="s">
        <v>50</v>
      </c>
      <c r="AN14" s="326" t="s">
        <v>43</v>
      </c>
      <c r="AO14" s="326"/>
      <c r="AP14" s="334"/>
      <c r="AQ14" s="314"/>
      <c r="AR14" s="348" t="s">
        <v>47</v>
      </c>
      <c r="AS14" s="328" t="s">
        <v>30</v>
      </c>
      <c r="AT14" s="329"/>
      <c r="AU14" s="329"/>
      <c r="AV14" s="329"/>
      <c r="AW14" s="329"/>
      <c r="AX14" s="329"/>
      <c r="AY14" s="330"/>
      <c r="AZ14" s="341"/>
      <c r="BA14" s="326"/>
      <c r="BB14" s="326" t="s">
        <v>40</v>
      </c>
      <c r="BC14" s="326" t="s">
        <v>33</v>
      </c>
      <c r="BD14" s="334"/>
      <c r="BE14" s="314" t="s">
        <v>36</v>
      </c>
      <c r="BF14" s="348" t="s">
        <v>38</v>
      </c>
      <c r="BG14" s="341" t="s">
        <v>46</v>
      </c>
      <c r="BH14" s="326"/>
      <c r="BI14" s="326" t="s">
        <v>37</v>
      </c>
      <c r="BJ14" s="326" t="s">
        <v>34</v>
      </c>
      <c r="BK14" s="334" t="s">
        <v>39</v>
      </c>
      <c r="BL14" s="338"/>
      <c r="BM14" s="339"/>
      <c r="BN14" s="338" t="s">
        <v>47</v>
      </c>
      <c r="BO14" s="326" t="s">
        <v>32</v>
      </c>
      <c r="BP14" s="326" t="s">
        <v>36</v>
      </c>
      <c r="BQ14" s="326" t="s">
        <v>33</v>
      </c>
      <c r="BR14" s="334"/>
      <c r="BS14" s="334"/>
      <c r="BT14" s="347"/>
      <c r="BU14" s="344"/>
      <c r="BV14" s="334"/>
      <c r="BW14" s="326"/>
      <c r="BX14" s="326" t="s">
        <v>38</v>
      </c>
      <c r="BY14" s="334" t="s">
        <v>33</v>
      </c>
      <c r="BZ14" s="314" t="s">
        <v>40</v>
      </c>
      <c r="CA14" s="336" t="s">
        <v>37</v>
      </c>
      <c r="CB14" s="341" t="s">
        <v>47</v>
      </c>
      <c r="CC14" s="326" t="s">
        <v>33</v>
      </c>
      <c r="CD14" s="326" t="s">
        <v>41</v>
      </c>
      <c r="CE14" s="326" t="s">
        <v>35</v>
      </c>
      <c r="CF14" s="334"/>
      <c r="CG14" s="338"/>
      <c r="CH14" s="348"/>
      <c r="CI14" s="341" t="s">
        <v>34</v>
      </c>
      <c r="CJ14" s="326" t="s">
        <v>50</v>
      </c>
      <c r="CK14" s="326" t="s">
        <v>43</v>
      </c>
      <c r="CL14" s="326" t="s">
        <v>46</v>
      </c>
      <c r="CM14" s="334"/>
      <c r="CN14" s="334"/>
      <c r="CO14" s="335"/>
      <c r="CP14" s="326">
        <f t="shared" si="3"/>
        <v>30</v>
      </c>
      <c r="CQ14" s="326">
        <f t="shared" si="4"/>
        <v>17</v>
      </c>
      <c r="CR14" s="326">
        <f t="shared" si="5"/>
        <v>12</v>
      </c>
    </row>
    <row r="15" spans="1:96" ht="14.1" customHeight="1">
      <c r="A15" s="346" t="s">
        <v>56</v>
      </c>
      <c r="B15" s="322" t="str">
        <f t="shared" si="2"/>
        <v>32-17</v>
      </c>
      <c r="C15" s="341" t="s">
        <v>34</v>
      </c>
      <c r="D15" s="314"/>
      <c r="E15" s="314" t="s">
        <v>33</v>
      </c>
      <c r="F15" s="314"/>
      <c r="G15" s="314"/>
      <c r="H15" s="314" t="s">
        <v>43</v>
      </c>
      <c r="I15" s="336" t="s">
        <v>38</v>
      </c>
      <c r="J15" s="349"/>
      <c r="K15" s="326" t="s">
        <v>33</v>
      </c>
      <c r="L15" s="326" t="s">
        <v>57</v>
      </c>
      <c r="M15" s="326" t="s">
        <v>41</v>
      </c>
      <c r="N15" s="314" t="s">
        <v>35</v>
      </c>
      <c r="O15" s="314"/>
      <c r="P15" s="336"/>
      <c r="Q15" s="341" t="s">
        <v>38</v>
      </c>
      <c r="R15" s="314"/>
      <c r="S15" s="314" t="s">
        <v>33</v>
      </c>
      <c r="T15" s="314"/>
      <c r="U15" s="314"/>
      <c r="V15" s="314" t="s">
        <v>40</v>
      </c>
      <c r="W15" s="336" t="s">
        <v>43</v>
      </c>
      <c r="X15" s="349" t="s">
        <v>33</v>
      </c>
      <c r="Y15" s="326" t="s">
        <v>32</v>
      </c>
      <c r="Z15" s="326" t="s">
        <v>57</v>
      </c>
      <c r="AA15" s="326" t="s">
        <v>35</v>
      </c>
      <c r="AB15" s="314"/>
      <c r="AC15" s="314"/>
      <c r="AD15" s="336"/>
      <c r="AE15" s="341" t="s">
        <v>40</v>
      </c>
      <c r="AF15" s="314"/>
      <c r="AG15" s="314" t="s">
        <v>33</v>
      </c>
      <c r="AH15" s="314"/>
      <c r="AI15" s="314"/>
      <c r="AJ15" s="314" t="s">
        <v>36</v>
      </c>
      <c r="AK15" s="336" t="s">
        <v>38</v>
      </c>
      <c r="AL15" s="337" t="s">
        <v>39</v>
      </c>
      <c r="AM15" s="326" t="s">
        <v>41</v>
      </c>
      <c r="AN15" s="326" t="s">
        <v>57</v>
      </c>
      <c r="AO15" s="326"/>
      <c r="AP15" s="314" t="s">
        <v>46</v>
      </c>
      <c r="AQ15" s="314"/>
      <c r="AR15" s="336"/>
      <c r="AS15" s="341" t="s">
        <v>34</v>
      </c>
      <c r="AT15" s="314"/>
      <c r="AU15" s="314" t="s">
        <v>33</v>
      </c>
      <c r="AV15" s="314"/>
      <c r="AW15" s="314"/>
      <c r="AX15" s="314" t="s">
        <v>43</v>
      </c>
      <c r="AY15" s="336" t="s">
        <v>37</v>
      </c>
      <c r="AZ15" s="349" t="s">
        <v>38</v>
      </c>
      <c r="BA15" s="326" t="s">
        <v>50</v>
      </c>
      <c r="BB15" s="326" t="s">
        <v>57</v>
      </c>
      <c r="BC15" s="326"/>
      <c r="BD15" s="314" t="s">
        <v>37</v>
      </c>
      <c r="BE15" s="314"/>
      <c r="BF15" s="336"/>
      <c r="BG15" s="341"/>
      <c r="BH15" s="314"/>
      <c r="BI15" s="314"/>
      <c r="BJ15" s="314" t="s">
        <v>47</v>
      </c>
      <c r="BK15" s="338" t="s">
        <v>39</v>
      </c>
      <c r="BL15" s="338" t="s">
        <v>36</v>
      </c>
      <c r="BM15" s="338" t="s">
        <v>34</v>
      </c>
      <c r="BN15" s="337" t="s">
        <v>39</v>
      </c>
      <c r="BO15" s="326"/>
      <c r="BP15" s="326" t="s">
        <v>57</v>
      </c>
      <c r="BQ15" s="326" t="s">
        <v>32</v>
      </c>
      <c r="BR15" s="314" t="s">
        <v>35</v>
      </c>
      <c r="BS15" s="314"/>
      <c r="BT15" s="336"/>
      <c r="BU15" s="341" t="s">
        <v>38</v>
      </c>
      <c r="BV15" s="314" t="s">
        <v>34</v>
      </c>
      <c r="BW15" s="314" t="s">
        <v>33</v>
      </c>
      <c r="BX15" s="314"/>
      <c r="BY15" s="314" t="s">
        <v>32</v>
      </c>
      <c r="BZ15" s="314"/>
      <c r="CA15" s="336"/>
      <c r="CB15" s="344"/>
      <c r="CC15" s="326"/>
      <c r="CD15" s="326" t="s">
        <v>57</v>
      </c>
      <c r="CE15" s="326"/>
      <c r="CF15" s="314" t="s">
        <v>50</v>
      </c>
      <c r="CG15" s="338" t="s">
        <v>43</v>
      </c>
      <c r="CH15" s="336" t="s">
        <v>37</v>
      </c>
      <c r="CI15" s="341" t="s">
        <v>40</v>
      </c>
      <c r="CJ15" s="314"/>
      <c r="CK15" s="314" t="s">
        <v>33</v>
      </c>
      <c r="CL15" s="314"/>
      <c r="CM15" s="314"/>
      <c r="CN15" s="314" t="s">
        <v>38</v>
      </c>
      <c r="CO15" s="336" t="s">
        <v>36</v>
      </c>
      <c r="CP15" s="326">
        <f t="shared" si="3"/>
        <v>32</v>
      </c>
      <c r="CQ15" s="326">
        <f t="shared" si="4"/>
        <v>17</v>
      </c>
      <c r="CR15" s="326">
        <f t="shared" si="5"/>
        <v>13</v>
      </c>
    </row>
    <row r="16" spans="1:96" ht="14.1" customHeight="1">
      <c r="A16" s="343" t="s">
        <v>58</v>
      </c>
      <c r="B16" s="322" t="str">
        <f t="shared" si="2"/>
        <v>26-17</v>
      </c>
      <c r="C16" s="344"/>
      <c r="D16" s="334"/>
      <c r="E16" s="334"/>
      <c r="F16" s="314" t="s">
        <v>50</v>
      </c>
      <c r="G16" s="314" t="s">
        <v>47</v>
      </c>
      <c r="H16" s="350" t="s">
        <v>34</v>
      </c>
      <c r="I16" s="351" t="s">
        <v>36</v>
      </c>
      <c r="J16" s="344"/>
      <c r="K16" s="314" t="s">
        <v>33</v>
      </c>
      <c r="L16" s="314" t="s">
        <v>43</v>
      </c>
      <c r="M16" s="314" t="s">
        <v>35</v>
      </c>
      <c r="N16" s="314" t="s">
        <v>46</v>
      </c>
      <c r="O16" s="352"/>
      <c r="P16" s="353"/>
      <c r="Q16" s="344"/>
      <c r="R16" s="334"/>
      <c r="S16" s="334"/>
      <c r="T16" s="314" t="s">
        <v>33</v>
      </c>
      <c r="U16" s="314" t="s">
        <v>47</v>
      </c>
      <c r="V16" s="350" t="s">
        <v>43</v>
      </c>
      <c r="W16" s="351" t="s">
        <v>40</v>
      </c>
      <c r="X16" s="344"/>
      <c r="Y16" s="314" t="s">
        <v>33</v>
      </c>
      <c r="Z16" s="314" t="s">
        <v>37</v>
      </c>
      <c r="AA16" s="314" t="s">
        <v>36</v>
      </c>
      <c r="AB16" s="314" t="s">
        <v>34</v>
      </c>
      <c r="AC16" s="352"/>
      <c r="AD16" s="353"/>
      <c r="AE16" s="344"/>
      <c r="AF16" s="314" t="s">
        <v>41</v>
      </c>
      <c r="AG16" s="314" t="s">
        <v>33</v>
      </c>
      <c r="AH16" s="314" t="s">
        <v>38</v>
      </c>
      <c r="AI16" s="314" t="s">
        <v>46</v>
      </c>
      <c r="AJ16" s="352"/>
      <c r="AK16" s="353"/>
      <c r="AL16" s="337" t="s">
        <v>40</v>
      </c>
      <c r="AM16" s="314" t="s">
        <v>38</v>
      </c>
      <c r="AN16" s="314" t="s">
        <v>35</v>
      </c>
      <c r="AO16" s="314" t="s">
        <v>33</v>
      </c>
      <c r="AP16" s="334"/>
      <c r="AQ16" s="352"/>
      <c r="AR16" s="353"/>
      <c r="AS16" s="341" t="s">
        <v>37</v>
      </c>
      <c r="AT16" s="314" t="s">
        <v>43</v>
      </c>
      <c r="AU16" s="314" t="s">
        <v>33</v>
      </c>
      <c r="AV16" s="314" t="s">
        <v>38</v>
      </c>
      <c r="AW16" s="334"/>
      <c r="AX16" s="352"/>
      <c r="AY16" s="353"/>
      <c r="AZ16" s="341" t="s">
        <v>32</v>
      </c>
      <c r="BA16" s="314" t="s">
        <v>43</v>
      </c>
      <c r="BB16" s="314" t="s">
        <v>33</v>
      </c>
      <c r="BC16" s="314" t="s">
        <v>34</v>
      </c>
      <c r="BD16" s="334"/>
      <c r="BE16" s="352"/>
      <c r="BF16" s="353"/>
      <c r="BG16" s="344"/>
      <c r="BH16" s="334"/>
      <c r="BI16" s="334"/>
      <c r="BJ16" s="314" t="s">
        <v>50</v>
      </c>
      <c r="BK16" s="338" t="s">
        <v>43</v>
      </c>
      <c r="BL16" s="338" t="s">
        <v>38</v>
      </c>
      <c r="BM16" s="338" t="s">
        <v>35</v>
      </c>
      <c r="BN16" s="344" t="s">
        <v>39</v>
      </c>
      <c r="BO16" s="314"/>
      <c r="BP16" s="314" t="s">
        <v>41</v>
      </c>
      <c r="BQ16" s="314" t="s">
        <v>34</v>
      </c>
      <c r="BR16" s="314" t="s">
        <v>46</v>
      </c>
      <c r="BS16" s="352"/>
      <c r="BT16" s="353"/>
      <c r="BU16" s="341" t="s">
        <v>40</v>
      </c>
      <c r="BV16" s="314" t="s">
        <v>37</v>
      </c>
      <c r="BW16" s="314" t="s">
        <v>38</v>
      </c>
      <c r="BX16" s="314" t="s">
        <v>33</v>
      </c>
      <c r="BY16" s="334"/>
      <c r="BZ16" s="352"/>
      <c r="CA16" s="353"/>
      <c r="CB16" s="331" t="s">
        <v>31</v>
      </c>
      <c r="CC16" s="332"/>
      <c r="CD16" s="332"/>
      <c r="CE16" s="332"/>
      <c r="CF16" s="332"/>
      <c r="CG16" s="332"/>
      <c r="CH16" s="333"/>
      <c r="CI16" s="331" t="s">
        <v>31</v>
      </c>
      <c r="CJ16" s="332"/>
      <c r="CK16" s="332"/>
      <c r="CL16" s="332"/>
      <c r="CM16" s="332"/>
      <c r="CN16" s="332"/>
      <c r="CO16" s="333"/>
      <c r="CP16" s="326">
        <f t="shared" si="3"/>
        <v>26</v>
      </c>
      <c r="CQ16" s="326">
        <f t="shared" si="4"/>
        <v>17</v>
      </c>
      <c r="CR16" s="326">
        <f t="shared" si="5"/>
        <v>11</v>
      </c>
    </row>
    <row r="17" spans="1:96" ht="14.1" customHeight="1">
      <c r="A17" s="346" t="s">
        <v>59</v>
      </c>
      <c r="B17" s="322" t="str">
        <f t="shared" si="2"/>
        <v>12-7</v>
      </c>
      <c r="C17" s="328" t="s">
        <v>60</v>
      </c>
      <c r="D17" s="329"/>
      <c r="E17" s="354"/>
      <c r="F17" s="125"/>
      <c r="G17" s="329"/>
      <c r="H17" s="329"/>
      <c r="I17" s="330"/>
      <c r="J17" s="331" t="s">
        <v>31</v>
      </c>
      <c r="K17" s="332"/>
      <c r="L17" s="332"/>
      <c r="M17" s="332"/>
      <c r="N17" s="332"/>
      <c r="O17" s="332"/>
      <c r="P17" s="333"/>
      <c r="Q17" s="355" t="s">
        <v>61</v>
      </c>
      <c r="R17" s="356"/>
      <c r="S17" s="357"/>
      <c r="T17" s="126"/>
      <c r="U17" s="356"/>
      <c r="V17" s="356"/>
      <c r="W17" s="333"/>
      <c r="X17" s="344"/>
      <c r="Y17" s="334"/>
      <c r="Z17" s="352"/>
      <c r="AA17" s="127" t="s">
        <v>33</v>
      </c>
      <c r="AB17" s="314" t="s">
        <v>47</v>
      </c>
      <c r="AC17" s="314" t="s">
        <v>34</v>
      </c>
      <c r="AD17" s="336" t="s">
        <v>35</v>
      </c>
      <c r="AE17" s="344" t="s">
        <v>62</v>
      </c>
      <c r="AF17" s="334"/>
      <c r="AG17" s="352"/>
      <c r="AH17" s="55"/>
      <c r="AI17" s="334"/>
      <c r="AJ17" s="334"/>
      <c r="AK17" s="335"/>
      <c r="AL17" s="337" t="s">
        <v>39</v>
      </c>
      <c r="AM17" s="314" t="s">
        <v>34</v>
      </c>
      <c r="AN17" s="352"/>
      <c r="AO17" s="127" t="s">
        <v>37</v>
      </c>
      <c r="AP17" s="314" t="s">
        <v>36</v>
      </c>
      <c r="AQ17" s="314"/>
      <c r="AR17" s="336"/>
      <c r="AS17" s="344" t="s">
        <v>62</v>
      </c>
      <c r="AT17" s="334"/>
      <c r="AU17" s="352"/>
      <c r="AV17" s="55"/>
      <c r="AW17" s="334"/>
      <c r="AX17" s="334"/>
      <c r="AY17" s="335"/>
      <c r="AZ17" s="341" t="s">
        <v>46</v>
      </c>
      <c r="BA17" s="314"/>
      <c r="BB17" s="350" t="s">
        <v>43</v>
      </c>
      <c r="BC17" s="127" t="s">
        <v>50</v>
      </c>
      <c r="BD17" s="314" t="s">
        <v>47</v>
      </c>
      <c r="BE17" s="314"/>
      <c r="BF17" s="336"/>
      <c r="BG17" s="344" t="s">
        <v>62</v>
      </c>
      <c r="BH17" s="334"/>
      <c r="BI17" s="352"/>
      <c r="BJ17" s="55"/>
      <c r="BK17" s="334"/>
      <c r="BL17" s="334"/>
      <c r="BM17" s="335"/>
      <c r="BN17" s="338" t="s">
        <v>40</v>
      </c>
      <c r="BO17" s="314" t="s">
        <v>33</v>
      </c>
      <c r="BP17" s="350" t="s">
        <v>41</v>
      </c>
      <c r="BQ17" s="127" t="s">
        <v>36</v>
      </c>
      <c r="BR17" s="314"/>
      <c r="BS17" s="314"/>
      <c r="BT17" s="336"/>
      <c r="BU17" s="344" t="s">
        <v>62</v>
      </c>
      <c r="BV17" s="334"/>
      <c r="BW17" s="352"/>
      <c r="BX17" s="55"/>
      <c r="BY17" s="334"/>
      <c r="BZ17" s="334"/>
      <c r="CA17" s="335"/>
      <c r="CB17" s="341" t="s">
        <v>35</v>
      </c>
      <c r="CC17" s="314"/>
      <c r="CD17" s="350" t="s">
        <v>33</v>
      </c>
      <c r="CE17" s="127" t="s">
        <v>47</v>
      </c>
      <c r="CF17" s="314" t="s">
        <v>32</v>
      </c>
      <c r="CG17" s="338"/>
      <c r="CH17" s="336"/>
      <c r="CI17" s="344" t="s">
        <v>62</v>
      </c>
      <c r="CJ17" s="334"/>
      <c r="CK17" s="352"/>
      <c r="CL17" s="55"/>
      <c r="CM17" s="334"/>
      <c r="CN17" s="334"/>
      <c r="CO17" s="335"/>
      <c r="CP17" s="326">
        <f t="shared" si="3"/>
        <v>12</v>
      </c>
      <c r="CQ17" s="326">
        <f t="shared" si="4"/>
        <v>7</v>
      </c>
      <c r="CR17" s="326">
        <f t="shared" si="5"/>
        <v>5</v>
      </c>
    </row>
    <row r="18" spans="1:96">
      <c r="A18" s="343" t="s">
        <v>63</v>
      </c>
      <c r="B18" s="322" t="str">
        <f t="shared" si="2"/>
        <v>0-0</v>
      </c>
      <c r="C18" s="344" t="s">
        <v>62</v>
      </c>
      <c r="D18" s="334"/>
      <c r="E18" s="352"/>
      <c r="F18" s="55"/>
      <c r="G18" s="334"/>
      <c r="H18" s="334"/>
      <c r="I18" s="335"/>
      <c r="J18" s="323" t="s">
        <v>28</v>
      </c>
      <c r="K18" s="324"/>
      <c r="L18" s="324"/>
      <c r="M18" s="324"/>
      <c r="N18" s="324"/>
      <c r="O18" s="324"/>
      <c r="P18" s="325"/>
      <c r="Q18" s="344" t="s">
        <v>62</v>
      </c>
      <c r="R18" s="334"/>
      <c r="S18" s="352"/>
      <c r="T18" s="55"/>
      <c r="U18" s="334"/>
      <c r="V18" s="334"/>
      <c r="W18" s="335"/>
      <c r="X18" s="323" t="s">
        <v>28</v>
      </c>
      <c r="Y18" s="324"/>
      <c r="Z18" s="324"/>
      <c r="AA18" s="324"/>
      <c r="AB18" s="324"/>
      <c r="AC18" s="324"/>
      <c r="AD18" s="325"/>
      <c r="AE18" s="344" t="s">
        <v>62</v>
      </c>
      <c r="AF18" s="334"/>
      <c r="AG18" s="352"/>
      <c r="AH18" s="55"/>
      <c r="AI18" s="334"/>
      <c r="AJ18" s="334"/>
      <c r="AK18" s="335"/>
      <c r="AL18" s="323" t="s">
        <v>28</v>
      </c>
      <c r="AM18" s="324"/>
      <c r="AN18" s="324"/>
      <c r="AO18" s="324"/>
      <c r="AP18" s="324"/>
      <c r="AQ18" s="324"/>
      <c r="AR18" s="325"/>
      <c r="AS18" s="344" t="s">
        <v>62</v>
      </c>
      <c r="AT18" s="334"/>
      <c r="AU18" s="352"/>
      <c r="AV18" s="55"/>
      <c r="AW18" s="334"/>
      <c r="AX18" s="334"/>
      <c r="AY18" s="335"/>
      <c r="AZ18" s="323" t="s">
        <v>28</v>
      </c>
      <c r="BA18" s="324"/>
      <c r="BB18" s="324"/>
      <c r="BC18" s="324"/>
      <c r="BD18" s="324"/>
      <c r="BE18" s="324"/>
      <c r="BF18" s="325"/>
      <c r="BG18" s="344" t="s">
        <v>62</v>
      </c>
      <c r="BH18" s="334"/>
      <c r="BI18" s="352"/>
      <c r="BJ18" s="55"/>
      <c r="BK18" s="334"/>
      <c r="BL18" s="334"/>
      <c r="BM18" s="335"/>
      <c r="BN18" s="323" t="s">
        <v>28</v>
      </c>
      <c r="BO18" s="324"/>
      <c r="BP18" s="324"/>
      <c r="BQ18" s="324"/>
      <c r="BR18" s="324"/>
      <c r="BS18" s="324"/>
      <c r="BT18" s="325"/>
      <c r="BU18" s="344" t="s">
        <v>62</v>
      </c>
      <c r="BV18" s="334"/>
      <c r="BW18" s="352"/>
      <c r="BX18" s="55"/>
      <c r="BY18" s="334"/>
      <c r="BZ18" s="334"/>
      <c r="CA18" s="335"/>
      <c r="CB18" s="323" t="s">
        <v>28</v>
      </c>
      <c r="CC18" s="324"/>
      <c r="CD18" s="324"/>
      <c r="CE18" s="324"/>
      <c r="CF18" s="324"/>
      <c r="CG18" s="324"/>
      <c r="CH18" s="325"/>
      <c r="CI18" s="344" t="s">
        <v>62</v>
      </c>
      <c r="CJ18" s="334"/>
      <c r="CK18" s="352"/>
      <c r="CL18" s="55"/>
      <c r="CM18" s="334"/>
      <c r="CN18" s="334"/>
      <c r="CO18" s="335"/>
      <c r="CP18" s="326">
        <f t="shared" si="3"/>
        <v>0</v>
      </c>
      <c r="CQ18" s="326">
        <f t="shared" si="4"/>
        <v>0</v>
      </c>
      <c r="CR18" s="326">
        <f t="shared" si="5"/>
        <v>0</v>
      </c>
    </row>
    <row r="19" spans="1:96" ht="14.1" customHeight="1">
      <c r="A19" s="343" t="s">
        <v>64</v>
      </c>
      <c r="B19" s="322" t="str">
        <f t="shared" si="2"/>
        <v>14-9</v>
      </c>
      <c r="C19" s="358"/>
      <c r="D19" s="350" t="s">
        <v>32</v>
      </c>
      <c r="E19" s="127" t="s">
        <v>36</v>
      </c>
      <c r="F19" s="127" t="s">
        <v>33</v>
      </c>
      <c r="G19" s="314" t="s">
        <v>35</v>
      </c>
      <c r="H19" s="334"/>
      <c r="I19" s="348"/>
      <c r="J19" s="344" t="s">
        <v>65</v>
      </c>
      <c r="K19" s="334"/>
      <c r="L19" s="352"/>
      <c r="M19" s="55"/>
      <c r="N19" s="334"/>
      <c r="O19" s="334"/>
      <c r="P19" s="347"/>
      <c r="Q19" s="341" t="s">
        <v>34</v>
      </c>
      <c r="R19" s="350"/>
      <c r="S19" s="127" t="s">
        <v>50</v>
      </c>
      <c r="T19" s="127" t="s">
        <v>47</v>
      </c>
      <c r="U19" s="314" t="s">
        <v>41</v>
      </c>
      <c r="V19" s="334"/>
      <c r="W19" s="348"/>
      <c r="X19" s="344" t="s">
        <v>65</v>
      </c>
      <c r="Y19" s="334"/>
      <c r="Z19" s="352"/>
      <c r="AA19" s="55"/>
      <c r="AB19" s="334"/>
      <c r="AC19" s="334"/>
      <c r="AD19" s="347"/>
      <c r="AE19" s="341" t="s">
        <v>35</v>
      </c>
      <c r="AF19" s="350"/>
      <c r="AG19" s="127" t="s">
        <v>46</v>
      </c>
      <c r="AH19" s="127"/>
      <c r="AI19" s="314" t="s">
        <v>33</v>
      </c>
      <c r="AJ19" s="334"/>
      <c r="AK19" s="348" t="s">
        <v>40</v>
      </c>
      <c r="AL19" s="344" t="s">
        <v>65</v>
      </c>
      <c r="AM19" s="334"/>
      <c r="AN19" s="352"/>
      <c r="AO19" s="55"/>
      <c r="AP19" s="334"/>
      <c r="AQ19" s="334"/>
      <c r="AR19" s="347"/>
      <c r="AS19" s="359" t="s">
        <v>66</v>
      </c>
      <c r="AT19" s="360"/>
      <c r="AU19" s="128"/>
      <c r="AV19" s="128"/>
      <c r="AW19" s="345"/>
      <c r="AX19" s="345"/>
      <c r="AY19" s="361"/>
      <c r="AZ19" s="359" t="s">
        <v>67</v>
      </c>
      <c r="BA19" s="345"/>
      <c r="BB19" s="360"/>
      <c r="BC19" s="128"/>
      <c r="BD19" s="345"/>
      <c r="BE19" s="345"/>
      <c r="BF19" s="361"/>
      <c r="BG19" s="341" t="s">
        <v>37</v>
      </c>
      <c r="BH19" s="350"/>
      <c r="BI19" s="127" t="s">
        <v>40</v>
      </c>
      <c r="BJ19" s="127" t="s">
        <v>43</v>
      </c>
      <c r="BK19" s="338" t="s">
        <v>39</v>
      </c>
      <c r="BL19" s="334"/>
      <c r="BM19" s="362"/>
      <c r="BN19" s="344" t="s">
        <v>65</v>
      </c>
      <c r="BO19" s="334"/>
      <c r="BP19" s="352"/>
      <c r="BQ19" s="55"/>
      <c r="BR19" s="334"/>
      <c r="BS19" s="334"/>
      <c r="BT19" s="347"/>
      <c r="BU19" s="344"/>
      <c r="BV19" s="352"/>
      <c r="BW19" s="55"/>
      <c r="BX19" s="127" t="s">
        <v>47</v>
      </c>
      <c r="BY19" s="314" t="s">
        <v>33</v>
      </c>
      <c r="BZ19" s="314" t="s">
        <v>36</v>
      </c>
      <c r="CA19" s="348" t="s">
        <v>38</v>
      </c>
      <c r="CB19" s="344" t="s">
        <v>65</v>
      </c>
      <c r="CC19" s="334"/>
      <c r="CD19" s="352"/>
      <c r="CE19" s="55"/>
      <c r="CF19" s="334"/>
      <c r="CG19" s="334"/>
      <c r="CH19" s="347"/>
      <c r="CI19" s="341" t="s">
        <v>37</v>
      </c>
      <c r="CJ19" s="127" t="s">
        <v>36</v>
      </c>
      <c r="CK19" s="127" t="s">
        <v>38</v>
      </c>
      <c r="CL19" s="127" t="s">
        <v>33</v>
      </c>
      <c r="CM19" s="334"/>
      <c r="CN19" s="334"/>
      <c r="CO19" s="347"/>
      <c r="CP19" s="326">
        <f t="shared" si="3"/>
        <v>14</v>
      </c>
      <c r="CQ19" s="326">
        <f t="shared" si="4"/>
        <v>9</v>
      </c>
      <c r="CR19" s="326">
        <f t="shared" si="5"/>
        <v>6</v>
      </c>
    </row>
    <row r="20" spans="1:96" ht="14.1" customHeight="1">
      <c r="A20" s="363" t="s">
        <v>68</v>
      </c>
      <c r="B20" s="322" t="str">
        <f t="shared" si="2"/>
        <v>17-11</v>
      </c>
      <c r="C20" s="344"/>
      <c r="D20" s="314" t="s">
        <v>35</v>
      </c>
      <c r="E20" s="314" t="s">
        <v>33</v>
      </c>
      <c r="F20" s="314" t="s">
        <v>43</v>
      </c>
      <c r="G20" s="314" t="s">
        <v>34</v>
      </c>
      <c r="H20" s="314"/>
      <c r="I20" s="336"/>
      <c r="J20" s="344" t="s">
        <v>69</v>
      </c>
      <c r="K20" s="334"/>
      <c r="L20" s="334"/>
      <c r="M20" s="334"/>
      <c r="N20" s="334"/>
      <c r="O20" s="352"/>
      <c r="P20" s="353"/>
      <c r="Q20" s="344"/>
      <c r="R20" s="314" t="s">
        <v>46</v>
      </c>
      <c r="S20" s="314" t="s">
        <v>33</v>
      </c>
      <c r="T20" s="314" t="s">
        <v>41</v>
      </c>
      <c r="U20" s="314" t="s">
        <v>36</v>
      </c>
      <c r="V20" s="314"/>
      <c r="W20" s="336"/>
      <c r="X20" s="344" t="s">
        <v>69</v>
      </c>
      <c r="Y20" s="334"/>
      <c r="Z20" s="334"/>
      <c r="AA20" s="334"/>
      <c r="AB20" s="334"/>
      <c r="AC20" s="352"/>
      <c r="AD20" s="353"/>
      <c r="AE20" s="344"/>
      <c r="AF20" s="314" t="s">
        <v>46</v>
      </c>
      <c r="AG20" s="314" t="s">
        <v>33</v>
      </c>
      <c r="AH20" s="314" t="s">
        <v>37</v>
      </c>
      <c r="AI20" s="314" t="s">
        <v>38</v>
      </c>
      <c r="AJ20" s="314"/>
      <c r="AK20" s="336"/>
      <c r="AL20" s="344" t="s">
        <v>69</v>
      </c>
      <c r="AM20" s="334"/>
      <c r="AN20" s="334"/>
      <c r="AO20" s="334"/>
      <c r="AP20" s="334"/>
      <c r="AQ20" s="352"/>
      <c r="AR20" s="353"/>
      <c r="AS20" s="344"/>
      <c r="AT20" s="314" t="s">
        <v>40</v>
      </c>
      <c r="AU20" s="314" t="s">
        <v>50</v>
      </c>
      <c r="AV20" s="314" t="s">
        <v>47</v>
      </c>
      <c r="AW20" s="314" t="s">
        <v>35</v>
      </c>
      <c r="AX20" s="314"/>
      <c r="AY20" s="336"/>
      <c r="AZ20" s="344" t="s">
        <v>69</v>
      </c>
      <c r="BA20" s="334"/>
      <c r="BB20" s="334"/>
      <c r="BC20" s="334"/>
      <c r="BD20" s="334"/>
      <c r="BE20" s="352"/>
      <c r="BF20" s="353"/>
      <c r="BG20" s="344"/>
      <c r="BH20" s="314" t="s">
        <v>36</v>
      </c>
      <c r="BI20" s="314" t="s">
        <v>33</v>
      </c>
      <c r="BJ20" s="314" t="s">
        <v>41</v>
      </c>
      <c r="BK20" s="338" t="s">
        <v>46</v>
      </c>
      <c r="BL20" s="338"/>
      <c r="BM20" s="339"/>
      <c r="BN20" s="355" t="s">
        <v>70</v>
      </c>
      <c r="BO20" s="356"/>
      <c r="BP20" s="356"/>
      <c r="BQ20" s="356"/>
      <c r="BR20" s="356"/>
      <c r="BS20" s="357"/>
      <c r="BT20" s="364"/>
      <c r="BU20" s="344"/>
      <c r="BV20" s="314" t="s">
        <v>47</v>
      </c>
      <c r="BW20" s="314" t="s">
        <v>50</v>
      </c>
      <c r="BX20" s="314" t="s">
        <v>37</v>
      </c>
      <c r="BY20" s="314" t="s">
        <v>34</v>
      </c>
      <c r="BZ20" s="314"/>
      <c r="CA20" s="336"/>
      <c r="CB20" s="344" t="s">
        <v>69</v>
      </c>
      <c r="CC20" s="334"/>
      <c r="CD20" s="334"/>
      <c r="CE20" s="334"/>
      <c r="CF20" s="334"/>
      <c r="CG20" s="352"/>
      <c r="CH20" s="353"/>
      <c r="CI20" s="344"/>
      <c r="CJ20" s="314"/>
      <c r="CK20" s="314" t="s">
        <v>33</v>
      </c>
      <c r="CL20" s="314" t="s">
        <v>38</v>
      </c>
      <c r="CM20" s="314"/>
      <c r="CN20" s="314" t="s">
        <v>40</v>
      </c>
      <c r="CO20" s="336" t="s">
        <v>43</v>
      </c>
      <c r="CP20" s="326">
        <f t="shared" si="3"/>
        <v>17</v>
      </c>
      <c r="CQ20" s="326">
        <f t="shared" si="4"/>
        <v>11</v>
      </c>
      <c r="CR20" s="326">
        <f t="shared" si="5"/>
        <v>7</v>
      </c>
    </row>
    <row r="21" spans="1:96" ht="14.1" customHeight="1">
      <c r="A21" s="363" t="s">
        <v>71</v>
      </c>
      <c r="B21" s="322" t="str">
        <f t="shared" si="2"/>
        <v>7-3</v>
      </c>
      <c r="C21" s="341" t="s">
        <v>35</v>
      </c>
      <c r="D21" s="314"/>
      <c r="E21" s="334"/>
      <c r="F21" s="334"/>
      <c r="G21" s="314" t="s">
        <v>32</v>
      </c>
      <c r="H21" s="314"/>
      <c r="I21" s="46"/>
      <c r="J21" s="344" t="s">
        <v>69</v>
      </c>
      <c r="K21" s="334"/>
      <c r="L21" s="334"/>
      <c r="M21" s="334"/>
      <c r="N21" s="334"/>
      <c r="O21" s="352"/>
      <c r="P21" s="353"/>
      <c r="Q21" s="355" t="s">
        <v>72</v>
      </c>
      <c r="R21" s="356"/>
      <c r="S21" s="356"/>
      <c r="T21" s="356"/>
      <c r="U21" s="356"/>
      <c r="V21" s="356"/>
      <c r="W21" s="333"/>
      <c r="X21" s="344" t="s">
        <v>69</v>
      </c>
      <c r="Y21" s="334"/>
      <c r="Z21" s="334"/>
      <c r="AA21" s="334"/>
      <c r="AB21" s="334"/>
      <c r="AC21" s="352"/>
      <c r="AD21" s="353"/>
      <c r="AE21" s="341" t="s">
        <v>41</v>
      </c>
      <c r="AF21" s="46"/>
      <c r="AG21" s="314" t="s">
        <v>33</v>
      </c>
      <c r="AH21" s="334"/>
      <c r="AI21" s="334"/>
      <c r="AJ21" s="334"/>
      <c r="AK21" s="336"/>
      <c r="AL21" s="344" t="s">
        <v>69</v>
      </c>
      <c r="AM21" s="334"/>
      <c r="AN21" s="334"/>
      <c r="AO21" s="334"/>
      <c r="AP21" s="334"/>
      <c r="AQ21" s="352"/>
      <c r="AR21" s="353"/>
      <c r="AS21" s="46"/>
      <c r="AT21" s="314"/>
      <c r="AU21" s="314" t="s">
        <v>33</v>
      </c>
      <c r="AV21" s="314" t="s">
        <v>41</v>
      </c>
      <c r="AW21" s="46"/>
      <c r="AX21" s="314"/>
      <c r="AY21" s="336"/>
      <c r="AZ21" s="344" t="s">
        <v>69</v>
      </c>
      <c r="BA21" s="334"/>
      <c r="BB21" s="334"/>
      <c r="BC21" s="334"/>
      <c r="BD21" s="334"/>
      <c r="BE21" s="352"/>
      <c r="BF21" s="353"/>
      <c r="BG21" s="341"/>
      <c r="BH21" s="314"/>
      <c r="BI21" s="334"/>
      <c r="BJ21" s="46"/>
      <c r="BK21" s="338"/>
      <c r="BL21" s="338" t="s">
        <v>34</v>
      </c>
      <c r="BM21" s="338" t="s">
        <v>38</v>
      </c>
      <c r="BN21" s="344" t="s">
        <v>69</v>
      </c>
      <c r="BO21" s="334"/>
      <c r="BP21" s="334"/>
      <c r="BQ21" s="334"/>
      <c r="BR21" s="334"/>
      <c r="BS21" s="352"/>
      <c r="BT21" s="353"/>
      <c r="BU21" s="46"/>
      <c r="BV21" s="314"/>
      <c r="BW21" s="334"/>
      <c r="BX21" s="314" t="s">
        <v>50</v>
      </c>
      <c r="BY21" s="314" t="s">
        <v>43</v>
      </c>
      <c r="BZ21" s="314"/>
      <c r="CA21" s="336"/>
      <c r="CB21" s="344" t="s">
        <v>69</v>
      </c>
      <c r="CC21" s="334"/>
      <c r="CD21" s="334"/>
      <c r="CE21" s="334"/>
      <c r="CF21" s="334"/>
      <c r="CG21" s="352"/>
      <c r="CH21" s="353"/>
      <c r="CI21" s="331" t="s">
        <v>31</v>
      </c>
      <c r="CJ21" s="332"/>
      <c r="CK21" s="332"/>
      <c r="CL21" s="332"/>
      <c r="CM21" s="332"/>
      <c r="CN21" s="332"/>
      <c r="CO21" s="333"/>
      <c r="CP21" s="326">
        <f t="shared" si="3"/>
        <v>7</v>
      </c>
      <c r="CQ21" s="326">
        <f t="shared" si="4"/>
        <v>3</v>
      </c>
      <c r="CR21" s="326">
        <f t="shared" si="5"/>
        <v>3</v>
      </c>
    </row>
    <row r="22" spans="1:96" ht="14.1" customHeight="1">
      <c r="A22" s="365" t="s">
        <v>73</v>
      </c>
      <c r="B22" s="322" t="str">
        <f t="shared" si="2"/>
        <v>12-8</v>
      </c>
      <c r="C22" s="344" t="s">
        <v>74</v>
      </c>
      <c r="D22" s="334"/>
      <c r="E22" s="334"/>
      <c r="F22" s="334"/>
      <c r="G22" s="334"/>
      <c r="H22" s="334"/>
      <c r="I22" s="335"/>
      <c r="J22" s="341" t="s">
        <v>38</v>
      </c>
      <c r="K22" s="314"/>
      <c r="L22" s="314" t="s">
        <v>33</v>
      </c>
      <c r="M22" s="314" t="s">
        <v>40</v>
      </c>
      <c r="N22" s="314" t="s">
        <v>43</v>
      </c>
      <c r="O22" s="334"/>
      <c r="P22" s="335"/>
      <c r="Q22" s="344" t="s">
        <v>74</v>
      </c>
      <c r="R22" s="334"/>
      <c r="S22" s="334"/>
      <c r="T22" s="334"/>
      <c r="U22" s="334"/>
      <c r="V22" s="334"/>
      <c r="W22" s="335"/>
      <c r="X22" s="341" t="s">
        <v>43</v>
      </c>
      <c r="Y22" s="314" t="s">
        <v>46</v>
      </c>
      <c r="Z22" s="314" t="s">
        <v>33</v>
      </c>
      <c r="AA22" s="314"/>
      <c r="AB22" s="314" t="s">
        <v>41</v>
      </c>
      <c r="AC22" s="314"/>
      <c r="AD22" s="336"/>
      <c r="AE22" s="344" t="s">
        <v>74</v>
      </c>
      <c r="AF22" s="334"/>
      <c r="AG22" s="334"/>
      <c r="AH22" s="334"/>
      <c r="AI22" s="334"/>
      <c r="AJ22" s="334"/>
      <c r="AK22" s="335"/>
      <c r="AL22" s="328" t="s">
        <v>75</v>
      </c>
      <c r="AM22" s="329"/>
      <c r="AN22" s="329"/>
      <c r="AO22" s="329"/>
      <c r="AP22" s="329"/>
      <c r="AQ22" s="329"/>
      <c r="AR22" s="330"/>
      <c r="AS22" s="344" t="s">
        <v>74</v>
      </c>
      <c r="AT22" s="334"/>
      <c r="AU22" s="334"/>
      <c r="AV22" s="334"/>
      <c r="AW22" s="334"/>
      <c r="AX22" s="334"/>
      <c r="AY22" s="335"/>
      <c r="AZ22" s="341" t="s">
        <v>34</v>
      </c>
      <c r="BA22" s="314"/>
      <c r="BB22" s="314" t="s">
        <v>33</v>
      </c>
      <c r="BC22" s="314" t="s">
        <v>43</v>
      </c>
      <c r="BD22" s="314" t="s">
        <v>35</v>
      </c>
      <c r="BE22" s="314"/>
      <c r="BF22" s="336"/>
      <c r="BG22" s="344" t="s">
        <v>74</v>
      </c>
      <c r="BH22" s="334"/>
      <c r="BI22" s="334"/>
      <c r="BJ22" s="334"/>
      <c r="BK22" s="334"/>
      <c r="BL22" s="334"/>
      <c r="BM22" s="335"/>
      <c r="BN22" s="338" t="s">
        <v>32</v>
      </c>
      <c r="BO22" s="314"/>
      <c r="BP22" s="314"/>
      <c r="BQ22" s="314"/>
      <c r="BR22" s="314" t="s">
        <v>50</v>
      </c>
      <c r="BS22" s="314" t="s">
        <v>38</v>
      </c>
      <c r="BT22" s="336" t="s">
        <v>35</v>
      </c>
      <c r="BU22" s="344" t="s">
        <v>74</v>
      </c>
      <c r="BV22" s="334"/>
      <c r="BW22" s="334"/>
      <c r="BX22" s="334"/>
      <c r="BY22" s="334"/>
      <c r="BZ22" s="334"/>
      <c r="CA22" s="335"/>
      <c r="CB22" s="341" t="s">
        <v>34</v>
      </c>
      <c r="CC22" s="314" t="s">
        <v>38</v>
      </c>
      <c r="CD22" s="314" t="s">
        <v>33</v>
      </c>
      <c r="CE22" s="314"/>
      <c r="CF22" s="314" t="s">
        <v>37</v>
      </c>
      <c r="CG22" s="338"/>
      <c r="CH22" s="336"/>
      <c r="CI22" s="344" t="s">
        <v>74</v>
      </c>
      <c r="CJ22" s="334"/>
      <c r="CK22" s="334"/>
      <c r="CL22" s="334"/>
      <c r="CM22" s="334"/>
      <c r="CN22" s="334"/>
      <c r="CO22" s="335"/>
      <c r="CP22" s="326">
        <f t="shared" si="3"/>
        <v>12</v>
      </c>
      <c r="CQ22" s="326">
        <f t="shared" si="4"/>
        <v>8</v>
      </c>
      <c r="CR22" s="326">
        <f t="shared" si="5"/>
        <v>5</v>
      </c>
    </row>
    <row r="23" spans="1:96" ht="14.1" customHeight="1">
      <c r="A23" s="284" t="s">
        <v>76</v>
      </c>
      <c r="B23" s="322" t="str">
        <f t="shared" si="2"/>
        <v>8-4</v>
      </c>
      <c r="C23" s="366" t="s">
        <v>77</v>
      </c>
      <c r="D23" s="367"/>
      <c r="E23" s="367"/>
      <c r="F23" s="367"/>
      <c r="G23" s="367"/>
      <c r="H23" s="367"/>
      <c r="I23" s="335"/>
      <c r="J23" s="344"/>
      <c r="K23" s="314" t="s">
        <v>47</v>
      </c>
      <c r="L23" s="314"/>
      <c r="M23" s="314" t="s">
        <v>50</v>
      </c>
      <c r="N23" s="334"/>
      <c r="O23" s="314" t="s">
        <v>35</v>
      </c>
      <c r="P23" s="336" t="s">
        <v>34</v>
      </c>
      <c r="Q23" s="366" t="s">
        <v>77</v>
      </c>
      <c r="R23" s="367"/>
      <c r="S23" s="367"/>
      <c r="T23" s="367"/>
      <c r="U23" s="367"/>
      <c r="V23" s="367"/>
      <c r="W23" s="335"/>
      <c r="X23" s="341" t="s">
        <v>47</v>
      </c>
      <c r="Y23" s="314"/>
      <c r="Z23" s="314" t="s">
        <v>33</v>
      </c>
      <c r="AA23" s="314" t="s">
        <v>37</v>
      </c>
      <c r="AB23" s="314" t="s">
        <v>36</v>
      </c>
      <c r="AC23" s="314"/>
      <c r="AD23" s="336"/>
      <c r="AE23" s="366" t="s">
        <v>77</v>
      </c>
      <c r="AF23" s="367"/>
      <c r="AG23" s="367"/>
      <c r="AH23" s="367"/>
      <c r="AI23" s="367"/>
      <c r="AJ23" s="367"/>
      <c r="AK23" s="335"/>
      <c r="AL23" s="337" t="s">
        <v>43</v>
      </c>
      <c r="AM23" s="314" t="s">
        <v>46</v>
      </c>
      <c r="AN23" s="314" t="s">
        <v>33</v>
      </c>
      <c r="AO23" s="314"/>
      <c r="AP23" s="314" t="s">
        <v>40</v>
      </c>
      <c r="AQ23" s="314"/>
      <c r="AR23" s="336"/>
      <c r="AS23" s="368" t="s">
        <v>78</v>
      </c>
      <c r="AT23" s="369"/>
      <c r="AU23" s="369"/>
      <c r="AV23" s="369"/>
      <c r="AW23" s="369"/>
      <c r="AX23" s="369"/>
      <c r="AY23" s="370"/>
      <c r="AZ23" s="359" t="s">
        <v>66</v>
      </c>
      <c r="BA23" s="360"/>
      <c r="BB23" s="128"/>
      <c r="BC23" s="128"/>
      <c r="BD23" s="345"/>
      <c r="BE23" s="345"/>
      <c r="BF23" s="361"/>
      <c r="BG23" s="368" t="s">
        <v>78</v>
      </c>
      <c r="BH23" s="369"/>
      <c r="BI23" s="369"/>
      <c r="BJ23" s="369"/>
      <c r="BK23" s="369"/>
      <c r="BL23" s="369"/>
      <c r="BM23" s="370"/>
      <c r="BN23" s="359" t="s">
        <v>66</v>
      </c>
      <c r="BO23" s="360"/>
      <c r="BP23" s="128"/>
      <c r="BQ23" s="128"/>
      <c r="BR23" s="345"/>
      <c r="BS23" s="345"/>
      <c r="BT23" s="361"/>
      <c r="BU23" s="368" t="s">
        <v>78</v>
      </c>
      <c r="BV23" s="369"/>
      <c r="BW23" s="369"/>
      <c r="BX23" s="369"/>
      <c r="BY23" s="369"/>
      <c r="BZ23" s="369"/>
      <c r="CA23" s="370"/>
      <c r="CB23" s="359" t="s">
        <v>66</v>
      </c>
      <c r="CC23" s="360"/>
      <c r="CD23" s="128"/>
      <c r="CE23" s="128"/>
      <c r="CF23" s="345"/>
      <c r="CG23" s="345"/>
      <c r="CH23" s="361"/>
      <c r="CI23" s="368" t="s">
        <v>78</v>
      </c>
      <c r="CJ23" s="369"/>
      <c r="CK23" s="369"/>
      <c r="CL23" s="369"/>
      <c r="CM23" s="369"/>
      <c r="CN23" s="369"/>
      <c r="CO23" s="370"/>
      <c r="CP23" s="326">
        <f t="shared" si="3"/>
        <v>8</v>
      </c>
      <c r="CQ23" s="326">
        <f t="shared" si="4"/>
        <v>4</v>
      </c>
      <c r="CR23" s="326">
        <f t="shared" si="5"/>
        <v>3</v>
      </c>
    </row>
    <row r="24" spans="1:96" ht="14.1" customHeight="1">
      <c r="A24" s="371" t="s">
        <v>79</v>
      </c>
      <c r="B24" s="322" t="str">
        <f t="shared" si="2"/>
        <v>18-7</v>
      </c>
      <c r="C24" s="341" t="s">
        <v>33</v>
      </c>
      <c r="D24" s="314"/>
      <c r="E24" s="314" t="s">
        <v>57</v>
      </c>
      <c r="F24" s="314"/>
      <c r="G24" s="314"/>
      <c r="H24" s="314" t="s">
        <v>40</v>
      </c>
      <c r="I24" s="336" t="s">
        <v>43</v>
      </c>
      <c r="J24" s="344" t="s">
        <v>77</v>
      </c>
      <c r="K24" s="334"/>
      <c r="L24" s="334"/>
      <c r="M24" s="334"/>
      <c r="N24" s="334"/>
      <c r="O24" s="334"/>
      <c r="P24" s="335"/>
      <c r="Q24" s="341" t="s">
        <v>33</v>
      </c>
      <c r="R24" s="314" t="s">
        <v>37</v>
      </c>
      <c r="S24" s="314"/>
      <c r="T24" s="314" t="s">
        <v>57</v>
      </c>
      <c r="U24" s="314" t="s">
        <v>34</v>
      </c>
      <c r="V24" s="314"/>
      <c r="W24" s="336"/>
      <c r="X24" s="344" t="s">
        <v>77</v>
      </c>
      <c r="Y24" s="334"/>
      <c r="Z24" s="334"/>
      <c r="AA24" s="334"/>
      <c r="AB24" s="334"/>
      <c r="AC24" s="372"/>
      <c r="AD24" s="373"/>
      <c r="AE24" s="341" t="s">
        <v>47</v>
      </c>
      <c r="AF24" s="314" t="s">
        <v>57</v>
      </c>
      <c r="AG24" s="314" t="s">
        <v>57</v>
      </c>
      <c r="AH24" s="314" t="s">
        <v>46</v>
      </c>
      <c r="AI24" s="314"/>
      <c r="AJ24" s="314"/>
      <c r="AK24" s="336"/>
      <c r="AL24" s="344" t="s">
        <v>77</v>
      </c>
      <c r="AM24" s="334"/>
      <c r="AN24" s="334"/>
      <c r="AO24" s="334"/>
      <c r="AP24" s="334"/>
      <c r="AQ24" s="334"/>
      <c r="AR24" s="335"/>
      <c r="AS24" s="341"/>
      <c r="AT24" s="324" t="s">
        <v>54</v>
      </c>
      <c r="AU24" s="324" t="s">
        <v>54</v>
      </c>
      <c r="AV24" s="314"/>
      <c r="AW24" s="314"/>
      <c r="AX24" s="314" t="s">
        <v>35</v>
      </c>
      <c r="AY24" s="336" t="s">
        <v>38</v>
      </c>
      <c r="AZ24" s="344" t="s">
        <v>77</v>
      </c>
      <c r="BA24" s="334"/>
      <c r="BB24" s="334"/>
      <c r="BC24" s="334"/>
      <c r="BD24" s="334"/>
      <c r="BE24" s="334"/>
      <c r="BF24" s="335"/>
      <c r="BG24" s="341"/>
      <c r="BH24" s="314" t="s">
        <v>46</v>
      </c>
      <c r="BI24" s="314" t="s">
        <v>57</v>
      </c>
      <c r="BJ24" s="314" t="s">
        <v>40</v>
      </c>
      <c r="BK24" s="338" t="s">
        <v>39</v>
      </c>
      <c r="BL24" s="338"/>
      <c r="BM24" s="339"/>
      <c r="BN24" s="355" t="s">
        <v>80</v>
      </c>
      <c r="BO24" s="356"/>
      <c r="BP24" s="356"/>
      <c r="BQ24" s="356"/>
      <c r="BR24" s="356"/>
      <c r="BS24" s="356"/>
      <c r="BT24" s="333"/>
      <c r="BU24" s="341" t="s">
        <v>36</v>
      </c>
      <c r="BV24" s="314" t="s">
        <v>33</v>
      </c>
      <c r="BW24" s="314" t="s">
        <v>57</v>
      </c>
      <c r="BX24" s="314"/>
      <c r="BY24" s="314" t="s">
        <v>37</v>
      </c>
      <c r="BZ24" s="314"/>
      <c r="CA24" s="336"/>
      <c r="CB24" s="344" t="s">
        <v>77</v>
      </c>
      <c r="CC24" s="334"/>
      <c r="CD24" s="334"/>
      <c r="CE24" s="334"/>
      <c r="CF24" s="334"/>
      <c r="CG24" s="334"/>
      <c r="CH24" s="335"/>
      <c r="CI24" s="341" t="s">
        <v>36</v>
      </c>
      <c r="CJ24" s="314"/>
      <c r="CK24" s="314" t="s">
        <v>57</v>
      </c>
      <c r="CL24" s="314" t="s">
        <v>41</v>
      </c>
      <c r="CM24" s="314" t="s">
        <v>50</v>
      </c>
      <c r="CN24" s="314"/>
      <c r="CO24" s="336"/>
      <c r="CP24" s="326">
        <f t="shared" si="3"/>
        <v>18</v>
      </c>
      <c r="CQ24" s="326">
        <f t="shared" si="4"/>
        <v>7</v>
      </c>
      <c r="CR24" s="326">
        <f t="shared" si="5"/>
        <v>7</v>
      </c>
    </row>
    <row r="25" spans="1:96" ht="14.1" customHeight="1">
      <c r="A25" s="129" t="s">
        <v>81</v>
      </c>
      <c r="B25" s="322" t="str">
        <f t="shared" si="2"/>
        <v>10-5</v>
      </c>
      <c r="C25" s="331" t="s">
        <v>80</v>
      </c>
      <c r="D25" s="332"/>
      <c r="E25" s="332"/>
      <c r="F25" s="332"/>
      <c r="G25" s="332"/>
      <c r="H25" s="332"/>
      <c r="I25" s="333"/>
      <c r="J25" s="374" t="s">
        <v>33</v>
      </c>
      <c r="K25" s="375"/>
      <c r="L25" s="375" t="s">
        <v>46</v>
      </c>
      <c r="M25" s="375"/>
      <c r="N25" s="375" t="s">
        <v>41</v>
      </c>
      <c r="O25" s="375"/>
      <c r="P25" s="336" t="s">
        <v>37</v>
      </c>
      <c r="Q25" s="366" t="s">
        <v>77</v>
      </c>
      <c r="R25" s="367"/>
      <c r="S25" s="367"/>
      <c r="T25" s="367"/>
      <c r="U25" s="367"/>
      <c r="V25" s="367"/>
      <c r="W25" s="335"/>
      <c r="X25" s="374" t="s">
        <v>46</v>
      </c>
      <c r="Y25" s="375"/>
      <c r="Z25" s="375" t="s">
        <v>38</v>
      </c>
      <c r="AA25" s="375"/>
      <c r="AB25" s="375" t="s">
        <v>50</v>
      </c>
      <c r="AC25" s="375"/>
      <c r="AD25" s="336" t="s">
        <v>40</v>
      </c>
      <c r="AE25" s="366" t="s">
        <v>77</v>
      </c>
      <c r="AF25" s="367"/>
      <c r="AG25" s="367"/>
      <c r="AH25" s="367"/>
      <c r="AI25" s="367"/>
      <c r="AJ25" s="367"/>
      <c r="AK25" s="335"/>
      <c r="AL25" s="376" t="s">
        <v>39</v>
      </c>
      <c r="AM25" s="375"/>
      <c r="AN25" s="375" t="s">
        <v>34</v>
      </c>
      <c r="AO25" s="375"/>
      <c r="AP25" s="375" t="s">
        <v>47</v>
      </c>
      <c r="AQ25" s="375"/>
      <c r="AR25" s="336" t="s">
        <v>43</v>
      </c>
      <c r="AS25" s="366" t="s">
        <v>77</v>
      </c>
      <c r="AT25" s="367"/>
      <c r="AU25" s="367"/>
      <c r="AV25" s="367"/>
      <c r="AW25" s="367"/>
      <c r="AX25" s="367"/>
      <c r="AY25" s="335"/>
      <c r="AZ25" s="328" t="s">
        <v>30</v>
      </c>
      <c r="BA25" s="329"/>
      <c r="BB25" s="329"/>
      <c r="BC25" s="329"/>
      <c r="BD25" s="329"/>
      <c r="BE25" s="329"/>
      <c r="BF25" s="330"/>
      <c r="BG25" s="366" t="s">
        <v>77</v>
      </c>
      <c r="BH25" s="367"/>
      <c r="BI25" s="367"/>
      <c r="BJ25" s="367"/>
      <c r="BK25" s="367"/>
      <c r="BL25" s="367"/>
      <c r="BM25" s="335"/>
      <c r="BN25" s="338" t="s">
        <v>35</v>
      </c>
      <c r="BO25" s="375"/>
      <c r="BP25" s="375" t="s">
        <v>33</v>
      </c>
      <c r="BQ25" s="375"/>
      <c r="BR25" s="375" t="s">
        <v>43</v>
      </c>
      <c r="BS25" s="375"/>
      <c r="BT25" s="336" t="s">
        <v>47</v>
      </c>
      <c r="BU25" s="366" t="s">
        <v>77</v>
      </c>
      <c r="BV25" s="367"/>
      <c r="BW25" s="367"/>
      <c r="BX25" s="367"/>
      <c r="BY25" s="367"/>
      <c r="BZ25" s="367"/>
      <c r="CA25" s="335"/>
      <c r="CB25" s="331" t="s">
        <v>31</v>
      </c>
      <c r="CC25" s="332"/>
      <c r="CD25" s="332"/>
      <c r="CE25" s="332"/>
      <c r="CF25" s="332"/>
      <c r="CG25" s="332"/>
      <c r="CH25" s="333"/>
      <c r="CI25" s="331" t="s">
        <v>80</v>
      </c>
      <c r="CJ25" s="332"/>
      <c r="CK25" s="332"/>
      <c r="CL25" s="332"/>
      <c r="CM25" s="332"/>
      <c r="CN25" s="332"/>
      <c r="CO25" s="333"/>
      <c r="CP25" s="326">
        <f t="shared" si="3"/>
        <v>10</v>
      </c>
      <c r="CQ25" s="326">
        <f t="shared" si="4"/>
        <v>5</v>
      </c>
      <c r="CR25" s="326">
        <f t="shared" si="5"/>
        <v>4</v>
      </c>
    </row>
    <row r="26" spans="1:96" ht="14.1" customHeight="1">
      <c r="A26" s="32" t="s">
        <v>82</v>
      </c>
      <c r="B26" s="322" t="str">
        <f t="shared" si="2"/>
        <v>7-3</v>
      </c>
      <c r="C26" s="331" t="s">
        <v>31</v>
      </c>
      <c r="D26" s="332"/>
      <c r="E26" s="332"/>
      <c r="F26" s="332"/>
      <c r="G26" s="332"/>
      <c r="H26" s="332"/>
      <c r="I26" s="333"/>
      <c r="J26" s="366" t="s">
        <v>77</v>
      </c>
      <c r="K26" s="367"/>
      <c r="L26" s="367"/>
      <c r="M26" s="367"/>
      <c r="N26" s="367"/>
      <c r="O26" s="367"/>
      <c r="P26" s="335"/>
      <c r="Q26" s="374" t="s">
        <v>36</v>
      </c>
      <c r="R26" s="375"/>
      <c r="S26" s="375"/>
      <c r="T26" s="375"/>
      <c r="U26" s="375" t="s">
        <v>50</v>
      </c>
      <c r="V26" s="375"/>
      <c r="W26" s="336"/>
      <c r="X26" s="366" t="s">
        <v>77</v>
      </c>
      <c r="Y26" s="367"/>
      <c r="Z26" s="367"/>
      <c r="AA26" s="367"/>
      <c r="AB26" s="367"/>
      <c r="AC26" s="367"/>
      <c r="AD26" s="335"/>
      <c r="AE26" s="374" t="s">
        <v>38</v>
      </c>
      <c r="AF26" s="375"/>
      <c r="AG26" s="375"/>
      <c r="AH26" s="375"/>
      <c r="AI26" s="375"/>
      <c r="AJ26" s="375" t="s">
        <v>37</v>
      </c>
      <c r="AK26" s="336"/>
      <c r="AL26" s="366" t="s">
        <v>77</v>
      </c>
      <c r="AM26" s="367"/>
      <c r="AN26" s="367"/>
      <c r="AO26" s="367"/>
      <c r="AP26" s="367"/>
      <c r="AQ26" s="367"/>
      <c r="AR26" s="335"/>
      <c r="AS26" s="374" t="s">
        <v>46</v>
      </c>
      <c r="AT26" s="375"/>
      <c r="AU26" s="375"/>
      <c r="AV26" s="375"/>
      <c r="AW26" s="367"/>
      <c r="AX26" s="375"/>
      <c r="AY26" s="336" t="s">
        <v>40</v>
      </c>
      <c r="AZ26" s="366" t="s">
        <v>77</v>
      </c>
      <c r="BA26" s="367"/>
      <c r="BB26" s="367"/>
      <c r="BC26" s="367"/>
      <c r="BD26" s="367"/>
      <c r="BE26" s="367"/>
      <c r="BF26" s="335"/>
      <c r="BG26" s="374" t="s">
        <v>33</v>
      </c>
      <c r="BH26" s="375"/>
      <c r="BI26" s="375" t="s">
        <v>41</v>
      </c>
      <c r="BJ26" s="375"/>
      <c r="BK26" s="377"/>
      <c r="BL26" s="377"/>
      <c r="BM26" s="339"/>
      <c r="BN26" s="366" t="s">
        <v>77</v>
      </c>
      <c r="BO26" s="367"/>
      <c r="BP26" s="367"/>
      <c r="BQ26" s="367"/>
      <c r="BR26" s="367"/>
      <c r="BS26" s="367"/>
      <c r="BT26" s="335"/>
      <c r="BU26" s="374" t="s">
        <v>33</v>
      </c>
      <c r="BV26" s="375"/>
      <c r="BW26" s="375" t="s">
        <v>43</v>
      </c>
      <c r="BX26" s="375"/>
      <c r="BY26" s="375"/>
      <c r="BZ26" s="367"/>
      <c r="CA26" s="335"/>
      <c r="CB26" s="331" t="s">
        <v>80</v>
      </c>
      <c r="CC26" s="332"/>
      <c r="CD26" s="332"/>
      <c r="CE26" s="332"/>
      <c r="CF26" s="332"/>
      <c r="CG26" s="332"/>
      <c r="CH26" s="333"/>
      <c r="CI26" s="328" t="s">
        <v>30</v>
      </c>
      <c r="CJ26" s="329"/>
      <c r="CK26" s="329"/>
      <c r="CL26" s="329"/>
      <c r="CM26" s="329"/>
      <c r="CN26" s="329"/>
      <c r="CO26" s="330"/>
      <c r="CP26" s="326">
        <f t="shared" si="3"/>
        <v>7</v>
      </c>
      <c r="CQ26" s="326">
        <f t="shared" si="4"/>
        <v>3</v>
      </c>
      <c r="CR26" s="326">
        <f t="shared" si="5"/>
        <v>3</v>
      </c>
    </row>
    <row r="27" spans="1:96" s="3" customFormat="1" ht="14.1" customHeight="1">
      <c r="A27" s="378" t="s">
        <v>83</v>
      </c>
      <c r="B27" s="316"/>
      <c r="C27" s="316"/>
      <c r="D27" s="378"/>
      <c r="E27" s="378"/>
      <c r="F27" s="378"/>
      <c r="G27" s="378"/>
      <c r="H27" s="378"/>
      <c r="I27" s="319"/>
      <c r="J27" s="316"/>
      <c r="K27" s="378"/>
      <c r="L27" s="378"/>
      <c r="M27" s="378"/>
      <c r="N27" s="378"/>
      <c r="O27" s="378"/>
      <c r="P27" s="319"/>
      <c r="Q27" s="316"/>
      <c r="R27" s="378"/>
      <c r="S27" s="378"/>
      <c r="T27" s="378"/>
      <c r="U27" s="378"/>
      <c r="V27" s="378"/>
      <c r="W27" s="319"/>
      <c r="X27" s="316"/>
      <c r="Y27" s="378"/>
      <c r="Z27" s="378"/>
      <c r="AA27" s="378"/>
      <c r="AB27" s="378"/>
      <c r="AC27" s="378"/>
      <c r="AD27" s="319"/>
      <c r="AE27" s="316"/>
      <c r="AF27" s="378"/>
      <c r="AG27" s="378"/>
      <c r="AH27" s="378"/>
      <c r="AI27" s="378"/>
      <c r="AJ27" s="378"/>
      <c r="AK27" s="319"/>
      <c r="AL27" s="316"/>
      <c r="AM27" s="378"/>
      <c r="AN27" s="378"/>
      <c r="AO27" s="378"/>
      <c r="AP27" s="378"/>
      <c r="AQ27" s="378"/>
      <c r="AR27" s="319"/>
      <c r="AS27" s="316"/>
      <c r="AT27" s="378"/>
      <c r="AU27" s="378"/>
      <c r="AV27" s="378"/>
      <c r="AW27" s="378"/>
      <c r="AX27" s="378"/>
      <c r="AY27" s="319"/>
      <c r="AZ27" s="316"/>
      <c r="BA27" s="378"/>
      <c r="BB27" s="378"/>
      <c r="BC27" s="378"/>
      <c r="BD27" s="378"/>
      <c r="BE27" s="378"/>
      <c r="BF27" s="319"/>
      <c r="BG27" s="316"/>
      <c r="BH27" s="378"/>
      <c r="BI27" s="378"/>
      <c r="BJ27" s="378"/>
      <c r="BK27" s="378"/>
      <c r="BL27" s="378"/>
      <c r="BM27" s="319"/>
      <c r="BN27" s="316"/>
      <c r="BO27" s="378"/>
      <c r="BP27" s="378"/>
      <c r="BQ27" s="378"/>
      <c r="BR27" s="378"/>
      <c r="BS27" s="378"/>
      <c r="BT27" s="319"/>
      <c r="BU27" s="316"/>
      <c r="BV27" s="378"/>
      <c r="BW27" s="378"/>
      <c r="BX27" s="378"/>
      <c r="BY27" s="378"/>
      <c r="BZ27" s="378"/>
      <c r="CA27" s="319"/>
      <c r="CB27" s="316"/>
      <c r="CC27" s="378"/>
      <c r="CD27" s="378"/>
      <c r="CE27" s="378"/>
      <c r="CF27" s="378"/>
      <c r="CG27" s="378"/>
      <c r="CH27" s="319"/>
      <c r="CI27" s="316"/>
      <c r="CJ27" s="378"/>
      <c r="CK27" s="378"/>
      <c r="CL27" s="378"/>
      <c r="CM27" s="378"/>
      <c r="CN27" s="379"/>
      <c r="CO27" s="379"/>
      <c r="CP27" s="379"/>
      <c r="CQ27" s="379"/>
      <c r="CR27" s="379"/>
    </row>
    <row r="28" spans="1:96" ht="14.1" customHeight="1">
      <c r="A28" s="343" t="s">
        <v>84</v>
      </c>
      <c r="B28" s="322" t="str">
        <f t="shared" ref="B28:B58" si="6">CONCATENATE(CP28,"-",CQ28)</f>
        <v>14-9</v>
      </c>
      <c r="C28" s="341" t="s">
        <v>85</v>
      </c>
      <c r="D28" s="314" t="s">
        <v>86</v>
      </c>
      <c r="E28" s="314"/>
      <c r="F28" s="314"/>
      <c r="G28" s="314"/>
      <c r="H28" s="314"/>
      <c r="I28" s="336"/>
      <c r="J28" s="341" t="s">
        <v>87</v>
      </c>
      <c r="K28" s="314" t="s">
        <v>88</v>
      </c>
      <c r="L28" s="314"/>
      <c r="M28" s="314"/>
      <c r="N28" s="314"/>
      <c r="O28" s="314"/>
      <c r="P28" s="336"/>
      <c r="Q28" s="341" t="s">
        <v>89</v>
      </c>
      <c r="R28" s="314" t="s">
        <v>90</v>
      </c>
      <c r="S28" s="314"/>
      <c r="T28" s="314"/>
      <c r="U28" s="314"/>
      <c r="V28" s="314"/>
      <c r="W28" s="336"/>
      <c r="X28" s="341" t="s">
        <v>91</v>
      </c>
      <c r="Y28" s="314" t="s">
        <v>92</v>
      </c>
      <c r="Z28" s="314"/>
      <c r="AA28" s="314"/>
      <c r="AB28" s="314"/>
      <c r="AC28" s="314"/>
      <c r="AD28" s="336" t="s">
        <v>87</v>
      </c>
      <c r="AE28" s="341" t="s">
        <v>50</v>
      </c>
      <c r="AF28" s="314" t="s">
        <v>93</v>
      </c>
      <c r="AG28" s="314"/>
      <c r="AH28" s="314"/>
      <c r="AI28" s="314"/>
      <c r="AJ28" s="334"/>
      <c r="AK28" s="335"/>
      <c r="AL28" s="337" t="s">
        <v>39</v>
      </c>
      <c r="AM28" s="314" t="s">
        <v>94</v>
      </c>
      <c r="AN28" s="314"/>
      <c r="AO28" s="314"/>
      <c r="AP28" s="314"/>
      <c r="AQ28" s="314"/>
      <c r="AR28" s="336"/>
      <c r="AS28" s="341" t="s">
        <v>91</v>
      </c>
      <c r="AT28" s="314" t="s">
        <v>92</v>
      </c>
      <c r="AU28" s="314"/>
      <c r="AV28" s="314"/>
      <c r="AW28" s="314"/>
      <c r="AX28" s="314"/>
      <c r="AY28" s="336"/>
      <c r="AZ28" s="341" t="s">
        <v>95</v>
      </c>
      <c r="BA28" s="314" t="s">
        <v>90</v>
      </c>
      <c r="BB28" s="314"/>
      <c r="BC28" s="314"/>
      <c r="BD28" s="314"/>
      <c r="BE28" s="314" t="s">
        <v>86</v>
      </c>
      <c r="BF28" s="336"/>
      <c r="BG28" s="341" t="s">
        <v>85</v>
      </c>
      <c r="BH28" s="314" t="s">
        <v>92</v>
      </c>
      <c r="BI28" s="314"/>
      <c r="BJ28" s="314"/>
      <c r="BK28" s="338"/>
      <c r="BL28" s="338"/>
      <c r="BM28" s="339"/>
      <c r="BN28" s="331" t="s">
        <v>31</v>
      </c>
      <c r="BO28" s="332"/>
      <c r="BP28" s="332"/>
      <c r="BQ28" s="332"/>
      <c r="BR28" s="332"/>
      <c r="BS28" s="332"/>
      <c r="BT28" s="333"/>
      <c r="BU28" s="328" t="s">
        <v>30</v>
      </c>
      <c r="BV28" s="329"/>
      <c r="BW28" s="329"/>
      <c r="BX28" s="329"/>
      <c r="BY28" s="329"/>
      <c r="BZ28" s="329"/>
      <c r="CA28" s="330"/>
      <c r="CB28" s="341" t="s">
        <v>89</v>
      </c>
      <c r="CC28" s="314" t="s">
        <v>90</v>
      </c>
      <c r="CD28" s="314"/>
      <c r="CE28" s="314"/>
      <c r="CF28" s="314"/>
      <c r="CG28" s="334"/>
      <c r="CH28" s="336"/>
      <c r="CI28" s="341" t="s">
        <v>85</v>
      </c>
      <c r="CJ28" s="314" t="s">
        <v>94</v>
      </c>
      <c r="CK28" s="314"/>
      <c r="CL28" s="314"/>
      <c r="CM28" s="314"/>
      <c r="CN28" s="334"/>
      <c r="CO28" s="335"/>
      <c r="CP28" s="326">
        <f t="shared" ref="CP28:CP58" si="7">COUNTIF(C28:CO28,"0800-*")+COUNTIF(C28:CO28,"0730-*")</f>
        <v>14</v>
      </c>
      <c r="CQ28" s="326">
        <f t="shared" ref="CQ28:CQ58" si="8">COUNTIF(C28:CO28,"1430*")+COUNTIF(C28:CO28,"1400*")</f>
        <v>9</v>
      </c>
      <c r="CR28" s="326">
        <f t="shared" ref="CR28:CR58" si="9">COUNTIF(C28:CO28,"*CS*")+COUNTIF(C28:CO28,"*PHNW*")+COUNTIF(C28:CO28,"*EXAM*")</f>
        <v>5</v>
      </c>
    </row>
    <row r="29" spans="1:96" ht="14.1" customHeight="1">
      <c r="A29" s="343" t="s">
        <v>96</v>
      </c>
      <c r="B29" s="322" t="str">
        <f t="shared" si="6"/>
        <v>25-14</v>
      </c>
      <c r="C29" s="380"/>
      <c r="D29" s="350" t="s">
        <v>47</v>
      </c>
      <c r="E29" s="350" t="s">
        <v>33</v>
      </c>
      <c r="F29" s="314" t="s">
        <v>35</v>
      </c>
      <c r="G29" s="350"/>
      <c r="H29" s="334"/>
      <c r="I29" s="335"/>
      <c r="J29" s="381"/>
      <c r="K29" s="350" t="s">
        <v>40</v>
      </c>
      <c r="L29" s="350" t="s">
        <v>50</v>
      </c>
      <c r="M29" s="314" t="s">
        <v>36</v>
      </c>
      <c r="N29" s="350"/>
      <c r="O29" s="314"/>
      <c r="P29" s="336"/>
      <c r="Q29" s="381" t="s">
        <v>46</v>
      </c>
      <c r="R29" s="350"/>
      <c r="S29" s="350"/>
      <c r="T29" s="314" t="s">
        <v>37</v>
      </c>
      <c r="U29" s="352"/>
      <c r="V29" s="314" t="s">
        <v>47</v>
      </c>
      <c r="W29" s="336" t="s">
        <v>34</v>
      </c>
      <c r="X29" s="381" t="s">
        <v>33</v>
      </c>
      <c r="Y29" s="350" t="s">
        <v>43</v>
      </c>
      <c r="Z29" s="350" t="s">
        <v>33</v>
      </c>
      <c r="AA29" s="314" t="s">
        <v>44</v>
      </c>
      <c r="AB29" s="352"/>
      <c r="AC29" s="314"/>
      <c r="AD29" s="336"/>
      <c r="AE29" s="381"/>
      <c r="AF29" s="350" t="s">
        <v>40</v>
      </c>
      <c r="AG29" s="350" t="s">
        <v>33</v>
      </c>
      <c r="AH29" s="314" t="s">
        <v>35</v>
      </c>
      <c r="AI29" s="352"/>
      <c r="AJ29" s="334"/>
      <c r="AK29" s="335"/>
      <c r="AL29" s="382" t="s">
        <v>39</v>
      </c>
      <c r="AM29" s="352"/>
      <c r="AN29" s="350" t="s">
        <v>47</v>
      </c>
      <c r="AO29" s="314" t="s">
        <v>36</v>
      </c>
      <c r="AP29" s="350"/>
      <c r="AQ29" s="334"/>
      <c r="AR29" s="335"/>
      <c r="AS29" s="381"/>
      <c r="AT29" s="350" t="s">
        <v>37</v>
      </c>
      <c r="AU29" s="350"/>
      <c r="AV29" s="314" t="s">
        <v>32</v>
      </c>
      <c r="AW29" s="350"/>
      <c r="AX29" s="314" t="s">
        <v>34</v>
      </c>
      <c r="AY29" s="336" t="s">
        <v>36</v>
      </c>
      <c r="AZ29" s="381"/>
      <c r="BA29" s="350" t="s">
        <v>41</v>
      </c>
      <c r="BB29" s="350" t="s">
        <v>50</v>
      </c>
      <c r="BC29" s="314"/>
      <c r="BD29" s="350" t="s">
        <v>38</v>
      </c>
      <c r="BE29" s="314"/>
      <c r="BF29" s="336"/>
      <c r="BG29" s="381"/>
      <c r="BH29" s="350" t="s">
        <v>43</v>
      </c>
      <c r="BI29" s="350"/>
      <c r="BJ29" s="314" t="s">
        <v>35</v>
      </c>
      <c r="BK29" s="383" t="s">
        <v>39</v>
      </c>
      <c r="BL29" s="338"/>
      <c r="BM29" s="338" t="s">
        <v>43</v>
      </c>
      <c r="BN29" s="338" t="s">
        <v>34</v>
      </c>
      <c r="BO29" s="350"/>
      <c r="BP29" s="350" t="s">
        <v>33</v>
      </c>
      <c r="BQ29" s="314" t="s">
        <v>47</v>
      </c>
      <c r="BR29" s="352"/>
      <c r="BS29" s="334"/>
      <c r="BT29" s="335"/>
      <c r="BU29" s="331" t="s">
        <v>31</v>
      </c>
      <c r="BV29" s="332"/>
      <c r="BW29" s="332"/>
      <c r="BX29" s="332"/>
      <c r="BY29" s="332"/>
      <c r="BZ29" s="332"/>
      <c r="CA29" s="333"/>
      <c r="CB29" s="381" t="s">
        <v>33</v>
      </c>
      <c r="CC29" s="350" t="s">
        <v>37</v>
      </c>
      <c r="CD29" s="350" t="s">
        <v>33</v>
      </c>
      <c r="CE29" s="314" t="s">
        <v>44</v>
      </c>
      <c r="CF29" s="350"/>
      <c r="CG29" s="338"/>
      <c r="CH29" s="336"/>
      <c r="CI29" s="381" t="s">
        <v>32</v>
      </c>
      <c r="CJ29" s="350"/>
      <c r="CK29" s="350" t="s">
        <v>33</v>
      </c>
      <c r="CL29" s="314"/>
      <c r="CM29" s="350" t="s">
        <v>38</v>
      </c>
      <c r="CN29" s="314"/>
      <c r="CO29" s="336"/>
      <c r="CP29" s="326">
        <f t="shared" si="7"/>
        <v>25</v>
      </c>
      <c r="CQ29" s="326">
        <f t="shared" si="8"/>
        <v>14</v>
      </c>
      <c r="CR29" s="326">
        <f t="shared" si="9"/>
        <v>12</v>
      </c>
    </row>
    <row r="30" spans="1:96">
      <c r="A30" s="343" t="s">
        <v>97</v>
      </c>
      <c r="B30" s="322" t="str">
        <f t="shared" si="6"/>
        <v>19-11</v>
      </c>
      <c r="C30" s="344"/>
      <c r="D30" s="314"/>
      <c r="E30" s="314" t="s">
        <v>41</v>
      </c>
      <c r="F30" s="314" t="s">
        <v>37</v>
      </c>
      <c r="G30" s="314" t="s">
        <v>36</v>
      </c>
      <c r="H30" s="314"/>
      <c r="I30" s="336"/>
      <c r="J30" s="341" t="s">
        <v>34</v>
      </c>
      <c r="K30" s="314"/>
      <c r="L30" s="314" t="s">
        <v>33</v>
      </c>
      <c r="M30" s="314"/>
      <c r="N30" s="314"/>
      <c r="O30" s="314" t="s">
        <v>43</v>
      </c>
      <c r="P30" s="336" t="s">
        <v>38</v>
      </c>
      <c r="Q30" s="344"/>
      <c r="R30" s="334"/>
      <c r="S30" s="314" t="s">
        <v>33</v>
      </c>
      <c r="T30" s="314" t="s">
        <v>32</v>
      </c>
      <c r="U30" s="314" t="s">
        <v>37</v>
      </c>
      <c r="V30" s="334"/>
      <c r="W30" s="335"/>
      <c r="X30" s="341" t="s">
        <v>41</v>
      </c>
      <c r="Y30" s="314" t="s">
        <v>34</v>
      </c>
      <c r="Z30" s="314" t="s">
        <v>50</v>
      </c>
      <c r="AA30" s="314" t="s">
        <v>38</v>
      </c>
      <c r="AB30" s="334"/>
      <c r="AC30" s="334"/>
      <c r="AD30" s="335"/>
      <c r="AE30" s="355" t="s">
        <v>98</v>
      </c>
      <c r="AF30" s="356"/>
      <c r="AG30" s="356"/>
      <c r="AH30" s="356"/>
      <c r="AI30" s="356"/>
      <c r="AJ30" s="356"/>
      <c r="AK30" s="384"/>
      <c r="AL30" s="355" t="s">
        <v>98</v>
      </c>
      <c r="AM30" s="356"/>
      <c r="AN30" s="356"/>
      <c r="AO30" s="356"/>
      <c r="AP30" s="356"/>
      <c r="AQ30" s="356"/>
      <c r="AR30" s="384"/>
      <c r="AS30" s="355" t="s">
        <v>98</v>
      </c>
      <c r="AT30" s="356"/>
      <c r="AU30" s="356"/>
      <c r="AV30" s="356"/>
      <c r="AW30" s="356"/>
      <c r="AX30" s="356"/>
      <c r="AY30" s="384"/>
      <c r="AZ30" s="355" t="s">
        <v>98</v>
      </c>
      <c r="BA30" s="356"/>
      <c r="BB30" s="356"/>
      <c r="BC30" s="356"/>
      <c r="BD30" s="356"/>
      <c r="BE30" s="356"/>
      <c r="BF30" s="384"/>
      <c r="BG30" s="344"/>
      <c r="BH30" s="314" t="s">
        <v>34</v>
      </c>
      <c r="BI30" s="314" t="s">
        <v>33</v>
      </c>
      <c r="BJ30" s="314"/>
      <c r="BK30" s="338" t="s">
        <v>32</v>
      </c>
      <c r="BL30" s="338"/>
      <c r="BM30" s="339"/>
      <c r="BN30" s="337" t="s">
        <v>39</v>
      </c>
      <c r="BO30" s="314"/>
      <c r="BP30" s="314"/>
      <c r="BQ30" s="314" t="s">
        <v>35</v>
      </c>
      <c r="BR30" s="314"/>
      <c r="BS30" s="314" t="s">
        <v>43</v>
      </c>
      <c r="BT30" s="336" t="s">
        <v>38</v>
      </c>
      <c r="BU30" s="344"/>
      <c r="BV30" s="334"/>
      <c r="BW30" s="314" t="s">
        <v>33</v>
      </c>
      <c r="BX30" s="314" t="s">
        <v>40</v>
      </c>
      <c r="BY30" s="314" t="s">
        <v>36</v>
      </c>
      <c r="BZ30" s="314"/>
      <c r="CA30" s="336"/>
      <c r="CB30" s="341" t="s">
        <v>38</v>
      </c>
      <c r="CC30" s="314"/>
      <c r="CD30" s="314" t="s">
        <v>33</v>
      </c>
      <c r="CE30" s="314" t="s">
        <v>32</v>
      </c>
      <c r="CF30" s="314" t="s">
        <v>40</v>
      </c>
      <c r="CG30" s="338"/>
      <c r="CH30" s="336"/>
      <c r="CI30" s="344"/>
      <c r="CJ30" s="334"/>
      <c r="CK30" s="314" t="s">
        <v>50</v>
      </c>
      <c r="CL30" s="314" t="s">
        <v>47</v>
      </c>
      <c r="CM30" s="314" t="s">
        <v>35</v>
      </c>
      <c r="CN30" s="314"/>
      <c r="CO30" s="336"/>
      <c r="CP30" s="326">
        <f t="shared" si="7"/>
        <v>19</v>
      </c>
      <c r="CQ30" s="326">
        <f t="shared" si="8"/>
        <v>11</v>
      </c>
      <c r="CR30" s="326">
        <f t="shared" si="9"/>
        <v>8</v>
      </c>
    </row>
    <row r="31" spans="1:96" ht="14.1" customHeight="1">
      <c r="A31" s="327" t="s">
        <v>99</v>
      </c>
      <c r="B31" s="385" t="str">
        <f t="shared" si="6"/>
        <v>21-13</v>
      </c>
      <c r="C31" s="334"/>
      <c r="D31" s="314" t="s">
        <v>33</v>
      </c>
      <c r="E31" s="314" t="s">
        <v>47</v>
      </c>
      <c r="F31" s="314"/>
      <c r="G31" s="314"/>
      <c r="H31" s="314"/>
      <c r="I31" s="314" t="s">
        <v>34</v>
      </c>
      <c r="J31" s="334"/>
      <c r="K31" s="314" t="s">
        <v>37</v>
      </c>
      <c r="L31" s="334" t="s">
        <v>33</v>
      </c>
      <c r="M31" s="314" t="s">
        <v>47</v>
      </c>
      <c r="N31" s="314" t="s">
        <v>36</v>
      </c>
      <c r="O31" s="314"/>
      <c r="P31" s="314"/>
      <c r="Q31" s="356" t="s">
        <v>98</v>
      </c>
      <c r="R31" s="356"/>
      <c r="S31" s="356"/>
      <c r="T31" s="356"/>
      <c r="U31" s="356"/>
      <c r="V31" s="356"/>
      <c r="W31" s="356"/>
      <c r="X31" s="356" t="s">
        <v>98</v>
      </c>
      <c r="Y31" s="356"/>
      <c r="Z31" s="356"/>
      <c r="AA31" s="356"/>
      <c r="AB31" s="356"/>
      <c r="AC31" s="356"/>
      <c r="AD31" s="356"/>
      <c r="AE31" s="334"/>
      <c r="AF31" s="314" t="s">
        <v>43</v>
      </c>
      <c r="AG31" s="314" t="s">
        <v>40</v>
      </c>
      <c r="AH31" s="334" t="s">
        <v>100</v>
      </c>
      <c r="AI31" s="314"/>
      <c r="AJ31" s="314"/>
      <c r="AK31" s="314" t="s">
        <v>35</v>
      </c>
      <c r="AL31" s="382" t="s">
        <v>39</v>
      </c>
      <c r="AM31" s="314"/>
      <c r="AN31" s="314"/>
      <c r="AO31" s="314" t="s">
        <v>41</v>
      </c>
      <c r="AP31" s="314" t="s">
        <v>50</v>
      </c>
      <c r="AQ31" s="314"/>
      <c r="AR31" s="314" t="s">
        <v>36</v>
      </c>
      <c r="AS31" s="334"/>
      <c r="AT31" s="314" t="s">
        <v>35</v>
      </c>
      <c r="AU31" s="314"/>
      <c r="AV31" s="314"/>
      <c r="AW31" s="314" t="s">
        <v>32</v>
      </c>
      <c r="AX31" s="314" t="s">
        <v>38</v>
      </c>
      <c r="AY31" s="314"/>
      <c r="AZ31" s="334" t="s">
        <v>33</v>
      </c>
      <c r="BA31" s="314" t="s">
        <v>40</v>
      </c>
      <c r="BB31" s="314"/>
      <c r="BC31" s="314"/>
      <c r="BD31" s="314"/>
      <c r="BE31" s="314"/>
      <c r="BF31" s="314" t="s">
        <v>36</v>
      </c>
      <c r="BG31" s="334"/>
      <c r="BH31" s="314" t="s">
        <v>40</v>
      </c>
      <c r="BI31" s="314" t="s">
        <v>46</v>
      </c>
      <c r="BJ31" s="314"/>
      <c r="BK31" s="338" t="s">
        <v>39</v>
      </c>
      <c r="BL31" s="338"/>
      <c r="BM31" s="338" t="s">
        <v>36</v>
      </c>
      <c r="BN31" s="338" t="s">
        <v>38</v>
      </c>
      <c r="BO31" s="314" t="s">
        <v>50</v>
      </c>
      <c r="BP31" s="314" t="s">
        <v>37</v>
      </c>
      <c r="BQ31" s="334" t="s">
        <v>100</v>
      </c>
      <c r="BR31" s="334"/>
      <c r="BS31" s="334"/>
      <c r="BT31" s="334"/>
      <c r="BU31" s="329" t="s">
        <v>30</v>
      </c>
      <c r="BV31" s="329"/>
      <c r="BW31" s="329"/>
      <c r="BX31" s="329"/>
      <c r="BY31" s="329"/>
      <c r="BZ31" s="329"/>
      <c r="CA31" s="329"/>
      <c r="CB31" s="334"/>
      <c r="CC31" s="334"/>
      <c r="CD31" s="314" t="s">
        <v>41</v>
      </c>
      <c r="CE31" s="314" t="s">
        <v>33</v>
      </c>
      <c r="CF31" s="314" t="s">
        <v>46</v>
      </c>
      <c r="CG31" s="338"/>
      <c r="CH31" s="314"/>
      <c r="CI31" s="334"/>
      <c r="CJ31" s="314" t="s">
        <v>33</v>
      </c>
      <c r="CK31" s="314" t="s">
        <v>35</v>
      </c>
      <c r="CL31" s="314"/>
      <c r="CM31" s="314" t="s">
        <v>47</v>
      </c>
      <c r="CN31" s="314"/>
      <c r="CO31" s="314" t="s">
        <v>34</v>
      </c>
      <c r="CP31" s="326">
        <f t="shared" si="7"/>
        <v>21</v>
      </c>
      <c r="CQ31" s="326">
        <f t="shared" si="8"/>
        <v>13</v>
      </c>
      <c r="CR31" s="314">
        <f t="shared" si="9"/>
        <v>11</v>
      </c>
    </row>
    <row r="32" spans="1:96" ht="14.1" customHeight="1">
      <c r="A32" s="386" t="s">
        <v>101</v>
      </c>
      <c r="B32" s="322" t="str">
        <f t="shared" si="6"/>
        <v>21-14</v>
      </c>
      <c r="C32" s="344"/>
      <c r="D32" s="314"/>
      <c r="E32" s="314" t="s">
        <v>46</v>
      </c>
      <c r="F32" s="334"/>
      <c r="G32" s="314"/>
      <c r="H32" s="350" t="s">
        <v>47</v>
      </c>
      <c r="I32" s="351" t="s">
        <v>37</v>
      </c>
      <c r="J32" s="344"/>
      <c r="K32" s="314" t="s">
        <v>50</v>
      </c>
      <c r="L32" s="314" t="s">
        <v>36</v>
      </c>
      <c r="M32" s="334"/>
      <c r="N32" s="314" t="s">
        <v>40</v>
      </c>
      <c r="O32" s="352"/>
      <c r="P32" s="353"/>
      <c r="Q32" s="344"/>
      <c r="R32" s="314" t="s">
        <v>43</v>
      </c>
      <c r="S32" s="314" t="s">
        <v>38</v>
      </c>
      <c r="T32" s="334"/>
      <c r="U32" s="314" t="s">
        <v>33</v>
      </c>
      <c r="V32" s="352"/>
      <c r="W32" s="353"/>
      <c r="X32" s="344"/>
      <c r="Y32" s="314" t="s">
        <v>33</v>
      </c>
      <c r="Z32" s="314" t="s">
        <v>35</v>
      </c>
      <c r="AA32" s="334"/>
      <c r="AB32" s="314" t="s">
        <v>40</v>
      </c>
      <c r="AC32" s="350"/>
      <c r="AD32" s="351"/>
      <c r="AE32" s="344"/>
      <c r="AF32" s="314" t="s">
        <v>32</v>
      </c>
      <c r="AG32" s="314" t="s">
        <v>38</v>
      </c>
      <c r="AH32" s="334"/>
      <c r="AI32" s="334" t="s">
        <v>33</v>
      </c>
      <c r="AJ32" s="352"/>
      <c r="AK32" s="353"/>
      <c r="AL32" s="344"/>
      <c r="AM32" s="314" t="s">
        <v>41</v>
      </c>
      <c r="AN32" s="314" t="s">
        <v>50</v>
      </c>
      <c r="AO32" s="334"/>
      <c r="AP32" s="314" t="s">
        <v>35</v>
      </c>
      <c r="AQ32" s="350"/>
      <c r="AR32" s="351"/>
      <c r="AS32" s="344"/>
      <c r="AT32" s="314" t="s">
        <v>33</v>
      </c>
      <c r="AU32" s="314" t="s">
        <v>36</v>
      </c>
      <c r="AV32" s="334"/>
      <c r="AW32" s="314" t="s">
        <v>41</v>
      </c>
      <c r="AX32" s="352"/>
      <c r="AY32" s="353"/>
      <c r="AZ32" s="344"/>
      <c r="BA32" s="314" t="s">
        <v>32</v>
      </c>
      <c r="BB32" s="314" t="s">
        <v>34</v>
      </c>
      <c r="BC32" s="334"/>
      <c r="BD32" s="314" t="s">
        <v>33</v>
      </c>
      <c r="BE32" s="350"/>
      <c r="BF32" s="351"/>
      <c r="BG32" s="355" t="s">
        <v>98</v>
      </c>
      <c r="BH32" s="356"/>
      <c r="BI32" s="356"/>
      <c r="BJ32" s="356"/>
      <c r="BK32" s="356"/>
      <c r="BL32" s="356"/>
      <c r="BM32" s="384"/>
      <c r="BN32" s="337" t="s">
        <v>39</v>
      </c>
      <c r="BO32" s="314" t="s">
        <v>37</v>
      </c>
      <c r="BP32" s="314" t="s">
        <v>38</v>
      </c>
      <c r="BQ32" s="334"/>
      <c r="BR32" s="334"/>
      <c r="BS32" s="352"/>
      <c r="BT32" s="353"/>
      <c r="BU32" s="344"/>
      <c r="BV32" s="314"/>
      <c r="BW32" s="314" t="s">
        <v>41</v>
      </c>
      <c r="BX32" s="334"/>
      <c r="BY32" s="314"/>
      <c r="BZ32" s="350" t="s">
        <v>34</v>
      </c>
      <c r="CA32" s="351" t="s">
        <v>36</v>
      </c>
      <c r="CB32" s="344"/>
      <c r="CC32" s="314" t="s">
        <v>33</v>
      </c>
      <c r="CD32" s="314" t="s">
        <v>35</v>
      </c>
      <c r="CE32" s="334"/>
      <c r="CF32" s="314" t="s">
        <v>43</v>
      </c>
      <c r="CG32" s="334"/>
      <c r="CH32" s="335"/>
      <c r="CI32" s="344"/>
      <c r="CJ32" s="314" t="s">
        <v>47</v>
      </c>
      <c r="CK32" s="314" t="s">
        <v>34</v>
      </c>
      <c r="CL32" s="334"/>
      <c r="CM32" s="314" t="s">
        <v>46</v>
      </c>
      <c r="CN32" s="352"/>
      <c r="CO32" s="353"/>
      <c r="CP32" s="326">
        <f t="shared" si="7"/>
        <v>21</v>
      </c>
      <c r="CQ32" s="326">
        <f t="shared" si="8"/>
        <v>14</v>
      </c>
      <c r="CR32" s="314">
        <f t="shared" si="9"/>
        <v>9</v>
      </c>
    </row>
    <row r="33" spans="1:96" ht="14.1" customHeight="1">
      <c r="A33" s="342" t="s">
        <v>102</v>
      </c>
      <c r="B33" s="385" t="str">
        <f t="shared" si="6"/>
        <v>20-14</v>
      </c>
      <c r="C33" s="334" t="s">
        <v>2</v>
      </c>
      <c r="D33" s="314" t="s">
        <v>33</v>
      </c>
      <c r="E33" s="314" t="s">
        <v>43</v>
      </c>
      <c r="F33" s="314" t="s">
        <v>46</v>
      </c>
      <c r="G33" s="314"/>
      <c r="H33" s="314"/>
      <c r="I33" s="352" t="s">
        <v>1</v>
      </c>
      <c r="J33" s="314" t="s">
        <v>35</v>
      </c>
      <c r="K33" s="314"/>
      <c r="L33" s="326" t="s">
        <v>40</v>
      </c>
      <c r="M33" s="314" t="s">
        <v>33</v>
      </c>
      <c r="N33" s="334" t="s">
        <v>2</v>
      </c>
      <c r="O33" s="314"/>
      <c r="P33" s="314"/>
      <c r="Q33" s="352" t="s">
        <v>1</v>
      </c>
      <c r="R33" s="314" t="s">
        <v>47</v>
      </c>
      <c r="S33" s="314"/>
      <c r="T33" s="314"/>
      <c r="U33" s="352" t="s">
        <v>1</v>
      </c>
      <c r="V33" s="314" t="s">
        <v>36</v>
      </c>
      <c r="W33" s="314" t="s">
        <v>38</v>
      </c>
      <c r="X33" s="314"/>
      <c r="Y33" s="314" t="s">
        <v>37</v>
      </c>
      <c r="Z33" s="326" t="s">
        <v>44</v>
      </c>
      <c r="AA33" s="314"/>
      <c r="AB33" s="334" t="s">
        <v>2</v>
      </c>
      <c r="AC33" s="314"/>
      <c r="AD33" s="352" t="s">
        <v>1</v>
      </c>
      <c r="AE33" s="334" t="s">
        <v>2</v>
      </c>
      <c r="AF33" s="314" t="s">
        <v>50</v>
      </c>
      <c r="AG33" s="314" t="s">
        <v>34</v>
      </c>
      <c r="AH33" s="314"/>
      <c r="AI33" s="314" t="s">
        <v>32</v>
      </c>
      <c r="AJ33" s="352" t="s">
        <v>1</v>
      </c>
      <c r="AK33" s="314"/>
      <c r="AL33" s="382" t="s">
        <v>39</v>
      </c>
      <c r="AM33" s="314" t="s">
        <v>36</v>
      </c>
      <c r="AN33" s="326"/>
      <c r="AO33" s="314"/>
      <c r="AP33" s="314" t="s">
        <v>41</v>
      </c>
      <c r="AQ33" s="352" t="s">
        <v>1</v>
      </c>
      <c r="AR33" s="314"/>
      <c r="AS33" s="314" t="s">
        <v>38</v>
      </c>
      <c r="AT33" s="314" t="s">
        <v>33</v>
      </c>
      <c r="AU33" s="314"/>
      <c r="AV33" s="314"/>
      <c r="AW33" s="314" t="s">
        <v>34</v>
      </c>
      <c r="AX33" s="314"/>
      <c r="AY33" s="314"/>
      <c r="AZ33" s="334" t="s">
        <v>2</v>
      </c>
      <c r="BA33" s="314" t="s">
        <v>33</v>
      </c>
      <c r="BB33" s="326" t="s">
        <v>35</v>
      </c>
      <c r="BC33" s="314"/>
      <c r="BD33" s="314" t="s">
        <v>32</v>
      </c>
      <c r="BE33" s="314"/>
      <c r="BF33" s="314"/>
      <c r="BG33" s="356" t="s">
        <v>31</v>
      </c>
      <c r="BH33" s="356"/>
      <c r="BI33" s="356"/>
      <c r="BJ33" s="356"/>
      <c r="BK33" s="356"/>
      <c r="BL33" s="356"/>
      <c r="BM33" s="356"/>
      <c r="BN33" s="338"/>
      <c r="BO33" s="314" t="s">
        <v>40</v>
      </c>
      <c r="BP33" s="326" t="s">
        <v>35</v>
      </c>
      <c r="BQ33" s="314" t="s">
        <v>50</v>
      </c>
      <c r="BR33" s="334" t="s">
        <v>2</v>
      </c>
      <c r="BS33" s="314"/>
      <c r="BT33" s="314"/>
      <c r="BU33" s="314" t="s">
        <v>46</v>
      </c>
      <c r="BV33" s="314"/>
      <c r="BW33" s="314" t="s">
        <v>41</v>
      </c>
      <c r="BX33" s="314"/>
      <c r="BY33" s="314" t="s">
        <v>47</v>
      </c>
      <c r="BZ33" s="314"/>
      <c r="CA33" s="314"/>
      <c r="CB33" s="334" t="s">
        <v>2</v>
      </c>
      <c r="CC33" s="314" t="s">
        <v>36</v>
      </c>
      <c r="CD33" s="326"/>
      <c r="CE33" s="314"/>
      <c r="CF33" s="334" t="s">
        <v>2</v>
      </c>
      <c r="CG33" s="338" t="s">
        <v>37</v>
      </c>
      <c r="CH33" s="314" t="s">
        <v>47</v>
      </c>
      <c r="CI33" s="334" t="s">
        <v>2</v>
      </c>
      <c r="CJ33" s="314"/>
      <c r="CK33" s="314" t="s">
        <v>33</v>
      </c>
      <c r="CL33" s="314" t="s">
        <v>43</v>
      </c>
      <c r="CM33" s="314" t="s">
        <v>34</v>
      </c>
      <c r="CN33" s="314"/>
      <c r="CO33" s="334" t="s">
        <v>1</v>
      </c>
      <c r="CP33" s="326">
        <f t="shared" si="7"/>
        <v>20</v>
      </c>
      <c r="CQ33" s="326">
        <f t="shared" si="8"/>
        <v>14</v>
      </c>
      <c r="CR33" s="314">
        <f t="shared" si="9"/>
        <v>8</v>
      </c>
    </row>
    <row r="34" spans="1:96" ht="14.1" customHeight="1">
      <c r="A34" s="346" t="s">
        <v>103</v>
      </c>
      <c r="B34" s="322" t="str">
        <f t="shared" si="6"/>
        <v>14-10</v>
      </c>
      <c r="C34" s="341" t="s">
        <v>38</v>
      </c>
      <c r="D34" s="314"/>
      <c r="E34" s="314" t="s">
        <v>50</v>
      </c>
      <c r="F34" s="314" t="s">
        <v>40</v>
      </c>
      <c r="G34" s="314"/>
      <c r="H34" s="314"/>
      <c r="I34" s="336"/>
      <c r="J34" s="341" t="s">
        <v>36</v>
      </c>
      <c r="K34" s="314"/>
      <c r="L34" s="314" t="s">
        <v>37</v>
      </c>
      <c r="M34" s="324" t="s">
        <v>54</v>
      </c>
      <c r="N34" s="314"/>
      <c r="O34" s="314"/>
      <c r="P34" s="336"/>
      <c r="Q34" s="331" t="s">
        <v>31</v>
      </c>
      <c r="R34" s="332"/>
      <c r="S34" s="332"/>
      <c r="T34" s="332"/>
      <c r="U34" s="332"/>
      <c r="V34" s="332"/>
      <c r="W34" s="333"/>
      <c r="X34" s="341" t="s">
        <v>34</v>
      </c>
      <c r="Y34" s="314"/>
      <c r="Z34" s="314" t="s">
        <v>33</v>
      </c>
      <c r="AA34" s="314" t="s">
        <v>32</v>
      </c>
      <c r="AB34" s="314"/>
      <c r="AC34" s="314"/>
      <c r="AD34" s="336"/>
      <c r="AE34" s="341" t="s">
        <v>36</v>
      </c>
      <c r="AF34" s="314"/>
      <c r="AG34" s="314"/>
      <c r="AH34" s="314"/>
      <c r="AI34" s="314"/>
      <c r="AJ34" s="314" t="s">
        <v>47</v>
      </c>
      <c r="AK34" s="336" t="s">
        <v>37</v>
      </c>
      <c r="AL34" s="337" t="s">
        <v>38</v>
      </c>
      <c r="AM34" s="314"/>
      <c r="AN34" s="314" t="s">
        <v>33</v>
      </c>
      <c r="AO34" s="314" t="s">
        <v>40</v>
      </c>
      <c r="AP34" s="314"/>
      <c r="AQ34" s="314"/>
      <c r="AR34" s="336"/>
      <c r="AS34" s="341" t="s">
        <v>36</v>
      </c>
      <c r="AT34" s="314"/>
      <c r="AU34" s="324" t="s">
        <v>54</v>
      </c>
      <c r="AV34" s="314"/>
      <c r="AW34" s="324" t="s">
        <v>54</v>
      </c>
      <c r="AX34" s="314"/>
      <c r="AY34" s="336"/>
      <c r="AZ34" s="341"/>
      <c r="BA34" s="314"/>
      <c r="BB34" s="314"/>
      <c r="BC34" s="314" t="s">
        <v>32</v>
      </c>
      <c r="BD34" s="314"/>
      <c r="BE34" s="314" t="s">
        <v>38</v>
      </c>
      <c r="BF34" s="336" t="s">
        <v>34</v>
      </c>
      <c r="BG34" s="341" t="s">
        <v>35</v>
      </c>
      <c r="BH34" s="314"/>
      <c r="BI34" s="314" t="s">
        <v>50</v>
      </c>
      <c r="BJ34" s="314" t="s">
        <v>32</v>
      </c>
      <c r="BK34" s="338"/>
      <c r="BL34" s="338"/>
      <c r="BM34" s="339"/>
      <c r="BN34" s="338" t="s">
        <v>36</v>
      </c>
      <c r="BO34" s="314"/>
      <c r="BP34" s="314" t="s">
        <v>33</v>
      </c>
      <c r="BQ34" s="314" t="s">
        <v>37</v>
      </c>
      <c r="BR34" s="314"/>
      <c r="BS34" s="314"/>
      <c r="BT34" s="336"/>
      <c r="BU34" s="328" t="s">
        <v>30</v>
      </c>
      <c r="BV34" s="329"/>
      <c r="BW34" s="329"/>
      <c r="BX34" s="329"/>
      <c r="BY34" s="329"/>
      <c r="BZ34" s="329"/>
      <c r="CA34" s="330"/>
      <c r="CB34" s="328" t="s">
        <v>30</v>
      </c>
      <c r="CC34" s="329"/>
      <c r="CD34" s="329"/>
      <c r="CE34" s="329"/>
      <c r="CF34" s="329"/>
      <c r="CG34" s="329"/>
      <c r="CH34" s="330"/>
      <c r="CI34" s="331" t="s">
        <v>31</v>
      </c>
      <c r="CJ34" s="332"/>
      <c r="CK34" s="332"/>
      <c r="CL34" s="332"/>
      <c r="CM34" s="332"/>
      <c r="CN34" s="332"/>
      <c r="CO34" s="333"/>
      <c r="CP34" s="326">
        <f t="shared" si="7"/>
        <v>14</v>
      </c>
      <c r="CQ34" s="326">
        <f t="shared" si="8"/>
        <v>10</v>
      </c>
      <c r="CR34" s="326">
        <f t="shared" si="9"/>
        <v>8</v>
      </c>
    </row>
    <row r="35" spans="1:96" s="3" customFormat="1" ht="14.1" customHeight="1">
      <c r="A35" s="346" t="s">
        <v>104</v>
      </c>
      <c r="B35" s="322" t="str">
        <f t="shared" si="6"/>
        <v>17-13</v>
      </c>
      <c r="C35" s="341" t="s">
        <v>50</v>
      </c>
      <c r="D35" s="314" t="s">
        <v>40</v>
      </c>
      <c r="E35" s="334"/>
      <c r="F35" s="356" t="s">
        <v>105</v>
      </c>
      <c r="G35" s="356"/>
      <c r="H35" s="356"/>
      <c r="I35" s="333"/>
      <c r="J35" s="331" t="s">
        <v>106</v>
      </c>
      <c r="K35" s="332"/>
      <c r="L35" s="332"/>
      <c r="M35" s="375" t="s">
        <v>38</v>
      </c>
      <c r="N35" s="367"/>
      <c r="O35" s="367"/>
      <c r="P35" s="335"/>
      <c r="Q35" s="341" t="s">
        <v>33</v>
      </c>
      <c r="R35" s="314" t="s">
        <v>32</v>
      </c>
      <c r="S35" s="314" t="s">
        <v>35</v>
      </c>
      <c r="T35" s="314"/>
      <c r="U35" s="334"/>
      <c r="V35" s="314"/>
      <c r="W35" s="334"/>
      <c r="X35" s="341" t="s">
        <v>33</v>
      </c>
      <c r="Y35" s="314" t="s">
        <v>47</v>
      </c>
      <c r="Z35" s="334"/>
      <c r="AA35" s="314" t="s">
        <v>34</v>
      </c>
      <c r="AB35" s="334"/>
      <c r="AC35" s="314"/>
      <c r="AD35" s="336"/>
      <c r="AE35" s="387"/>
      <c r="AF35" s="314" t="s">
        <v>37</v>
      </c>
      <c r="AG35" s="314" t="s">
        <v>41</v>
      </c>
      <c r="AH35" s="314" t="s">
        <v>36</v>
      </c>
      <c r="AI35" s="334"/>
      <c r="AJ35" s="314"/>
      <c r="AK35" s="336"/>
      <c r="AL35" s="337" t="s">
        <v>39</v>
      </c>
      <c r="AM35" s="314" t="s">
        <v>43</v>
      </c>
      <c r="AN35" s="334"/>
      <c r="AO35" s="314"/>
      <c r="AP35" s="314" t="s">
        <v>38</v>
      </c>
      <c r="AQ35" s="314"/>
      <c r="AR35" s="336"/>
      <c r="AS35" s="387"/>
      <c r="AT35" s="314" t="s">
        <v>41</v>
      </c>
      <c r="AU35" s="314" t="s">
        <v>46</v>
      </c>
      <c r="AV35" s="314" t="s">
        <v>35</v>
      </c>
      <c r="AW35" s="334"/>
      <c r="AX35" s="334"/>
      <c r="AY35" s="335"/>
      <c r="AZ35" s="341" t="s">
        <v>33</v>
      </c>
      <c r="BA35" s="314"/>
      <c r="BB35" s="334"/>
      <c r="BC35" s="314"/>
      <c r="BD35" s="334"/>
      <c r="BE35" s="314" t="s">
        <v>40</v>
      </c>
      <c r="BF35" s="336" t="s">
        <v>43</v>
      </c>
      <c r="BG35" s="341"/>
      <c r="BH35" s="314" t="s">
        <v>47</v>
      </c>
      <c r="BI35" s="334"/>
      <c r="BJ35" s="314" t="s">
        <v>36</v>
      </c>
      <c r="BK35" s="338" t="s">
        <v>39</v>
      </c>
      <c r="BL35" s="338"/>
      <c r="BM35" s="334"/>
      <c r="BN35" s="337" t="s">
        <v>39</v>
      </c>
      <c r="BO35" s="314" t="s">
        <v>35</v>
      </c>
      <c r="BP35" s="334"/>
      <c r="BQ35" s="329" t="s">
        <v>107</v>
      </c>
      <c r="BR35" s="329"/>
      <c r="BS35" s="329"/>
      <c r="BT35" s="330"/>
      <c r="BU35" s="328" t="s">
        <v>108</v>
      </c>
      <c r="BV35" s="329"/>
      <c r="BW35" s="314"/>
      <c r="BX35" s="314"/>
      <c r="BY35" s="314" t="s">
        <v>46</v>
      </c>
      <c r="BZ35" s="314"/>
      <c r="CA35" s="334"/>
      <c r="CB35" s="387"/>
      <c r="CC35" s="314"/>
      <c r="CD35" s="314" t="s">
        <v>40</v>
      </c>
      <c r="CE35" s="314"/>
      <c r="CF35" s="334"/>
      <c r="CG35" s="338" t="s">
        <v>38</v>
      </c>
      <c r="CH35" s="336" t="s">
        <v>35</v>
      </c>
      <c r="CI35" s="341" t="s">
        <v>33</v>
      </c>
      <c r="CJ35" s="314" t="s">
        <v>43</v>
      </c>
      <c r="CK35" s="334"/>
      <c r="CL35" s="314" t="s">
        <v>34</v>
      </c>
      <c r="CM35" s="334"/>
      <c r="CN35" s="314"/>
      <c r="CO35" s="336"/>
      <c r="CP35" s="326">
        <f t="shared" si="7"/>
        <v>17</v>
      </c>
      <c r="CQ35" s="326">
        <f t="shared" si="8"/>
        <v>13</v>
      </c>
      <c r="CR35" s="326">
        <f t="shared" si="9"/>
        <v>8</v>
      </c>
    </row>
    <row r="36" spans="1:96" ht="14.1" customHeight="1">
      <c r="A36" s="346" t="s">
        <v>109</v>
      </c>
      <c r="B36" s="322" t="str">
        <f t="shared" si="6"/>
        <v>0-0</v>
      </c>
      <c r="C36" s="355" t="s">
        <v>98</v>
      </c>
      <c r="D36" s="356"/>
      <c r="E36" s="356"/>
      <c r="F36" s="356"/>
      <c r="G36" s="356"/>
      <c r="H36" s="356"/>
      <c r="I36" s="384"/>
      <c r="J36" s="355" t="s">
        <v>98</v>
      </c>
      <c r="K36" s="356"/>
      <c r="L36" s="356"/>
      <c r="M36" s="356"/>
      <c r="N36" s="356"/>
      <c r="O36" s="356"/>
      <c r="P36" s="384"/>
      <c r="Q36" s="355" t="s">
        <v>98</v>
      </c>
      <c r="R36" s="356"/>
      <c r="S36" s="356"/>
      <c r="T36" s="356"/>
      <c r="U36" s="356"/>
      <c r="V36" s="356"/>
      <c r="W36" s="384"/>
      <c r="X36" s="355" t="s">
        <v>98</v>
      </c>
      <c r="Y36" s="356"/>
      <c r="Z36" s="356"/>
      <c r="AA36" s="356"/>
      <c r="AB36" s="356"/>
      <c r="AC36" s="356"/>
      <c r="AD36" s="384"/>
      <c r="AE36" s="355" t="s">
        <v>98</v>
      </c>
      <c r="AF36" s="356"/>
      <c r="AG36" s="356"/>
      <c r="AH36" s="356"/>
      <c r="AI36" s="356"/>
      <c r="AJ36" s="356"/>
      <c r="AK36" s="384"/>
      <c r="AL36" s="355" t="s">
        <v>98</v>
      </c>
      <c r="AM36" s="356"/>
      <c r="AN36" s="356"/>
      <c r="AO36" s="356"/>
      <c r="AP36" s="356"/>
      <c r="AQ36" s="356"/>
      <c r="AR36" s="384"/>
      <c r="AS36" s="355" t="s">
        <v>98</v>
      </c>
      <c r="AT36" s="356"/>
      <c r="AU36" s="356"/>
      <c r="AV36" s="356"/>
      <c r="AW36" s="356"/>
      <c r="AX36" s="356"/>
      <c r="AY36" s="384"/>
      <c r="AZ36" s="355" t="s">
        <v>98</v>
      </c>
      <c r="BA36" s="356"/>
      <c r="BB36" s="356"/>
      <c r="BC36" s="356"/>
      <c r="BD36" s="356"/>
      <c r="BE36" s="356"/>
      <c r="BF36" s="384"/>
      <c r="BG36" s="355" t="s">
        <v>98</v>
      </c>
      <c r="BH36" s="356"/>
      <c r="BI36" s="356"/>
      <c r="BJ36" s="356"/>
      <c r="BK36" s="356"/>
      <c r="BL36" s="338"/>
      <c r="BM36" s="362"/>
      <c r="BN36" s="355" t="s">
        <v>98</v>
      </c>
      <c r="BO36" s="356"/>
      <c r="BP36" s="356"/>
      <c r="BQ36" s="356"/>
      <c r="BR36" s="356"/>
      <c r="BS36" s="356"/>
      <c r="BT36" s="384"/>
      <c r="BU36" s="355" t="s">
        <v>98</v>
      </c>
      <c r="BV36" s="356"/>
      <c r="BW36" s="356"/>
      <c r="BX36" s="356"/>
      <c r="BY36" s="356"/>
      <c r="BZ36" s="356"/>
      <c r="CA36" s="384"/>
      <c r="CB36" s="355" t="s">
        <v>98</v>
      </c>
      <c r="CC36" s="356"/>
      <c r="CD36" s="356"/>
      <c r="CE36" s="356"/>
      <c r="CF36" s="356"/>
      <c r="CG36" s="338"/>
      <c r="CH36" s="384"/>
      <c r="CI36" s="355" t="s">
        <v>98</v>
      </c>
      <c r="CJ36" s="356"/>
      <c r="CK36" s="356"/>
      <c r="CL36" s="356"/>
      <c r="CM36" s="356"/>
      <c r="CN36" s="356"/>
      <c r="CO36" s="384"/>
      <c r="CP36" s="326">
        <f t="shared" si="7"/>
        <v>0</v>
      </c>
      <c r="CQ36" s="326">
        <f t="shared" si="8"/>
        <v>0</v>
      </c>
      <c r="CR36" s="326">
        <f t="shared" si="9"/>
        <v>0</v>
      </c>
    </row>
    <row r="37" spans="1:96" ht="14.1" customHeight="1">
      <c r="A37" s="346" t="s">
        <v>110</v>
      </c>
      <c r="B37" s="322" t="str">
        <f t="shared" si="6"/>
        <v>16-10</v>
      </c>
      <c r="C37" s="328" t="s">
        <v>30</v>
      </c>
      <c r="D37" s="329"/>
      <c r="E37" s="329"/>
      <c r="F37" s="329"/>
      <c r="G37" s="329"/>
      <c r="H37" s="329"/>
      <c r="I37" s="330"/>
      <c r="J37" s="328" t="s">
        <v>30</v>
      </c>
      <c r="K37" s="329"/>
      <c r="L37" s="329"/>
      <c r="M37" s="329"/>
      <c r="N37" s="329"/>
      <c r="O37" s="329"/>
      <c r="P37" s="330"/>
      <c r="Q37" s="331" t="s">
        <v>31</v>
      </c>
      <c r="R37" s="332"/>
      <c r="S37" s="332"/>
      <c r="T37" s="332"/>
      <c r="U37" s="332"/>
      <c r="V37" s="332"/>
      <c r="W37" s="333"/>
      <c r="X37" s="331" t="s">
        <v>31</v>
      </c>
      <c r="Y37" s="332"/>
      <c r="Z37" s="332"/>
      <c r="AA37" s="332"/>
      <c r="AB37" s="332"/>
      <c r="AC37" s="332"/>
      <c r="AD37" s="333"/>
      <c r="AE37" s="349" t="s">
        <v>34</v>
      </c>
      <c r="AF37" s="18"/>
      <c r="AG37" s="326" t="s">
        <v>33</v>
      </c>
      <c r="AH37" s="326" t="s">
        <v>32</v>
      </c>
      <c r="AI37" s="326"/>
      <c r="AJ37" s="326"/>
      <c r="AK37" s="388"/>
      <c r="AL37" s="341"/>
      <c r="AM37" s="8"/>
      <c r="AN37" s="8"/>
      <c r="AO37" s="8" t="s">
        <v>43</v>
      </c>
      <c r="AP37" s="314"/>
      <c r="AQ37" s="314" t="s">
        <v>35</v>
      </c>
      <c r="AR37" s="348" t="s">
        <v>38</v>
      </c>
      <c r="AS37" s="341"/>
      <c r="AT37" s="8"/>
      <c r="AU37" s="326" t="s">
        <v>33</v>
      </c>
      <c r="AV37" s="8" t="s">
        <v>40</v>
      </c>
      <c r="AW37" s="314" t="s">
        <v>43</v>
      </c>
      <c r="AX37" s="314"/>
      <c r="AY37" s="348"/>
      <c r="AZ37" s="341" t="s">
        <v>33</v>
      </c>
      <c r="BA37" s="8" t="s">
        <v>34</v>
      </c>
      <c r="BB37" s="45"/>
      <c r="BC37" s="8" t="s">
        <v>44</v>
      </c>
      <c r="BD37" s="314"/>
      <c r="BE37" s="314"/>
      <c r="BF37" s="348"/>
      <c r="BG37" s="341"/>
      <c r="BH37" s="8" t="s">
        <v>50</v>
      </c>
      <c r="BI37" s="8"/>
      <c r="BJ37" s="8" t="s">
        <v>37</v>
      </c>
      <c r="BK37" s="338" t="s">
        <v>38</v>
      </c>
      <c r="BL37" s="338"/>
      <c r="BM37" s="362"/>
      <c r="BN37" s="337" t="s">
        <v>39</v>
      </c>
      <c r="BO37" s="8"/>
      <c r="BP37" s="8"/>
      <c r="BQ37" s="8" t="s">
        <v>46</v>
      </c>
      <c r="BR37" s="314"/>
      <c r="BS37" s="314" t="s">
        <v>47</v>
      </c>
      <c r="BT37" s="348" t="s">
        <v>40</v>
      </c>
      <c r="BU37" s="341"/>
      <c r="BV37" s="8" t="s">
        <v>43</v>
      </c>
      <c r="BW37" s="8" t="s">
        <v>35</v>
      </c>
      <c r="BX37" s="8"/>
      <c r="BY37" s="314"/>
      <c r="BZ37" s="314"/>
      <c r="CA37" s="348"/>
      <c r="CB37" s="18" t="s">
        <v>43</v>
      </c>
      <c r="CC37" s="8"/>
      <c r="CD37" s="8" t="s">
        <v>33</v>
      </c>
      <c r="CE37" s="8" t="s">
        <v>38</v>
      </c>
      <c r="CF37" s="314"/>
      <c r="CG37" s="338"/>
      <c r="CH37" s="348"/>
      <c r="CI37" s="341" t="s">
        <v>46</v>
      </c>
      <c r="CJ37" s="8"/>
      <c r="CK37" s="8" t="s">
        <v>37</v>
      </c>
      <c r="CL37" s="8" t="s">
        <v>50</v>
      </c>
      <c r="CM37" s="314"/>
      <c r="CN37" s="314"/>
      <c r="CO37" s="348"/>
      <c r="CP37" s="326">
        <f t="shared" si="7"/>
        <v>16</v>
      </c>
      <c r="CQ37" s="326">
        <f t="shared" si="8"/>
        <v>10</v>
      </c>
      <c r="CR37" s="326">
        <f t="shared" si="9"/>
        <v>7</v>
      </c>
    </row>
    <row r="38" spans="1:96" ht="15" customHeight="1">
      <c r="A38" s="346" t="s">
        <v>111</v>
      </c>
      <c r="B38" s="322" t="str">
        <f t="shared" si="6"/>
        <v>20-13</v>
      </c>
      <c r="C38" s="349" t="s">
        <v>46</v>
      </c>
      <c r="D38" s="326" t="s">
        <v>38</v>
      </c>
      <c r="E38" s="326"/>
      <c r="F38" s="334"/>
      <c r="G38" s="326" t="s">
        <v>43</v>
      </c>
      <c r="H38" s="326"/>
      <c r="I38" s="46"/>
      <c r="J38" s="349"/>
      <c r="K38" s="334"/>
      <c r="L38" s="326"/>
      <c r="M38" s="314" t="s">
        <v>33</v>
      </c>
      <c r="N38" s="326" t="s">
        <v>37</v>
      </c>
      <c r="O38" s="326" t="s">
        <v>36</v>
      </c>
      <c r="P38" s="388"/>
      <c r="Q38" s="46"/>
      <c r="R38" s="326"/>
      <c r="S38" s="326" t="s">
        <v>47</v>
      </c>
      <c r="T38" s="334" t="s">
        <v>50</v>
      </c>
      <c r="U38" s="326" t="s">
        <v>40</v>
      </c>
      <c r="V38" s="326"/>
      <c r="W38" s="388"/>
      <c r="X38" s="349"/>
      <c r="Y38" s="326" t="s">
        <v>33</v>
      </c>
      <c r="Z38" s="326" t="s">
        <v>34</v>
      </c>
      <c r="AA38" s="334"/>
      <c r="AB38" s="326" t="s">
        <v>43</v>
      </c>
      <c r="AC38" s="46"/>
      <c r="AD38" s="388"/>
      <c r="AE38" s="334"/>
      <c r="AF38" s="326" t="s">
        <v>47</v>
      </c>
      <c r="AG38" s="326" t="s">
        <v>35</v>
      </c>
      <c r="AH38" s="334"/>
      <c r="AI38" s="326" t="s">
        <v>43</v>
      </c>
      <c r="AJ38" s="326"/>
      <c r="AK38" s="388"/>
      <c r="AL38" s="337" t="s">
        <v>46</v>
      </c>
      <c r="AM38" s="326"/>
      <c r="AN38" s="326" t="s">
        <v>33</v>
      </c>
      <c r="AO38" s="334"/>
      <c r="AP38" s="46"/>
      <c r="AQ38" s="326" t="s">
        <v>34</v>
      </c>
      <c r="AR38" s="335"/>
      <c r="AS38" s="46"/>
      <c r="AT38" s="326"/>
      <c r="AU38" s="326" t="s">
        <v>41</v>
      </c>
      <c r="AV38" s="314" t="s">
        <v>33</v>
      </c>
      <c r="AW38" s="326" t="s">
        <v>38</v>
      </c>
      <c r="AX38" s="326"/>
      <c r="AY38" s="388"/>
      <c r="AZ38" s="349" t="s">
        <v>36</v>
      </c>
      <c r="BA38" s="326"/>
      <c r="BB38" s="334"/>
      <c r="BC38" s="334"/>
      <c r="BD38" s="326" t="s">
        <v>33</v>
      </c>
      <c r="BE38" s="326"/>
      <c r="BF38" s="388" t="s">
        <v>35</v>
      </c>
      <c r="BG38" s="334"/>
      <c r="BH38" s="326" t="s">
        <v>37</v>
      </c>
      <c r="BI38" s="334"/>
      <c r="BJ38" s="334" t="s">
        <v>33</v>
      </c>
      <c r="BK38" s="338" t="s">
        <v>34</v>
      </c>
      <c r="BL38" s="338"/>
      <c r="BM38" s="339"/>
      <c r="BN38" s="331" t="s">
        <v>31</v>
      </c>
      <c r="BO38" s="332"/>
      <c r="BP38" s="332"/>
      <c r="BQ38" s="332"/>
      <c r="BR38" s="332"/>
      <c r="BS38" s="332"/>
      <c r="BT38" s="333"/>
      <c r="BU38" s="331" t="s">
        <v>31</v>
      </c>
      <c r="BV38" s="332"/>
      <c r="BW38" s="332"/>
      <c r="BX38" s="332"/>
      <c r="BY38" s="332"/>
      <c r="BZ38" s="332"/>
      <c r="CA38" s="333"/>
      <c r="CB38" s="341" t="s">
        <v>41</v>
      </c>
      <c r="CC38" s="326" t="s">
        <v>50</v>
      </c>
      <c r="CD38" s="326" t="s">
        <v>34</v>
      </c>
      <c r="CE38" s="334"/>
      <c r="CF38" s="334"/>
      <c r="CG38" s="338"/>
      <c r="CH38" s="388"/>
      <c r="CI38" s="334"/>
      <c r="CJ38" s="326" t="s">
        <v>32</v>
      </c>
      <c r="CK38" s="326"/>
      <c r="CL38" s="334"/>
      <c r="CM38" s="314" t="s">
        <v>37</v>
      </c>
      <c r="CN38" s="326"/>
      <c r="CO38" s="388" t="s">
        <v>38</v>
      </c>
      <c r="CP38" s="326">
        <f t="shared" si="7"/>
        <v>20</v>
      </c>
      <c r="CQ38" s="326">
        <f t="shared" si="8"/>
        <v>13</v>
      </c>
      <c r="CR38" s="314">
        <f t="shared" si="9"/>
        <v>8</v>
      </c>
    </row>
    <row r="39" spans="1:96" ht="14.1" customHeight="1">
      <c r="A39" s="346" t="s">
        <v>112</v>
      </c>
      <c r="B39" s="322" t="str">
        <f t="shared" si="6"/>
        <v>21-14</v>
      </c>
      <c r="C39" s="328" t="s">
        <v>30</v>
      </c>
      <c r="D39" s="329"/>
      <c r="E39" s="329"/>
      <c r="F39" s="329"/>
      <c r="G39" s="329"/>
      <c r="H39" s="329"/>
      <c r="I39" s="330"/>
      <c r="J39" s="349"/>
      <c r="K39" s="18"/>
      <c r="L39" s="326" t="s">
        <v>34</v>
      </c>
      <c r="M39" s="334"/>
      <c r="N39" s="326" t="s">
        <v>32</v>
      </c>
      <c r="O39" s="334"/>
      <c r="P39" s="336" t="s">
        <v>47</v>
      </c>
      <c r="Q39" s="349" t="s">
        <v>50</v>
      </c>
      <c r="R39" s="18"/>
      <c r="S39" s="326" t="s">
        <v>36</v>
      </c>
      <c r="T39" s="326" t="s">
        <v>35</v>
      </c>
      <c r="U39" s="334"/>
      <c r="V39" s="326"/>
      <c r="W39" s="388"/>
      <c r="X39" s="349" t="s">
        <v>33</v>
      </c>
      <c r="Y39" s="18"/>
      <c r="Z39" s="326" t="s">
        <v>40</v>
      </c>
      <c r="AA39" s="334"/>
      <c r="AB39" s="326" t="s">
        <v>46</v>
      </c>
      <c r="AC39" s="334"/>
      <c r="AD39" s="335"/>
      <c r="AE39" s="349" t="s">
        <v>33</v>
      </c>
      <c r="AF39" s="18"/>
      <c r="AG39" s="326" t="s">
        <v>36</v>
      </c>
      <c r="AH39" s="334"/>
      <c r="AI39" s="326" t="s">
        <v>37</v>
      </c>
      <c r="AJ39" s="326"/>
      <c r="AK39" s="388"/>
      <c r="AL39" s="382" t="s">
        <v>39</v>
      </c>
      <c r="AM39" s="18"/>
      <c r="AN39" s="326" t="s">
        <v>38</v>
      </c>
      <c r="AO39" s="334"/>
      <c r="AP39" s="326" t="s">
        <v>43</v>
      </c>
      <c r="AQ39" s="334"/>
      <c r="AR39" s="336"/>
      <c r="AS39" s="349" t="s">
        <v>33</v>
      </c>
      <c r="AT39" s="18"/>
      <c r="AU39" s="326" t="s">
        <v>38</v>
      </c>
      <c r="AV39" s="326" t="s">
        <v>34</v>
      </c>
      <c r="AW39" s="334"/>
      <c r="AX39" s="326"/>
      <c r="AY39" s="388"/>
      <c r="AZ39" s="349" t="s">
        <v>33</v>
      </c>
      <c r="BA39" s="18"/>
      <c r="BB39" s="326" t="s">
        <v>41</v>
      </c>
      <c r="BC39" s="334"/>
      <c r="BD39" s="326" t="s">
        <v>46</v>
      </c>
      <c r="BE39" s="326"/>
      <c r="BF39" s="388"/>
      <c r="BG39" s="349" t="s">
        <v>47</v>
      </c>
      <c r="BH39" s="18"/>
      <c r="BI39" s="326"/>
      <c r="BJ39" s="326"/>
      <c r="BK39" s="338" t="s">
        <v>37</v>
      </c>
      <c r="BL39" s="338" t="s">
        <v>43</v>
      </c>
      <c r="BM39" s="339"/>
      <c r="BN39" s="349"/>
      <c r="BO39" s="18" t="s">
        <v>33</v>
      </c>
      <c r="BP39" s="326" t="s">
        <v>44</v>
      </c>
      <c r="BQ39" s="334"/>
      <c r="BR39" s="326" t="s">
        <v>40</v>
      </c>
      <c r="BS39" s="334"/>
      <c r="BT39" s="335"/>
      <c r="BU39" s="349" t="s">
        <v>50</v>
      </c>
      <c r="BV39" s="18"/>
      <c r="BW39" s="326" t="s">
        <v>37</v>
      </c>
      <c r="BX39" s="326" t="s">
        <v>46</v>
      </c>
      <c r="BY39" s="334"/>
      <c r="BZ39" s="326"/>
      <c r="CA39" s="388"/>
      <c r="CB39" s="349" t="s">
        <v>33</v>
      </c>
      <c r="CC39" s="18"/>
      <c r="CD39" s="326" t="s">
        <v>36</v>
      </c>
      <c r="CE39" s="334"/>
      <c r="CF39" s="326" t="s">
        <v>47</v>
      </c>
      <c r="CG39" s="334"/>
      <c r="CH39" s="335"/>
      <c r="CI39" s="349"/>
      <c r="CJ39" s="18"/>
      <c r="CK39" s="326" t="s">
        <v>41</v>
      </c>
      <c r="CL39" s="334"/>
      <c r="CM39" s="326"/>
      <c r="CN39" s="326" t="s">
        <v>34</v>
      </c>
      <c r="CO39" s="388" t="s">
        <v>35</v>
      </c>
      <c r="CP39" s="326">
        <f t="shared" si="7"/>
        <v>21</v>
      </c>
      <c r="CQ39" s="326">
        <f t="shared" si="8"/>
        <v>14</v>
      </c>
      <c r="CR39" s="314">
        <f t="shared" si="9"/>
        <v>9</v>
      </c>
    </row>
    <row r="40" spans="1:96" s="13" customFormat="1" ht="14.1" customHeight="1">
      <c r="A40" s="130" t="s">
        <v>113</v>
      </c>
      <c r="B40" s="322" t="str">
        <f t="shared" si="6"/>
        <v>20-13</v>
      </c>
      <c r="C40" s="389" t="s">
        <v>36</v>
      </c>
      <c r="D40" s="390"/>
      <c r="E40" s="390"/>
      <c r="F40" s="390"/>
      <c r="G40" s="390"/>
      <c r="H40" s="390" t="s">
        <v>37</v>
      </c>
      <c r="I40" s="391" t="s">
        <v>47</v>
      </c>
      <c r="J40" s="389" t="s">
        <v>32</v>
      </c>
      <c r="K40" s="390"/>
      <c r="L40" s="392" t="s">
        <v>33</v>
      </c>
      <c r="M40" s="390" t="s">
        <v>34</v>
      </c>
      <c r="N40" s="390"/>
      <c r="O40" s="390"/>
      <c r="P40" s="391"/>
      <c r="Q40" s="389" t="s">
        <v>33</v>
      </c>
      <c r="R40" s="390"/>
      <c r="S40" s="392"/>
      <c r="T40" s="390" t="s">
        <v>40</v>
      </c>
      <c r="U40" s="390" t="s">
        <v>38</v>
      </c>
      <c r="V40" s="390"/>
      <c r="W40" s="391"/>
      <c r="X40" s="389" t="s">
        <v>35</v>
      </c>
      <c r="Y40" s="390"/>
      <c r="Z40" s="392" t="s">
        <v>33</v>
      </c>
      <c r="AA40" s="390" t="s">
        <v>47</v>
      </c>
      <c r="AB40" s="387"/>
      <c r="AC40" s="387"/>
      <c r="AD40" s="393"/>
      <c r="AE40" s="389" t="s">
        <v>43</v>
      </c>
      <c r="AF40" s="390" t="s">
        <v>44</v>
      </c>
      <c r="AG40" s="392" t="s">
        <v>50</v>
      </c>
      <c r="AH40" s="390"/>
      <c r="AI40" s="390"/>
      <c r="AJ40" s="387"/>
      <c r="AK40" s="393"/>
      <c r="AL40" s="389"/>
      <c r="AM40" s="390"/>
      <c r="AN40" s="392"/>
      <c r="AO40" s="390" t="s">
        <v>41</v>
      </c>
      <c r="AP40" s="390"/>
      <c r="AQ40" s="390" t="s">
        <v>36</v>
      </c>
      <c r="AR40" s="391" t="s">
        <v>34</v>
      </c>
      <c r="AS40" s="389"/>
      <c r="AT40" s="394" t="s">
        <v>54</v>
      </c>
      <c r="AU40" s="394" t="s">
        <v>54</v>
      </c>
      <c r="AV40" s="390"/>
      <c r="AW40" s="390" t="s">
        <v>37</v>
      </c>
      <c r="AX40" s="390"/>
      <c r="AY40" s="391"/>
      <c r="AZ40" s="389" t="s">
        <v>40</v>
      </c>
      <c r="BA40" s="390" t="s">
        <v>38</v>
      </c>
      <c r="BB40" s="392" t="s">
        <v>33</v>
      </c>
      <c r="BC40" s="390"/>
      <c r="BD40" s="390"/>
      <c r="BE40" s="390"/>
      <c r="BF40" s="391"/>
      <c r="BG40" s="389" t="s">
        <v>32</v>
      </c>
      <c r="BH40" s="390"/>
      <c r="BI40" s="392" t="s">
        <v>35</v>
      </c>
      <c r="BJ40" s="390"/>
      <c r="BK40" s="338" t="s">
        <v>36</v>
      </c>
      <c r="BL40" s="395"/>
      <c r="BM40" s="396"/>
      <c r="BN40" s="337" t="s">
        <v>39</v>
      </c>
      <c r="BO40" s="390" t="s">
        <v>38</v>
      </c>
      <c r="BP40" s="392" t="s">
        <v>50</v>
      </c>
      <c r="BQ40" s="390" t="s">
        <v>43</v>
      </c>
      <c r="BR40" s="390"/>
      <c r="BS40" s="390"/>
      <c r="BT40" s="391"/>
      <c r="BU40" s="389" t="s">
        <v>32</v>
      </c>
      <c r="BV40" s="390" t="s">
        <v>35</v>
      </c>
      <c r="BW40" s="392"/>
      <c r="BX40" s="390"/>
      <c r="BY40" s="390"/>
      <c r="BZ40" s="390"/>
      <c r="CA40" s="391"/>
      <c r="CB40" s="389"/>
      <c r="CC40" s="390" t="s">
        <v>41</v>
      </c>
      <c r="CD40" s="392" t="s">
        <v>33</v>
      </c>
      <c r="CE40" s="390" t="s">
        <v>34</v>
      </c>
      <c r="CF40" s="390"/>
      <c r="CG40" s="395"/>
      <c r="CH40" s="391"/>
      <c r="CI40" s="355" t="s">
        <v>98</v>
      </c>
      <c r="CJ40" s="356"/>
      <c r="CK40" s="356"/>
      <c r="CL40" s="356"/>
      <c r="CM40" s="356"/>
      <c r="CN40" s="356"/>
      <c r="CO40" s="384"/>
      <c r="CP40" s="326">
        <f t="shared" si="7"/>
        <v>20</v>
      </c>
      <c r="CQ40" s="326">
        <f t="shared" si="8"/>
        <v>13</v>
      </c>
      <c r="CR40" s="314">
        <f t="shared" si="9"/>
        <v>10</v>
      </c>
    </row>
    <row r="41" spans="1:96" ht="14.1" customHeight="1">
      <c r="A41" s="343" t="s">
        <v>114</v>
      </c>
      <c r="B41" s="322" t="str">
        <f t="shared" si="6"/>
        <v>16-6</v>
      </c>
      <c r="C41" s="334"/>
      <c r="D41" s="326" t="s">
        <v>46</v>
      </c>
      <c r="E41" s="326"/>
      <c r="F41" s="314" t="s">
        <v>47</v>
      </c>
      <c r="G41" s="314"/>
      <c r="H41" s="314"/>
      <c r="I41" s="336"/>
      <c r="J41" s="326"/>
      <c r="K41" s="326"/>
      <c r="L41" s="326"/>
      <c r="M41" s="314" t="s">
        <v>115</v>
      </c>
      <c r="N41" s="314"/>
      <c r="O41" s="314" t="s">
        <v>37</v>
      </c>
      <c r="P41" s="336" t="s">
        <v>40</v>
      </c>
      <c r="Q41" s="326"/>
      <c r="R41" s="326" t="s">
        <v>38</v>
      </c>
      <c r="S41" s="326"/>
      <c r="T41" s="314" t="s">
        <v>43</v>
      </c>
      <c r="U41" s="314"/>
      <c r="V41" s="314"/>
      <c r="W41" s="336"/>
      <c r="X41" s="328" t="s">
        <v>30</v>
      </c>
      <c r="Y41" s="329"/>
      <c r="Z41" s="329"/>
      <c r="AA41" s="329"/>
      <c r="AB41" s="329"/>
      <c r="AC41" s="329"/>
      <c r="AD41" s="330"/>
      <c r="AE41" s="326"/>
      <c r="AF41" s="326"/>
      <c r="AG41" s="326"/>
      <c r="AH41" s="314"/>
      <c r="AI41" s="314"/>
      <c r="AJ41" s="314" t="s">
        <v>43</v>
      </c>
      <c r="AK41" s="336" t="s">
        <v>47</v>
      </c>
      <c r="AL41" s="338"/>
      <c r="AM41" s="326" t="s">
        <v>32</v>
      </c>
      <c r="AN41" s="326"/>
      <c r="AO41" s="314"/>
      <c r="AP41" s="314" t="s">
        <v>34</v>
      </c>
      <c r="AQ41" s="314"/>
      <c r="AR41" s="336"/>
      <c r="AS41" s="326"/>
      <c r="AT41" s="326"/>
      <c r="AU41" s="326"/>
      <c r="AV41" s="314"/>
      <c r="AW41" s="314"/>
      <c r="AX41" s="314" t="s">
        <v>47</v>
      </c>
      <c r="AY41" s="336" t="s">
        <v>43</v>
      </c>
      <c r="AZ41" s="326"/>
      <c r="BA41" s="326" t="s">
        <v>35</v>
      </c>
      <c r="BB41" s="326"/>
      <c r="BC41" s="314"/>
      <c r="BD41" s="314" t="s">
        <v>50</v>
      </c>
      <c r="BE41" s="314"/>
      <c r="BF41" s="336"/>
      <c r="BG41" s="326"/>
      <c r="BH41" s="326"/>
      <c r="BI41" s="326"/>
      <c r="BJ41" s="314"/>
      <c r="BK41" s="338"/>
      <c r="BL41" s="338" t="s">
        <v>47</v>
      </c>
      <c r="BM41" s="338" t="s">
        <v>40</v>
      </c>
      <c r="BN41" s="326"/>
      <c r="BO41" s="326" t="s">
        <v>46</v>
      </c>
      <c r="BP41" s="326"/>
      <c r="BQ41" s="314"/>
      <c r="BR41" s="314" t="s">
        <v>41</v>
      </c>
      <c r="BS41" s="314"/>
      <c r="BT41" s="336"/>
      <c r="BU41" s="326"/>
      <c r="BV41" s="326"/>
      <c r="BW41" s="326"/>
      <c r="BX41" s="314"/>
      <c r="BY41" s="314"/>
      <c r="BZ41" s="314" t="s">
        <v>37</v>
      </c>
      <c r="CA41" s="336" t="s">
        <v>43</v>
      </c>
      <c r="CB41" s="326"/>
      <c r="CC41" s="326" t="s">
        <v>44</v>
      </c>
      <c r="CD41" s="326"/>
      <c r="CE41" s="314" t="s">
        <v>40</v>
      </c>
      <c r="CF41" s="314"/>
      <c r="CG41" s="334"/>
      <c r="CH41" s="335"/>
      <c r="CI41" s="331" t="s">
        <v>31</v>
      </c>
      <c r="CJ41" s="332"/>
      <c r="CK41" s="332"/>
      <c r="CL41" s="332"/>
      <c r="CM41" s="332"/>
      <c r="CN41" s="332"/>
      <c r="CO41" s="333"/>
      <c r="CP41" s="326">
        <f t="shared" si="7"/>
        <v>16</v>
      </c>
      <c r="CQ41" s="326">
        <f t="shared" si="8"/>
        <v>6</v>
      </c>
      <c r="CR41" s="326">
        <f t="shared" si="9"/>
        <v>1</v>
      </c>
    </row>
    <row r="42" spans="1:96" ht="14.1" customHeight="1">
      <c r="A42" s="346" t="s">
        <v>116</v>
      </c>
      <c r="B42" s="322" t="str">
        <f t="shared" si="6"/>
        <v>16-10</v>
      </c>
      <c r="C42" s="344"/>
      <c r="D42" s="8" t="s">
        <v>43</v>
      </c>
      <c r="E42" s="8"/>
      <c r="F42" s="8" t="s">
        <v>33</v>
      </c>
      <c r="G42" s="314"/>
      <c r="H42" s="314"/>
      <c r="I42" s="348"/>
      <c r="J42" s="341"/>
      <c r="K42" s="8" t="s">
        <v>36</v>
      </c>
      <c r="L42" s="8"/>
      <c r="M42" s="8" t="s">
        <v>37</v>
      </c>
      <c r="N42" s="314"/>
      <c r="O42" s="314"/>
      <c r="P42" s="348"/>
      <c r="Q42" s="341"/>
      <c r="R42" s="8" t="s">
        <v>40</v>
      </c>
      <c r="S42" s="8"/>
      <c r="T42" s="8" t="s">
        <v>33</v>
      </c>
      <c r="U42" s="314"/>
      <c r="V42" s="314"/>
      <c r="W42" s="348"/>
      <c r="X42" s="341"/>
      <c r="Y42" s="8" t="s">
        <v>35</v>
      </c>
      <c r="Z42" s="8"/>
      <c r="AA42" s="8" t="s">
        <v>43</v>
      </c>
      <c r="AB42" s="314"/>
      <c r="AC42" s="314"/>
      <c r="AD42" s="348"/>
      <c r="AE42" s="341"/>
      <c r="AF42" s="8" t="s">
        <v>38</v>
      </c>
      <c r="AG42" s="8"/>
      <c r="AH42" s="8" t="s">
        <v>33</v>
      </c>
      <c r="AI42" s="314"/>
      <c r="AJ42" s="314"/>
      <c r="AK42" s="348"/>
      <c r="AL42" s="337"/>
      <c r="AM42" s="8" t="s">
        <v>44</v>
      </c>
      <c r="AN42" s="8"/>
      <c r="AO42" s="8" t="s">
        <v>47</v>
      </c>
      <c r="AP42" s="314"/>
      <c r="AQ42" s="314"/>
      <c r="AR42" s="348"/>
      <c r="AS42" s="341"/>
      <c r="AT42" s="8" t="s">
        <v>34</v>
      </c>
      <c r="AU42" s="8"/>
      <c r="AV42" s="8" t="s">
        <v>50</v>
      </c>
      <c r="AW42" s="314"/>
      <c r="AX42" s="314"/>
      <c r="AY42" s="348"/>
      <c r="AZ42" s="341"/>
      <c r="BA42" s="8" t="s">
        <v>46</v>
      </c>
      <c r="BB42" s="8"/>
      <c r="BC42" s="8" t="s">
        <v>47</v>
      </c>
      <c r="BD42" s="314"/>
      <c r="BE42" s="314"/>
      <c r="BF42" s="348"/>
      <c r="BG42" s="341"/>
      <c r="BH42" s="8"/>
      <c r="BI42" s="8"/>
      <c r="BJ42" s="8"/>
      <c r="BK42" s="338"/>
      <c r="BL42" s="338" t="s">
        <v>37</v>
      </c>
      <c r="BM42" s="338" t="s">
        <v>47</v>
      </c>
      <c r="BN42" s="338" t="s">
        <v>46</v>
      </c>
      <c r="BO42" s="8"/>
      <c r="BP42" s="8"/>
      <c r="BQ42" s="8" t="s">
        <v>33</v>
      </c>
      <c r="BR42" s="314"/>
      <c r="BS42" s="314"/>
      <c r="BT42" s="348"/>
      <c r="BU42" s="341"/>
      <c r="BV42" s="8"/>
      <c r="BW42" s="8"/>
      <c r="BX42" s="8"/>
      <c r="BY42" s="314"/>
      <c r="BZ42" s="314" t="s">
        <v>43</v>
      </c>
      <c r="CA42" s="361" t="s">
        <v>34</v>
      </c>
      <c r="CB42" s="341"/>
      <c r="CC42" s="8" t="s">
        <v>35</v>
      </c>
      <c r="CD42" s="8"/>
      <c r="CE42" s="8" t="s">
        <v>50</v>
      </c>
      <c r="CF42" s="314"/>
      <c r="CG42" s="338"/>
      <c r="CH42" s="348"/>
      <c r="CI42" s="344"/>
      <c r="CJ42" s="8" t="s">
        <v>46</v>
      </c>
      <c r="CK42" s="8"/>
      <c r="CL42" s="8" t="s">
        <v>40</v>
      </c>
      <c r="CM42" s="314"/>
      <c r="CN42" s="314"/>
      <c r="CO42" s="348"/>
      <c r="CP42" s="326">
        <f t="shared" si="7"/>
        <v>16</v>
      </c>
      <c r="CQ42" s="326">
        <f t="shared" si="8"/>
        <v>10</v>
      </c>
      <c r="CR42" s="314">
        <f t="shared" si="9"/>
        <v>6</v>
      </c>
    </row>
    <row r="43" spans="1:96" s="3" customFormat="1" ht="14.1" customHeight="1">
      <c r="A43" s="346" t="s">
        <v>117</v>
      </c>
      <c r="B43" s="322" t="str">
        <f t="shared" si="6"/>
        <v>17-11</v>
      </c>
      <c r="C43" s="341" t="s">
        <v>33</v>
      </c>
      <c r="D43" s="334"/>
      <c r="E43" s="314"/>
      <c r="F43" s="314"/>
      <c r="G43" s="314" t="s">
        <v>37</v>
      </c>
      <c r="H43" s="314"/>
      <c r="I43" s="334"/>
      <c r="J43" s="341"/>
      <c r="K43" s="314" t="s">
        <v>41</v>
      </c>
      <c r="L43" s="314"/>
      <c r="M43" s="314"/>
      <c r="N43" s="314" t="s">
        <v>47</v>
      </c>
      <c r="O43" s="314"/>
      <c r="P43" s="336"/>
      <c r="Q43" s="344"/>
      <c r="R43" s="314" t="s">
        <v>35</v>
      </c>
      <c r="S43" s="314" t="s">
        <v>33</v>
      </c>
      <c r="T43" s="314"/>
      <c r="U43" s="314"/>
      <c r="V43" s="345" t="s">
        <v>34</v>
      </c>
      <c r="W43" s="334"/>
      <c r="X43" s="334"/>
      <c r="Y43" s="314" t="s">
        <v>50</v>
      </c>
      <c r="Z43" s="314"/>
      <c r="AA43" s="314"/>
      <c r="AB43" s="314" t="s">
        <v>32</v>
      </c>
      <c r="AC43" s="314"/>
      <c r="AD43" s="336"/>
      <c r="AE43" s="341"/>
      <c r="AF43" s="314" t="s">
        <v>34</v>
      </c>
      <c r="AG43" s="314" t="s">
        <v>33</v>
      </c>
      <c r="AH43" s="314"/>
      <c r="AI43" s="314" t="s">
        <v>41</v>
      </c>
      <c r="AJ43" s="314"/>
      <c r="AK43" s="334"/>
      <c r="AL43" s="337"/>
      <c r="AM43" s="314"/>
      <c r="AN43" s="334"/>
      <c r="AO43" s="314"/>
      <c r="AP43" s="314" t="s">
        <v>32</v>
      </c>
      <c r="AQ43" s="314" t="s">
        <v>38</v>
      </c>
      <c r="AR43" s="336" t="s">
        <v>35</v>
      </c>
      <c r="AS43" s="341"/>
      <c r="AT43" s="314" t="s">
        <v>36</v>
      </c>
      <c r="AU43" s="314"/>
      <c r="AV43" s="314"/>
      <c r="AW43" s="314" t="s">
        <v>40</v>
      </c>
      <c r="AX43" s="314"/>
      <c r="AY43" s="336"/>
      <c r="AZ43" s="334"/>
      <c r="BA43" s="314" t="s">
        <v>36</v>
      </c>
      <c r="BB43" s="314"/>
      <c r="BC43" s="314"/>
      <c r="BD43" s="314" t="s">
        <v>33</v>
      </c>
      <c r="BE43" s="334"/>
      <c r="BF43" s="335"/>
      <c r="BG43" s="331" t="s">
        <v>31</v>
      </c>
      <c r="BH43" s="332"/>
      <c r="BI43" s="332"/>
      <c r="BJ43" s="332"/>
      <c r="BK43" s="332"/>
      <c r="BL43" s="332"/>
      <c r="BM43" s="333"/>
      <c r="BN43" s="337" t="s">
        <v>39</v>
      </c>
      <c r="BO43" s="314" t="s">
        <v>36</v>
      </c>
      <c r="BP43" s="334"/>
      <c r="BQ43" s="314"/>
      <c r="BR43" s="314" t="s">
        <v>37</v>
      </c>
      <c r="BS43" s="314"/>
      <c r="BT43" s="336"/>
      <c r="BU43" s="334"/>
      <c r="BV43" s="314" t="s">
        <v>38</v>
      </c>
      <c r="BW43" s="314"/>
      <c r="BX43" s="314"/>
      <c r="BY43" s="314" t="s">
        <v>40</v>
      </c>
      <c r="BZ43" s="314"/>
      <c r="CA43" s="336"/>
      <c r="CB43" s="334"/>
      <c r="CC43" s="314" t="s">
        <v>46</v>
      </c>
      <c r="CD43" s="314" t="s">
        <v>50</v>
      </c>
      <c r="CE43" s="314"/>
      <c r="CF43" s="314" t="s">
        <v>41</v>
      </c>
      <c r="CG43" s="338"/>
      <c r="CH43" s="336"/>
      <c r="CI43" s="334"/>
      <c r="CJ43" s="314" t="s">
        <v>38</v>
      </c>
      <c r="CK43" s="314"/>
      <c r="CL43" s="314"/>
      <c r="CM43" s="314" t="s">
        <v>43</v>
      </c>
      <c r="CN43" s="314"/>
      <c r="CO43" s="336"/>
      <c r="CP43" s="326">
        <f t="shared" si="7"/>
        <v>17</v>
      </c>
      <c r="CQ43" s="326">
        <f t="shared" si="8"/>
        <v>11</v>
      </c>
      <c r="CR43" s="314">
        <f t="shared" si="9"/>
        <v>7</v>
      </c>
    </row>
    <row r="44" spans="1:96" ht="14.1" customHeight="1">
      <c r="A44" s="346" t="s">
        <v>118</v>
      </c>
      <c r="B44" s="322" t="str">
        <f t="shared" si="6"/>
        <v>15-10</v>
      </c>
      <c r="C44" s="344"/>
      <c r="D44" s="314"/>
      <c r="E44" s="314"/>
      <c r="F44" s="314" t="s">
        <v>34</v>
      </c>
      <c r="G44" s="314" t="s">
        <v>38</v>
      </c>
      <c r="H44" s="314"/>
      <c r="I44" s="336"/>
      <c r="J44" s="341"/>
      <c r="K44" s="314"/>
      <c r="L44" s="314"/>
      <c r="M44" s="314" t="s">
        <v>43</v>
      </c>
      <c r="N44" s="314" t="s">
        <v>50</v>
      </c>
      <c r="O44" s="314"/>
      <c r="P44" s="336"/>
      <c r="Q44" s="341"/>
      <c r="R44" s="314"/>
      <c r="S44" s="314"/>
      <c r="T44" s="314" t="s">
        <v>46</v>
      </c>
      <c r="U44" s="314" t="s">
        <v>35</v>
      </c>
      <c r="V44" s="314"/>
      <c r="W44" s="336"/>
      <c r="X44" s="341"/>
      <c r="Y44" s="314"/>
      <c r="Z44" s="314"/>
      <c r="AA44" s="314"/>
      <c r="AB44" s="314"/>
      <c r="AC44" s="314" t="s">
        <v>40</v>
      </c>
      <c r="AD44" s="336" t="s">
        <v>43</v>
      </c>
      <c r="AE44" s="341"/>
      <c r="AF44" s="314"/>
      <c r="AG44" s="314"/>
      <c r="AH44" s="314" t="s">
        <v>33</v>
      </c>
      <c r="AI44" s="314" t="s">
        <v>47</v>
      </c>
      <c r="AJ44" s="314"/>
      <c r="AK44" s="336"/>
      <c r="AL44" s="341"/>
      <c r="AM44" s="314"/>
      <c r="AN44" s="314"/>
      <c r="AO44" s="314" t="s">
        <v>46</v>
      </c>
      <c r="AP44" s="314" t="s">
        <v>33</v>
      </c>
      <c r="AQ44" s="314"/>
      <c r="AR44" s="336"/>
      <c r="AS44" s="341"/>
      <c r="AT44" s="314"/>
      <c r="AU44" s="314"/>
      <c r="AV44" s="314" t="s">
        <v>37</v>
      </c>
      <c r="AW44" s="314" t="s">
        <v>47</v>
      </c>
      <c r="AX44" s="314"/>
      <c r="AY44" s="336"/>
      <c r="AZ44" s="341"/>
      <c r="BA44" s="314"/>
      <c r="BB44" s="314"/>
      <c r="BC44" s="314" t="s">
        <v>41</v>
      </c>
      <c r="BD44" s="314" t="s">
        <v>40</v>
      </c>
      <c r="BE44" s="334"/>
      <c r="BF44" s="335"/>
      <c r="BG44" s="341"/>
      <c r="BH44" s="314"/>
      <c r="BI44" s="314"/>
      <c r="BJ44" s="314" t="s">
        <v>46</v>
      </c>
      <c r="BK44" s="338" t="s">
        <v>39</v>
      </c>
      <c r="BL44" s="338"/>
      <c r="BM44" s="339"/>
      <c r="BN44" s="341"/>
      <c r="BO44" s="314"/>
      <c r="BP44" s="314"/>
      <c r="BQ44" s="314" t="s">
        <v>33</v>
      </c>
      <c r="BR44" s="314" t="s">
        <v>47</v>
      </c>
      <c r="BS44" s="334"/>
      <c r="BT44" s="335"/>
      <c r="BU44" s="341"/>
      <c r="BV44" s="314"/>
      <c r="BW44" s="314"/>
      <c r="BX44" s="314" t="s">
        <v>34</v>
      </c>
      <c r="BY44" s="314" t="s">
        <v>35</v>
      </c>
      <c r="BZ44" s="314"/>
      <c r="CA44" s="336"/>
      <c r="CB44" s="341"/>
      <c r="CC44" s="314"/>
      <c r="CD44" s="314"/>
      <c r="CE44" s="314" t="s">
        <v>36</v>
      </c>
      <c r="CF44" s="314" t="s">
        <v>33</v>
      </c>
      <c r="CG44" s="338"/>
      <c r="CH44" s="336"/>
      <c r="CI44" s="344"/>
      <c r="CJ44" s="314"/>
      <c r="CK44" s="314"/>
      <c r="CL44" s="314" t="s">
        <v>37</v>
      </c>
      <c r="CM44" s="314" t="s">
        <v>36</v>
      </c>
      <c r="CN44" s="314"/>
      <c r="CO44" s="336"/>
      <c r="CP44" s="326">
        <f t="shared" si="7"/>
        <v>15</v>
      </c>
      <c r="CQ44" s="326">
        <f t="shared" si="8"/>
        <v>10</v>
      </c>
      <c r="CR44" s="326">
        <f t="shared" si="9"/>
        <v>6</v>
      </c>
    </row>
    <row r="45" spans="1:96" ht="14.1" customHeight="1">
      <c r="A45" s="343" t="s">
        <v>119</v>
      </c>
      <c r="B45" s="322" t="str">
        <f t="shared" si="6"/>
        <v>13-6</v>
      </c>
      <c r="C45" s="344"/>
      <c r="D45" s="334"/>
      <c r="E45" s="314"/>
      <c r="F45" s="334"/>
      <c r="G45" s="334"/>
      <c r="H45" s="314" t="s">
        <v>38</v>
      </c>
      <c r="I45" s="336" t="s">
        <v>35</v>
      </c>
      <c r="J45" s="341" t="s">
        <v>50</v>
      </c>
      <c r="K45" s="334"/>
      <c r="L45" s="314" t="s">
        <v>38</v>
      </c>
      <c r="M45" s="334"/>
      <c r="N45" s="334"/>
      <c r="O45" s="314"/>
      <c r="P45" s="336"/>
      <c r="Q45" s="341" t="s">
        <v>37</v>
      </c>
      <c r="R45" s="334"/>
      <c r="S45" s="314" t="s">
        <v>32</v>
      </c>
      <c r="T45" s="334"/>
      <c r="U45" s="334"/>
      <c r="V45" s="314"/>
      <c r="W45" s="336"/>
      <c r="X45" s="341" t="s">
        <v>33</v>
      </c>
      <c r="Y45" s="334"/>
      <c r="Z45" s="314" t="s">
        <v>43</v>
      </c>
      <c r="AA45" s="334"/>
      <c r="AB45" s="334"/>
      <c r="AC45" s="314"/>
      <c r="AD45" s="336"/>
      <c r="AE45" s="341"/>
      <c r="AF45" s="334"/>
      <c r="AG45" s="314"/>
      <c r="AH45" s="334"/>
      <c r="AI45" s="334"/>
      <c r="AJ45" s="314" t="s">
        <v>40</v>
      </c>
      <c r="AK45" s="336" t="s">
        <v>43</v>
      </c>
      <c r="AL45" s="337" t="s">
        <v>37</v>
      </c>
      <c r="AM45" s="334"/>
      <c r="AN45" s="314" t="s">
        <v>41</v>
      </c>
      <c r="AO45" s="334"/>
      <c r="AP45" s="334"/>
      <c r="AQ45" s="314"/>
      <c r="AR45" s="336"/>
      <c r="AS45" s="341" t="s">
        <v>40</v>
      </c>
      <c r="AT45" s="334"/>
      <c r="AU45" s="314" t="s">
        <v>33</v>
      </c>
      <c r="AV45" s="334"/>
      <c r="AW45" s="334"/>
      <c r="AX45" s="314"/>
      <c r="AY45" s="336"/>
      <c r="AZ45" s="331" t="s">
        <v>31</v>
      </c>
      <c r="BA45" s="332"/>
      <c r="BB45" s="332"/>
      <c r="BC45" s="332"/>
      <c r="BD45" s="332"/>
      <c r="BE45" s="332"/>
      <c r="BF45" s="333"/>
      <c r="BG45" s="331" t="s">
        <v>31</v>
      </c>
      <c r="BH45" s="332"/>
      <c r="BI45" s="332"/>
      <c r="BJ45" s="332"/>
      <c r="BK45" s="332"/>
      <c r="BL45" s="332"/>
      <c r="BM45" s="333"/>
      <c r="BN45" s="337" t="s">
        <v>39</v>
      </c>
      <c r="BO45" s="334"/>
      <c r="BP45" s="314" t="s">
        <v>46</v>
      </c>
      <c r="BQ45" s="334"/>
      <c r="BR45" s="334"/>
      <c r="BS45" s="314"/>
      <c r="BT45" s="336"/>
      <c r="BU45" s="341" t="s">
        <v>34</v>
      </c>
      <c r="BV45" s="334"/>
      <c r="BW45" s="314" t="s">
        <v>33</v>
      </c>
      <c r="BX45" s="334"/>
      <c r="BY45" s="334"/>
      <c r="BZ45" s="314"/>
      <c r="CA45" s="336"/>
      <c r="CB45" s="341" t="s">
        <v>36</v>
      </c>
      <c r="CC45" s="334"/>
      <c r="CD45" s="314" t="s">
        <v>47</v>
      </c>
      <c r="CE45" s="334"/>
      <c r="CF45" s="334"/>
      <c r="CG45" s="338"/>
      <c r="CH45" s="336"/>
      <c r="CI45" s="328" t="s">
        <v>30</v>
      </c>
      <c r="CJ45" s="329"/>
      <c r="CK45" s="329"/>
      <c r="CL45" s="329"/>
      <c r="CM45" s="329"/>
      <c r="CN45" s="329"/>
      <c r="CO45" s="330"/>
      <c r="CP45" s="326">
        <f t="shared" si="7"/>
        <v>13</v>
      </c>
      <c r="CQ45" s="326">
        <f t="shared" si="8"/>
        <v>6</v>
      </c>
      <c r="CR45" s="326">
        <f t="shared" si="9"/>
        <v>5</v>
      </c>
    </row>
    <row r="46" spans="1:96" ht="14.1" customHeight="1">
      <c r="A46" s="285" t="s">
        <v>120</v>
      </c>
      <c r="B46" s="322" t="str">
        <f t="shared" si="6"/>
        <v>12-7</v>
      </c>
      <c r="C46" s="328" t="s">
        <v>30</v>
      </c>
      <c r="D46" s="329"/>
      <c r="E46" s="329"/>
      <c r="F46" s="329"/>
      <c r="G46" s="329"/>
      <c r="H46" s="329"/>
      <c r="I46" s="330"/>
      <c r="J46" s="344"/>
      <c r="K46" s="334"/>
      <c r="L46" s="334"/>
      <c r="M46" s="334"/>
      <c r="N46" s="334"/>
      <c r="O46" s="314" t="s">
        <v>38</v>
      </c>
      <c r="P46" s="336" t="s">
        <v>36</v>
      </c>
      <c r="Q46" s="341" t="s">
        <v>33</v>
      </c>
      <c r="R46" s="314" t="s">
        <v>36</v>
      </c>
      <c r="S46" s="314"/>
      <c r="T46" s="314"/>
      <c r="U46" s="314"/>
      <c r="V46" s="314"/>
      <c r="W46" s="336"/>
      <c r="X46" s="355" t="s">
        <v>121</v>
      </c>
      <c r="Y46" s="356"/>
      <c r="Z46" s="356"/>
      <c r="AA46" s="356"/>
      <c r="AB46" s="356"/>
      <c r="AC46" s="356"/>
      <c r="AD46" s="333"/>
      <c r="AE46" s="355" t="s">
        <v>121</v>
      </c>
      <c r="AF46" s="356"/>
      <c r="AG46" s="356"/>
      <c r="AH46" s="356"/>
      <c r="AI46" s="356"/>
      <c r="AJ46" s="356"/>
      <c r="AK46" s="333"/>
      <c r="AL46" s="337"/>
      <c r="AM46" s="314"/>
      <c r="AN46" s="314"/>
      <c r="AO46" s="314"/>
      <c r="AP46" s="314"/>
      <c r="AQ46" s="314" t="s">
        <v>40</v>
      </c>
      <c r="AR46" s="336" t="s">
        <v>37</v>
      </c>
      <c r="AS46" s="341" t="s">
        <v>50</v>
      </c>
      <c r="AT46" s="314" t="s">
        <v>46</v>
      </c>
      <c r="AU46" s="314"/>
      <c r="AV46" s="314"/>
      <c r="AW46" s="314"/>
      <c r="AX46" s="314"/>
      <c r="AY46" s="336"/>
      <c r="AZ46" s="341" t="s">
        <v>47</v>
      </c>
      <c r="BA46" s="314" t="s">
        <v>33</v>
      </c>
      <c r="BB46" s="314"/>
      <c r="BC46" s="314"/>
      <c r="BD46" s="314"/>
      <c r="BE46" s="314"/>
      <c r="BF46" s="336"/>
      <c r="BG46" s="341" t="s">
        <v>40</v>
      </c>
      <c r="BH46" s="314" t="s">
        <v>35</v>
      </c>
      <c r="BI46" s="314"/>
      <c r="BJ46" s="314"/>
      <c r="BK46" s="338"/>
      <c r="BL46" s="338"/>
      <c r="BM46" s="338"/>
      <c r="BN46" s="397" t="s">
        <v>39</v>
      </c>
      <c r="BO46" s="314"/>
      <c r="BP46" s="314"/>
      <c r="BQ46" s="314" t="s">
        <v>41</v>
      </c>
      <c r="BR46" s="314"/>
      <c r="BS46" s="314"/>
      <c r="BT46" s="336"/>
      <c r="BU46" s="341" t="s">
        <v>43</v>
      </c>
      <c r="BV46" s="314" t="s">
        <v>46</v>
      </c>
      <c r="BW46" s="314"/>
      <c r="BX46" s="314"/>
      <c r="BY46" s="314"/>
      <c r="BZ46" s="314"/>
      <c r="CA46" s="336"/>
      <c r="CB46" s="341" t="s">
        <v>37</v>
      </c>
      <c r="CC46" s="314"/>
      <c r="CD46" s="314"/>
      <c r="CE46" s="314" t="s">
        <v>33</v>
      </c>
      <c r="CF46" s="314"/>
      <c r="CG46" s="338"/>
      <c r="CH46" s="336"/>
      <c r="CI46" s="341" t="s">
        <v>47</v>
      </c>
      <c r="CJ46" s="314" t="s">
        <v>34</v>
      </c>
      <c r="CK46" s="314"/>
      <c r="CL46" s="314"/>
      <c r="CM46" s="314"/>
      <c r="CN46" s="314"/>
      <c r="CO46" s="336"/>
      <c r="CP46" s="326">
        <f t="shared" si="7"/>
        <v>12</v>
      </c>
      <c r="CQ46" s="326">
        <f t="shared" si="8"/>
        <v>7</v>
      </c>
      <c r="CR46" s="326">
        <f t="shared" si="9"/>
        <v>5</v>
      </c>
    </row>
    <row r="47" spans="1:96" ht="14.1" customHeight="1">
      <c r="A47" s="343" t="s">
        <v>122</v>
      </c>
      <c r="B47" s="322" t="str">
        <f t="shared" si="6"/>
        <v>9-4</v>
      </c>
      <c r="C47" s="355" t="s">
        <v>98</v>
      </c>
      <c r="D47" s="356"/>
      <c r="E47" s="356"/>
      <c r="F47" s="356"/>
      <c r="G47" s="356"/>
      <c r="H47" s="356"/>
      <c r="I47" s="384"/>
      <c r="J47" s="355" t="s">
        <v>98</v>
      </c>
      <c r="K47" s="356"/>
      <c r="L47" s="356"/>
      <c r="M47" s="356"/>
      <c r="N47" s="356"/>
      <c r="O47" s="356"/>
      <c r="P47" s="384"/>
      <c r="Q47" s="355" t="s">
        <v>98</v>
      </c>
      <c r="R47" s="356"/>
      <c r="S47" s="356"/>
      <c r="T47" s="356"/>
      <c r="U47" s="356"/>
      <c r="V47" s="356"/>
      <c r="W47" s="384"/>
      <c r="X47" s="331" t="s">
        <v>31</v>
      </c>
      <c r="Y47" s="332"/>
      <c r="Z47" s="332"/>
      <c r="AA47" s="332"/>
      <c r="AB47" s="332"/>
      <c r="AC47" s="332"/>
      <c r="AD47" s="333"/>
      <c r="AE47" s="341"/>
      <c r="AF47" s="314" t="s">
        <v>33</v>
      </c>
      <c r="AG47" s="314" t="s">
        <v>47</v>
      </c>
      <c r="AH47" s="314"/>
      <c r="AI47" s="314"/>
      <c r="AJ47" s="314"/>
      <c r="AK47" s="336"/>
      <c r="AL47" s="337"/>
      <c r="AM47" s="314" t="s">
        <v>40</v>
      </c>
      <c r="AN47" s="314" t="s">
        <v>36</v>
      </c>
      <c r="AO47" s="314"/>
      <c r="AP47" s="314"/>
      <c r="AQ47" s="314"/>
      <c r="AR47" s="336"/>
      <c r="AS47" s="341"/>
      <c r="AT47" s="314" t="s">
        <v>50</v>
      </c>
      <c r="AU47" s="314" t="s">
        <v>41</v>
      </c>
      <c r="AV47" s="314"/>
      <c r="AW47" s="314"/>
      <c r="AX47" s="314"/>
      <c r="AY47" s="336"/>
      <c r="AZ47" s="341"/>
      <c r="BA47" s="314" t="s">
        <v>47</v>
      </c>
      <c r="BB47" s="314" t="s">
        <v>46</v>
      </c>
      <c r="BC47" s="314"/>
      <c r="BD47" s="314"/>
      <c r="BE47" s="314"/>
      <c r="BF47" s="336"/>
      <c r="BG47" s="341"/>
      <c r="BH47" s="314"/>
      <c r="BI47" s="314" t="s">
        <v>36</v>
      </c>
      <c r="BJ47" s="314"/>
      <c r="BK47" s="338"/>
      <c r="BL47" s="345" t="s">
        <v>40</v>
      </c>
      <c r="BM47" s="339"/>
      <c r="BN47" s="397" t="s">
        <v>39</v>
      </c>
      <c r="BO47" s="314" t="s">
        <v>43</v>
      </c>
      <c r="BP47" s="314"/>
      <c r="BQ47" s="314"/>
      <c r="BR47" s="314"/>
      <c r="BS47" s="314"/>
      <c r="BT47" s="336"/>
      <c r="BU47" s="331" t="s">
        <v>31</v>
      </c>
      <c r="BV47" s="332"/>
      <c r="BW47" s="332"/>
      <c r="BX47" s="332"/>
      <c r="BY47" s="332"/>
      <c r="BZ47" s="332"/>
      <c r="CA47" s="333"/>
      <c r="CB47" s="341"/>
      <c r="CC47" s="314" t="s">
        <v>40</v>
      </c>
      <c r="CD47" s="314" t="s">
        <v>38</v>
      </c>
      <c r="CE47" s="314"/>
      <c r="CF47" s="314"/>
      <c r="CG47" s="338"/>
      <c r="CH47" s="336"/>
      <c r="CI47" s="328" t="s">
        <v>30</v>
      </c>
      <c r="CJ47" s="329"/>
      <c r="CK47" s="329"/>
      <c r="CL47" s="329"/>
      <c r="CM47" s="329"/>
      <c r="CN47" s="329"/>
      <c r="CO47" s="330"/>
      <c r="CP47" s="326">
        <f t="shared" si="7"/>
        <v>9</v>
      </c>
      <c r="CQ47" s="326">
        <f t="shared" si="8"/>
        <v>4</v>
      </c>
      <c r="CR47" s="326">
        <f t="shared" si="9"/>
        <v>3</v>
      </c>
    </row>
    <row r="48" spans="1:96" ht="14.1" customHeight="1">
      <c r="A48" s="285" t="s">
        <v>123</v>
      </c>
      <c r="B48" s="322" t="str">
        <f t="shared" si="6"/>
        <v>13-7</v>
      </c>
      <c r="C48" s="328" t="s">
        <v>30</v>
      </c>
      <c r="D48" s="329"/>
      <c r="E48" s="329"/>
      <c r="F48" s="329"/>
      <c r="G48" s="329"/>
      <c r="H48" s="329"/>
      <c r="I48" s="330"/>
      <c r="J48" s="331" t="s">
        <v>31</v>
      </c>
      <c r="K48" s="332"/>
      <c r="L48" s="332"/>
      <c r="M48" s="332"/>
      <c r="N48" s="332"/>
      <c r="O48" s="332"/>
      <c r="P48" s="333"/>
      <c r="Q48" s="344"/>
      <c r="R48" s="334"/>
      <c r="S48" s="334"/>
      <c r="T48" s="334"/>
      <c r="U48" s="334"/>
      <c r="V48" s="314" t="s">
        <v>38</v>
      </c>
      <c r="W48" s="336" t="s">
        <v>35</v>
      </c>
      <c r="X48" s="341"/>
      <c r="Y48" s="314" t="s">
        <v>41</v>
      </c>
      <c r="Z48" s="314"/>
      <c r="AA48" s="314" t="s">
        <v>33</v>
      </c>
      <c r="AB48" s="334"/>
      <c r="AC48" s="314"/>
      <c r="AD48" s="336"/>
      <c r="AE48" s="341" t="s">
        <v>37</v>
      </c>
      <c r="AF48" s="314"/>
      <c r="AG48" s="334"/>
      <c r="AH48" s="314"/>
      <c r="AI48" s="314" t="s">
        <v>34</v>
      </c>
      <c r="AJ48" s="314"/>
      <c r="AK48" s="336"/>
      <c r="AL48" s="337"/>
      <c r="AM48" s="314" t="s">
        <v>47</v>
      </c>
      <c r="AN48" s="314" t="s">
        <v>46</v>
      </c>
      <c r="AO48" s="314"/>
      <c r="AP48" s="334"/>
      <c r="AQ48" s="314"/>
      <c r="AR48" s="336"/>
      <c r="AS48" s="341" t="s">
        <v>43</v>
      </c>
      <c r="AT48" s="314"/>
      <c r="AU48" s="334"/>
      <c r="AV48" s="314"/>
      <c r="AW48" s="314" t="s">
        <v>50</v>
      </c>
      <c r="AX48" s="314"/>
      <c r="AY48" s="336"/>
      <c r="AZ48" s="344"/>
      <c r="BA48" s="314" t="s">
        <v>33</v>
      </c>
      <c r="BB48" s="314" t="s">
        <v>36</v>
      </c>
      <c r="BC48" s="314"/>
      <c r="BD48" s="334"/>
      <c r="BE48" s="314"/>
      <c r="BF48" s="336"/>
      <c r="BG48" s="341" t="s">
        <v>34</v>
      </c>
      <c r="BH48" s="314"/>
      <c r="BI48" s="314"/>
      <c r="BJ48" s="314"/>
      <c r="BK48" s="338" t="s">
        <v>47</v>
      </c>
      <c r="BL48" s="338"/>
      <c r="BM48" s="335"/>
      <c r="BN48" s="341"/>
      <c r="BO48" s="314"/>
      <c r="BP48" s="314"/>
      <c r="BQ48" s="314"/>
      <c r="BR48" s="334"/>
      <c r="BS48" s="314" t="s">
        <v>40</v>
      </c>
      <c r="BT48" s="336" t="s">
        <v>43</v>
      </c>
      <c r="BU48" s="341" t="s">
        <v>35</v>
      </c>
      <c r="BV48" s="314"/>
      <c r="BW48" s="334"/>
      <c r="BX48" s="314" t="s">
        <v>33</v>
      </c>
      <c r="BY48" s="314"/>
      <c r="BZ48" s="314"/>
      <c r="CA48" s="336"/>
      <c r="CB48" s="344"/>
      <c r="CC48" s="314" t="s">
        <v>32</v>
      </c>
      <c r="CD48" s="314" t="s">
        <v>33</v>
      </c>
      <c r="CE48" s="334"/>
      <c r="CF48" s="334"/>
      <c r="CG48" s="334"/>
      <c r="CH48" s="335"/>
      <c r="CI48" s="328" t="s">
        <v>30</v>
      </c>
      <c r="CJ48" s="329"/>
      <c r="CK48" s="329"/>
      <c r="CL48" s="329"/>
      <c r="CM48" s="329"/>
      <c r="CN48" s="329"/>
      <c r="CO48" s="330"/>
      <c r="CP48" s="326">
        <f t="shared" si="7"/>
        <v>13</v>
      </c>
      <c r="CQ48" s="326">
        <f t="shared" si="8"/>
        <v>7</v>
      </c>
      <c r="CR48" s="326">
        <f t="shared" si="9"/>
        <v>5</v>
      </c>
    </row>
    <row r="49" spans="1:96">
      <c r="A49" s="131" t="s">
        <v>124</v>
      </c>
      <c r="B49" s="322" t="str">
        <f t="shared" si="6"/>
        <v>16-10</v>
      </c>
      <c r="C49" s="341" t="s">
        <v>32</v>
      </c>
      <c r="D49" s="314" t="s">
        <v>36</v>
      </c>
      <c r="E49" s="46"/>
      <c r="F49" s="334" t="s">
        <v>125</v>
      </c>
      <c r="G49" s="334"/>
      <c r="H49" s="314"/>
      <c r="I49" s="336"/>
      <c r="J49" s="341" t="s">
        <v>47</v>
      </c>
      <c r="K49" s="314" t="s">
        <v>35</v>
      </c>
      <c r="L49" s="314"/>
      <c r="M49" s="314"/>
      <c r="N49" s="334"/>
      <c r="O49" s="314"/>
      <c r="P49" s="336"/>
      <c r="Q49" s="46"/>
      <c r="R49" s="314" t="s">
        <v>50</v>
      </c>
      <c r="S49" s="314" t="s">
        <v>41</v>
      </c>
      <c r="T49" s="334" t="s">
        <v>125</v>
      </c>
      <c r="U49" s="334"/>
      <c r="V49" s="314"/>
      <c r="W49" s="336"/>
      <c r="X49" s="341" t="s">
        <v>40</v>
      </c>
      <c r="Y49" s="314"/>
      <c r="Z49" s="314" t="s">
        <v>36</v>
      </c>
      <c r="AA49" s="314"/>
      <c r="AB49" s="334"/>
      <c r="AC49" s="314"/>
      <c r="AD49" s="336"/>
      <c r="AE49" s="341" t="s">
        <v>32</v>
      </c>
      <c r="AF49" s="46"/>
      <c r="AG49" s="314" t="s">
        <v>33</v>
      </c>
      <c r="AH49" s="334" t="s">
        <v>125</v>
      </c>
      <c r="AI49" s="334"/>
      <c r="AJ49" s="314"/>
      <c r="AK49" s="336"/>
      <c r="AL49" s="337"/>
      <c r="AM49" s="314"/>
      <c r="AN49" s="314" t="s">
        <v>40</v>
      </c>
      <c r="AO49" s="314" t="s">
        <v>35</v>
      </c>
      <c r="AP49" s="46"/>
      <c r="AQ49" s="314"/>
      <c r="AR49" s="336"/>
      <c r="AS49" s="334"/>
      <c r="AT49" s="314" t="s">
        <v>47</v>
      </c>
      <c r="AU49" s="314" t="s">
        <v>33</v>
      </c>
      <c r="AV49" s="334" t="s">
        <v>125</v>
      </c>
      <c r="AW49" s="334"/>
      <c r="AX49" s="314"/>
      <c r="AY49" s="336"/>
      <c r="AZ49" s="341" t="s">
        <v>37</v>
      </c>
      <c r="BA49" s="314"/>
      <c r="BB49" s="314"/>
      <c r="BC49" s="314"/>
      <c r="BD49" s="314" t="s">
        <v>34</v>
      </c>
      <c r="BE49" s="314"/>
      <c r="BF49" s="46"/>
      <c r="BG49" s="341" t="s">
        <v>38</v>
      </c>
      <c r="BH49" s="314" t="s">
        <v>33</v>
      </c>
      <c r="BI49" s="46"/>
      <c r="BJ49" s="334" t="s">
        <v>125</v>
      </c>
      <c r="BK49" s="334"/>
      <c r="BL49" s="338"/>
      <c r="BM49" s="339"/>
      <c r="BN49" s="338" t="s">
        <v>37</v>
      </c>
      <c r="BO49" s="314"/>
      <c r="BP49" s="314"/>
      <c r="BQ49" s="46"/>
      <c r="BR49" s="314"/>
      <c r="BS49" s="314" t="s">
        <v>36</v>
      </c>
      <c r="BT49" s="336" t="s">
        <v>34</v>
      </c>
      <c r="BU49" s="341"/>
      <c r="BV49" s="314" t="s">
        <v>50</v>
      </c>
      <c r="BW49" s="46"/>
      <c r="BX49" s="334" t="s">
        <v>125</v>
      </c>
      <c r="BY49" s="334"/>
      <c r="BZ49" s="314"/>
      <c r="CA49" s="336"/>
      <c r="CB49" s="334"/>
      <c r="CC49" s="314" t="s">
        <v>43</v>
      </c>
      <c r="CD49" s="314" t="s">
        <v>46</v>
      </c>
      <c r="CE49" s="314"/>
      <c r="CF49" s="334"/>
      <c r="CG49" s="338"/>
      <c r="CH49" s="336"/>
      <c r="CI49" s="341" t="s">
        <v>38</v>
      </c>
      <c r="CJ49" s="314"/>
      <c r="CK49" s="314" t="s">
        <v>33</v>
      </c>
      <c r="CL49" s="334" t="s">
        <v>125</v>
      </c>
      <c r="CM49" s="334"/>
      <c r="CN49" s="314"/>
      <c r="CO49" s="336"/>
      <c r="CP49" s="326">
        <f t="shared" si="7"/>
        <v>16</v>
      </c>
      <c r="CQ49" s="326">
        <f t="shared" si="8"/>
        <v>10</v>
      </c>
      <c r="CR49" s="326">
        <f t="shared" si="9"/>
        <v>6</v>
      </c>
    </row>
    <row r="50" spans="1:96" ht="14.1" customHeight="1">
      <c r="A50" s="131" t="s">
        <v>126</v>
      </c>
      <c r="B50" s="322" t="str">
        <f t="shared" si="6"/>
        <v>13-10</v>
      </c>
      <c r="C50" s="334"/>
      <c r="D50" s="21" t="s">
        <v>37</v>
      </c>
      <c r="E50" s="21" t="s">
        <v>34</v>
      </c>
      <c r="F50" s="21"/>
      <c r="G50" s="334"/>
      <c r="H50" s="390"/>
      <c r="I50" s="398"/>
      <c r="J50" s="399"/>
      <c r="K50" s="21" t="s">
        <v>46</v>
      </c>
      <c r="L50" s="21" t="s">
        <v>33</v>
      </c>
      <c r="M50" s="21"/>
      <c r="N50" s="46"/>
      <c r="O50" s="334"/>
      <c r="P50" s="400"/>
      <c r="Q50" s="328" t="s">
        <v>30</v>
      </c>
      <c r="R50" s="329"/>
      <c r="S50" s="329"/>
      <c r="T50" s="329"/>
      <c r="U50" s="329"/>
      <c r="V50" s="329"/>
      <c r="W50" s="330"/>
      <c r="X50" s="389" t="s">
        <v>50</v>
      </c>
      <c r="Y50" s="21" t="s">
        <v>44</v>
      </c>
      <c r="Z50" s="21"/>
      <c r="AA50" s="334"/>
      <c r="AB50" s="390"/>
      <c r="AC50" s="46"/>
      <c r="AD50" s="398"/>
      <c r="AE50" s="334"/>
      <c r="AF50" s="21" t="s">
        <v>35</v>
      </c>
      <c r="AG50" s="21"/>
      <c r="AH50" s="21" t="s">
        <v>47</v>
      </c>
      <c r="AI50" s="334"/>
      <c r="AJ50" s="390"/>
      <c r="AK50" s="398"/>
      <c r="AL50" s="397" t="s">
        <v>127</v>
      </c>
      <c r="AM50" s="21" t="s">
        <v>33</v>
      </c>
      <c r="AN50" s="21" t="s">
        <v>41</v>
      </c>
      <c r="AO50" s="21" t="s">
        <v>34</v>
      </c>
      <c r="AP50" s="387"/>
      <c r="AQ50" s="390"/>
      <c r="AR50" s="398"/>
      <c r="AS50" s="389" t="s">
        <v>35</v>
      </c>
      <c r="AT50" s="21"/>
      <c r="AU50" s="46"/>
      <c r="AV50" s="21"/>
      <c r="AW50" s="334"/>
      <c r="AX50" s="390"/>
      <c r="AY50" s="46"/>
      <c r="AZ50" s="389" t="s">
        <v>43</v>
      </c>
      <c r="BA50" s="21"/>
      <c r="BB50" s="46"/>
      <c r="BC50" s="21" t="s">
        <v>46</v>
      </c>
      <c r="BD50" s="334"/>
      <c r="BE50" s="390"/>
      <c r="BF50" s="398"/>
      <c r="BG50" s="389" t="s">
        <v>50</v>
      </c>
      <c r="BH50" s="46"/>
      <c r="BI50" s="21"/>
      <c r="BJ50" s="46"/>
      <c r="BK50" s="338" t="s">
        <v>35</v>
      </c>
      <c r="BL50" s="395"/>
      <c r="BM50" s="401"/>
      <c r="BN50" s="397" t="s">
        <v>39</v>
      </c>
      <c r="BO50" s="21" t="s">
        <v>47</v>
      </c>
      <c r="BP50" s="46"/>
      <c r="BQ50" s="21"/>
      <c r="BR50" s="46"/>
      <c r="BS50" s="390"/>
      <c r="BT50" s="398"/>
      <c r="BU50" s="334"/>
      <c r="BV50" s="21" t="s">
        <v>40</v>
      </c>
      <c r="BW50" s="46"/>
      <c r="BX50" s="21" t="s">
        <v>36</v>
      </c>
      <c r="BY50" s="46"/>
      <c r="BZ50" s="390"/>
      <c r="CA50" s="398"/>
      <c r="CB50" s="389" t="s">
        <v>33</v>
      </c>
      <c r="CC50" s="334"/>
      <c r="CD50" s="21"/>
      <c r="CE50" s="21"/>
      <c r="CF50" s="390" t="s">
        <v>36</v>
      </c>
      <c r="CG50" s="395"/>
      <c r="CH50" s="398"/>
      <c r="CI50" s="334"/>
      <c r="CJ50" s="46"/>
      <c r="CK50" s="21"/>
      <c r="CL50" s="21"/>
      <c r="CM50" s="390"/>
      <c r="CN50" s="390" t="s">
        <v>47</v>
      </c>
      <c r="CO50" s="398" t="s">
        <v>40</v>
      </c>
      <c r="CP50" s="326">
        <f t="shared" si="7"/>
        <v>13</v>
      </c>
      <c r="CQ50" s="326">
        <f t="shared" si="8"/>
        <v>10</v>
      </c>
      <c r="CR50" s="326">
        <f t="shared" si="9"/>
        <v>6</v>
      </c>
    </row>
    <row r="51" spans="1:96" s="13" customFormat="1" ht="14.1" customHeight="1">
      <c r="A51" s="340" t="s">
        <v>128</v>
      </c>
      <c r="B51" s="322" t="str">
        <f t="shared" si="6"/>
        <v>13-10</v>
      </c>
      <c r="C51" s="399"/>
      <c r="D51" s="334"/>
      <c r="E51" s="390" t="s">
        <v>33</v>
      </c>
      <c r="F51" s="390" t="s">
        <v>41</v>
      </c>
      <c r="G51" s="334"/>
      <c r="H51" s="390"/>
      <c r="I51" s="391"/>
      <c r="J51" s="334"/>
      <c r="K51" s="390"/>
      <c r="L51" s="334"/>
      <c r="M51" s="334"/>
      <c r="N51" s="387"/>
      <c r="O51" s="390" t="s">
        <v>34</v>
      </c>
      <c r="P51" s="391" t="s">
        <v>35</v>
      </c>
      <c r="Q51" s="387"/>
      <c r="R51" s="334"/>
      <c r="S51" s="334"/>
      <c r="T51" s="390" t="s">
        <v>33</v>
      </c>
      <c r="U51" s="390" t="s">
        <v>46</v>
      </c>
      <c r="V51" s="390"/>
      <c r="W51" s="391"/>
      <c r="X51" s="389" t="s">
        <v>38</v>
      </c>
      <c r="Y51" s="387"/>
      <c r="Z51" s="387"/>
      <c r="AA51" s="390" t="s">
        <v>41</v>
      </c>
      <c r="AB51" s="390"/>
      <c r="AC51" s="390"/>
      <c r="AD51" s="391"/>
      <c r="AE51" s="334"/>
      <c r="AF51" s="390"/>
      <c r="AG51" s="334"/>
      <c r="AH51" s="390" t="s">
        <v>40</v>
      </c>
      <c r="AI51" s="390" t="s">
        <v>50</v>
      </c>
      <c r="AJ51" s="387"/>
      <c r="AK51" s="393"/>
      <c r="AL51" s="397" t="s">
        <v>36</v>
      </c>
      <c r="AM51" s="390"/>
      <c r="AN51" s="334"/>
      <c r="AO51" s="390" t="s">
        <v>33</v>
      </c>
      <c r="AP51" s="387"/>
      <c r="AQ51" s="390"/>
      <c r="AR51" s="334"/>
      <c r="AS51" s="399"/>
      <c r="AT51" s="390" t="s">
        <v>41</v>
      </c>
      <c r="AU51" s="392" t="s">
        <v>37</v>
      </c>
      <c r="AV51" s="390"/>
      <c r="AW51" s="334"/>
      <c r="AX51" s="387"/>
      <c r="AY51" s="334"/>
      <c r="AZ51" s="387"/>
      <c r="BA51" s="387"/>
      <c r="BB51" s="392" t="s">
        <v>38</v>
      </c>
      <c r="BC51" s="390"/>
      <c r="BD51" s="390" t="s">
        <v>43</v>
      </c>
      <c r="BE51" s="387"/>
      <c r="BF51" s="393"/>
      <c r="BG51" s="331" t="s">
        <v>31</v>
      </c>
      <c r="BH51" s="332"/>
      <c r="BI51" s="332"/>
      <c r="BJ51" s="332"/>
      <c r="BK51" s="332"/>
      <c r="BL51" s="332"/>
      <c r="BM51" s="333"/>
      <c r="BN51" s="397" t="s">
        <v>39</v>
      </c>
      <c r="BO51" s="390" t="s">
        <v>34</v>
      </c>
      <c r="BP51" s="334"/>
      <c r="BQ51" s="390"/>
      <c r="BR51" s="387"/>
      <c r="BS51" s="390"/>
      <c r="BT51" s="391"/>
      <c r="BU51" s="334"/>
      <c r="BV51" s="390" t="s">
        <v>36</v>
      </c>
      <c r="BW51" s="334"/>
      <c r="BX51" s="390"/>
      <c r="BY51" s="387"/>
      <c r="BZ51" s="390"/>
      <c r="CA51" s="391" t="s">
        <v>47</v>
      </c>
      <c r="CB51" s="389"/>
      <c r="CC51" s="390" t="s">
        <v>33</v>
      </c>
      <c r="CD51" s="402"/>
      <c r="CE51" s="390" t="s">
        <v>46</v>
      </c>
      <c r="CF51" s="390"/>
      <c r="CG51" s="395"/>
      <c r="CH51" s="391"/>
      <c r="CI51" s="389" t="s">
        <v>35</v>
      </c>
      <c r="CJ51" s="390"/>
      <c r="CK51" s="392"/>
      <c r="CL51" s="390"/>
      <c r="CM51" s="390" t="s">
        <v>40</v>
      </c>
      <c r="CN51" s="390"/>
      <c r="CO51" s="391"/>
      <c r="CP51" s="326">
        <f t="shared" si="7"/>
        <v>13</v>
      </c>
      <c r="CQ51" s="326">
        <f t="shared" si="8"/>
        <v>10</v>
      </c>
      <c r="CR51" s="326">
        <f t="shared" si="9"/>
        <v>6</v>
      </c>
    </row>
    <row r="52" spans="1:96" s="13" customFormat="1" ht="14.1" customHeight="1">
      <c r="A52" s="340" t="s">
        <v>129</v>
      </c>
      <c r="B52" s="322" t="str">
        <f t="shared" si="6"/>
        <v>14-9</v>
      </c>
      <c r="C52" s="334"/>
      <c r="D52" s="390" t="s">
        <v>33</v>
      </c>
      <c r="E52" s="387"/>
      <c r="F52" s="334"/>
      <c r="G52" s="390" t="s">
        <v>46</v>
      </c>
      <c r="H52" s="390"/>
      <c r="I52" s="391"/>
      <c r="J52" s="389" t="s">
        <v>41</v>
      </c>
      <c r="K52" s="390" t="s">
        <v>38</v>
      </c>
      <c r="L52" s="402"/>
      <c r="M52" s="390"/>
      <c r="N52" s="390"/>
      <c r="O52" s="334"/>
      <c r="P52" s="334"/>
      <c r="Q52" s="389" t="s">
        <v>33</v>
      </c>
      <c r="R52" s="390" t="s">
        <v>34</v>
      </c>
      <c r="S52" s="387"/>
      <c r="T52" s="334"/>
      <c r="U52" s="390"/>
      <c r="V52" s="390"/>
      <c r="W52" s="391"/>
      <c r="X52" s="389" t="s">
        <v>37</v>
      </c>
      <c r="Y52" s="390" t="s">
        <v>36</v>
      </c>
      <c r="Z52" s="402"/>
      <c r="AA52" s="390"/>
      <c r="AB52" s="387"/>
      <c r="AC52" s="387"/>
      <c r="AD52" s="393"/>
      <c r="AE52" s="334"/>
      <c r="AF52" s="334"/>
      <c r="AG52" s="402"/>
      <c r="AH52" s="390" t="s">
        <v>41</v>
      </c>
      <c r="AI52" s="390" t="s">
        <v>33</v>
      </c>
      <c r="AJ52" s="390"/>
      <c r="AK52" s="391"/>
      <c r="AL52" s="334"/>
      <c r="AM52" s="334"/>
      <c r="AN52" s="387"/>
      <c r="AO52" s="387"/>
      <c r="AP52" s="390" t="s">
        <v>37</v>
      </c>
      <c r="AQ52" s="390" t="s">
        <v>47</v>
      </c>
      <c r="AR52" s="393"/>
      <c r="AS52" s="328" t="s">
        <v>30</v>
      </c>
      <c r="AT52" s="329"/>
      <c r="AU52" s="329"/>
      <c r="AV52" s="329"/>
      <c r="AW52" s="329"/>
      <c r="AX52" s="329"/>
      <c r="AY52" s="330"/>
      <c r="AZ52" s="403" t="s">
        <v>35</v>
      </c>
      <c r="BA52" s="390" t="s">
        <v>33</v>
      </c>
      <c r="BB52" s="402"/>
      <c r="BC52" s="390" t="s">
        <v>40</v>
      </c>
      <c r="BD52" s="390" t="s">
        <v>41</v>
      </c>
      <c r="BE52" s="387"/>
      <c r="BF52" s="391"/>
      <c r="BG52" s="399" t="s">
        <v>74</v>
      </c>
      <c r="BH52" s="387"/>
      <c r="BI52" s="402"/>
      <c r="BJ52" s="387"/>
      <c r="BK52" s="387"/>
      <c r="BL52" s="334"/>
      <c r="BM52" s="335"/>
      <c r="BN52" s="397" t="s">
        <v>39</v>
      </c>
      <c r="BO52" s="390"/>
      <c r="BP52" s="402"/>
      <c r="BQ52" s="390"/>
      <c r="BR52" s="390" t="s">
        <v>32</v>
      </c>
      <c r="BS52" s="390" t="s">
        <v>34</v>
      </c>
      <c r="BT52" s="391" t="s">
        <v>36</v>
      </c>
      <c r="BU52" s="399" t="s">
        <v>74</v>
      </c>
      <c r="BV52" s="387"/>
      <c r="BW52" s="402"/>
      <c r="BX52" s="387"/>
      <c r="BY52" s="387"/>
      <c r="BZ52" s="334"/>
      <c r="CA52" s="335"/>
      <c r="CB52" s="389" t="s">
        <v>50</v>
      </c>
      <c r="CC52" s="390" t="s">
        <v>34</v>
      </c>
      <c r="CD52" s="402"/>
      <c r="CE52" s="390" t="s">
        <v>130</v>
      </c>
      <c r="CF52" s="390" t="s">
        <v>131</v>
      </c>
      <c r="CG52" s="387"/>
      <c r="CH52" s="391"/>
      <c r="CI52" s="399" t="s">
        <v>74</v>
      </c>
      <c r="CJ52" s="387"/>
      <c r="CK52" s="402"/>
      <c r="CL52" s="387"/>
      <c r="CM52" s="387"/>
      <c r="CN52" s="334"/>
      <c r="CO52" s="335"/>
      <c r="CP52" s="326">
        <f t="shared" si="7"/>
        <v>14</v>
      </c>
      <c r="CQ52" s="326">
        <f t="shared" si="8"/>
        <v>9</v>
      </c>
      <c r="CR52" s="326">
        <f t="shared" si="9"/>
        <v>6</v>
      </c>
    </row>
    <row r="53" spans="1:96" s="13" customFormat="1" ht="14.1" customHeight="1">
      <c r="A53" s="340" t="s">
        <v>132</v>
      </c>
      <c r="B53" s="322" t="str">
        <f t="shared" si="6"/>
        <v>13-8</v>
      </c>
      <c r="C53" s="399"/>
      <c r="D53" s="387"/>
      <c r="E53" s="387"/>
      <c r="F53" s="390" t="s">
        <v>33</v>
      </c>
      <c r="G53" s="390" t="s">
        <v>41</v>
      </c>
      <c r="H53" s="390"/>
      <c r="I53" s="391"/>
      <c r="J53" s="389" t="s">
        <v>46</v>
      </c>
      <c r="K53" s="390" t="s">
        <v>34</v>
      </c>
      <c r="L53" s="392"/>
      <c r="M53" s="387"/>
      <c r="N53" s="387"/>
      <c r="O53" s="387"/>
      <c r="P53" s="391"/>
      <c r="Q53" s="399"/>
      <c r="R53" s="387"/>
      <c r="S53" s="392" t="s">
        <v>41</v>
      </c>
      <c r="T53" s="387" t="s">
        <v>33</v>
      </c>
      <c r="U53" s="387"/>
      <c r="V53" s="390"/>
      <c r="W53" s="391"/>
      <c r="X53" s="389"/>
      <c r="Y53" s="390"/>
      <c r="Z53" s="392"/>
      <c r="AA53" s="387"/>
      <c r="AB53" s="390" t="s">
        <v>37</v>
      </c>
      <c r="AC53" s="390" t="s">
        <v>38</v>
      </c>
      <c r="AD53" s="391"/>
      <c r="AE53" s="399"/>
      <c r="AF53" s="387"/>
      <c r="AG53" s="402"/>
      <c r="AH53" s="390" t="s">
        <v>50</v>
      </c>
      <c r="AI53" s="390" t="s">
        <v>36</v>
      </c>
      <c r="AJ53" s="387"/>
      <c r="AK53" s="393"/>
      <c r="AL53" s="337" t="s">
        <v>39</v>
      </c>
      <c r="AM53" s="390" t="s">
        <v>37</v>
      </c>
      <c r="AN53" s="402"/>
      <c r="AO53" s="387"/>
      <c r="AP53" s="387"/>
      <c r="AQ53" s="387"/>
      <c r="AR53" s="391"/>
      <c r="AS53" s="399"/>
      <c r="AT53" s="387"/>
      <c r="AU53" s="402"/>
      <c r="AV53" s="390" t="s">
        <v>43</v>
      </c>
      <c r="AW53" s="387"/>
      <c r="AX53" s="387"/>
      <c r="AY53" s="391" t="s">
        <v>47</v>
      </c>
      <c r="AZ53" s="389"/>
      <c r="BA53" s="390" t="s">
        <v>33</v>
      </c>
      <c r="BB53" s="392"/>
      <c r="BC53" s="390" t="s">
        <v>38</v>
      </c>
      <c r="BD53" s="390"/>
      <c r="BE53" s="390"/>
      <c r="BF53" s="391"/>
      <c r="BG53" s="389" t="s">
        <v>36</v>
      </c>
      <c r="BH53" s="390"/>
      <c r="BI53" s="392" t="s">
        <v>34</v>
      </c>
      <c r="BJ53" s="387"/>
      <c r="BK53" s="387"/>
      <c r="BL53" s="334"/>
      <c r="BM53" s="335"/>
      <c r="BN53" s="331" t="s">
        <v>31</v>
      </c>
      <c r="BO53" s="332"/>
      <c r="BP53" s="332"/>
      <c r="BQ53" s="332"/>
      <c r="BR53" s="332"/>
      <c r="BS53" s="332"/>
      <c r="BT53" s="333"/>
      <c r="BU53" s="331" t="s">
        <v>31</v>
      </c>
      <c r="BV53" s="332"/>
      <c r="BW53" s="332"/>
      <c r="BX53" s="332"/>
      <c r="BY53" s="332"/>
      <c r="BZ53" s="332"/>
      <c r="CA53" s="333"/>
      <c r="CB53" s="399"/>
      <c r="CC53" s="387"/>
      <c r="CD53" s="402"/>
      <c r="CE53" s="390"/>
      <c r="CF53" s="390" t="s">
        <v>35</v>
      </c>
      <c r="CG53" s="395"/>
      <c r="CH53" s="391" t="s">
        <v>40</v>
      </c>
      <c r="CI53" s="399"/>
      <c r="CJ53" s="387"/>
      <c r="CK53" s="402"/>
      <c r="CL53" s="390" t="s">
        <v>33</v>
      </c>
      <c r="CM53" s="390" t="s">
        <v>32</v>
      </c>
      <c r="CN53" s="390"/>
      <c r="CO53" s="391"/>
      <c r="CP53" s="326">
        <f t="shared" si="7"/>
        <v>13</v>
      </c>
      <c r="CQ53" s="326">
        <f t="shared" si="8"/>
        <v>8</v>
      </c>
      <c r="CR53" s="326">
        <f t="shared" si="9"/>
        <v>6</v>
      </c>
    </row>
    <row r="54" spans="1:96" ht="14.1" customHeight="1">
      <c r="A54" s="346" t="s">
        <v>133</v>
      </c>
      <c r="B54" s="322" t="str">
        <f t="shared" si="6"/>
        <v>12-0</v>
      </c>
      <c r="C54" s="344"/>
      <c r="D54" s="326"/>
      <c r="E54" s="334"/>
      <c r="F54" s="326"/>
      <c r="G54" s="314"/>
      <c r="H54" s="314"/>
      <c r="I54" s="336" t="s">
        <v>89</v>
      </c>
      <c r="J54" s="349"/>
      <c r="K54" s="326"/>
      <c r="L54" s="326" t="s">
        <v>95</v>
      </c>
      <c r="M54" s="326"/>
      <c r="N54" s="326"/>
      <c r="O54" s="326"/>
      <c r="P54" s="388"/>
      <c r="Q54" s="349"/>
      <c r="R54" s="326"/>
      <c r="S54" s="326" t="s">
        <v>87</v>
      </c>
      <c r="T54" s="326"/>
      <c r="U54" s="326"/>
      <c r="V54" s="326"/>
      <c r="W54" s="388"/>
      <c r="X54" s="349"/>
      <c r="Y54" s="326"/>
      <c r="Z54" s="326" t="s">
        <v>134</v>
      </c>
      <c r="AA54" s="326"/>
      <c r="AB54" s="326"/>
      <c r="AC54" s="326"/>
      <c r="AD54" s="388"/>
      <c r="AE54" s="349"/>
      <c r="AF54" s="326"/>
      <c r="AG54" s="326" t="s">
        <v>91</v>
      </c>
      <c r="AH54" s="326"/>
      <c r="AI54" s="326"/>
      <c r="AJ54" s="326"/>
      <c r="AK54" s="388"/>
      <c r="AL54" s="337"/>
      <c r="AM54" s="326"/>
      <c r="AN54" s="314" t="s">
        <v>90</v>
      </c>
      <c r="AO54" s="326"/>
      <c r="AP54" s="326"/>
      <c r="AQ54" s="326"/>
      <c r="AR54" s="388"/>
      <c r="AS54" s="349"/>
      <c r="AT54" s="326"/>
      <c r="AU54" s="326" t="s">
        <v>91</v>
      </c>
      <c r="AV54" s="326"/>
      <c r="AW54" s="326"/>
      <c r="AX54" s="326"/>
      <c r="AY54" s="388"/>
      <c r="AZ54" s="349"/>
      <c r="BA54" s="326"/>
      <c r="BB54" s="326"/>
      <c r="BC54" s="326"/>
      <c r="BD54" s="326"/>
      <c r="BE54" s="326" t="s">
        <v>85</v>
      </c>
      <c r="BF54" s="388"/>
      <c r="BG54" s="349"/>
      <c r="BH54" s="326"/>
      <c r="BI54" s="326" t="s">
        <v>134</v>
      </c>
      <c r="BJ54" s="326"/>
      <c r="BK54" s="338"/>
      <c r="BL54" s="338"/>
      <c r="BM54" s="339"/>
      <c r="BN54" s="337"/>
      <c r="BO54" s="326"/>
      <c r="BP54" s="326" t="s">
        <v>85</v>
      </c>
      <c r="BQ54" s="326"/>
      <c r="BR54" s="326"/>
      <c r="BS54" s="326"/>
      <c r="BT54" s="388"/>
      <c r="BU54" s="328" t="s">
        <v>30</v>
      </c>
      <c r="BV54" s="329"/>
      <c r="BW54" s="329"/>
      <c r="BX54" s="329"/>
      <c r="BY54" s="329"/>
      <c r="BZ54" s="329"/>
      <c r="CA54" s="330"/>
      <c r="CB54" s="349"/>
      <c r="CC54" s="326"/>
      <c r="CD54" s="326" t="s">
        <v>87</v>
      </c>
      <c r="CE54" s="326"/>
      <c r="CF54" s="326"/>
      <c r="CG54" s="338"/>
      <c r="CH54" s="388"/>
      <c r="CI54" s="344"/>
      <c r="CJ54" s="314" t="s">
        <v>89</v>
      </c>
      <c r="CK54" s="334"/>
      <c r="CL54" s="334"/>
      <c r="CM54" s="334"/>
      <c r="CN54" s="334"/>
      <c r="CO54" s="335"/>
      <c r="CP54" s="326">
        <f t="shared" si="7"/>
        <v>12</v>
      </c>
      <c r="CQ54" s="326">
        <f t="shared" si="8"/>
        <v>0</v>
      </c>
      <c r="CR54" s="326">
        <f t="shared" si="9"/>
        <v>1</v>
      </c>
    </row>
    <row r="55" spans="1:96" s="3" customFormat="1" ht="14.1" hidden="1" customHeight="1">
      <c r="A55" s="343" t="s">
        <v>135</v>
      </c>
      <c r="B55" s="322" t="str">
        <f t="shared" si="6"/>
        <v>0-0</v>
      </c>
      <c r="C55" s="323" t="s">
        <v>28</v>
      </c>
      <c r="D55" s="324"/>
      <c r="E55" s="324"/>
      <c r="F55" s="324"/>
      <c r="G55" s="324"/>
      <c r="H55" s="324"/>
      <c r="I55" s="325"/>
      <c r="J55" s="323" t="s">
        <v>28</v>
      </c>
      <c r="K55" s="324"/>
      <c r="L55" s="324"/>
      <c r="M55" s="324"/>
      <c r="N55" s="324"/>
      <c r="O55" s="324"/>
      <c r="P55" s="325"/>
      <c r="Q55" s="323" t="s">
        <v>28</v>
      </c>
      <c r="R55" s="324"/>
      <c r="S55" s="324"/>
      <c r="T55" s="324"/>
      <c r="U55" s="324"/>
      <c r="V55" s="324"/>
      <c r="W55" s="325"/>
      <c r="X55" s="323" t="s">
        <v>28</v>
      </c>
      <c r="Y55" s="324"/>
      <c r="Z55" s="324"/>
      <c r="AA55" s="324"/>
      <c r="AB55" s="324"/>
      <c r="AC55" s="324"/>
      <c r="AD55" s="325"/>
      <c r="AE55" s="323" t="s">
        <v>28</v>
      </c>
      <c r="AF55" s="324"/>
      <c r="AG55" s="324"/>
      <c r="AH55" s="324"/>
      <c r="AI55" s="324"/>
      <c r="AJ55" s="324"/>
      <c r="AK55" s="325"/>
      <c r="AL55" s="337"/>
      <c r="AM55" s="324"/>
      <c r="AN55" s="324"/>
      <c r="AO55" s="324"/>
      <c r="AP55" s="324"/>
      <c r="AQ55" s="324"/>
      <c r="AR55" s="325"/>
      <c r="AS55" s="323" t="s">
        <v>28</v>
      </c>
      <c r="AT55" s="324"/>
      <c r="AU55" s="324"/>
      <c r="AV55" s="324"/>
      <c r="AW55" s="324"/>
      <c r="AX55" s="324"/>
      <c r="AY55" s="325"/>
      <c r="AZ55" s="323" t="s">
        <v>28</v>
      </c>
      <c r="BA55" s="324"/>
      <c r="BB55" s="324"/>
      <c r="BC55" s="324"/>
      <c r="BD55" s="324"/>
      <c r="BE55" s="324"/>
      <c r="BF55" s="325"/>
      <c r="BG55" s="323" t="s">
        <v>28</v>
      </c>
      <c r="BH55" s="324"/>
      <c r="BI55" s="324"/>
      <c r="BJ55" s="324"/>
      <c r="BK55" s="338"/>
      <c r="BL55" s="338"/>
      <c r="BM55" s="339"/>
      <c r="BN55" s="337" t="s">
        <v>28</v>
      </c>
      <c r="BO55" s="324"/>
      <c r="BP55" s="324"/>
      <c r="BQ55" s="324"/>
      <c r="BR55" s="324"/>
      <c r="BS55" s="324"/>
      <c r="BT55" s="325"/>
      <c r="BU55" s="323" t="s">
        <v>28</v>
      </c>
      <c r="BV55" s="324"/>
      <c r="BW55" s="324"/>
      <c r="BX55" s="324"/>
      <c r="BY55" s="324"/>
      <c r="BZ55" s="324"/>
      <c r="CA55" s="325"/>
      <c r="CB55" s="323" t="s">
        <v>28</v>
      </c>
      <c r="CC55" s="324"/>
      <c r="CD55" s="324"/>
      <c r="CE55" s="324"/>
      <c r="CF55" s="324"/>
      <c r="CG55" s="338"/>
      <c r="CH55" s="325"/>
      <c r="CI55" s="323" t="s">
        <v>28</v>
      </c>
      <c r="CJ55" s="324"/>
      <c r="CK55" s="324"/>
      <c r="CL55" s="324"/>
      <c r="CM55" s="324"/>
      <c r="CN55" s="324"/>
      <c r="CO55" s="325"/>
      <c r="CP55" s="326">
        <f t="shared" si="7"/>
        <v>0</v>
      </c>
      <c r="CQ55" s="326">
        <f t="shared" si="8"/>
        <v>0</v>
      </c>
      <c r="CR55" s="326">
        <f t="shared" si="9"/>
        <v>0</v>
      </c>
    </row>
    <row r="56" spans="1:96" ht="14.1" customHeight="1">
      <c r="A56" s="346" t="s">
        <v>136</v>
      </c>
      <c r="B56" s="322" t="str">
        <f t="shared" si="6"/>
        <v>7-5</v>
      </c>
      <c r="C56" s="344"/>
      <c r="D56" s="314"/>
      <c r="E56" s="314" t="s">
        <v>35</v>
      </c>
      <c r="F56" s="314"/>
      <c r="G56" s="314"/>
      <c r="H56" s="314"/>
      <c r="I56" s="336"/>
      <c r="J56" s="341"/>
      <c r="K56" s="314"/>
      <c r="L56" s="314"/>
      <c r="M56" s="314"/>
      <c r="N56" s="314"/>
      <c r="O56" s="314" t="s">
        <v>47</v>
      </c>
      <c r="P56" s="336"/>
      <c r="Q56" s="355" t="s">
        <v>31</v>
      </c>
      <c r="R56" s="356"/>
      <c r="S56" s="356"/>
      <c r="T56" s="356"/>
      <c r="U56" s="356"/>
      <c r="V56" s="356"/>
      <c r="W56" s="333"/>
      <c r="X56" s="341"/>
      <c r="Y56" s="314"/>
      <c r="Z56" s="314"/>
      <c r="AA56" s="314"/>
      <c r="AB56" s="314"/>
      <c r="AC56" s="314" t="s">
        <v>43</v>
      </c>
      <c r="AD56" s="336"/>
      <c r="AE56" s="341"/>
      <c r="AF56" s="314"/>
      <c r="AG56" s="314" t="s">
        <v>44</v>
      </c>
      <c r="AH56" s="314"/>
      <c r="AI56" s="314"/>
      <c r="AJ56" s="314"/>
      <c r="AK56" s="336"/>
      <c r="AL56" s="337"/>
      <c r="AM56" s="375"/>
      <c r="AN56" s="375"/>
      <c r="AO56" s="375"/>
      <c r="AP56" s="375"/>
      <c r="AQ56" s="375" t="s">
        <v>43</v>
      </c>
      <c r="AR56" s="336"/>
      <c r="AS56" s="341"/>
      <c r="AT56" s="314"/>
      <c r="AU56" s="314" t="s">
        <v>34</v>
      </c>
      <c r="AV56" s="314"/>
      <c r="AW56" s="314"/>
      <c r="AX56" s="314"/>
      <c r="AY56" s="336"/>
      <c r="AZ56" s="341"/>
      <c r="BA56" s="314"/>
      <c r="BB56" s="314"/>
      <c r="BC56" s="314"/>
      <c r="BD56" s="314"/>
      <c r="BE56" s="334"/>
      <c r="BF56" s="336" t="s">
        <v>47</v>
      </c>
      <c r="BG56" s="341"/>
      <c r="BH56" s="314"/>
      <c r="BI56" s="314" t="s">
        <v>41</v>
      </c>
      <c r="BJ56" s="314"/>
      <c r="BK56" s="338"/>
      <c r="BL56" s="338"/>
      <c r="BM56" s="339"/>
      <c r="BN56" s="337"/>
      <c r="BO56" s="314"/>
      <c r="BP56" s="314"/>
      <c r="BQ56" s="314"/>
      <c r="BR56" s="314"/>
      <c r="BS56" s="314" t="s">
        <v>37</v>
      </c>
      <c r="BT56" s="336"/>
      <c r="BU56" s="341"/>
      <c r="BV56" s="314"/>
      <c r="BW56" s="314" t="s">
        <v>46</v>
      </c>
      <c r="BX56" s="314"/>
      <c r="BY56" s="314"/>
      <c r="BZ56" s="314"/>
      <c r="CA56" s="336"/>
      <c r="CB56" s="341"/>
      <c r="CC56" s="314"/>
      <c r="CD56" s="314"/>
      <c r="CE56" s="314"/>
      <c r="CF56" s="314"/>
      <c r="CG56" s="345" t="s">
        <v>40</v>
      </c>
      <c r="CH56" s="336"/>
      <c r="CI56" s="341"/>
      <c r="CJ56" s="314"/>
      <c r="CK56" s="314" t="s">
        <v>46</v>
      </c>
      <c r="CL56" s="314"/>
      <c r="CM56" s="314"/>
      <c r="CN56" s="314"/>
      <c r="CO56" s="336"/>
      <c r="CP56" s="326">
        <f t="shared" si="7"/>
        <v>7</v>
      </c>
      <c r="CQ56" s="326">
        <f t="shared" si="8"/>
        <v>5</v>
      </c>
      <c r="CR56" s="326">
        <f t="shared" si="9"/>
        <v>0</v>
      </c>
    </row>
    <row r="57" spans="1:96" s="13" customFormat="1" ht="14.1" customHeight="1">
      <c r="A57" s="130" t="s">
        <v>137</v>
      </c>
      <c r="B57" s="322" t="str">
        <f t="shared" si="6"/>
        <v>15-0</v>
      </c>
      <c r="C57" s="399"/>
      <c r="D57" s="21"/>
      <c r="E57" s="21" t="s">
        <v>40</v>
      </c>
      <c r="F57" s="21"/>
      <c r="G57" s="390"/>
      <c r="H57" s="390"/>
      <c r="I57" s="398"/>
      <c r="J57" s="389"/>
      <c r="K57" s="21"/>
      <c r="L57" s="21" t="s">
        <v>47</v>
      </c>
      <c r="M57" s="21"/>
      <c r="N57" s="390"/>
      <c r="O57" s="390"/>
      <c r="P57" s="398"/>
      <c r="Q57" s="389" t="s">
        <v>43</v>
      </c>
      <c r="R57" s="21"/>
      <c r="S57" s="21"/>
      <c r="T57" s="21"/>
      <c r="U57" s="390"/>
      <c r="V57" s="390"/>
      <c r="W57" s="398"/>
      <c r="X57" s="389"/>
      <c r="Y57" s="21"/>
      <c r="Z57" s="21" t="s">
        <v>32</v>
      </c>
      <c r="AA57" s="21"/>
      <c r="AB57" s="390"/>
      <c r="AC57" s="387"/>
      <c r="AD57" s="400"/>
      <c r="AE57" s="389"/>
      <c r="AF57" s="21"/>
      <c r="AG57" s="21" t="s">
        <v>43</v>
      </c>
      <c r="AH57" s="21"/>
      <c r="AI57" s="390"/>
      <c r="AJ57" s="390"/>
      <c r="AK57" s="398"/>
      <c r="AL57" s="397"/>
      <c r="AM57" s="21"/>
      <c r="AN57" s="21" t="s">
        <v>32</v>
      </c>
      <c r="AO57" s="21"/>
      <c r="AP57" s="390"/>
      <c r="AQ57" s="387"/>
      <c r="AR57" s="398" t="s">
        <v>40</v>
      </c>
      <c r="AS57" s="389"/>
      <c r="AT57" s="21"/>
      <c r="AU57" s="21" t="s">
        <v>47</v>
      </c>
      <c r="AV57" s="21"/>
      <c r="AW57" s="390"/>
      <c r="AX57" s="390"/>
      <c r="AY57" s="398"/>
      <c r="AZ57" s="389"/>
      <c r="BA57" s="21"/>
      <c r="BB57" s="21" t="s">
        <v>41</v>
      </c>
      <c r="BC57" s="21"/>
      <c r="BD57" s="390"/>
      <c r="BE57" s="390"/>
      <c r="BF57" s="398"/>
      <c r="BG57" s="389"/>
      <c r="BH57" s="21"/>
      <c r="BI57" s="21" t="s">
        <v>43</v>
      </c>
      <c r="BJ57" s="21"/>
      <c r="BK57" s="338" t="s">
        <v>40</v>
      </c>
      <c r="BL57" s="395"/>
      <c r="BM57" s="401"/>
      <c r="BN57" s="397"/>
      <c r="BO57" s="21"/>
      <c r="BP57" s="21" t="s">
        <v>47</v>
      </c>
      <c r="BQ57" s="21"/>
      <c r="BR57" s="390"/>
      <c r="BS57" s="390"/>
      <c r="BT57" s="398"/>
      <c r="BU57" s="328" t="s">
        <v>30</v>
      </c>
      <c r="BV57" s="329"/>
      <c r="BW57" s="329"/>
      <c r="BX57" s="329"/>
      <c r="BY57" s="329"/>
      <c r="BZ57" s="329"/>
      <c r="CA57" s="330"/>
      <c r="CB57" s="389"/>
      <c r="CC57" s="21"/>
      <c r="CD57" s="21" t="s">
        <v>41</v>
      </c>
      <c r="CE57" s="21"/>
      <c r="CF57" s="390"/>
      <c r="CG57" s="387"/>
      <c r="CH57" s="398"/>
      <c r="CI57" s="389"/>
      <c r="CJ57" s="21"/>
      <c r="CK57" s="21" t="s">
        <v>40</v>
      </c>
      <c r="CL57" s="21"/>
      <c r="CM57" s="390"/>
      <c r="CN57" s="390"/>
      <c r="CO57" s="398" t="s">
        <v>47</v>
      </c>
      <c r="CP57" s="326">
        <f t="shared" si="7"/>
        <v>15</v>
      </c>
      <c r="CQ57" s="326">
        <f t="shared" si="8"/>
        <v>0</v>
      </c>
      <c r="CR57" s="326">
        <f t="shared" si="9"/>
        <v>0</v>
      </c>
    </row>
    <row r="58" spans="1:96" ht="14.1" customHeight="1">
      <c r="A58" s="130" t="s">
        <v>138</v>
      </c>
      <c r="B58" s="322" t="str">
        <f t="shared" si="6"/>
        <v>7-4</v>
      </c>
      <c r="C58" s="341"/>
      <c r="D58" s="8"/>
      <c r="E58" s="8"/>
      <c r="F58" s="8"/>
      <c r="G58" s="314"/>
      <c r="H58" s="314"/>
      <c r="I58" s="348"/>
      <c r="J58" s="344" t="s">
        <v>62</v>
      </c>
      <c r="K58" s="334"/>
      <c r="L58" s="352"/>
      <c r="M58" s="55"/>
      <c r="N58" s="334"/>
      <c r="O58" s="334"/>
      <c r="P58" s="335"/>
      <c r="Q58" s="341"/>
      <c r="R58" s="8"/>
      <c r="S58" s="8"/>
      <c r="T58" s="8"/>
      <c r="U58" s="314"/>
      <c r="V58" s="314" t="s">
        <v>37</v>
      </c>
      <c r="W58" s="348" t="s">
        <v>47</v>
      </c>
      <c r="X58" s="341" t="s">
        <v>36</v>
      </c>
      <c r="Y58" s="334"/>
      <c r="Z58" s="352" t="s">
        <v>65</v>
      </c>
      <c r="AA58" s="55"/>
      <c r="AB58" s="334"/>
      <c r="AC58" s="334"/>
      <c r="AD58" s="335"/>
      <c r="AE58" s="341" t="s">
        <v>139</v>
      </c>
      <c r="AF58" s="8"/>
      <c r="AG58" s="8"/>
      <c r="AH58" s="8"/>
      <c r="AI58" s="314"/>
      <c r="AJ58" s="314"/>
      <c r="AK58" s="348"/>
      <c r="AL58" s="344" t="s">
        <v>62</v>
      </c>
      <c r="AM58" s="334"/>
      <c r="AN58" s="352"/>
      <c r="AO58" s="55"/>
      <c r="AP58" s="334"/>
      <c r="AQ58" s="334"/>
      <c r="AR58" s="335"/>
      <c r="AS58" s="341"/>
      <c r="AT58" s="8"/>
      <c r="AU58" s="8"/>
      <c r="AV58" s="8"/>
      <c r="AW58" s="314"/>
      <c r="AX58" s="314" t="s">
        <v>36</v>
      </c>
      <c r="AY58" s="348" t="s">
        <v>34</v>
      </c>
      <c r="AZ58" s="341" t="s">
        <v>140</v>
      </c>
      <c r="BA58" s="314" t="s">
        <v>139</v>
      </c>
      <c r="BB58" s="352" t="s">
        <v>65</v>
      </c>
      <c r="BC58" s="55"/>
      <c r="BD58" s="334"/>
      <c r="BE58" s="334"/>
      <c r="BF58" s="335"/>
      <c r="BG58" s="341"/>
      <c r="BH58" s="8"/>
      <c r="BI58" s="8"/>
      <c r="BJ58" s="8"/>
      <c r="BK58" s="338"/>
      <c r="BL58" s="338"/>
      <c r="BM58" s="362"/>
      <c r="BN58" s="344" t="s">
        <v>62</v>
      </c>
      <c r="BO58" s="334"/>
      <c r="BP58" s="352"/>
      <c r="BQ58" s="55"/>
      <c r="BR58" s="334"/>
      <c r="BS58" s="334"/>
      <c r="BT58" s="335"/>
      <c r="BU58" s="341"/>
      <c r="BV58" s="8"/>
      <c r="BW58" s="8"/>
      <c r="BX58" s="8"/>
      <c r="BY58" s="314"/>
      <c r="BZ58" s="314" t="s">
        <v>47</v>
      </c>
      <c r="CA58" s="348" t="s">
        <v>40</v>
      </c>
      <c r="CB58" s="341" t="s">
        <v>46</v>
      </c>
      <c r="CC58" s="314" t="s">
        <v>139</v>
      </c>
      <c r="CD58" s="352" t="s">
        <v>65</v>
      </c>
      <c r="CE58" s="55"/>
      <c r="CF58" s="334"/>
      <c r="CG58" s="334"/>
      <c r="CH58" s="335"/>
      <c r="CI58" s="341"/>
      <c r="CJ58" s="8"/>
      <c r="CK58" s="8"/>
      <c r="CL58" s="8"/>
      <c r="CM58" s="314"/>
      <c r="CN58" s="314"/>
      <c r="CO58" s="348"/>
      <c r="CP58" s="326">
        <f t="shared" si="7"/>
        <v>7</v>
      </c>
      <c r="CQ58" s="326">
        <f t="shared" si="8"/>
        <v>4</v>
      </c>
      <c r="CR58" s="326">
        <f t="shared" si="9"/>
        <v>3</v>
      </c>
    </row>
    <row r="59" spans="1:96" ht="14.1" hidden="1" customHeight="1">
      <c r="A59" s="51"/>
      <c r="B59" s="322"/>
      <c r="C59" s="341"/>
      <c r="D59" s="314"/>
      <c r="E59" s="314"/>
      <c r="F59" s="314"/>
      <c r="G59" s="314"/>
      <c r="H59" s="314"/>
      <c r="I59" s="336"/>
      <c r="J59" s="341"/>
      <c r="K59" s="314"/>
      <c r="L59" s="314"/>
      <c r="M59" s="314"/>
      <c r="N59" s="314"/>
      <c r="O59" s="314"/>
      <c r="P59" s="336"/>
      <c r="Q59" s="341"/>
      <c r="R59" s="314"/>
      <c r="S59" s="314"/>
      <c r="T59" s="314"/>
      <c r="U59" s="314"/>
      <c r="V59" s="314"/>
      <c r="W59" s="336"/>
      <c r="X59" s="10"/>
      <c r="Y59" s="9"/>
      <c r="Z59" s="9"/>
      <c r="AA59" s="9"/>
      <c r="AB59" s="9"/>
      <c r="AC59" s="314"/>
      <c r="AD59" s="336"/>
      <c r="AE59" s="341"/>
      <c r="AF59" s="314"/>
      <c r="AG59" s="314"/>
      <c r="AH59" s="314"/>
      <c r="AI59" s="314"/>
      <c r="AJ59" s="314"/>
      <c r="AK59" s="336"/>
      <c r="AL59" s="10"/>
      <c r="AM59" s="9"/>
      <c r="AN59" s="9"/>
      <c r="AO59" s="9"/>
      <c r="AP59" s="9"/>
      <c r="AQ59" s="314"/>
      <c r="AR59" s="336"/>
      <c r="AS59" s="341"/>
      <c r="AT59" s="314"/>
      <c r="AU59" s="314"/>
      <c r="AV59" s="314"/>
      <c r="AW59" s="314"/>
      <c r="AX59" s="314"/>
      <c r="AY59" s="336"/>
      <c r="AZ59" s="10"/>
      <c r="BA59" s="9"/>
      <c r="BB59" s="9"/>
      <c r="BC59" s="9"/>
      <c r="BD59" s="9"/>
      <c r="BE59" s="314"/>
      <c r="BF59" s="336"/>
      <c r="BG59" s="341"/>
      <c r="BH59" s="314"/>
      <c r="BI59" s="314"/>
      <c r="BJ59" s="314"/>
      <c r="BK59" s="314"/>
      <c r="BL59" s="314"/>
      <c r="BM59" s="314"/>
      <c r="BN59" s="10"/>
      <c r="BO59" s="9"/>
      <c r="BP59" s="9"/>
      <c r="BQ59" s="9"/>
      <c r="BR59" s="9"/>
      <c r="BS59" s="314"/>
      <c r="BT59" s="336"/>
      <c r="BU59" s="341"/>
      <c r="BV59" s="314"/>
      <c r="BW59" s="314"/>
      <c r="BX59" s="314"/>
      <c r="BY59" s="314"/>
      <c r="BZ59" s="314"/>
      <c r="CA59" s="336"/>
      <c r="CB59" s="10"/>
      <c r="CC59" s="9"/>
      <c r="CD59" s="9"/>
      <c r="CE59" s="9"/>
      <c r="CF59" s="9"/>
      <c r="CG59" s="314"/>
      <c r="CH59" s="336"/>
      <c r="CI59" s="341"/>
      <c r="CJ59" s="314"/>
      <c r="CK59" s="314"/>
      <c r="CL59" s="314"/>
      <c r="CM59" s="314"/>
      <c r="CN59" s="314"/>
      <c r="CO59" s="336"/>
      <c r="CP59" s="326"/>
      <c r="CQ59" s="326"/>
      <c r="CR59" s="326"/>
    </row>
    <row r="60" spans="1:96" ht="14.1" hidden="1" customHeight="1">
      <c r="A60" s="132"/>
      <c r="B60" s="322"/>
      <c r="C60" s="341"/>
      <c r="D60" s="314"/>
      <c r="E60" s="314"/>
      <c r="F60" s="314"/>
      <c r="G60" s="314"/>
      <c r="H60" s="314"/>
      <c r="I60" s="336"/>
      <c r="J60" s="341"/>
      <c r="K60" s="314"/>
      <c r="L60" s="314"/>
      <c r="M60" s="314"/>
      <c r="N60" s="314"/>
      <c r="O60" s="314"/>
      <c r="P60" s="336"/>
      <c r="Q60" s="341"/>
      <c r="R60" s="314"/>
      <c r="S60" s="314"/>
      <c r="T60" s="314"/>
      <c r="U60" s="314"/>
      <c r="V60" s="314"/>
      <c r="W60" s="336"/>
      <c r="X60" s="10"/>
      <c r="Y60" s="9"/>
      <c r="Z60" s="9"/>
      <c r="AA60" s="9"/>
      <c r="AB60" s="9"/>
      <c r="AC60" s="314"/>
      <c r="AD60" s="336"/>
      <c r="AE60" s="341"/>
      <c r="AF60" s="314"/>
      <c r="AG60" s="314"/>
      <c r="AH60" s="314"/>
      <c r="AI60" s="314"/>
      <c r="AJ60" s="314"/>
      <c r="AK60" s="336"/>
      <c r="AL60" s="10"/>
      <c r="AM60" s="9"/>
      <c r="AN60" s="9"/>
      <c r="AO60" s="9"/>
      <c r="AP60" s="9"/>
      <c r="AQ60" s="314"/>
      <c r="AR60" s="336"/>
      <c r="AS60" s="341"/>
      <c r="AT60" s="314"/>
      <c r="AU60" s="314"/>
      <c r="AV60" s="314"/>
      <c r="AW60" s="314"/>
      <c r="AX60" s="314"/>
      <c r="AY60" s="336"/>
      <c r="AZ60" s="10"/>
      <c r="BA60" s="9"/>
      <c r="BB60" s="9"/>
      <c r="BC60" s="9"/>
      <c r="BD60" s="9"/>
      <c r="BE60" s="314"/>
      <c r="BF60" s="336"/>
      <c r="BG60" s="341"/>
      <c r="BH60" s="314"/>
      <c r="BI60" s="314"/>
      <c r="BJ60" s="314"/>
      <c r="BK60" s="314"/>
      <c r="BL60" s="314"/>
      <c r="BM60" s="314"/>
      <c r="BN60" s="10"/>
      <c r="BO60" s="9"/>
      <c r="BP60" s="9"/>
      <c r="BQ60" s="9"/>
      <c r="BR60" s="9"/>
      <c r="BS60" s="314"/>
      <c r="BT60" s="336"/>
      <c r="BU60" s="341"/>
      <c r="BV60" s="314"/>
      <c r="BW60" s="314"/>
      <c r="BX60" s="314"/>
      <c r="BY60" s="314"/>
      <c r="BZ60" s="314"/>
      <c r="CA60" s="336"/>
      <c r="CB60" s="10"/>
      <c r="CC60" s="9"/>
      <c r="CD60" s="9"/>
      <c r="CE60" s="9"/>
      <c r="CF60" s="9"/>
      <c r="CG60" s="314"/>
      <c r="CH60" s="336"/>
      <c r="CI60" s="341"/>
      <c r="CJ60" s="314"/>
      <c r="CK60" s="314"/>
      <c r="CL60" s="314"/>
      <c r="CM60" s="314"/>
      <c r="CN60" s="314"/>
      <c r="CO60" s="336"/>
      <c r="CP60" s="326"/>
      <c r="CQ60" s="326"/>
      <c r="CR60" s="326"/>
    </row>
    <row r="61" spans="1:96" s="9" customFormat="1" ht="14.1" hidden="1" customHeight="1" thickBot="1">
      <c r="A61" s="132" t="s">
        <v>141</v>
      </c>
      <c r="B61" s="719"/>
      <c r="C61" s="133" t="s">
        <v>142</v>
      </c>
      <c r="D61" s="404" t="s">
        <v>142</v>
      </c>
      <c r="E61" s="404" t="s">
        <v>143</v>
      </c>
      <c r="F61" s="404" t="s">
        <v>142</v>
      </c>
      <c r="G61" s="404" t="s">
        <v>143</v>
      </c>
      <c r="I61" s="33"/>
      <c r="J61" s="133" t="s">
        <v>142</v>
      </c>
      <c r="K61" s="404" t="s">
        <v>142</v>
      </c>
      <c r="L61" s="404" t="s">
        <v>143</v>
      </c>
      <c r="M61" s="404" t="s">
        <v>142</v>
      </c>
      <c r="N61" s="404" t="s">
        <v>143</v>
      </c>
      <c r="P61" s="33"/>
      <c r="Q61" s="133" t="s">
        <v>142</v>
      </c>
      <c r="R61" s="404" t="s">
        <v>142</v>
      </c>
      <c r="S61" s="404" t="s">
        <v>143</v>
      </c>
      <c r="T61" s="404" t="s">
        <v>142</v>
      </c>
      <c r="U61" s="404" t="s">
        <v>143</v>
      </c>
      <c r="W61" s="33"/>
      <c r="X61" s="133" t="s">
        <v>142</v>
      </c>
      <c r="Y61" s="404" t="s">
        <v>142</v>
      </c>
      <c r="Z61" s="404" t="s">
        <v>143</v>
      </c>
      <c r="AA61" s="404" t="s">
        <v>142</v>
      </c>
      <c r="AB61" s="404" t="s">
        <v>143</v>
      </c>
      <c r="AD61" s="33"/>
      <c r="AE61" s="133" t="s">
        <v>142</v>
      </c>
      <c r="AF61" s="404" t="s">
        <v>142</v>
      </c>
      <c r="AG61" s="404" t="s">
        <v>143</v>
      </c>
      <c r="AH61" s="404" t="s">
        <v>142</v>
      </c>
      <c r="AI61" s="404" t="s">
        <v>143</v>
      </c>
      <c r="AK61" s="33"/>
      <c r="AL61" s="133" t="s">
        <v>142</v>
      </c>
      <c r="AM61" s="404" t="s">
        <v>142</v>
      </c>
      <c r="AN61" s="404" t="s">
        <v>143</v>
      </c>
      <c r="AO61" s="404" t="s">
        <v>142</v>
      </c>
      <c r="AP61" s="404" t="s">
        <v>143</v>
      </c>
      <c r="AR61" s="33"/>
      <c r="AS61" s="133" t="s">
        <v>142</v>
      </c>
      <c r="AT61" s="404" t="s">
        <v>142</v>
      </c>
      <c r="AU61" s="404" t="s">
        <v>143</v>
      </c>
      <c r="AV61" s="404" t="s">
        <v>142</v>
      </c>
      <c r="AW61" s="404" t="s">
        <v>143</v>
      </c>
      <c r="AY61" s="33"/>
      <c r="AZ61" s="133" t="s">
        <v>142</v>
      </c>
      <c r="BA61" s="404" t="s">
        <v>142</v>
      </c>
      <c r="BB61" s="404" t="s">
        <v>143</v>
      </c>
      <c r="BC61" s="404" t="s">
        <v>142</v>
      </c>
      <c r="BD61" s="404" t="s">
        <v>143</v>
      </c>
      <c r="BF61" s="33"/>
      <c r="BG61" s="133" t="s">
        <v>142</v>
      </c>
      <c r="BH61" s="404" t="s">
        <v>142</v>
      </c>
      <c r="BI61" s="404" t="s">
        <v>143</v>
      </c>
      <c r="BJ61" s="404" t="s">
        <v>142</v>
      </c>
      <c r="BK61" s="404" t="s">
        <v>143</v>
      </c>
      <c r="BM61" s="33"/>
      <c r="BN61" s="133" t="s">
        <v>142</v>
      </c>
      <c r="BO61" s="404" t="s">
        <v>142</v>
      </c>
      <c r="BP61" s="404" t="s">
        <v>143</v>
      </c>
      <c r="BQ61" s="404" t="s">
        <v>142</v>
      </c>
      <c r="BR61" s="404" t="s">
        <v>143</v>
      </c>
      <c r="BT61" s="33"/>
      <c r="BU61" s="133" t="s">
        <v>142</v>
      </c>
      <c r="BV61" s="404" t="s">
        <v>142</v>
      </c>
      <c r="BW61" s="404" t="s">
        <v>143</v>
      </c>
      <c r="BX61" s="404" t="s">
        <v>142</v>
      </c>
      <c r="BY61" s="404" t="s">
        <v>143</v>
      </c>
      <c r="CA61" s="33"/>
      <c r="CB61" s="133" t="s">
        <v>142</v>
      </c>
      <c r="CC61" s="404" t="s">
        <v>142</v>
      </c>
      <c r="CD61" s="404" t="s">
        <v>143</v>
      </c>
      <c r="CE61" s="404" t="s">
        <v>142</v>
      </c>
      <c r="CF61" s="404" t="s">
        <v>143</v>
      </c>
      <c r="CH61" s="33"/>
      <c r="CI61" s="133" t="s">
        <v>142</v>
      </c>
      <c r="CJ61" s="404" t="s">
        <v>142</v>
      </c>
      <c r="CK61" s="404" t="s">
        <v>143</v>
      </c>
      <c r="CL61" s="404" t="s">
        <v>142</v>
      </c>
      <c r="CM61" s="404" t="s">
        <v>143</v>
      </c>
      <c r="CO61" s="33"/>
      <c r="CP61" s="314"/>
      <c r="CQ61" s="314"/>
      <c r="CR61" s="314"/>
    </row>
    <row r="62" spans="1:96" s="9" customFormat="1" ht="14.1" customHeight="1">
      <c r="A62" s="31"/>
      <c r="B62" s="134"/>
      <c r="C62" s="28"/>
      <c r="D62" s="29"/>
      <c r="E62" s="29"/>
      <c r="F62" s="29"/>
      <c r="G62" s="29"/>
      <c r="H62" s="29"/>
      <c r="I62" s="30"/>
      <c r="J62" s="28"/>
      <c r="K62" s="29"/>
      <c r="L62" s="29"/>
      <c r="M62" s="29"/>
      <c r="N62" s="29"/>
      <c r="O62" s="29"/>
      <c r="P62" s="30"/>
      <c r="Q62" s="28"/>
      <c r="R62" s="29"/>
      <c r="S62" s="29"/>
      <c r="T62" s="29"/>
      <c r="U62" s="29"/>
      <c r="V62" s="29"/>
      <c r="W62" s="30"/>
      <c r="X62" s="28"/>
      <c r="Y62" s="29"/>
      <c r="Z62" s="29"/>
      <c r="AA62" s="29"/>
      <c r="AB62" s="29"/>
      <c r="AC62" s="29"/>
      <c r="AD62" s="30"/>
      <c r="AE62" s="28"/>
      <c r="AF62" s="29"/>
      <c r="AG62" s="29"/>
      <c r="AH62" s="29"/>
      <c r="AI62" s="29"/>
      <c r="AJ62" s="29"/>
      <c r="AK62" s="30"/>
      <c r="AL62" s="28"/>
      <c r="AM62" s="29"/>
      <c r="AN62" s="29"/>
      <c r="AO62" s="29"/>
      <c r="AP62" s="29"/>
      <c r="AQ62" s="29"/>
      <c r="AR62" s="30"/>
      <c r="AS62" s="28"/>
      <c r="AT62" s="29"/>
      <c r="AU62" s="29"/>
      <c r="AV62" s="29"/>
      <c r="AW62" s="29"/>
      <c r="AX62" s="29"/>
      <c r="AY62" s="30"/>
      <c r="AZ62" s="28"/>
      <c r="BA62" s="29"/>
      <c r="BB62" s="29"/>
      <c r="BC62" s="29"/>
      <c r="BD62" s="29"/>
      <c r="BE62" s="29"/>
      <c r="BF62" s="30"/>
      <c r="BG62" s="28"/>
      <c r="BH62" s="29"/>
      <c r="BI62" s="29"/>
      <c r="BJ62" s="29"/>
      <c r="BK62" s="29"/>
      <c r="BL62" s="29"/>
      <c r="BM62" s="30"/>
      <c r="BN62" s="28"/>
      <c r="BO62" s="29"/>
      <c r="BP62" s="29"/>
      <c r="BQ62" s="29"/>
      <c r="BR62" s="29"/>
      <c r="BS62" s="29"/>
      <c r="BT62" s="30"/>
      <c r="BU62" s="28"/>
      <c r="BV62" s="29"/>
      <c r="BW62" s="29"/>
      <c r="BX62" s="29"/>
      <c r="BY62" s="29"/>
      <c r="BZ62" s="29"/>
      <c r="CA62" s="30"/>
      <c r="CB62" s="28"/>
      <c r="CC62" s="29"/>
      <c r="CD62" s="29"/>
      <c r="CE62" s="29"/>
      <c r="CF62" s="29"/>
      <c r="CG62" s="29"/>
      <c r="CH62" s="30"/>
      <c r="CI62" s="28"/>
      <c r="CJ62" s="29"/>
      <c r="CK62" s="29"/>
      <c r="CL62" s="29"/>
      <c r="CM62" s="29"/>
      <c r="CN62" s="29"/>
      <c r="CO62" s="30"/>
      <c r="CP62" s="135" t="s">
        <v>144</v>
      </c>
      <c r="CQ62" s="818"/>
      <c r="CR62" s="818"/>
    </row>
    <row r="63" spans="1:96" s="3" customFormat="1" ht="14.1" customHeight="1">
      <c r="A63" s="405" t="s">
        <v>145</v>
      </c>
      <c r="B63" s="406"/>
      <c r="C63" s="314">
        <f>COUNTIF(C7:C60,"0800-*")+COUNTIF(C7:C60,"0730-*")-COUNTIF(C7:C60,"*0800-1730 CS*")-COUNTIF(C7:C60,"*0800-1730 PHNW*")-COUNTIF(C7:C60,"*0800-1730 DEMT*")-COUNTIF(C7:C60,"*0800-1730 EXAM*")-COUNTIF(C7:C60,"*0800-1800 CS*")-COUNTIF(C7:C60,"*0800-1800 PHNW*")</f>
        <v>5</v>
      </c>
      <c r="D63" s="314">
        <f>COUNTIF(D7:D60,"0800-*")+COUNTIF(D7:D60,"0730-*")-COUNTIF(D7:D60,"*0800-1730 CS*")-COUNTIF(D7:D60,"*0800-1730 PHNW*")-COUNTIF(D7:D60,"*0800-1730 DEMT*")-COUNTIF(D7:D60,"*0800-1730 EXAM*")-COUNTIF(D7:D60,"*0800-1800 CS*")-COUNTIF(D7:D60,"*0800-1800 PHNW*")</f>
        <v>5</v>
      </c>
      <c r="E63" s="314">
        <f>COUNTIF(E7:E60,"0800-*")+COUNTIF(E7:E60,"0730-*")-COUNTIF(E7:E60,"*0800-1730 CS*")-COUNTIF(E7:E60,"*0800-1730 PHNW*")-COUNTIF(E7:E60,"*0800-1730 DEMT*")-COUNTIF(E7:E60,"*0800-1730 EXAM*")-COUNTIF(E7:E60,"*0800-1800 CS*")-COUNTIF(E7:E60,"*0800-1800 PHNW*")</f>
        <v>5</v>
      </c>
      <c r="F63" s="314">
        <f>COUNTIF(F7:F60,"0800-*")+COUNTIF(F7:F60,"0730-*")-COUNTIF(F7:F60,"*0800-1730 CS*")-COUNTIF(F7:F60,"*0800-1730 PHNW*")-COUNTIF(F7:F60,"*0800-1730 DEMT*")-COUNTIF(F7:F60,"*0800-1730 EXAM*")-COUNTIF(F7:F60,"*0800-1800 CS*")-COUNTIF(F7:F60,"*0800-1800 PHNW*")</f>
        <v>5</v>
      </c>
      <c r="G63" s="314">
        <f>COUNTIF(G7:G60,"0800-*")+COUNTIF(G7:G60,"0730-*")-COUNTIF(G7:G60,"*0800-1730 CS*")-COUNTIF(G7:G60,"*0800-1730 PHNW*")-COUNTIF(G7:G60,"*0800-1730 DEMT*")-COUNTIF(G7:G60,"*0800-1730 EXAM*")-COUNTIF(G7:G60,"*0800-1800 CS*")-COUNTIF(G7:G60,"*0800-1800 PHNW*")</f>
        <v>6</v>
      </c>
      <c r="H63" s="314">
        <f>COUNTIF(H7:H60,"0800-*")+COUNTIF(H7:H60,"0730-*")</f>
        <v>4</v>
      </c>
      <c r="I63" s="336">
        <f>COUNTIF(I7:I60,"0800-*")+COUNTIF(I7:I60,"0730-*")</f>
        <v>4</v>
      </c>
      <c r="J63" s="314">
        <f>COUNTIF(J7:J60,"0800-*")+COUNTIF(J7:J60,"0730-*")-COUNTIF(J7:J60,"*0800-1730 CS*")-COUNTIF(J7:J60,"*0800-1730 PHNW*")-COUNTIF(J7:J60,"*0800-1730 DEMT*")-COUNTIF(J7:J60,"*0800-1730 EXAM*")-COUNTIF(J7:J60,"*0800-1800 CS*")-COUNTIF(J7:J60,"*0800-1800 PHNW*")</f>
        <v>6</v>
      </c>
      <c r="K63" s="314">
        <f>COUNTIF(K7:K60,"0800-*")+COUNTIF(K7:K60,"0730-*")-COUNTIF(K7:K60,"*0800-1730 CS*")-COUNTIF(K7:K60,"*0800-1730 PHNW*")-COUNTIF(K7:K60,"*0800-1730 DEMT*")-COUNTIF(K7:K60,"*0800-1730 EXAM*")-COUNTIF(K7:K60,"*0800-1800 CS*")-COUNTIF(K7:K60,"*0800-1800 PHNW*")</f>
        <v>6</v>
      </c>
      <c r="L63" s="314">
        <f>COUNTIF(L7:L60,"0800-*")+COUNTIF(L7:L60,"0730-*")-COUNTIF(L7:L60,"*0800-1730 CS*")-COUNTIF(L7:L60,"*0800-1730 PHNW*")-COUNTIF(L7:L60,"*0800-1730 DEMT*")-COUNTIF(L7:L60,"*0800-1730 EXAM*")-COUNTIF(L7:L60,"*0800-1800 CS*")-COUNTIF(L7:L60,"*0800-1800 PHNW*")</f>
        <v>6</v>
      </c>
      <c r="M63" s="314">
        <f>COUNTIF(M7:M60,"0800-*")+COUNTIF(M7:M60,"0730-*")-COUNTIF(M7:M60,"*0800-1730 CS*")-COUNTIF(M7:M60,"*0800-1730 PHNW*")-COUNTIF(M7:M60,"*0800-1730 DEMT*")-COUNTIF(M7:M60,"*0800-1730 EXAM*")-COUNTIF(M7:M60,"*0800-1800 CS*")-COUNTIF(M7:M60,"*0800-1800 PHNW*")</f>
        <v>6</v>
      </c>
      <c r="N63" s="314">
        <f>COUNTIF(N7:N60,"0800-*")+COUNTIF(N7:N60,"0730-*")-COUNTIF(N7:N60,"*0800-1730 CS*")-COUNTIF(N7:N60,"*0800-1730 PHNW*")-COUNTIF(N7:N60,"*0800-1730 DEMT*")-COUNTIF(N7:N60,"*0800-1730 EXAM*")-COUNTIF(N7:N60,"*0800-1800 CS*")-COUNTIF(N7:N60,"*0800-1800 PHNW*")</f>
        <v>6</v>
      </c>
      <c r="O63" s="314">
        <f>COUNTIF(O7:O60,"0800-*")+COUNTIF(O7:O60,"0730-*")</f>
        <v>4</v>
      </c>
      <c r="P63" s="336">
        <f>COUNTIF(P7:P60,"0800-*")+COUNTIF(P7:P60,"0730-*")</f>
        <v>4</v>
      </c>
      <c r="Q63" s="314">
        <f>COUNTIF(Q7:Q60,"0800-*")+COUNTIF(Q7:Q60,"0730-*")-COUNTIF(Q7:Q60,"*0800-1730 CS*")-COUNTIF(Q7:Q60,"*0800-1730 PHNW*")-COUNTIF(Q7:Q60,"*0800-1730 DEMT*")-COUNTIF(Q7:Q60,"*0800-1730 EXAM*")-COUNTIF(Q7:Q60,"*0800-1800 CS*")-COUNTIF(Q7:Q60,"*0800-1800 PHNW*")</f>
        <v>5</v>
      </c>
      <c r="R63" s="314">
        <f>COUNTIF(R7:R60,"0800-*")+COUNTIF(R7:R60,"0730-*")-COUNTIF(R7:R60,"*0800-1730 CS*")-COUNTIF(R7:R60,"*0800-1730 PHNW*")-COUNTIF(R7:R60,"*0800-1730 DEMT*")-COUNTIF(R7:R60,"*0800-1730 EXAM*")-COUNTIF(R7:R60,"*0800-1800 CS*")-COUNTIF(R7:R60,"*0800-1800 PHNW*")</f>
        <v>5</v>
      </c>
      <c r="S63" s="314">
        <f>COUNTIF(S7:S60,"0800-*")+COUNTIF(S7:S60,"0730-*")-COUNTIF(S7:S60,"*0800-1730 CS*")-COUNTIF(S7:S60,"*0800-1730 PHNW*")-COUNTIF(S7:S60,"*0800-1730 DEMT*")-COUNTIF(S7:S60,"*0800-1730 EXAM*")-COUNTIF(S7:S60,"*0800-1800 CS*")-COUNTIF(S7:S60,"*0800-1800 PHNW*")</f>
        <v>7</v>
      </c>
      <c r="T63" s="314">
        <f>COUNTIF(T7:T60,"0800-*")+COUNTIF(T7:T60,"0730-*")-COUNTIF(T7:T60,"*0800-1730 CS*")-COUNTIF(T7:T60,"*0800-1730 PHNW*")-COUNTIF(T7:T60,"*0800-1730 DEMT*")-COUNTIF(T7:T60,"*0800-1730 EXAM*")-COUNTIF(T7:T60,"*0800-1800 CS*")-COUNTIF(T7:T60,"*0800-1800 PHNW*")</f>
        <v>6</v>
      </c>
      <c r="U63" s="314">
        <f>COUNTIF(U7:U60,"0800-*")+COUNTIF(U7:U60,"0730-*")-COUNTIF(U7:U60,"*0800-1730 CS*")-COUNTIF(U7:U60,"*0800-1730 PHNW*")-COUNTIF(U7:U60,"*0800-1730 DEMT*")-COUNTIF(U7:U60,"*0800-1730 EXAM*")-COUNTIF(U7:U60,"*0800-1800 CS*")-COUNTIF(U7:U60,"*0800-1800 PHNW*")</f>
        <v>6</v>
      </c>
      <c r="V63" s="314">
        <f>COUNTIF(V7:V60,"0800-*")+COUNTIF(V7:V60,"0730-*")</f>
        <v>4</v>
      </c>
      <c r="W63" s="336">
        <f>COUNTIF(W7:W60,"0800-*")+COUNTIF(W7:W60,"0730-*")</f>
        <v>4</v>
      </c>
      <c r="X63" s="314">
        <f>COUNTIF(X7:X60,"0800-*")+COUNTIF(X7:X60,"0730-*")-COUNTIF(X7:X60,"*0800-1730 CS*")-COUNTIF(X7:X60,"*0800-1730 PHNW*")-COUNTIF(X7:X60,"*0800-1730 DEMT*")-COUNTIF(X7:X60,"*0800-1730 EXAM*")-COUNTIF(X7:X60,"*0800-1800 CS*")-COUNTIF(X7:X60,"*0800-1800 PHNW*")</f>
        <v>6</v>
      </c>
      <c r="Y63" s="314">
        <f>COUNTIF(Y7:Y60,"0800-*")+COUNTIF(Y7:Y60,"0730-*")-COUNTIF(Y7:Y60,"*0800-1730 CS*")-COUNTIF(Y7:Y60,"*0800-1730 PHNW*")-COUNTIF(Y7:Y60,"*0800-1730 DEMT*")-COUNTIF(Y7:Y60,"*0800-1730 EXAM*")-COUNTIF(Y7:Y60,"*0800-1800 CS*")-COUNTIF(Y7:Y60,"*0800-1800 PHNW*")</f>
        <v>6</v>
      </c>
      <c r="Z63" s="314">
        <f>COUNTIF(Z7:Z60,"0800-*")+COUNTIF(Z7:Z60,"0730-*")-COUNTIF(Z7:Z60,"*0800-1730 CS*")-COUNTIF(Z7:Z60,"*0800-1730 PHNW*")-COUNTIF(Z7:Z60,"*0800-1730 DEMT*")-COUNTIF(Z7:Z60,"*0800-1730 EXAM*")-COUNTIF(Z7:Z60,"*0800-1800 CS*")-COUNTIF(Z7:Z60,"*0800-1800 PHNW*")</f>
        <v>7</v>
      </c>
      <c r="AA63" s="314">
        <f>COUNTIF(AA7:AA60,"0800-*")+COUNTIF(AA7:AA60,"0730-*")-COUNTIF(AA7:AA60,"*0800-1730 CS*")-COUNTIF(AA7:AA60,"*0800-1730 PHNW*")-COUNTIF(AA7:AA60,"*0800-1730 DEMT*")-COUNTIF(AA7:AA60,"*0800-1730 EXAM*")-COUNTIF(AA7:AA60,"*0800-1800 CS*")-COUNTIF(AA7:AA60,"*0800-1800 PHNW*")</f>
        <v>6</v>
      </c>
      <c r="AB63" s="314">
        <f>COUNTIF(AB7:AB60,"0800-*")+COUNTIF(AB7:AB60,"0730-*")-COUNTIF(AB7:AB60,"*0800-1730 CS*")-COUNTIF(AB7:AB60,"*0800-1730 PHNW*")-COUNTIF(AB7:AB60,"*0800-1730 DEMT*")-COUNTIF(AB7:AB60,"*0800-1730 EXAM*")-COUNTIF(AB7:AB60,"*0800-1800 CS*")-COUNTIF(AB7:AB60,"*0800-1800 PHNW*")</f>
        <v>6</v>
      </c>
      <c r="AC63" s="314">
        <f>COUNTIF(AC7:AC60,"0800-*")+COUNTIF(AC7:AC60,"0730-*")</f>
        <v>4</v>
      </c>
      <c r="AD63" s="336">
        <f>COUNTIF(AD7:AD60,"0800-*")+COUNTIF(AD7:AD60,"0730-*")</f>
        <v>4</v>
      </c>
      <c r="AE63" s="314">
        <f>COUNTIF(AE7:AE60,"0800-*")+COUNTIF(AE7:AE60,"0730-*")-COUNTIF(AE7:AE60,"*0800-1730 CS*")-COUNTIF(AE7:AE60,"*0800-1730 PHNW*")-COUNTIF(AE7:AE60,"*0800-1730 DEMT*")-COUNTIF(AE7:AE60,"*0800-1730 EXAM*")-COUNTIF(AE7:AE60,"*0800-1800 CS*")-COUNTIF(AE7:AE60,"*0800-1800 PHNW*")</f>
        <v>6</v>
      </c>
      <c r="AF63" s="314">
        <f>COUNTIF(AF7:AF60,"0800-*")+COUNTIF(AF7:AF60,"0730-*")-COUNTIF(AF7:AF60,"*0800-1730 CS*")-COUNTIF(AF7:AF60,"*0800-1730 PHNW*")-COUNTIF(AF7:AF60,"*0800-1730 DEMT*")-COUNTIF(AF7:AF60,"*0800-1730 EXAM*")-COUNTIF(AF7:AF60,"*0800-1800 CS*")-COUNTIF(AF7:AF60,"*0800-1800 PHNW*")</f>
        <v>6</v>
      </c>
      <c r="AG63" s="314">
        <f>COUNTIF(AG7:AG60,"0800-*")+COUNTIF(AG7:AG60,"0730-*")-COUNTIF(AG7:AG60,"*0800-1730 CS*")-COUNTIF(AG7:AG60,"*0800-1730 PHNW*")-COUNTIF(AG7:AG60,"*0800-1730 DEMT*")-COUNTIF(AG7:AG60,"*0800-1730 EXAM*")-COUNTIF(AG7:AG60,"*0800-1800 CS*")-COUNTIF(AG7:AG60,"*0800-1800 PHNW*")</f>
        <v>7</v>
      </c>
      <c r="AH63" s="314">
        <f>COUNTIF(AH7:AH60,"0800-*")+COUNTIF(AH7:AH60,"0730-*")-COUNTIF(AH7:AH60,"*0800-1730 CS*")-COUNTIF(AH7:AH60,"*0800-1730 PHNW*")-COUNTIF(AH7:AH60,"*0800-1730 DEMT*")-COUNTIF(AH7:AH60,"*0800-1730 EXAM*")-COUNTIF(AH7:AH60,"*0800-1800 CS*")-COUNTIF(AH7:AH60,"*0800-1800 PHNW*")</f>
        <v>7</v>
      </c>
      <c r="AI63" s="314">
        <f>COUNTIF(AI7:AI60,"0800-*")+COUNTIF(AI7:AI60,"0730-*")-COUNTIF(AI7:AI60,"*0800-1730 CS*")-COUNTIF(AI7:AI60,"*0800-1730 PHNW*")-COUNTIF(AI7:AI60,"*0800-1730 DEMT*")-COUNTIF(AI7:AI60,"*0800-1730 EXAM*")-COUNTIF(AI7:AI60,"*0800-1800 CS*")-COUNTIF(AI7:AI60,"*0800-1800 PHNW*")</f>
        <v>6</v>
      </c>
      <c r="AJ63" s="314">
        <f>COUNTIF(AJ7:AJ60,"0800-*")+COUNTIF(AJ7:AJ60,"0730-*")</f>
        <v>4</v>
      </c>
      <c r="AK63" s="336">
        <f>COUNTIF(AK7:AK60,"0800-*")+COUNTIF(AK7:AK60,"0730-*")</f>
        <v>4</v>
      </c>
      <c r="AL63" s="314">
        <f>COUNTIF(AL7:AL60,"0800-*")+COUNTIF(AL7:AL60,"0730-*")-COUNTIF(AL7:AL60,"*0800-1730 CS*")-COUNTIF(AL7:AL60,"*0800-1730 PHNW*")-COUNTIF(AL7:AL60,"*0800-1730 DEMT*")-COUNTIF(AL7:AL60,"*0800-1730 EXAM*")-COUNTIF(AL7:AL60,"*0800-1800 CS*")-COUNTIF(AL7:AL60,"*0800-1800 PHNW*")</f>
        <v>5</v>
      </c>
      <c r="AM63" s="314">
        <f>COUNTIF(AM7:AM60,"0800-*")+COUNTIF(AM7:AM60,"0730-*")-COUNTIF(AM7:AM60,"*0800-1730 CS*")-COUNTIF(AM7:AM60,"*0800-1730 PHNW*")-COUNTIF(AM7:AM60,"*0800-1730 DEMT*")-COUNTIF(AM7:AM60,"*0800-1730 EXAM*")-COUNTIF(AM7:AM60,"*0800-1800 CS*")-COUNTIF(AM7:AM60,"*0800-1800 PHNW*")</f>
        <v>7</v>
      </c>
      <c r="AN63" s="314">
        <f>COUNTIF(AN7:AN60,"0800-*")+COUNTIF(AN7:AN60,"0730-*")-COUNTIF(AN7:AN60,"*0800-1730 CS*")-COUNTIF(AN7:AN60,"*0800-1730 PHNW*")-COUNTIF(AN7:AN60,"*0800-1730 DEMT*")-COUNTIF(AN7:AN60,"*0800-1730 EXAM*")-COUNTIF(AN7:AN60,"*0800-1800 CS*")-COUNTIF(AN7:AN60,"*0800-1800 PHNW*")</f>
        <v>7</v>
      </c>
      <c r="AO63" s="314">
        <f>COUNTIF(AO7:AO60,"0800-*")+COUNTIF(AO7:AO60,"0730-*")-COUNTIF(AO7:AO60,"*0800-1730 CS*")-COUNTIF(AO7:AO60,"*0800-1730 PHNW*")-COUNTIF(AO7:AO60,"*0800-1730 DEMT*")-COUNTIF(AO7:AO60,"*0800-1730 EXAM*")-COUNTIF(AO7:AO60,"*0800-1800 CS*")-COUNTIF(AO7:AO60,"*0800-1800 PHNW*")</f>
        <v>7</v>
      </c>
      <c r="AP63" s="314">
        <f>COUNTIF(AP7:AP60,"0800-*")+COUNTIF(AP7:AP60,"0730-*")-COUNTIF(AP7:AP60,"*0800-1730 CS*")-COUNTIF(AP7:AP60,"*0800-1730 PHNW*")-COUNTIF(AP7:AP60,"*0800-1730 DEMT*")-COUNTIF(AP7:AP60,"*0800-1730 EXAM*")-COUNTIF(AP7:AP60,"*0800-1800 CS*")-COUNTIF(AP7:AP60,"*0800-1800 PHNW*")</f>
        <v>6</v>
      </c>
      <c r="AQ63" s="314">
        <f>COUNTIF(AQ7:AQ60,"0800-*")+COUNTIF(AQ7:AQ60,"0730-*")</f>
        <v>3</v>
      </c>
      <c r="AR63" s="336">
        <f>COUNTIF(AR7:AR60,"0800-*")+COUNTIF(AR7:AR60,"0730-*")</f>
        <v>4</v>
      </c>
      <c r="AS63" s="314">
        <f>COUNTIF(AS7:AS60,"0800-*")+COUNTIF(AS7:AS60,"0730-*")-COUNTIF(AS7:AS60,"*0800-1730 CS*")-COUNTIF(AS7:AS60,"*0800-1730 PHNW*")-COUNTIF(AS7:AS60,"*0800-1730 DEMT*")-COUNTIF(AS7:AS60,"*0800-1730 EXAM*")-COUNTIF(AS7:AS60,"*0800-1800 CS*")-COUNTIF(AS7:AS60,"*0800-1800 PHNW*")</f>
        <v>5</v>
      </c>
      <c r="AT63" s="314">
        <f>COUNTIF(AT7:AT60,"0800-*")+COUNTIF(AT7:AT60,"0730-*")-COUNTIF(AT7:AT60,"*0800-1730 CS*")-COUNTIF(AT7:AT60,"*0800-1730 PHNW*")-COUNTIF(AT7:AT60,"*0800-1730 DEMT*")-COUNTIF(AT7:AT60,"*0800-1730 EXAM*")-COUNTIF(AT7:AT60,"*0800-1800 CS*")-COUNTIF(AT7:AT60,"*0800-1800 PHNW*")</f>
        <v>7</v>
      </c>
      <c r="AU63" s="314">
        <f>COUNTIF(AU7:AU60,"0800-*")+COUNTIF(AU7:AU60,"0730-*")-COUNTIF(AU7:AU60,"*0800-1730 CS*")-COUNTIF(AU7:AU60,"*0800-1730 PHNW*")-COUNTIF(AU7:AU60,"*0800-1730 DEMT*")-COUNTIF(AU7:AU60,"*0800-1730 EXAM*")-COUNTIF(AU7:AU60,"*0800-1800 CS*")-COUNTIF(AU7:AU60,"*0800-1800 PHNW*")</f>
        <v>7</v>
      </c>
      <c r="AV63" s="314">
        <f>COUNTIF(AV7:AV60,"0800-*")+COUNTIF(AV7:AV60,"0730-*")-COUNTIF(AV7:AV60,"*0800-1730 CS*")-COUNTIF(AV7:AV60,"*0800-1730 PHNW*")-COUNTIF(AV7:AV60,"*0800-1730 DEMT*")-COUNTIF(AV7:AV60,"*0800-1730 EXAM*")-COUNTIF(AV7:AV60,"*0800-1800 CS*")-COUNTIF(AV7:AV60,"*0800-1800 PHNW*")</f>
        <v>6</v>
      </c>
      <c r="AW63" s="314">
        <f>COUNTIF(AW7:AW60,"0800-*")+COUNTIF(AW7:AW60,"0730-*")-COUNTIF(AW7:AW60,"*0800-1730 CS*")-COUNTIF(AW7:AW60,"*0800-1730 PHNW*")-COUNTIF(AW7:AW60,"*0800-1730 DEMT*")-COUNTIF(AW7:AW60,"*0800-1730 EXAM*")-COUNTIF(AW7:AW60,"*0800-1800 CS*")-COUNTIF(AW7:AW60,"*0800-1800 PHNW*")</f>
        <v>6</v>
      </c>
      <c r="AX63" s="314">
        <f>COUNTIF(AX7:AX60,"0800-*")+COUNTIF(AX7:AX60,"0730-*")</f>
        <v>3</v>
      </c>
      <c r="AY63" s="336">
        <f>COUNTIF(AY7:AY60,"0800-*")+COUNTIF(AY7:AY60,"0730-*")</f>
        <v>4</v>
      </c>
      <c r="AZ63" s="314">
        <f>COUNTIF(AZ7:AZ60,"0800-*")+COUNTIF(AZ7:AZ60,"0730-*")-COUNTIF(AZ7:AZ60,"*0800-1730 CS*")-COUNTIF(AZ7:AZ60,"*0800-1730 PHNW*")-COUNTIF(AZ7:AZ60,"*0800-1730 DEMT*")-COUNTIF(AZ7:AZ60,"*0800-1730 EXAM*")-COUNTIF(AZ7:AZ60,"*0800-1800 CS*")-COUNTIF(AZ7:AZ60,"*0800-1800 PHNW*")</f>
        <v>6</v>
      </c>
      <c r="BA63" s="314">
        <f>COUNTIF(BA7:BA60,"0800-*")+COUNTIF(BA7:BA60,"0730-*")-COUNTIF(BA7:BA60,"*0800-1730 CS*")-COUNTIF(BA7:BA60,"*0800-1730 PHNW*")-COUNTIF(BA7:BA60,"*0800-1730 DEMT*")-COUNTIF(BA7:BA60,"*0800-1730 EXAM*")-COUNTIF(BA7:BA60,"*0800-1800 CS*")-COUNTIF(BA7:BA60,"*0800-1800 PHNW*")</f>
        <v>6</v>
      </c>
      <c r="BB63" s="314">
        <f>COUNTIF(BB7:BB60,"0800-*")+COUNTIF(BB7:BB60,"0730-*")-COUNTIF(BB7:BB60,"*0800-1730 CS*")-COUNTIF(BB7:BB60,"*0800-1730 PHNW*")-COUNTIF(BB7:BB60,"*0800-1730 DEMT*")-COUNTIF(BB7:BB60,"*0800-1730 EXAM*")-COUNTIF(BB7:BB60,"*0800-1800 CS*")-COUNTIF(BB7:BB60,"*0800-1800 PHNW*")</f>
        <v>6</v>
      </c>
      <c r="BC63" s="314">
        <f>COUNTIF(BC7:BC60,"0800-*")+COUNTIF(BC7:BC60,"0730-*")-COUNTIF(BC7:BC60,"*0800-1730 CS*")-COUNTIF(BC7:BC60,"*0800-1730 PHNW*")-COUNTIF(BC7:BC60,"*0800-1730 DEMT*")-COUNTIF(BC7:BC60,"*0800-1730 EXAM*")-COUNTIF(BC7:BC60,"*0800-1800 CS*")-COUNTIF(BC7:BC60,"*0800-1800 PHNW*")</f>
        <v>6</v>
      </c>
      <c r="BD63" s="314">
        <f>COUNTIF(BD7:BD60,"0800-*")+COUNTIF(BD7:BD60,"0730-*")-COUNTIF(BD7:BD60,"*0800-1730 CS*")-COUNTIF(BD7:BD60,"*0800-1730 PHNW*")-COUNTIF(BD7:BD60,"*0800-1730 DEMT*")-COUNTIF(BD7:BD60,"*0800-1730 EXAM*")-COUNTIF(BD7:BD60,"*0800-1800 CS*")-COUNTIF(BD7:BD60,"*0800-1800 PHNW*")</f>
        <v>6</v>
      </c>
      <c r="BE63" s="314">
        <f>COUNTIF(BE7:BE60,"0800-*")+COUNTIF(BE7:BE60,"0730-*")</f>
        <v>4</v>
      </c>
      <c r="BF63" s="336">
        <f>COUNTIF(BF7:BF60,"0800-*")+COUNTIF(BF7:BF60,"0730-*")</f>
        <v>3</v>
      </c>
      <c r="BG63" s="314">
        <f>COUNTIF(BG7:BG60,"0800-*")+COUNTIF(BG7:BG60,"0730-*")-COUNTIF(BG7:BG60,"*0800-1730 CS*")-COUNTIF(BG7:BG60,"*0800-1730 PHNW*")-COUNTIF(BG7:BG60,"*0800-1730 DEMT*")-COUNTIF(BG7:BG60,"*0800-1730 EXAM*")-COUNTIF(BG7:BG60,"*0800-1800 CS*")-COUNTIF(BG7:BG60,"*0800-1800 PHNW*")</f>
        <v>5</v>
      </c>
      <c r="BH63" s="314">
        <f>COUNTIF(BH7:BH60,"0800-*")+COUNTIF(BH7:BH60,"0730-*")-COUNTIF(BH7:BH60,"*0800-1730 CS*")-COUNTIF(BH7:BH60,"*0800-1730 PHNW*")-COUNTIF(BH7:BH60,"*0800-1730 DEMT*")-COUNTIF(BH7:BH60,"*0800-1730 EXAM*")-COUNTIF(BH7:BH60,"*0800-1800 CS*")-COUNTIF(BH7:BH60,"*0800-1800 PHNW*")</f>
        <v>5</v>
      </c>
      <c r="BI63" s="314">
        <f>COUNTIF(BI7:BI60,"0800-*")+COUNTIF(BI7:BI60,"0730-*")-COUNTIF(BI7:BI60,"*0800-1730 CS*")-COUNTIF(BI7:BI60,"*0800-1730 PHNW*")-COUNTIF(BI7:BI60,"*0800-1730 DEMT*")-COUNTIF(BI7:BI60,"*0800-1730 EXAM*")-COUNTIF(BI7:BI60,"*0800-1800 CS*")-COUNTIF(BI7:BI60,"*0800-1800 PHNW*")</f>
        <v>6</v>
      </c>
      <c r="BJ63" s="314">
        <f>COUNTIF(BJ7:BJ60,"0800-*")+COUNTIF(BJ7:BJ60,"0730-*")-COUNTIF(BJ7:BJ60,"*0800-1730 CS*")-COUNTIF(BJ7:BJ60,"*0800-1730 PHNW*")-COUNTIF(BJ7:BJ60,"*0800-1730 DEMT*")-COUNTIF(BJ7:BJ60,"*0800-1730 EXAM*")-COUNTIF(BJ7:BJ60,"*0800-1800 CS*")-COUNTIF(BJ7:BJ60,"*0800-1800 PHNW*")</f>
        <v>6</v>
      </c>
      <c r="BK63" s="314">
        <f>COUNTIF(BK7:BK60,"0800-*")+COUNTIF(BK7:BK60,"0730-*")-COUNTIF(BK7:BK60,"*0800-1730 CS*")-COUNTIF(BK7:BK60,"*0800-1730 PHNW*")-COUNTIF(BK7:BK60,"*0800-1730 DEMT*")-COUNTIF(BK7:BK60,"*0800-1730 EXAM*")-COUNTIF(BK7:BK60,"*0800-1800 CS*")-COUNTIF(BK7:BK60,"*0800-1800 PHNW*")</f>
        <v>5</v>
      </c>
      <c r="BL63" s="314">
        <f>COUNTIF(BL7:BL60,"0800-*")+COUNTIF(BL7:BL60,"0730-*")</f>
        <v>4</v>
      </c>
      <c r="BM63" s="336">
        <f>COUNTIF(BM7:BM60,"0800-*")+COUNTIF(BM7:BM60,"0730-*")</f>
        <v>3</v>
      </c>
      <c r="BN63" s="314">
        <f>COUNTIF(BN7:BN60,"0800-*")+COUNTIF(BN7:BN60,"0730-*")-COUNTIF(BN7:BN60,"*0800-1730 CS*")-COUNTIF(BN7:BN60,"*0800-1730 PHNW*")-COUNTIF(BN7:BN60,"*0800-1730 DEMT*")-COUNTIF(BN7:BN60,"*0800-1730 EXAM*")-COUNTIF(BN7:BN60,"*0800-1800 CS*")-COUNTIF(BN7:BN60,"*0800-1800 PHNW*")</f>
        <v>5</v>
      </c>
      <c r="BO63" s="314">
        <f>COUNTIF(BO7:BO60,"0800-*")+COUNTIF(BO7:BO60,"0730-*")-COUNTIF(BO7:BO60,"*0800-1730 CS*")-COUNTIF(BO7:BO60,"*0800-1730 PHNW*")-COUNTIF(BO7:BO60,"*0800-1730 DEMT*")-COUNTIF(BO7:BO60,"*0800-1730 EXAM*")-COUNTIF(BO7:BO60,"*0800-1800 CS*")-COUNTIF(BO7:BO60,"*0800-1800 PHNW*")</f>
        <v>5</v>
      </c>
      <c r="BP63" s="314">
        <f>COUNTIF(BP7:BP60,"0800-*")+COUNTIF(BP7:BP60,"0730-*")-COUNTIF(BP7:BP60,"*0800-1730 CS*")-COUNTIF(BP7:BP60,"*0800-1730 PHNW*")-COUNTIF(BP7:BP60,"*0800-1730 DEMT*")-COUNTIF(BP7:BP60,"*0800-1730 EXAM*")-COUNTIF(BP7:BP60,"*0800-1800 CS*")-COUNTIF(BP7:BP60,"*0800-1800 PHNW*")</f>
        <v>6</v>
      </c>
      <c r="BQ63" s="314">
        <f>COUNTIF(BQ7:BQ60,"0800-*")+COUNTIF(BQ7:BQ60,"0730-*")-COUNTIF(BQ7:BQ60,"*0800-1730 CS*")-COUNTIF(BQ7:BQ60,"*0800-1730 PHNW*")-COUNTIF(BQ7:BQ60,"*0800-1730 DEMT*")-COUNTIF(BQ7:BQ60,"*0800-1730 EXAM*")-COUNTIF(BQ7:BQ60,"*0800-1800 CS*")-COUNTIF(BQ7:BQ60,"*0800-1800 PHNW*")</f>
        <v>7</v>
      </c>
      <c r="BR63" s="314">
        <f>COUNTIF(BR7:BR60,"0800-*")+COUNTIF(BR7:BR60,"0730-*")-COUNTIF(BR7:BR60,"*0800-1730 CS*")-COUNTIF(BR7:BR60,"*0800-1730 PHNW*")-COUNTIF(BR7:BR60,"*0800-1730 DEMT*")-COUNTIF(BR7:BR60,"*0800-1730 EXAM*")-COUNTIF(BR7:BR60,"*0800-1800 CS*")-COUNTIF(BR7:BR60,"*0800-1800 PHNW*")</f>
        <v>6</v>
      </c>
      <c r="BS63" s="314">
        <f>COUNTIF(BS7:BS60,"0800-*")+COUNTIF(BS7:BS60,"0730-*")</f>
        <v>4</v>
      </c>
      <c r="BT63" s="336">
        <f>COUNTIF(BT7:BT60,"0800-*")+COUNTIF(BT7:BT60,"0730-*")</f>
        <v>3</v>
      </c>
      <c r="BU63" s="314">
        <f>COUNTIF(BU7:BU60,"0800-*")+COUNTIF(BU7:BU60,"0730-*")-COUNTIF(BU7:BU60,"*0800-1730 CS*")-COUNTIF(BU7:BU60,"*0800-1730 PHNW*")-COUNTIF(BU7:BU60,"*0800-1730 DEMT*")-COUNTIF(BU7:BU60,"*0800-1730 EXAM*")-COUNTIF(BU7:BU60,"*0800-1800 CS*")-COUNTIF(BU7:BU60,"*0800-1800 PHNW*")</f>
        <v>5</v>
      </c>
      <c r="BV63" s="314">
        <f>COUNTIF(BV7:BV60,"0800-*")+COUNTIF(BV7:BV60,"0730-*")-COUNTIF(BV7:BV60,"*0800-1730 CS*")-COUNTIF(BV7:BV60,"*0800-1730 PHNW*")-COUNTIF(BV7:BV60,"*0800-1730 DEMT*")-COUNTIF(BV7:BV60,"*0800-1730 EXAM*")-COUNTIF(BV7:BV60,"*0800-1800 CS*")-COUNTIF(BV7:BV60,"*0800-1800 PHNW*")</f>
        <v>5</v>
      </c>
      <c r="BW63" s="314">
        <f>COUNTIF(BW7:BW60,"0800-*")+COUNTIF(BW7:BW60,"0730-*")-COUNTIF(BW7:BW60,"*0800-1730 CS*")-COUNTIF(BW7:BW60,"*0800-1730 PHNW*")-COUNTIF(BW7:BW60,"*0800-1730 DEMT*")-COUNTIF(BW7:BW60,"*0800-1730 EXAM*")-COUNTIF(BW7:BW60,"*0800-1800 CS*")-COUNTIF(BW7:BW60,"*0800-1800 PHNW*")</f>
        <v>6</v>
      </c>
      <c r="BX63" s="314">
        <f>COUNTIF(BX7:BX60,"0800-*")+COUNTIF(BX7:BX60,"0730-*")-COUNTIF(BX7:BX60,"*0800-1730 CS*")-COUNTIF(BX7:BX60,"*0800-1730 PHNW*")-COUNTIF(BX7:BX60,"*0800-1730 DEMT*")-COUNTIF(BX7:BX60,"*0800-1730 EXAM*")-COUNTIF(BX7:BX60,"*0800-1800 CS*")-COUNTIF(BX7:BX60,"*0800-1800 PHNW*")</f>
        <v>5</v>
      </c>
      <c r="BY63" s="314">
        <f>COUNTIF(BY7:BY60,"0800-*")+COUNTIF(BY7:BY60,"0730-*")-COUNTIF(BY7:BY60,"*0800-1730 CS*")-COUNTIF(BY7:BY60,"*0800-1730 PHNW*")-COUNTIF(BY7:BY60,"*0800-1730 DEMT*")-COUNTIF(BY7:BY60,"*0800-1730 EXAM*")-COUNTIF(BY7:BY60,"*0800-1800 CS*")-COUNTIF(BY7:BY60,"*0800-1800 PHNW*")</f>
        <v>5</v>
      </c>
      <c r="BZ63" s="314">
        <f>COUNTIF(BZ7:BZ60,"0800-*")+COUNTIF(BZ7:BZ60,"0730-*")</f>
        <v>4</v>
      </c>
      <c r="CA63" s="336">
        <f>COUNTIF(CA7:CA60,"0800-*")+COUNTIF(CA7:CA60,"0730-*")</f>
        <v>4</v>
      </c>
      <c r="CB63" s="314">
        <f>COUNTIF(CB7:CB60,"0800-*")+COUNTIF(CB7:CB60,"0730-*")-COUNTIF(CB7:CB60,"*0800-1730 CS*")-COUNTIF(CB7:CB60,"*0800-1730 PHNW*")-COUNTIF(CB7:CB60,"*0800-1730 DEMT*")-COUNTIF(CB7:CB60,"*0800-1730 EXAM*")-COUNTIF(CB7:CB60,"*0800-1800 CS*")-COUNTIF(CB7:CB60,"*0800-1800 PHNW*")</f>
        <v>6</v>
      </c>
      <c r="CC63" s="314">
        <f>COUNTIF(CC7:CC60,"0800-*")+COUNTIF(CC7:CC60,"0730-*")-COUNTIF(CC7:CC60,"*0800-1730 CS*")-COUNTIF(CC7:CC60,"*0800-1730 PHNW*")-COUNTIF(CC7:CC60,"*0800-1730 DEMT*")-COUNTIF(CC7:CC60,"*0800-1730 EXAM*")-COUNTIF(CC7:CC60,"*0800-1800 CS*")-COUNTIF(CC7:CC60,"*0800-1800 PHNW*")</f>
        <v>6</v>
      </c>
      <c r="CD63" s="314">
        <f>COUNTIF(CD7:CD60,"0800-*")+COUNTIF(CD7:CD60,"0730-*")-COUNTIF(CD7:CD60,"*0800-1730 CS*")-COUNTIF(CD7:CD60,"*0800-1730 PHNW*")-COUNTIF(CD7:CD60,"*0800-1730 DEMT*")-COUNTIF(CD7:CD60,"*0800-1730 EXAM*")-COUNTIF(CD7:CD60,"*0800-1800 CS*")-COUNTIF(CD7:CD60,"*0800-1800 PHNW*")</f>
        <v>7</v>
      </c>
      <c r="CE63" s="314">
        <f>COUNTIF(CE7:CE60,"0800-*")+COUNTIF(CE7:CE60,"0730-*")-COUNTIF(CE7:CE60,"*0800-1730 CS*")-COUNTIF(CE7:CE60,"*0800-1730 PHNW*")-COUNTIF(CE7:CE60,"*0800-1730 DEMT*")-COUNTIF(CE7:CE60,"*0800-1730 EXAM*")-COUNTIF(CE7:CE60,"*0800-1800 CS*")-COUNTIF(CE7:CE60,"*0800-1800 PHNW*")</f>
        <v>6</v>
      </c>
      <c r="CF63" s="314">
        <f>COUNTIF(CF7:CF60,"0800-*")+COUNTIF(CF7:CF60,"0730-*")-COUNTIF(CF7:CF60,"*0800-1730 CS*")-COUNTIF(CF7:CF60,"*0800-1730 PHNW*")-COUNTIF(CF7:CF60,"*0800-1730 DEMT*")-COUNTIF(CF7:CF60,"*0800-1730 EXAM*")-COUNTIF(CF7:CF60,"*0800-1800 CS*")-COUNTIF(CF7:CF60,"*0800-1800 PHNW*")</f>
        <v>6</v>
      </c>
      <c r="CG63" s="314">
        <f>COUNTIF(CG7:CG60,"0800-*")+COUNTIF(CG7:CG60,"0730-*")</f>
        <v>4</v>
      </c>
      <c r="CH63" s="336">
        <f>COUNTIF(CH7:CH60,"0800-*")+COUNTIF(CH7:CH60,"0730-*")</f>
        <v>4</v>
      </c>
      <c r="CI63" s="314">
        <f>COUNTIF(CI7:CI60,"0800-*")+COUNTIF(CI7:CI60,"0730-*")-COUNTIF(CI7:CI60,"*0800-1730 CS*")-COUNTIF(CI7:CI60,"*0800-1730 PHNW*")-COUNTIF(CI7:CI60,"*0800-1730 DEMT*")-COUNTIF(CI7:CI60,"*0800-1730 EXAM*")-COUNTIF(CI7:CI60,"*0800-1800 CS*")-COUNTIF(CI7:CI60,"*0800-1800 PHNW*")</f>
        <v>5</v>
      </c>
      <c r="CJ63" s="314">
        <f>COUNTIF(CJ7:CJ60,"0800-*")+COUNTIF(CJ7:CJ60,"0730-*")-COUNTIF(CJ7:CJ60,"*0800-1730 CS*")-COUNTIF(CJ7:CJ60,"*0800-1730 PHNW*")-COUNTIF(CJ7:CJ60,"*0800-1730 DEMT*")-COUNTIF(CJ7:CJ60,"*0800-1730 EXAM*")-COUNTIF(CJ7:CJ60,"*0800-1800 CS*")-COUNTIF(CJ7:CJ60,"*0800-1800 PHNW*")</f>
        <v>5</v>
      </c>
      <c r="CK63" s="314">
        <f>COUNTIF(CK7:CK60,"0800-*")+COUNTIF(CK7:CK60,"0730-*")-COUNTIF(CK7:CK60,"*0800-1730 CS*")-COUNTIF(CK7:CK60,"*0800-1730 PHNW*")-COUNTIF(CK7:CK60,"*0800-1730 DEMT*")-COUNTIF(CK7:CK60,"*0800-1730 EXAM*")-COUNTIF(CK7:CK60,"*0800-1800 CS*")-COUNTIF(CK7:CK60,"*0800-1800 PHNW*")</f>
        <v>6</v>
      </c>
      <c r="CL63" s="314">
        <f>COUNTIF(CL7:CL60,"0800-*")+COUNTIF(CL7:CL60,"0730-*")-COUNTIF(CL7:CL60,"*0800-1730 CS*")-COUNTIF(CL7:CL60,"*0800-1730 PHNW*")-COUNTIF(CL7:CL60,"*0800-1730 DEMT*")-COUNTIF(CL7:CL60,"*0800-1730 EXAM*")-COUNTIF(CL7:CL60,"*0800-1800 CS*")-COUNTIF(CL7:CL60,"*0800-1800 PHNW*")</f>
        <v>6</v>
      </c>
      <c r="CM63" s="314">
        <f>COUNTIF(CM7:CM60,"0800-*")+COUNTIF(CM7:CM60,"0730-*")-COUNTIF(CM7:CM60,"*0800-1730 CS*")-COUNTIF(CM7:CM60,"*0800-1730 PHNW*")-COUNTIF(CM7:CM60,"*0800-1730 DEMT*")-COUNTIF(CM7:CM60,"*0800-1730 EXAM*")-COUNTIF(CM7:CM60,"*0800-1800 CS*")-COUNTIF(CM7:CM60,"*0800-1800 PHNW*")</f>
        <v>5</v>
      </c>
      <c r="CN63" s="314">
        <f>COUNTIF(CN7:CN60,"0800-*")+COUNTIF(CN7:CN60,"0730-*")</f>
        <v>3</v>
      </c>
      <c r="CO63" s="336">
        <f>COUNTIF(CO7:CO60,"0800-*")+COUNTIF(CO7:CO60,"0730-*")</f>
        <v>3</v>
      </c>
      <c r="CP63" s="326"/>
      <c r="CQ63" s="326"/>
      <c r="CR63" s="326"/>
    </row>
    <row r="64" spans="1:96" s="3" customFormat="1" ht="14.1" customHeight="1">
      <c r="A64" s="405" t="s">
        <v>146</v>
      </c>
      <c r="B64" s="406"/>
      <c r="C64" s="341">
        <f t="shared" ref="C64:AH64" si="10">COUNTIF(C7:C61,"*0000*")</f>
        <v>5</v>
      </c>
      <c r="D64" s="314">
        <f t="shared" si="10"/>
        <v>5</v>
      </c>
      <c r="E64" s="314">
        <f t="shared" si="10"/>
        <v>5</v>
      </c>
      <c r="F64" s="314">
        <f t="shared" si="10"/>
        <v>5</v>
      </c>
      <c r="G64" s="314">
        <f t="shared" si="10"/>
        <v>5</v>
      </c>
      <c r="H64" s="314">
        <f t="shared" si="10"/>
        <v>3</v>
      </c>
      <c r="I64" s="336">
        <f t="shared" si="10"/>
        <v>4</v>
      </c>
      <c r="J64" s="341">
        <f t="shared" si="10"/>
        <v>5</v>
      </c>
      <c r="K64" s="314">
        <f t="shared" si="10"/>
        <v>6</v>
      </c>
      <c r="L64" s="314">
        <f t="shared" si="10"/>
        <v>5</v>
      </c>
      <c r="M64" s="314">
        <f t="shared" si="10"/>
        <v>6</v>
      </c>
      <c r="N64" s="314">
        <f t="shared" si="10"/>
        <v>5</v>
      </c>
      <c r="O64" s="314">
        <f t="shared" si="10"/>
        <v>4</v>
      </c>
      <c r="P64" s="336">
        <f t="shared" si="10"/>
        <v>4</v>
      </c>
      <c r="Q64" s="341">
        <f t="shared" si="10"/>
        <v>5</v>
      </c>
      <c r="R64" s="314">
        <f t="shared" si="10"/>
        <v>5</v>
      </c>
      <c r="S64" s="314">
        <f t="shared" si="10"/>
        <v>5</v>
      </c>
      <c r="T64" s="314">
        <f t="shared" si="10"/>
        <v>5</v>
      </c>
      <c r="U64" s="314">
        <f t="shared" si="10"/>
        <v>5</v>
      </c>
      <c r="V64" s="314">
        <f t="shared" si="10"/>
        <v>4</v>
      </c>
      <c r="W64" s="336">
        <f t="shared" si="10"/>
        <v>4</v>
      </c>
      <c r="X64" s="341">
        <f t="shared" si="10"/>
        <v>5</v>
      </c>
      <c r="Y64" s="314">
        <f t="shared" si="10"/>
        <v>6</v>
      </c>
      <c r="Z64" s="314">
        <f t="shared" si="10"/>
        <v>6</v>
      </c>
      <c r="AA64" s="314">
        <f t="shared" si="10"/>
        <v>6</v>
      </c>
      <c r="AB64" s="314">
        <f t="shared" si="10"/>
        <v>5</v>
      </c>
      <c r="AC64" s="314">
        <f t="shared" si="10"/>
        <v>3</v>
      </c>
      <c r="AD64" s="336">
        <f t="shared" si="10"/>
        <v>4</v>
      </c>
      <c r="AE64" s="341">
        <f t="shared" si="10"/>
        <v>5</v>
      </c>
      <c r="AF64" s="314">
        <f t="shared" si="10"/>
        <v>6</v>
      </c>
      <c r="AG64" s="314">
        <f t="shared" si="10"/>
        <v>6</v>
      </c>
      <c r="AH64" s="314">
        <f t="shared" si="10"/>
        <v>5</v>
      </c>
      <c r="AI64" s="314">
        <f t="shared" ref="AI64:BN64" si="11">COUNTIF(AI7:AI61,"*0000*")</f>
        <v>5</v>
      </c>
      <c r="AJ64" s="314">
        <f t="shared" si="11"/>
        <v>3</v>
      </c>
      <c r="AK64" s="336">
        <f t="shared" si="11"/>
        <v>4</v>
      </c>
      <c r="AL64" s="341">
        <f t="shared" si="11"/>
        <v>5</v>
      </c>
      <c r="AM64" s="314">
        <f t="shared" si="11"/>
        <v>6</v>
      </c>
      <c r="AN64" s="314">
        <f t="shared" si="11"/>
        <v>5</v>
      </c>
      <c r="AO64" s="314">
        <f t="shared" si="11"/>
        <v>5</v>
      </c>
      <c r="AP64" s="314">
        <f t="shared" si="11"/>
        <v>5</v>
      </c>
      <c r="AQ64" s="314">
        <f t="shared" si="11"/>
        <v>4</v>
      </c>
      <c r="AR64" s="336">
        <f t="shared" si="11"/>
        <v>4</v>
      </c>
      <c r="AS64" s="341">
        <f t="shared" si="11"/>
        <v>5</v>
      </c>
      <c r="AT64" s="314">
        <f t="shared" si="11"/>
        <v>5</v>
      </c>
      <c r="AU64" s="314">
        <f t="shared" si="11"/>
        <v>5</v>
      </c>
      <c r="AV64" s="314">
        <f t="shared" si="11"/>
        <v>6</v>
      </c>
      <c r="AW64" s="314">
        <f t="shared" si="11"/>
        <v>5</v>
      </c>
      <c r="AX64" s="314">
        <f t="shared" si="11"/>
        <v>4</v>
      </c>
      <c r="AY64" s="336">
        <f t="shared" si="11"/>
        <v>3</v>
      </c>
      <c r="AZ64" s="341">
        <f t="shared" si="11"/>
        <v>5</v>
      </c>
      <c r="BA64" s="314">
        <f t="shared" si="11"/>
        <v>5</v>
      </c>
      <c r="BB64" s="314">
        <f t="shared" si="11"/>
        <v>6</v>
      </c>
      <c r="BC64" s="314">
        <f t="shared" si="11"/>
        <v>6</v>
      </c>
      <c r="BD64" s="314">
        <f t="shared" si="11"/>
        <v>5</v>
      </c>
      <c r="BE64" s="314">
        <f t="shared" si="11"/>
        <v>3</v>
      </c>
      <c r="BF64" s="336">
        <f t="shared" si="11"/>
        <v>4</v>
      </c>
      <c r="BG64" s="341">
        <f t="shared" si="11"/>
        <v>5</v>
      </c>
      <c r="BH64" s="314">
        <f t="shared" si="11"/>
        <v>5</v>
      </c>
      <c r="BI64" s="314">
        <f t="shared" si="11"/>
        <v>5</v>
      </c>
      <c r="BJ64" s="314">
        <f t="shared" si="11"/>
        <v>5</v>
      </c>
      <c r="BK64" s="314">
        <f t="shared" si="11"/>
        <v>5</v>
      </c>
      <c r="BL64" s="314">
        <f t="shared" si="11"/>
        <v>3</v>
      </c>
      <c r="BM64" s="336">
        <f t="shared" si="11"/>
        <v>4</v>
      </c>
      <c r="BN64" s="341">
        <f t="shared" si="11"/>
        <v>5</v>
      </c>
      <c r="BO64" s="314">
        <f t="shared" ref="BO64:CO64" si="12">COUNTIF(BO7:BO61,"*0000*")</f>
        <v>5</v>
      </c>
      <c r="BP64" s="314">
        <f t="shared" si="12"/>
        <v>6</v>
      </c>
      <c r="BQ64" s="314">
        <f t="shared" si="12"/>
        <v>5</v>
      </c>
      <c r="BR64" s="314">
        <f t="shared" si="12"/>
        <v>5</v>
      </c>
      <c r="BS64" s="314">
        <f t="shared" si="12"/>
        <v>3</v>
      </c>
      <c r="BT64" s="336">
        <f t="shared" si="12"/>
        <v>4</v>
      </c>
      <c r="BU64" s="341">
        <f t="shared" si="12"/>
        <v>5</v>
      </c>
      <c r="BV64" s="314">
        <f t="shared" si="12"/>
        <v>5</v>
      </c>
      <c r="BW64" s="314">
        <f t="shared" si="12"/>
        <v>5</v>
      </c>
      <c r="BX64" s="314">
        <f t="shared" si="12"/>
        <v>5</v>
      </c>
      <c r="BY64" s="314">
        <f t="shared" si="12"/>
        <v>5</v>
      </c>
      <c r="BZ64" s="314">
        <f t="shared" si="12"/>
        <v>3</v>
      </c>
      <c r="CA64" s="336">
        <f t="shared" si="12"/>
        <v>3</v>
      </c>
      <c r="CB64" s="341">
        <f t="shared" si="12"/>
        <v>5</v>
      </c>
      <c r="CC64" s="314">
        <f t="shared" si="12"/>
        <v>6</v>
      </c>
      <c r="CD64" s="314">
        <f t="shared" si="12"/>
        <v>6</v>
      </c>
      <c r="CE64" s="314">
        <f t="shared" si="12"/>
        <v>6</v>
      </c>
      <c r="CF64" s="314">
        <f t="shared" si="12"/>
        <v>5</v>
      </c>
      <c r="CG64" s="314">
        <f t="shared" si="12"/>
        <v>4</v>
      </c>
      <c r="CH64" s="336">
        <f t="shared" si="12"/>
        <v>4</v>
      </c>
      <c r="CI64" s="341">
        <f t="shared" si="12"/>
        <v>5</v>
      </c>
      <c r="CJ64" s="314">
        <f t="shared" si="12"/>
        <v>5</v>
      </c>
      <c r="CK64" s="314">
        <f t="shared" si="12"/>
        <v>5</v>
      </c>
      <c r="CL64" s="314">
        <f t="shared" si="12"/>
        <v>5</v>
      </c>
      <c r="CM64" s="314">
        <f t="shared" si="12"/>
        <v>5</v>
      </c>
      <c r="CN64" s="314">
        <f t="shared" si="12"/>
        <v>3</v>
      </c>
      <c r="CO64" s="336">
        <f t="shared" si="12"/>
        <v>4</v>
      </c>
      <c r="CP64" s="314"/>
      <c r="CQ64" s="326"/>
      <c r="CR64" s="326"/>
    </row>
    <row r="65" spans="1:96" ht="14.1" customHeight="1">
      <c r="A65" s="407" t="s">
        <v>147</v>
      </c>
      <c r="B65" s="48"/>
      <c r="C65" s="408"/>
      <c r="D65" s="409"/>
      <c r="E65" s="409"/>
      <c r="F65" s="409"/>
      <c r="G65" s="409" t="s">
        <v>115</v>
      </c>
      <c r="H65" s="409"/>
      <c r="I65" s="410"/>
      <c r="J65" s="408"/>
      <c r="K65" s="409"/>
      <c r="L65" s="409"/>
      <c r="M65" s="409"/>
      <c r="N65" s="409"/>
      <c r="O65" s="409"/>
      <c r="P65" s="410"/>
      <c r="Q65" s="408"/>
      <c r="R65" s="409"/>
      <c r="S65" s="409"/>
      <c r="T65" s="409"/>
      <c r="U65" s="409"/>
      <c r="V65" s="409"/>
      <c r="W65" s="410"/>
      <c r="X65" s="408"/>
      <c r="Y65" s="409"/>
      <c r="Z65" s="409"/>
      <c r="AA65" s="409"/>
      <c r="AB65" s="409"/>
      <c r="AC65" s="409"/>
      <c r="AD65" s="410"/>
      <c r="AE65" s="408"/>
      <c r="AF65" s="409"/>
      <c r="AG65" s="409"/>
      <c r="AH65" s="409"/>
      <c r="AI65" s="409"/>
      <c r="AJ65" s="409"/>
      <c r="AK65" s="410"/>
      <c r="AL65" s="408"/>
      <c r="AM65" s="409"/>
      <c r="AN65" s="409"/>
      <c r="AO65" s="409"/>
      <c r="AP65" s="409"/>
      <c r="AQ65" s="409"/>
      <c r="AR65" s="410"/>
      <c r="AS65" s="408"/>
      <c r="AT65" s="409"/>
      <c r="AU65" s="409"/>
      <c r="AV65" s="409"/>
      <c r="AW65" s="409"/>
      <c r="AX65" s="409"/>
      <c r="AY65" s="410"/>
      <c r="AZ65" s="408"/>
      <c r="BA65" s="409"/>
      <c r="BB65" s="409"/>
      <c r="BC65" s="409"/>
      <c r="BD65" s="409"/>
      <c r="BE65" s="409"/>
      <c r="BF65" s="410"/>
      <c r="BG65" s="408"/>
      <c r="BH65" s="409"/>
      <c r="BI65" s="409"/>
      <c r="BJ65" s="409"/>
      <c r="BK65" s="409"/>
      <c r="BL65" s="409"/>
      <c r="BM65" s="410"/>
      <c r="BN65" s="408"/>
      <c r="BO65" s="409"/>
      <c r="BP65" s="409"/>
      <c r="BQ65" s="409"/>
      <c r="BR65" s="409"/>
      <c r="BS65" s="409"/>
      <c r="BT65" s="410"/>
      <c r="BU65" s="408"/>
      <c r="BV65" s="409"/>
      <c r="BW65" s="409"/>
      <c r="BX65" s="409"/>
      <c r="BY65" s="409"/>
      <c r="BZ65" s="409"/>
      <c r="CA65" s="410"/>
      <c r="CB65" s="408"/>
      <c r="CC65" s="409"/>
      <c r="CD65" s="409"/>
      <c r="CE65" s="409"/>
      <c r="CF65" s="409"/>
      <c r="CG65" s="409"/>
      <c r="CH65" s="410"/>
      <c r="CI65" s="408"/>
      <c r="CJ65" s="409"/>
      <c r="CK65" s="409"/>
      <c r="CL65" s="409"/>
      <c r="CM65" s="409"/>
      <c r="CN65" s="409"/>
      <c r="CO65" s="410"/>
      <c r="CQ65" s="326"/>
      <c r="CR65" s="326"/>
    </row>
    <row r="66" spans="1:96" ht="14.1" customHeight="1">
      <c r="A66" s="411" t="s">
        <v>148</v>
      </c>
      <c r="B66" s="136" t="str">
        <f>CONCATENATE(CP66,"-",CQ66)</f>
        <v>20-19</v>
      </c>
      <c r="C66" s="341"/>
      <c r="D66" s="334"/>
      <c r="E66" s="314" t="s">
        <v>149</v>
      </c>
      <c r="F66" s="314" t="s">
        <v>32</v>
      </c>
      <c r="G66" s="314"/>
      <c r="H66" s="314" t="s">
        <v>149</v>
      </c>
      <c r="I66" s="336" t="s">
        <v>149</v>
      </c>
      <c r="J66" s="341" t="s">
        <v>150</v>
      </c>
      <c r="K66" s="334"/>
      <c r="L66" s="314" t="s">
        <v>149</v>
      </c>
      <c r="M66" s="314" t="s">
        <v>3</v>
      </c>
      <c r="N66" s="314" t="s">
        <v>150</v>
      </c>
      <c r="O66" s="314"/>
      <c r="P66" s="336"/>
      <c r="Q66" s="355" t="s">
        <v>31</v>
      </c>
      <c r="R66" s="356"/>
      <c r="S66" s="356"/>
      <c r="T66" s="356"/>
      <c r="U66" s="356"/>
      <c r="V66" s="356"/>
      <c r="W66" s="333"/>
      <c r="X66" s="355" t="s">
        <v>31</v>
      </c>
      <c r="Y66" s="356"/>
      <c r="Z66" s="356"/>
      <c r="AA66" s="356"/>
      <c r="AB66" s="356"/>
      <c r="AC66" s="356"/>
      <c r="AD66" s="333"/>
      <c r="AE66" s="341" t="s">
        <v>150</v>
      </c>
      <c r="AF66" s="334"/>
      <c r="AG66" s="314" t="s">
        <v>149</v>
      </c>
      <c r="AH66" s="314"/>
      <c r="AI66" s="314"/>
      <c r="AJ66" s="314" t="s">
        <v>35</v>
      </c>
      <c r="AK66" s="336" t="s">
        <v>46</v>
      </c>
      <c r="AL66" s="341" t="s">
        <v>150</v>
      </c>
      <c r="AM66" s="334"/>
      <c r="AN66" s="314" t="s">
        <v>149</v>
      </c>
      <c r="AO66" s="412" t="s">
        <v>151</v>
      </c>
      <c r="AP66" s="314" t="s">
        <v>150</v>
      </c>
      <c r="AQ66" s="314"/>
      <c r="AR66" s="336"/>
      <c r="AS66" s="341" t="s">
        <v>150</v>
      </c>
      <c r="AT66" s="334"/>
      <c r="AU66" s="314" t="s">
        <v>150</v>
      </c>
      <c r="AV66" s="314"/>
      <c r="AW66" s="314"/>
      <c r="AX66" s="314" t="s">
        <v>37</v>
      </c>
      <c r="AY66" s="336" t="s">
        <v>35</v>
      </c>
      <c r="AZ66" s="341" t="s">
        <v>150</v>
      </c>
      <c r="BA66" s="334"/>
      <c r="BB66" s="314" t="s">
        <v>149</v>
      </c>
      <c r="BC66" s="314" t="s">
        <v>3</v>
      </c>
      <c r="BD66" s="314" t="s">
        <v>150</v>
      </c>
      <c r="BE66" s="314"/>
      <c r="BF66" s="336"/>
      <c r="BG66" s="341" t="s">
        <v>149</v>
      </c>
      <c r="BH66" s="334"/>
      <c r="BI66" s="314" t="s">
        <v>149</v>
      </c>
      <c r="BJ66" s="314" t="s">
        <v>150</v>
      </c>
      <c r="BK66" s="314" t="s">
        <v>150</v>
      </c>
      <c r="BL66" s="314"/>
      <c r="BM66" s="336"/>
      <c r="BN66" s="341" t="s">
        <v>149</v>
      </c>
      <c r="BO66" s="334"/>
      <c r="BP66" s="314" t="s">
        <v>149</v>
      </c>
      <c r="BQ66" s="314"/>
      <c r="BR66" s="314"/>
      <c r="BS66" s="314" t="s">
        <v>35</v>
      </c>
      <c r="BT66" s="336" t="s">
        <v>46</v>
      </c>
      <c r="BU66" s="341" t="s">
        <v>150</v>
      </c>
      <c r="BV66" s="334"/>
      <c r="BW66" s="314" t="s">
        <v>149</v>
      </c>
      <c r="BX66" s="314" t="s">
        <v>149</v>
      </c>
      <c r="BY66" s="412" t="s">
        <v>151</v>
      </c>
      <c r="BZ66" s="314"/>
      <c r="CA66" s="336"/>
      <c r="CB66" s="341" t="s">
        <v>150</v>
      </c>
      <c r="CC66" s="334"/>
      <c r="CD66" s="314" t="s">
        <v>149</v>
      </c>
      <c r="CE66" s="314" t="s">
        <v>3</v>
      </c>
      <c r="CF66" s="314" t="s">
        <v>150</v>
      </c>
      <c r="CG66" s="314"/>
      <c r="CH66" s="336"/>
      <c r="CI66" s="341" t="s">
        <v>149</v>
      </c>
      <c r="CJ66" s="334"/>
      <c r="CK66" s="314" t="s">
        <v>149</v>
      </c>
      <c r="CL66" s="314"/>
      <c r="CM66" s="314"/>
      <c r="CN66" s="314" t="s">
        <v>32</v>
      </c>
      <c r="CO66" s="336" t="s">
        <v>37</v>
      </c>
      <c r="CP66" s="137">
        <f>COUNTIF(C66:CO66,"0800*")</f>
        <v>20</v>
      </c>
      <c r="CQ66" s="326">
        <f>COUNTIF(C66:CO66,"1430*")+COUNTIF(C66:CH66,"1500*")+COUNTIF(C66:CH66,"Paeds pm")+COUNTIF(C66:CH66,"1600*")</f>
        <v>19</v>
      </c>
      <c r="CR66" s="326">
        <f>COUNTIF(C66:CO66,"*CS*")+COUNTIF(C66:CH66,"*PHNW*")+COUNTIF(C66:CH66,"*EXAM*")</f>
        <v>5</v>
      </c>
    </row>
    <row r="67" spans="1:96" ht="14.1" customHeight="1">
      <c r="A67" s="411" t="s">
        <v>152</v>
      </c>
      <c r="B67" s="136" t="str">
        <f>CONCATENATE(CP67,"-",CQ67)</f>
        <v>3-0</v>
      </c>
      <c r="C67" s="341"/>
      <c r="D67" s="314"/>
      <c r="E67" s="314" t="s">
        <v>153</v>
      </c>
      <c r="F67" s="314"/>
      <c r="G67" s="314"/>
      <c r="H67" s="314"/>
      <c r="I67" s="336"/>
      <c r="J67" s="341"/>
      <c r="K67" s="314"/>
      <c r="L67" s="314" t="s">
        <v>153</v>
      </c>
      <c r="M67" s="314"/>
      <c r="N67" s="314"/>
      <c r="O67" s="314"/>
      <c r="P67" s="336"/>
      <c r="Q67" s="341"/>
      <c r="R67" s="314"/>
      <c r="S67" s="314" t="s">
        <v>153</v>
      </c>
      <c r="T67" s="314"/>
      <c r="U67" s="314"/>
      <c r="V67" s="314"/>
      <c r="W67" s="336"/>
      <c r="X67" s="341"/>
      <c r="Y67" s="314"/>
      <c r="Z67" s="314" t="s">
        <v>153</v>
      </c>
      <c r="AA67" s="314"/>
      <c r="AB67" s="314"/>
      <c r="AC67" s="314" t="s">
        <v>91</v>
      </c>
      <c r="AD67" s="336"/>
      <c r="AE67" s="341"/>
      <c r="AF67" s="314"/>
      <c r="AG67" s="314" t="s">
        <v>153</v>
      </c>
      <c r="AH67" s="314"/>
      <c r="AI67" s="314"/>
      <c r="AJ67" s="314"/>
      <c r="AK67" s="336"/>
      <c r="AL67" s="341"/>
      <c r="AM67" s="314"/>
      <c r="AN67" s="314" t="s">
        <v>153</v>
      </c>
      <c r="AO67" s="314"/>
      <c r="AP67" s="314"/>
      <c r="AQ67" s="314"/>
      <c r="AR67" s="336"/>
      <c r="AS67" s="341"/>
      <c r="AT67" s="314"/>
      <c r="AU67" s="314" t="s">
        <v>153</v>
      </c>
      <c r="AV67" s="314"/>
      <c r="AW67" s="314"/>
      <c r="AX67" s="314" t="s">
        <v>91</v>
      </c>
      <c r="AY67" s="336"/>
      <c r="AZ67" s="341"/>
      <c r="BA67" s="314"/>
      <c r="BB67" s="314" t="s">
        <v>153</v>
      </c>
      <c r="BC67" s="314"/>
      <c r="BD67" s="314"/>
      <c r="BE67" s="334"/>
      <c r="BF67" s="336"/>
      <c r="BG67" s="331" t="s">
        <v>31</v>
      </c>
      <c r="BH67" s="332"/>
      <c r="BI67" s="332"/>
      <c r="BJ67" s="332"/>
      <c r="BK67" s="332"/>
      <c r="BL67" s="332"/>
      <c r="BM67" s="333"/>
      <c r="BN67" s="341"/>
      <c r="BO67" s="314"/>
      <c r="BP67" s="314" t="s">
        <v>153</v>
      </c>
      <c r="BQ67" s="314"/>
      <c r="BR67" s="314"/>
      <c r="BS67" s="314"/>
      <c r="BT67" s="336"/>
      <c r="BU67" s="341"/>
      <c r="BV67" s="314"/>
      <c r="BW67" s="314" t="s">
        <v>153</v>
      </c>
      <c r="BX67" s="314"/>
      <c r="BY67" s="314"/>
      <c r="BZ67" s="314"/>
      <c r="CA67" s="336"/>
      <c r="CB67" s="341"/>
      <c r="CC67" s="314"/>
      <c r="CD67" s="314" t="s">
        <v>153</v>
      </c>
      <c r="CE67" s="314"/>
      <c r="CF67" s="314"/>
      <c r="CG67" s="314" t="s">
        <v>91</v>
      </c>
      <c r="CH67" s="336"/>
      <c r="CI67" s="341"/>
      <c r="CJ67" s="314"/>
      <c r="CK67" s="314" t="s">
        <v>153</v>
      </c>
      <c r="CL67" s="314"/>
      <c r="CM67" s="314"/>
      <c r="CN67" s="314"/>
      <c r="CO67" s="336"/>
      <c r="CP67" s="137">
        <f>COUNTIF(C67:CO67,"0800*")</f>
        <v>3</v>
      </c>
      <c r="CQ67" s="326">
        <f>COUNTIF(C67:CO67,"1430*")+COUNTIF(C67:CH67,"1500*")+COUNTIF(C67:CH67,"Paeds pm")+COUNTIF(C67:CH67,"1600*")</f>
        <v>0</v>
      </c>
      <c r="CR67" s="326"/>
    </row>
    <row r="68" spans="1:96" ht="14.1" customHeight="1">
      <c r="A68" s="411" t="s">
        <v>154</v>
      </c>
      <c r="B68" s="136" t="str">
        <f>CONCATENATE(CP68,"-",CQ68)</f>
        <v>26-0</v>
      </c>
      <c r="C68" s="381"/>
      <c r="D68" s="350"/>
      <c r="E68" s="314" t="s">
        <v>91</v>
      </c>
      <c r="F68" s="350"/>
      <c r="G68" s="350"/>
      <c r="H68" s="314"/>
      <c r="I68" s="336" t="s">
        <v>91</v>
      </c>
      <c r="J68" s="381"/>
      <c r="K68" s="350"/>
      <c r="L68" s="314" t="s">
        <v>91</v>
      </c>
      <c r="M68" s="350"/>
      <c r="N68" s="350"/>
      <c r="O68" s="314"/>
      <c r="P68" s="336" t="s">
        <v>91</v>
      </c>
      <c r="Q68" s="381"/>
      <c r="R68" s="350"/>
      <c r="S68" s="314" t="s">
        <v>155</v>
      </c>
      <c r="T68" s="350"/>
      <c r="U68" s="350"/>
      <c r="V68" s="314"/>
      <c r="W68" s="336" t="s">
        <v>91</v>
      </c>
      <c r="X68" s="381"/>
      <c r="Y68" s="350"/>
      <c r="Z68" s="314" t="s">
        <v>155</v>
      </c>
      <c r="AA68" s="350"/>
      <c r="AB68" s="350"/>
      <c r="AC68" s="314"/>
      <c r="AD68" s="336" t="s">
        <v>91</v>
      </c>
      <c r="AE68" s="381"/>
      <c r="AF68" s="350"/>
      <c r="AG68" s="314" t="s">
        <v>155</v>
      </c>
      <c r="AH68" s="350"/>
      <c r="AI68" s="350"/>
      <c r="AJ68" s="314"/>
      <c r="AK68" s="336" t="s">
        <v>91</v>
      </c>
      <c r="AL68" s="381"/>
      <c r="AM68" s="350"/>
      <c r="AN68" s="314" t="s">
        <v>155</v>
      </c>
      <c r="AO68" s="350"/>
      <c r="AP68" s="350"/>
      <c r="AQ68" s="314"/>
      <c r="AR68" s="336" t="s">
        <v>91</v>
      </c>
      <c r="AS68" s="381"/>
      <c r="AT68" s="350"/>
      <c r="AU68" s="314" t="s">
        <v>155</v>
      </c>
      <c r="AV68" s="350"/>
      <c r="AW68" s="350"/>
      <c r="AX68" s="314"/>
      <c r="AY68" s="336" t="s">
        <v>91</v>
      </c>
      <c r="AZ68" s="381"/>
      <c r="BA68" s="350"/>
      <c r="BB68" s="314" t="s">
        <v>91</v>
      </c>
      <c r="BC68" s="350"/>
      <c r="BD68" s="350"/>
      <c r="BE68" s="314"/>
      <c r="BF68" s="336" t="s">
        <v>91</v>
      </c>
      <c r="BG68" s="381"/>
      <c r="BH68" s="350"/>
      <c r="BI68" s="314" t="s">
        <v>91</v>
      </c>
      <c r="BJ68" s="350"/>
      <c r="BK68" s="350"/>
      <c r="BL68" s="314"/>
      <c r="BM68" s="336" t="s">
        <v>91</v>
      </c>
      <c r="BN68" s="381"/>
      <c r="BO68" s="350"/>
      <c r="BP68" s="314" t="s">
        <v>91</v>
      </c>
      <c r="BQ68" s="350"/>
      <c r="BR68" s="350"/>
      <c r="BS68" s="314"/>
      <c r="BT68" s="336" t="s">
        <v>91</v>
      </c>
      <c r="BU68" s="381"/>
      <c r="BV68" s="350"/>
      <c r="BW68" s="314" t="s">
        <v>91</v>
      </c>
      <c r="BX68" s="350"/>
      <c r="BY68" s="350"/>
      <c r="BZ68" s="314"/>
      <c r="CA68" s="336" t="s">
        <v>91</v>
      </c>
      <c r="CB68" s="381"/>
      <c r="CC68" s="350"/>
      <c r="CD68" s="314" t="s">
        <v>91</v>
      </c>
      <c r="CE68" s="350"/>
      <c r="CF68" s="350"/>
      <c r="CG68" s="314"/>
      <c r="CH68" s="336" t="s">
        <v>91</v>
      </c>
      <c r="CI68" s="381"/>
      <c r="CJ68" s="350"/>
      <c r="CK68" s="314" t="s">
        <v>91</v>
      </c>
      <c r="CL68" s="350"/>
      <c r="CM68" s="350"/>
      <c r="CN68" s="314"/>
      <c r="CO68" s="336" t="s">
        <v>91</v>
      </c>
      <c r="CP68" s="137">
        <f>COUNTIF(C68:CO68,"0800*")</f>
        <v>26</v>
      </c>
      <c r="CQ68" s="326">
        <f>COUNTIF(C68:CO68,"1430*")+COUNTIF(C68:CH68,"1500*")+COUNTIF(C68:CH68,"Paeds pm")+COUNTIF(C68:CH68,"1600*")</f>
        <v>0</v>
      </c>
      <c r="CR68" s="326"/>
    </row>
    <row r="69" spans="1:96" ht="14.1" customHeight="1">
      <c r="A69" s="411" t="s">
        <v>156</v>
      </c>
      <c r="B69" s="136" t="str">
        <f>CONCATENATE(CP69,"-",CQ69)</f>
        <v>16-10</v>
      </c>
      <c r="C69" s="341" t="s">
        <v>149</v>
      </c>
      <c r="D69" s="314"/>
      <c r="E69" s="314" t="s">
        <v>149</v>
      </c>
      <c r="F69" s="314"/>
      <c r="G69" s="314"/>
      <c r="H69" s="314"/>
      <c r="I69" s="336"/>
      <c r="J69" s="341"/>
      <c r="K69" s="314"/>
      <c r="L69" s="314" t="s">
        <v>149</v>
      </c>
      <c r="M69" s="314"/>
      <c r="N69" s="314"/>
      <c r="O69" s="314" t="s">
        <v>150</v>
      </c>
      <c r="P69" s="336" t="s">
        <v>150</v>
      </c>
      <c r="Q69" s="341"/>
      <c r="R69" s="314"/>
      <c r="S69" s="314" t="s">
        <v>149</v>
      </c>
      <c r="T69" s="314"/>
      <c r="U69" s="314"/>
      <c r="V69" s="314"/>
      <c r="W69" s="336"/>
      <c r="X69" s="341" t="s">
        <v>150</v>
      </c>
      <c r="Y69" s="314"/>
      <c r="Z69" s="314" t="s">
        <v>149</v>
      </c>
      <c r="AA69" s="314"/>
      <c r="AB69" s="314"/>
      <c r="AC69" s="314"/>
      <c r="AD69" s="336"/>
      <c r="AE69" s="341"/>
      <c r="AF69" s="314"/>
      <c r="AG69" s="314" t="s">
        <v>149</v>
      </c>
      <c r="AH69" s="314"/>
      <c r="AI69" s="314" t="s">
        <v>150</v>
      </c>
      <c r="AJ69" s="314"/>
      <c r="AK69" s="336"/>
      <c r="AL69" s="341"/>
      <c r="AM69" s="314"/>
      <c r="AN69" s="314" t="s">
        <v>149</v>
      </c>
      <c r="AO69" s="314"/>
      <c r="AP69" s="314"/>
      <c r="AQ69" s="314" t="s">
        <v>149</v>
      </c>
      <c r="AR69" s="336" t="s">
        <v>150</v>
      </c>
      <c r="AS69" s="341"/>
      <c r="AT69" s="314"/>
      <c r="AU69" s="314" t="s">
        <v>149</v>
      </c>
      <c r="AV69" s="314"/>
      <c r="AW69" s="314"/>
      <c r="AX69" s="314"/>
      <c r="AY69" s="336"/>
      <c r="AZ69" s="341"/>
      <c r="BA69" s="314"/>
      <c r="BB69" s="314" t="s">
        <v>149</v>
      </c>
      <c r="BC69" s="314"/>
      <c r="BD69" s="314"/>
      <c r="BE69" s="314"/>
      <c r="BF69" s="336"/>
      <c r="BG69" s="341"/>
      <c r="BH69" s="314"/>
      <c r="BI69" s="314" t="s">
        <v>149</v>
      </c>
      <c r="BJ69" s="314"/>
      <c r="BK69" s="314"/>
      <c r="BL69" s="314" t="s">
        <v>150</v>
      </c>
      <c r="BM69" s="336" t="s">
        <v>150</v>
      </c>
      <c r="BN69" s="341"/>
      <c r="BO69" s="314"/>
      <c r="BP69" s="314" t="s">
        <v>149</v>
      </c>
      <c r="BQ69" s="314"/>
      <c r="BR69" s="314"/>
      <c r="BS69" s="314"/>
      <c r="BT69" s="336"/>
      <c r="BU69" s="341"/>
      <c r="BV69" s="314"/>
      <c r="BW69" s="314" t="s">
        <v>149</v>
      </c>
      <c r="BX69" s="314"/>
      <c r="BY69" s="314"/>
      <c r="BZ69" s="314" t="s">
        <v>150</v>
      </c>
      <c r="CA69" s="336" t="s">
        <v>150</v>
      </c>
      <c r="CB69" s="341"/>
      <c r="CC69" s="314"/>
      <c r="CD69" s="314" t="s">
        <v>149</v>
      </c>
      <c r="CE69" s="314"/>
      <c r="CF69" s="314" t="s">
        <v>150</v>
      </c>
      <c r="CG69" s="314"/>
      <c r="CH69" s="336"/>
      <c r="CI69" s="341"/>
      <c r="CJ69" s="314" t="s">
        <v>149</v>
      </c>
      <c r="CK69" s="314" t="s">
        <v>149</v>
      </c>
      <c r="CL69" s="314"/>
      <c r="CM69" s="314"/>
      <c r="CN69" s="314"/>
      <c r="CO69" s="336"/>
      <c r="CP69" s="137">
        <f>COUNTIF(C69:CO69,"0800*")</f>
        <v>16</v>
      </c>
      <c r="CQ69" s="326">
        <f>COUNTIF(C69:CO69,"1430*")+COUNTIF(C69:CH69,"1500*")+COUNTIF(C69:CH69,"Paeds pm")+COUNTIF(C69:CH69,"1600*")</f>
        <v>10</v>
      </c>
      <c r="CR69" s="326"/>
    </row>
    <row r="70" spans="1:96" ht="14.1" customHeight="1" thickBot="1">
      <c r="A70" s="49"/>
      <c r="B70" s="138"/>
      <c r="C70" s="819"/>
      <c r="D70" s="820"/>
      <c r="E70" s="820"/>
      <c r="F70" s="820"/>
      <c r="G70" s="820"/>
      <c r="H70" s="820"/>
      <c r="I70" s="821"/>
      <c r="J70" s="341"/>
      <c r="K70" s="314"/>
      <c r="L70" s="314"/>
      <c r="M70" s="314"/>
      <c r="N70" s="314"/>
      <c r="O70" s="314"/>
      <c r="P70" s="336"/>
      <c r="Q70" s="819"/>
      <c r="R70" s="820"/>
      <c r="S70" s="820"/>
      <c r="T70" s="820"/>
      <c r="U70" s="820"/>
      <c r="V70" s="820"/>
      <c r="W70" s="821"/>
      <c r="X70" s="341"/>
      <c r="Y70" s="314"/>
      <c r="Z70" s="314"/>
      <c r="AA70" s="314"/>
      <c r="AB70" s="314"/>
      <c r="AC70" s="314"/>
      <c r="AD70" s="336"/>
      <c r="AE70" s="341"/>
      <c r="AF70" s="314"/>
      <c r="AG70" s="314"/>
      <c r="AH70" s="314"/>
      <c r="AI70" s="314"/>
      <c r="AJ70" s="314"/>
      <c r="AK70" s="336"/>
      <c r="AL70" s="341"/>
      <c r="AM70" s="314"/>
      <c r="AN70" s="314"/>
      <c r="AO70" s="314"/>
      <c r="AP70" s="314"/>
      <c r="AQ70" s="314"/>
      <c r="AR70" s="336"/>
      <c r="AS70" s="341"/>
      <c r="AT70" s="314"/>
      <c r="AU70" s="314"/>
      <c r="AV70" s="314"/>
      <c r="AW70" s="314"/>
      <c r="AX70" s="314"/>
      <c r="AY70" s="336"/>
      <c r="AZ70" s="341"/>
      <c r="BA70" s="314"/>
      <c r="BB70" s="314"/>
      <c r="BC70" s="314"/>
      <c r="BD70" s="314"/>
      <c r="BE70" s="314"/>
      <c r="BF70" s="336"/>
      <c r="BG70" s="341"/>
      <c r="BH70" s="314"/>
      <c r="BI70" s="314"/>
      <c r="BJ70" s="314"/>
      <c r="BK70" s="314"/>
      <c r="BL70" s="314"/>
      <c r="BM70" s="336"/>
      <c r="BN70" s="341"/>
      <c r="BO70" s="314"/>
      <c r="BP70" s="314"/>
      <c r="BQ70" s="314"/>
      <c r="BR70" s="314"/>
      <c r="BS70" s="314"/>
      <c r="BT70" s="336"/>
      <c r="BU70" s="341"/>
      <c r="BV70" s="314"/>
      <c r="BW70" s="314"/>
      <c r="BX70" s="314"/>
      <c r="BY70" s="314"/>
      <c r="BZ70" s="314"/>
      <c r="CA70" s="336"/>
      <c r="CB70" s="341"/>
      <c r="CC70" s="314"/>
      <c r="CD70" s="314"/>
      <c r="CE70" s="314"/>
      <c r="CF70" s="314"/>
      <c r="CG70" s="314"/>
      <c r="CH70" s="336"/>
      <c r="CI70" s="341"/>
      <c r="CJ70" s="314"/>
      <c r="CK70" s="314"/>
      <c r="CL70" s="314"/>
      <c r="CM70" s="314"/>
      <c r="CN70" s="314"/>
      <c r="CO70" s="336"/>
      <c r="CP70" s="137"/>
      <c r="CQ70" s="326"/>
      <c r="CR70" s="326"/>
    </row>
    <row r="71" spans="1:96" ht="14.1" customHeight="1">
      <c r="A71" s="139" t="s">
        <v>157</v>
      </c>
      <c r="B71" s="54"/>
      <c r="C71" s="725"/>
      <c r="D71" s="726"/>
      <c r="E71" s="726"/>
      <c r="F71" s="726"/>
      <c r="G71" s="726"/>
      <c r="H71" s="726"/>
      <c r="I71" s="727"/>
      <c r="J71" s="413"/>
      <c r="K71" s="414"/>
      <c r="L71" s="414"/>
      <c r="M71" s="414"/>
      <c r="N71" s="414"/>
      <c r="O71" s="414"/>
      <c r="P71" s="415"/>
      <c r="Q71" s="413"/>
      <c r="R71" s="414"/>
      <c r="S71" s="414"/>
      <c r="T71" s="414"/>
      <c r="U71" s="414"/>
      <c r="V71" s="414"/>
      <c r="W71" s="415"/>
      <c r="X71" s="413"/>
      <c r="Y71" s="414"/>
      <c r="Z71" s="414"/>
      <c r="AA71" s="414"/>
      <c r="AB71" s="414"/>
      <c r="AC71" s="414"/>
      <c r="AD71" s="415"/>
      <c r="AE71" s="413"/>
      <c r="AF71" s="414"/>
      <c r="AG71" s="414"/>
      <c r="AH71" s="414"/>
      <c r="AI71" s="414"/>
      <c r="AJ71" s="414"/>
      <c r="AK71" s="415"/>
      <c r="AL71" s="413"/>
      <c r="AM71" s="414"/>
      <c r="AN71" s="414"/>
      <c r="AO71" s="414"/>
      <c r="AP71" s="414"/>
      <c r="AQ71" s="414"/>
      <c r="AR71" s="415"/>
      <c r="AS71" s="413"/>
      <c r="AT71" s="414"/>
      <c r="AU71" s="414"/>
      <c r="AV71" s="414"/>
      <c r="AW71" s="414"/>
      <c r="AX71" s="414"/>
      <c r="AY71" s="415"/>
      <c r="AZ71" s="413"/>
      <c r="BA71" s="413"/>
      <c r="BB71" s="414"/>
      <c r="BC71" s="414"/>
      <c r="BD71" s="414"/>
      <c r="BE71" s="414"/>
      <c r="BF71" s="415"/>
      <c r="BG71" s="413"/>
      <c r="BH71" s="414"/>
      <c r="BI71" s="414"/>
      <c r="BJ71" s="414"/>
      <c r="BK71" s="414"/>
      <c r="BL71" s="414"/>
      <c r="BM71" s="415"/>
      <c r="BN71" s="413"/>
      <c r="BO71" s="414"/>
      <c r="BP71" s="414"/>
      <c r="BQ71" s="414"/>
      <c r="BR71" s="414"/>
      <c r="BS71" s="414"/>
      <c r="BT71" s="415"/>
      <c r="BU71" s="413"/>
      <c r="BV71" s="414"/>
      <c r="BW71" s="414"/>
      <c r="BX71" s="414"/>
      <c r="BY71" s="414"/>
      <c r="BZ71" s="414"/>
      <c r="CA71" s="415"/>
      <c r="CB71" s="413"/>
      <c r="CC71" s="414"/>
      <c r="CD71" s="414"/>
      <c r="CE71" s="414"/>
      <c r="CF71" s="414"/>
      <c r="CG71" s="414"/>
      <c r="CH71" s="415"/>
      <c r="CI71" s="413"/>
      <c r="CJ71" s="414"/>
      <c r="CK71" s="414"/>
      <c r="CL71" s="414"/>
      <c r="CM71" s="414"/>
      <c r="CN71" s="414"/>
      <c r="CO71" s="415"/>
      <c r="CP71" s="137" t="s">
        <v>1</v>
      </c>
      <c r="CQ71" s="320" t="s">
        <v>2</v>
      </c>
      <c r="CR71" s="320" t="s">
        <v>158</v>
      </c>
    </row>
    <row r="72" spans="1:96" s="11" customFormat="1" ht="14.1" customHeight="1">
      <c r="A72" s="140" t="s">
        <v>159</v>
      </c>
      <c r="B72" s="416">
        <v>628440</v>
      </c>
      <c r="C72" s="417" t="s">
        <v>31</v>
      </c>
      <c r="D72" s="417"/>
      <c r="E72" s="417"/>
      <c r="F72" s="417"/>
      <c r="G72" s="417"/>
      <c r="H72" s="417"/>
      <c r="I72" s="418"/>
      <c r="J72" s="419" t="s">
        <v>160</v>
      </c>
      <c r="K72" s="420"/>
      <c r="L72" s="314"/>
      <c r="M72" s="314"/>
      <c r="N72" s="314" t="s">
        <v>161</v>
      </c>
      <c r="O72" s="314" t="s">
        <v>161</v>
      </c>
      <c r="P72" s="314" t="s">
        <v>161</v>
      </c>
      <c r="Q72" s="421"/>
      <c r="R72" s="421"/>
      <c r="S72" s="421"/>
      <c r="T72" s="421" t="s">
        <v>149</v>
      </c>
      <c r="U72" s="421" t="s">
        <v>149</v>
      </c>
      <c r="V72" s="421" t="s">
        <v>150</v>
      </c>
      <c r="W72" s="421" t="s">
        <v>150</v>
      </c>
      <c r="X72" s="421"/>
      <c r="Y72" s="419" t="s">
        <v>162</v>
      </c>
      <c r="Z72" s="421" t="s">
        <v>150</v>
      </c>
      <c r="AA72" s="421" t="s">
        <v>150</v>
      </c>
      <c r="AB72" s="421" t="s">
        <v>150</v>
      </c>
      <c r="AC72" s="422"/>
      <c r="AD72" s="420"/>
      <c r="AE72" s="421" t="s">
        <v>161</v>
      </c>
      <c r="AF72" s="421" t="s">
        <v>161</v>
      </c>
      <c r="AG72" s="421" t="s">
        <v>161</v>
      </c>
      <c r="AH72" s="421" t="s">
        <v>161</v>
      </c>
      <c r="AI72" s="420"/>
      <c r="AJ72" s="420"/>
      <c r="AK72" s="420"/>
      <c r="AL72" s="421" t="s">
        <v>149</v>
      </c>
      <c r="AM72" s="421" t="s">
        <v>150</v>
      </c>
      <c r="AN72" s="421"/>
      <c r="AO72" s="421" t="s">
        <v>149</v>
      </c>
      <c r="AP72" s="421" t="s">
        <v>150</v>
      </c>
      <c r="AQ72" s="423"/>
      <c r="AR72" s="423"/>
      <c r="AS72" s="421" t="s">
        <v>149</v>
      </c>
      <c r="AT72" s="421" t="s">
        <v>149</v>
      </c>
      <c r="AU72" s="421"/>
      <c r="AV72" s="421" t="s">
        <v>150</v>
      </c>
      <c r="AW72" s="421" t="s">
        <v>150</v>
      </c>
      <c r="AX72" s="421"/>
      <c r="AY72" s="421"/>
      <c r="AZ72" s="421" t="s">
        <v>160</v>
      </c>
      <c r="BA72" s="420"/>
      <c r="BB72" s="314"/>
      <c r="BC72" s="314"/>
      <c r="BD72" s="314" t="s">
        <v>161</v>
      </c>
      <c r="BE72" s="314" t="s">
        <v>161</v>
      </c>
      <c r="BF72" s="314" t="s">
        <v>161</v>
      </c>
      <c r="BG72" s="421"/>
      <c r="BH72" s="421"/>
      <c r="BI72" s="421"/>
      <c r="BJ72" s="421" t="s">
        <v>149</v>
      </c>
      <c r="BK72" s="421" t="s">
        <v>149</v>
      </c>
      <c r="BL72" s="421" t="s">
        <v>150</v>
      </c>
      <c r="BM72" s="421" t="s">
        <v>150</v>
      </c>
      <c r="BN72" s="421"/>
      <c r="BO72" s="421" t="s">
        <v>149</v>
      </c>
      <c r="BP72" s="421" t="s">
        <v>150</v>
      </c>
      <c r="BQ72" s="421" t="s">
        <v>150</v>
      </c>
      <c r="BR72" s="421" t="s">
        <v>150</v>
      </c>
      <c r="BS72" s="420"/>
      <c r="BT72" s="420"/>
      <c r="BU72" s="421" t="s">
        <v>150</v>
      </c>
      <c r="BV72" s="421" t="s">
        <v>150</v>
      </c>
      <c r="BW72" s="421"/>
      <c r="BX72" s="421" t="s">
        <v>149</v>
      </c>
      <c r="BY72" s="421" t="s">
        <v>150</v>
      </c>
      <c r="BZ72" s="422"/>
      <c r="CA72" s="422"/>
      <c r="CB72" s="421" t="s">
        <v>161</v>
      </c>
      <c r="CC72" s="421" t="s">
        <v>161</v>
      </c>
      <c r="CD72" s="421" t="s">
        <v>161</v>
      </c>
      <c r="CE72" s="421" t="s">
        <v>161</v>
      </c>
      <c r="CF72" s="422"/>
      <c r="CG72" s="422"/>
      <c r="CH72" s="420"/>
      <c r="CI72" s="419" t="s">
        <v>163</v>
      </c>
      <c r="CJ72" s="421" t="s">
        <v>150</v>
      </c>
      <c r="CK72" s="421"/>
      <c r="CL72" s="421"/>
      <c r="CM72" s="421"/>
      <c r="CN72" s="421" t="s">
        <v>149</v>
      </c>
      <c r="CO72" s="421" t="s">
        <v>149</v>
      </c>
      <c r="CP72" s="421">
        <f t="shared" ref="CP72:CP80" si="13">COUNTIF(C72:CH72,"*1730*")</f>
        <v>11</v>
      </c>
      <c r="CQ72" s="421">
        <f t="shared" ref="CQ72:CQ80" si="14">COUNTIF(C72:CH72,"*0000*")</f>
        <v>19</v>
      </c>
      <c r="CR72" s="421">
        <f t="shared" ref="CR72:CR80" si="15">COUNTIF(C72:CH72,"2200*")+COUNTIF(C72:CH72,"2300*")</f>
        <v>14</v>
      </c>
    </row>
    <row r="73" spans="1:96" s="11" customFormat="1" ht="14.1" customHeight="1">
      <c r="A73" s="142" t="s">
        <v>164</v>
      </c>
      <c r="B73" s="416">
        <v>653976</v>
      </c>
      <c r="C73" s="424"/>
      <c r="D73" s="421" t="s">
        <v>150</v>
      </c>
      <c r="E73" s="420"/>
      <c r="F73" s="421" t="s">
        <v>149</v>
      </c>
      <c r="G73" s="421" t="s">
        <v>150</v>
      </c>
      <c r="H73" s="421" t="s">
        <v>150</v>
      </c>
      <c r="I73" s="422"/>
      <c r="J73" s="421" t="s">
        <v>161</v>
      </c>
      <c r="K73" s="421" t="s">
        <v>161</v>
      </c>
      <c r="L73" s="421" t="s">
        <v>161</v>
      </c>
      <c r="M73" s="421" t="s">
        <v>161</v>
      </c>
      <c r="N73" s="422"/>
      <c r="O73" s="422"/>
      <c r="P73" s="422"/>
      <c r="Q73" s="419" t="s">
        <v>163</v>
      </c>
      <c r="R73" s="421" t="s">
        <v>150</v>
      </c>
      <c r="S73" s="421"/>
      <c r="T73" s="421"/>
      <c r="U73" s="421"/>
      <c r="V73" s="421" t="s">
        <v>149</v>
      </c>
      <c r="W73" s="421" t="s">
        <v>149</v>
      </c>
      <c r="X73" s="421" t="s">
        <v>150</v>
      </c>
      <c r="Y73" s="421" t="s">
        <v>150</v>
      </c>
      <c r="Z73" s="421"/>
      <c r="AA73" s="421" t="s">
        <v>149</v>
      </c>
      <c r="AB73" s="421" t="s">
        <v>150</v>
      </c>
      <c r="AC73" s="420"/>
      <c r="AD73" s="420"/>
      <c r="AE73" s="419" t="s">
        <v>160</v>
      </c>
      <c r="AF73" s="420"/>
      <c r="AG73" s="314"/>
      <c r="AH73" s="314"/>
      <c r="AI73" s="314" t="s">
        <v>161</v>
      </c>
      <c r="AJ73" s="314" t="s">
        <v>161</v>
      </c>
      <c r="AK73" s="314" t="s">
        <v>161</v>
      </c>
      <c r="AL73" s="421"/>
      <c r="AM73" s="421"/>
      <c r="AN73" s="421"/>
      <c r="AO73" s="421" t="s">
        <v>149</v>
      </c>
      <c r="AP73" s="419" t="s">
        <v>163</v>
      </c>
      <c r="AQ73" s="421" t="s">
        <v>150</v>
      </c>
      <c r="AR73" s="421" t="s">
        <v>150</v>
      </c>
      <c r="AS73" s="421"/>
      <c r="AT73" s="423"/>
      <c r="AU73" s="423"/>
      <c r="AV73" s="421" t="s">
        <v>161</v>
      </c>
      <c r="AW73" s="421" t="s">
        <v>161</v>
      </c>
      <c r="AX73" s="421" t="s">
        <v>161</v>
      </c>
      <c r="AY73" s="421" t="s">
        <v>161</v>
      </c>
      <c r="AZ73" s="421"/>
      <c r="BA73" s="425"/>
      <c r="BB73" s="421" t="s">
        <v>150</v>
      </c>
      <c r="BC73" s="421" t="s">
        <v>150</v>
      </c>
      <c r="BD73" s="421" t="s">
        <v>150</v>
      </c>
      <c r="BE73" s="422"/>
      <c r="BF73" s="423"/>
      <c r="BG73" s="421" t="s">
        <v>149</v>
      </c>
      <c r="BH73" s="421" t="s">
        <v>150</v>
      </c>
      <c r="BI73" s="421"/>
      <c r="BJ73" s="421" t="s">
        <v>149</v>
      </c>
      <c r="BK73" s="421"/>
      <c r="BL73" s="421" t="s">
        <v>149</v>
      </c>
      <c r="BM73" s="421" t="s">
        <v>149</v>
      </c>
      <c r="BN73" s="421" t="s">
        <v>150</v>
      </c>
      <c r="BO73" s="421" t="s">
        <v>150</v>
      </c>
      <c r="BP73" s="421"/>
      <c r="BQ73" s="421" t="s">
        <v>149</v>
      </c>
      <c r="BR73" s="421"/>
      <c r="BS73" s="421" t="s">
        <v>149</v>
      </c>
      <c r="BT73" s="420"/>
      <c r="BU73" s="418" t="s">
        <v>31</v>
      </c>
      <c r="BV73" s="418"/>
      <c r="BW73" s="418"/>
      <c r="BX73" s="418"/>
      <c r="BY73" s="418"/>
      <c r="BZ73" s="418"/>
      <c r="CA73" s="418"/>
      <c r="CB73" s="418" t="s">
        <v>31</v>
      </c>
      <c r="CC73" s="418"/>
      <c r="CD73" s="418"/>
      <c r="CE73" s="418"/>
      <c r="CF73" s="418"/>
      <c r="CG73" s="418"/>
      <c r="CH73" s="418"/>
      <c r="CI73" s="422"/>
      <c r="CJ73" s="419" t="s">
        <v>165</v>
      </c>
      <c r="CK73" s="421" t="s">
        <v>161</v>
      </c>
      <c r="CL73" s="421" t="s">
        <v>161</v>
      </c>
      <c r="CM73" s="421" t="s">
        <v>161</v>
      </c>
      <c r="CN73" s="422"/>
      <c r="CO73" s="422"/>
      <c r="CP73" s="421">
        <f t="shared" si="13"/>
        <v>13</v>
      </c>
      <c r="CQ73" s="421">
        <f t="shared" si="14"/>
        <v>16</v>
      </c>
      <c r="CR73" s="421">
        <f t="shared" si="15"/>
        <v>11</v>
      </c>
    </row>
    <row r="74" spans="1:96" s="11" customFormat="1" ht="14.1" customHeight="1">
      <c r="A74" s="143" t="s">
        <v>166</v>
      </c>
      <c r="B74" s="416">
        <v>654362</v>
      </c>
      <c r="C74" s="421" t="s">
        <v>150</v>
      </c>
      <c r="D74" s="423"/>
      <c r="E74" s="421"/>
      <c r="F74" s="421" t="s">
        <v>150</v>
      </c>
      <c r="G74" s="421"/>
      <c r="H74" s="421" t="s">
        <v>149</v>
      </c>
      <c r="I74" s="421" t="s">
        <v>149</v>
      </c>
      <c r="J74" s="421" t="s">
        <v>150</v>
      </c>
      <c r="K74" s="419" t="s">
        <v>167</v>
      </c>
      <c r="L74" s="421"/>
      <c r="M74" s="421" t="s">
        <v>150</v>
      </c>
      <c r="N74" s="421" t="s">
        <v>150</v>
      </c>
      <c r="O74" s="420"/>
      <c r="P74" s="420"/>
      <c r="Q74" s="422"/>
      <c r="R74" s="420"/>
      <c r="S74" s="314" t="s">
        <v>161</v>
      </c>
      <c r="T74" s="314" t="s">
        <v>161</v>
      </c>
      <c r="U74" s="314" t="s">
        <v>161</v>
      </c>
      <c r="V74" s="314" t="s">
        <v>161</v>
      </c>
      <c r="W74" s="423"/>
      <c r="X74" s="421"/>
      <c r="Y74" s="421"/>
      <c r="Z74" s="421"/>
      <c r="AA74" s="421" t="s">
        <v>149</v>
      </c>
      <c r="AB74" s="421" t="s">
        <v>149</v>
      </c>
      <c r="AC74" s="421" t="s">
        <v>150</v>
      </c>
      <c r="AD74" s="421" t="s">
        <v>150</v>
      </c>
      <c r="AE74" s="421"/>
      <c r="AF74" s="421" t="s">
        <v>149</v>
      </c>
      <c r="AG74" s="421" t="s">
        <v>150</v>
      </c>
      <c r="AH74" s="421" t="s">
        <v>150</v>
      </c>
      <c r="AI74" s="421" t="s">
        <v>150</v>
      </c>
      <c r="AJ74" s="420"/>
      <c r="AK74" s="420"/>
      <c r="AL74" s="421" t="s">
        <v>161</v>
      </c>
      <c r="AM74" s="421" t="s">
        <v>161</v>
      </c>
      <c r="AN74" s="421" t="s">
        <v>161</v>
      </c>
      <c r="AO74" s="421" t="s">
        <v>161</v>
      </c>
      <c r="AP74" s="420"/>
      <c r="AQ74" s="422"/>
      <c r="AR74" s="422"/>
      <c r="AS74" s="421" t="s">
        <v>149</v>
      </c>
      <c r="AT74" s="421" t="s">
        <v>149</v>
      </c>
      <c r="AU74" s="421"/>
      <c r="AV74" s="421" t="s">
        <v>149</v>
      </c>
      <c r="AW74" s="419" t="s">
        <v>162</v>
      </c>
      <c r="AX74" s="423"/>
      <c r="AY74" s="423"/>
      <c r="AZ74" s="314" t="s">
        <v>161</v>
      </c>
      <c r="BA74" s="314" t="s">
        <v>161</v>
      </c>
      <c r="BB74" s="314" t="s">
        <v>161</v>
      </c>
      <c r="BC74" s="314" t="s">
        <v>161</v>
      </c>
      <c r="BD74" s="422"/>
      <c r="BE74" s="422"/>
      <c r="BF74" s="421" t="s">
        <v>149</v>
      </c>
      <c r="BG74" s="421" t="s">
        <v>150</v>
      </c>
      <c r="BH74" s="421" t="s">
        <v>150</v>
      </c>
      <c r="BI74" s="419" t="s">
        <v>167</v>
      </c>
      <c r="BJ74" s="420"/>
      <c r="BK74" s="424"/>
      <c r="BL74" s="424"/>
      <c r="BM74" s="424"/>
      <c r="BN74" s="426"/>
      <c r="BO74" s="420"/>
      <c r="BP74" s="420"/>
      <c r="BQ74" s="421" t="s">
        <v>149</v>
      </c>
      <c r="BR74" s="421" t="s">
        <v>149</v>
      </c>
      <c r="BS74" s="421" t="s">
        <v>150</v>
      </c>
      <c r="BT74" s="421" t="s">
        <v>150</v>
      </c>
      <c r="BU74" s="422"/>
      <c r="BV74" s="421" t="s">
        <v>149</v>
      </c>
      <c r="BW74" s="421" t="s">
        <v>150</v>
      </c>
      <c r="BX74" s="421" t="s">
        <v>150</v>
      </c>
      <c r="BY74" s="423"/>
      <c r="BZ74" s="421" t="s">
        <v>150</v>
      </c>
      <c r="CA74" s="420"/>
      <c r="CB74" s="421" t="s">
        <v>149</v>
      </c>
      <c r="CC74" s="423"/>
      <c r="CD74" s="421"/>
      <c r="CE74" s="421" t="s">
        <v>149</v>
      </c>
      <c r="CF74" s="421"/>
      <c r="CG74" s="421" t="s">
        <v>149</v>
      </c>
      <c r="CH74" s="421" t="s">
        <v>149</v>
      </c>
      <c r="CI74" s="421" t="s">
        <v>150</v>
      </c>
      <c r="CJ74" s="421" t="s">
        <v>150</v>
      </c>
      <c r="CK74" s="421"/>
      <c r="CL74" s="421" t="s">
        <v>149</v>
      </c>
      <c r="CM74" s="421" t="s">
        <v>150</v>
      </c>
      <c r="CN74" s="420"/>
      <c r="CO74" s="420"/>
      <c r="CP74" s="421">
        <f t="shared" si="13"/>
        <v>17</v>
      </c>
      <c r="CQ74" s="421">
        <f t="shared" si="14"/>
        <v>19</v>
      </c>
      <c r="CR74" s="421">
        <f t="shared" si="15"/>
        <v>12</v>
      </c>
    </row>
    <row r="75" spans="1:96" s="11" customFormat="1" ht="14.1" customHeight="1">
      <c r="A75" s="143" t="s">
        <v>168</v>
      </c>
      <c r="B75" s="416">
        <v>615829</v>
      </c>
      <c r="C75" s="424"/>
      <c r="D75" s="421" t="s">
        <v>149</v>
      </c>
      <c r="E75" s="421" t="s">
        <v>150</v>
      </c>
      <c r="F75" s="420"/>
      <c r="G75" s="421" t="s">
        <v>149</v>
      </c>
      <c r="H75" s="424"/>
      <c r="I75" s="426"/>
      <c r="J75" s="421" t="s">
        <v>149</v>
      </c>
      <c r="K75" s="420"/>
      <c r="L75" s="421" t="s">
        <v>150</v>
      </c>
      <c r="M75" s="423"/>
      <c r="N75" s="420"/>
      <c r="O75" s="420"/>
      <c r="P75" s="420"/>
      <c r="Q75" s="421" t="s">
        <v>149</v>
      </c>
      <c r="R75" s="421" t="s">
        <v>149</v>
      </c>
      <c r="S75" s="423"/>
      <c r="T75" s="421" t="s">
        <v>150</v>
      </c>
      <c r="U75" s="421" t="s">
        <v>150</v>
      </c>
      <c r="V75" s="424"/>
      <c r="W75" s="424"/>
      <c r="X75" s="422"/>
      <c r="Y75" s="420"/>
      <c r="Z75" s="421" t="s">
        <v>161</v>
      </c>
      <c r="AA75" s="421" t="s">
        <v>161</v>
      </c>
      <c r="AB75" s="421" t="s">
        <v>161</v>
      </c>
      <c r="AC75" s="423"/>
      <c r="AD75" s="420"/>
      <c r="AE75" s="422"/>
      <c r="AF75" s="420"/>
      <c r="AG75" s="420"/>
      <c r="AH75" s="419" t="s">
        <v>165</v>
      </c>
      <c r="AI75" s="423"/>
      <c r="AJ75" s="421" t="s">
        <v>150</v>
      </c>
      <c r="AK75" s="421" t="s">
        <v>150</v>
      </c>
      <c r="AL75" s="419" t="s">
        <v>169</v>
      </c>
      <c r="AM75" s="423"/>
      <c r="AN75" s="423"/>
      <c r="AO75" s="422"/>
      <c r="AP75" s="421" t="s">
        <v>161</v>
      </c>
      <c r="AQ75" s="421" t="s">
        <v>161</v>
      </c>
      <c r="AR75" s="421" t="s">
        <v>161</v>
      </c>
      <c r="AS75" s="423"/>
      <c r="AT75" s="423"/>
      <c r="AU75" s="424"/>
      <c r="AV75" s="424"/>
      <c r="AW75" s="426"/>
      <c r="AX75" s="421" t="s">
        <v>150</v>
      </c>
      <c r="AY75" s="421" t="s">
        <v>150</v>
      </c>
      <c r="AZ75" s="420"/>
      <c r="BA75" s="421" t="s">
        <v>149</v>
      </c>
      <c r="BB75" s="420"/>
      <c r="BC75" s="419" t="s">
        <v>163</v>
      </c>
      <c r="BD75" s="423"/>
      <c r="BE75" s="421"/>
      <c r="BF75" s="421"/>
      <c r="BG75" s="421"/>
      <c r="BH75" s="422"/>
      <c r="BI75" s="422"/>
      <c r="BJ75" s="421" t="s">
        <v>161</v>
      </c>
      <c r="BK75" s="421" t="s">
        <v>161</v>
      </c>
      <c r="BL75" s="421" t="s">
        <v>161</v>
      </c>
      <c r="BM75" s="421" t="s">
        <v>161</v>
      </c>
      <c r="BN75" s="420"/>
      <c r="BO75" s="420"/>
      <c r="BP75" s="420"/>
      <c r="BQ75" s="420"/>
      <c r="BR75" s="423"/>
      <c r="BS75" s="422"/>
      <c r="BT75" s="421" t="s">
        <v>149</v>
      </c>
      <c r="BU75" s="420"/>
      <c r="BV75" s="421" t="s">
        <v>149</v>
      </c>
      <c r="BW75" s="421" t="s">
        <v>150</v>
      </c>
      <c r="BX75" s="422"/>
      <c r="BY75" s="421" t="s">
        <v>149</v>
      </c>
      <c r="BZ75" s="421" t="s">
        <v>149</v>
      </c>
      <c r="CA75" s="421" t="s">
        <v>149</v>
      </c>
      <c r="CB75" s="422"/>
      <c r="CC75" s="421" t="s">
        <v>149</v>
      </c>
      <c r="CD75" s="421" t="s">
        <v>150</v>
      </c>
      <c r="CE75" s="421" t="s">
        <v>150</v>
      </c>
      <c r="CF75" s="421" t="s">
        <v>150</v>
      </c>
      <c r="CG75" s="420"/>
      <c r="CH75" s="420"/>
      <c r="CI75" s="420"/>
      <c r="CJ75" s="420"/>
      <c r="CK75" s="421" t="s">
        <v>150</v>
      </c>
      <c r="CL75" s="421" t="s">
        <v>150</v>
      </c>
      <c r="CM75" s="422"/>
      <c r="CN75" s="422"/>
      <c r="CO75" s="420"/>
      <c r="CP75" s="421">
        <f t="shared" si="13"/>
        <v>14</v>
      </c>
      <c r="CQ75" s="421">
        <f t="shared" si="14"/>
        <v>13</v>
      </c>
      <c r="CR75" s="421">
        <f t="shared" si="15"/>
        <v>10</v>
      </c>
    </row>
    <row r="76" spans="1:96" s="11" customFormat="1" ht="14.1" customHeight="1">
      <c r="A76" s="822" t="s">
        <v>170</v>
      </c>
      <c r="B76" s="416">
        <v>619567</v>
      </c>
      <c r="C76" s="420"/>
      <c r="D76" s="420"/>
      <c r="E76" s="421" t="s">
        <v>161</v>
      </c>
      <c r="F76" s="421" t="s">
        <v>161</v>
      </c>
      <c r="G76" s="421" t="s">
        <v>161</v>
      </c>
      <c r="H76" s="420"/>
      <c r="I76" s="422"/>
      <c r="J76" s="422"/>
      <c r="K76" s="421" t="s">
        <v>149</v>
      </c>
      <c r="L76" s="422"/>
      <c r="M76" s="421" t="s">
        <v>149</v>
      </c>
      <c r="N76" s="421" t="s">
        <v>149</v>
      </c>
      <c r="O76" s="421" t="s">
        <v>150</v>
      </c>
      <c r="P76" s="421" t="s">
        <v>150</v>
      </c>
      <c r="Q76" s="422"/>
      <c r="R76" s="421" t="s">
        <v>149</v>
      </c>
      <c r="S76" s="422"/>
      <c r="T76" s="424"/>
      <c r="U76" s="420"/>
      <c r="V76" s="420"/>
      <c r="W76" s="420"/>
      <c r="X76" s="417" t="s">
        <v>31</v>
      </c>
      <c r="Y76" s="417"/>
      <c r="Z76" s="417"/>
      <c r="AA76" s="417"/>
      <c r="AB76" s="417"/>
      <c r="AC76" s="417"/>
      <c r="AD76" s="417"/>
      <c r="AE76" s="421" t="s">
        <v>149</v>
      </c>
      <c r="AF76" s="421" t="s">
        <v>149</v>
      </c>
      <c r="AG76" s="421" t="s">
        <v>150</v>
      </c>
      <c r="AH76" s="424"/>
      <c r="AI76" s="424"/>
      <c r="AJ76" s="424"/>
      <c r="AK76" s="424"/>
      <c r="AL76" s="420"/>
      <c r="AM76" s="420"/>
      <c r="AN76" s="422"/>
      <c r="AO76" s="422"/>
      <c r="AP76" s="419" t="s">
        <v>160</v>
      </c>
      <c r="AQ76" s="420"/>
      <c r="AR76" s="426"/>
      <c r="AS76" s="421" t="s">
        <v>161</v>
      </c>
      <c r="AT76" s="421" t="s">
        <v>161</v>
      </c>
      <c r="AU76" s="421" t="s">
        <v>161</v>
      </c>
      <c r="AV76" s="427"/>
      <c r="AW76" s="427"/>
      <c r="AX76" s="421" t="s">
        <v>149</v>
      </c>
      <c r="AY76" s="421" t="s">
        <v>149</v>
      </c>
      <c r="AZ76" s="421" t="s">
        <v>150</v>
      </c>
      <c r="BA76" s="420"/>
      <c r="BB76" s="420"/>
      <c r="BC76" s="422"/>
      <c r="BD76" s="424"/>
      <c r="BE76" s="421" t="s">
        <v>149</v>
      </c>
      <c r="BF76" s="426"/>
      <c r="BG76" s="421" t="s">
        <v>150</v>
      </c>
      <c r="BH76" s="420"/>
      <c r="BI76" s="421" t="s">
        <v>150</v>
      </c>
      <c r="BJ76" s="421" t="s">
        <v>150</v>
      </c>
      <c r="BK76" s="421" t="s">
        <v>150</v>
      </c>
      <c r="BL76" s="422"/>
      <c r="BM76" s="422"/>
      <c r="BN76" s="421"/>
      <c r="BO76" s="420"/>
      <c r="BP76" s="420"/>
      <c r="BQ76" s="420"/>
      <c r="BR76" s="419" t="s">
        <v>167</v>
      </c>
      <c r="BS76" s="422"/>
      <c r="BT76" s="421" t="s">
        <v>161</v>
      </c>
      <c r="BU76" s="421" t="s">
        <v>161</v>
      </c>
      <c r="BV76" s="421" t="s">
        <v>161</v>
      </c>
      <c r="BW76" s="421" t="s">
        <v>161</v>
      </c>
      <c r="BX76" s="422"/>
      <c r="BY76" s="422"/>
      <c r="BZ76" s="422"/>
      <c r="CA76" s="421" t="s">
        <v>150</v>
      </c>
      <c r="CB76" s="423"/>
      <c r="CC76" s="422"/>
      <c r="CD76" s="422"/>
      <c r="CE76" s="421"/>
      <c r="CF76" s="421" t="s">
        <v>149</v>
      </c>
      <c r="CG76" s="421" t="s">
        <v>150</v>
      </c>
      <c r="CH76" s="421" t="s">
        <v>150</v>
      </c>
      <c r="CI76" s="421" t="s">
        <v>150</v>
      </c>
      <c r="CJ76" s="422"/>
      <c r="CK76" s="422"/>
      <c r="CL76" s="421" t="s">
        <v>149</v>
      </c>
      <c r="CM76" s="421" t="s">
        <v>149</v>
      </c>
      <c r="CN76" s="420"/>
      <c r="CO76" s="422"/>
      <c r="CP76" s="421">
        <f t="shared" si="13"/>
        <v>10</v>
      </c>
      <c r="CQ76" s="421">
        <f t="shared" si="14"/>
        <v>13</v>
      </c>
      <c r="CR76" s="421">
        <f t="shared" si="15"/>
        <v>10</v>
      </c>
    </row>
    <row r="77" spans="1:96" s="3" customFormat="1" ht="14.1" customHeight="1">
      <c r="A77" s="142" t="s">
        <v>171</v>
      </c>
      <c r="B77" s="416">
        <v>626157</v>
      </c>
      <c r="C77" s="421" t="s">
        <v>150</v>
      </c>
      <c r="D77" s="420"/>
      <c r="E77" s="420"/>
      <c r="F77" s="421"/>
      <c r="G77" s="420"/>
      <c r="H77" s="424"/>
      <c r="I77" s="421" t="s">
        <v>150</v>
      </c>
      <c r="J77" s="417" t="s">
        <v>31</v>
      </c>
      <c r="K77" s="417"/>
      <c r="L77" s="417"/>
      <c r="M77" s="417"/>
      <c r="N77" s="417"/>
      <c r="O77" s="417"/>
      <c r="P77" s="417"/>
      <c r="Q77" s="417" t="s">
        <v>31</v>
      </c>
      <c r="R77" s="417"/>
      <c r="S77" s="417"/>
      <c r="T77" s="417"/>
      <c r="U77" s="417"/>
      <c r="V77" s="417"/>
      <c r="W77" s="417"/>
      <c r="X77" s="421" t="s">
        <v>149</v>
      </c>
      <c r="Y77" s="421"/>
      <c r="Z77" s="420"/>
      <c r="AA77" s="420"/>
      <c r="AB77" s="421" t="s">
        <v>150</v>
      </c>
      <c r="AC77" s="420"/>
      <c r="AD77" s="422"/>
      <c r="AE77" s="420"/>
      <c r="AF77" s="420"/>
      <c r="AG77" s="420"/>
      <c r="AH77" s="420"/>
      <c r="AI77" s="423"/>
      <c r="AJ77" s="421" t="s">
        <v>149</v>
      </c>
      <c r="AK77" s="421" t="s">
        <v>149</v>
      </c>
      <c r="AL77" s="420"/>
      <c r="AM77" s="423"/>
      <c r="AN77" s="421" t="s">
        <v>150</v>
      </c>
      <c r="AO77" s="421" t="s">
        <v>150</v>
      </c>
      <c r="AP77" s="420"/>
      <c r="AQ77" s="422"/>
      <c r="AR77" s="422"/>
      <c r="AS77" s="418" t="s">
        <v>172</v>
      </c>
      <c r="AT77" s="417"/>
      <c r="AU77" s="428"/>
      <c r="AV77" s="428"/>
      <c r="AW77" s="417"/>
      <c r="AX77" s="418"/>
      <c r="AY77" s="417"/>
      <c r="AZ77" s="424"/>
      <c r="BA77" s="424"/>
      <c r="BB77" s="424"/>
      <c r="BC77" s="423"/>
      <c r="BD77" s="419" t="s">
        <v>165</v>
      </c>
      <c r="BE77" s="420"/>
      <c r="BF77" s="420"/>
      <c r="BG77" s="421" t="s">
        <v>161</v>
      </c>
      <c r="BH77" s="421" t="s">
        <v>161</v>
      </c>
      <c r="BI77" s="421" t="s">
        <v>161</v>
      </c>
      <c r="BJ77" s="420"/>
      <c r="BK77" s="420"/>
      <c r="BL77" s="420"/>
      <c r="BM77" s="420"/>
      <c r="BN77" s="420"/>
      <c r="BO77" s="420"/>
      <c r="BP77" s="420"/>
      <c r="BQ77" s="420"/>
      <c r="BR77" s="422"/>
      <c r="BS77" s="421"/>
      <c r="BT77" s="421"/>
      <c r="BU77" s="420"/>
      <c r="BV77" s="420"/>
      <c r="BW77" s="420"/>
      <c r="BX77" s="421" t="s">
        <v>161</v>
      </c>
      <c r="BY77" s="421" t="s">
        <v>161</v>
      </c>
      <c r="BZ77" s="421" t="s">
        <v>161</v>
      </c>
      <c r="CA77" s="421" t="s">
        <v>161</v>
      </c>
      <c r="CB77" s="420"/>
      <c r="CC77" s="420"/>
      <c r="CD77" s="420"/>
      <c r="CE77" s="423"/>
      <c r="CF77" s="421"/>
      <c r="CG77" s="422"/>
      <c r="CH77" s="422"/>
      <c r="CI77" s="421" t="s">
        <v>161</v>
      </c>
      <c r="CJ77" s="421" t="s">
        <v>161</v>
      </c>
      <c r="CK77" s="423"/>
      <c r="CL77" s="420"/>
      <c r="CM77" s="420"/>
      <c r="CN77" s="421" t="s">
        <v>150</v>
      </c>
      <c r="CO77" s="421" t="s">
        <v>150</v>
      </c>
      <c r="CP77" s="421">
        <f t="shared" si="13"/>
        <v>4</v>
      </c>
      <c r="CQ77" s="421">
        <f t="shared" si="14"/>
        <v>5</v>
      </c>
      <c r="CR77" s="314">
        <f t="shared" si="15"/>
        <v>7</v>
      </c>
    </row>
    <row r="78" spans="1:96" s="3" customFormat="1" ht="14.1" customHeight="1">
      <c r="A78" s="144" t="s">
        <v>173</v>
      </c>
      <c r="B78" s="416">
        <v>645122</v>
      </c>
      <c r="C78" s="420"/>
      <c r="D78" s="420"/>
      <c r="E78" s="420"/>
      <c r="F78" s="420"/>
      <c r="G78" s="420"/>
      <c r="H78" s="421" t="s">
        <v>161</v>
      </c>
      <c r="I78" s="421" t="s">
        <v>161</v>
      </c>
      <c r="J78" s="420"/>
      <c r="K78" s="420"/>
      <c r="L78" s="424"/>
      <c r="M78" s="424"/>
      <c r="N78" s="420"/>
      <c r="O78" s="421" t="s">
        <v>149</v>
      </c>
      <c r="P78" s="421" t="s">
        <v>149</v>
      </c>
      <c r="Q78" s="421" t="s">
        <v>150</v>
      </c>
      <c r="R78" s="420"/>
      <c r="S78" s="421" t="s">
        <v>150</v>
      </c>
      <c r="T78" s="422"/>
      <c r="U78" s="422"/>
      <c r="V78" s="420"/>
      <c r="W78" s="420"/>
      <c r="X78" s="422"/>
      <c r="Y78" s="420"/>
      <c r="Z78" s="424"/>
      <c r="AA78" s="422"/>
      <c r="AB78" s="422"/>
      <c r="AC78" s="421" t="s">
        <v>149</v>
      </c>
      <c r="AD78" s="421" t="s">
        <v>149</v>
      </c>
      <c r="AE78" s="420"/>
      <c r="AF78" s="421" t="s">
        <v>150</v>
      </c>
      <c r="AG78" s="422"/>
      <c r="AH78" s="422"/>
      <c r="AI78" s="421" t="s">
        <v>149</v>
      </c>
      <c r="AJ78" s="420"/>
      <c r="AK78" s="420"/>
      <c r="AL78" s="421" t="s">
        <v>149</v>
      </c>
      <c r="AM78" s="421"/>
      <c r="AN78" s="420"/>
      <c r="AO78" s="420"/>
      <c r="AP78" s="420"/>
      <c r="AQ78" s="421" t="s">
        <v>149</v>
      </c>
      <c r="AR78" s="421" t="s">
        <v>149</v>
      </c>
      <c r="AS78" s="423"/>
      <c r="AT78" s="421" t="s">
        <v>150</v>
      </c>
      <c r="AU78" s="427"/>
      <c r="AV78" s="426"/>
      <c r="AW78" s="424"/>
      <c r="AX78" s="424"/>
      <c r="AY78" s="424"/>
      <c r="AZ78" s="421" t="s">
        <v>149</v>
      </c>
      <c r="BA78" s="421" t="s">
        <v>150</v>
      </c>
      <c r="BB78" s="420"/>
      <c r="BC78" s="423"/>
      <c r="BD78" s="422"/>
      <c r="BE78" s="421" t="s">
        <v>150</v>
      </c>
      <c r="BF78" s="421" t="s">
        <v>150</v>
      </c>
      <c r="BG78" s="420"/>
      <c r="BH78" s="420"/>
      <c r="BI78" s="420"/>
      <c r="BJ78" s="422"/>
      <c r="BK78" s="420"/>
      <c r="BL78" s="420"/>
      <c r="BM78" s="422"/>
      <c r="BN78" s="421" t="s">
        <v>161</v>
      </c>
      <c r="BO78" s="421" t="s">
        <v>161</v>
      </c>
      <c r="BP78" s="421" t="s">
        <v>161</v>
      </c>
      <c r="BQ78" s="421" t="s">
        <v>161</v>
      </c>
      <c r="BR78" s="420"/>
      <c r="BS78" s="420"/>
      <c r="BT78" s="420"/>
      <c r="BU78" s="422"/>
      <c r="BV78" s="420"/>
      <c r="BW78" s="420"/>
      <c r="BX78" s="420"/>
      <c r="BY78" s="422"/>
      <c r="BZ78" s="420"/>
      <c r="CA78" s="420"/>
      <c r="CB78" s="419" t="s">
        <v>160</v>
      </c>
      <c r="CC78" s="423"/>
      <c r="CD78" s="420"/>
      <c r="CE78" s="423"/>
      <c r="CF78" s="421" t="s">
        <v>161</v>
      </c>
      <c r="CG78" s="421" t="s">
        <v>161</v>
      </c>
      <c r="CH78" s="421" t="s">
        <v>161</v>
      </c>
      <c r="CI78" s="420"/>
      <c r="CJ78" s="420"/>
      <c r="CK78" s="422"/>
      <c r="CL78" s="422"/>
      <c r="CM78" s="420"/>
      <c r="CN78" s="420"/>
      <c r="CO78" s="420"/>
      <c r="CP78" s="421">
        <f t="shared" si="13"/>
        <v>9</v>
      </c>
      <c r="CQ78" s="421">
        <f t="shared" si="14"/>
        <v>8</v>
      </c>
      <c r="CR78" s="314">
        <f t="shared" si="15"/>
        <v>9</v>
      </c>
    </row>
    <row r="79" spans="1:96" s="3" customFormat="1" ht="14.1" customHeight="1">
      <c r="A79" s="145" t="s">
        <v>174</v>
      </c>
      <c r="B79" s="429"/>
      <c r="C79" s="430"/>
      <c r="D79" s="430"/>
      <c r="E79" s="430"/>
      <c r="F79" s="430"/>
      <c r="G79" s="430"/>
      <c r="H79" s="430"/>
      <c r="I79" s="430"/>
      <c r="J79" s="430"/>
      <c r="K79" s="430"/>
      <c r="L79" s="430"/>
      <c r="M79" s="430"/>
      <c r="N79" s="430"/>
      <c r="O79" s="430"/>
      <c r="P79" s="430"/>
      <c r="Q79" s="430"/>
      <c r="R79" s="430"/>
      <c r="S79" s="430"/>
      <c r="T79" s="430"/>
      <c r="U79" s="430"/>
      <c r="V79" s="430"/>
      <c r="W79" s="430"/>
      <c r="X79" s="430"/>
      <c r="Y79" s="430"/>
      <c r="Z79" s="430"/>
      <c r="AA79" s="430"/>
      <c r="AB79" s="430"/>
      <c r="AC79" s="430"/>
      <c r="AD79" s="430"/>
      <c r="AE79" s="430"/>
      <c r="AF79" s="430"/>
      <c r="AG79" s="430"/>
      <c r="AH79" s="430"/>
      <c r="AI79" s="430"/>
      <c r="AJ79" s="431"/>
      <c r="AK79" s="431"/>
      <c r="AL79" s="430"/>
      <c r="AM79" s="430"/>
      <c r="AN79" s="431"/>
      <c r="AO79" s="430"/>
      <c r="AP79" s="431"/>
      <c r="AQ79" s="430"/>
      <c r="AR79" s="430"/>
      <c r="AS79" s="431"/>
      <c r="AT79" s="431"/>
      <c r="AU79" s="430"/>
      <c r="AV79" s="430"/>
      <c r="AW79" s="430"/>
      <c r="AX79" s="430"/>
      <c r="AY79" s="430"/>
      <c r="AZ79" s="420"/>
      <c r="BA79" s="420"/>
      <c r="BB79" s="420"/>
      <c r="BC79" s="422"/>
      <c r="BD79" s="421" t="s">
        <v>150</v>
      </c>
      <c r="BE79" s="420"/>
      <c r="BF79" s="420"/>
      <c r="BG79" s="420"/>
      <c r="BH79" s="421" t="s">
        <v>149</v>
      </c>
      <c r="BI79" s="422"/>
      <c r="BJ79" s="422"/>
      <c r="BK79" s="422"/>
      <c r="BL79" s="420"/>
      <c r="BM79" s="420"/>
      <c r="BN79" s="420"/>
      <c r="BO79" s="420"/>
      <c r="BP79" s="420"/>
      <c r="BQ79" s="422"/>
      <c r="BR79" s="421" t="s">
        <v>161</v>
      </c>
      <c r="BS79" s="421" t="s">
        <v>161</v>
      </c>
      <c r="BT79" s="420"/>
      <c r="BU79" s="422"/>
      <c r="BV79" s="422"/>
      <c r="BW79" s="422"/>
      <c r="BX79" s="422"/>
      <c r="BY79" s="420"/>
      <c r="BZ79" s="420"/>
      <c r="CA79" s="420"/>
      <c r="CB79" s="420"/>
      <c r="CC79" s="420"/>
      <c r="CD79" s="420"/>
      <c r="CE79" s="420"/>
      <c r="CF79" s="420"/>
      <c r="CG79" s="420"/>
      <c r="CH79" s="420"/>
      <c r="CI79" s="420"/>
      <c r="CJ79" s="421" t="s">
        <v>149</v>
      </c>
      <c r="CK79" s="421" t="s">
        <v>149</v>
      </c>
      <c r="CL79" s="420"/>
      <c r="CM79" s="420"/>
      <c r="CN79" s="420"/>
      <c r="CO79" s="422"/>
      <c r="CP79" s="421">
        <f t="shared" si="13"/>
        <v>1</v>
      </c>
      <c r="CQ79" s="421">
        <f t="shared" si="14"/>
        <v>1</v>
      </c>
      <c r="CR79" s="314">
        <f t="shared" si="15"/>
        <v>2</v>
      </c>
    </row>
    <row r="80" spans="1:96" s="3" customFormat="1" ht="14.1" customHeight="1">
      <c r="A80" s="432" t="s">
        <v>175</v>
      </c>
      <c r="B80" s="416">
        <v>624174</v>
      </c>
      <c r="C80" s="421" t="s">
        <v>161</v>
      </c>
      <c r="D80" s="421" t="s">
        <v>161</v>
      </c>
      <c r="E80" s="424"/>
      <c r="F80" s="424"/>
      <c r="G80" s="424"/>
      <c r="H80" s="420"/>
      <c r="I80" s="422"/>
      <c r="J80" s="419" t="s">
        <v>165</v>
      </c>
      <c r="K80" s="420"/>
      <c r="L80" s="424"/>
      <c r="M80" s="424"/>
      <c r="N80" s="424"/>
      <c r="O80" s="422"/>
      <c r="P80" s="422"/>
      <c r="Q80" s="314" t="s">
        <v>161</v>
      </c>
      <c r="R80" s="314" t="s">
        <v>161</v>
      </c>
      <c r="S80" s="424"/>
      <c r="T80" s="426"/>
      <c r="U80" s="426"/>
      <c r="V80" s="420"/>
      <c r="W80" s="314" t="s">
        <v>161</v>
      </c>
      <c r="X80" s="421" t="s">
        <v>161</v>
      </c>
      <c r="Y80" s="421" t="s">
        <v>161</v>
      </c>
      <c r="Z80" s="424"/>
      <c r="AA80" s="426"/>
      <c r="AB80" s="426"/>
      <c r="AC80" s="421" t="s">
        <v>161</v>
      </c>
      <c r="AD80" s="421" t="s">
        <v>161</v>
      </c>
      <c r="AE80" s="420"/>
      <c r="AF80" s="420"/>
      <c r="AG80" s="426"/>
      <c r="AH80" s="426"/>
      <c r="AI80" s="424"/>
      <c r="AJ80" s="420"/>
      <c r="AK80" s="420"/>
      <c r="AL80" s="421" t="s">
        <v>149</v>
      </c>
      <c r="AM80" s="421" t="s">
        <v>150</v>
      </c>
      <c r="AN80" s="424"/>
      <c r="AO80" s="424"/>
      <c r="AP80" s="424"/>
      <c r="AQ80" s="420"/>
      <c r="AR80" s="420"/>
      <c r="AS80" s="421" t="s">
        <v>150</v>
      </c>
      <c r="AT80" s="421" t="s">
        <v>150</v>
      </c>
      <c r="AU80" s="426"/>
      <c r="AV80" s="426"/>
      <c r="AW80" s="424"/>
      <c r="AX80" s="424"/>
      <c r="AY80" s="424"/>
      <c r="AZ80" s="430" t="s">
        <v>31</v>
      </c>
      <c r="BA80" s="430"/>
      <c r="BB80" s="430"/>
      <c r="BC80" s="430"/>
      <c r="BD80" s="431"/>
      <c r="BE80" s="431"/>
      <c r="BF80" s="430"/>
      <c r="BG80" s="430" t="s">
        <v>31</v>
      </c>
      <c r="BH80" s="430"/>
      <c r="BI80" s="430"/>
      <c r="BJ80" s="431"/>
      <c r="BK80" s="430"/>
      <c r="BL80" s="430"/>
      <c r="BM80" s="431"/>
      <c r="BN80" s="431" t="s">
        <v>31</v>
      </c>
      <c r="BO80" s="431"/>
      <c r="BP80" s="430"/>
      <c r="BQ80" s="430"/>
      <c r="BR80" s="430"/>
      <c r="BS80" s="430"/>
      <c r="BT80" s="430"/>
      <c r="BU80" s="421" t="s">
        <v>149</v>
      </c>
      <c r="BV80" s="421" t="s">
        <v>149</v>
      </c>
      <c r="BW80" s="424"/>
      <c r="BX80" s="424"/>
      <c r="BY80" s="426"/>
      <c r="BZ80" s="424"/>
      <c r="CA80" s="424"/>
      <c r="CB80" s="421" t="s">
        <v>150</v>
      </c>
      <c r="CC80" s="421" t="s">
        <v>150</v>
      </c>
      <c r="CD80" s="424"/>
      <c r="CE80" s="426"/>
      <c r="CF80" s="424"/>
      <c r="CG80" s="420"/>
      <c r="CH80" s="420"/>
      <c r="CI80" s="420"/>
      <c r="CJ80" s="420"/>
      <c r="CK80" s="426"/>
      <c r="CL80" s="426"/>
      <c r="CM80" s="424"/>
      <c r="CN80" s="421" t="s">
        <v>161</v>
      </c>
      <c r="CO80" s="421" t="s">
        <v>161</v>
      </c>
      <c r="CP80" s="421">
        <f t="shared" si="13"/>
        <v>4</v>
      </c>
      <c r="CQ80" s="421">
        <f t="shared" si="14"/>
        <v>5</v>
      </c>
      <c r="CR80" s="314">
        <f t="shared" si="15"/>
        <v>9</v>
      </c>
    </row>
    <row r="81" spans="1:96" s="3" customFormat="1" ht="14.1" customHeight="1">
      <c r="A81" s="432"/>
      <c r="B81" s="385"/>
      <c r="C81" s="421"/>
      <c r="D81" s="421"/>
      <c r="E81" s="420"/>
      <c r="F81" s="420"/>
      <c r="G81" s="420"/>
      <c r="H81" s="420"/>
      <c r="I81" s="422"/>
      <c r="J81" s="421"/>
      <c r="K81" s="420"/>
      <c r="L81" s="420"/>
      <c r="M81" s="420"/>
      <c r="N81" s="420"/>
      <c r="O81" s="422"/>
      <c r="P81" s="422"/>
      <c r="Q81" s="314"/>
      <c r="R81" s="314"/>
      <c r="S81" s="420"/>
      <c r="T81" s="422"/>
      <c r="U81" s="422"/>
      <c r="V81" s="420"/>
      <c r="W81" s="314"/>
      <c r="X81" s="421"/>
      <c r="Y81" s="421"/>
      <c r="Z81" s="420"/>
      <c r="AA81" s="422"/>
      <c r="AB81" s="422"/>
      <c r="AC81" s="421"/>
      <c r="AD81" s="421"/>
      <c r="AE81" s="420"/>
      <c r="AF81" s="420"/>
      <c r="AG81" s="422"/>
      <c r="AH81" s="422"/>
      <c r="AI81" s="420"/>
      <c r="AJ81" s="420"/>
      <c r="AK81" s="420"/>
      <c r="AL81" s="421"/>
      <c r="AM81" s="421"/>
      <c r="AN81" s="420"/>
      <c r="AO81" s="420"/>
      <c r="AP81" s="420"/>
      <c r="AQ81" s="420"/>
      <c r="AR81" s="420"/>
      <c r="AS81" s="421"/>
      <c r="AT81" s="421"/>
      <c r="AU81" s="422"/>
      <c r="AV81" s="422"/>
      <c r="AW81" s="420"/>
      <c r="AX81" s="420"/>
      <c r="AY81" s="420"/>
      <c r="AZ81" s="420"/>
      <c r="BA81" s="420"/>
      <c r="BB81" s="420"/>
      <c r="BC81" s="420"/>
      <c r="BD81" s="422"/>
      <c r="BE81" s="422"/>
      <c r="BF81" s="420"/>
      <c r="BG81" s="420"/>
      <c r="BH81" s="420"/>
      <c r="BI81" s="420"/>
      <c r="BJ81" s="422"/>
      <c r="BK81" s="420"/>
      <c r="BL81" s="420"/>
      <c r="BM81" s="422"/>
      <c r="BN81" s="422"/>
      <c r="BO81" s="422"/>
      <c r="BP81" s="420"/>
      <c r="BQ81" s="420"/>
      <c r="BR81" s="420"/>
      <c r="BS81" s="420"/>
      <c r="BT81" s="420"/>
      <c r="BU81" s="421"/>
      <c r="BV81" s="421"/>
      <c r="BW81" s="420"/>
      <c r="BX81" s="420"/>
      <c r="BY81" s="422"/>
      <c r="BZ81" s="420"/>
      <c r="CA81" s="420"/>
      <c r="CB81" s="421"/>
      <c r="CC81" s="421"/>
      <c r="CD81" s="420"/>
      <c r="CE81" s="422"/>
      <c r="CF81" s="420"/>
      <c r="CG81" s="420"/>
      <c r="CH81" s="420"/>
      <c r="CI81" s="420"/>
      <c r="CJ81" s="420"/>
      <c r="CK81" s="422"/>
      <c r="CL81" s="422"/>
      <c r="CM81" s="420"/>
      <c r="CN81" s="421"/>
      <c r="CO81" s="421"/>
      <c r="CP81" s="421"/>
      <c r="CQ81" s="421"/>
      <c r="CR81" s="314"/>
    </row>
    <row r="82" spans="1:96" s="52" customFormat="1" ht="14.1" customHeight="1">
      <c r="A82" s="823" t="s">
        <v>176</v>
      </c>
      <c r="B82" s="146"/>
      <c r="C82" s="729"/>
      <c r="D82" s="729"/>
      <c r="E82" s="729"/>
      <c r="F82" s="729"/>
      <c r="G82" s="729"/>
      <c r="H82" s="729"/>
      <c r="I82" s="729"/>
      <c r="J82" s="729"/>
      <c r="K82" s="729"/>
      <c r="L82" s="729"/>
      <c r="M82" s="729"/>
      <c r="N82" s="729"/>
      <c r="O82" s="729"/>
      <c r="P82" s="729"/>
      <c r="Q82" s="729"/>
      <c r="R82" s="729"/>
      <c r="S82" s="729"/>
      <c r="T82" s="729"/>
      <c r="U82" s="729"/>
      <c r="V82" s="729"/>
      <c r="W82" s="729"/>
      <c r="X82" s="729"/>
      <c r="Y82" s="729"/>
      <c r="Z82" s="729"/>
      <c r="AA82" s="729"/>
      <c r="AB82" s="729"/>
      <c r="AC82" s="729"/>
      <c r="AD82" s="729"/>
      <c r="AE82" s="729"/>
      <c r="AF82" s="729"/>
      <c r="AG82" s="729"/>
      <c r="AH82" s="729"/>
      <c r="AI82" s="729"/>
      <c r="AJ82" s="729"/>
      <c r="AK82" s="729"/>
      <c r="AL82" s="729"/>
      <c r="AM82" s="729"/>
      <c r="AN82" s="729"/>
      <c r="AO82" s="729"/>
      <c r="AP82" s="729"/>
      <c r="AQ82" s="729"/>
      <c r="AR82" s="729"/>
      <c r="AS82" s="729"/>
      <c r="AT82" s="729"/>
      <c r="AU82" s="729"/>
      <c r="AV82" s="729"/>
      <c r="AW82" s="729"/>
      <c r="AX82" s="729"/>
      <c r="AY82" s="729"/>
      <c r="AZ82" s="729"/>
      <c r="BA82" s="729"/>
      <c r="BB82" s="729"/>
      <c r="BC82" s="729"/>
      <c r="BD82" s="729"/>
      <c r="BE82" s="729"/>
      <c r="BF82" s="729"/>
      <c r="BG82" s="729"/>
      <c r="BH82" s="729"/>
      <c r="BI82" s="729"/>
      <c r="BJ82" s="729"/>
      <c r="BK82" s="729"/>
      <c r="BL82" s="729"/>
      <c r="BM82" s="729"/>
      <c r="BN82" s="729"/>
      <c r="BO82" s="729"/>
      <c r="BP82" s="729"/>
      <c r="BQ82" s="729"/>
      <c r="BR82" s="729"/>
      <c r="BS82" s="729"/>
      <c r="BT82" s="729"/>
      <c r="BU82" s="729"/>
      <c r="BV82" s="729"/>
      <c r="BW82" s="729"/>
      <c r="BX82" s="729"/>
      <c r="BY82" s="729"/>
      <c r="BZ82" s="729"/>
      <c r="CA82" s="729"/>
      <c r="CB82" s="729"/>
      <c r="CC82" s="729"/>
      <c r="CD82" s="729"/>
      <c r="CE82" s="729"/>
      <c r="CF82" s="729"/>
      <c r="CG82" s="729"/>
      <c r="CH82" s="729"/>
      <c r="CI82" s="729"/>
      <c r="CJ82" s="729"/>
      <c r="CK82" s="729"/>
      <c r="CL82" s="729"/>
      <c r="CM82" s="729"/>
      <c r="CN82" s="729"/>
      <c r="CO82" s="729"/>
      <c r="CP82" s="824" t="s">
        <v>1</v>
      </c>
      <c r="CQ82" s="825" t="s">
        <v>2</v>
      </c>
      <c r="CR82" s="825" t="s">
        <v>158</v>
      </c>
    </row>
    <row r="83" spans="1:96" s="3" customFormat="1" ht="14.1" customHeight="1">
      <c r="A83" s="433" t="s">
        <v>177</v>
      </c>
      <c r="B83" s="416">
        <v>637990</v>
      </c>
      <c r="C83" s="314" t="s">
        <v>178</v>
      </c>
      <c r="D83" s="314" t="s">
        <v>178</v>
      </c>
      <c r="E83" s="314" t="s">
        <v>178</v>
      </c>
      <c r="F83" s="314" t="s">
        <v>178</v>
      </c>
      <c r="G83" s="423"/>
      <c r="H83" s="423"/>
      <c r="I83" s="423"/>
      <c r="J83" s="421" t="s">
        <v>150</v>
      </c>
      <c r="K83" s="421" t="s">
        <v>150</v>
      </c>
      <c r="L83" s="426"/>
      <c r="M83" s="426"/>
      <c r="N83" s="426"/>
      <c r="O83" s="419" t="s">
        <v>167</v>
      </c>
      <c r="P83" s="421" t="s">
        <v>150</v>
      </c>
      <c r="Q83" s="420"/>
      <c r="R83" s="420"/>
      <c r="S83" s="420"/>
      <c r="T83" s="314" t="s">
        <v>178</v>
      </c>
      <c r="U83" s="314" t="s">
        <v>178</v>
      </c>
      <c r="V83" s="314" t="s">
        <v>178</v>
      </c>
      <c r="W83" s="314" t="s">
        <v>178</v>
      </c>
      <c r="X83" s="421"/>
      <c r="Y83" s="314"/>
      <c r="Z83" s="421" t="s">
        <v>150</v>
      </c>
      <c r="AA83" s="421"/>
      <c r="AB83" s="421" t="s">
        <v>149</v>
      </c>
      <c r="AC83" s="421" t="s">
        <v>149</v>
      </c>
      <c r="AD83" s="421" t="s">
        <v>149</v>
      </c>
      <c r="AE83" s="421" t="s">
        <v>150</v>
      </c>
      <c r="AF83" s="421" t="s">
        <v>150</v>
      </c>
      <c r="AG83" s="421"/>
      <c r="AH83" s="314" t="s">
        <v>149</v>
      </c>
      <c r="AI83" s="421" t="s">
        <v>149</v>
      </c>
      <c r="AJ83" s="422"/>
      <c r="AK83" s="422"/>
      <c r="AL83" s="421" t="s">
        <v>178</v>
      </c>
      <c r="AM83" s="314" t="s">
        <v>178</v>
      </c>
      <c r="AN83" s="314" t="s">
        <v>178</v>
      </c>
      <c r="AO83" s="314" t="s">
        <v>178</v>
      </c>
      <c r="AP83" s="422"/>
      <c r="AQ83" s="422"/>
      <c r="AR83" s="422"/>
      <c r="AS83" s="421" t="s">
        <v>149</v>
      </c>
      <c r="AT83" s="421" t="s">
        <v>163</v>
      </c>
      <c r="AU83" s="314"/>
      <c r="AV83" s="421"/>
      <c r="AW83" s="421"/>
      <c r="AX83" s="421" t="s">
        <v>150</v>
      </c>
      <c r="AY83" s="421" t="s">
        <v>150</v>
      </c>
      <c r="AZ83" s="314"/>
      <c r="BA83" s="421" t="s">
        <v>149</v>
      </c>
      <c r="BB83" s="421" t="s">
        <v>150</v>
      </c>
      <c r="BC83" s="421" t="s">
        <v>150</v>
      </c>
      <c r="BD83" s="421" t="s">
        <v>150</v>
      </c>
      <c r="BE83" s="314"/>
      <c r="BF83" s="420"/>
      <c r="BG83" s="421" t="s">
        <v>150</v>
      </c>
      <c r="BH83" s="421" t="s">
        <v>150</v>
      </c>
      <c r="BI83" s="420"/>
      <c r="BJ83" s="314" t="s">
        <v>149</v>
      </c>
      <c r="BK83" s="314" t="s">
        <v>149</v>
      </c>
      <c r="BL83" s="423"/>
      <c r="BM83" s="423"/>
      <c r="BN83" s="421"/>
      <c r="BO83" s="314"/>
      <c r="BP83" s="314" t="s">
        <v>150</v>
      </c>
      <c r="BQ83" s="421"/>
      <c r="BR83" s="421" t="s">
        <v>149</v>
      </c>
      <c r="BS83" s="421" t="s">
        <v>149</v>
      </c>
      <c r="BT83" s="421" t="s">
        <v>149</v>
      </c>
      <c r="BU83" s="421" t="s">
        <v>150</v>
      </c>
      <c r="BV83" s="423"/>
      <c r="BW83" s="421" t="s">
        <v>150</v>
      </c>
      <c r="BX83" s="423"/>
      <c r="BY83" s="423"/>
      <c r="BZ83" s="421" t="s">
        <v>149</v>
      </c>
      <c r="CA83" s="421" t="s">
        <v>149</v>
      </c>
      <c r="CB83" s="421" t="s">
        <v>150</v>
      </c>
      <c r="CC83" s="421" t="s">
        <v>150</v>
      </c>
      <c r="CD83" s="423"/>
      <c r="CE83" s="421" t="s">
        <v>150</v>
      </c>
      <c r="CF83" s="421" t="s">
        <v>150</v>
      </c>
      <c r="CG83" s="420"/>
      <c r="CH83" s="420"/>
      <c r="CI83" s="421" t="s">
        <v>149</v>
      </c>
      <c r="CJ83" s="421" t="s">
        <v>150</v>
      </c>
      <c r="CK83" s="314"/>
      <c r="CL83" s="421" t="s">
        <v>150</v>
      </c>
      <c r="CM83" s="421" t="s">
        <v>150</v>
      </c>
      <c r="CN83" s="423"/>
      <c r="CO83" s="423"/>
      <c r="CP83" s="421">
        <f t="shared" ref="CP83:CP88" si="16">COUNTIF(C83:CH83,"*1730*")</f>
        <v>15</v>
      </c>
      <c r="CQ83" s="314">
        <f t="shared" ref="CQ83:CQ88" si="17">COUNTIF(C83:CH83,"*0000*")</f>
        <v>21</v>
      </c>
      <c r="CR83" s="314">
        <f t="shared" ref="CR83:CR88" si="18">COUNTIF(C83:CH83,"2200*")+COUNTIF(C83:CH83,"2300*")</f>
        <v>12</v>
      </c>
    </row>
    <row r="84" spans="1:96" s="3" customFormat="1" ht="14.1" customHeight="1">
      <c r="A84" s="143" t="s">
        <v>179</v>
      </c>
      <c r="B84" s="416">
        <v>652867</v>
      </c>
      <c r="C84" s="421" t="s">
        <v>150</v>
      </c>
      <c r="D84" s="434"/>
      <c r="E84" s="434"/>
      <c r="F84" s="434"/>
      <c r="G84" s="421" t="s">
        <v>149</v>
      </c>
      <c r="H84" s="421" t="s">
        <v>149</v>
      </c>
      <c r="I84" s="421" t="s">
        <v>149</v>
      </c>
      <c r="J84" s="435" t="s">
        <v>66</v>
      </c>
      <c r="K84" s="436"/>
      <c r="L84" s="435"/>
      <c r="M84" s="435"/>
      <c r="N84" s="436"/>
      <c r="O84" s="435"/>
      <c r="P84" s="436"/>
      <c r="Q84" s="435" t="s">
        <v>66</v>
      </c>
      <c r="R84" s="436"/>
      <c r="S84" s="435"/>
      <c r="T84" s="435"/>
      <c r="U84" s="436"/>
      <c r="V84" s="435"/>
      <c r="W84" s="436"/>
      <c r="X84" s="421" t="s">
        <v>178</v>
      </c>
      <c r="Y84" s="314" t="s">
        <v>178</v>
      </c>
      <c r="Z84" s="314" t="s">
        <v>178</v>
      </c>
      <c r="AA84" s="314" t="s">
        <v>178</v>
      </c>
      <c r="AB84" s="420"/>
      <c r="AC84" s="420"/>
      <c r="AD84" s="420"/>
      <c r="AE84" s="421" t="s">
        <v>149</v>
      </c>
      <c r="AF84" s="421" t="s">
        <v>149</v>
      </c>
      <c r="AG84" s="314"/>
      <c r="AH84" s="421"/>
      <c r="AI84" s="421"/>
      <c r="AJ84" s="421" t="s">
        <v>150</v>
      </c>
      <c r="AK84" s="421" t="s">
        <v>167</v>
      </c>
      <c r="AL84" s="420"/>
      <c r="AM84" s="421" t="s">
        <v>149</v>
      </c>
      <c r="AN84" s="421" t="s">
        <v>150</v>
      </c>
      <c r="AO84" s="421" t="s">
        <v>150</v>
      </c>
      <c r="AP84" s="421" t="s">
        <v>150</v>
      </c>
      <c r="AQ84" s="420"/>
      <c r="AR84" s="420"/>
      <c r="AS84" s="314"/>
      <c r="AT84" s="421"/>
      <c r="AU84" s="314"/>
      <c r="AV84" s="314" t="s">
        <v>160</v>
      </c>
      <c r="AW84" s="314" t="s">
        <v>178</v>
      </c>
      <c r="AX84" s="314" t="s">
        <v>178</v>
      </c>
      <c r="AY84" s="314" t="s">
        <v>178</v>
      </c>
      <c r="AZ84" s="421"/>
      <c r="BA84" s="314"/>
      <c r="BB84" s="314" t="s">
        <v>150</v>
      </c>
      <c r="BC84" s="421"/>
      <c r="BD84" s="421" t="s">
        <v>149</v>
      </c>
      <c r="BE84" s="421" t="s">
        <v>149</v>
      </c>
      <c r="BF84" s="421" t="s">
        <v>149</v>
      </c>
      <c r="BG84" s="421" t="s">
        <v>150</v>
      </c>
      <c r="BH84" s="421" t="s">
        <v>150</v>
      </c>
      <c r="BI84" s="421"/>
      <c r="BJ84" s="314" t="s">
        <v>149</v>
      </c>
      <c r="BK84" s="421" t="s">
        <v>149</v>
      </c>
      <c r="BL84" s="420"/>
      <c r="BM84" s="420"/>
      <c r="BN84" s="421" t="s">
        <v>178</v>
      </c>
      <c r="BO84" s="314" t="s">
        <v>178</v>
      </c>
      <c r="BP84" s="314" t="s">
        <v>178</v>
      </c>
      <c r="BQ84" s="314" t="s">
        <v>178</v>
      </c>
      <c r="BR84" s="420"/>
      <c r="BS84" s="420"/>
      <c r="BT84" s="422"/>
      <c r="BU84" s="421" t="s">
        <v>163</v>
      </c>
      <c r="BV84" s="421" t="s">
        <v>149</v>
      </c>
      <c r="BW84" s="314"/>
      <c r="BX84" s="421"/>
      <c r="BY84" s="421"/>
      <c r="BZ84" s="421" t="s">
        <v>150</v>
      </c>
      <c r="CA84" s="421" t="s">
        <v>150</v>
      </c>
      <c r="CB84" s="314"/>
      <c r="CC84" s="421" t="s">
        <v>149</v>
      </c>
      <c r="CD84" s="421" t="s">
        <v>150</v>
      </c>
      <c r="CE84" s="421" t="s">
        <v>150</v>
      </c>
      <c r="CF84" s="421" t="s">
        <v>150</v>
      </c>
      <c r="CG84" s="437"/>
      <c r="CH84" s="420"/>
      <c r="CI84" s="420"/>
      <c r="CJ84" s="437"/>
      <c r="CK84" s="437"/>
      <c r="CL84" s="314" t="s">
        <v>160</v>
      </c>
      <c r="CM84" s="314" t="s">
        <v>178</v>
      </c>
      <c r="CN84" s="314" t="s">
        <v>178</v>
      </c>
      <c r="CO84" s="314" t="s">
        <v>178</v>
      </c>
      <c r="CP84" s="421">
        <f t="shared" si="16"/>
        <v>14</v>
      </c>
      <c r="CQ84" s="314">
        <f t="shared" si="17"/>
        <v>15</v>
      </c>
      <c r="CR84" s="314">
        <f t="shared" si="18"/>
        <v>11</v>
      </c>
    </row>
    <row r="85" spans="1:96" s="3" customFormat="1" ht="14.1" customHeight="1">
      <c r="A85" s="438" t="s">
        <v>180</v>
      </c>
      <c r="B85" s="416">
        <v>638831</v>
      </c>
      <c r="C85" s="419" t="s">
        <v>181</v>
      </c>
      <c r="D85" s="420"/>
      <c r="E85" s="420"/>
      <c r="F85" s="423"/>
      <c r="G85" s="314" t="s">
        <v>178</v>
      </c>
      <c r="H85" s="314" t="s">
        <v>178</v>
      </c>
      <c r="I85" s="314" t="s">
        <v>178</v>
      </c>
      <c r="J85" s="421"/>
      <c r="K85" s="421"/>
      <c r="L85" s="421" t="s">
        <v>150</v>
      </c>
      <c r="M85" s="421"/>
      <c r="N85" s="421" t="s">
        <v>149</v>
      </c>
      <c r="O85" s="421" t="s">
        <v>149</v>
      </c>
      <c r="P85" s="421" t="s">
        <v>149</v>
      </c>
      <c r="Q85" s="421" t="s">
        <v>150</v>
      </c>
      <c r="R85" s="421" t="s">
        <v>150</v>
      </c>
      <c r="S85" s="421"/>
      <c r="T85" s="314" t="s">
        <v>149</v>
      </c>
      <c r="U85" s="421" t="s">
        <v>149</v>
      </c>
      <c r="V85" s="420"/>
      <c r="W85" s="420"/>
      <c r="X85" s="421" t="s">
        <v>163</v>
      </c>
      <c r="Y85" s="421" t="s">
        <v>150</v>
      </c>
      <c r="Z85" s="421" t="s">
        <v>150</v>
      </c>
      <c r="AA85" s="421" t="s">
        <v>150</v>
      </c>
      <c r="AB85" s="424"/>
      <c r="AC85" s="426"/>
      <c r="AD85" s="426"/>
      <c r="AE85" s="426"/>
      <c r="AF85" s="421" t="s">
        <v>178</v>
      </c>
      <c r="AG85" s="314" t="s">
        <v>178</v>
      </c>
      <c r="AH85" s="314" t="s">
        <v>178</v>
      </c>
      <c r="AI85" s="314" t="s">
        <v>178</v>
      </c>
      <c r="AJ85" s="420"/>
      <c r="AK85" s="420"/>
      <c r="AL85" s="423"/>
      <c r="AM85" s="421" t="s">
        <v>149</v>
      </c>
      <c r="AN85" s="314"/>
      <c r="AO85" s="421" t="s">
        <v>149</v>
      </c>
      <c r="AP85" s="421"/>
      <c r="AQ85" s="421" t="s">
        <v>150</v>
      </c>
      <c r="AR85" s="421" t="s">
        <v>150</v>
      </c>
      <c r="AS85" s="314"/>
      <c r="AT85" s="421" t="s">
        <v>149</v>
      </c>
      <c r="AU85" s="421" t="s">
        <v>150</v>
      </c>
      <c r="AV85" s="421" t="s">
        <v>150</v>
      </c>
      <c r="AW85" s="421" t="s">
        <v>150</v>
      </c>
      <c r="AX85" s="314"/>
      <c r="AY85" s="314"/>
      <c r="AZ85" s="314"/>
      <c r="BA85" s="421"/>
      <c r="BB85" s="314"/>
      <c r="BC85" s="314" t="s">
        <v>160</v>
      </c>
      <c r="BD85" s="314" t="s">
        <v>178</v>
      </c>
      <c r="BE85" s="314" t="s">
        <v>178</v>
      </c>
      <c r="BF85" s="314" t="s">
        <v>178</v>
      </c>
      <c r="BG85" s="421"/>
      <c r="BH85" s="314"/>
      <c r="BI85" s="314" t="s">
        <v>150</v>
      </c>
      <c r="BJ85" s="314" t="s">
        <v>150</v>
      </c>
      <c r="BK85" s="421"/>
      <c r="BL85" s="421" t="s">
        <v>149</v>
      </c>
      <c r="BM85" s="421" t="s">
        <v>149</v>
      </c>
      <c r="BN85" s="421" t="s">
        <v>150</v>
      </c>
      <c r="BO85" s="421" t="s">
        <v>150</v>
      </c>
      <c r="BP85" s="421"/>
      <c r="BQ85" s="314" t="s">
        <v>163</v>
      </c>
      <c r="BR85" s="421" t="s">
        <v>149</v>
      </c>
      <c r="BS85" s="422"/>
      <c r="BT85" s="420"/>
      <c r="BU85" s="421" t="s">
        <v>178</v>
      </c>
      <c r="BV85" s="314" t="s">
        <v>178</v>
      </c>
      <c r="BW85" s="314" t="s">
        <v>178</v>
      </c>
      <c r="BX85" s="314" t="s">
        <v>178</v>
      </c>
      <c r="BY85" s="420"/>
      <c r="BZ85" s="422"/>
      <c r="CA85" s="420"/>
      <c r="CB85" s="421" t="s">
        <v>149</v>
      </c>
      <c r="CC85" s="421"/>
      <c r="CD85" s="314"/>
      <c r="CE85" s="421" t="s">
        <v>149</v>
      </c>
      <c r="CF85" s="421" t="s">
        <v>149</v>
      </c>
      <c r="CG85" s="421" t="s">
        <v>150</v>
      </c>
      <c r="CH85" s="421" t="s">
        <v>150</v>
      </c>
      <c r="CI85" s="421" t="s">
        <v>150</v>
      </c>
      <c r="CJ85" s="423"/>
      <c r="CK85" s="421" t="s">
        <v>150</v>
      </c>
      <c r="CL85" s="423"/>
      <c r="CM85" s="421" t="s">
        <v>150</v>
      </c>
      <c r="CN85" s="314"/>
      <c r="CO85" s="314"/>
      <c r="CP85" s="421">
        <f t="shared" si="16"/>
        <v>16</v>
      </c>
      <c r="CQ85" s="314">
        <f t="shared" si="17"/>
        <v>18</v>
      </c>
      <c r="CR85" s="314">
        <f t="shared" si="18"/>
        <v>14</v>
      </c>
    </row>
    <row r="86" spans="1:96" s="3" customFormat="1" ht="14.1" customHeight="1">
      <c r="A86" s="439" t="s">
        <v>182</v>
      </c>
      <c r="B86" s="416">
        <v>631314</v>
      </c>
      <c r="C86" s="426"/>
      <c r="D86" s="421" t="s">
        <v>150</v>
      </c>
      <c r="E86" s="423"/>
      <c r="F86" s="423"/>
      <c r="G86" s="420"/>
      <c r="H86" s="420"/>
      <c r="I86" s="421" t="s">
        <v>149</v>
      </c>
      <c r="J86" s="423"/>
      <c r="K86" s="423"/>
      <c r="L86" s="423"/>
      <c r="M86" s="314" t="s">
        <v>178</v>
      </c>
      <c r="N86" s="314" t="s">
        <v>178</v>
      </c>
      <c r="O86" s="422"/>
      <c r="P86" s="422"/>
      <c r="Q86" s="421"/>
      <c r="R86" s="420"/>
      <c r="S86" s="420"/>
      <c r="T86" s="420"/>
      <c r="U86" s="420"/>
      <c r="V86" s="419" t="s">
        <v>183</v>
      </c>
      <c r="W86" s="421" t="s">
        <v>150</v>
      </c>
      <c r="X86" s="422"/>
      <c r="Y86" s="422"/>
      <c r="Z86" s="423"/>
      <c r="AA86" s="423"/>
      <c r="AB86" s="423"/>
      <c r="AC86" s="421" t="s">
        <v>184</v>
      </c>
      <c r="AD86" s="421" t="s">
        <v>149</v>
      </c>
      <c r="AE86" s="420"/>
      <c r="AF86" s="420"/>
      <c r="AG86" s="314" t="s">
        <v>178</v>
      </c>
      <c r="AH86" s="314" t="s">
        <v>178</v>
      </c>
      <c r="AI86" s="420"/>
      <c r="AJ86" s="420"/>
      <c r="AK86" s="420"/>
      <c r="AL86" s="421" t="s">
        <v>150</v>
      </c>
      <c r="AM86" s="420"/>
      <c r="AN86" s="420"/>
      <c r="AO86" s="422"/>
      <c r="AP86" s="421"/>
      <c r="AQ86" s="440" t="s">
        <v>184</v>
      </c>
      <c r="AR86" s="420"/>
      <c r="AS86" s="422"/>
      <c r="AT86" s="422"/>
      <c r="AU86" s="314" t="s">
        <v>178</v>
      </c>
      <c r="AV86" s="314" t="s">
        <v>178</v>
      </c>
      <c r="AW86" s="420"/>
      <c r="AX86" s="420"/>
      <c r="AY86" s="420"/>
      <c r="AZ86" s="420"/>
      <c r="BA86" s="314" t="s">
        <v>150</v>
      </c>
      <c r="BB86" s="420"/>
      <c r="BC86" s="420"/>
      <c r="BD86" s="422"/>
      <c r="BE86" s="421" t="s">
        <v>149</v>
      </c>
      <c r="BF86" s="421" t="s">
        <v>149</v>
      </c>
      <c r="BG86" s="420"/>
      <c r="BH86" s="420"/>
      <c r="BI86" s="314" t="s">
        <v>150</v>
      </c>
      <c r="BJ86" s="420"/>
      <c r="BK86" s="441"/>
      <c r="BL86" s="441"/>
      <c r="BM86" s="441"/>
      <c r="BN86" s="426"/>
      <c r="BO86" s="420"/>
      <c r="BP86" s="314" t="s">
        <v>178</v>
      </c>
      <c r="BQ86" s="314" t="s">
        <v>178</v>
      </c>
      <c r="BR86" s="422"/>
      <c r="BS86" s="420"/>
      <c r="BT86" s="420"/>
      <c r="BU86" s="420"/>
      <c r="BV86" s="420"/>
      <c r="BW86" s="420"/>
      <c r="BX86" s="420"/>
      <c r="BY86" s="422"/>
      <c r="BZ86" s="421" t="s">
        <v>183</v>
      </c>
      <c r="CA86" s="421" t="s">
        <v>150</v>
      </c>
      <c r="CB86" s="420"/>
      <c r="CC86" s="420"/>
      <c r="CD86" s="420"/>
      <c r="CE86" s="421" t="s">
        <v>149</v>
      </c>
      <c r="CF86" s="421" t="s">
        <v>150</v>
      </c>
      <c r="CG86" s="422"/>
      <c r="CH86" s="420"/>
      <c r="CI86" s="422"/>
      <c r="CJ86" s="420"/>
      <c r="CK86" s="422"/>
      <c r="CL86" s="421" t="s">
        <v>149</v>
      </c>
      <c r="CM86" s="421" t="s">
        <v>149</v>
      </c>
      <c r="CN86" s="420"/>
      <c r="CO86" s="420"/>
      <c r="CP86" s="421">
        <f t="shared" si="16"/>
        <v>7</v>
      </c>
      <c r="CQ86" s="314">
        <f t="shared" si="17"/>
        <v>9</v>
      </c>
      <c r="CR86" s="314">
        <f t="shared" si="18"/>
        <v>8</v>
      </c>
    </row>
    <row r="87" spans="1:96" s="3" customFormat="1" ht="14.1" customHeight="1">
      <c r="A87" s="439" t="s">
        <v>185</v>
      </c>
      <c r="B87" s="416">
        <v>631732</v>
      </c>
      <c r="C87" s="421" t="s">
        <v>149</v>
      </c>
      <c r="D87" s="424"/>
      <c r="E87" s="420"/>
      <c r="F87" s="420"/>
      <c r="G87" s="420"/>
      <c r="H87" s="421"/>
      <c r="I87" s="421" t="s">
        <v>150</v>
      </c>
      <c r="J87" s="422"/>
      <c r="K87" s="424"/>
      <c r="L87" s="420"/>
      <c r="M87" s="421" t="s">
        <v>149</v>
      </c>
      <c r="N87" s="421" t="s">
        <v>149</v>
      </c>
      <c r="O87" s="426"/>
      <c r="P87" s="426"/>
      <c r="Q87" s="421" t="s">
        <v>150</v>
      </c>
      <c r="R87" s="424"/>
      <c r="S87" s="421" t="s">
        <v>150</v>
      </c>
      <c r="T87" s="420"/>
      <c r="U87" s="421"/>
      <c r="V87" s="420"/>
      <c r="W87" s="420"/>
      <c r="X87" s="422"/>
      <c r="Y87" s="426"/>
      <c r="Z87" s="422"/>
      <c r="AA87" s="422"/>
      <c r="AB87" s="314" t="s">
        <v>178</v>
      </c>
      <c r="AC87" s="314" t="s">
        <v>178</v>
      </c>
      <c r="AD87" s="314" t="s">
        <v>178</v>
      </c>
      <c r="AE87" s="420"/>
      <c r="AF87" s="424"/>
      <c r="AG87" s="420"/>
      <c r="AH87" s="422"/>
      <c r="AI87" s="314" t="s">
        <v>160</v>
      </c>
      <c r="AJ87" s="420"/>
      <c r="AK87" s="420"/>
      <c r="AL87" s="421" t="s">
        <v>150</v>
      </c>
      <c r="AM87" s="424"/>
      <c r="AN87" s="420"/>
      <c r="AO87" s="422"/>
      <c r="AP87" s="421" t="s">
        <v>149</v>
      </c>
      <c r="AQ87" s="424"/>
      <c r="AR87" s="424"/>
      <c r="AS87" s="422"/>
      <c r="AT87" s="426"/>
      <c r="AU87" s="422"/>
      <c r="AV87" s="420"/>
      <c r="AW87" s="420"/>
      <c r="AX87" s="421" t="s">
        <v>150</v>
      </c>
      <c r="AY87" s="421" t="s">
        <v>150</v>
      </c>
      <c r="AZ87" s="421" t="s">
        <v>150</v>
      </c>
      <c r="BA87" s="424"/>
      <c r="BB87" s="420"/>
      <c r="BC87" s="420"/>
      <c r="BD87" s="422"/>
      <c r="BE87" s="422"/>
      <c r="BF87" s="422"/>
      <c r="BG87" s="314" t="s">
        <v>149</v>
      </c>
      <c r="BH87" s="424"/>
      <c r="BI87" s="420"/>
      <c r="BJ87" s="314" t="s">
        <v>149</v>
      </c>
      <c r="BK87" s="421" t="s">
        <v>150</v>
      </c>
      <c r="BL87" s="442"/>
      <c r="BM87" s="442"/>
      <c r="BN87" s="422"/>
      <c r="BO87" s="424"/>
      <c r="BP87" s="314"/>
      <c r="BQ87" s="422"/>
      <c r="BR87" s="314" t="s">
        <v>178</v>
      </c>
      <c r="BS87" s="314" t="s">
        <v>178</v>
      </c>
      <c r="BT87" s="314" t="s">
        <v>178</v>
      </c>
      <c r="BU87" s="420"/>
      <c r="BV87" s="424"/>
      <c r="BW87" s="420"/>
      <c r="BX87" s="420"/>
      <c r="BY87" s="421" t="s">
        <v>160</v>
      </c>
      <c r="BZ87" s="422"/>
      <c r="CA87" s="422"/>
      <c r="CB87" s="420"/>
      <c r="CC87" s="424"/>
      <c r="CD87" s="420"/>
      <c r="CE87" s="422"/>
      <c r="CF87" s="426"/>
      <c r="CG87" s="421" t="s">
        <v>184</v>
      </c>
      <c r="CH87" s="421" t="s">
        <v>149</v>
      </c>
      <c r="CI87" s="422"/>
      <c r="CJ87" s="424"/>
      <c r="CK87" s="314" t="s">
        <v>178</v>
      </c>
      <c r="CL87" s="314" t="s">
        <v>178</v>
      </c>
      <c r="CM87" s="420"/>
      <c r="CN87" s="420"/>
      <c r="CO87" s="420"/>
      <c r="CP87" s="421">
        <f t="shared" si="16"/>
        <v>8</v>
      </c>
      <c r="CQ87" s="314">
        <f t="shared" si="17"/>
        <v>10</v>
      </c>
      <c r="CR87" s="314">
        <f t="shared" si="18"/>
        <v>6</v>
      </c>
    </row>
    <row r="88" spans="1:96" s="3" customFormat="1" ht="14.1" customHeight="1">
      <c r="A88" s="443" t="s">
        <v>186</v>
      </c>
      <c r="B88" s="416">
        <v>634876</v>
      </c>
      <c r="C88" s="421"/>
      <c r="D88" s="421" t="s">
        <v>149</v>
      </c>
      <c r="E88" s="421" t="s">
        <v>150</v>
      </c>
      <c r="F88" s="426"/>
      <c r="G88" s="422"/>
      <c r="H88" s="426"/>
      <c r="I88" s="426"/>
      <c r="J88" s="417" t="s">
        <v>187</v>
      </c>
      <c r="K88" s="417"/>
      <c r="L88" s="417"/>
      <c r="M88" s="417"/>
      <c r="N88" s="417"/>
      <c r="O88" s="417"/>
      <c r="P88" s="417"/>
      <c r="Q88" s="422"/>
      <c r="R88" s="423"/>
      <c r="S88" s="420"/>
      <c r="T88" s="424"/>
      <c r="U88" s="420"/>
      <c r="V88" s="421" t="s">
        <v>149</v>
      </c>
      <c r="W88" s="421" t="s">
        <v>149</v>
      </c>
      <c r="X88" s="423"/>
      <c r="Y88" s="423"/>
      <c r="Z88" s="420"/>
      <c r="AA88" s="424"/>
      <c r="AB88" s="422"/>
      <c r="AC88" s="423"/>
      <c r="AD88" s="423"/>
      <c r="AE88" s="421" t="s">
        <v>178</v>
      </c>
      <c r="AF88" s="421" t="s">
        <v>178</v>
      </c>
      <c r="AG88" s="420"/>
      <c r="AH88" s="426"/>
      <c r="AI88" s="422"/>
      <c r="AJ88" s="314" t="s">
        <v>188</v>
      </c>
      <c r="AK88" s="314" t="s">
        <v>150</v>
      </c>
      <c r="AL88" s="422"/>
      <c r="AM88" s="421"/>
      <c r="AN88" s="421"/>
      <c r="AO88" s="424"/>
      <c r="AP88" s="422"/>
      <c r="AQ88" s="420"/>
      <c r="AR88" s="420"/>
      <c r="AS88" s="421" t="s">
        <v>178</v>
      </c>
      <c r="AT88" s="421" t="s">
        <v>178</v>
      </c>
      <c r="AU88" s="420"/>
      <c r="AV88" s="424"/>
      <c r="AW88" s="420"/>
      <c r="AX88" s="421" t="s">
        <v>184</v>
      </c>
      <c r="AY88" s="421" t="s">
        <v>149</v>
      </c>
      <c r="AZ88" s="422"/>
      <c r="BA88" s="420"/>
      <c r="BB88" s="422"/>
      <c r="BC88" s="424"/>
      <c r="BD88" s="422"/>
      <c r="BE88" s="421" t="s">
        <v>150</v>
      </c>
      <c r="BF88" s="421" t="s">
        <v>150</v>
      </c>
      <c r="BG88" s="422"/>
      <c r="BH88" s="314" t="s">
        <v>149</v>
      </c>
      <c r="BI88" s="421" t="s">
        <v>150</v>
      </c>
      <c r="BJ88" s="426"/>
      <c r="BK88" s="422"/>
      <c r="BL88" s="424"/>
      <c r="BM88" s="424"/>
      <c r="BN88" s="421" t="s">
        <v>178</v>
      </c>
      <c r="BO88" s="421" t="s">
        <v>178</v>
      </c>
      <c r="BP88" s="420"/>
      <c r="BQ88" s="424"/>
      <c r="BR88" s="420"/>
      <c r="BS88" s="422"/>
      <c r="BT88" s="420"/>
      <c r="BU88" s="421" t="s">
        <v>178</v>
      </c>
      <c r="BV88" s="421" t="s">
        <v>178</v>
      </c>
      <c r="BW88" s="420"/>
      <c r="BX88" s="426"/>
      <c r="BY88" s="422"/>
      <c r="BZ88" s="420"/>
      <c r="CA88" s="420"/>
      <c r="CB88" s="422"/>
      <c r="CC88" s="421" t="s">
        <v>150</v>
      </c>
      <c r="CD88" s="423"/>
      <c r="CE88" s="424"/>
      <c r="CF88" s="420"/>
      <c r="CG88" s="422"/>
      <c r="CH88" s="422"/>
      <c r="CI88" s="420"/>
      <c r="CJ88" s="421" t="s">
        <v>149</v>
      </c>
      <c r="CK88" s="422"/>
      <c r="CL88" s="426"/>
      <c r="CM88" s="422"/>
      <c r="CN88" s="421" t="s">
        <v>150</v>
      </c>
      <c r="CO88" s="421" t="s">
        <v>150</v>
      </c>
      <c r="CP88" s="421">
        <f t="shared" si="16"/>
        <v>6</v>
      </c>
      <c r="CQ88" s="314">
        <f t="shared" si="17"/>
        <v>7</v>
      </c>
      <c r="CR88" s="314">
        <f t="shared" si="18"/>
        <v>8</v>
      </c>
    </row>
    <row r="89" spans="1:96" s="3" customFormat="1" ht="14.1" customHeight="1">
      <c r="A89" s="147"/>
      <c r="B89" s="136"/>
      <c r="C89" s="421"/>
      <c r="D89" s="421"/>
      <c r="E89" s="421"/>
      <c r="F89" s="422"/>
      <c r="G89" s="422"/>
      <c r="H89" s="422"/>
      <c r="I89" s="422"/>
      <c r="J89" s="420"/>
      <c r="K89" s="420"/>
      <c r="L89" s="420"/>
      <c r="M89" s="420"/>
      <c r="N89" s="420"/>
      <c r="O89" s="420"/>
      <c r="P89" s="420"/>
      <c r="Q89" s="422"/>
      <c r="R89" s="420"/>
      <c r="S89" s="420"/>
      <c r="T89" s="420"/>
      <c r="U89" s="420"/>
      <c r="V89" s="421"/>
      <c r="W89" s="421"/>
      <c r="X89" s="420"/>
      <c r="Y89" s="420"/>
      <c r="Z89" s="420"/>
      <c r="AA89" s="420"/>
      <c r="AB89" s="422"/>
      <c r="AC89" s="420"/>
      <c r="AD89" s="420"/>
      <c r="AE89" s="421"/>
      <c r="AF89" s="421"/>
      <c r="AG89" s="420"/>
      <c r="AH89" s="422"/>
      <c r="AI89" s="422"/>
      <c r="AJ89" s="314"/>
      <c r="AK89" s="314"/>
      <c r="AL89" s="422"/>
      <c r="AM89" s="421"/>
      <c r="AN89" s="421"/>
      <c r="AO89" s="420"/>
      <c r="AP89" s="422"/>
      <c r="AQ89" s="420"/>
      <c r="AR89" s="420"/>
      <c r="AS89" s="421"/>
      <c r="AT89" s="421"/>
      <c r="AU89" s="420"/>
      <c r="AV89" s="420"/>
      <c r="AW89" s="420"/>
      <c r="AX89" s="421"/>
      <c r="AY89" s="421"/>
      <c r="AZ89" s="422"/>
      <c r="BA89" s="420"/>
      <c r="BB89" s="422"/>
      <c r="BC89" s="420"/>
      <c r="BD89" s="422"/>
      <c r="BE89" s="421"/>
      <c r="BF89" s="421"/>
      <c r="BG89" s="422"/>
      <c r="BH89" s="314"/>
      <c r="BI89" s="421"/>
      <c r="BJ89" s="422"/>
      <c r="BK89" s="422"/>
      <c r="BL89" s="420"/>
      <c r="BM89" s="420"/>
      <c r="BN89" s="421"/>
      <c r="BO89" s="421"/>
      <c r="BP89" s="420"/>
      <c r="BQ89" s="420"/>
      <c r="BR89" s="420"/>
      <c r="BS89" s="422"/>
      <c r="BT89" s="420"/>
      <c r="BU89" s="421"/>
      <c r="BV89" s="421"/>
      <c r="BW89" s="420"/>
      <c r="BX89" s="422"/>
      <c r="BY89" s="422"/>
      <c r="BZ89" s="420"/>
      <c r="CA89" s="420"/>
      <c r="CB89" s="422"/>
      <c r="CC89" s="421"/>
      <c r="CD89" s="420"/>
      <c r="CE89" s="420"/>
      <c r="CF89" s="420"/>
      <c r="CG89" s="422"/>
      <c r="CH89" s="422"/>
      <c r="CI89" s="420"/>
      <c r="CJ89" s="421"/>
      <c r="CK89" s="422"/>
      <c r="CL89" s="422"/>
      <c r="CM89" s="422"/>
      <c r="CN89" s="421"/>
      <c r="CO89" s="421"/>
      <c r="CP89" s="421"/>
      <c r="CQ89" s="314"/>
      <c r="CR89" s="314"/>
    </row>
    <row r="90" spans="1:96" ht="14.1" customHeight="1">
      <c r="A90" s="4" t="s">
        <v>189</v>
      </c>
      <c r="B90" s="136"/>
      <c r="C90" s="444"/>
      <c r="D90" s="444"/>
      <c r="E90" s="444"/>
      <c r="F90" s="444"/>
      <c r="G90" s="444"/>
      <c r="H90" s="444"/>
      <c r="I90" s="444"/>
      <c r="J90" s="444"/>
      <c r="K90" s="444"/>
      <c r="L90" s="444"/>
      <c r="M90" s="444"/>
      <c r="N90" s="444"/>
      <c r="O90" s="444"/>
      <c r="P90" s="444"/>
      <c r="Q90" s="444"/>
      <c r="R90" s="444"/>
      <c r="S90" s="444"/>
      <c r="T90" s="444"/>
      <c r="U90" s="444"/>
      <c r="V90" s="444"/>
      <c r="W90" s="444"/>
      <c r="X90" s="444"/>
      <c r="Y90" s="444"/>
      <c r="Z90" s="444"/>
      <c r="AA90" s="444"/>
      <c r="AB90" s="444"/>
      <c r="AC90" s="444"/>
      <c r="AD90" s="444"/>
      <c r="AE90" s="444"/>
      <c r="AF90" s="444"/>
      <c r="AG90" s="444"/>
      <c r="AH90" s="444"/>
      <c r="AI90" s="444"/>
      <c r="AJ90" s="444"/>
      <c r="AK90" s="444"/>
      <c r="AL90" s="444"/>
      <c r="AM90" s="444"/>
      <c r="AN90" s="444"/>
      <c r="AO90" s="444"/>
      <c r="AP90" s="444"/>
      <c r="AQ90" s="444"/>
      <c r="AR90" s="444"/>
      <c r="AS90" s="444"/>
      <c r="AT90" s="444"/>
      <c r="AU90" s="444"/>
      <c r="AV90" s="444"/>
      <c r="AW90" s="444"/>
      <c r="AX90" s="444"/>
      <c r="AY90" s="444"/>
      <c r="AZ90" s="444"/>
      <c r="BA90" s="444"/>
      <c r="BB90" s="444"/>
      <c r="BC90" s="444"/>
      <c r="BD90" s="444"/>
      <c r="BE90" s="444"/>
      <c r="BF90" s="444"/>
      <c r="BG90" s="444"/>
      <c r="BH90" s="444"/>
      <c r="BI90" s="444"/>
      <c r="BJ90" s="444"/>
      <c r="BK90" s="444"/>
      <c r="BL90" s="444"/>
      <c r="BM90" s="444"/>
      <c r="BN90" s="444"/>
      <c r="BO90" s="444"/>
      <c r="BP90" s="444"/>
      <c r="BQ90" s="444"/>
      <c r="BR90" s="444"/>
      <c r="BS90" s="444"/>
      <c r="BT90" s="444"/>
      <c r="BU90" s="444"/>
      <c r="BV90" s="444"/>
      <c r="BW90" s="444"/>
      <c r="BX90" s="444"/>
      <c r="BY90" s="444"/>
      <c r="BZ90" s="444"/>
      <c r="CA90" s="444"/>
      <c r="CB90" s="444"/>
      <c r="CC90" s="444"/>
      <c r="CD90" s="444"/>
      <c r="CE90" s="444"/>
      <c r="CF90" s="444"/>
      <c r="CG90" s="444"/>
      <c r="CH90" s="444"/>
      <c r="CI90" s="444"/>
      <c r="CJ90" s="444"/>
      <c r="CK90" s="444"/>
      <c r="CL90" s="444"/>
      <c r="CM90" s="444"/>
      <c r="CN90" s="444"/>
      <c r="CO90" s="444"/>
      <c r="CP90" s="421" t="s">
        <v>1</v>
      </c>
      <c r="CQ90" s="320" t="s">
        <v>2</v>
      </c>
      <c r="CR90" s="320" t="s">
        <v>158</v>
      </c>
    </row>
    <row r="91" spans="1:96" s="3" customFormat="1" ht="14.1" customHeight="1">
      <c r="A91" s="148" t="s">
        <v>190</v>
      </c>
      <c r="B91" s="416">
        <v>648620</v>
      </c>
      <c r="C91" s="434"/>
      <c r="D91" s="445" t="s">
        <v>149</v>
      </c>
      <c r="E91" s="420"/>
      <c r="F91" s="445" t="s">
        <v>149</v>
      </c>
      <c r="G91" s="420"/>
      <c r="H91" s="421" t="s">
        <v>150</v>
      </c>
      <c r="I91" s="421" t="s">
        <v>150</v>
      </c>
      <c r="J91" s="421" t="s">
        <v>191</v>
      </c>
      <c r="K91" s="434"/>
      <c r="L91" s="419" t="s">
        <v>167</v>
      </c>
      <c r="M91" s="421" t="s">
        <v>150</v>
      </c>
      <c r="N91" s="421" t="s">
        <v>150</v>
      </c>
      <c r="O91" s="420"/>
      <c r="P91" s="424"/>
      <c r="Q91" s="421" t="s">
        <v>192</v>
      </c>
      <c r="R91" s="421" t="s">
        <v>192</v>
      </c>
      <c r="S91" s="421" t="s">
        <v>192</v>
      </c>
      <c r="T91" s="421" t="s">
        <v>192</v>
      </c>
      <c r="U91" s="437"/>
      <c r="V91" s="437"/>
      <c r="W91" s="437"/>
      <c r="X91" s="421" t="s">
        <v>149</v>
      </c>
      <c r="Y91" s="421" t="s">
        <v>149</v>
      </c>
      <c r="Z91" s="421"/>
      <c r="AA91" s="420"/>
      <c r="AB91" s="421"/>
      <c r="AC91" s="421" t="s">
        <v>191</v>
      </c>
      <c r="AD91" s="421" t="s">
        <v>150</v>
      </c>
      <c r="AE91" s="421" t="s">
        <v>150</v>
      </c>
      <c r="AF91" s="421" t="s">
        <v>150</v>
      </c>
      <c r="AG91" s="421"/>
      <c r="AH91" s="421" t="s">
        <v>149</v>
      </c>
      <c r="AI91" s="421" t="s">
        <v>149</v>
      </c>
      <c r="AJ91" s="420"/>
      <c r="AK91" s="420"/>
      <c r="AL91" s="421" t="s">
        <v>149</v>
      </c>
      <c r="AM91" s="423"/>
      <c r="AN91" s="421" t="s">
        <v>160</v>
      </c>
      <c r="AO91" s="421"/>
      <c r="AP91" s="421" t="s">
        <v>192</v>
      </c>
      <c r="AQ91" s="421" t="s">
        <v>192</v>
      </c>
      <c r="AR91" s="421" t="s">
        <v>192</v>
      </c>
      <c r="AS91" s="437"/>
      <c r="AT91" s="437"/>
      <c r="AU91" s="421" t="s">
        <v>150</v>
      </c>
      <c r="AV91" s="421" t="s">
        <v>150</v>
      </c>
      <c r="AW91" s="421" t="s">
        <v>191</v>
      </c>
      <c r="AX91" s="434"/>
      <c r="AY91" s="434"/>
      <c r="AZ91" s="445" t="s">
        <v>149</v>
      </c>
      <c r="BA91" s="421"/>
      <c r="BB91" s="419" t="s">
        <v>167</v>
      </c>
      <c r="BC91" s="421" t="s">
        <v>191</v>
      </c>
      <c r="BD91" s="421" t="s">
        <v>150</v>
      </c>
      <c r="BE91" s="420"/>
      <c r="BF91" s="420"/>
      <c r="BG91" s="421" t="s">
        <v>192</v>
      </c>
      <c r="BH91" s="421" t="s">
        <v>192</v>
      </c>
      <c r="BI91" s="421" t="s">
        <v>192</v>
      </c>
      <c r="BJ91" s="421" t="s">
        <v>192</v>
      </c>
      <c r="BK91" s="437"/>
      <c r="BL91" s="420"/>
      <c r="BM91" s="420"/>
      <c r="BN91" s="421" t="s">
        <v>149</v>
      </c>
      <c r="BO91" s="421" t="s">
        <v>149</v>
      </c>
      <c r="BP91" s="421"/>
      <c r="BQ91" s="420"/>
      <c r="BR91" s="421"/>
      <c r="BS91" s="421" t="s">
        <v>149</v>
      </c>
      <c r="BT91" s="421" t="s">
        <v>149</v>
      </c>
      <c r="BU91" s="421" t="s">
        <v>191</v>
      </c>
      <c r="BV91" s="421" t="s">
        <v>150</v>
      </c>
      <c r="BW91" s="421"/>
      <c r="BX91" s="421" t="s">
        <v>149</v>
      </c>
      <c r="BY91" s="421" t="s">
        <v>149</v>
      </c>
      <c r="BZ91" s="420"/>
      <c r="CA91" s="420"/>
      <c r="CB91" s="421" t="s">
        <v>160</v>
      </c>
      <c r="CC91" s="423"/>
      <c r="CD91" s="421"/>
      <c r="CE91" s="421"/>
      <c r="CF91" s="421" t="s">
        <v>192</v>
      </c>
      <c r="CG91" s="421" t="s">
        <v>192</v>
      </c>
      <c r="CH91" s="421" t="s">
        <v>192</v>
      </c>
      <c r="CI91" s="421"/>
      <c r="CJ91" s="421"/>
      <c r="CK91" s="421" t="s">
        <v>191</v>
      </c>
      <c r="CL91" s="421" t="s">
        <v>150</v>
      </c>
      <c r="CM91" s="421"/>
      <c r="CN91" s="421" t="s">
        <v>149</v>
      </c>
      <c r="CO91" s="421" t="s">
        <v>149</v>
      </c>
      <c r="CP91" s="421">
        <f t="shared" ref="CP91:CP108" si="19">COUNTIF(C91:CH91,"*1730*")</f>
        <v>14</v>
      </c>
      <c r="CQ91" s="314">
        <f t="shared" ref="CQ91:CQ108" si="20">COUNTIF(C91:CH91,"*0000*")</f>
        <v>20</v>
      </c>
      <c r="CR91" s="314">
        <f t="shared" ref="CR91:CR108" si="21">COUNTIF(C91:CH91,"2200*")+COUNTIF(C91:CH91,"2300*")</f>
        <v>14</v>
      </c>
    </row>
    <row r="92" spans="1:96" s="3" customFormat="1" ht="14.1" customHeight="1">
      <c r="A92" s="149" t="s">
        <v>193</v>
      </c>
      <c r="B92" s="416">
        <v>652357</v>
      </c>
      <c r="C92" s="424"/>
      <c r="D92" s="434"/>
      <c r="E92" s="421" t="s">
        <v>150</v>
      </c>
      <c r="F92" s="421" t="s">
        <v>191</v>
      </c>
      <c r="G92" s="421"/>
      <c r="H92" s="445" t="s">
        <v>149</v>
      </c>
      <c r="I92" s="445" t="s">
        <v>194</v>
      </c>
      <c r="J92" s="423"/>
      <c r="K92" s="445" t="s">
        <v>149</v>
      </c>
      <c r="L92" s="421" t="s">
        <v>150</v>
      </c>
      <c r="M92" s="421" t="s">
        <v>150</v>
      </c>
      <c r="N92" s="419" t="s">
        <v>195</v>
      </c>
      <c r="O92" s="437"/>
      <c r="P92" s="437"/>
      <c r="Q92" s="421" t="s">
        <v>192</v>
      </c>
      <c r="R92" s="421" t="s">
        <v>192</v>
      </c>
      <c r="S92" s="421" t="s">
        <v>192</v>
      </c>
      <c r="T92" s="421" t="s">
        <v>192</v>
      </c>
      <c r="U92" s="420"/>
      <c r="V92" s="437"/>
      <c r="W92" s="437"/>
      <c r="X92" s="423"/>
      <c r="Y92" s="421" t="s">
        <v>149</v>
      </c>
      <c r="Z92" s="421"/>
      <c r="AA92" s="421" t="s">
        <v>149</v>
      </c>
      <c r="AB92" s="421" t="s">
        <v>150</v>
      </c>
      <c r="AC92" s="421" t="s">
        <v>150</v>
      </c>
      <c r="AD92" s="421" t="s">
        <v>191</v>
      </c>
      <c r="AE92" s="423"/>
      <c r="AF92" s="423"/>
      <c r="AG92" s="421" t="s">
        <v>150</v>
      </c>
      <c r="AH92" s="421" t="s">
        <v>150</v>
      </c>
      <c r="AI92" s="421" t="s">
        <v>191</v>
      </c>
      <c r="AJ92" s="420"/>
      <c r="AK92" s="420"/>
      <c r="AL92" s="417" t="s">
        <v>31</v>
      </c>
      <c r="AM92" s="417"/>
      <c r="AN92" s="417"/>
      <c r="AO92" s="417"/>
      <c r="AP92" s="417"/>
      <c r="AQ92" s="417"/>
      <c r="AR92" s="417"/>
      <c r="AS92" s="417" t="s">
        <v>31</v>
      </c>
      <c r="AT92" s="417"/>
      <c r="AU92" s="417"/>
      <c r="AV92" s="417"/>
      <c r="AW92" s="417"/>
      <c r="AX92" s="417"/>
      <c r="AY92" s="417"/>
      <c r="AZ92" s="417" t="s">
        <v>31</v>
      </c>
      <c r="BA92" s="417"/>
      <c r="BB92" s="417"/>
      <c r="BC92" s="417"/>
      <c r="BD92" s="417"/>
      <c r="BE92" s="417"/>
      <c r="BF92" s="417"/>
      <c r="BG92" s="421" t="s">
        <v>192</v>
      </c>
      <c r="BH92" s="421" t="s">
        <v>192</v>
      </c>
      <c r="BI92" s="421" t="s">
        <v>192</v>
      </c>
      <c r="BJ92" s="421" t="s">
        <v>192</v>
      </c>
      <c r="BK92" s="420"/>
      <c r="BL92" s="437"/>
      <c r="BM92" s="437"/>
      <c r="BN92" s="421" t="s">
        <v>149</v>
      </c>
      <c r="BO92" s="421" t="s">
        <v>149</v>
      </c>
      <c r="BP92" s="421"/>
      <c r="BQ92" s="420"/>
      <c r="BR92" s="421"/>
      <c r="BS92" s="421" t="s">
        <v>150</v>
      </c>
      <c r="BT92" s="421" t="s">
        <v>191</v>
      </c>
      <c r="BU92" s="423"/>
      <c r="BV92" s="423"/>
      <c r="BW92" s="421"/>
      <c r="BX92" s="421" t="s">
        <v>149</v>
      </c>
      <c r="BY92" s="421" t="s">
        <v>149</v>
      </c>
      <c r="BZ92" s="421" t="s">
        <v>149</v>
      </c>
      <c r="CA92" s="421" t="s">
        <v>149</v>
      </c>
      <c r="CB92" s="423"/>
      <c r="CC92" s="419" t="s">
        <v>167</v>
      </c>
      <c r="CD92" s="421"/>
      <c r="CE92" s="423"/>
      <c r="CF92" s="421" t="s">
        <v>192</v>
      </c>
      <c r="CG92" s="421" t="s">
        <v>192</v>
      </c>
      <c r="CH92" s="421" t="s">
        <v>192</v>
      </c>
      <c r="CI92" s="421" t="s">
        <v>192</v>
      </c>
      <c r="CJ92" s="437"/>
      <c r="CK92" s="437"/>
      <c r="CL92" s="421" t="s">
        <v>149</v>
      </c>
      <c r="CM92" s="421" t="s">
        <v>149</v>
      </c>
      <c r="CN92" s="421" t="s">
        <v>149</v>
      </c>
      <c r="CO92" s="423"/>
      <c r="CP92" s="421">
        <f t="shared" si="19"/>
        <v>11</v>
      </c>
      <c r="CQ92" s="314">
        <f t="shared" si="20"/>
        <v>14</v>
      </c>
      <c r="CR92" s="314">
        <f t="shared" si="21"/>
        <v>11</v>
      </c>
    </row>
    <row r="93" spans="1:96" s="3" customFormat="1" ht="14.1" customHeight="1">
      <c r="A93" s="446" t="s">
        <v>196</v>
      </c>
      <c r="B93" s="429"/>
      <c r="C93" s="447" t="s">
        <v>197</v>
      </c>
      <c r="D93" s="445" t="s">
        <v>149</v>
      </c>
      <c r="E93" s="419" t="s">
        <v>167</v>
      </c>
      <c r="F93" s="421" t="s">
        <v>150</v>
      </c>
      <c r="G93" s="421" t="s">
        <v>191</v>
      </c>
      <c r="H93" s="448"/>
      <c r="I93" s="448"/>
      <c r="J93" s="417" t="s">
        <v>31</v>
      </c>
      <c r="K93" s="417"/>
      <c r="L93" s="417"/>
      <c r="M93" s="417"/>
      <c r="N93" s="417"/>
      <c r="O93" s="417"/>
      <c r="P93" s="417"/>
      <c r="Q93" s="417" t="s">
        <v>31</v>
      </c>
      <c r="R93" s="417"/>
      <c r="S93" s="417"/>
      <c r="T93" s="417"/>
      <c r="U93" s="417"/>
      <c r="V93" s="417"/>
      <c r="W93" s="417"/>
      <c r="X93" s="417" t="s">
        <v>31</v>
      </c>
      <c r="Y93" s="417"/>
      <c r="Z93" s="417"/>
      <c r="AA93" s="417"/>
      <c r="AB93" s="417"/>
      <c r="AC93" s="417"/>
      <c r="AD93" s="417"/>
      <c r="AE93" s="417" t="s">
        <v>31</v>
      </c>
      <c r="AF93" s="417"/>
      <c r="AG93" s="417"/>
      <c r="AH93" s="417"/>
      <c r="AI93" s="417"/>
      <c r="AJ93" s="417"/>
      <c r="AK93" s="417"/>
      <c r="AL93" s="421" t="s">
        <v>191</v>
      </c>
      <c r="AM93" s="421" t="s">
        <v>150</v>
      </c>
      <c r="AN93" s="423"/>
      <c r="AO93" s="448"/>
      <c r="AP93" s="421" t="s">
        <v>149</v>
      </c>
      <c r="AQ93" s="419" t="s">
        <v>167</v>
      </c>
      <c r="AR93" s="421"/>
      <c r="AS93" s="421" t="s">
        <v>192</v>
      </c>
      <c r="AT93" s="421" t="s">
        <v>192</v>
      </c>
      <c r="AU93" s="421" t="s">
        <v>192</v>
      </c>
      <c r="AV93" s="421" t="s">
        <v>192</v>
      </c>
      <c r="AW93" s="421"/>
      <c r="AX93" s="421"/>
      <c r="AY93" s="421"/>
      <c r="AZ93" s="421" t="s">
        <v>149</v>
      </c>
      <c r="BA93" s="421" t="s">
        <v>149</v>
      </c>
      <c r="BB93" s="424"/>
      <c r="BC93" s="420"/>
      <c r="BD93" s="421"/>
      <c r="BE93" s="421" t="s">
        <v>150</v>
      </c>
      <c r="BF93" s="421" t="s">
        <v>150</v>
      </c>
      <c r="BG93" s="421" t="s">
        <v>149</v>
      </c>
      <c r="BH93" s="421" t="s">
        <v>149</v>
      </c>
      <c r="BI93" s="421"/>
      <c r="BJ93" s="421" t="s">
        <v>149</v>
      </c>
      <c r="BK93" s="421" t="s">
        <v>149</v>
      </c>
      <c r="BL93" s="421"/>
      <c r="BM93" s="421"/>
      <c r="BN93" s="421" t="s">
        <v>149</v>
      </c>
      <c r="BO93" s="423"/>
      <c r="BP93" s="419" t="s">
        <v>167</v>
      </c>
      <c r="BQ93" s="421" t="s">
        <v>150</v>
      </c>
      <c r="BR93" s="448"/>
      <c r="BS93" s="448"/>
      <c r="BT93" s="448"/>
      <c r="BU93" s="421" t="s">
        <v>192</v>
      </c>
      <c r="BV93" s="421" t="s">
        <v>192</v>
      </c>
      <c r="BW93" s="421" t="s">
        <v>192</v>
      </c>
      <c r="BX93" s="421" t="s">
        <v>192</v>
      </c>
      <c r="BY93" s="421"/>
      <c r="BZ93" s="421"/>
      <c r="CA93" s="421" t="s">
        <v>149</v>
      </c>
      <c r="CB93" s="421" t="s">
        <v>149</v>
      </c>
      <c r="CC93" s="421" t="s">
        <v>191</v>
      </c>
      <c r="CD93" s="421"/>
      <c r="CE93" s="420"/>
      <c r="CF93" s="421"/>
      <c r="CG93" s="421" t="s">
        <v>150</v>
      </c>
      <c r="CH93" s="421" t="s">
        <v>191</v>
      </c>
      <c r="CI93" s="421"/>
      <c r="CJ93" s="419" t="s">
        <v>160</v>
      </c>
      <c r="CK93" s="421"/>
      <c r="CL93" s="421"/>
      <c r="CM93" s="421" t="s">
        <v>192</v>
      </c>
      <c r="CN93" s="421" t="s">
        <v>192</v>
      </c>
      <c r="CO93" s="421" t="s">
        <v>192</v>
      </c>
      <c r="CP93" s="421">
        <f t="shared" si="19"/>
        <v>11</v>
      </c>
      <c r="CQ93" s="314">
        <f t="shared" si="20"/>
        <v>13</v>
      </c>
      <c r="CR93" s="314">
        <f t="shared" si="21"/>
        <v>8</v>
      </c>
    </row>
    <row r="94" spans="1:96" s="3" customFormat="1" ht="14.1" customHeight="1">
      <c r="A94" s="149" t="s">
        <v>198</v>
      </c>
      <c r="B94" s="416">
        <v>655089</v>
      </c>
      <c r="C94" s="421" t="s">
        <v>191</v>
      </c>
      <c r="D94" s="421" t="s">
        <v>150</v>
      </c>
      <c r="E94" s="421"/>
      <c r="F94" s="423"/>
      <c r="G94" s="421" t="s">
        <v>149</v>
      </c>
      <c r="H94" s="421" t="s">
        <v>191</v>
      </c>
      <c r="I94" s="422"/>
      <c r="J94" s="445" t="s">
        <v>149</v>
      </c>
      <c r="K94" s="445" t="s">
        <v>149</v>
      </c>
      <c r="L94" s="421" t="s">
        <v>191</v>
      </c>
      <c r="M94" s="419" t="s">
        <v>167</v>
      </c>
      <c r="N94" s="424"/>
      <c r="O94" s="424"/>
      <c r="P94" s="424"/>
      <c r="Q94" s="421" t="s">
        <v>192</v>
      </c>
      <c r="R94" s="421" t="s">
        <v>192</v>
      </c>
      <c r="S94" s="421" t="s">
        <v>192</v>
      </c>
      <c r="T94" s="421" t="s">
        <v>192</v>
      </c>
      <c r="U94" s="420"/>
      <c r="V94" s="420"/>
      <c r="W94" s="420"/>
      <c r="X94" s="421" t="s">
        <v>149</v>
      </c>
      <c r="Y94" s="421" t="s">
        <v>149</v>
      </c>
      <c r="Z94" s="421"/>
      <c r="AA94" s="420"/>
      <c r="AB94" s="421"/>
      <c r="AC94" s="421" t="s">
        <v>149</v>
      </c>
      <c r="AD94" s="421" t="s">
        <v>149</v>
      </c>
      <c r="AE94" s="421" t="s">
        <v>150</v>
      </c>
      <c r="AF94" s="421" t="s">
        <v>150</v>
      </c>
      <c r="AG94" s="421"/>
      <c r="AH94" s="421" t="s">
        <v>149</v>
      </c>
      <c r="AI94" s="421" t="s">
        <v>149</v>
      </c>
      <c r="AJ94" s="426"/>
      <c r="AK94" s="422"/>
      <c r="AL94" s="420"/>
      <c r="AM94" s="421" t="s">
        <v>191</v>
      </c>
      <c r="AN94" s="421"/>
      <c r="AO94" s="421"/>
      <c r="AP94" s="421" t="s">
        <v>192</v>
      </c>
      <c r="AQ94" s="421" t="s">
        <v>192</v>
      </c>
      <c r="AR94" s="421" t="s">
        <v>192</v>
      </c>
      <c r="AS94" s="421"/>
      <c r="AT94" s="421"/>
      <c r="AU94" s="419" t="s">
        <v>160</v>
      </c>
      <c r="AV94" s="421" t="s">
        <v>191</v>
      </c>
      <c r="AW94" s="421"/>
      <c r="AX94" s="421" t="s">
        <v>149</v>
      </c>
      <c r="AY94" s="421" t="s">
        <v>149</v>
      </c>
      <c r="AZ94" s="419" t="s">
        <v>163</v>
      </c>
      <c r="BA94" s="421"/>
      <c r="BB94" s="421" t="s">
        <v>150</v>
      </c>
      <c r="BC94" s="421" t="s">
        <v>150</v>
      </c>
      <c r="BD94" s="421" t="s">
        <v>150</v>
      </c>
      <c r="BE94" s="422"/>
      <c r="BF94" s="422"/>
      <c r="BG94" s="421" t="s">
        <v>192</v>
      </c>
      <c r="BH94" s="421" t="s">
        <v>192</v>
      </c>
      <c r="BI94" s="421" t="s">
        <v>192</v>
      </c>
      <c r="BJ94" s="421" t="s">
        <v>192</v>
      </c>
      <c r="BK94" s="422"/>
      <c r="BL94" s="420"/>
      <c r="BM94" s="420"/>
      <c r="BN94" s="421" t="s">
        <v>149</v>
      </c>
      <c r="BO94" s="421" t="s">
        <v>149</v>
      </c>
      <c r="BP94" s="421"/>
      <c r="BQ94" s="420"/>
      <c r="BR94" s="423"/>
      <c r="BS94" s="421" t="s">
        <v>150</v>
      </c>
      <c r="BT94" s="421" t="s">
        <v>150</v>
      </c>
      <c r="BU94" s="421" t="s">
        <v>150</v>
      </c>
      <c r="BV94" s="421"/>
      <c r="BW94" s="421" t="s">
        <v>191</v>
      </c>
      <c r="BX94" s="421" t="s">
        <v>150</v>
      </c>
      <c r="BY94" s="426"/>
      <c r="BZ94" s="421" t="s">
        <v>149</v>
      </c>
      <c r="CA94" s="445"/>
      <c r="CB94" s="445" t="s">
        <v>149</v>
      </c>
      <c r="CC94" s="445" t="s">
        <v>149</v>
      </c>
      <c r="CD94" s="421" t="s">
        <v>150</v>
      </c>
      <c r="CE94" s="421" t="s">
        <v>150</v>
      </c>
      <c r="CF94" s="426"/>
      <c r="CG94" s="424"/>
      <c r="CH94" s="424"/>
      <c r="CI94" s="419" t="s">
        <v>160</v>
      </c>
      <c r="CJ94" s="421" t="s">
        <v>192</v>
      </c>
      <c r="CK94" s="421" t="s">
        <v>192</v>
      </c>
      <c r="CL94" s="421" t="s">
        <v>192</v>
      </c>
      <c r="CM94" s="420"/>
      <c r="CN94" s="424"/>
      <c r="CO94" s="424"/>
      <c r="CP94" s="421">
        <f t="shared" si="19"/>
        <v>17</v>
      </c>
      <c r="CQ94" s="314">
        <f t="shared" si="20"/>
        <v>20</v>
      </c>
      <c r="CR94" s="314">
        <f t="shared" si="21"/>
        <v>11</v>
      </c>
    </row>
    <row r="95" spans="1:96" s="3" customFormat="1" ht="14.1" customHeight="1">
      <c r="A95" s="150" t="s">
        <v>199</v>
      </c>
      <c r="B95" s="416">
        <v>649364</v>
      </c>
      <c r="C95" s="426"/>
      <c r="D95" s="448"/>
      <c r="E95" s="314"/>
      <c r="F95" s="421" t="s">
        <v>149</v>
      </c>
      <c r="G95" s="421" t="s">
        <v>150</v>
      </c>
      <c r="H95" s="423"/>
      <c r="I95" s="421" t="s">
        <v>150</v>
      </c>
      <c r="J95" s="314"/>
      <c r="K95" s="421"/>
      <c r="L95" s="421"/>
      <c r="M95" s="421"/>
      <c r="N95" s="421" t="s">
        <v>192</v>
      </c>
      <c r="O95" s="421" t="s">
        <v>192</v>
      </c>
      <c r="P95" s="421" t="s">
        <v>192</v>
      </c>
      <c r="Q95" s="421"/>
      <c r="R95" s="421"/>
      <c r="S95" s="419" t="s">
        <v>160</v>
      </c>
      <c r="T95" s="421" t="s">
        <v>150</v>
      </c>
      <c r="U95" s="421" t="s">
        <v>150</v>
      </c>
      <c r="V95" s="421"/>
      <c r="W95" s="421"/>
      <c r="X95" s="445" t="s">
        <v>149</v>
      </c>
      <c r="Y95" s="421"/>
      <c r="Z95" s="421" t="s">
        <v>191</v>
      </c>
      <c r="AA95" s="419" t="s">
        <v>160</v>
      </c>
      <c r="AB95" s="421"/>
      <c r="AC95" s="421"/>
      <c r="AD95" s="421"/>
      <c r="AE95" s="421" t="s">
        <v>192</v>
      </c>
      <c r="AF95" s="421" t="s">
        <v>192</v>
      </c>
      <c r="AG95" s="421" t="s">
        <v>192</v>
      </c>
      <c r="AH95" s="421"/>
      <c r="AI95" s="421"/>
      <c r="AJ95" s="420"/>
      <c r="AK95" s="420"/>
      <c r="AL95" s="421"/>
      <c r="AM95" s="421" t="s">
        <v>149</v>
      </c>
      <c r="AN95" s="421"/>
      <c r="AO95" s="420"/>
      <c r="AP95" s="421"/>
      <c r="AQ95" s="421" t="s">
        <v>150</v>
      </c>
      <c r="AR95" s="421" t="s">
        <v>191</v>
      </c>
      <c r="AS95" s="421"/>
      <c r="AT95" s="421" t="s">
        <v>149</v>
      </c>
      <c r="AU95" s="421"/>
      <c r="AV95" s="421" t="s">
        <v>149</v>
      </c>
      <c r="AW95" s="421" t="s">
        <v>149</v>
      </c>
      <c r="AX95" s="421"/>
      <c r="AY95" s="421"/>
      <c r="AZ95" s="421"/>
      <c r="BA95" s="421"/>
      <c r="BB95" s="421"/>
      <c r="BC95" s="421"/>
      <c r="BD95" s="421" t="s">
        <v>192</v>
      </c>
      <c r="BE95" s="421" t="s">
        <v>192</v>
      </c>
      <c r="BF95" s="421" t="s">
        <v>192</v>
      </c>
      <c r="BG95" s="420"/>
      <c r="BH95" s="421"/>
      <c r="BI95" s="421"/>
      <c r="BJ95" s="419" t="s">
        <v>160</v>
      </c>
      <c r="BK95" s="421"/>
      <c r="BL95" s="421" t="s">
        <v>149</v>
      </c>
      <c r="BM95" s="421" t="s">
        <v>149</v>
      </c>
      <c r="BN95" s="421" t="s">
        <v>150</v>
      </c>
      <c r="BO95" s="421"/>
      <c r="BP95" s="421" t="s">
        <v>191</v>
      </c>
      <c r="BQ95" s="423"/>
      <c r="BR95" s="421" t="s">
        <v>150</v>
      </c>
      <c r="BS95" s="421"/>
      <c r="BT95" s="421"/>
      <c r="BU95" s="419" t="s">
        <v>184</v>
      </c>
      <c r="BV95" s="421" t="s">
        <v>192</v>
      </c>
      <c r="BW95" s="421" t="s">
        <v>192</v>
      </c>
      <c r="BX95" s="423"/>
      <c r="BY95" s="421"/>
      <c r="BZ95" s="421"/>
      <c r="CA95" s="421"/>
      <c r="CB95" s="421"/>
      <c r="CC95" s="421" t="s">
        <v>149</v>
      </c>
      <c r="CD95" s="421"/>
      <c r="CE95" s="420"/>
      <c r="CF95" s="421" t="s">
        <v>149</v>
      </c>
      <c r="CG95" s="423"/>
      <c r="CH95" s="421" t="s">
        <v>150</v>
      </c>
      <c r="CI95" s="421"/>
      <c r="CJ95" s="421" t="s">
        <v>191</v>
      </c>
      <c r="CK95" s="421"/>
      <c r="CL95" s="423"/>
      <c r="CM95" s="421" t="s">
        <v>149</v>
      </c>
      <c r="CN95" s="421"/>
      <c r="CO95" s="421" t="s">
        <v>149</v>
      </c>
      <c r="CP95" s="421">
        <f t="shared" si="19"/>
        <v>11</v>
      </c>
      <c r="CQ95" s="314">
        <f t="shared" si="20"/>
        <v>14</v>
      </c>
      <c r="CR95" s="314">
        <f t="shared" si="21"/>
        <v>11</v>
      </c>
    </row>
    <row r="96" spans="1:96" s="3" customFormat="1" ht="14.1" customHeight="1">
      <c r="A96" s="151" t="s">
        <v>200</v>
      </c>
      <c r="B96" s="416">
        <v>700872</v>
      </c>
      <c r="C96" s="447" t="s">
        <v>197</v>
      </c>
      <c r="D96" s="419" t="s">
        <v>163</v>
      </c>
      <c r="E96" s="421" t="s">
        <v>150</v>
      </c>
      <c r="F96" s="421" t="s">
        <v>150</v>
      </c>
      <c r="G96" s="421" t="s">
        <v>150</v>
      </c>
      <c r="H96" s="422"/>
      <c r="I96" s="421"/>
      <c r="J96" s="421"/>
      <c r="K96" s="421"/>
      <c r="L96" s="421"/>
      <c r="M96" s="428" t="s">
        <v>201</v>
      </c>
      <c r="N96" s="428" t="s">
        <v>201</v>
      </c>
      <c r="O96" s="421" t="s">
        <v>191</v>
      </c>
      <c r="P96" s="421" t="s">
        <v>150</v>
      </c>
      <c r="Q96" s="421"/>
      <c r="R96" s="421" t="s">
        <v>160</v>
      </c>
      <c r="S96" s="421"/>
      <c r="T96" s="421"/>
      <c r="U96" s="421" t="s">
        <v>192</v>
      </c>
      <c r="V96" s="421" t="s">
        <v>192</v>
      </c>
      <c r="W96" s="421" t="s">
        <v>192</v>
      </c>
      <c r="X96" s="421" t="s">
        <v>192</v>
      </c>
      <c r="Y96" s="421"/>
      <c r="Z96" s="423"/>
      <c r="AA96" s="421" t="s">
        <v>149</v>
      </c>
      <c r="AB96" s="421" t="s">
        <v>149</v>
      </c>
      <c r="AC96" s="421" t="s">
        <v>150</v>
      </c>
      <c r="AD96" s="423"/>
      <c r="AE96" s="445" t="s">
        <v>149</v>
      </c>
      <c r="AF96" s="421"/>
      <c r="AG96" s="421" t="s">
        <v>191</v>
      </c>
      <c r="AH96" s="421" t="s">
        <v>150</v>
      </c>
      <c r="AI96" s="421" t="s">
        <v>150</v>
      </c>
      <c r="AJ96" s="420"/>
      <c r="AK96" s="420"/>
      <c r="AL96" s="421" t="s">
        <v>192</v>
      </c>
      <c r="AM96" s="421" t="s">
        <v>192</v>
      </c>
      <c r="AN96" s="421" t="s">
        <v>192</v>
      </c>
      <c r="AO96" s="421" t="s">
        <v>192</v>
      </c>
      <c r="AP96" s="421"/>
      <c r="AQ96" s="421"/>
      <c r="AR96" s="421"/>
      <c r="AS96" s="419" t="s">
        <v>163</v>
      </c>
      <c r="AT96" s="421" t="s">
        <v>149</v>
      </c>
      <c r="AU96" s="421"/>
      <c r="AV96" s="420"/>
      <c r="AW96" s="421"/>
      <c r="AX96" s="421" t="s">
        <v>149</v>
      </c>
      <c r="AY96" s="421" t="s">
        <v>149</v>
      </c>
      <c r="AZ96" s="421" t="s">
        <v>150</v>
      </c>
      <c r="BA96" s="421" t="s">
        <v>191</v>
      </c>
      <c r="BB96" s="421"/>
      <c r="BC96" s="421" t="s">
        <v>149</v>
      </c>
      <c r="BD96" s="421" t="s">
        <v>149</v>
      </c>
      <c r="BE96" s="421"/>
      <c r="BF96" s="421"/>
      <c r="BG96" s="421"/>
      <c r="BH96" s="419" t="s">
        <v>183</v>
      </c>
      <c r="BI96" s="421"/>
      <c r="BJ96" s="421" t="s">
        <v>191</v>
      </c>
      <c r="BK96" s="421" t="s">
        <v>192</v>
      </c>
      <c r="BL96" s="421" t="s">
        <v>192</v>
      </c>
      <c r="BM96" s="423"/>
      <c r="BN96" s="421"/>
      <c r="BO96" s="421"/>
      <c r="BP96" s="421" t="s">
        <v>150</v>
      </c>
      <c r="BQ96" s="421" t="s">
        <v>150</v>
      </c>
      <c r="BR96" s="421"/>
      <c r="BS96" s="421" t="s">
        <v>149</v>
      </c>
      <c r="BT96" s="421" t="s">
        <v>149</v>
      </c>
      <c r="BU96" s="445" t="s">
        <v>149</v>
      </c>
      <c r="BV96" s="421" t="s">
        <v>150</v>
      </c>
      <c r="BW96" s="423"/>
      <c r="BX96" s="421" t="s">
        <v>150</v>
      </c>
      <c r="BY96" s="421" t="s">
        <v>191</v>
      </c>
      <c r="BZ96" s="421"/>
      <c r="CA96" s="422"/>
      <c r="CB96" s="421" t="s">
        <v>192</v>
      </c>
      <c r="CC96" s="421" t="s">
        <v>192</v>
      </c>
      <c r="CD96" s="421" t="s">
        <v>192</v>
      </c>
      <c r="CE96" s="421" t="s">
        <v>192</v>
      </c>
      <c r="CF96" s="421"/>
      <c r="CG96" s="448"/>
      <c r="CH96" s="448"/>
      <c r="CI96" s="421" t="s">
        <v>149</v>
      </c>
      <c r="CJ96" s="421" t="s">
        <v>149</v>
      </c>
      <c r="CK96" s="424"/>
      <c r="CL96" s="420"/>
      <c r="CM96" s="421"/>
      <c r="CN96" s="419" t="s">
        <v>163</v>
      </c>
      <c r="CO96" s="421" t="s">
        <v>191</v>
      </c>
      <c r="CP96" s="421">
        <f t="shared" si="19"/>
        <v>13</v>
      </c>
      <c r="CQ96" s="314">
        <f t="shared" si="20"/>
        <v>19</v>
      </c>
      <c r="CR96" s="314">
        <f t="shared" si="21"/>
        <v>14</v>
      </c>
    </row>
    <row r="97" spans="1:96" s="3" customFormat="1" ht="14.1" customHeight="1">
      <c r="A97" s="449" t="s">
        <v>202</v>
      </c>
      <c r="B97" s="429"/>
      <c r="C97" s="447" t="s">
        <v>203</v>
      </c>
      <c r="D97" s="421"/>
      <c r="E97" s="421"/>
      <c r="F97" s="421" t="s">
        <v>149</v>
      </c>
      <c r="G97" s="421" t="s">
        <v>149</v>
      </c>
      <c r="H97" s="421" t="s">
        <v>149</v>
      </c>
      <c r="I97" s="421"/>
      <c r="J97" s="421" t="s">
        <v>150</v>
      </c>
      <c r="K97" s="421" t="s">
        <v>150</v>
      </c>
      <c r="L97" s="421"/>
      <c r="M97" s="419" t="s">
        <v>165</v>
      </c>
      <c r="N97" s="421" t="s">
        <v>192</v>
      </c>
      <c r="O97" s="421" t="s">
        <v>192</v>
      </c>
      <c r="P97" s="421" t="s">
        <v>192</v>
      </c>
      <c r="Q97" s="421"/>
      <c r="R97" s="421"/>
      <c r="S97" s="421"/>
      <c r="T97" s="445" t="s">
        <v>149</v>
      </c>
      <c r="U97" s="421" t="s">
        <v>191</v>
      </c>
      <c r="V97" s="448"/>
      <c r="W97" s="448"/>
      <c r="X97" s="421" t="s">
        <v>150</v>
      </c>
      <c r="Y97" s="421"/>
      <c r="Z97" s="421" t="s">
        <v>150</v>
      </c>
      <c r="AA97" s="421" t="s">
        <v>150</v>
      </c>
      <c r="AB97" s="419" t="s">
        <v>167</v>
      </c>
      <c r="AC97" s="421"/>
      <c r="AD97" s="421"/>
      <c r="AE97" s="421" t="s">
        <v>192</v>
      </c>
      <c r="AF97" s="421" t="s">
        <v>192</v>
      </c>
      <c r="AG97" s="421" t="s">
        <v>192</v>
      </c>
      <c r="AH97" s="421" t="s">
        <v>192</v>
      </c>
      <c r="AI97" s="421"/>
      <c r="AJ97" s="421"/>
      <c r="AK97" s="421"/>
      <c r="AL97" s="421" t="s">
        <v>149</v>
      </c>
      <c r="AM97" s="421" t="s">
        <v>149</v>
      </c>
      <c r="AN97" s="421"/>
      <c r="AO97" s="420"/>
      <c r="AP97" s="421"/>
      <c r="AQ97" s="421" t="s">
        <v>191</v>
      </c>
      <c r="AR97" s="421" t="s">
        <v>150</v>
      </c>
      <c r="AS97" s="421" t="s">
        <v>150</v>
      </c>
      <c r="AT97" s="421" t="s">
        <v>150</v>
      </c>
      <c r="AU97" s="421"/>
      <c r="AV97" s="421" t="s">
        <v>149</v>
      </c>
      <c r="AW97" s="421" t="s">
        <v>149</v>
      </c>
      <c r="AX97" s="448"/>
      <c r="AY97" s="448"/>
      <c r="AZ97" s="448"/>
      <c r="BA97" s="419" t="s">
        <v>160</v>
      </c>
      <c r="BB97" s="421"/>
      <c r="BC97" s="421" t="s">
        <v>149</v>
      </c>
      <c r="BD97" s="421" t="s">
        <v>192</v>
      </c>
      <c r="BE97" s="421" t="s">
        <v>192</v>
      </c>
      <c r="BF97" s="421" t="s">
        <v>192</v>
      </c>
      <c r="BG97" s="421"/>
      <c r="BH97" s="421"/>
      <c r="BI97" s="421" t="s">
        <v>191</v>
      </c>
      <c r="BJ97" s="421" t="s">
        <v>150</v>
      </c>
      <c r="BK97" s="421" t="s">
        <v>191</v>
      </c>
      <c r="BL97" s="448"/>
      <c r="BM97" s="448"/>
      <c r="BN97" s="448"/>
      <c r="BO97" s="421"/>
      <c r="BP97" s="421" t="s">
        <v>150</v>
      </c>
      <c r="BQ97" s="421" t="s">
        <v>150</v>
      </c>
      <c r="BR97" s="421"/>
      <c r="BS97" s="421" t="s">
        <v>149</v>
      </c>
      <c r="BT97" s="421" t="s">
        <v>149</v>
      </c>
      <c r="BU97" s="445" t="s">
        <v>149</v>
      </c>
      <c r="BV97" s="421"/>
      <c r="BW97" s="423"/>
      <c r="BX97" s="421" t="s">
        <v>150</v>
      </c>
      <c r="BY97" s="421" t="s">
        <v>150</v>
      </c>
      <c r="BZ97" s="421" t="s">
        <v>191</v>
      </c>
      <c r="CA97" s="421"/>
      <c r="CB97" s="421" t="s">
        <v>149</v>
      </c>
      <c r="CC97" s="421" t="s">
        <v>149</v>
      </c>
      <c r="CD97" s="420"/>
      <c r="CE97" s="419" t="s">
        <v>167</v>
      </c>
      <c r="CF97" s="421" t="s">
        <v>191</v>
      </c>
      <c r="CG97" s="420"/>
      <c r="CH97" s="420"/>
      <c r="CI97" s="421"/>
      <c r="CJ97" s="421"/>
      <c r="CK97" s="421"/>
      <c r="CL97" s="421" t="s">
        <v>192</v>
      </c>
      <c r="CM97" s="421" t="s">
        <v>192</v>
      </c>
      <c r="CN97" s="421" t="s">
        <v>192</v>
      </c>
      <c r="CO97" s="421" t="s">
        <v>192</v>
      </c>
      <c r="CP97" s="421">
        <f t="shared" si="19"/>
        <v>15</v>
      </c>
      <c r="CQ97" s="314">
        <f t="shared" si="20"/>
        <v>22</v>
      </c>
      <c r="CR97" s="314">
        <f t="shared" si="21"/>
        <v>10</v>
      </c>
    </row>
    <row r="98" spans="1:96" s="3" customFormat="1" ht="14.1" customHeight="1">
      <c r="A98" s="152" t="s">
        <v>204</v>
      </c>
      <c r="B98" s="416">
        <v>652868</v>
      </c>
      <c r="C98" s="417" t="s">
        <v>31</v>
      </c>
      <c r="D98" s="417"/>
      <c r="E98" s="417"/>
      <c r="F98" s="417"/>
      <c r="G98" s="417"/>
      <c r="H98" s="417"/>
      <c r="I98" s="418"/>
      <c r="J98" s="417" t="s">
        <v>187</v>
      </c>
      <c r="K98" s="417"/>
      <c r="L98" s="417"/>
      <c r="M98" s="417"/>
      <c r="N98" s="417"/>
      <c r="O98" s="417"/>
      <c r="P98" s="417"/>
      <c r="Q98" s="421"/>
      <c r="R98" s="421"/>
      <c r="S98" s="421"/>
      <c r="T98" s="421"/>
      <c r="U98" s="421" t="s">
        <v>192</v>
      </c>
      <c r="V98" s="421" t="s">
        <v>192</v>
      </c>
      <c r="W98" s="421" t="s">
        <v>192</v>
      </c>
      <c r="X98" s="422"/>
      <c r="Y98" s="421"/>
      <c r="Z98" s="422"/>
      <c r="AA98" s="421" t="s">
        <v>149</v>
      </c>
      <c r="AB98" s="421" t="s">
        <v>191</v>
      </c>
      <c r="AC98" s="422"/>
      <c r="AD98" s="422"/>
      <c r="AE98" s="421"/>
      <c r="AF98" s="421" t="s">
        <v>149</v>
      </c>
      <c r="AG98" s="421" t="s">
        <v>150</v>
      </c>
      <c r="AH98" s="421" t="s">
        <v>191</v>
      </c>
      <c r="AI98" s="421" t="s">
        <v>150</v>
      </c>
      <c r="AJ98" s="420"/>
      <c r="AK98" s="420"/>
      <c r="AL98" s="421" t="s">
        <v>192</v>
      </c>
      <c r="AM98" s="421" t="s">
        <v>192</v>
      </c>
      <c r="AN98" s="421" t="s">
        <v>192</v>
      </c>
      <c r="AO98" s="421" t="s">
        <v>192</v>
      </c>
      <c r="AP98" s="421"/>
      <c r="AQ98" s="420"/>
      <c r="AR98" s="421"/>
      <c r="AS98" s="421"/>
      <c r="AT98" s="421"/>
      <c r="AU98" s="421"/>
      <c r="AV98" s="421"/>
      <c r="AW98" s="421"/>
      <c r="AX98" s="421" t="s">
        <v>191</v>
      </c>
      <c r="AY98" s="421" t="s">
        <v>191</v>
      </c>
      <c r="AZ98" s="421"/>
      <c r="BA98" s="421" t="s">
        <v>149</v>
      </c>
      <c r="BB98" s="421"/>
      <c r="BC98" s="421"/>
      <c r="BD98" s="421" t="s">
        <v>149</v>
      </c>
      <c r="BE98" s="421" t="s">
        <v>149</v>
      </c>
      <c r="BF98" s="421" t="s">
        <v>149</v>
      </c>
      <c r="BG98" s="421" t="s">
        <v>150</v>
      </c>
      <c r="BH98" s="421" t="s">
        <v>191</v>
      </c>
      <c r="BI98" s="421"/>
      <c r="BJ98" s="421"/>
      <c r="BK98" s="421"/>
      <c r="BL98" s="421"/>
      <c r="BM98" s="421"/>
      <c r="BN98" s="419" t="s">
        <v>167</v>
      </c>
      <c r="BO98" s="421" t="s">
        <v>191</v>
      </c>
      <c r="BP98" s="423"/>
      <c r="BQ98" s="425" t="s">
        <v>192</v>
      </c>
      <c r="BR98" s="421" t="s">
        <v>192</v>
      </c>
      <c r="BS98" s="421" t="s">
        <v>192</v>
      </c>
      <c r="BT98" s="425" t="s">
        <v>192</v>
      </c>
      <c r="BU98" s="421"/>
      <c r="BV98" s="421"/>
      <c r="BW98" s="421"/>
      <c r="BX98" s="420"/>
      <c r="BY98" s="421"/>
      <c r="BZ98" s="421"/>
      <c r="CA98" s="421"/>
      <c r="CB98" s="421" t="s">
        <v>150</v>
      </c>
      <c r="CC98" s="421" t="s">
        <v>150</v>
      </c>
      <c r="CD98" s="421"/>
      <c r="CE98" s="421" t="s">
        <v>149</v>
      </c>
      <c r="CF98" s="421" t="s">
        <v>149</v>
      </c>
      <c r="CG98" s="421"/>
      <c r="CH98" s="421"/>
      <c r="CI98" s="422"/>
      <c r="CJ98" s="421" t="s">
        <v>149</v>
      </c>
      <c r="CK98" s="422"/>
      <c r="CL98" s="422"/>
      <c r="CM98" s="422"/>
      <c r="CN98" s="421" t="s">
        <v>150</v>
      </c>
      <c r="CO98" s="422"/>
      <c r="CP98" s="421">
        <f t="shared" si="19"/>
        <v>8</v>
      </c>
      <c r="CQ98" s="314">
        <f t="shared" si="20"/>
        <v>12</v>
      </c>
      <c r="CR98" s="314">
        <f t="shared" si="21"/>
        <v>11</v>
      </c>
    </row>
    <row r="99" spans="1:96" s="3" customFormat="1" ht="14.1" customHeight="1">
      <c r="A99" s="149" t="s">
        <v>205</v>
      </c>
      <c r="B99" s="416">
        <v>652998</v>
      </c>
      <c r="C99" s="417" t="s">
        <v>31</v>
      </c>
      <c r="D99" s="417"/>
      <c r="E99" s="417"/>
      <c r="F99" s="417"/>
      <c r="G99" s="417"/>
      <c r="H99" s="417"/>
      <c r="I99" s="418"/>
      <c r="J99" s="417" t="s">
        <v>187</v>
      </c>
      <c r="K99" s="417"/>
      <c r="L99" s="417"/>
      <c r="M99" s="417"/>
      <c r="N99" s="417"/>
      <c r="O99" s="417"/>
      <c r="P99" s="417"/>
      <c r="Q99" s="421" t="s">
        <v>191</v>
      </c>
      <c r="R99" s="421" t="s">
        <v>150</v>
      </c>
      <c r="S99" s="420"/>
      <c r="T99" s="445" t="s">
        <v>149</v>
      </c>
      <c r="U99" s="420"/>
      <c r="V99" s="420"/>
      <c r="W99" s="420"/>
      <c r="X99" s="421" t="s">
        <v>192</v>
      </c>
      <c r="Y99" s="421" t="s">
        <v>192</v>
      </c>
      <c r="Z99" s="421" t="s">
        <v>192</v>
      </c>
      <c r="AA99" s="421"/>
      <c r="AB99" s="422"/>
      <c r="AC99" s="422"/>
      <c r="AD99" s="422"/>
      <c r="AE99" s="423"/>
      <c r="AF99" s="421" t="s">
        <v>191</v>
      </c>
      <c r="AG99" s="423"/>
      <c r="AH99" s="423"/>
      <c r="AI99" s="423"/>
      <c r="AJ99" s="419" t="s">
        <v>165</v>
      </c>
      <c r="AK99" s="421" t="s">
        <v>149</v>
      </c>
      <c r="AL99" s="422"/>
      <c r="AM99" s="421" t="s">
        <v>149</v>
      </c>
      <c r="AN99" s="420"/>
      <c r="AO99" s="420"/>
      <c r="AP99" s="421" t="s">
        <v>149</v>
      </c>
      <c r="AQ99" s="422"/>
      <c r="AR99" s="422"/>
      <c r="AS99" s="421" t="s">
        <v>191</v>
      </c>
      <c r="AT99" s="421" t="s">
        <v>150</v>
      </c>
      <c r="AU99" s="420"/>
      <c r="AV99" s="421" t="s">
        <v>149</v>
      </c>
      <c r="AW99" s="421" t="s">
        <v>150</v>
      </c>
      <c r="AX99" s="422"/>
      <c r="AY99" s="420"/>
      <c r="AZ99" s="421" t="s">
        <v>192</v>
      </c>
      <c r="BA99" s="421" t="s">
        <v>192</v>
      </c>
      <c r="BB99" s="421" t="s">
        <v>192</v>
      </c>
      <c r="BC99" s="421" t="s">
        <v>192</v>
      </c>
      <c r="BD99" s="420"/>
      <c r="BE99" s="420"/>
      <c r="BF99" s="422"/>
      <c r="BG99" s="422"/>
      <c r="BH99" s="420"/>
      <c r="BI99" s="420"/>
      <c r="BJ99" s="422"/>
      <c r="BK99" s="423"/>
      <c r="BL99" s="421" t="s">
        <v>191</v>
      </c>
      <c r="BM99" s="419" t="s">
        <v>167</v>
      </c>
      <c r="BN99" s="423"/>
      <c r="BO99" s="419" t="s">
        <v>163</v>
      </c>
      <c r="BP99" s="420"/>
      <c r="BQ99" s="422"/>
      <c r="BR99" s="420"/>
      <c r="BS99" s="420"/>
      <c r="BT99" s="420"/>
      <c r="BU99" s="421" t="s">
        <v>150</v>
      </c>
      <c r="BV99" s="423"/>
      <c r="BW99" s="422"/>
      <c r="BX99" s="421" t="s">
        <v>192</v>
      </c>
      <c r="BY99" s="421" t="s">
        <v>192</v>
      </c>
      <c r="BZ99" s="421" t="s">
        <v>192</v>
      </c>
      <c r="CA99" s="421" t="s">
        <v>192</v>
      </c>
      <c r="CB99" s="420"/>
      <c r="CC99" s="420"/>
      <c r="CD99" s="421" t="s">
        <v>191</v>
      </c>
      <c r="CE99" s="422"/>
      <c r="CF99" s="422"/>
      <c r="CG99" s="420"/>
      <c r="CH99" s="420"/>
      <c r="CI99" s="421" t="s">
        <v>191</v>
      </c>
      <c r="CJ99" s="421" t="s">
        <v>150</v>
      </c>
      <c r="CK99" s="421"/>
      <c r="CL99" s="421" t="s">
        <v>150</v>
      </c>
      <c r="CM99" s="421" t="s">
        <v>150</v>
      </c>
      <c r="CN99" s="422"/>
      <c r="CO99" s="421" t="s">
        <v>149</v>
      </c>
      <c r="CP99" s="421">
        <f t="shared" si="19"/>
        <v>7</v>
      </c>
      <c r="CQ99" s="314">
        <f t="shared" si="20"/>
        <v>10</v>
      </c>
      <c r="CR99" s="314">
        <f t="shared" si="21"/>
        <v>11</v>
      </c>
    </row>
    <row r="100" spans="1:96" s="3" customFormat="1" ht="14.1" customHeight="1">
      <c r="A100" s="153" t="s">
        <v>206</v>
      </c>
      <c r="B100" s="429"/>
      <c r="C100" s="421" t="s">
        <v>192</v>
      </c>
      <c r="D100" s="421" t="s">
        <v>192</v>
      </c>
      <c r="E100" s="421" t="s">
        <v>192</v>
      </c>
      <c r="F100" s="421" t="s">
        <v>192</v>
      </c>
      <c r="G100" s="422"/>
      <c r="H100" s="422"/>
      <c r="I100" s="422"/>
      <c r="J100" s="445" t="s">
        <v>149</v>
      </c>
      <c r="K100" s="445" t="s">
        <v>149</v>
      </c>
      <c r="L100" s="423"/>
      <c r="M100" s="421" t="s">
        <v>191</v>
      </c>
      <c r="N100" s="421" t="s">
        <v>150</v>
      </c>
      <c r="O100" s="424"/>
      <c r="P100" s="424"/>
      <c r="Q100" s="417" t="s">
        <v>31</v>
      </c>
      <c r="R100" s="417"/>
      <c r="S100" s="417"/>
      <c r="T100" s="417"/>
      <c r="U100" s="417"/>
      <c r="V100" s="417"/>
      <c r="W100" s="417"/>
      <c r="X100" s="417" t="s">
        <v>31</v>
      </c>
      <c r="Y100" s="417"/>
      <c r="Z100" s="417"/>
      <c r="AA100" s="417"/>
      <c r="AB100" s="417"/>
      <c r="AC100" s="417"/>
      <c r="AD100" s="417"/>
      <c r="AE100" s="426"/>
      <c r="AF100" s="419" t="s">
        <v>160</v>
      </c>
      <c r="AG100" s="421"/>
      <c r="AH100" s="421"/>
      <c r="AI100" s="421" t="s">
        <v>192</v>
      </c>
      <c r="AJ100" s="421" t="s">
        <v>192</v>
      </c>
      <c r="AK100" s="421" t="s">
        <v>192</v>
      </c>
      <c r="AL100" s="422"/>
      <c r="AM100" s="422"/>
      <c r="AN100" s="421" t="s">
        <v>191</v>
      </c>
      <c r="AO100" s="421" t="s">
        <v>150</v>
      </c>
      <c r="AP100" s="421"/>
      <c r="AQ100" s="421" t="s">
        <v>149</v>
      </c>
      <c r="AR100" s="421" t="s">
        <v>149</v>
      </c>
      <c r="AS100" s="445" t="s">
        <v>149</v>
      </c>
      <c r="AT100" s="421"/>
      <c r="AU100" s="421" t="s">
        <v>150</v>
      </c>
      <c r="AV100" s="421" t="s">
        <v>150</v>
      </c>
      <c r="AW100" s="421" t="s">
        <v>150</v>
      </c>
      <c r="AX100" s="420"/>
      <c r="AY100" s="420"/>
      <c r="AZ100" s="421" t="s">
        <v>192</v>
      </c>
      <c r="BA100" s="421" t="s">
        <v>192</v>
      </c>
      <c r="BB100" s="421" t="s">
        <v>192</v>
      </c>
      <c r="BC100" s="421" t="s">
        <v>192</v>
      </c>
      <c r="BD100" s="420"/>
      <c r="BE100" s="420"/>
      <c r="BF100" s="420"/>
      <c r="BG100" s="419" t="s">
        <v>163</v>
      </c>
      <c r="BH100" s="421" t="s">
        <v>149</v>
      </c>
      <c r="BI100" s="421"/>
      <c r="BJ100" s="420"/>
      <c r="BK100" s="421"/>
      <c r="BL100" s="421" t="s">
        <v>150</v>
      </c>
      <c r="BM100" s="421" t="s">
        <v>191</v>
      </c>
      <c r="BN100" s="421" t="s">
        <v>150</v>
      </c>
      <c r="BO100" s="421" t="s">
        <v>150</v>
      </c>
      <c r="BP100" s="421"/>
      <c r="BQ100" s="421" t="s">
        <v>149</v>
      </c>
      <c r="BR100" s="421" t="s">
        <v>149</v>
      </c>
      <c r="BS100" s="420"/>
      <c r="BT100" s="420"/>
      <c r="BU100" s="420"/>
      <c r="BV100" s="423"/>
      <c r="BW100" s="421"/>
      <c r="BX100" s="419" t="s">
        <v>160</v>
      </c>
      <c r="BY100" s="421" t="s">
        <v>192</v>
      </c>
      <c r="BZ100" s="421" t="s">
        <v>192</v>
      </c>
      <c r="CA100" s="421" t="s">
        <v>192</v>
      </c>
      <c r="CB100" s="420"/>
      <c r="CC100" s="420"/>
      <c r="CD100" s="421" t="s">
        <v>150</v>
      </c>
      <c r="CE100" s="421" t="s">
        <v>191</v>
      </c>
      <c r="CF100" s="421"/>
      <c r="CG100" s="421" t="s">
        <v>149</v>
      </c>
      <c r="CH100" s="421" t="s">
        <v>149</v>
      </c>
      <c r="CI100" s="445" t="s">
        <v>149</v>
      </c>
      <c r="CJ100" s="421"/>
      <c r="CK100" s="421" t="s">
        <v>150</v>
      </c>
      <c r="CL100" s="421" t="s">
        <v>191</v>
      </c>
      <c r="CM100" s="421" t="s">
        <v>150</v>
      </c>
      <c r="CN100" s="420"/>
      <c r="CO100" s="420"/>
      <c r="CP100" s="421">
        <f t="shared" si="19"/>
        <v>11</v>
      </c>
      <c r="CQ100" s="314">
        <f t="shared" si="20"/>
        <v>15</v>
      </c>
      <c r="CR100" s="314">
        <f t="shared" si="21"/>
        <v>14</v>
      </c>
    </row>
    <row r="101" spans="1:96" s="3" customFormat="1" ht="14.1" customHeight="1">
      <c r="A101" s="446" t="s">
        <v>207</v>
      </c>
      <c r="B101" s="416">
        <v>654981</v>
      </c>
      <c r="C101" s="445" t="s">
        <v>149</v>
      </c>
      <c r="D101" s="421" t="s">
        <v>150</v>
      </c>
      <c r="E101" s="423"/>
      <c r="F101" s="423"/>
      <c r="G101" s="421" t="s">
        <v>150</v>
      </c>
      <c r="H101" s="422"/>
      <c r="I101" s="422"/>
      <c r="J101" s="421" t="s">
        <v>192</v>
      </c>
      <c r="K101" s="421" t="s">
        <v>192</v>
      </c>
      <c r="L101" s="421" t="s">
        <v>192</v>
      </c>
      <c r="M101" s="421" t="s">
        <v>192</v>
      </c>
      <c r="N101" s="420"/>
      <c r="O101" s="424"/>
      <c r="P101" s="424"/>
      <c r="Q101" s="420"/>
      <c r="R101" s="420"/>
      <c r="S101" s="420"/>
      <c r="T101" s="420"/>
      <c r="U101" s="420"/>
      <c r="V101" s="421" t="s">
        <v>191</v>
      </c>
      <c r="W101" s="419" t="s">
        <v>167</v>
      </c>
      <c r="X101" s="421" t="s">
        <v>150</v>
      </c>
      <c r="Y101" s="421" t="s">
        <v>191</v>
      </c>
      <c r="Z101" s="421"/>
      <c r="AA101" s="423"/>
      <c r="AB101" s="419" t="s">
        <v>165</v>
      </c>
      <c r="AC101" s="424"/>
      <c r="AD101" s="424"/>
      <c r="AE101" s="422"/>
      <c r="AF101" s="422"/>
      <c r="AG101" s="422"/>
      <c r="AH101" s="422"/>
      <c r="AI101" s="421" t="s">
        <v>192</v>
      </c>
      <c r="AJ101" s="421" t="s">
        <v>192</v>
      </c>
      <c r="AK101" s="421" t="s">
        <v>192</v>
      </c>
      <c r="AL101" s="422"/>
      <c r="AM101" s="422"/>
      <c r="AN101" s="422"/>
      <c r="AO101" s="421" t="s">
        <v>150</v>
      </c>
      <c r="AP101" s="421"/>
      <c r="AQ101" s="421" t="s">
        <v>149</v>
      </c>
      <c r="AR101" s="421" t="s">
        <v>149</v>
      </c>
      <c r="AS101" s="421" t="s">
        <v>150</v>
      </c>
      <c r="AT101" s="420"/>
      <c r="AU101" s="421" t="s">
        <v>191</v>
      </c>
      <c r="AV101" s="423"/>
      <c r="AW101" s="421" t="s">
        <v>149</v>
      </c>
      <c r="AX101" s="420"/>
      <c r="AY101" s="420"/>
      <c r="AZ101" s="421" t="s">
        <v>192</v>
      </c>
      <c r="BA101" s="421" t="s">
        <v>192</v>
      </c>
      <c r="BB101" s="421" t="s">
        <v>192</v>
      </c>
      <c r="BC101" s="421" t="s">
        <v>192</v>
      </c>
      <c r="BD101" s="420"/>
      <c r="BE101" s="420"/>
      <c r="BF101" s="420"/>
      <c r="BG101" s="420"/>
      <c r="BH101" s="421"/>
      <c r="BI101" s="421"/>
      <c r="BJ101" s="420"/>
      <c r="BK101" s="421"/>
      <c r="BL101" s="419" t="s">
        <v>167</v>
      </c>
      <c r="BM101" s="421" t="s">
        <v>150</v>
      </c>
      <c r="BN101" s="421" t="s">
        <v>191</v>
      </c>
      <c r="BO101" s="423"/>
      <c r="BP101" s="421"/>
      <c r="BQ101" s="421" t="s">
        <v>149</v>
      </c>
      <c r="BR101" s="421" t="s">
        <v>149</v>
      </c>
      <c r="BS101" s="420"/>
      <c r="BT101" s="420"/>
      <c r="BU101" s="423"/>
      <c r="BV101" s="421" t="s">
        <v>150</v>
      </c>
      <c r="BW101" s="420"/>
      <c r="BX101" s="421" t="s">
        <v>149</v>
      </c>
      <c r="BY101" s="421" t="s">
        <v>149</v>
      </c>
      <c r="BZ101" s="424"/>
      <c r="CA101" s="424"/>
      <c r="CB101" s="421" t="s">
        <v>191</v>
      </c>
      <c r="CC101" s="423"/>
      <c r="CD101" s="420"/>
      <c r="CE101" s="420"/>
      <c r="CF101" s="420"/>
      <c r="CG101" s="421" t="s">
        <v>149</v>
      </c>
      <c r="CH101" s="421" t="s">
        <v>149</v>
      </c>
      <c r="CI101" s="421" t="s">
        <v>150</v>
      </c>
      <c r="CJ101" s="420"/>
      <c r="CK101" s="421" t="s">
        <v>150</v>
      </c>
      <c r="CL101" s="420"/>
      <c r="CM101" s="421" t="s">
        <v>191</v>
      </c>
      <c r="CN101" s="420"/>
      <c r="CO101" s="420"/>
      <c r="CP101" s="421">
        <f t="shared" si="19"/>
        <v>11</v>
      </c>
      <c r="CQ101" s="314">
        <f t="shared" si="20"/>
        <v>14</v>
      </c>
      <c r="CR101" s="314">
        <f t="shared" si="21"/>
        <v>11</v>
      </c>
    </row>
    <row r="102" spans="1:96" s="3" customFormat="1" ht="14.1" customHeight="1">
      <c r="A102" s="450" t="s">
        <v>208</v>
      </c>
      <c r="B102" s="416">
        <v>703795</v>
      </c>
      <c r="C102" s="424"/>
      <c r="D102" s="421" t="s">
        <v>150</v>
      </c>
      <c r="E102" s="420"/>
      <c r="F102" s="445" t="s">
        <v>149</v>
      </c>
      <c r="G102" s="445" t="s">
        <v>149</v>
      </c>
      <c r="H102" s="420"/>
      <c r="I102" s="420"/>
      <c r="J102" s="421" t="s">
        <v>150</v>
      </c>
      <c r="K102" s="423"/>
      <c r="L102" s="420"/>
      <c r="M102" s="445" t="s">
        <v>149</v>
      </c>
      <c r="N102" s="424"/>
      <c r="O102" s="424"/>
      <c r="P102" s="424"/>
      <c r="Q102" s="420"/>
      <c r="R102" s="421" t="s">
        <v>191</v>
      </c>
      <c r="S102" s="420"/>
      <c r="T102" s="420"/>
      <c r="U102" s="445" t="s">
        <v>149</v>
      </c>
      <c r="V102" s="445" t="s">
        <v>149</v>
      </c>
      <c r="W102" s="445" t="s">
        <v>149</v>
      </c>
      <c r="X102" s="421" t="s">
        <v>191</v>
      </c>
      <c r="Y102" s="421" t="s">
        <v>150</v>
      </c>
      <c r="Z102" s="420"/>
      <c r="AA102" s="421" t="s">
        <v>150</v>
      </c>
      <c r="AB102" s="423"/>
      <c r="AC102" s="420"/>
      <c r="AD102" s="420"/>
      <c r="AE102" s="421" t="s">
        <v>149</v>
      </c>
      <c r="AF102" s="420"/>
      <c r="AG102" s="420"/>
      <c r="AH102" s="420"/>
      <c r="AI102" s="420"/>
      <c r="AJ102" s="421" t="s">
        <v>149</v>
      </c>
      <c r="AK102" s="421" t="s">
        <v>149</v>
      </c>
      <c r="AL102" s="421" t="s">
        <v>150</v>
      </c>
      <c r="AM102" s="419" t="s">
        <v>167</v>
      </c>
      <c r="AN102" s="420"/>
      <c r="AO102" s="420"/>
      <c r="AP102" s="421" t="s">
        <v>192</v>
      </c>
      <c r="AQ102" s="421" t="s">
        <v>192</v>
      </c>
      <c r="AR102" s="421" t="s">
        <v>192</v>
      </c>
      <c r="AS102" s="421" t="s">
        <v>192</v>
      </c>
      <c r="AT102" s="420"/>
      <c r="AU102" s="420"/>
      <c r="AV102" s="420"/>
      <c r="AW102" s="420"/>
      <c r="AX102" s="420"/>
      <c r="AY102" s="420"/>
      <c r="AZ102" s="421" t="s">
        <v>150</v>
      </c>
      <c r="BA102" s="420"/>
      <c r="BB102" s="420"/>
      <c r="BC102" s="421" t="s">
        <v>150</v>
      </c>
      <c r="BD102" s="420"/>
      <c r="BE102" s="420"/>
      <c r="BF102" s="420"/>
      <c r="BG102" s="421" t="s">
        <v>191</v>
      </c>
      <c r="BH102" s="420"/>
      <c r="BI102" s="420"/>
      <c r="BJ102" s="420"/>
      <c r="BK102" s="421" t="s">
        <v>150</v>
      </c>
      <c r="BL102" s="421" t="s">
        <v>150</v>
      </c>
      <c r="BM102" s="421" t="s">
        <v>150</v>
      </c>
      <c r="BN102" s="423"/>
      <c r="BO102" s="419" t="s">
        <v>160</v>
      </c>
      <c r="BP102" s="420"/>
      <c r="BQ102" s="423"/>
      <c r="BR102" s="421" t="s">
        <v>191</v>
      </c>
      <c r="BS102" s="423"/>
      <c r="BT102" s="423"/>
      <c r="BU102" s="421" t="s">
        <v>149</v>
      </c>
      <c r="BV102" s="423"/>
      <c r="BW102" s="420"/>
      <c r="BX102" s="420"/>
      <c r="BY102" s="421" t="s">
        <v>192</v>
      </c>
      <c r="BZ102" s="421" t="s">
        <v>192</v>
      </c>
      <c r="CA102" s="421" t="s">
        <v>192</v>
      </c>
      <c r="CB102" s="421" t="s">
        <v>192</v>
      </c>
      <c r="CC102" s="420"/>
      <c r="CD102" s="420"/>
      <c r="CE102" s="421" t="s">
        <v>149</v>
      </c>
      <c r="CF102" s="419" t="s">
        <v>163</v>
      </c>
      <c r="CG102" s="420"/>
      <c r="CH102" s="420"/>
      <c r="CI102" s="421" t="s">
        <v>192</v>
      </c>
      <c r="CJ102" s="421" t="s">
        <v>192</v>
      </c>
      <c r="CK102" s="421" t="s">
        <v>192</v>
      </c>
      <c r="CL102" s="420"/>
      <c r="CM102" s="420"/>
      <c r="CN102" s="420"/>
      <c r="CO102" s="420"/>
      <c r="CP102" s="421">
        <f t="shared" si="19"/>
        <v>12</v>
      </c>
      <c r="CQ102" s="314">
        <f t="shared" si="20"/>
        <v>16</v>
      </c>
      <c r="CR102" s="314">
        <f t="shared" si="21"/>
        <v>8</v>
      </c>
    </row>
    <row r="103" spans="1:96" s="3" customFormat="1" ht="14.1" customHeight="1">
      <c r="A103" s="446" t="s">
        <v>209</v>
      </c>
      <c r="B103" s="416">
        <v>652364</v>
      </c>
      <c r="C103" s="426"/>
      <c r="D103" s="421"/>
      <c r="E103" s="421"/>
      <c r="F103" s="421"/>
      <c r="G103" s="421" t="s">
        <v>192</v>
      </c>
      <c r="H103" s="421" t="s">
        <v>192</v>
      </c>
      <c r="I103" s="421" t="s">
        <v>192</v>
      </c>
      <c r="J103" s="420"/>
      <c r="K103" s="420"/>
      <c r="L103" s="421"/>
      <c r="M103" s="445" t="s">
        <v>149</v>
      </c>
      <c r="N103" s="421"/>
      <c r="O103" s="421" t="s">
        <v>149</v>
      </c>
      <c r="P103" s="421" t="s">
        <v>149</v>
      </c>
      <c r="Q103" s="445" t="s">
        <v>149</v>
      </c>
      <c r="R103" s="421"/>
      <c r="S103" s="421"/>
      <c r="T103" s="421" t="s">
        <v>191</v>
      </c>
      <c r="U103" s="421" t="s">
        <v>150</v>
      </c>
      <c r="V103" s="420"/>
      <c r="W103" s="420"/>
      <c r="X103" s="421"/>
      <c r="Y103" s="421" t="s">
        <v>192</v>
      </c>
      <c r="Z103" s="421" t="s">
        <v>192</v>
      </c>
      <c r="AA103" s="421" t="s">
        <v>192</v>
      </c>
      <c r="AB103" s="420"/>
      <c r="AC103" s="420"/>
      <c r="AD103" s="420"/>
      <c r="AE103" s="419" t="s">
        <v>165</v>
      </c>
      <c r="AF103" s="421" t="s">
        <v>149</v>
      </c>
      <c r="AG103" s="421"/>
      <c r="AH103" s="420"/>
      <c r="AI103" s="421"/>
      <c r="AJ103" s="421"/>
      <c r="AK103" s="421" t="s">
        <v>191</v>
      </c>
      <c r="AL103" s="421"/>
      <c r="AM103" s="421" t="s">
        <v>150</v>
      </c>
      <c r="AN103" s="421"/>
      <c r="AO103" s="421" t="s">
        <v>149</v>
      </c>
      <c r="AP103" s="421" t="s">
        <v>149</v>
      </c>
      <c r="AQ103" s="422"/>
      <c r="AR103" s="422"/>
      <c r="AS103" s="421" t="s">
        <v>150</v>
      </c>
      <c r="AT103" s="421" t="s">
        <v>191</v>
      </c>
      <c r="AU103" s="423"/>
      <c r="AV103" s="421"/>
      <c r="AW103" s="421" t="s">
        <v>150</v>
      </c>
      <c r="AX103" s="420"/>
      <c r="AY103" s="420"/>
      <c r="AZ103" s="417" t="s">
        <v>31</v>
      </c>
      <c r="BA103" s="417"/>
      <c r="BB103" s="417"/>
      <c r="BC103" s="417"/>
      <c r="BD103" s="417"/>
      <c r="BE103" s="417"/>
      <c r="BF103" s="417"/>
      <c r="BG103" s="420"/>
      <c r="BH103" s="421"/>
      <c r="BI103" s="421"/>
      <c r="BJ103" s="421"/>
      <c r="BK103" s="421" t="s">
        <v>192</v>
      </c>
      <c r="BL103" s="421" t="s">
        <v>192</v>
      </c>
      <c r="BM103" s="421" t="s">
        <v>192</v>
      </c>
      <c r="BN103" s="421"/>
      <c r="BO103" s="421"/>
      <c r="BP103" s="421"/>
      <c r="BQ103" s="421" t="s">
        <v>191</v>
      </c>
      <c r="BR103" s="421"/>
      <c r="BS103" s="421" t="s">
        <v>150</v>
      </c>
      <c r="BT103" s="421" t="s">
        <v>150</v>
      </c>
      <c r="BU103" s="423"/>
      <c r="BV103" s="445" t="s">
        <v>149</v>
      </c>
      <c r="BW103" s="421"/>
      <c r="BX103" s="421" t="s">
        <v>191</v>
      </c>
      <c r="BY103" s="421" t="s">
        <v>150</v>
      </c>
      <c r="BZ103" s="421"/>
      <c r="CA103" s="421"/>
      <c r="CB103" s="423"/>
      <c r="CC103" s="421" t="s">
        <v>192</v>
      </c>
      <c r="CD103" s="421" t="s">
        <v>192</v>
      </c>
      <c r="CE103" s="423"/>
      <c r="CF103" s="420"/>
      <c r="CG103" s="420"/>
      <c r="CH103" s="420"/>
      <c r="CI103" s="421" t="s">
        <v>149</v>
      </c>
      <c r="CJ103" s="423"/>
      <c r="CK103" s="421" t="s">
        <v>150</v>
      </c>
      <c r="CL103" s="420"/>
      <c r="CM103" s="421"/>
      <c r="CN103" s="421" t="s">
        <v>188</v>
      </c>
      <c r="CO103" s="421" t="s">
        <v>150</v>
      </c>
      <c r="CP103" s="421">
        <f t="shared" si="19"/>
        <v>9</v>
      </c>
      <c r="CQ103" s="314">
        <f t="shared" si="20"/>
        <v>12</v>
      </c>
      <c r="CR103" s="314">
        <f t="shared" si="21"/>
        <v>11</v>
      </c>
    </row>
    <row r="104" spans="1:96" s="3" customFormat="1" ht="14.1" customHeight="1">
      <c r="A104" s="446" t="s">
        <v>210</v>
      </c>
      <c r="B104" s="416">
        <v>644433</v>
      </c>
      <c r="C104" s="423"/>
      <c r="D104" s="423"/>
      <c r="E104" s="422"/>
      <c r="F104" s="422"/>
      <c r="G104" s="421" t="s">
        <v>192</v>
      </c>
      <c r="H104" s="421" t="s">
        <v>192</v>
      </c>
      <c r="I104" s="422"/>
      <c r="J104" s="423"/>
      <c r="K104" s="421" t="s">
        <v>150</v>
      </c>
      <c r="L104" s="423"/>
      <c r="M104" s="423"/>
      <c r="N104" s="421" t="s">
        <v>191</v>
      </c>
      <c r="O104" s="424"/>
      <c r="P104" s="424"/>
      <c r="Q104" s="420"/>
      <c r="R104" s="445" t="s">
        <v>149</v>
      </c>
      <c r="S104" s="421" t="s">
        <v>191</v>
      </c>
      <c r="T104" s="424"/>
      <c r="U104" s="424"/>
      <c r="V104" s="420"/>
      <c r="W104" s="420"/>
      <c r="X104" s="420"/>
      <c r="Y104" s="420"/>
      <c r="Z104" s="420"/>
      <c r="AA104" s="420"/>
      <c r="AB104" s="420"/>
      <c r="AC104" s="420"/>
      <c r="AD104" s="420"/>
      <c r="AE104" s="421" t="s">
        <v>191</v>
      </c>
      <c r="AF104" s="422"/>
      <c r="AG104" s="423"/>
      <c r="AH104" s="421" t="s">
        <v>150</v>
      </c>
      <c r="AI104" s="422"/>
      <c r="AJ104" s="421" t="s">
        <v>149</v>
      </c>
      <c r="AK104" s="421" t="s">
        <v>149</v>
      </c>
      <c r="AL104" s="422"/>
      <c r="AM104" s="422"/>
      <c r="AN104" s="422"/>
      <c r="AO104" s="421" t="s">
        <v>149</v>
      </c>
      <c r="AP104" s="421" t="s">
        <v>149</v>
      </c>
      <c r="AQ104" s="422"/>
      <c r="AR104" s="422"/>
      <c r="AS104" s="417" t="s">
        <v>31</v>
      </c>
      <c r="AT104" s="417"/>
      <c r="AU104" s="417"/>
      <c r="AV104" s="417"/>
      <c r="AW104" s="417"/>
      <c r="AX104" s="417"/>
      <c r="AY104" s="417"/>
      <c r="AZ104" s="417" t="s">
        <v>31</v>
      </c>
      <c r="BA104" s="417"/>
      <c r="BB104" s="417"/>
      <c r="BC104" s="417"/>
      <c r="BD104" s="417"/>
      <c r="BE104" s="417"/>
      <c r="BF104" s="417"/>
      <c r="BG104" s="420"/>
      <c r="BH104" s="420"/>
      <c r="BI104" s="420"/>
      <c r="BJ104" s="421"/>
      <c r="BK104" s="419" t="s">
        <v>183</v>
      </c>
      <c r="BL104" s="420"/>
      <c r="BM104" s="421" t="s">
        <v>192</v>
      </c>
      <c r="BN104" s="421" t="s">
        <v>192</v>
      </c>
      <c r="BO104" s="421" t="s">
        <v>192</v>
      </c>
      <c r="BP104" s="421" t="s">
        <v>192</v>
      </c>
      <c r="BQ104" s="420"/>
      <c r="BR104" s="420"/>
      <c r="BS104" s="420"/>
      <c r="BT104" s="420"/>
      <c r="BU104" s="420"/>
      <c r="BV104" s="420"/>
      <c r="BW104" s="420"/>
      <c r="BX104" s="420"/>
      <c r="BY104" s="420"/>
      <c r="BZ104" s="421"/>
      <c r="CA104" s="421" t="s">
        <v>191</v>
      </c>
      <c r="CB104" s="423"/>
      <c r="CC104" s="420"/>
      <c r="CD104" s="420"/>
      <c r="CE104" s="420"/>
      <c r="CF104" s="419" t="s">
        <v>183</v>
      </c>
      <c r="CG104" s="421" t="s">
        <v>191</v>
      </c>
      <c r="CH104" s="421"/>
      <c r="CI104" s="421" t="s">
        <v>192</v>
      </c>
      <c r="CJ104" s="421" t="s">
        <v>192</v>
      </c>
      <c r="CK104" s="420"/>
      <c r="CL104" s="420"/>
      <c r="CM104" s="420"/>
      <c r="CN104" s="420"/>
      <c r="CO104" s="420"/>
      <c r="CP104" s="421">
        <f t="shared" si="19"/>
        <v>5</v>
      </c>
      <c r="CQ104" s="314">
        <f t="shared" si="20"/>
        <v>9</v>
      </c>
      <c r="CR104" s="314">
        <f t="shared" si="21"/>
        <v>6</v>
      </c>
    </row>
    <row r="105" spans="1:96" s="3" customFormat="1" ht="14.1" customHeight="1">
      <c r="A105" s="446" t="s">
        <v>211</v>
      </c>
      <c r="B105" s="416">
        <v>650602</v>
      </c>
      <c r="C105" s="417" t="s">
        <v>31</v>
      </c>
      <c r="D105" s="417"/>
      <c r="E105" s="417"/>
      <c r="F105" s="417"/>
      <c r="G105" s="417"/>
      <c r="H105" s="417"/>
      <c r="I105" s="418"/>
      <c r="J105" s="417" t="s">
        <v>187</v>
      </c>
      <c r="K105" s="417"/>
      <c r="L105" s="417"/>
      <c r="M105" s="417"/>
      <c r="N105" s="417"/>
      <c r="O105" s="417"/>
      <c r="P105" s="417"/>
      <c r="Q105" s="420"/>
      <c r="R105" s="420"/>
      <c r="S105" s="420"/>
      <c r="T105" s="420"/>
      <c r="U105" s="420"/>
      <c r="V105" s="445" t="s">
        <v>149</v>
      </c>
      <c r="W105" s="445" t="s">
        <v>149</v>
      </c>
      <c r="X105" s="419" t="s">
        <v>160</v>
      </c>
      <c r="Y105" s="420"/>
      <c r="Z105" s="420"/>
      <c r="AA105" s="420"/>
      <c r="AB105" s="421" t="s">
        <v>192</v>
      </c>
      <c r="AC105" s="421" t="s">
        <v>192</v>
      </c>
      <c r="AD105" s="421" t="s">
        <v>192</v>
      </c>
      <c r="AE105" s="422"/>
      <c r="AF105" s="422"/>
      <c r="AG105" s="422"/>
      <c r="AH105" s="422"/>
      <c r="AI105" s="422"/>
      <c r="AJ105" s="422"/>
      <c r="AK105" s="422"/>
      <c r="AL105" s="422"/>
      <c r="AM105" s="422"/>
      <c r="AN105" s="422"/>
      <c r="AO105" s="422"/>
      <c r="AP105" s="422"/>
      <c r="AQ105" s="422"/>
      <c r="AR105" s="422"/>
      <c r="AS105" s="422"/>
      <c r="AT105" s="420"/>
      <c r="AU105" s="420"/>
      <c r="AV105" s="419" t="s">
        <v>165</v>
      </c>
      <c r="AW105" s="421" t="s">
        <v>192</v>
      </c>
      <c r="AX105" s="421" t="s">
        <v>192</v>
      </c>
      <c r="AY105" s="421" t="s">
        <v>192</v>
      </c>
      <c r="AZ105" s="422"/>
      <c r="BA105" s="420"/>
      <c r="BB105" s="420"/>
      <c r="BC105" s="421" t="s">
        <v>149</v>
      </c>
      <c r="BD105" s="421" t="s">
        <v>149</v>
      </c>
      <c r="BE105" s="421" t="s">
        <v>191</v>
      </c>
      <c r="BF105" s="421" t="s">
        <v>191</v>
      </c>
      <c r="BG105" s="420"/>
      <c r="BH105" s="420"/>
      <c r="BI105" s="420"/>
      <c r="BJ105" s="420"/>
      <c r="BK105" s="420"/>
      <c r="BL105" s="420"/>
      <c r="BM105" s="420"/>
      <c r="BN105" s="420"/>
      <c r="BO105" s="420"/>
      <c r="BP105" s="420"/>
      <c r="BQ105" s="419" t="s">
        <v>160</v>
      </c>
      <c r="BR105" s="421" t="s">
        <v>192</v>
      </c>
      <c r="BS105" s="421" t="s">
        <v>192</v>
      </c>
      <c r="BT105" s="421" t="s">
        <v>192</v>
      </c>
      <c r="BU105" s="420"/>
      <c r="BV105" s="420"/>
      <c r="BW105" s="420"/>
      <c r="BX105" s="420"/>
      <c r="BY105" s="420"/>
      <c r="BZ105" s="420"/>
      <c r="CA105" s="420"/>
      <c r="CB105" s="418" t="s">
        <v>31</v>
      </c>
      <c r="CC105" s="418"/>
      <c r="CD105" s="418"/>
      <c r="CE105" s="418"/>
      <c r="CF105" s="418"/>
      <c r="CG105" s="418"/>
      <c r="CH105" s="418"/>
      <c r="CI105" s="418" t="s">
        <v>31</v>
      </c>
      <c r="CJ105" s="418"/>
      <c r="CK105" s="418"/>
      <c r="CL105" s="418"/>
      <c r="CM105" s="418"/>
      <c r="CN105" s="418"/>
      <c r="CO105" s="418"/>
      <c r="CP105" s="421">
        <f t="shared" si="19"/>
        <v>5</v>
      </c>
      <c r="CQ105" s="314">
        <f t="shared" si="20"/>
        <v>4</v>
      </c>
      <c r="CR105" s="314">
        <f t="shared" si="21"/>
        <v>9</v>
      </c>
    </row>
    <row r="106" spans="1:96" s="3" customFormat="1" ht="14.1" customHeight="1">
      <c r="A106" s="449" t="s">
        <v>212</v>
      </c>
      <c r="B106" s="429"/>
      <c r="C106" s="447" t="s">
        <v>213</v>
      </c>
      <c r="D106" s="421" t="s">
        <v>192</v>
      </c>
      <c r="E106" s="421" t="s">
        <v>192</v>
      </c>
      <c r="F106" s="421" t="s">
        <v>192</v>
      </c>
      <c r="G106" s="423"/>
      <c r="H106" s="423"/>
      <c r="I106" s="423"/>
      <c r="J106" s="445" t="s">
        <v>149</v>
      </c>
      <c r="K106" s="421" t="s">
        <v>191</v>
      </c>
      <c r="L106" s="420"/>
      <c r="M106" s="420"/>
      <c r="N106" s="445" t="s">
        <v>149</v>
      </c>
      <c r="O106" s="445" t="s">
        <v>149</v>
      </c>
      <c r="P106" s="424"/>
      <c r="Q106" s="417" t="s">
        <v>31</v>
      </c>
      <c r="R106" s="417"/>
      <c r="S106" s="417"/>
      <c r="T106" s="417"/>
      <c r="U106" s="417"/>
      <c r="V106" s="417"/>
      <c r="W106" s="417"/>
      <c r="X106" s="426"/>
      <c r="Y106" s="426"/>
      <c r="Z106" s="420"/>
      <c r="AA106" s="421" t="s">
        <v>192</v>
      </c>
      <c r="AB106" s="421" t="s">
        <v>192</v>
      </c>
      <c r="AC106" s="421" t="s">
        <v>192</v>
      </c>
      <c r="AD106" s="421" t="s">
        <v>192</v>
      </c>
      <c r="AE106" s="422"/>
      <c r="AF106" s="420"/>
      <c r="AG106" s="419" t="s">
        <v>167</v>
      </c>
      <c r="AH106" s="423"/>
      <c r="AI106" s="421" t="s">
        <v>150</v>
      </c>
      <c r="AJ106" s="421" t="s">
        <v>191</v>
      </c>
      <c r="AK106" s="421" t="s">
        <v>150</v>
      </c>
      <c r="AL106" s="421" t="s">
        <v>150</v>
      </c>
      <c r="AM106" s="422"/>
      <c r="AN106" s="421" t="s">
        <v>150</v>
      </c>
      <c r="AO106" s="419" t="s">
        <v>167</v>
      </c>
      <c r="AP106" s="421" t="s">
        <v>150</v>
      </c>
      <c r="AQ106" s="420"/>
      <c r="AR106" s="420"/>
      <c r="AS106" s="423"/>
      <c r="AT106" s="421" t="s">
        <v>192</v>
      </c>
      <c r="AU106" s="421" t="s">
        <v>192</v>
      </c>
      <c r="AV106" s="421" t="s">
        <v>192</v>
      </c>
      <c r="AW106" s="421" t="s">
        <v>192</v>
      </c>
      <c r="AX106" s="420"/>
      <c r="AY106" s="420"/>
      <c r="AZ106" s="421" t="s">
        <v>191</v>
      </c>
      <c r="BA106" s="424"/>
      <c r="BB106" s="424"/>
      <c r="BC106" s="421" t="s">
        <v>149</v>
      </c>
      <c r="BD106" s="421" t="s">
        <v>149</v>
      </c>
      <c r="BE106" s="420"/>
      <c r="BF106" s="420"/>
      <c r="BG106" s="421" t="s">
        <v>149</v>
      </c>
      <c r="BH106" s="421" t="s">
        <v>149</v>
      </c>
      <c r="BI106" s="420"/>
      <c r="BJ106" s="420"/>
      <c r="BK106" s="421" t="s">
        <v>149</v>
      </c>
      <c r="BL106" s="421" t="s">
        <v>149</v>
      </c>
      <c r="BM106" s="421" t="s">
        <v>149</v>
      </c>
      <c r="BN106" s="421" t="s">
        <v>149</v>
      </c>
      <c r="BO106" s="421" t="s">
        <v>150</v>
      </c>
      <c r="BP106" s="420"/>
      <c r="BQ106" s="421" t="s">
        <v>149</v>
      </c>
      <c r="BR106" s="421" t="s">
        <v>150</v>
      </c>
      <c r="BS106" s="421" t="s">
        <v>150</v>
      </c>
      <c r="BT106" s="421" t="s">
        <v>150</v>
      </c>
      <c r="BU106" s="423"/>
      <c r="BV106" s="421" t="s">
        <v>191</v>
      </c>
      <c r="BW106" s="421" t="s">
        <v>150</v>
      </c>
      <c r="BX106" s="424"/>
      <c r="BY106" s="424"/>
      <c r="BZ106" s="424"/>
      <c r="CA106" s="424"/>
      <c r="CB106" s="424"/>
      <c r="CC106" s="424"/>
      <c r="CD106" s="420"/>
      <c r="CE106" s="421" t="s">
        <v>192</v>
      </c>
      <c r="CF106" s="421" t="s">
        <v>192</v>
      </c>
      <c r="CG106" s="421" t="s">
        <v>192</v>
      </c>
      <c r="CH106" s="421" t="s">
        <v>192</v>
      </c>
      <c r="CI106" s="423"/>
      <c r="CJ106" s="423"/>
      <c r="CK106" s="420"/>
      <c r="CL106" s="419" t="s">
        <v>163</v>
      </c>
      <c r="CM106" s="421" t="s">
        <v>149</v>
      </c>
      <c r="CN106" s="421" t="s">
        <v>191</v>
      </c>
      <c r="CO106" s="421" t="s">
        <v>150</v>
      </c>
      <c r="CP106" s="421">
        <f t="shared" si="19"/>
        <v>12</v>
      </c>
      <c r="CQ106" s="314">
        <f t="shared" si="20"/>
        <v>16</v>
      </c>
      <c r="CR106" s="314">
        <f t="shared" si="21"/>
        <v>15</v>
      </c>
    </row>
    <row r="107" spans="1:96" s="3" customFormat="1" ht="14.1" customHeight="1">
      <c r="A107" s="154" t="s">
        <v>214</v>
      </c>
      <c r="B107" s="416">
        <v>636733</v>
      </c>
      <c r="C107" s="447" t="s">
        <v>215</v>
      </c>
      <c r="D107" s="421" t="s">
        <v>191</v>
      </c>
      <c r="E107" s="422"/>
      <c r="F107" s="423"/>
      <c r="G107" s="423"/>
      <c r="H107" s="423"/>
      <c r="I107" s="421" t="s">
        <v>192</v>
      </c>
      <c r="J107" s="421" t="s">
        <v>192</v>
      </c>
      <c r="K107" s="421" t="s">
        <v>192</v>
      </c>
      <c r="L107" s="421" t="s">
        <v>192</v>
      </c>
      <c r="M107" s="420"/>
      <c r="N107" s="445"/>
      <c r="O107" s="421" t="s">
        <v>150</v>
      </c>
      <c r="P107" s="421" t="s">
        <v>191</v>
      </c>
      <c r="Q107" s="420"/>
      <c r="R107" s="420"/>
      <c r="S107" s="420"/>
      <c r="T107" s="419" t="s">
        <v>160</v>
      </c>
      <c r="U107" s="423"/>
      <c r="V107" s="423"/>
      <c r="W107" s="423"/>
      <c r="X107" s="422"/>
      <c r="Y107" s="421" t="s">
        <v>149</v>
      </c>
      <c r="Z107" s="420"/>
      <c r="AA107" s="421" t="s">
        <v>191</v>
      </c>
      <c r="AB107" s="423"/>
      <c r="AC107" s="421" t="s">
        <v>150</v>
      </c>
      <c r="AD107" s="421" t="s">
        <v>150</v>
      </c>
      <c r="AE107" s="422"/>
      <c r="AF107" s="420"/>
      <c r="AG107" s="421"/>
      <c r="AH107" s="421" t="s">
        <v>149</v>
      </c>
      <c r="AI107" s="421" t="s">
        <v>149</v>
      </c>
      <c r="AJ107" s="421"/>
      <c r="AK107" s="421"/>
      <c r="AL107" s="421" t="s">
        <v>149</v>
      </c>
      <c r="AM107" s="423"/>
      <c r="AN107" s="423"/>
      <c r="AO107" s="423"/>
      <c r="AP107" s="421" t="s">
        <v>191</v>
      </c>
      <c r="AQ107" s="420"/>
      <c r="AR107" s="420"/>
      <c r="AS107" s="417" t="s">
        <v>31</v>
      </c>
      <c r="AT107" s="417"/>
      <c r="AU107" s="417"/>
      <c r="AV107" s="417"/>
      <c r="AW107" s="417"/>
      <c r="AX107" s="417"/>
      <c r="AY107" s="417"/>
      <c r="AZ107" s="421"/>
      <c r="BA107" s="421" t="s">
        <v>150</v>
      </c>
      <c r="BB107" s="421" t="s">
        <v>191</v>
      </c>
      <c r="BC107" s="421"/>
      <c r="BD107" s="421"/>
      <c r="BE107" s="420"/>
      <c r="BF107" s="420"/>
      <c r="BG107" s="421"/>
      <c r="BH107" s="421"/>
      <c r="BI107" s="420"/>
      <c r="BJ107" s="419" t="s">
        <v>160</v>
      </c>
      <c r="BK107" s="314" t="s">
        <v>178</v>
      </c>
      <c r="BL107" s="314" t="s">
        <v>178</v>
      </c>
      <c r="BM107" s="314" t="s">
        <v>178</v>
      </c>
      <c r="BN107" s="421"/>
      <c r="BO107" s="421"/>
      <c r="BP107" s="420"/>
      <c r="BQ107" s="421"/>
      <c r="BR107" s="421" t="s">
        <v>150</v>
      </c>
      <c r="BS107" s="421" t="s">
        <v>191</v>
      </c>
      <c r="BT107" s="421"/>
      <c r="BU107" s="421" t="s">
        <v>150</v>
      </c>
      <c r="BV107" s="421" t="s">
        <v>150</v>
      </c>
      <c r="BW107" s="421"/>
      <c r="BX107" s="314" t="s">
        <v>149</v>
      </c>
      <c r="BY107" s="421" t="s">
        <v>149</v>
      </c>
      <c r="BZ107" s="420"/>
      <c r="CA107" s="420"/>
      <c r="CB107" s="421" t="s">
        <v>178</v>
      </c>
      <c r="CC107" s="314" t="s">
        <v>178</v>
      </c>
      <c r="CD107" s="314" t="s">
        <v>178</v>
      </c>
      <c r="CE107" s="314" t="s">
        <v>178</v>
      </c>
      <c r="CF107" s="421"/>
      <c r="CG107" s="421"/>
      <c r="CH107" s="421"/>
      <c r="CI107" s="423"/>
      <c r="CJ107" s="423"/>
      <c r="CK107" s="420"/>
      <c r="CL107" s="421"/>
      <c r="CM107" s="421"/>
      <c r="CN107" s="421" t="s">
        <v>149</v>
      </c>
      <c r="CO107" s="419" t="s">
        <v>163</v>
      </c>
      <c r="CP107" s="421">
        <f t="shared" si="19"/>
        <v>6</v>
      </c>
      <c r="CQ107" s="314">
        <f t="shared" si="20"/>
        <v>15</v>
      </c>
      <c r="CR107" s="314">
        <f t="shared" si="21"/>
        <v>11</v>
      </c>
    </row>
    <row r="108" spans="1:96" s="9" customFormat="1" ht="14.1" customHeight="1">
      <c r="A108" s="155" t="s">
        <v>216</v>
      </c>
      <c r="B108" s="156">
        <v>637770</v>
      </c>
      <c r="C108" s="157"/>
      <c r="D108" s="158"/>
      <c r="E108" s="159" t="s">
        <v>191</v>
      </c>
      <c r="F108" s="159" t="s">
        <v>150</v>
      </c>
      <c r="G108" s="159" t="s">
        <v>150</v>
      </c>
      <c r="H108" s="159" t="s">
        <v>150</v>
      </c>
      <c r="I108" s="158"/>
      <c r="J108" s="159" t="s">
        <v>192</v>
      </c>
      <c r="K108" s="159" t="s">
        <v>192</v>
      </c>
      <c r="L108" s="159" t="s">
        <v>192</v>
      </c>
      <c r="M108" s="159" t="s">
        <v>192</v>
      </c>
      <c r="N108" s="160"/>
      <c r="O108" s="157"/>
      <c r="P108" s="161"/>
      <c r="Q108" s="159" t="s">
        <v>149</v>
      </c>
      <c r="R108" s="162" t="s">
        <v>163</v>
      </c>
      <c r="S108" s="159"/>
      <c r="T108" s="161"/>
      <c r="U108" s="159"/>
      <c r="V108" s="159" t="s">
        <v>150</v>
      </c>
      <c r="W108" s="159" t="s">
        <v>191</v>
      </c>
      <c r="X108" s="159" t="s">
        <v>150</v>
      </c>
      <c r="Y108" s="159" t="s">
        <v>150</v>
      </c>
      <c r="Z108" s="159"/>
      <c r="AA108" s="162" t="s">
        <v>163</v>
      </c>
      <c r="AB108" s="159" t="s">
        <v>149</v>
      </c>
      <c r="AC108" s="161"/>
      <c r="AD108" s="161"/>
      <c r="AE108" s="161"/>
      <c r="AF108" s="161"/>
      <c r="AG108" s="161"/>
      <c r="AH108" s="159" t="s">
        <v>192</v>
      </c>
      <c r="AI108" s="159" t="s">
        <v>192</v>
      </c>
      <c r="AJ108" s="159" t="s">
        <v>192</v>
      </c>
      <c r="AK108" s="159" t="s">
        <v>192</v>
      </c>
      <c r="AL108" s="159"/>
      <c r="AM108" s="159"/>
      <c r="AN108" s="159" t="s">
        <v>150</v>
      </c>
      <c r="AO108" s="159" t="s">
        <v>191</v>
      </c>
      <c r="AP108" s="159" t="s">
        <v>150</v>
      </c>
      <c r="AQ108" s="159"/>
      <c r="AR108" s="159" t="s">
        <v>149</v>
      </c>
      <c r="AS108" s="159" t="s">
        <v>150</v>
      </c>
      <c r="AT108" s="159" t="s">
        <v>150</v>
      </c>
      <c r="AU108" s="163"/>
      <c r="AV108" s="159" t="s">
        <v>149</v>
      </c>
      <c r="AW108" s="159" t="s">
        <v>149</v>
      </c>
      <c r="AX108" s="160"/>
      <c r="AY108" s="160"/>
      <c r="AZ108" s="159" t="s">
        <v>149</v>
      </c>
      <c r="BA108" s="159" t="s">
        <v>150</v>
      </c>
      <c r="BB108" s="161"/>
      <c r="BC108" s="159" t="s">
        <v>149</v>
      </c>
      <c r="BD108" s="159" t="s">
        <v>191</v>
      </c>
      <c r="BE108" s="160"/>
      <c r="BF108" s="161"/>
      <c r="BG108" s="164" t="s">
        <v>31</v>
      </c>
      <c r="BH108" s="164"/>
      <c r="BI108" s="164"/>
      <c r="BJ108" s="164"/>
      <c r="BK108" s="164"/>
      <c r="BL108" s="164"/>
      <c r="BM108" s="164"/>
      <c r="BN108" s="164" t="s">
        <v>31</v>
      </c>
      <c r="BO108" s="164"/>
      <c r="BP108" s="164"/>
      <c r="BQ108" s="164"/>
      <c r="BR108" s="164"/>
      <c r="BS108" s="164"/>
      <c r="BT108" s="164"/>
      <c r="BU108" s="164" t="s">
        <v>31</v>
      </c>
      <c r="BV108" s="164"/>
      <c r="BW108" s="164"/>
      <c r="BX108" s="164"/>
      <c r="BY108" s="164"/>
      <c r="BZ108" s="164"/>
      <c r="CA108" s="164"/>
      <c r="CB108" s="164" t="s">
        <v>31</v>
      </c>
      <c r="CC108" s="164"/>
      <c r="CD108" s="164"/>
      <c r="CE108" s="164"/>
      <c r="CF108" s="164"/>
      <c r="CG108" s="164"/>
      <c r="CH108" s="164"/>
      <c r="CI108" s="164" t="s">
        <v>31</v>
      </c>
      <c r="CJ108" s="164"/>
      <c r="CK108" s="164"/>
      <c r="CL108" s="164"/>
      <c r="CM108" s="164"/>
      <c r="CN108" s="164"/>
      <c r="CO108" s="164"/>
      <c r="CP108" s="159">
        <f t="shared" si="19"/>
        <v>9</v>
      </c>
      <c r="CQ108" s="9">
        <f t="shared" si="20"/>
        <v>15</v>
      </c>
      <c r="CR108" s="9">
        <f t="shared" si="21"/>
        <v>8</v>
      </c>
    </row>
    <row r="109" spans="1:96" s="3" customFormat="1" ht="14.1" customHeight="1">
      <c r="A109" s="451"/>
      <c r="B109" s="385"/>
      <c r="C109" s="422"/>
      <c r="D109" s="420"/>
      <c r="E109" s="421"/>
      <c r="F109" s="421"/>
      <c r="G109" s="421"/>
      <c r="H109" s="421"/>
      <c r="I109" s="420"/>
      <c r="J109" s="421"/>
      <c r="K109" s="421"/>
      <c r="L109" s="421"/>
      <c r="M109" s="421"/>
      <c r="N109" s="422"/>
      <c r="O109" s="422"/>
      <c r="P109" s="420"/>
      <c r="Q109" s="421"/>
      <c r="R109" s="421"/>
      <c r="S109" s="421"/>
      <c r="T109" s="420"/>
      <c r="U109" s="421"/>
      <c r="V109" s="421"/>
      <c r="W109" s="421"/>
      <c r="X109" s="421"/>
      <c r="Y109" s="421"/>
      <c r="Z109" s="421"/>
      <c r="AA109" s="421"/>
      <c r="AB109" s="421"/>
      <c r="AC109" s="420"/>
      <c r="AD109" s="420"/>
      <c r="AE109" s="420"/>
      <c r="AF109" s="420"/>
      <c r="AG109" s="420"/>
      <c r="AH109" s="421"/>
      <c r="AI109" s="421"/>
      <c r="AJ109" s="421"/>
      <c r="AK109" s="421"/>
      <c r="AL109" s="421"/>
      <c r="AM109" s="421"/>
      <c r="AN109" s="421"/>
      <c r="AO109" s="421"/>
      <c r="AP109" s="421"/>
      <c r="AQ109" s="421"/>
      <c r="AR109" s="421"/>
      <c r="AS109" s="421"/>
      <c r="AT109" s="421"/>
      <c r="AU109" s="420"/>
      <c r="AV109" s="421"/>
      <c r="AW109" s="421"/>
      <c r="AX109" s="422"/>
      <c r="AY109" s="422"/>
      <c r="AZ109" s="421"/>
      <c r="BA109" s="421"/>
      <c r="BB109" s="420"/>
      <c r="BC109" s="421"/>
      <c r="BD109" s="421"/>
      <c r="BE109" s="422"/>
      <c r="BF109" s="420"/>
      <c r="BG109" s="420"/>
      <c r="BH109" s="420"/>
      <c r="BI109" s="420"/>
      <c r="BJ109" s="420"/>
      <c r="BK109" s="420"/>
      <c r="BL109" s="420"/>
      <c r="BM109" s="420"/>
      <c r="BN109" s="420"/>
      <c r="BO109" s="420"/>
      <c r="BP109" s="420"/>
      <c r="BQ109" s="420"/>
      <c r="BR109" s="420"/>
      <c r="BS109" s="420"/>
      <c r="BT109" s="420"/>
      <c r="BU109" s="420"/>
      <c r="BV109" s="420"/>
      <c r="BW109" s="420"/>
      <c r="BX109" s="420"/>
      <c r="BY109" s="420"/>
      <c r="BZ109" s="420"/>
      <c r="CA109" s="420"/>
      <c r="CB109" s="420"/>
      <c r="CC109" s="420"/>
      <c r="CD109" s="420"/>
      <c r="CE109" s="420"/>
      <c r="CF109" s="420"/>
      <c r="CG109" s="420"/>
      <c r="CH109" s="420"/>
      <c r="CI109" s="420"/>
      <c r="CJ109" s="420"/>
      <c r="CK109" s="420"/>
      <c r="CL109" s="420"/>
      <c r="CM109" s="420"/>
      <c r="CN109" s="420"/>
      <c r="CO109" s="420"/>
      <c r="CP109" s="421"/>
      <c r="CQ109" s="314"/>
      <c r="CR109" s="314"/>
    </row>
    <row r="110" spans="1:96" s="52" customFormat="1" ht="14.1" customHeight="1" thickBot="1">
      <c r="A110" s="165"/>
      <c r="B110" s="166"/>
      <c r="C110" s="811" t="s">
        <v>217</v>
      </c>
      <c r="D110" s="803"/>
      <c r="E110" s="803"/>
      <c r="F110" s="803"/>
      <c r="G110" s="803"/>
      <c r="H110" s="803"/>
      <c r="I110" s="804"/>
      <c r="J110" s="805" t="s">
        <v>218</v>
      </c>
      <c r="K110" s="806"/>
      <c r="L110" s="806"/>
      <c r="M110" s="806"/>
      <c r="N110" s="806"/>
      <c r="O110" s="806"/>
      <c r="P110" s="807"/>
      <c r="Q110" s="805" t="s">
        <v>218</v>
      </c>
      <c r="R110" s="806"/>
      <c r="S110" s="806"/>
      <c r="T110" s="806"/>
      <c r="U110" s="806"/>
      <c r="V110" s="806"/>
      <c r="W110" s="807"/>
      <c r="X110" s="805" t="s">
        <v>218</v>
      </c>
      <c r="Y110" s="806"/>
      <c r="Z110" s="806"/>
      <c r="AA110" s="806"/>
      <c r="AB110" s="806"/>
      <c r="AC110" s="806"/>
      <c r="AD110" s="807"/>
      <c r="AE110" s="805" t="s">
        <v>218</v>
      </c>
      <c r="AF110" s="806"/>
      <c r="AG110" s="806"/>
      <c r="AH110" s="806"/>
      <c r="AI110" s="806"/>
      <c r="AJ110" s="806"/>
      <c r="AK110" s="807"/>
      <c r="AL110" s="805" t="s">
        <v>218</v>
      </c>
      <c r="AM110" s="806"/>
      <c r="AN110" s="806"/>
      <c r="AO110" s="806"/>
      <c r="AP110" s="806"/>
      <c r="AQ110" s="806"/>
      <c r="AR110" s="807"/>
      <c r="AS110" s="805" t="s">
        <v>218</v>
      </c>
      <c r="AT110" s="806"/>
      <c r="AU110" s="806"/>
      <c r="AV110" s="806"/>
      <c r="AW110" s="806"/>
      <c r="AX110" s="806"/>
      <c r="AY110" s="807"/>
      <c r="AZ110" s="805" t="s">
        <v>218</v>
      </c>
      <c r="BA110" s="806"/>
      <c r="BB110" s="806"/>
      <c r="BC110" s="806"/>
      <c r="BD110" s="806"/>
      <c r="BE110" s="806"/>
      <c r="BF110" s="807"/>
      <c r="BG110" s="805" t="s">
        <v>218</v>
      </c>
      <c r="BH110" s="806"/>
      <c r="BI110" s="806"/>
      <c r="BJ110" s="806"/>
      <c r="BK110" s="806"/>
      <c r="BL110" s="806"/>
      <c r="BM110" s="807"/>
      <c r="BN110" s="805" t="s">
        <v>218</v>
      </c>
      <c r="BO110" s="806"/>
      <c r="BP110" s="806"/>
      <c r="BQ110" s="806"/>
      <c r="BR110" s="806"/>
      <c r="BS110" s="806"/>
      <c r="BT110" s="807"/>
      <c r="BU110" s="805" t="s">
        <v>218</v>
      </c>
      <c r="BV110" s="806"/>
      <c r="BW110" s="806"/>
      <c r="BX110" s="806"/>
      <c r="BY110" s="806"/>
      <c r="BZ110" s="806"/>
      <c r="CA110" s="807"/>
      <c r="CB110" s="805" t="s">
        <v>218</v>
      </c>
      <c r="CC110" s="806"/>
      <c r="CD110" s="806"/>
      <c r="CE110" s="806"/>
      <c r="CF110" s="806"/>
      <c r="CG110" s="806"/>
      <c r="CH110" s="807"/>
      <c r="CI110" s="805" t="s">
        <v>218</v>
      </c>
      <c r="CJ110" s="806"/>
      <c r="CK110" s="806"/>
      <c r="CL110" s="806"/>
      <c r="CM110" s="806"/>
      <c r="CN110" s="806"/>
      <c r="CO110" s="807"/>
      <c r="CP110" s="826"/>
      <c r="CQ110" s="282"/>
      <c r="CR110" s="827"/>
    </row>
    <row r="111" spans="1:96" ht="14.1" customHeight="1">
      <c r="A111" s="167" t="s">
        <v>219</v>
      </c>
      <c r="B111" s="114"/>
      <c r="C111" s="168">
        <f t="shared" ref="C111:BN111" si="22">C4</f>
        <v>46055</v>
      </c>
      <c r="D111" s="168">
        <f t="shared" si="22"/>
        <v>46056</v>
      </c>
      <c r="E111" s="168">
        <f t="shared" si="22"/>
        <v>46057</v>
      </c>
      <c r="F111" s="168">
        <f t="shared" si="22"/>
        <v>46058</v>
      </c>
      <c r="G111" s="168">
        <f t="shared" si="22"/>
        <v>46059</v>
      </c>
      <c r="H111" s="168">
        <f t="shared" si="22"/>
        <v>46060</v>
      </c>
      <c r="I111" s="168">
        <f t="shared" si="22"/>
        <v>46061</v>
      </c>
      <c r="J111" s="168">
        <f t="shared" si="22"/>
        <v>46062</v>
      </c>
      <c r="K111" s="168">
        <f t="shared" si="22"/>
        <v>46063</v>
      </c>
      <c r="L111" s="168">
        <f t="shared" si="22"/>
        <v>46064</v>
      </c>
      <c r="M111" s="168">
        <f t="shared" si="22"/>
        <v>46065</v>
      </c>
      <c r="N111" s="168">
        <f t="shared" si="22"/>
        <v>46066</v>
      </c>
      <c r="O111" s="168">
        <f t="shared" si="22"/>
        <v>46067</v>
      </c>
      <c r="P111" s="168">
        <f t="shared" si="22"/>
        <v>46068</v>
      </c>
      <c r="Q111" s="168">
        <f t="shared" si="22"/>
        <v>46069</v>
      </c>
      <c r="R111" s="168">
        <f t="shared" si="22"/>
        <v>46070</v>
      </c>
      <c r="S111" s="168">
        <f t="shared" si="22"/>
        <v>46071</v>
      </c>
      <c r="T111" s="168">
        <f t="shared" si="22"/>
        <v>46072</v>
      </c>
      <c r="U111" s="168">
        <f t="shared" si="22"/>
        <v>46073</v>
      </c>
      <c r="V111" s="168">
        <f t="shared" si="22"/>
        <v>46074</v>
      </c>
      <c r="W111" s="168">
        <f t="shared" si="22"/>
        <v>46075</v>
      </c>
      <c r="X111" s="168">
        <f t="shared" si="22"/>
        <v>46076</v>
      </c>
      <c r="Y111" s="168">
        <f t="shared" si="22"/>
        <v>46077</v>
      </c>
      <c r="Z111" s="168">
        <f t="shared" si="22"/>
        <v>46078</v>
      </c>
      <c r="AA111" s="168">
        <f t="shared" si="22"/>
        <v>46079</v>
      </c>
      <c r="AB111" s="168">
        <f t="shared" si="22"/>
        <v>46080</v>
      </c>
      <c r="AC111" s="168">
        <f t="shared" si="22"/>
        <v>46081</v>
      </c>
      <c r="AD111" s="168">
        <f t="shared" si="22"/>
        <v>46082</v>
      </c>
      <c r="AE111" s="168">
        <f t="shared" si="22"/>
        <v>46083</v>
      </c>
      <c r="AF111" s="168">
        <f t="shared" si="22"/>
        <v>46084</v>
      </c>
      <c r="AG111" s="168">
        <f t="shared" si="22"/>
        <v>46085</v>
      </c>
      <c r="AH111" s="168">
        <f t="shared" si="22"/>
        <v>46086</v>
      </c>
      <c r="AI111" s="168">
        <f t="shared" si="22"/>
        <v>46087</v>
      </c>
      <c r="AJ111" s="168">
        <f t="shared" si="22"/>
        <v>46088</v>
      </c>
      <c r="AK111" s="168">
        <f t="shared" si="22"/>
        <v>46089</v>
      </c>
      <c r="AL111" s="168">
        <f t="shared" si="22"/>
        <v>46090</v>
      </c>
      <c r="AM111" s="168">
        <f t="shared" si="22"/>
        <v>46091</v>
      </c>
      <c r="AN111" s="168">
        <f t="shared" si="22"/>
        <v>46092</v>
      </c>
      <c r="AO111" s="168">
        <f t="shared" si="22"/>
        <v>46093</v>
      </c>
      <c r="AP111" s="168">
        <f t="shared" si="22"/>
        <v>46094</v>
      </c>
      <c r="AQ111" s="168">
        <f t="shared" si="22"/>
        <v>46095</v>
      </c>
      <c r="AR111" s="168">
        <f t="shared" si="22"/>
        <v>46096</v>
      </c>
      <c r="AS111" s="168">
        <f t="shared" si="22"/>
        <v>46097</v>
      </c>
      <c r="AT111" s="168">
        <f t="shared" si="22"/>
        <v>46098</v>
      </c>
      <c r="AU111" s="168">
        <f t="shared" si="22"/>
        <v>46099</v>
      </c>
      <c r="AV111" s="168">
        <f t="shared" si="22"/>
        <v>46100</v>
      </c>
      <c r="AW111" s="168">
        <f t="shared" si="22"/>
        <v>46101</v>
      </c>
      <c r="AX111" s="168">
        <f t="shared" si="22"/>
        <v>46102</v>
      </c>
      <c r="AY111" s="168">
        <f t="shared" si="22"/>
        <v>46103</v>
      </c>
      <c r="AZ111" s="168">
        <f t="shared" si="22"/>
        <v>46104</v>
      </c>
      <c r="BA111" s="168">
        <f t="shared" si="22"/>
        <v>46105</v>
      </c>
      <c r="BB111" s="168">
        <f t="shared" si="22"/>
        <v>46106</v>
      </c>
      <c r="BC111" s="168">
        <f t="shared" si="22"/>
        <v>46107</v>
      </c>
      <c r="BD111" s="168">
        <f t="shared" si="22"/>
        <v>46108</v>
      </c>
      <c r="BE111" s="168">
        <f t="shared" si="22"/>
        <v>46109</v>
      </c>
      <c r="BF111" s="168">
        <f t="shared" si="22"/>
        <v>46110</v>
      </c>
      <c r="BG111" s="168">
        <f t="shared" si="22"/>
        <v>46111</v>
      </c>
      <c r="BH111" s="168">
        <f t="shared" si="22"/>
        <v>46112</v>
      </c>
      <c r="BI111" s="168">
        <f t="shared" si="22"/>
        <v>46113</v>
      </c>
      <c r="BJ111" s="168">
        <f t="shared" si="22"/>
        <v>46114</v>
      </c>
      <c r="BK111" s="168">
        <f t="shared" si="22"/>
        <v>46115</v>
      </c>
      <c r="BL111" s="168">
        <f t="shared" si="22"/>
        <v>46116</v>
      </c>
      <c r="BM111" s="168">
        <f t="shared" si="22"/>
        <v>46117</v>
      </c>
      <c r="BN111" s="168">
        <f t="shared" si="22"/>
        <v>46118</v>
      </c>
      <c r="BO111" s="168">
        <f t="shared" ref="BO111:CO111" si="23">BO4</f>
        <v>46119</v>
      </c>
      <c r="BP111" s="168">
        <f t="shared" si="23"/>
        <v>46120</v>
      </c>
      <c r="BQ111" s="168">
        <f t="shared" si="23"/>
        <v>46121</v>
      </c>
      <c r="BR111" s="168">
        <f t="shared" si="23"/>
        <v>46122</v>
      </c>
      <c r="BS111" s="168">
        <f t="shared" si="23"/>
        <v>46123</v>
      </c>
      <c r="BT111" s="168">
        <f t="shared" si="23"/>
        <v>46124</v>
      </c>
      <c r="BU111" s="168">
        <f t="shared" si="23"/>
        <v>46125</v>
      </c>
      <c r="BV111" s="168">
        <f t="shared" si="23"/>
        <v>46126</v>
      </c>
      <c r="BW111" s="168">
        <f t="shared" si="23"/>
        <v>46127</v>
      </c>
      <c r="BX111" s="168">
        <f t="shared" si="23"/>
        <v>46128</v>
      </c>
      <c r="BY111" s="168">
        <f t="shared" si="23"/>
        <v>46129</v>
      </c>
      <c r="BZ111" s="168">
        <f t="shared" si="23"/>
        <v>46130</v>
      </c>
      <c r="CA111" s="168">
        <f t="shared" si="23"/>
        <v>46131</v>
      </c>
      <c r="CB111" s="168">
        <f t="shared" si="23"/>
        <v>46132</v>
      </c>
      <c r="CC111" s="168">
        <f t="shared" si="23"/>
        <v>46133</v>
      </c>
      <c r="CD111" s="168">
        <f t="shared" si="23"/>
        <v>46134</v>
      </c>
      <c r="CE111" s="168">
        <f t="shared" si="23"/>
        <v>46135</v>
      </c>
      <c r="CF111" s="168">
        <f t="shared" si="23"/>
        <v>46136</v>
      </c>
      <c r="CG111" s="168">
        <f t="shared" si="23"/>
        <v>46137</v>
      </c>
      <c r="CH111" s="168">
        <f t="shared" si="23"/>
        <v>46138</v>
      </c>
      <c r="CI111" s="168">
        <f t="shared" si="23"/>
        <v>46139</v>
      </c>
      <c r="CJ111" s="168">
        <f t="shared" si="23"/>
        <v>46140</v>
      </c>
      <c r="CK111" s="168">
        <f t="shared" si="23"/>
        <v>46141</v>
      </c>
      <c r="CL111" s="168">
        <f t="shared" si="23"/>
        <v>46142</v>
      </c>
      <c r="CM111" s="168">
        <f t="shared" si="23"/>
        <v>46143</v>
      </c>
      <c r="CN111" s="168">
        <f t="shared" si="23"/>
        <v>46144</v>
      </c>
      <c r="CO111" s="168">
        <f t="shared" si="23"/>
        <v>46145</v>
      </c>
      <c r="CQ111" s="326"/>
      <c r="CR111" s="326"/>
    </row>
    <row r="112" spans="1:96" ht="14.1" customHeight="1">
      <c r="A112" s="452" t="s">
        <v>220</v>
      </c>
      <c r="B112" s="453">
        <v>654686</v>
      </c>
      <c r="C112" s="283" t="s">
        <v>150</v>
      </c>
      <c r="D112" s="827" t="s">
        <v>150</v>
      </c>
      <c r="E112" s="827" t="s">
        <v>150</v>
      </c>
      <c r="F112" s="827"/>
      <c r="G112" s="827"/>
      <c r="H112" s="314"/>
      <c r="I112" s="314" t="s">
        <v>150</v>
      </c>
      <c r="J112" s="827" t="s">
        <v>150</v>
      </c>
      <c r="K112" s="314" t="s">
        <v>221</v>
      </c>
      <c r="L112" s="314" t="s">
        <v>222</v>
      </c>
      <c r="M112" s="314" t="s">
        <v>223</v>
      </c>
      <c r="N112" s="827"/>
      <c r="O112" s="827"/>
      <c r="P112" s="827"/>
      <c r="Q112" s="827" t="s">
        <v>224</v>
      </c>
      <c r="R112" s="827"/>
      <c r="S112" s="827"/>
      <c r="T112" s="827" t="s">
        <v>150</v>
      </c>
      <c r="U112" s="827"/>
      <c r="V112" s="314" t="s">
        <v>149</v>
      </c>
      <c r="W112" s="314" t="s">
        <v>149</v>
      </c>
      <c r="X112" s="827" t="s">
        <v>224</v>
      </c>
      <c r="Y112" s="827" t="s">
        <v>150</v>
      </c>
      <c r="Z112" s="827" t="s">
        <v>150</v>
      </c>
      <c r="AA112" s="827"/>
      <c r="AB112" s="314"/>
      <c r="AC112" s="314"/>
      <c r="AD112" s="314" t="s">
        <v>150</v>
      </c>
      <c r="AE112" s="314"/>
      <c r="AF112" s="827"/>
      <c r="AG112" s="827" t="s">
        <v>225</v>
      </c>
      <c r="AH112" s="827"/>
      <c r="AI112" s="314" t="s">
        <v>221</v>
      </c>
      <c r="AJ112" s="314" t="s">
        <v>222</v>
      </c>
      <c r="AK112" s="314" t="s">
        <v>223</v>
      </c>
      <c r="AL112" s="314" t="s">
        <v>221</v>
      </c>
      <c r="AM112" s="314"/>
      <c r="AN112" s="314"/>
      <c r="AO112" s="314" t="s">
        <v>150</v>
      </c>
      <c r="AP112" s="314"/>
      <c r="AQ112" s="314" t="s">
        <v>149</v>
      </c>
      <c r="AR112" s="314" t="s">
        <v>225</v>
      </c>
      <c r="AS112" s="314" t="s">
        <v>226</v>
      </c>
      <c r="AT112" s="314" t="s">
        <v>223</v>
      </c>
      <c r="AU112" s="314" t="s">
        <v>222</v>
      </c>
      <c r="AV112" s="314" t="s">
        <v>221</v>
      </c>
      <c r="AW112" s="827"/>
      <c r="AX112" s="827"/>
      <c r="AY112" s="827"/>
      <c r="AZ112" s="827"/>
      <c r="BA112" s="827" t="s">
        <v>149</v>
      </c>
      <c r="BB112" s="827" t="s">
        <v>150</v>
      </c>
      <c r="BC112" s="827"/>
      <c r="BD112" s="827"/>
      <c r="BE112" s="314" t="s">
        <v>149</v>
      </c>
      <c r="BF112" s="314" t="s">
        <v>224</v>
      </c>
      <c r="BG112" s="827"/>
      <c r="BH112" s="827"/>
      <c r="BI112" s="827" t="s">
        <v>226</v>
      </c>
      <c r="BJ112" s="827"/>
      <c r="BK112" s="314" t="s">
        <v>222</v>
      </c>
      <c r="BL112" s="314" t="s">
        <v>221</v>
      </c>
      <c r="BM112" s="314" t="s">
        <v>222</v>
      </c>
      <c r="BN112" s="314" t="s">
        <v>223</v>
      </c>
      <c r="BO112" s="827"/>
      <c r="BP112" s="827"/>
      <c r="BQ112" s="827"/>
      <c r="BR112" s="827" t="s">
        <v>149</v>
      </c>
      <c r="BS112" s="314" t="s">
        <v>150</v>
      </c>
      <c r="BT112" s="314" t="s">
        <v>150</v>
      </c>
      <c r="BU112" s="827"/>
      <c r="BV112" s="827" t="s">
        <v>225</v>
      </c>
      <c r="BW112" s="827" t="s">
        <v>224</v>
      </c>
      <c r="BX112" s="827" t="s">
        <v>150</v>
      </c>
      <c r="BY112" s="827" t="s">
        <v>150</v>
      </c>
      <c r="BZ112" s="314"/>
      <c r="CA112" s="314"/>
      <c r="CB112" s="827" t="s">
        <v>149</v>
      </c>
      <c r="CC112" s="314" t="s">
        <v>149</v>
      </c>
      <c r="CD112" s="314" t="s">
        <v>225</v>
      </c>
      <c r="CE112" s="314" t="s">
        <v>224</v>
      </c>
      <c r="CF112" s="827"/>
      <c r="CG112" s="827"/>
      <c r="CH112" s="827"/>
      <c r="CI112" s="827" t="s">
        <v>150</v>
      </c>
      <c r="CJ112" s="827" t="s">
        <v>150</v>
      </c>
      <c r="CK112" s="827" t="s">
        <v>150</v>
      </c>
      <c r="CL112" s="827"/>
      <c r="CM112" s="827" t="s">
        <v>149</v>
      </c>
      <c r="CN112" s="827"/>
      <c r="CO112" s="827"/>
      <c r="CQ112" s="326"/>
      <c r="CR112" s="326"/>
    </row>
    <row r="113" spans="1:93" ht="14.1" customHeight="1">
      <c r="A113" s="452" t="s">
        <v>227</v>
      </c>
      <c r="B113" s="453">
        <v>700581</v>
      </c>
      <c r="C113" s="169"/>
      <c r="D113" s="314" t="s">
        <v>150</v>
      </c>
      <c r="E113" s="314"/>
      <c r="F113" s="314" t="s">
        <v>224</v>
      </c>
      <c r="G113" s="314" t="s">
        <v>225</v>
      </c>
      <c r="H113" s="314" t="s">
        <v>150</v>
      </c>
      <c r="I113" s="314"/>
      <c r="J113" s="314" t="s">
        <v>224</v>
      </c>
      <c r="K113" s="314" t="s">
        <v>150</v>
      </c>
      <c r="L113" s="314" t="s">
        <v>150</v>
      </c>
      <c r="M113" s="314"/>
      <c r="N113" s="314"/>
      <c r="O113" s="314"/>
      <c r="P113" s="314" t="s">
        <v>150</v>
      </c>
      <c r="Q113" s="314"/>
      <c r="R113" s="314"/>
      <c r="S113" s="314"/>
      <c r="T113" s="314" t="s">
        <v>149</v>
      </c>
      <c r="U113" s="314" t="s">
        <v>221</v>
      </c>
      <c r="V113" s="314" t="s">
        <v>222</v>
      </c>
      <c r="W113" s="314" t="s">
        <v>223</v>
      </c>
      <c r="X113" s="314" t="s">
        <v>222</v>
      </c>
      <c r="Y113" s="314"/>
      <c r="Z113" s="314"/>
      <c r="AA113" s="314"/>
      <c r="AB113" s="314" t="s">
        <v>149</v>
      </c>
      <c r="AC113" s="314" t="s">
        <v>223</v>
      </c>
      <c r="AD113" s="314" t="s">
        <v>222</v>
      </c>
      <c r="AE113" s="314" t="s">
        <v>221</v>
      </c>
      <c r="AF113" s="314"/>
      <c r="AG113" s="314"/>
      <c r="AH113" s="314"/>
      <c r="AI113" s="314" t="s">
        <v>149</v>
      </c>
      <c r="AJ113" s="314" t="s">
        <v>226</v>
      </c>
      <c r="AK113" s="314" t="s">
        <v>150</v>
      </c>
      <c r="AL113" s="314" t="s">
        <v>150</v>
      </c>
      <c r="AM113" s="314" t="s">
        <v>150</v>
      </c>
      <c r="AN113" s="314"/>
      <c r="AO113" s="314" t="s">
        <v>149</v>
      </c>
      <c r="AP113" s="314" t="s">
        <v>226</v>
      </c>
      <c r="AQ113" s="314"/>
      <c r="AR113" s="314"/>
      <c r="AS113" s="314" t="s">
        <v>149</v>
      </c>
      <c r="AT113" s="314" t="s">
        <v>221</v>
      </c>
      <c r="AU113" s="314" t="s">
        <v>222</v>
      </c>
      <c r="AV113" s="314" t="s">
        <v>223</v>
      </c>
      <c r="AW113" s="314"/>
      <c r="AX113" s="314"/>
      <c r="AY113" s="314"/>
      <c r="AZ113" s="314" t="s">
        <v>149</v>
      </c>
      <c r="BA113" s="314" t="s">
        <v>150</v>
      </c>
      <c r="BB113" s="314" t="s">
        <v>150</v>
      </c>
      <c r="BC113" s="314"/>
      <c r="BD113" s="314"/>
      <c r="BE113" s="314" t="s">
        <v>224</v>
      </c>
      <c r="BF113" s="314"/>
      <c r="BG113" s="314"/>
      <c r="BH113" s="314" t="s">
        <v>225</v>
      </c>
      <c r="BI113" s="314" t="s">
        <v>150</v>
      </c>
      <c r="BJ113" s="314"/>
      <c r="BK113" s="314"/>
      <c r="BL113" s="314" t="s">
        <v>223</v>
      </c>
      <c r="BM113" s="314" t="s">
        <v>221</v>
      </c>
      <c r="BN113" s="314"/>
      <c r="BO113" s="314"/>
      <c r="BP113" s="314" t="s">
        <v>150</v>
      </c>
      <c r="BQ113" s="314" t="s">
        <v>226</v>
      </c>
      <c r="BR113" s="314"/>
      <c r="BS113" s="314" t="s">
        <v>225</v>
      </c>
      <c r="BT113" s="314" t="s">
        <v>149</v>
      </c>
      <c r="BU113" s="314" t="s">
        <v>226</v>
      </c>
      <c r="BV113" s="314" t="s">
        <v>150</v>
      </c>
      <c r="BW113" s="314" t="s">
        <v>222</v>
      </c>
      <c r="BX113" s="314" t="s">
        <v>223</v>
      </c>
      <c r="BY113" s="314"/>
      <c r="BZ113" s="314"/>
      <c r="CA113" s="314"/>
      <c r="CB113" s="454"/>
      <c r="CC113" s="454"/>
      <c r="CD113" s="454"/>
      <c r="CE113" s="454"/>
      <c r="CF113" s="454"/>
      <c r="CG113" s="454"/>
      <c r="CH113" s="454"/>
      <c r="CI113" s="454"/>
      <c r="CJ113" s="454"/>
      <c r="CK113" s="454"/>
      <c r="CL113" s="454"/>
      <c r="CM113" s="454"/>
      <c r="CN113" s="454"/>
      <c r="CO113" s="454"/>
    </row>
    <row r="114" spans="1:93" ht="14.1" customHeight="1">
      <c r="A114" s="452" t="s">
        <v>228</v>
      </c>
      <c r="B114" s="453">
        <v>700540</v>
      </c>
      <c r="C114" s="169" t="s">
        <v>150</v>
      </c>
      <c r="D114" s="314"/>
      <c r="E114" s="314"/>
      <c r="F114" s="314"/>
      <c r="G114" s="314" t="s">
        <v>222</v>
      </c>
      <c r="H114" s="314" t="s">
        <v>221</v>
      </c>
      <c r="I114" s="314" t="s">
        <v>222</v>
      </c>
      <c r="J114" s="314" t="s">
        <v>223</v>
      </c>
      <c r="K114" s="314"/>
      <c r="L114" s="314"/>
      <c r="M114" s="314" t="s">
        <v>150</v>
      </c>
      <c r="N114" s="314"/>
      <c r="O114" s="314" t="s">
        <v>149</v>
      </c>
      <c r="P114" s="314" t="s">
        <v>224</v>
      </c>
      <c r="Q114" s="314" t="s">
        <v>226</v>
      </c>
      <c r="R114" s="314" t="s">
        <v>150</v>
      </c>
      <c r="S114" s="314"/>
      <c r="T114" s="314" t="s">
        <v>225</v>
      </c>
      <c r="U114" s="314" t="s">
        <v>150</v>
      </c>
      <c r="V114" s="314"/>
      <c r="W114" s="314"/>
      <c r="X114" s="314"/>
      <c r="Y114" s="314"/>
      <c r="Z114" s="314" t="s">
        <v>225</v>
      </c>
      <c r="AA114" s="314"/>
      <c r="AB114" s="314" t="s">
        <v>221</v>
      </c>
      <c r="AC114" s="314" t="s">
        <v>222</v>
      </c>
      <c r="AD114" s="314" t="s">
        <v>223</v>
      </c>
      <c r="AE114" s="314" t="s">
        <v>222</v>
      </c>
      <c r="AF114" s="314"/>
      <c r="AG114" s="314"/>
      <c r="AH114" s="314" t="s">
        <v>150</v>
      </c>
      <c r="AI114" s="314"/>
      <c r="AJ114" s="314" t="s">
        <v>149</v>
      </c>
      <c r="AK114" s="314" t="s">
        <v>149</v>
      </c>
      <c r="AL114" s="314" t="s">
        <v>149</v>
      </c>
      <c r="AM114" s="314" t="s">
        <v>150</v>
      </c>
      <c r="AN114" s="314" t="s">
        <v>226</v>
      </c>
      <c r="AO114" s="314"/>
      <c r="AP114" s="314" t="s">
        <v>149</v>
      </c>
      <c r="AQ114" s="314"/>
      <c r="AR114" s="314"/>
      <c r="AS114" s="314" t="s">
        <v>150</v>
      </c>
      <c r="AT114" s="314" t="s">
        <v>150</v>
      </c>
      <c r="AU114" s="314"/>
      <c r="AV114" s="314" t="s">
        <v>149</v>
      </c>
      <c r="AW114" s="314" t="s">
        <v>150</v>
      </c>
      <c r="AX114" s="314"/>
      <c r="AY114" s="314"/>
      <c r="AZ114" s="314" t="s">
        <v>150</v>
      </c>
      <c r="BA114" s="314" t="s">
        <v>150</v>
      </c>
      <c r="BB114" s="314"/>
      <c r="BC114" s="314" t="s">
        <v>149</v>
      </c>
      <c r="BD114" s="314" t="s">
        <v>224</v>
      </c>
      <c r="BE114" s="314"/>
      <c r="BF114" s="314"/>
      <c r="BG114" s="314" t="s">
        <v>150</v>
      </c>
      <c r="BH114" s="314" t="s">
        <v>221</v>
      </c>
      <c r="BI114" s="314" t="s">
        <v>222</v>
      </c>
      <c r="BJ114" s="314" t="s">
        <v>223</v>
      </c>
      <c r="BK114" s="314"/>
      <c r="BL114" s="170"/>
      <c r="BM114" s="314"/>
      <c r="BN114" s="454"/>
      <c r="BO114" s="454"/>
      <c r="BP114" s="454"/>
      <c r="BQ114" s="454"/>
      <c r="BR114" s="454"/>
      <c r="BS114" s="454"/>
      <c r="BT114" s="454"/>
      <c r="BU114" s="454"/>
      <c r="BV114" s="454"/>
      <c r="BW114" s="454"/>
      <c r="BX114" s="454"/>
      <c r="BY114" s="454"/>
      <c r="BZ114" s="454"/>
      <c r="CA114" s="454"/>
      <c r="CB114" s="314"/>
      <c r="CC114" s="314"/>
      <c r="CD114" s="314"/>
      <c r="CE114" s="314" t="s">
        <v>226</v>
      </c>
      <c r="CF114" s="314" t="s">
        <v>221</v>
      </c>
      <c r="CG114" s="314" t="s">
        <v>223</v>
      </c>
      <c r="CH114" s="314" t="s">
        <v>221</v>
      </c>
      <c r="CI114" s="314"/>
      <c r="CJ114" s="314"/>
      <c r="CK114" s="314" t="s">
        <v>229</v>
      </c>
      <c r="CL114" s="314"/>
      <c r="CM114" s="314" t="s">
        <v>224</v>
      </c>
      <c r="CN114" s="314" t="s">
        <v>150</v>
      </c>
      <c r="CO114" s="314" t="s">
        <v>150</v>
      </c>
    </row>
    <row r="115" spans="1:93" ht="14.1" customHeight="1">
      <c r="A115" s="452" t="s">
        <v>230</v>
      </c>
      <c r="B115" s="453">
        <v>646665</v>
      </c>
      <c r="C115" s="169" t="s">
        <v>149</v>
      </c>
      <c r="D115" s="314"/>
      <c r="E115" s="314"/>
      <c r="F115" s="314" t="s">
        <v>150</v>
      </c>
      <c r="G115" s="314" t="s">
        <v>150</v>
      </c>
      <c r="H115" s="314"/>
      <c r="I115" s="314" t="s">
        <v>223</v>
      </c>
      <c r="J115" s="314" t="s">
        <v>222</v>
      </c>
      <c r="K115" s="314"/>
      <c r="L115" s="314"/>
      <c r="M115" s="314"/>
      <c r="N115" s="314" t="s">
        <v>225</v>
      </c>
      <c r="O115" s="314" t="s">
        <v>226</v>
      </c>
      <c r="P115" s="314" t="s">
        <v>150</v>
      </c>
      <c r="Q115" s="314"/>
      <c r="R115" s="314"/>
      <c r="S115" s="314"/>
      <c r="T115" s="314" t="s">
        <v>226</v>
      </c>
      <c r="U115" s="314" t="s">
        <v>222</v>
      </c>
      <c r="V115" s="314" t="s">
        <v>221</v>
      </c>
      <c r="W115" s="314" t="s">
        <v>222</v>
      </c>
      <c r="X115" s="314" t="s">
        <v>223</v>
      </c>
      <c r="Y115" s="314"/>
      <c r="Z115" s="314"/>
      <c r="AA115" s="314" t="s">
        <v>150</v>
      </c>
      <c r="AB115" s="314" t="s">
        <v>226</v>
      </c>
      <c r="AC115" s="314" t="s">
        <v>150</v>
      </c>
      <c r="AD115" s="314"/>
      <c r="AE115" s="314" t="s">
        <v>149</v>
      </c>
      <c r="AF115" s="314" t="s">
        <v>149</v>
      </c>
      <c r="AG115" s="314"/>
      <c r="AH115" s="314"/>
      <c r="AI115" s="314"/>
      <c r="AJ115" s="314" t="s">
        <v>224</v>
      </c>
      <c r="AK115" s="314" t="s">
        <v>225</v>
      </c>
      <c r="AL115" s="314" t="s">
        <v>150</v>
      </c>
      <c r="AM115" s="314" t="s">
        <v>226</v>
      </c>
      <c r="AN115" s="314" t="s">
        <v>150</v>
      </c>
      <c r="AO115" s="314"/>
      <c r="AP115" s="314" t="s">
        <v>225</v>
      </c>
      <c r="AQ115" s="314"/>
      <c r="AR115" s="314"/>
      <c r="AS115" s="314"/>
      <c r="AT115" s="314" t="s">
        <v>149</v>
      </c>
      <c r="AU115" s="314" t="s">
        <v>149</v>
      </c>
      <c r="AV115" s="314" t="s">
        <v>226</v>
      </c>
      <c r="AW115" s="314" t="s">
        <v>150</v>
      </c>
      <c r="AX115" s="314"/>
      <c r="AY115" s="314"/>
      <c r="AZ115" s="314"/>
      <c r="BA115" s="314"/>
      <c r="BB115" s="314" t="s">
        <v>224</v>
      </c>
      <c r="BC115" s="314"/>
      <c r="BD115" s="314" t="s">
        <v>149</v>
      </c>
      <c r="BE115" s="314" t="s">
        <v>223</v>
      </c>
      <c r="BF115" s="314" t="s">
        <v>222</v>
      </c>
      <c r="BG115" s="314" t="s">
        <v>221</v>
      </c>
      <c r="BH115" s="314"/>
      <c r="BI115" s="314"/>
      <c r="BJ115" s="314" t="s">
        <v>150</v>
      </c>
      <c r="BK115" s="314" t="s">
        <v>150</v>
      </c>
      <c r="BL115" s="314"/>
      <c r="BM115" s="314" t="s">
        <v>149</v>
      </c>
      <c r="BN115" s="314" t="s">
        <v>224</v>
      </c>
      <c r="BO115" s="314"/>
      <c r="BP115" s="314" t="s">
        <v>225</v>
      </c>
      <c r="BQ115" s="314" t="s">
        <v>149</v>
      </c>
      <c r="BR115" s="314" t="s">
        <v>150</v>
      </c>
      <c r="BS115" s="314"/>
      <c r="BT115" s="314"/>
      <c r="BU115" s="314" t="s">
        <v>224</v>
      </c>
      <c r="BV115" s="314" t="s">
        <v>149</v>
      </c>
      <c r="BW115" s="314" t="s">
        <v>150</v>
      </c>
      <c r="BX115" s="314" t="s">
        <v>150</v>
      </c>
      <c r="BY115" s="314"/>
      <c r="BZ115" s="314"/>
      <c r="CA115" s="314"/>
      <c r="CB115" s="314" t="s">
        <v>150</v>
      </c>
      <c r="CC115" s="314" t="s">
        <v>150</v>
      </c>
      <c r="CD115" s="314" t="s">
        <v>223</v>
      </c>
      <c r="CE115" s="314" t="s">
        <v>222</v>
      </c>
      <c r="CF115" s="314"/>
      <c r="CG115" s="314"/>
      <c r="CH115" s="314"/>
      <c r="CI115" s="314" t="s">
        <v>224</v>
      </c>
      <c r="CJ115" s="314"/>
      <c r="CK115" s="314" t="s">
        <v>149</v>
      </c>
      <c r="CL115" s="314"/>
      <c r="CM115" s="314"/>
      <c r="CN115" s="314" t="s">
        <v>222</v>
      </c>
      <c r="CO115" s="314" t="s">
        <v>222</v>
      </c>
    </row>
    <row r="116" spans="1:93" ht="14.1" customHeight="1">
      <c r="A116" s="452" t="s">
        <v>231</v>
      </c>
      <c r="B116" s="453">
        <v>654598</v>
      </c>
      <c r="C116" s="169" t="s">
        <v>150</v>
      </c>
      <c r="D116" s="314" t="s">
        <v>226</v>
      </c>
      <c r="E116" s="314" t="s">
        <v>150</v>
      </c>
      <c r="F116" s="314" t="s">
        <v>150</v>
      </c>
      <c r="G116" s="314"/>
      <c r="H116" s="314"/>
      <c r="I116" s="314"/>
      <c r="J116" s="314" t="s">
        <v>222</v>
      </c>
      <c r="K116" s="314" t="s">
        <v>223</v>
      </c>
      <c r="L116" s="314"/>
      <c r="M116" s="314"/>
      <c r="N116" s="314"/>
      <c r="O116" s="314" t="s">
        <v>224</v>
      </c>
      <c r="P116" s="314" t="s">
        <v>150</v>
      </c>
      <c r="Q116" s="314" t="s">
        <v>223</v>
      </c>
      <c r="R116" s="314" t="s">
        <v>222</v>
      </c>
      <c r="S116" s="314" t="s">
        <v>221</v>
      </c>
      <c r="T116" s="314" t="s">
        <v>222</v>
      </c>
      <c r="U116" s="314"/>
      <c r="V116" s="314"/>
      <c r="W116" s="314"/>
      <c r="X116" s="314"/>
      <c r="Y116" s="314" t="s">
        <v>150</v>
      </c>
      <c r="Z116" s="314"/>
      <c r="AA116" s="314" t="s">
        <v>225</v>
      </c>
      <c r="AB116" s="314"/>
      <c r="AC116" s="314" t="s">
        <v>224</v>
      </c>
      <c r="AD116" s="314" t="s">
        <v>225</v>
      </c>
      <c r="AE116" s="314" t="s">
        <v>150</v>
      </c>
      <c r="AF116" s="314"/>
      <c r="AG116" s="314" t="s">
        <v>229</v>
      </c>
      <c r="AH116" s="314"/>
      <c r="AI116" s="314" t="s">
        <v>226</v>
      </c>
      <c r="AJ116" s="314"/>
      <c r="AK116" s="314" t="s">
        <v>149</v>
      </c>
      <c r="AL116" s="314" t="s">
        <v>149</v>
      </c>
      <c r="AM116" s="314"/>
      <c r="AN116" s="314" t="s">
        <v>229</v>
      </c>
      <c r="AO116" s="314"/>
      <c r="AP116" s="314"/>
      <c r="AQ116" s="314" t="s">
        <v>150</v>
      </c>
      <c r="AR116" s="314" t="s">
        <v>226</v>
      </c>
      <c r="AS116" s="314" t="s">
        <v>223</v>
      </c>
      <c r="AT116" s="314" t="s">
        <v>222</v>
      </c>
      <c r="AU116" s="314" t="s">
        <v>221</v>
      </c>
      <c r="AV116" s="314" t="s">
        <v>222</v>
      </c>
      <c r="AW116" s="314"/>
      <c r="AX116" s="314"/>
      <c r="AY116" s="314"/>
      <c r="AZ116" s="314" t="s">
        <v>225</v>
      </c>
      <c r="BA116" s="314" t="s">
        <v>224</v>
      </c>
      <c r="BB116" s="314"/>
      <c r="BC116" s="314"/>
      <c r="BD116" s="314"/>
      <c r="BE116" s="314" t="s">
        <v>150</v>
      </c>
      <c r="BF116" s="314" t="s">
        <v>150</v>
      </c>
      <c r="BG116" s="314" t="s">
        <v>226</v>
      </c>
      <c r="BH116" s="314" t="s">
        <v>150</v>
      </c>
      <c r="BI116" s="314"/>
      <c r="BJ116" s="314" t="s">
        <v>149</v>
      </c>
      <c r="BK116" s="314" t="s">
        <v>149</v>
      </c>
      <c r="BL116" s="314"/>
      <c r="BM116" s="314"/>
      <c r="BN116" s="314" t="s">
        <v>221</v>
      </c>
      <c r="BO116" s="314" t="s">
        <v>222</v>
      </c>
      <c r="BP116" s="314" t="s">
        <v>223</v>
      </c>
      <c r="BQ116" s="314" t="s">
        <v>222</v>
      </c>
      <c r="BR116" s="314"/>
      <c r="BS116" s="314"/>
      <c r="BT116" s="314"/>
      <c r="BU116" s="314"/>
      <c r="BV116" s="314" t="s">
        <v>150</v>
      </c>
      <c r="BW116" s="314" t="s">
        <v>150</v>
      </c>
      <c r="BX116" s="314"/>
      <c r="BY116" s="314"/>
      <c r="BZ116" s="314" t="s">
        <v>149</v>
      </c>
      <c r="CA116" s="314" t="s">
        <v>149</v>
      </c>
      <c r="CB116" s="314"/>
      <c r="CC116" s="314"/>
      <c r="CD116" s="314" t="s">
        <v>150</v>
      </c>
      <c r="CE116" s="314" t="s">
        <v>150</v>
      </c>
      <c r="CF116" s="314" t="s">
        <v>150</v>
      </c>
      <c r="CG116" s="314" t="s">
        <v>150</v>
      </c>
      <c r="CH116" s="314"/>
      <c r="CI116" s="314" t="s">
        <v>225</v>
      </c>
      <c r="CJ116" s="314" t="s">
        <v>224</v>
      </c>
      <c r="CK116" s="314" t="s">
        <v>149</v>
      </c>
      <c r="CL116" s="314" t="s">
        <v>149</v>
      </c>
      <c r="CM116" s="314"/>
      <c r="CN116" s="314"/>
      <c r="CO116" s="314"/>
    </row>
    <row r="117" spans="1:93" ht="14.1" customHeight="1">
      <c r="A117" s="452" t="s">
        <v>232</v>
      </c>
      <c r="B117" s="453">
        <v>700591</v>
      </c>
      <c r="C117" s="169" t="s">
        <v>149</v>
      </c>
      <c r="D117" s="314"/>
      <c r="E117" s="314" t="s">
        <v>149</v>
      </c>
      <c r="F117" s="314"/>
      <c r="G117" s="314" t="s">
        <v>221</v>
      </c>
      <c r="H117" s="314" t="s">
        <v>222</v>
      </c>
      <c r="I117" s="314"/>
      <c r="J117" s="314"/>
      <c r="K117" s="314"/>
      <c r="L117" s="314" t="s">
        <v>150</v>
      </c>
      <c r="M117" s="314" t="s">
        <v>150</v>
      </c>
      <c r="N117" s="314" t="s">
        <v>150</v>
      </c>
      <c r="O117" s="314"/>
      <c r="P117" s="314" t="s">
        <v>225</v>
      </c>
      <c r="Q117" s="314" t="s">
        <v>149</v>
      </c>
      <c r="R117" s="314"/>
      <c r="S117" s="314" t="s">
        <v>149</v>
      </c>
      <c r="T117" s="314" t="s">
        <v>150</v>
      </c>
      <c r="U117" s="314" t="s">
        <v>226</v>
      </c>
      <c r="V117" s="314"/>
      <c r="W117" s="314"/>
      <c r="X117" s="314"/>
      <c r="Y117" s="314"/>
      <c r="Z117" s="314"/>
      <c r="AA117" s="314" t="s">
        <v>149</v>
      </c>
      <c r="AB117" s="314" t="s">
        <v>223</v>
      </c>
      <c r="AC117" s="314" t="s">
        <v>222</v>
      </c>
      <c r="AD117" s="314" t="s">
        <v>221</v>
      </c>
      <c r="AE117" s="314" t="s">
        <v>222</v>
      </c>
      <c r="AF117" s="314"/>
      <c r="AG117" s="314"/>
      <c r="AH117" s="314"/>
      <c r="AI117" s="314" t="s">
        <v>224</v>
      </c>
      <c r="AJ117" s="314" t="s">
        <v>150</v>
      </c>
      <c r="AK117" s="314" t="s">
        <v>150</v>
      </c>
      <c r="AL117" s="314"/>
      <c r="AM117" s="314"/>
      <c r="AN117" s="314" t="s">
        <v>224</v>
      </c>
      <c r="AO117" s="314" t="s">
        <v>149</v>
      </c>
      <c r="AP117" s="314"/>
      <c r="AQ117" s="314" t="s">
        <v>225</v>
      </c>
      <c r="AR117" s="314" t="s">
        <v>149</v>
      </c>
      <c r="AS117" s="314" t="s">
        <v>150</v>
      </c>
      <c r="AT117" s="314" t="s">
        <v>150</v>
      </c>
      <c r="AU117" s="314" t="s">
        <v>150</v>
      </c>
      <c r="AV117" s="314"/>
      <c r="AW117" s="314"/>
      <c r="AX117" s="314"/>
      <c r="AY117" s="314" t="s">
        <v>224</v>
      </c>
      <c r="AZ117" s="314"/>
      <c r="BA117" s="314" t="s">
        <v>226</v>
      </c>
      <c r="BB117" s="314"/>
      <c r="BC117" s="314"/>
      <c r="BD117" s="314" t="s">
        <v>222</v>
      </c>
      <c r="BE117" s="314" t="s">
        <v>221</v>
      </c>
      <c r="BF117" s="314" t="s">
        <v>222</v>
      </c>
      <c r="BG117" s="314" t="s">
        <v>223</v>
      </c>
      <c r="BH117" s="314"/>
      <c r="BI117" s="314"/>
      <c r="BJ117" s="314" t="s">
        <v>150</v>
      </c>
      <c r="BK117" s="314"/>
      <c r="BL117" s="314" t="s">
        <v>224</v>
      </c>
      <c r="BM117" s="314" t="s">
        <v>150</v>
      </c>
      <c r="BN117" s="314"/>
      <c r="BO117" s="314" t="s">
        <v>225</v>
      </c>
      <c r="BP117" s="314" t="s">
        <v>149</v>
      </c>
      <c r="BQ117" s="314" t="s">
        <v>150</v>
      </c>
      <c r="BR117" s="314" t="s">
        <v>226</v>
      </c>
      <c r="BS117" s="314"/>
      <c r="BT117" s="314"/>
      <c r="BU117" s="314" t="s">
        <v>225</v>
      </c>
      <c r="BV117" s="314" t="s">
        <v>150</v>
      </c>
      <c r="BW117" s="314"/>
      <c r="BX117" s="314" t="s">
        <v>149</v>
      </c>
      <c r="BY117" s="314" t="s">
        <v>149</v>
      </c>
      <c r="BZ117" s="314"/>
      <c r="CA117" s="314"/>
      <c r="CB117" s="314" t="s">
        <v>150</v>
      </c>
      <c r="CC117" s="314" t="s">
        <v>223</v>
      </c>
      <c r="CD117" s="314" t="s">
        <v>222</v>
      </c>
      <c r="CE117" s="314" t="s">
        <v>221</v>
      </c>
      <c r="CF117" s="314"/>
      <c r="CG117" s="314"/>
      <c r="CH117" s="314"/>
      <c r="CI117" s="314" t="s">
        <v>226</v>
      </c>
      <c r="CJ117" s="314" t="s">
        <v>150</v>
      </c>
      <c r="CK117" s="314" t="s">
        <v>150</v>
      </c>
      <c r="CL117" s="314"/>
      <c r="CM117" s="314" t="s">
        <v>149</v>
      </c>
      <c r="CN117" s="314"/>
      <c r="CO117" s="314"/>
    </row>
    <row r="118" spans="1:93" ht="14.1" customHeight="1">
      <c r="A118" s="452" t="s">
        <v>233</v>
      </c>
      <c r="B118" s="453">
        <v>700648</v>
      </c>
      <c r="C118" s="8" t="s">
        <v>222</v>
      </c>
      <c r="D118" s="314" t="s">
        <v>221</v>
      </c>
      <c r="E118" s="314" t="s">
        <v>222</v>
      </c>
      <c r="F118" s="314" t="s">
        <v>223</v>
      </c>
      <c r="G118" s="314"/>
      <c r="H118" s="314"/>
      <c r="I118" s="314"/>
      <c r="J118" s="314" t="s">
        <v>150</v>
      </c>
      <c r="K118" s="314" t="s">
        <v>222</v>
      </c>
      <c r="L118" s="314"/>
      <c r="M118" s="314"/>
      <c r="N118" s="314"/>
      <c r="O118" s="314" t="s">
        <v>150</v>
      </c>
      <c r="P118" s="314" t="s">
        <v>226</v>
      </c>
      <c r="Q118" s="314"/>
      <c r="R118" s="314" t="s">
        <v>224</v>
      </c>
      <c r="S118" s="314"/>
      <c r="T118" s="314"/>
      <c r="U118" s="314" t="s">
        <v>150</v>
      </c>
      <c r="V118" s="314" t="s">
        <v>223</v>
      </c>
      <c r="W118" s="314" t="s">
        <v>222</v>
      </c>
      <c r="X118" s="314" t="s">
        <v>221</v>
      </c>
      <c r="Y118" s="314"/>
      <c r="Z118" s="314"/>
      <c r="AA118" s="314" t="s">
        <v>150</v>
      </c>
      <c r="AB118" s="314"/>
      <c r="AC118" s="314" t="s">
        <v>150</v>
      </c>
      <c r="AD118" s="314" t="s">
        <v>226</v>
      </c>
      <c r="AE118" s="314" t="s">
        <v>150</v>
      </c>
      <c r="AF118" s="314" t="s">
        <v>150</v>
      </c>
      <c r="AG118" s="314"/>
      <c r="AH118" s="314" t="s">
        <v>225</v>
      </c>
      <c r="AI118" s="314" t="s">
        <v>149</v>
      </c>
      <c r="AJ118" s="314"/>
      <c r="AK118" s="314"/>
      <c r="AL118" s="314"/>
      <c r="AM118" s="314" t="s">
        <v>221</v>
      </c>
      <c r="AN118" s="314" t="s">
        <v>222</v>
      </c>
      <c r="AO118" s="314"/>
      <c r="AP118" s="314"/>
      <c r="AQ118" s="314" t="s">
        <v>226</v>
      </c>
      <c r="AR118" s="314" t="s">
        <v>150</v>
      </c>
      <c r="AS118" s="314"/>
      <c r="AT118" s="314" t="s">
        <v>225</v>
      </c>
      <c r="AU118" s="314" t="s">
        <v>224</v>
      </c>
      <c r="AV118" s="314"/>
      <c r="AW118" s="314"/>
      <c r="AX118" s="314" t="s">
        <v>222</v>
      </c>
      <c r="AY118" s="314" t="s">
        <v>222</v>
      </c>
      <c r="AZ118" s="314"/>
      <c r="BA118" s="314"/>
      <c r="BB118" s="314" t="s">
        <v>226</v>
      </c>
      <c r="BC118" s="314" t="s">
        <v>150</v>
      </c>
      <c r="BD118" s="314"/>
      <c r="BE118" s="314" t="s">
        <v>225</v>
      </c>
      <c r="BF118" s="314" t="s">
        <v>149</v>
      </c>
      <c r="BG118" s="314" t="s">
        <v>225</v>
      </c>
      <c r="BH118" s="314" t="s">
        <v>150</v>
      </c>
      <c r="BI118" s="314"/>
      <c r="BJ118" s="314"/>
      <c r="BK118" s="314"/>
      <c r="BL118" s="314" t="s">
        <v>225</v>
      </c>
      <c r="BM118" s="314" t="s">
        <v>224</v>
      </c>
      <c r="BN118" s="314" t="s">
        <v>150</v>
      </c>
      <c r="BO118" s="314" t="s">
        <v>150</v>
      </c>
      <c r="BP118" s="314"/>
      <c r="BQ118" s="314" t="s">
        <v>149</v>
      </c>
      <c r="BR118" s="314" t="s">
        <v>149</v>
      </c>
      <c r="BS118" s="314"/>
      <c r="BT118" s="314"/>
      <c r="BU118" s="454"/>
      <c r="BV118" s="454"/>
      <c r="BW118" s="454"/>
      <c r="BX118" s="454"/>
      <c r="BY118" s="454"/>
      <c r="BZ118" s="454"/>
      <c r="CA118" s="454"/>
      <c r="CB118" s="454"/>
      <c r="CC118" s="454"/>
      <c r="CD118" s="454"/>
      <c r="CE118" s="454"/>
      <c r="CF118" s="454"/>
      <c r="CG118" s="454"/>
      <c r="CH118" s="454"/>
      <c r="CI118" s="454"/>
      <c r="CJ118" s="454"/>
      <c r="CK118" s="454"/>
      <c r="CL118" s="454"/>
      <c r="CM118" s="454"/>
      <c r="CN118" s="454"/>
      <c r="CO118" s="454"/>
    </row>
    <row r="119" spans="1:93" ht="14.1" customHeight="1">
      <c r="A119" s="452" t="s">
        <v>234</v>
      </c>
      <c r="B119" s="453">
        <v>700653</v>
      </c>
      <c r="C119" s="8" t="s">
        <v>221</v>
      </c>
      <c r="D119" s="314"/>
      <c r="E119" s="314"/>
      <c r="F119" s="314"/>
      <c r="G119" s="314"/>
      <c r="H119" s="314" t="s">
        <v>150</v>
      </c>
      <c r="I119" s="314" t="s">
        <v>226</v>
      </c>
      <c r="J119" s="314" t="s">
        <v>150</v>
      </c>
      <c r="K119" s="314" t="s">
        <v>222</v>
      </c>
      <c r="L119" s="314" t="s">
        <v>221</v>
      </c>
      <c r="M119" s="314" t="s">
        <v>222</v>
      </c>
      <c r="N119" s="314"/>
      <c r="O119" s="314"/>
      <c r="P119" s="314"/>
      <c r="Q119" s="314"/>
      <c r="R119" s="314"/>
      <c r="S119" s="314" t="s">
        <v>225</v>
      </c>
      <c r="T119" s="314"/>
      <c r="U119" s="314" t="s">
        <v>223</v>
      </c>
      <c r="V119" s="314" t="s">
        <v>222</v>
      </c>
      <c r="W119" s="314" t="s">
        <v>221</v>
      </c>
      <c r="X119" s="314" t="s">
        <v>222</v>
      </c>
      <c r="Y119" s="314"/>
      <c r="Z119" s="314"/>
      <c r="AA119" s="314"/>
      <c r="AB119" s="314" t="s">
        <v>150</v>
      </c>
      <c r="AC119" s="314" t="s">
        <v>226</v>
      </c>
      <c r="AD119" s="314" t="s">
        <v>150</v>
      </c>
      <c r="AE119" s="314"/>
      <c r="AF119" s="314" t="s">
        <v>225</v>
      </c>
      <c r="AG119" s="314" t="s">
        <v>224</v>
      </c>
      <c r="AH119" s="314" t="s">
        <v>150</v>
      </c>
      <c r="AI119" s="314" t="s">
        <v>150</v>
      </c>
      <c r="AJ119" s="314"/>
      <c r="AK119" s="314"/>
      <c r="AL119" s="314"/>
      <c r="AM119" s="314" t="s">
        <v>225</v>
      </c>
      <c r="AN119" s="314" t="s">
        <v>150</v>
      </c>
      <c r="AO119" s="314"/>
      <c r="AP119" s="314"/>
      <c r="AQ119" s="314" t="s">
        <v>149</v>
      </c>
      <c r="AR119" s="314" t="s">
        <v>224</v>
      </c>
      <c r="AS119" s="314"/>
      <c r="AT119" s="314" t="s">
        <v>150</v>
      </c>
      <c r="AU119" s="314" t="s">
        <v>150</v>
      </c>
      <c r="AV119" s="314"/>
      <c r="AW119" s="314"/>
      <c r="AX119" s="314" t="s">
        <v>224</v>
      </c>
      <c r="AY119" s="314" t="s">
        <v>225</v>
      </c>
      <c r="AZ119" s="314" t="s">
        <v>149</v>
      </c>
      <c r="BA119" s="314"/>
      <c r="BB119" s="314" t="s">
        <v>149</v>
      </c>
      <c r="BC119" s="314" t="s">
        <v>225</v>
      </c>
      <c r="BD119" s="314" t="s">
        <v>150</v>
      </c>
      <c r="BE119" s="314"/>
      <c r="BF119" s="314"/>
      <c r="BG119" s="454"/>
      <c r="BH119" s="454"/>
      <c r="BI119" s="454"/>
      <c r="BJ119" s="454"/>
      <c r="BK119" s="454"/>
      <c r="BL119" s="454"/>
      <c r="BM119" s="454"/>
      <c r="BN119" s="454"/>
      <c r="BO119" s="454"/>
      <c r="BP119" s="454"/>
      <c r="BQ119" s="454"/>
      <c r="BR119" s="454"/>
      <c r="BS119" s="454"/>
      <c r="BT119" s="454"/>
      <c r="BU119" s="314"/>
      <c r="BV119" s="314"/>
      <c r="BW119" s="314"/>
      <c r="BX119" s="314" t="s">
        <v>224</v>
      </c>
      <c r="BY119" s="314" t="s">
        <v>222</v>
      </c>
      <c r="BZ119" s="314" t="s">
        <v>221</v>
      </c>
      <c r="CA119" s="314" t="s">
        <v>222</v>
      </c>
      <c r="CB119" s="314"/>
      <c r="CC119" s="314"/>
      <c r="CD119" s="314" t="s">
        <v>150</v>
      </c>
      <c r="CE119" s="314" t="s">
        <v>150</v>
      </c>
      <c r="CF119" s="314" t="s">
        <v>150</v>
      </c>
      <c r="CG119" s="314"/>
      <c r="CH119" s="314" t="s">
        <v>149</v>
      </c>
      <c r="CI119" s="314" t="s">
        <v>149</v>
      </c>
      <c r="CJ119" s="314" t="s">
        <v>222</v>
      </c>
      <c r="CK119" s="314" t="s">
        <v>223</v>
      </c>
      <c r="CL119" s="314"/>
      <c r="CM119" s="314"/>
      <c r="CN119" s="314" t="s">
        <v>150</v>
      </c>
      <c r="CO119" s="314"/>
    </row>
    <row r="120" spans="1:93" ht="14.1" customHeight="1">
      <c r="A120" s="452" t="s">
        <v>235</v>
      </c>
      <c r="B120" s="453">
        <v>700604</v>
      </c>
      <c r="C120" s="169"/>
      <c r="D120" s="314"/>
      <c r="E120" s="314"/>
      <c r="F120" s="314" t="s">
        <v>149</v>
      </c>
      <c r="G120" s="314" t="s">
        <v>223</v>
      </c>
      <c r="H120" s="314" t="s">
        <v>222</v>
      </c>
      <c r="I120" s="314" t="s">
        <v>221</v>
      </c>
      <c r="J120" s="314"/>
      <c r="K120" s="314"/>
      <c r="L120" s="314" t="s">
        <v>150</v>
      </c>
      <c r="M120" s="314"/>
      <c r="N120" s="314" t="s">
        <v>149</v>
      </c>
      <c r="O120" s="314" t="s">
        <v>150</v>
      </c>
      <c r="P120" s="314" t="s">
        <v>150</v>
      </c>
      <c r="Q120" s="314"/>
      <c r="R120" s="314" t="s">
        <v>225</v>
      </c>
      <c r="S120" s="314" t="s">
        <v>224</v>
      </c>
      <c r="T120" s="314"/>
      <c r="U120" s="314"/>
      <c r="V120" s="314" t="s">
        <v>150</v>
      </c>
      <c r="W120" s="314" t="s">
        <v>150</v>
      </c>
      <c r="X120" s="314" t="s">
        <v>150</v>
      </c>
      <c r="Y120" s="314" t="s">
        <v>150</v>
      </c>
      <c r="Z120" s="314"/>
      <c r="AA120" s="314" t="s">
        <v>224</v>
      </c>
      <c r="AB120" s="314" t="s">
        <v>150</v>
      </c>
      <c r="AC120" s="314"/>
      <c r="AD120" s="314"/>
      <c r="AE120" s="314" t="s">
        <v>229</v>
      </c>
      <c r="AF120" s="314" t="s">
        <v>223</v>
      </c>
      <c r="AG120" s="314" t="s">
        <v>221</v>
      </c>
      <c r="AH120" s="314" t="s">
        <v>222</v>
      </c>
      <c r="AI120" s="314"/>
      <c r="AJ120" s="314"/>
      <c r="AK120" s="314"/>
      <c r="AL120" s="454"/>
      <c r="AM120" s="454"/>
      <c r="AN120" s="454"/>
      <c r="AO120" s="454"/>
      <c r="AP120" s="454"/>
      <c r="AQ120" s="454"/>
      <c r="AR120" s="454"/>
      <c r="AS120" s="454"/>
      <c r="AT120" s="454"/>
      <c r="AU120" s="454"/>
      <c r="AV120" s="454"/>
      <c r="AW120" s="454"/>
      <c r="AX120" s="454"/>
      <c r="AY120" s="454"/>
      <c r="AZ120" s="314"/>
      <c r="BA120" s="314"/>
      <c r="BB120" s="314" t="s">
        <v>150</v>
      </c>
      <c r="BC120" s="314"/>
      <c r="BD120" s="314" t="s">
        <v>221</v>
      </c>
      <c r="BE120" s="314" t="s">
        <v>222</v>
      </c>
      <c r="BF120" s="314" t="s">
        <v>223</v>
      </c>
      <c r="BG120" s="314" t="s">
        <v>222</v>
      </c>
      <c r="BH120" s="314"/>
      <c r="BI120" s="314"/>
      <c r="BJ120" s="314" t="s">
        <v>226</v>
      </c>
      <c r="BK120" s="314"/>
      <c r="BL120" s="314" t="s">
        <v>150</v>
      </c>
      <c r="BM120" s="314" t="s">
        <v>226</v>
      </c>
      <c r="BN120" s="314"/>
      <c r="BO120" s="314" t="s">
        <v>226</v>
      </c>
      <c r="BP120" s="314"/>
      <c r="BQ120" s="314" t="s">
        <v>225</v>
      </c>
      <c r="BR120" s="314"/>
      <c r="BS120" s="314" t="s">
        <v>224</v>
      </c>
      <c r="BT120" s="314" t="s">
        <v>225</v>
      </c>
      <c r="BU120" s="314" t="s">
        <v>150</v>
      </c>
      <c r="BV120" s="314" t="s">
        <v>226</v>
      </c>
      <c r="BW120" s="314"/>
      <c r="BX120" s="314" t="s">
        <v>149</v>
      </c>
      <c r="BY120" s="314" t="s">
        <v>149</v>
      </c>
      <c r="BZ120" s="314"/>
      <c r="CA120" s="314"/>
      <c r="CB120" s="314" t="s">
        <v>225</v>
      </c>
      <c r="CC120" s="314" t="s">
        <v>221</v>
      </c>
      <c r="CD120" s="314" t="s">
        <v>222</v>
      </c>
      <c r="CE120" s="314" t="s">
        <v>223</v>
      </c>
      <c r="CF120" s="314"/>
      <c r="CG120" s="314"/>
      <c r="CH120" s="314"/>
      <c r="CI120" s="314"/>
      <c r="CJ120" s="314" t="s">
        <v>149</v>
      </c>
      <c r="CK120" s="314"/>
      <c r="CL120" s="314" t="s">
        <v>224</v>
      </c>
      <c r="CM120" s="314" t="s">
        <v>150</v>
      </c>
      <c r="CN120" s="314"/>
      <c r="CO120" s="314" t="s">
        <v>150</v>
      </c>
    </row>
    <row r="121" spans="1:93" ht="14.1" customHeight="1">
      <c r="A121" s="452" t="s">
        <v>236</v>
      </c>
      <c r="B121" s="453">
        <v>655170</v>
      </c>
      <c r="C121" s="8" t="s">
        <v>223</v>
      </c>
      <c r="D121" s="314" t="s">
        <v>222</v>
      </c>
      <c r="E121" s="314" t="s">
        <v>221</v>
      </c>
      <c r="F121" s="314" t="s">
        <v>222</v>
      </c>
      <c r="G121" s="314"/>
      <c r="H121" s="314"/>
      <c r="I121" s="314"/>
      <c r="J121" s="314" t="s">
        <v>150</v>
      </c>
      <c r="K121" s="314"/>
      <c r="L121" s="314"/>
      <c r="M121" s="314"/>
      <c r="N121" s="314" t="s">
        <v>224</v>
      </c>
      <c r="O121" s="314" t="s">
        <v>149</v>
      </c>
      <c r="P121" s="314" t="s">
        <v>149</v>
      </c>
      <c r="Q121" s="314" t="s">
        <v>150</v>
      </c>
      <c r="R121" s="314" t="s">
        <v>150</v>
      </c>
      <c r="S121" s="314"/>
      <c r="T121" s="314" t="s">
        <v>224</v>
      </c>
      <c r="U121" s="314" t="s">
        <v>149</v>
      </c>
      <c r="V121" s="314"/>
      <c r="W121" s="314"/>
      <c r="X121" s="454"/>
      <c r="Y121" s="454"/>
      <c r="Z121" s="454"/>
      <c r="AA121" s="454"/>
      <c r="AB121" s="454"/>
      <c r="AC121" s="454"/>
      <c r="AD121" s="454"/>
      <c r="AE121" s="454"/>
      <c r="AF121" s="454"/>
      <c r="AG121" s="454"/>
      <c r="AH121" s="454"/>
      <c r="AI121" s="454"/>
      <c r="AJ121" s="454"/>
      <c r="AK121" s="454"/>
      <c r="AL121" s="454"/>
      <c r="AM121" s="454"/>
      <c r="AN121" s="454"/>
      <c r="AO121" s="454"/>
      <c r="AP121" s="454"/>
      <c r="AQ121" s="454"/>
      <c r="AR121" s="454"/>
      <c r="AS121" s="314"/>
      <c r="AT121" s="314"/>
      <c r="AU121" s="314" t="s">
        <v>226</v>
      </c>
      <c r="AV121" s="314"/>
      <c r="AW121" s="314" t="s">
        <v>223</v>
      </c>
      <c r="AX121" s="314" t="s">
        <v>222</v>
      </c>
      <c r="AY121" s="314" t="s">
        <v>221</v>
      </c>
      <c r="AZ121" s="314" t="s">
        <v>222</v>
      </c>
      <c r="BA121" s="314"/>
      <c r="BB121" s="314"/>
      <c r="BC121" s="314" t="s">
        <v>150</v>
      </c>
      <c r="BD121" s="314"/>
      <c r="BE121" s="314" t="s">
        <v>150</v>
      </c>
      <c r="BF121" s="314" t="s">
        <v>150</v>
      </c>
      <c r="BG121" s="314" t="s">
        <v>150</v>
      </c>
      <c r="BH121" s="314" t="s">
        <v>223</v>
      </c>
      <c r="BI121" s="314" t="s">
        <v>222</v>
      </c>
      <c r="BJ121" s="314" t="s">
        <v>221</v>
      </c>
      <c r="BK121" s="314"/>
      <c r="BL121" s="314"/>
      <c r="BM121" s="314"/>
      <c r="BN121" s="314" t="s">
        <v>150</v>
      </c>
      <c r="BO121" s="314"/>
      <c r="BP121" s="314" t="s">
        <v>224</v>
      </c>
      <c r="BQ121" s="314"/>
      <c r="BR121" s="314"/>
      <c r="BS121" s="314" t="s">
        <v>150</v>
      </c>
      <c r="BT121" s="314" t="s">
        <v>226</v>
      </c>
      <c r="BU121" s="314" t="s">
        <v>150</v>
      </c>
      <c r="BV121" s="314"/>
      <c r="BW121" s="314" t="s">
        <v>150</v>
      </c>
      <c r="BX121" s="314"/>
      <c r="BY121" s="314"/>
      <c r="BZ121" s="314" t="s">
        <v>225</v>
      </c>
      <c r="CA121" s="314" t="s">
        <v>224</v>
      </c>
      <c r="CB121" s="314" t="s">
        <v>226</v>
      </c>
      <c r="CC121" s="314" t="s">
        <v>222</v>
      </c>
      <c r="CD121" s="314" t="s">
        <v>221</v>
      </c>
      <c r="CE121" s="314" t="s">
        <v>222</v>
      </c>
      <c r="CF121" s="314"/>
      <c r="CG121" s="314"/>
      <c r="CH121" s="314"/>
      <c r="CI121" s="314" t="s">
        <v>150</v>
      </c>
      <c r="CJ121" s="314"/>
      <c r="CK121" s="314"/>
      <c r="CL121" s="314" t="s">
        <v>225</v>
      </c>
      <c r="CM121" s="314"/>
      <c r="CN121" s="314" t="s">
        <v>224</v>
      </c>
      <c r="CO121" s="314" t="s">
        <v>225</v>
      </c>
    </row>
    <row r="122" spans="1:93" ht="14.1" customHeight="1">
      <c r="A122" s="452" t="s">
        <v>237</v>
      </c>
      <c r="B122" s="453">
        <v>703000</v>
      </c>
      <c r="C122" s="169"/>
      <c r="D122" s="314" t="s">
        <v>150</v>
      </c>
      <c r="E122" s="314" t="s">
        <v>226</v>
      </c>
      <c r="F122" s="314"/>
      <c r="G122" s="314"/>
      <c r="H122" s="314" t="s">
        <v>149</v>
      </c>
      <c r="I122" s="314" t="s">
        <v>225</v>
      </c>
      <c r="J122" s="314" t="s">
        <v>149</v>
      </c>
      <c r="K122" s="314" t="s">
        <v>224</v>
      </c>
      <c r="L122" s="314"/>
      <c r="M122" s="314"/>
      <c r="N122" s="314"/>
      <c r="O122" s="314"/>
      <c r="P122" s="314" t="s">
        <v>222</v>
      </c>
      <c r="Q122" s="314" t="s">
        <v>221</v>
      </c>
      <c r="R122" s="314" t="s">
        <v>222</v>
      </c>
      <c r="S122" s="314" t="s">
        <v>223</v>
      </c>
      <c r="T122" s="314"/>
      <c r="U122" s="314"/>
      <c r="V122" s="314" t="s">
        <v>150</v>
      </c>
      <c r="W122" s="314" t="s">
        <v>150</v>
      </c>
      <c r="X122" s="314"/>
      <c r="Y122" s="314" t="s">
        <v>225</v>
      </c>
      <c r="Z122" s="314" t="s">
        <v>149</v>
      </c>
      <c r="AA122" s="314" t="s">
        <v>149</v>
      </c>
      <c r="AB122" s="314" t="s">
        <v>150</v>
      </c>
      <c r="AC122" s="314"/>
      <c r="AD122" s="314"/>
      <c r="AE122" s="314"/>
      <c r="AF122" s="314" t="s">
        <v>229</v>
      </c>
      <c r="AG122" s="314" t="s">
        <v>226</v>
      </c>
      <c r="AH122" s="314"/>
      <c r="AI122" s="314"/>
      <c r="AJ122" s="314" t="s">
        <v>150</v>
      </c>
      <c r="AK122" s="314" t="s">
        <v>150</v>
      </c>
      <c r="AL122" s="314"/>
      <c r="AM122" s="314"/>
      <c r="AN122" s="314" t="s">
        <v>150</v>
      </c>
      <c r="AO122" s="314"/>
      <c r="AP122" s="314" t="s">
        <v>221</v>
      </c>
      <c r="AQ122" s="314" t="s">
        <v>223</v>
      </c>
      <c r="AR122" s="314" t="s">
        <v>222</v>
      </c>
      <c r="AS122" s="314" t="s">
        <v>221</v>
      </c>
      <c r="AT122" s="314"/>
      <c r="AU122" s="314"/>
      <c r="AV122" s="314"/>
      <c r="AW122" s="314" t="s">
        <v>226</v>
      </c>
      <c r="AX122" s="314" t="s">
        <v>150</v>
      </c>
      <c r="AY122" s="314" t="s">
        <v>150</v>
      </c>
      <c r="AZ122" s="314"/>
      <c r="BA122" s="314" t="s">
        <v>225</v>
      </c>
      <c r="BB122" s="314" t="s">
        <v>149</v>
      </c>
      <c r="BC122" s="314" t="s">
        <v>224</v>
      </c>
      <c r="BD122" s="314" t="s">
        <v>150</v>
      </c>
      <c r="BE122" s="314"/>
      <c r="BF122" s="314"/>
      <c r="BG122" s="314" t="s">
        <v>149</v>
      </c>
      <c r="BH122" s="314" t="s">
        <v>222</v>
      </c>
      <c r="BI122" s="314" t="s">
        <v>221</v>
      </c>
      <c r="BJ122" s="314" t="s">
        <v>222</v>
      </c>
      <c r="BK122" s="314"/>
      <c r="BL122" s="314"/>
      <c r="BM122" s="314"/>
      <c r="BN122" s="314" t="s">
        <v>149</v>
      </c>
      <c r="BO122" s="314" t="s">
        <v>150</v>
      </c>
      <c r="BP122" s="314" t="s">
        <v>150</v>
      </c>
      <c r="BQ122" s="314"/>
      <c r="BR122" s="314" t="s">
        <v>225</v>
      </c>
      <c r="BS122" s="314"/>
      <c r="BT122" s="314"/>
      <c r="BU122" s="314" t="s">
        <v>149</v>
      </c>
      <c r="BV122" s="314"/>
      <c r="BW122" s="314"/>
      <c r="BX122" s="314"/>
      <c r="BY122" s="314" t="s">
        <v>224</v>
      </c>
      <c r="BZ122" s="314" t="s">
        <v>150</v>
      </c>
      <c r="CA122" s="314" t="s">
        <v>150</v>
      </c>
      <c r="CB122" s="314"/>
      <c r="CC122" s="314" t="s">
        <v>149</v>
      </c>
      <c r="CD122" s="314" t="s">
        <v>224</v>
      </c>
      <c r="CE122" s="314" t="s">
        <v>150</v>
      </c>
      <c r="CF122" s="314" t="s">
        <v>150</v>
      </c>
      <c r="CG122" s="314"/>
      <c r="CH122" s="314"/>
      <c r="CI122" s="314" t="s">
        <v>150</v>
      </c>
      <c r="CJ122" s="314" t="s">
        <v>221</v>
      </c>
      <c r="CK122" s="314" t="s">
        <v>222</v>
      </c>
      <c r="CL122" s="314" t="s">
        <v>223</v>
      </c>
      <c r="CM122" s="314"/>
      <c r="CN122" s="314"/>
      <c r="CO122" s="314"/>
    </row>
    <row r="123" spans="1:93" ht="14.1" customHeight="1">
      <c r="A123" s="452" t="s">
        <v>238</v>
      </c>
      <c r="B123" s="453">
        <v>702770</v>
      </c>
      <c r="C123" s="169"/>
      <c r="D123" s="314" t="s">
        <v>224</v>
      </c>
      <c r="E123" s="314" t="s">
        <v>149</v>
      </c>
      <c r="F123" s="314" t="s">
        <v>150</v>
      </c>
      <c r="G123" s="314" t="s">
        <v>150</v>
      </c>
      <c r="H123" s="314"/>
      <c r="I123" s="314"/>
      <c r="J123" s="314"/>
      <c r="K123" s="314"/>
      <c r="L123" s="314" t="s">
        <v>149</v>
      </c>
      <c r="M123" s="314"/>
      <c r="N123" s="314" t="s">
        <v>221</v>
      </c>
      <c r="O123" s="314" t="s">
        <v>222</v>
      </c>
      <c r="P123" s="314" t="s">
        <v>223</v>
      </c>
      <c r="Q123" s="314" t="s">
        <v>222</v>
      </c>
      <c r="R123" s="314"/>
      <c r="S123" s="314"/>
      <c r="T123" s="314"/>
      <c r="U123" s="314" t="s">
        <v>225</v>
      </c>
      <c r="V123" s="314" t="s">
        <v>226</v>
      </c>
      <c r="W123" s="314" t="s">
        <v>150</v>
      </c>
      <c r="X123" s="314"/>
      <c r="Y123" s="314"/>
      <c r="Z123" s="314" t="s">
        <v>150</v>
      </c>
      <c r="AA123" s="314"/>
      <c r="AB123" s="314" t="s">
        <v>225</v>
      </c>
      <c r="AC123" s="314" t="s">
        <v>149</v>
      </c>
      <c r="AD123" s="314" t="s">
        <v>224</v>
      </c>
      <c r="AE123" s="314" t="s">
        <v>150</v>
      </c>
      <c r="AF123" s="314" t="s">
        <v>222</v>
      </c>
      <c r="AG123" s="314" t="s">
        <v>223</v>
      </c>
      <c r="AH123" s="314" t="s">
        <v>221</v>
      </c>
      <c r="AI123" s="314"/>
      <c r="AJ123" s="314"/>
      <c r="AK123" s="314"/>
      <c r="AL123" s="314" t="s">
        <v>224</v>
      </c>
      <c r="AM123" s="314" t="s">
        <v>150</v>
      </c>
      <c r="AN123" s="314" t="s">
        <v>150</v>
      </c>
      <c r="AO123" s="314"/>
      <c r="AP123" s="314" t="s">
        <v>150</v>
      </c>
      <c r="AQ123" s="314"/>
      <c r="AR123" s="314"/>
      <c r="AS123" s="314"/>
      <c r="AT123" s="314"/>
      <c r="AU123" s="314" t="s">
        <v>225</v>
      </c>
      <c r="AV123" s="314"/>
      <c r="AW123" s="314" t="s">
        <v>221</v>
      </c>
      <c r="AX123" s="314" t="s">
        <v>222</v>
      </c>
      <c r="AY123" s="314" t="s">
        <v>223</v>
      </c>
      <c r="AZ123" s="314" t="s">
        <v>222</v>
      </c>
      <c r="BA123" s="314"/>
      <c r="BB123" s="314"/>
      <c r="BC123" s="314"/>
      <c r="BD123" s="314" t="s">
        <v>225</v>
      </c>
      <c r="BE123" s="314" t="s">
        <v>150</v>
      </c>
      <c r="BF123" s="314" t="s">
        <v>226</v>
      </c>
      <c r="BG123" s="314"/>
      <c r="BH123" s="314" t="s">
        <v>149</v>
      </c>
      <c r="BI123" s="314" t="s">
        <v>224</v>
      </c>
      <c r="BJ123" s="314" t="s">
        <v>149</v>
      </c>
      <c r="BK123" s="314" t="s">
        <v>150</v>
      </c>
      <c r="BL123" s="314"/>
      <c r="BM123" s="314"/>
      <c r="BN123" s="314" t="s">
        <v>149</v>
      </c>
      <c r="BO123" s="314" t="s">
        <v>149</v>
      </c>
      <c r="BP123" s="314"/>
      <c r="BQ123" s="314"/>
      <c r="BR123" s="314"/>
      <c r="BS123" s="314" t="s">
        <v>150</v>
      </c>
      <c r="BT123" s="314" t="s">
        <v>150</v>
      </c>
      <c r="BU123" s="314" t="s">
        <v>150</v>
      </c>
      <c r="BV123" s="314"/>
      <c r="BW123" s="314" t="s">
        <v>149</v>
      </c>
      <c r="BX123" s="314" t="s">
        <v>150</v>
      </c>
      <c r="BY123" s="314" t="s">
        <v>226</v>
      </c>
      <c r="BZ123" s="314"/>
      <c r="CA123" s="314"/>
      <c r="CB123" s="314" t="s">
        <v>150</v>
      </c>
      <c r="CC123" s="314" t="s">
        <v>150</v>
      </c>
      <c r="CD123" s="314"/>
      <c r="CE123" s="314" t="s">
        <v>149</v>
      </c>
      <c r="CF123" s="314" t="s">
        <v>224</v>
      </c>
      <c r="CG123" s="314"/>
      <c r="CH123" s="314"/>
      <c r="CI123" s="314" t="s">
        <v>149</v>
      </c>
      <c r="CJ123" s="314" t="s">
        <v>223</v>
      </c>
      <c r="CK123" s="314" t="s">
        <v>222</v>
      </c>
      <c r="CL123" s="314" t="s">
        <v>221</v>
      </c>
      <c r="CM123" s="314"/>
      <c r="CN123" s="314"/>
      <c r="CO123" s="314" t="s">
        <v>150</v>
      </c>
    </row>
    <row r="124" spans="1:93" ht="14.1" customHeight="1">
      <c r="A124" s="452" t="s">
        <v>239</v>
      </c>
      <c r="B124" s="453">
        <v>704108</v>
      </c>
      <c r="C124" s="169"/>
      <c r="D124" s="314" t="s">
        <v>225</v>
      </c>
      <c r="E124" s="314" t="s">
        <v>149</v>
      </c>
      <c r="F124" s="314"/>
      <c r="G124" s="314"/>
      <c r="H124" s="314" t="s">
        <v>226</v>
      </c>
      <c r="I124" s="314" t="s">
        <v>150</v>
      </c>
      <c r="J124" s="314"/>
      <c r="K124" s="314"/>
      <c r="L124" s="314" t="s">
        <v>225</v>
      </c>
      <c r="M124" s="314" t="s">
        <v>149</v>
      </c>
      <c r="N124" s="314" t="s">
        <v>223</v>
      </c>
      <c r="O124" s="314" t="s">
        <v>222</v>
      </c>
      <c r="P124" s="314"/>
      <c r="Q124" s="314"/>
      <c r="R124" s="314" t="s">
        <v>226</v>
      </c>
      <c r="S124" s="314" t="s">
        <v>150</v>
      </c>
      <c r="T124" s="314" t="s">
        <v>223</v>
      </c>
      <c r="U124" s="314" t="s">
        <v>222</v>
      </c>
      <c r="V124" s="314"/>
      <c r="W124" s="314"/>
      <c r="X124" s="314" t="s">
        <v>226</v>
      </c>
      <c r="Y124" s="314" t="s">
        <v>150</v>
      </c>
      <c r="Z124" s="314" t="s">
        <v>150</v>
      </c>
      <c r="AA124" s="314" t="s">
        <v>226</v>
      </c>
      <c r="AB124" s="314"/>
      <c r="AC124" s="314"/>
      <c r="AD124" s="314"/>
      <c r="AE124" s="314" t="s">
        <v>224</v>
      </c>
      <c r="AF124" s="314" t="s">
        <v>149</v>
      </c>
      <c r="AG124" s="314" t="s">
        <v>149</v>
      </c>
      <c r="AH124" s="314" t="s">
        <v>150</v>
      </c>
      <c r="AI124" s="314"/>
      <c r="AJ124" s="314"/>
      <c r="AK124" s="314"/>
      <c r="AL124" s="314"/>
      <c r="AM124" s="314" t="s">
        <v>149</v>
      </c>
      <c r="AN124" s="314" t="s">
        <v>149</v>
      </c>
      <c r="AO124" s="314" t="s">
        <v>222</v>
      </c>
      <c r="AP124" s="314" t="s">
        <v>222</v>
      </c>
      <c r="AQ124" s="314"/>
      <c r="AR124" s="314"/>
      <c r="AS124" s="314" t="s">
        <v>224</v>
      </c>
      <c r="AT124" s="314" t="s">
        <v>150</v>
      </c>
      <c r="AU124" s="314"/>
      <c r="AV124" s="314" t="s">
        <v>225</v>
      </c>
      <c r="AW124" s="314" t="s">
        <v>150</v>
      </c>
      <c r="AX124" s="314"/>
      <c r="AY124" s="314"/>
      <c r="AZ124" s="314" t="s">
        <v>224</v>
      </c>
      <c r="BA124" s="314" t="s">
        <v>150</v>
      </c>
      <c r="BB124" s="314" t="s">
        <v>150</v>
      </c>
      <c r="BC124" s="314" t="s">
        <v>150</v>
      </c>
      <c r="BD124" s="314"/>
      <c r="BE124" s="314"/>
      <c r="BF124" s="314"/>
      <c r="BG124" s="314"/>
      <c r="BH124" s="314" t="s">
        <v>149</v>
      </c>
      <c r="BI124" s="314"/>
      <c r="BJ124" s="314"/>
      <c r="BK124" s="314" t="s">
        <v>223</v>
      </c>
      <c r="BL124" s="314" t="s">
        <v>222</v>
      </c>
      <c r="BM124" s="314" t="s">
        <v>223</v>
      </c>
      <c r="BN124" s="314" t="s">
        <v>222</v>
      </c>
      <c r="BO124" s="314"/>
      <c r="BP124" s="314"/>
      <c r="BQ124" s="314"/>
      <c r="BR124" s="314" t="s">
        <v>224</v>
      </c>
      <c r="BS124" s="314" t="s">
        <v>150</v>
      </c>
      <c r="BT124" s="314" t="s">
        <v>150</v>
      </c>
      <c r="BU124" s="314"/>
      <c r="BV124" s="314" t="s">
        <v>224</v>
      </c>
      <c r="BW124" s="314" t="s">
        <v>149</v>
      </c>
      <c r="BX124" s="314"/>
      <c r="BY124" s="314"/>
      <c r="BZ124" s="314" t="s">
        <v>149</v>
      </c>
      <c r="CA124" s="314" t="s">
        <v>150</v>
      </c>
      <c r="CB124" s="314" t="s">
        <v>223</v>
      </c>
      <c r="CC124" s="314" t="s">
        <v>222</v>
      </c>
      <c r="CD124" s="314"/>
      <c r="CE124" s="314"/>
      <c r="CF124" s="314"/>
      <c r="CG124" s="314" t="s">
        <v>150</v>
      </c>
      <c r="CH124" s="314" t="s">
        <v>150</v>
      </c>
      <c r="CI124" s="314"/>
      <c r="CJ124" s="314" t="s">
        <v>149</v>
      </c>
      <c r="CK124" s="314" t="s">
        <v>226</v>
      </c>
      <c r="CL124" s="314" t="s">
        <v>222</v>
      </c>
      <c r="CM124" s="314" t="s">
        <v>221</v>
      </c>
      <c r="CN124" s="314"/>
      <c r="CO124" s="314"/>
    </row>
    <row r="125" spans="1:93" ht="14.1" customHeight="1">
      <c r="A125" s="452" t="s">
        <v>240</v>
      </c>
      <c r="B125" s="453">
        <v>700734</v>
      </c>
      <c r="C125" s="8" t="s">
        <v>222</v>
      </c>
      <c r="D125" s="314" t="s">
        <v>222</v>
      </c>
      <c r="E125" s="314" t="s">
        <v>223</v>
      </c>
      <c r="F125" s="314" t="s">
        <v>222</v>
      </c>
      <c r="G125" s="314"/>
      <c r="H125" s="314"/>
      <c r="I125" s="314"/>
      <c r="J125" s="314" t="s">
        <v>225</v>
      </c>
      <c r="K125" s="314" t="s">
        <v>150</v>
      </c>
      <c r="L125" s="314"/>
      <c r="M125" s="314" t="s">
        <v>149</v>
      </c>
      <c r="N125" s="314" t="s">
        <v>226</v>
      </c>
      <c r="O125" s="314"/>
      <c r="P125" s="314"/>
      <c r="Q125" s="314" t="s">
        <v>225</v>
      </c>
      <c r="R125" s="314" t="s">
        <v>150</v>
      </c>
      <c r="S125" s="314"/>
      <c r="T125" s="314" t="s">
        <v>150</v>
      </c>
      <c r="U125" s="314" t="s">
        <v>150</v>
      </c>
      <c r="V125" s="314"/>
      <c r="W125" s="314"/>
      <c r="X125" s="314" t="s">
        <v>149</v>
      </c>
      <c r="Y125" s="314" t="s">
        <v>224</v>
      </c>
      <c r="Z125" s="314" t="s">
        <v>149</v>
      </c>
      <c r="AA125" s="314" t="s">
        <v>150</v>
      </c>
      <c r="AB125" s="314"/>
      <c r="AC125" s="314"/>
      <c r="AD125" s="314"/>
      <c r="AE125" s="314" t="s">
        <v>150</v>
      </c>
      <c r="AF125" s="314" t="s">
        <v>221</v>
      </c>
      <c r="AG125" s="314" t="s">
        <v>222</v>
      </c>
      <c r="AH125" s="314" t="s">
        <v>223</v>
      </c>
      <c r="AI125" s="314"/>
      <c r="AJ125" s="314"/>
      <c r="AK125" s="314"/>
      <c r="AL125" s="314"/>
      <c r="AM125" s="314" t="s">
        <v>224</v>
      </c>
      <c r="AN125" s="314"/>
      <c r="AO125" s="314"/>
      <c r="AP125" s="314" t="s">
        <v>150</v>
      </c>
      <c r="AQ125" s="314" t="s">
        <v>150</v>
      </c>
      <c r="AR125" s="314" t="s">
        <v>150</v>
      </c>
      <c r="AS125" s="314"/>
      <c r="AT125" s="314" t="s">
        <v>224</v>
      </c>
      <c r="AU125" s="314"/>
      <c r="AV125" s="314"/>
      <c r="AW125" s="314" t="s">
        <v>225</v>
      </c>
      <c r="AX125" s="314" t="s">
        <v>149</v>
      </c>
      <c r="AY125" s="314" t="s">
        <v>149</v>
      </c>
      <c r="AZ125" s="314" t="s">
        <v>150</v>
      </c>
      <c r="BA125" s="314"/>
      <c r="BB125" s="314"/>
      <c r="BC125" s="314"/>
      <c r="BD125" s="314" t="s">
        <v>223</v>
      </c>
      <c r="BE125" s="314" t="s">
        <v>222</v>
      </c>
      <c r="BF125" s="314" t="s">
        <v>221</v>
      </c>
      <c r="BG125" s="314" t="s">
        <v>222</v>
      </c>
      <c r="BH125" s="314"/>
      <c r="BI125" s="314"/>
      <c r="BJ125" s="314"/>
      <c r="BK125" s="314" t="s">
        <v>224</v>
      </c>
      <c r="BL125" s="314" t="s">
        <v>150</v>
      </c>
      <c r="BM125" s="314" t="s">
        <v>150</v>
      </c>
      <c r="BN125" s="314"/>
      <c r="BO125" s="314" t="s">
        <v>150</v>
      </c>
      <c r="BP125" s="314"/>
      <c r="BQ125" s="314" t="s">
        <v>224</v>
      </c>
      <c r="BR125" s="314"/>
      <c r="BS125" s="314" t="s">
        <v>149</v>
      </c>
      <c r="BT125" s="314" t="s">
        <v>224</v>
      </c>
      <c r="BU125" s="314"/>
      <c r="BV125" s="314" t="s">
        <v>223</v>
      </c>
      <c r="BW125" s="314" t="s">
        <v>221</v>
      </c>
      <c r="BX125" s="314" t="s">
        <v>222</v>
      </c>
      <c r="BY125" s="314"/>
      <c r="BZ125" s="314"/>
      <c r="CA125" s="314" t="s">
        <v>150</v>
      </c>
      <c r="CB125" s="314"/>
      <c r="CC125" s="314" t="s">
        <v>225</v>
      </c>
      <c r="CD125" s="314" t="s">
        <v>150</v>
      </c>
      <c r="CE125" s="314" t="s">
        <v>150</v>
      </c>
      <c r="CF125" s="314" t="s">
        <v>150</v>
      </c>
      <c r="CG125" s="314"/>
      <c r="CH125" s="314"/>
      <c r="CI125" s="314"/>
      <c r="CJ125" s="314" t="s">
        <v>150</v>
      </c>
      <c r="CK125" s="314"/>
      <c r="CL125" s="314" t="s">
        <v>149</v>
      </c>
      <c r="CM125" s="314"/>
      <c r="CN125" s="314" t="s">
        <v>149</v>
      </c>
      <c r="CO125" s="314" t="s">
        <v>149</v>
      </c>
    </row>
    <row r="126" spans="1:93" ht="14.1" customHeight="1">
      <c r="A126" s="452" t="s">
        <v>241</v>
      </c>
      <c r="B126" s="453">
        <v>702035</v>
      </c>
      <c r="C126" s="169"/>
      <c r="D126" s="314"/>
      <c r="E126" s="314"/>
      <c r="F126" s="314" t="s">
        <v>225</v>
      </c>
      <c r="G126" s="314" t="s">
        <v>224</v>
      </c>
      <c r="H126" s="314" t="s">
        <v>150</v>
      </c>
      <c r="I126" s="314" t="s">
        <v>150</v>
      </c>
      <c r="J126" s="314"/>
      <c r="K126" s="314" t="s">
        <v>150</v>
      </c>
      <c r="L126" s="314"/>
      <c r="M126" s="314"/>
      <c r="N126" s="314" t="s">
        <v>149</v>
      </c>
      <c r="O126" s="314" t="s">
        <v>225</v>
      </c>
      <c r="P126" s="314" t="s">
        <v>149</v>
      </c>
      <c r="Q126" s="314" t="s">
        <v>149</v>
      </c>
      <c r="R126" s="314" t="s">
        <v>221</v>
      </c>
      <c r="S126" s="314" t="s">
        <v>222</v>
      </c>
      <c r="T126" s="314"/>
      <c r="U126" s="314"/>
      <c r="V126" s="314"/>
      <c r="W126" s="314" t="s">
        <v>150</v>
      </c>
      <c r="X126" s="314" t="s">
        <v>150</v>
      </c>
      <c r="Y126" s="314" t="s">
        <v>226</v>
      </c>
      <c r="Z126" s="314" t="s">
        <v>221</v>
      </c>
      <c r="AA126" s="314" t="s">
        <v>223</v>
      </c>
      <c r="AB126" s="314"/>
      <c r="AC126" s="170"/>
      <c r="AD126" s="314"/>
      <c r="AE126" s="314" t="s">
        <v>225</v>
      </c>
      <c r="AF126" s="314" t="s">
        <v>226</v>
      </c>
      <c r="AG126" s="314" t="s">
        <v>150</v>
      </c>
      <c r="AH126" s="314" t="s">
        <v>150</v>
      </c>
      <c r="AI126" s="314"/>
      <c r="AJ126" s="314"/>
      <c r="AK126" s="314"/>
      <c r="AL126" s="454"/>
      <c r="AM126" s="454"/>
      <c r="AN126" s="454"/>
      <c r="AO126" s="454"/>
      <c r="AP126" s="454"/>
      <c r="AQ126" s="454"/>
      <c r="AR126" s="454"/>
      <c r="AS126" s="454"/>
      <c r="AT126" s="454"/>
      <c r="AU126" s="454"/>
      <c r="AV126" s="454"/>
      <c r="AW126" s="454"/>
      <c r="AX126" s="454"/>
      <c r="AY126" s="454"/>
      <c r="AZ126" s="454"/>
      <c r="BA126" s="454"/>
      <c r="BB126" s="454"/>
      <c r="BC126" s="454"/>
      <c r="BD126" s="454"/>
      <c r="BE126" s="454"/>
      <c r="BF126" s="454"/>
      <c r="BG126" s="454"/>
      <c r="BH126" s="454"/>
      <c r="BI126" s="454"/>
      <c r="BJ126" s="454"/>
      <c r="BK126" s="454"/>
      <c r="BL126" s="454"/>
      <c r="BM126" s="454"/>
      <c r="BN126" s="454"/>
      <c r="BO126" s="454"/>
      <c r="BP126" s="454"/>
      <c r="BQ126" s="454"/>
      <c r="BR126" s="454"/>
      <c r="BS126" s="454"/>
      <c r="BT126" s="454"/>
      <c r="BU126" s="314"/>
      <c r="BV126" s="314"/>
      <c r="BW126" s="314" t="s">
        <v>225</v>
      </c>
      <c r="BX126" s="314"/>
      <c r="BY126" s="314" t="s">
        <v>223</v>
      </c>
      <c r="BZ126" s="314" t="s">
        <v>222</v>
      </c>
      <c r="CA126" s="314" t="s">
        <v>221</v>
      </c>
      <c r="CB126" s="314" t="s">
        <v>222</v>
      </c>
      <c r="CC126" s="314"/>
      <c r="CD126" s="314"/>
      <c r="CE126" s="314"/>
      <c r="CF126" s="314" t="s">
        <v>225</v>
      </c>
      <c r="CG126" s="314" t="s">
        <v>226</v>
      </c>
      <c r="CH126" s="314" t="s">
        <v>150</v>
      </c>
      <c r="CI126" s="314"/>
      <c r="CJ126" s="314" t="s">
        <v>226</v>
      </c>
      <c r="CK126" s="314" t="s">
        <v>221</v>
      </c>
      <c r="CL126" s="314" t="s">
        <v>222</v>
      </c>
      <c r="CM126" s="314"/>
      <c r="CN126" s="314"/>
      <c r="CO126" s="314" t="s">
        <v>226</v>
      </c>
    </row>
    <row r="127" spans="1:93" ht="14.1" customHeight="1">
      <c r="A127" s="452" t="s">
        <v>242</v>
      </c>
      <c r="B127" s="453">
        <v>702779</v>
      </c>
      <c r="C127" s="169"/>
      <c r="D127" s="314"/>
      <c r="E127" s="314" t="s">
        <v>224</v>
      </c>
      <c r="F127" s="314"/>
      <c r="G127" s="314" t="s">
        <v>149</v>
      </c>
      <c r="H127" s="314" t="s">
        <v>225</v>
      </c>
      <c r="I127" s="314" t="s">
        <v>149</v>
      </c>
      <c r="J127" s="314" t="s">
        <v>226</v>
      </c>
      <c r="K127" s="314" t="s">
        <v>150</v>
      </c>
      <c r="L127" s="314" t="s">
        <v>222</v>
      </c>
      <c r="M127" s="314" t="s">
        <v>221</v>
      </c>
      <c r="N127" s="314"/>
      <c r="O127" s="314"/>
      <c r="P127" s="314"/>
      <c r="Q127" s="314" t="s">
        <v>150</v>
      </c>
      <c r="R127" s="314" t="s">
        <v>150</v>
      </c>
      <c r="S127" s="314" t="s">
        <v>150</v>
      </c>
      <c r="T127" s="314"/>
      <c r="U127" s="314" t="s">
        <v>224</v>
      </c>
      <c r="V127" s="314"/>
      <c r="W127" s="314"/>
      <c r="X127" s="454"/>
      <c r="Y127" s="454"/>
      <c r="Z127" s="454"/>
      <c r="AA127" s="454"/>
      <c r="AB127" s="454"/>
      <c r="AC127" s="454"/>
      <c r="AD127" s="454"/>
      <c r="AE127" s="454"/>
      <c r="AF127" s="454"/>
      <c r="AG127" s="454"/>
      <c r="AH127" s="454"/>
      <c r="AI127" s="454"/>
      <c r="AJ127" s="454"/>
      <c r="AK127" s="454"/>
      <c r="AL127" s="314"/>
      <c r="AM127" s="314"/>
      <c r="AN127" s="314"/>
      <c r="AO127" s="314" t="s">
        <v>226</v>
      </c>
      <c r="AP127" s="314" t="s">
        <v>223</v>
      </c>
      <c r="AQ127" s="314" t="s">
        <v>222</v>
      </c>
      <c r="AR127" s="314" t="s">
        <v>221</v>
      </c>
      <c r="AS127" s="314" t="s">
        <v>222</v>
      </c>
      <c r="AT127" s="314"/>
      <c r="AU127" s="314"/>
      <c r="AV127" s="314" t="s">
        <v>150</v>
      </c>
      <c r="AW127" s="314"/>
      <c r="AX127" s="314" t="s">
        <v>225</v>
      </c>
      <c r="AY127" s="314" t="s">
        <v>150</v>
      </c>
      <c r="AZ127" s="314"/>
      <c r="BA127" s="314" t="s">
        <v>222</v>
      </c>
      <c r="BB127" s="314" t="s">
        <v>223</v>
      </c>
      <c r="BC127" s="314" t="s">
        <v>222</v>
      </c>
      <c r="BD127" s="314"/>
      <c r="BE127" s="314"/>
      <c r="BF127" s="314" t="s">
        <v>150</v>
      </c>
      <c r="BG127" s="314" t="s">
        <v>150</v>
      </c>
      <c r="BH127" s="314"/>
      <c r="BI127" s="314"/>
      <c r="BJ127" s="314"/>
      <c r="BK127" s="314" t="s">
        <v>225</v>
      </c>
      <c r="BL127" s="314" t="s">
        <v>226</v>
      </c>
      <c r="BM127" s="314" t="s">
        <v>150</v>
      </c>
      <c r="BN127" s="314"/>
      <c r="BO127" s="314" t="s">
        <v>221</v>
      </c>
      <c r="BP127" s="314" t="s">
        <v>222</v>
      </c>
      <c r="BQ127" s="314" t="s">
        <v>223</v>
      </c>
      <c r="BR127" s="314" t="s">
        <v>222</v>
      </c>
      <c r="BS127" s="314"/>
      <c r="BT127" s="314"/>
      <c r="BU127" s="454"/>
      <c r="BV127" s="454"/>
      <c r="BW127" s="454"/>
      <c r="BX127" s="454"/>
      <c r="BY127" s="454"/>
      <c r="BZ127" s="455"/>
      <c r="CA127" s="455"/>
      <c r="CB127" s="454"/>
      <c r="CC127" s="454"/>
      <c r="CD127" s="454"/>
      <c r="CE127" s="454"/>
      <c r="CF127" s="454"/>
      <c r="CG127" s="454"/>
      <c r="CH127" s="454"/>
      <c r="CI127" s="454"/>
      <c r="CJ127" s="454"/>
      <c r="CK127" s="454"/>
      <c r="CL127" s="454"/>
      <c r="CM127" s="454"/>
      <c r="CN127" s="454"/>
      <c r="CO127" s="454"/>
    </row>
    <row r="128" spans="1:93" ht="14.1" customHeight="1">
      <c r="A128" s="452" t="s">
        <v>243</v>
      </c>
      <c r="B128" s="453">
        <v>641339</v>
      </c>
      <c r="C128" s="8" t="s">
        <v>222</v>
      </c>
      <c r="D128" s="314" t="s">
        <v>223</v>
      </c>
      <c r="E128" s="314" t="s">
        <v>222</v>
      </c>
      <c r="F128" s="314" t="s">
        <v>221</v>
      </c>
      <c r="G128" s="314"/>
      <c r="H128" s="314"/>
      <c r="I128" s="314"/>
      <c r="J128" s="314"/>
      <c r="K128" s="314" t="s">
        <v>225</v>
      </c>
      <c r="L128" s="314" t="s">
        <v>149</v>
      </c>
      <c r="M128" s="314" t="s">
        <v>224</v>
      </c>
      <c r="N128" s="314"/>
      <c r="O128" s="314" t="s">
        <v>150</v>
      </c>
      <c r="P128" s="314"/>
      <c r="Q128" s="314"/>
      <c r="R128" s="314" t="s">
        <v>149</v>
      </c>
      <c r="S128" s="314" t="s">
        <v>149</v>
      </c>
      <c r="T128" s="314"/>
      <c r="U128" s="314"/>
      <c r="V128" s="314" t="s">
        <v>150</v>
      </c>
      <c r="W128" s="314" t="s">
        <v>226</v>
      </c>
      <c r="X128" s="314" t="s">
        <v>150</v>
      </c>
      <c r="Y128" s="314" t="s">
        <v>223</v>
      </c>
      <c r="Z128" s="314" t="s">
        <v>222</v>
      </c>
      <c r="AA128" s="314" t="s">
        <v>221</v>
      </c>
      <c r="AB128" s="314"/>
      <c r="AC128" s="314"/>
      <c r="AD128" s="314"/>
      <c r="AE128" s="314" t="s">
        <v>149</v>
      </c>
      <c r="AF128" s="314"/>
      <c r="AG128" s="314" t="s">
        <v>150</v>
      </c>
      <c r="AH128" s="314"/>
      <c r="AI128" s="314"/>
      <c r="AJ128" s="314" t="s">
        <v>150</v>
      </c>
      <c r="AK128" s="314" t="s">
        <v>226</v>
      </c>
      <c r="AL128" s="314"/>
      <c r="AM128" s="314" t="s">
        <v>149</v>
      </c>
      <c r="AN128" s="314" t="s">
        <v>225</v>
      </c>
      <c r="AO128" s="314" t="s">
        <v>224</v>
      </c>
      <c r="AP128" s="314" t="s">
        <v>150</v>
      </c>
      <c r="AQ128" s="314"/>
      <c r="AR128" s="314"/>
      <c r="AS128" s="314" t="s">
        <v>150</v>
      </c>
      <c r="AT128" s="314"/>
      <c r="AU128" s="314"/>
      <c r="AV128" s="314"/>
      <c r="AW128" s="314" t="s">
        <v>222</v>
      </c>
      <c r="AX128" s="314" t="s">
        <v>221</v>
      </c>
      <c r="AY128" s="314" t="s">
        <v>222</v>
      </c>
      <c r="AZ128" s="314"/>
      <c r="BA128" s="314"/>
      <c r="BB128" s="314" t="s">
        <v>229</v>
      </c>
      <c r="BC128" s="314" t="s">
        <v>149</v>
      </c>
      <c r="BD128" s="314" t="s">
        <v>226</v>
      </c>
      <c r="BE128" s="314" t="s">
        <v>150</v>
      </c>
      <c r="BF128" s="314"/>
      <c r="BG128" s="314" t="s">
        <v>224</v>
      </c>
      <c r="BH128" s="314" t="s">
        <v>150</v>
      </c>
      <c r="BI128" s="314" t="s">
        <v>150</v>
      </c>
      <c r="BJ128" s="314"/>
      <c r="BK128" s="314" t="s">
        <v>150</v>
      </c>
      <c r="BL128" s="314"/>
      <c r="BM128" s="314"/>
      <c r="BN128" s="314" t="s">
        <v>225</v>
      </c>
      <c r="BO128" s="314" t="s">
        <v>149</v>
      </c>
      <c r="BP128" s="314" t="s">
        <v>150</v>
      </c>
      <c r="BQ128" s="314"/>
      <c r="BR128" s="314" t="s">
        <v>150</v>
      </c>
      <c r="BS128" s="314"/>
      <c r="BT128" s="314"/>
      <c r="BU128" s="314" t="s">
        <v>150</v>
      </c>
      <c r="BV128" s="314"/>
      <c r="BW128" s="314"/>
      <c r="BX128" s="314"/>
      <c r="BY128" s="314" t="s">
        <v>221</v>
      </c>
      <c r="BZ128" s="314" t="s">
        <v>222</v>
      </c>
      <c r="CA128" s="314" t="s">
        <v>223</v>
      </c>
      <c r="CB128" s="314" t="s">
        <v>222</v>
      </c>
      <c r="CC128" s="314"/>
      <c r="CD128" s="314"/>
      <c r="CE128" s="314"/>
      <c r="CF128" s="314" t="s">
        <v>226</v>
      </c>
      <c r="CG128" s="314" t="s">
        <v>150</v>
      </c>
      <c r="CH128" s="314" t="s">
        <v>150</v>
      </c>
      <c r="CI128" s="314"/>
      <c r="CJ128" s="314"/>
      <c r="CK128" s="314" t="s">
        <v>224</v>
      </c>
      <c r="CL128" s="314"/>
      <c r="CM128" s="314" t="s">
        <v>225</v>
      </c>
      <c r="CN128" s="314" t="s">
        <v>149</v>
      </c>
      <c r="CO128" s="314" t="s">
        <v>149</v>
      </c>
    </row>
    <row r="129" spans="1:93" ht="14.1" customHeight="1">
      <c r="A129" s="452" t="s">
        <v>244</v>
      </c>
      <c r="B129" s="453">
        <v>703783</v>
      </c>
      <c r="C129" s="169"/>
      <c r="D129" s="314"/>
      <c r="E129" s="314"/>
      <c r="F129" s="314" t="s">
        <v>149</v>
      </c>
      <c r="G129" s="314" t="s">
        <v>226</v>
      </c>
      <c r="H129" s="314" t="s">
        <v>150</v>
      </c>
      <c r="I129" s="314" t="s">
        <v>150</v>
      </c>
      <c r="J129" s="314"/>
      <c r="K129" s="314" t="s">
        <v>149</v>
      </c>
      <c r="L129" s="314" t="s">
        <v>224</v>
      </c>
      <c r="M129" s="314" t="s">
        <v>225</v>
      </c>
      <c r="N129" s="314" t="s">
        <v>150</v>
      </c>
      <c r="O129" s="314"/>
      <c r="P129" s="314"/>
      <c r="Q129" s="314" t="s">
        <v>150</v>
      </c>
      <c r="R129" s="314" t="s">
        <v>223</v>
      </c>
      <c r="S129" s="314" t="s">
        <v>222</v>
      </c>
      <c r="T129" s="314" t="s">
        <v>221</v>
      </c>
      <c r="U129" s="314"/>
      <c r="V129" s="314"/>
      <c r="W129" s="314"/>
      <c r="X129" s="314"/>
      <c r="Y129" s="314"/>
      <c r="Z129" s="314" t="s">
        <v>224</v>
      </c>
      <c r="AA129" s="314"/>
      <c r="AB129" s="314" t="s">
        <v>149</v>
      </c>
      <c r="AC129" s="314" t="s">
        <v>149</v>
      </c>
      <c r="AD129" s="314" t="s">
        <v>149</v>
      </c>
      <c r="AE129" s="314"/>
      <c r="AF129" s="314" t="s">
        <v>150</v>
      </c>
      <c r="AG129" s="314"/>
      <c r="AH129" s="314"/>
      <c r="AI129" s="314" t="s">
        <v>223</v>
      </c>
      <c r="AJ129" s="314" t="s">
        <v>221</v>
      </c>
      <c r="AK129" s="314" t="s">
        <v>222</v>
      </c>
      <c r="AL129" s="314" t="s">
        <v>223</v>
      </c>
      <c r="AM129" s="314"/>
      <c r="AN129" s="314"/>
      <c r="AO129" s="314"/>
      <c r="AP129" s="314" t="s">
        <v>149</v>
      </c>
      <c r="AQ129" s="314" t="s">
        <v>150</v>
      </c>
      <c r="AR129" s="314" t="s">
        <v>150</v>
      </c>
      <c r="AS129" s="314" t="s">
        <v>150</v>
      </c>
      <c r="AT129" s="314" t="s">
        <v>222</v>
      </c>
      <c r="AU129" s="314" t="s">
        <v>223</v>
      </c>
      <c r="AV129" s="314" t="s">
        <v>222</v>
      </c>
      <c r="AW129" s="314"/>
      <c r="AX129" s="314"/>
      <c r="AY129" s="314"/>
      <c r="AZ129" s="314" t="s">
        <v>226</v>
      </c>
      <c r="BA129" s="314" t="s">
        <v>150</v>
      </c>
      <c r="BB129" s="314"/>
      <c r="BC129" s="314" t="s">
        <v>223</v>
      </c>
      <c r="BD129" s="314" t="s">
        <v>222</v>
      </c>
      <c r="BE129" s="314"/>
      <c r="BF129" s="314"/>
      <c r="BG129" s="314"/>
      <c r="BH129" s="314" t="s">
        <v>150</v>
      </c>
      <c r="BI129" s="314"/>
      <c r="BJ129" s="314" t="s">
        <v>224</v>
      </c>
      <c r="BK129" s="314"/>
      <c r="BL129" s="314" t="s">
        <v>149</v>
      </c>
      <c r="BM129" s="314" t="s">
        <v>225</v>
      </c>
      <c r="BN129" s="314" t="s">
        <v>226</v>
      </c>
      <c r="BO129" s="314"/>
      <c r="BP129" s="314" t="s">
        <v>229</v>
      </c>
      <c r="BQ129" s="314"/>
      <c r="BR129" s="314"/>
      <c r="BS129" s="314" t="s">
        <v>226</v>
      </c>
      <c r="BT129" s="314" t="s">
        <v>150</v>
      </c>
      <c r="BU129" s="314" t="s">
        <v>223</v>
      </c>
      <c r="BV129" s="314" t="s">
        <v>221</v>
      </c>
      <c r="BW129" s="314"/>
      <c r="BX129" s="314"/>
      <c r="BY129" s="314" t="s">
        <v>150</v>
      </c>
      <c r="BZ129" s="314" t="s">
        <v>150</v>
      </c>
      <c r="CA129" s="314"/>
      <c r="CB129" s="454"/>
      <c r="CC129" s="454"/>
      <c r="CD129" s="454"/>
      <c r="CE129" s="454"/>
      <c r="CF129" s="454"/>
      <c r="CG129" s="454"/>
      <c r="CH129" s="454"/>
      <c r="CI129" s="454"/>
      <c r="CJ129" s="454"/>
      <c r="CK129" s="454"/>
      <c r="CL129" s="454"/>
      <c r="CM129" s="454"/>
      <c r="CN129" s="454"/>
      <c r="CO129" s="454"/>
    </row>
    <row r="130" spans="1:93" ht="14.1" customHeight="1">
      <c r="A130" s="452" t="s">
        <v>245</v>
      </c>
      <c r="B130" s="385">
        <v>702087</v>
      </c>
      <c r="C130" s="169"/>
      <c r="D130" s="314"/>
      <c r="E130" s="314"/>
      <c r="F130" s="314"/>
      <c r="G130" s="314"/>
      <c r="H130" s="314" t="s">
        <v>224</v>
      </c>
      <c r="I130" s="314" t="s">
        <v>149</v>
      </c>
      <c r="J130" s="314"/>
      <c r="K130" s="314"/>
      <c r="L130" s="314" t="s">
        <v>223</v>
      </c>
      <c r="M130" s="314" t="s">
        <v>222</v>
      </c>
      <c r="N130" s="314"/>
      <c r="O130" s="314"/>
      <c r="P130" s="314"/>
      <c r="Q130" s="314" t="s">
        <v>150</v>
      </c>
      <c r="R130" s="314"/>
      <c r="S130" s="314" t="s">
        <v>226</v>
      </c>
      <c r="T130" s="314"/>
      <c r="U130" s="314"/>
      <c r="V130" s="314"/>
      <c r="W130" s="314"/>
      <c r="X130" s="314"/>
      <c r="Y130" s="314"/>
      <c r="Z130" s="314"/>
      <c r="AA130" s="314"/>
      <c r="AB130" s="314"/>
      <c r="AC130" s="314" t="s">
        <v>150</v>
      </c>
      <c r="AD130" s="314" t="s">
        <v>150</v>
      </c>
      <c r="AE130" s="314"/>
      <c r="AF130" s="314"/>
      <c r="AG130" s="314" t="s">
        <v>149</v>
      </c>
      <c r="AH130" s="314" t="s">
        <v>224</v>
      </c>
      <c r="AI130" s="314"/>
      <c r="AJ130" s="314"/>
      <c r="AK130" s="314"/>
      <c r="AL130" s="314"/>
      <c r="AM130" s="314"/>
      <c r="AN130" s="314"/>
      <c r="AO130" s="314"/>
      <c r="AP130" s="314"/>
      <c r="AQ130" s="314" t="s">
        <v>221</v>
      </c>
      <c r="AR130" s="314" t="s">
        <v>223</v>
      </c>
      <c r="AS130" s="314"/>
      <c r="AT130" s="314"/>
      <c r="AU130" s="314" t="s">
        <v>150</v>
      </c>
      <c r="AV130" s="314" t="s">
        <v>150</v>
      </c>
      <c r="AW130" s="314"/>
      <c r="AX130" s="314"/>
      <c r="AY130" s="314"/>
      <c r="AZ130" s="314"/>
      <c r="BA130" s="314"/>
      <c r="BB130" s="314"/>
      <c r="BC130" s="314"/>
      <c r="BD130" s="314"/>
      <c r="BE130" s="314" t="s">
        <v>149</v>
      </c>
      <c r="BF130" s="314" t="s">
        <v>149</v>
      </c>
      <c r="BG130" s="314"/>
      <c r="BH130" s="314"/>
      <c r="BI130" s="314" t="s">
        <v>150</v>
      </c>
      <c r="BJ130" s="314" t="s">
        <v>150</v>
      </c>
      <c r="BK130" s="314"/>
      <c r="BL130" s="314"/>
      <c r="BM130" s="314"/>
      <c r="BN130" s="314"/>
      <c r="BO130" s="314"/>
      <c r="BP130" s="314"/>
      <c r="BQ130" s="314"/>
      <c r="BR130" s="314"/>
      <c r="BS130" s="314" t="s">
        <v>223</v>
      </c>
      <c r="BT130" s="314" t="s">
        <v>222</v>
      </c>
      <c r="BU130" s="314"/>
      <c r="BV130" s="314"/>
      <c r="BW130" s="314" t="s">
        <v>223</v>
      </c>
      <c r="BX130" s="314" t="s">
        <v>221</v>
      </c>
      <c r="BY130" s="314"/>
      <c r="BZ130" s="314"/>
      <c r="CA130" s="314"/>
      <c r="CB130" s="314"/>
      <c r="CC130" s="314"/>
      <c r="CD130" s="314"/>
      <c r="CE130" s="314"/>
      <c r="CF130" s="314"/>
      <c r="CG130" s="314" t="s">
        <v>225</v>
      </c>
      <c r="CH130" s="314" t="s">
        <v>224</v>
      </c>
      <c r="CI130" s="314"/>
      <c r="CJ130" s="314"/>
      <c r="CK130" s="314" t="s">
        <v>150</v>
      </c>
      <c r="CL130" s="314"/>
      <c r="CM130" s="314" t="s">
        <v>226</v>
      </c>
      <c r="CN130" s="314"/>
      <c r="CO130" s="314"/>
    </row>
    <row r="131" spans="1:93" ht="14.1" customHeight="1">
      <c r="A131" s="456" t="s">
        <v>246</v>
      </c>
      <c r="B131" s="429"/>
      <c r="C131" s="169" t="s">
        <v>225</v>
      </c>
      <c r="D131" s="314"/>
      <c r="E131" s="314"/>
      <c r="F131" s="314"/>
      <c r="G131" s="314" t="s">
        <v>222</v>
      </c>
      <c r="H131" s="314" t="s">
        <v>223</v>
      </c>
      <c r="I131" s="314" t="s">
        <v>222</v>
      </c>
      <c r="J131" s="314" t="s">
        <v>221</v>
      </c>
      <c r="K131" s="314"/>
      <c r="L131" s="314"/>
      <c r="M131" s="314" t="s">
        <v>226</v>
      </c>
      <c r="N131" s="314" t="s">
        <v>150</v>
      </c>
      <c r="O131" s="314" t="s">
        <v>150</v>
      </c>
      <c r="P131" s="314"/>
      <c r="Q131" s="314"/>
      <c r="R131" s="314" t="s">
        <v>149</v>
      </c>
      <c r="S131" s="314" t="s">
        <v>149</v>
      </c>
      <c r="T131" s="314"/>
      <c r="U131" s="314" t="s">
        <v>150</v>
      </c>
      <c r="V131" s="314" t="s">
        <v>150</v>
      </c>
      <c r="W131" s="314"/>
      <c r="X131" s="314"/>
      <c r="Y131" s="314" t="s">
        <v>149</v>
      </c>
      <c r="Z131" s="314"/>
      <c r="AA131" s="314"/>
      <c r="AB131" s="314" t="s">
        <v>224</v>
      </c>
      <c r="AC131" s="314" t="s">
        <v>225</v>
      </c>
      <c r="AD131" s="314" t="s">
        <v>149</v>
      </c>
      <c r="AE131" s="314" t="s">
        <v>226</v>
      </c>
      <c r="AF131" s="314" t="s">
        <v>150</v>
      </c>
      <c r="AG131" s="314"/>
      <c r="AH131" s="314"/>
      <c r="AI131" s="314"/>
      <c r="AJ131" s="314" t="s">
        <v>149</v>
      </c>
      <c r="AK131" s="314" t="s">
        <v>150</v>
      </c>
      <c r="AL131" s="314" t="s">
        <v>150</v>
      </c>
      <c r="AM131" s="314" t="s">
        <v>222</v>
      </c>
      <c r="AN131" s="314" t="s">
        <v>221</v>
      </c>
      <c r="AO131" s="314" t="s">
        <v>223</v>
      </c>
      <c r="AP131" s="314"/>
      <c r="AQ131" s="314"/>
      <c r="AR131" s="314"/>
      <c r="AS131" s="314" t="s">
        <v>225</v>
      </c>
      <c r="AT131" s="314"/>
      <c r="AU131" s="314"/>
      <c r="AV131" s="314"/>
      <c r="AW131" s="314" t="s">
        <v>149</v>
      </c>
      <c r="AX131" s="314" t="s">
        <v>226</v>
      </c>
      <c r="AY131" s="314" t="s">
        <v>150</v>
      </c>
      <c r="AZ131" s="314"/>
      <c r="BA131" s="314" t="s">
        <v>149</v>
      </c>
      <c r="BB131" s="314" t="s">
        <v>225</v>
      </c>
      <c r="BC131" s="314" t="s">
        <v>226</v>
      </c>
      <c r="BD131" s="314" t="s">
        <v>150</v>
      </c>
      <c r="BE131" s="314"/>
      <c r="BF131" s="314"/>
      <c r="BG131" s="314"/>
      <c r="BH131" s="314" t="s">
        <v>222</v>
      </c>
      <c r="BI131" s="314" t="s">
        <v>223</v>
      </c>
      <c r="BJ131" s="314" t="s">
        <v>222</v>
      </c>
      <c r="BK131" s="314" t="s">
        <v>221</v>
      </c>
      <c r="BL131" s="314"/>
      <c r="BM131" s="314"/>
      <c r="BN131" s="314"/>
      <c r="BO131" s="314" t="s">
        <v>224</v>
      </c>
      <c r="BP131" s="314" t="s">
        <v>150</v>
      </c>
      <c r="BQ131" s="314" t="s">
        <v>150</v>
      </c>
      <c r="BR131" s="314" t="s">
        <v>150</v>
      </c>
      <c r="BS131" s="314"/>
      <c r="BT131" s="314"/>
      <c r="BU131" s="314"/>
      <c r="BV131" s="314" t="s">
        <v>149</v>
      </c>
      <c r="BW131" s="314" t="s">
        <v>229</v>
      </c>
      <c r="BX131" s="314" t="s">
        <v>225</v>
      </c>
      <c r="BY131" s="314"/>
      <c r="BZ131" s="314"/>
      <c r="CA131" s="314" t="s">
        <v>149</v>
      </c>
      <c r="CB131" s="314" t="s">
        <v>224</v>
      </c>
      <c r="CC131" s="314" t="s">
        <v>150</v>
      </c>
      <c r="CD131" s="314" t="s">
        <v>150</v>
      </c>
      <c r="CE131" s="314"/>
      <c r="CF131" s="314" t="s">
        <v>149</v>
      </c>
      <c r="CG131" s="314"/>
      <c r="CH131" s="314"/>
      <c r="CI131" s="314"/>
      <c r="CJ131" s="314"/>
      <c r="CK131" s="314" t="s">
        <v>150</v>
      </c>
      <c r="CL131" s="314"/>
      <c r="CM131" s="314" t="s">
        <v>222</v>
      </c>
      <c r="CN131" s="314" t="s">
        <v>222</v>
      </c>
      <c r="CO131" s="314" t="s">
        <v>221</v>
      </c>
    </row>
    <row r="132" spans="1:93" ht="14.1" customHeight="1">
      <c r="A132" s="452" t="s">
        <v>247</v>
      </c>
      <c r="B132" s="385">
        <v>703186</v>
      </c>
      <c r="C132" s="169" t="s">
        <v>150</v>
      </c>
      <c r="D132" s="314"/>
      <c r="E132" s="314" t="s">
        <v>150</v>
      </c>
      <c r="F132" s="314"/>
      <c r="G132" s="314"/>
      <c r="H132" s="314" t="s">
        <v>149</v>
      </c>
      <c r="I132" s="314" t="s">
        <v>224</v>
      </c>
      <c r="J132" s="314" t="s">
        <v>149</v>
      </c>
      <c r="K132" s="314" t="s">
        <v>149</v>
      </c>
      <c r="L132" s="314" t="s">
        <v>226</v>
      </c>
      <c r="M132" s="314" t="s">
        <v>150</v>
      </c>
      <c r="N132" s="314"/>
      <c r="O132" s="314"/>
      <c r="P132" s="314"/>
      <c r="Q132" s="454"/>
      <c r="R132" s="454"/>
      <c r="S132" s="454"/>
      <c r="T132" s="454"/>
      <c r="U132" s="454"/>
      <c r="V132" s="454"/>
      <c r="W132" s="454"/>
      <c r="X132" s="314"/>
      <c r="Y132" s="314"/>
      <c r="Z132" s="314" t="s">
        <v>149</v>
      </c>
      <c r="AA132" s="314"/>
      <c r="AB132" s="314" t="s">
        <v>222</v>
      </c>
      <c r="AC132" s="314" t="s">
        <v>221</v>
      </c>
      <c r="AD132" s="314" t="s">
        <v>222</v>
      </c>
      <c r="AE132" s="314" t="s">
        <v>223</v>
      </c>
      <c r="AF132" s="314"/>
      <c r="AG132" s="314"/>
      <c r="AH132" s="314" t="s">
        <v>226</v>
      </c>
      <c r="AI132" s="314" t="s">
        <v>150</v>
      </c>
      <c r="AJ132" s="314" t="s">
        <v>150</v>
      </c>
      <c r="AK132" s="314"/>
      <c r="AL132" s="454"/>
      <c r="AM132" s="454"/>
      <c r="AN132" s="454"/>
      <c r="AO132" s="454"/>
      <c r="AP132" s="454"/>
      <c r="AQ132" s="454"/>
      <c r="AR132" s="454"/>
      <c r="AS132" s="314"/>
      <c r="AT132" s="314"/>
      <c r="AU132" s="314"/>
      <c r="AV132" s="314" t="s">
        <v>224</v>
      </c>
      <c r="AW132" s="314" t="s">
        <v>222</v>
      </c>
      <c r="AX132" s="314" t="s">
        <v>223</v>
      </c>
      <c r="AY132" s="314" t="s">
        <v>222</v>
      </c>
      <c r="AZ132" s="314" t="s">
        <v>221</v>
      </c>
      <c r="BA132" s="314"/>
      <c r="BB132" s="314"/>
      <c r="BC132" s="314"/>
      <c r="BD132" s="314" t="s">
        <v>149</v>
      </c>
      <c r="BE132" s="314" t="s">
        <v>226</v>
      </c>
      <c r="BF132" s="314" t="s">
        <v>150</v>
      </c>
      <c r="BG132" s="314" t="s">
        <v>150</v>
      </c>
      <c r="BH132" s="314"/>
      <c r="BI132" s="314" t="s">
        <v>149</v>
      </c>
      <c r="BJ132" s="314" t="s">
        <v>225</v>
      </c>
      <c r="BK132" s="314" t="s">
        <v>226</v>
      </c>
      <c r="BL132" s="314"/>
      <c r="BM132" s="314"/>
      <c r="BN132" s="314" t="s">
        <v>150</v>
      </c>
      <c r="BO132" s="314" t="s">
        <v>223</v>
      </c>
      <c r="BP132" s="314" t="s">
        <v>222</v>
      </c>
      <c r="BQ132" s="314" t="s">
        <v>221</v>
      </c>
      <c r="BR132" s="314"/>
      <c r="BS132" s="314"/>
      <c r="BT132" s="314"/>
      <c r="BU132" s="314"/>
      <c r="BV132" s="314" t="s">
        <v>150</v>
      </c>
      <c r="BW132" s="314" t="s">
        <v>150</v>
      </c>
      <c r="BX132" s="314"/>
      <c r="BY132" s="314"/>
      <c r="BZ132" s="314" t="s">
        <v>224</v>
      </c>
      <c r="CA132" s="314" t="s">
        <v>225</v>
      </c>
      <c r="CB132" s="314" t="s">
        <v>150</v>
      </c>
      <c r="CC132" s="314" t="s">
        <v>226</v>
      </c>
      <c r="CD132" s="314"/>
      <c r="CE132" s="314" t="s">
        <v>149</v>
      </c>
      <c r="CF132" s="314" t="s">
        <v>149</v>
      </c>
      <c r="CG132" s="314"/>
      <c r="CH132" s="314"/>
      <c r="CI132" s="314" t="s">
        <v>150</v>
      </c>
      <c r="CJ132" s="314"/>
      <c r="CK132" s="314"/>
      <c r="CL132" s="314"/>
      <c r="CM132" s="314" t="s">
        <v>222</v>
      </c>
      <c r="CN132" s="314" t="s">
        <v>221</v>
      </c>
      <c r="CO132" s="314" t="s">
        <v>223</v>
      </c>
    </row>
    <row r="133" spans="1:93" ht="14.1" customHeight="1">
      <c r="A133" s="452" t="s">
        <v>248</v>
      </c>
      <c r="B133" s="385">
        <v>703168</v>
      </c>
      <c r="C133" s="169"/>
      <c r="D133" s="314" t="s">
        <v>149</v>
      </c>
      <c r="E133" s="314" t="s">
        <v>225</v>
      </c>
      <c r="F133" s="314" t="s">
        <v>226</v>
      </c>
      <c r="G133" s="314" t="s">
        <v>150</v>
      </c>
      <c r="H133" s="314"/>
      <c r="I133" s="314"/>
      <c r="J133" s="314"/>
      <c r="K133" s="314"/>
      <c r="L133" s="314" t="s">
        <v>150</v>
      </c>
      <c r="M133" s="314"/>
      <c r="N133" s="314" t="s">
        <v>222</v>
      </c>
      <c r="O133" s="314" t="s">
        <v>221</v>
      </c>
      <c r="P133" s="314" t="s">
        <v>222</v>
      </c>
      <c r="Q133" s="314"/>
      <c r="R133" s="314"/>
      <c r="S133" s="314" t="s">
        <v>150</v>
      </c>
      <c r="T133" s="314"/>
      <c r="U133" s="314" t="s">
        <v>149</v>
      </c>
      <c r="V133" s="314" t="s">
        <v>224</v>
      </c>
      <c r="W133" s="314" t="s">
        <v>225</v>
      </c>
      <c r="X133" s="314"/>
      <c r="Y133" s="314" t="s">
        <v>149</v>
      </c>
      <c r="Z133" s="314" t="s">
        <v>150</v>
      </c>
      <c r="AA133" s="314"/>
      <c r="AB133" s="314" t="s">
        <v>150</v>
      </c>
      <c r="AC133" s="314"/>
      <c r="AD133" s="314" t="s">
        <v>150</v>
      </c>
      <c r="AE133" s="314"/>
      <c r="AF133" s="314" t="s">
        <v>224</v>
      </c>
      <c r="AG133" s="314" t="s">
        <v>150</v>
      </c>
      <c r="AH133" s="314" t="s">
        <v>150</v>
      </c>
      <c r="AI133" s="314" t="s">
        <v>150</v>
      </c>
      <c r="AJ133" s="314"/>
      <c r="AK133" s="314"/>
      <c r="AL133" s="314" t="s">
        <v>225</v>
      </c>
      <c r="AM133" s="314" t="s">
        <v>223</v>
      </c>
      <c r="AN133" s="314" t="s">
        <v>222</v>
      </c>
      <c r="AO133" s="314" t="s">
        <v>221</v>
      </c>
      <c r="AP133" s="314"/>
      <c r="AQ133" s="314"/>
      <c r="AR133" s="314"/>
      <c r="AS133" s="454"/>
      <c r="AT133" s="454"/>
      <c r="AU133" s="454"/>
      <c r="AV133" s="454"/>
      <c r="AW133" s="454"/>
      <c r="AX133" s="454"/>
      <c r="AY133" s="454"/>
      <c r="AZ133" s="454"/>
      <c r="BA133" s="454"/>
      <c r="BB133" s="454"/>
      <c r="BC133" s="454"/>
      <c r="BD133" s="454"/>
      <c r="BE133" s="454"/>
      <c r="BF133" s="454"/>
      <c r="BG133" s="454"/>
      <c r="BH133" s="454"/>
      <c r="BI133" s="454"/>
      <c r="BJ133" s="454"/>
      <c r="BK133" s="454"/>
      <c r="BL133" s="454"/>
      <c r="BM133" s="454"/>
      <c r="BN133" s="314"/>
      <c r="BO133" s="314"/>
      <c r="BP133" s="314" t="s">
        <v>226</v>
      </c>
      <c r="BQ133" s="314"/>
      <c r="BR133" s="314" t="s">
        <v>221</v>
      </c>
      <c r="BS133" s="314" t="s">
        <v>222</v>
      </c>
      <c r="BT133" s="314" t="s">
        <v>222</v>
      </c>
      <c r="BU133" s="314" t="s">
        <v>221</v>
      </c>
      <c r="BV133" s="314"/>
      <c r="BW133" s="314"/>
      <c r="BX133" s="314"/>
      <c r="BY133" s="314" t="s">
        <v>225</v>
      </c>
      <c r="BZ133" s="314" t="s">
        <v>150</v>
      </c>
      <c r="CA133" s="314" t="s">
        <v>226</v>
      </c>
      <c r="CB133" s="314"/>
      <c r="CC133" s="314" t="s">
        <v>150</v>
      </c>
      <c r="CD133" s="314" t="s">
        <v>226</v>
      </c>
      <c r="CE133" s="314"/>
      <c r="CF133" s="314"/>
      <c r="CG133" s="314" t="s">
        <v>224</v>
      </c>
      <c r="CH133" s="314" t="s">
        <v>149</v>
      </c>
      <c r="CI133" s="314"/>
      <c r="CJ133" s="314" t="s">
        <v>225</v>
      </c>
      <c r="CK133" s="314"/>
      <c r="CL133" s="314"/>
      <c r="CM133" s="314" t="s">
        <v>223</v>
      </c>
      <c r="CN133" s="314" t="s">
        <v>222</v>
      </c>
      <c r="CO133" s="314" t="s">
        <v>222</v>
      </c>
    </row>
    <row r="134" spans="1:93" ht="14.1" customHeight="1">
      <c r="A134" s="452" t="s">
        <v>249</v>
      </c>
      <c r="B134" s="385">
        <v>703270</v>
      </c>
      <c r="C134" s="169" t="s">
        <v>226</v>
      </c>
      <c r="D134" s="314" t="s">
        <v>150</v>
      </c>
      <c r="E134" s="314" t="s">
        <v>150</v>
      </c>
      <c r="F134" s="314"/>
      <c r="G134" s="314" t="s">
        <v>149</v>
      </c>
      <c r="H134" s="314"/>
      <c r="I134" s="314"/>
      <c r="J134" s="314"/>
      <c r="K134" s="314"/>
      <c r="L134" s="314" t="s">
        <v>149</v>
      </c>
      <c r="M134" s="314" t="s">
        <v>150</v>
      </c>
      <c r="N134" s="314"/>
      <c r="O134" s="314" t="s">
        <v>222</v>
      </c>
      <c r="P134" s="314" t="s">
        <v>221</v>
      </c>
      <c r="Q134" s="314" t="s">
        <v>222</v>
      </c>
      <c r="R134" s="314"/>
      <c r="S134" s="314"/>
      <c r="T134" s="314" t="s">
        <v>149</v>
      </c>
      <c r="U134" s="314"/>
      <c r="V134" s="314" t="s">
        <v>225</v>
      </c>
      <c r="W134" s="314" t="s">
        <v>224</v>
      </c>
      <c r="X134" s="314"/>
      <c r="Y134" s="314" t="s">
        <v>150</v>
      </c>
      <c r="Z134" s="314" t="s">
        <v>226</v>
      </c>
      <c r="AA134" s="314" t="s">
        <v>222</v>
      </c>
      <c r="AB134" s="314" t="s">
        <v>222</v>
      </c>
      <c r="AC134" s="314"/>
      <c r="AD134" s="314"/>
      <c r="AE134" s="314"/>
      <c r="AF134" s="314" t="s">
        <v>150</v>
      </c>
      <c r="AG134" s="314" t="s">
        <v>150</v>
      </c>
      <c r="AH134" s="314"/>
      <c r="AI134" s="314"/>
      <c r="AJ134" s="314" t="s">
        <v>225</v>
      </c>
      <c r="AK134" s="314" t="s">
        <v>224</v>
      </c>
      <c r="AL134" s="314" t="s">
        <v>150</v>
      </c>
      <c r="AM134" s="314" t="s">
        <v>150</v>
      </c>
      <c r="AN134" s="314"/>
      <c r="AO134" s="314" t="s">
        <v>225</v>
      </c>
      <c r="AP134" s="314" t="s">
        <v>224</v>
      </c>
      <c r="AQ134" s="314"/>
      <c r="AR134" s="314"/>
      <c r="AS134" s="314"/>
      <c r="AT134" s="314"/>
      <c r="AU134" s="314" t="s">
        <v>149</v>
      </c>
      <c r="AV134" s="314"/>
      <c r="AW134" s="314" t="s">
        <v>149</v>
      </c>
      <c r="AX134" s="314" t="s">
        <v>150</v>
      </c>
      <c r="AY134" s="314" t="s">
        <v>226</v>
      </c>
      <c r="AZ134" s="314" t="s">
        <v>150</v>
      </c>
      <c r="BA134" s="314" t="s">
        <v>223</v>
      </c>
      <c r="BB134" s="314" t="s">
        <v>222</v>
      </c>
      <c r="BC134" s="314" t="s">
        <v>221</v>
      </c>
      <c r="BD134" s="314"/>
      <c r="BE134" s="314"/>
      <c r="BF134" s="314"/>
      <c r="BG134" s="314"/>
      <c r="BH134" s="314" t="s">
        <v>224</v>
      </c>
      <c r="BI134" s="314" t="s">
        <v>225</v>
      </c>
      <c r="BJ134" s="314"/>
      <c r="BK134" s="314" t="s">
        <v>149</v>
      </c>
      <c r="BL134" s="314" t="s">
        <v>150</v>
      </c>
      <c r="BM134" s="314"/>
      <c r="BN134" s="314" t="s">
        <v>150</v>
      </c>
      <c r="BO134" s="314" t="s">
        <v>222</v>
      </c>
      <c r="BP134" s="314" t="s">
        <v>221</v>
      </c>
      <c r="BQ134" s="314" t="s">
        <v>222</v>
      </c>
      <c r="BR134" s="314"/>
      <c r="BS134" s="314"/>
      <c r="BT134" s="314"/>
      <c r="BU134" s="454"/>
      <c r="BV134" s="454"/>
      <c r="BW134" s="454"/>
      <c r="BX134" s="454"/>
      <c r="BY134" s="454"/>
      <c r="BZ134" s="454"/>
      <c r="CA134" s="454"/>
      <c r="CB134" s="171" t="s">
        <v>250</v>
      </c>
      <c r="CC134" s="454"/>
      <c r="CD134" s="454"/>
      <c r="CE134" s="314"/>
      <c r="CF134" s="314"/>
      <c r="CG134" s="314" t="s">
        <v>149</v>
      </c>
      <c r="CH134" s="314" t="s">
        <v>150</v>
      </c>
      <c r="CI134" s="314"/>
      <c r="CJ134" s="314" t="s">
        <v>150</v>
      </c>
      <c r="CK134" s="314"/>
      <c r="CL134" s="314" t="s">
        <v>150</v>
      </c>
      <c r="CM134" s="314"/>
      <c r="CN134" s="314" t="s">
        <v>223</v>
      </c>
      <c r="CO134" s="314" t="s">
        <v>222</v>
      </c>
    </row>
    <row r="135" spans="1:93" ht="14.1" customHeight="1">
      <c r="A135" s="456" t="s">
        <v>251</v>
      </c>
      <c r="B135" s="385">
        <v>702481</v>
      </c>
      <c r="C135" s="8" t="s">
        <v>224</v>
      </c>
      <c r="D135" s="314" t="s">
        <v>149</v>
      </c>
      <c r="E135" s="314"/>
      <c r="F135" s="314" t="s">
        <v>150</v>
      </c>
      <c r="G135" s="314" t="s">
        <v>150</v>
      </c>
      <c r="H135" s="314"/>
      <c r="I135" s="314"/>
      <c r="J135" s="314"/>
      <c r="K135" s="314" t="s">
        <v>226</v>
      </c>
      <c r="L135" s="314"/>
      <c r="M135" s="314"/>
      <c r="N135" s="314" t="s">
        <v>222</v>
      </c>
      <c r="O135" s="314" t="s">
        <v>223</v>
      </c>
      <c r="P135" s="314" t="s">
        <v>222</v>
      </c>
      <c r="Q135" s="314"/>
      <c r="R135" s="314"/>
      <c r="S135" s="314" t="s">
        <v>150</v>
      </c>
      <c r="T135" s="314" t="s">
        <v>150</v>
      </c>
      <c r="U135" s="314"/>
      <c r="V135" s="314" t="s">
        <v>149</v>
      </c>
      <c r="W135" s="314" t="s">
        <v>149</v>
      </c>
      <c r="X135" s="314" t="s">
        <v>225</v>
      </c>
      <c r="Y135" s="314" t="s">
        <v>150</v>
      </c>
      <c r="Z135" s="314" t="s">
        <v>150</v>
      </c>
      <c r="AA135" s="314" t="s">
        <v>150</v>
      </c>
      <c r="AB135" s="314"/>
      <c r="AC135" s="314"/>
      <c r="AD135" s="314"/>
      <c r="AE135" s="314"/>
      <c r="AF135" s="314"/>
      <c r="AG135" s="314"/>
      <c r="AH135" s="314" t="s">
        <v>149</v>
      </c>
      <c r="AI135" s="314" t="s">
        <v>150</v>
      </c>
      <c r="AJ135" s="314" t="s">
        <v>223</v>
      </c>
      <c r="AK135" s="314" t="s">
        <v>221</v>
      </c>
      <c r="AL135" s="314" t="s">
        <v>222</v>
      </c>
      <c r="AM135" s="314"/>
      <c r="AN135" s="314"/>
      <c r="AO135" s="314" t="s">
        <v>150</v>
      </c>
      <c r="AP135" s="314"/>
      <c r="AQ135" s="314" t="s">
        <v>224</v>
      </c>
      <c r="AR135" s="314" t="s">
        <v>149</v>
      </c>
      <c r="AS135" s="314" t="s">
        <v>149</v>
      </c>
      <c r="AT135" s="314" t="s">
        <v>149</v>
      </c>
      <c r="AU135" s="314" t="s">
        <v>150</v>
      </c>
      <c r="AV135" s="314"/>
      <c r="AW135" s="314" t="s">
        <v>224</v>
      </c>
      <c r="AX135" s="314"/>
      <c r="AY135" s="314"/>
      <c r="AZ135" s="314" t="s">
        <v>223</v>
      </c>
      <c r="BA135" s="314" t="s">
        <v>222</v>
      </c>
      <c r="BB135" s="314" t="s">
        <v>221</v>
      </c>
      <c r="BC135" s="314" t="s">
        <v>222</v>
      </c>
      <c r="BD135" s="314"/>
      <c r="BE135" s="314"/>
      <c r="BF135" s="314"/>
      <c r="BG135" s="454"/>
      <c r="BH135" s="454"/>
      <c r="BI135" s="454"/>
      <c r="BJ135" s="454"/>
      <c r="BK135" s="454"/>
      <c r="BL135" s="454"/>
      <c r="BM135" s="454"/>
      <c r="BN135" s="454"/>
      <c r="BO135" s="454"/>
      <c r="BP135" s="454"/>
      <c r="BQ135" s="454"/>
      <c r="BR135" s="454"/>
      <c r="BS135" s="454"/>
      <c r="BT135" s="454"/>
      <c r="BU135" s="314"/>
      <c r="BV135" s="314"/>
      <c r="BW135" s="314" t="s">
        <v>226</v>
      </c>
      <c r="BX135" s="314"/>
      <c r="BY135" s="314" t="s">
        <v>222</v>
      </c>
      <c r="BZ135" s="314" t="s">
        <v>223</v>
      </c>
      <c r="CA135" s="314" t="s">
        <v>222</v>
      </c>
      <c r="CB135" s="314" t="s">
        <v>221</v>
      </c>
      <c r="CC135" s="314"/>
      <c r="CD135" s="314"/>
      <c r="CE135" s="314" t="s">
        <v>225</v>
      </c>
      <c r="CF135" s="314"/>
      <c r="CG135" s="314" t="s">
        <v>150</v>
      </c>
      <c r="CH135" s="314" t="s">
        <v>226</v>
      </c>
      <c r="CI135" s="314"/>
      <c r="CJ135" s="314" t="s">
        <v>229</v>
      </c>
      <c r="CK135" s="314" t="s">
        <v>225</v>
      </c>
      <c r="CL135" s="314" t="s">
        <v>226</v>
      </c>
      <c r="CM135" s="314" t="s">
        <v>150</v>
      </c>
      <c r="CN135" s="314"/>
      <c r="CO135" s="314"/>
    </row>
    <row r="136" spans="1:93" ht="14.1" customHeight="1">
      <c r="A136" s="456" t="s">
        <v>252</v>
      </c>
      <c r="B136" s="385">
        <v>700682</v>
      </c>
      <c r="C136" s="172"/>
      <c r="D136" s="457"/>
      <c r="E136" s="457"/>
      <c r="F136" s="457"/>
      <c r="G136" s="457"/>
      <c r="H136" s="457"/>
      <c r="I136" s="457"/>
      <c r="J136" s="457"/>
      <c r="K136" s="457"/>
      <c r="L136" s="457"/>
      <c r="M136" s="457"/>
      <c r="N136" s="457"/>
      <c r="O136" s="457"/>
      <c r="P136" s="457"/>
      <c r="Q136" s="457"/>
      <c r="R136" s="457"/>
      <c r="S136" s="457"/>
      <c r="T136" s="457"/>
      <c r="U136" s="457"/>
      <c r="V136" s="457"/>
      <c r="W136" s="457"/>
      <c r="X136" s="457"/>
      <c r="Y136" s="457"/>
      <c r="Z136" s="457"/>
      <c r="AA136" s="457"/>
      <c r="AB136" s="457"/>
      <c r="AC136" s="457"/>
      <c r="AD136" s="457"/>
      <c r="AE136" s="457"/>
      <c r="AF136" s="457"/>
      <c r="AG136" s="457"/>
      <c r="AH136" s="457"/>
      <c r="AI136" s="457"/>
      <c r="AJ136" s="457"/>
      <c r="AK136" s="457"/>
      <c r="AL136" s="457"/>
      <c r="AM136" s="457"/>
      <c r="AN136" s="457"/>
      <c r="AO136" s="457"/>
      <c r="AP136" s="457"/>
      <c r="AQ136" s="457"/>
      <c r="AR136" s="457"/>
      <c r="AS136" s="457"/>
      <c r="AT136" s="457"/>
      <c r="AU136" s="457"/>
      <c r="AV136" s="457"/>
      <c r="AW136" s="457"/>
      <c r="AX136" s="457"/>
      <c r="AY136" s="457"/>
      <c r="AZ136" s="457"/>
      <c r="BA136" s="457"/>
      <c r="BB136" s="457"/>
      <c r="BC136" s="457"/>
      <c r="BD136" s="457"/>
      <c r="BE136" s="457"/>
      <c r="BF136" s="457"/>
      <c r="BG136" s="457"/>
      <c r="BH136" s="457"/>
      <c r="BI136" s="457"/>
      <c r="BJ136" s="457"/>
      <c r="BK136" s="457"/>
      <c r="BL136" s="457"/>
      <c r="BM136" s="457"/>
      <c r="BN136" s="457"/>
      <c r="BO136" s="457"/>
      <c r="BP136" s="457"/>
      <c r="BQ136" s="457"/>
      <c r="BR136" s="457"/>
      <c r="BS136" s="457"/>
      <c r="BT136" s="457"/>
      <c r="BU136" s="457"/>
      <c r="BV136" s="457"/>
      <c r="BW136" s="457"/>
      <c r="BX136" s="457"/>
      <c r="BY136" s="457"/>
      <c r="BZ136" s="457"/>
      <c r="CA136" s="457"/>
      <c r="CB136" s="314"/>
      <c r="CC136" s="314"/>
      <c r="CD136" s="314" t="s">
        <v>149</v>
      </c>
      <c r="CE136" s="314"/>
      <c r="CF136" s="314" t="s">
        <v>222</v>
      </c>
      <c r="CG136" s="314" t="s">
        <v>222</v>
      </c>
      <c r="CH136" s="314" t="s">
        <v>222</v>
      </c>
      <c r="CI136" s="314" t="s">
        <v>223</v>
      </c>
      <c r="CJ136" s="314"/>
      <c r="CK136" s="314"/>
      <c r="CL136" s="314" t="s">
        <v>150</v>
      </c>
      <c r="CM136" s="314"/>
      <c r="CN136" s="314" t="s">
        <v>225</v>
      </c>
      <c r="CO136" s="314" t="s">
        <v>224</v>
      </c>
    </row>
    <row r="137" spans="1:93" ht="14.1" customHeight="1">
      <c r="A137" s="456" t="s">
        <v>253</v>
      </c>
      <c r="B137" s="385">
        <v>700721</v>
      </c>
      <c r="C137" s="172"/>
      <c r="D137" s="457"/>
      <c r="E137" s="457"/>
      <c r="F137" s="457"/>
      <c r="G137" s="457"/>
      <c r="H137" s="457"/>
      <c r="I137" s="457"/>
      <c r="J137" s="457"/>
      <c r="K137" s="457"/>
      <c r="L137" s="457"/>
      <c r="M137" s="457"/>
      <c r="N137" s="457"/>
      <c r="O137" s="457"/>
      <c r="P137" s="457"/>
      <c r="Q137" s="457"/>
      <c r="R137" s="457"/>
      <c r="S137" s="457"/>
      <c r="T137" s="457"/>
      <c r="U137" s="457"/>
      <c r="V137" s="457"/>
      <c r="W137" s="457"/>
      <c r="X137" s="457"/>
      <c r="Y137" s="457"/>
      <c r="Z137" s="457"/>
      <c r="AA137" s="457"/>
      <c r="AB137" s="457"/>
      <c r="AC137" s="457"/>
      <c r="AD137" s="457"/>
      <c r="AE137" s="457"/>
      <c r="AF137" s="457"/>
      <c r="AG137" s="457"/>
      <c r="AH137" s="457"/>
      <c r="AI137" s="457"/>
      <c r="AJ137" s="457"/>
      <c r="AK137" s="457"/>
      <c r="AL137" s="457"/>
      <c r="AM137" s="457"/>
      <c r="AN137" s="457"/>
      <c r="AO137" s="457"/>
      <c r="AP137" s="457"/>
      <c r="AQ137" s="457"/>
      <c r="AR137" s="457"/>
      <c r="AS137" s="457"/>
      <c r="AT137" s="457"/>
      <c r="AU137" s="457"/>
      <c r="AV137" s="457"/>
      <c r="AW137" s="457"/>
      <c r="AX137" s="457"/>
      <c r="AY137" s="457"/>
      <c r="AZ137" s="457"/>
      <c r="BA137" s="457"/>
      <c r="BB137" s="457"/>
      <c r="BC137" s="457"/>
      <c r="BD137" s="457"/>
      <c r="BE137" s="457"/>
      <c r="BF137" s="457"/>
      <c r="BG137" s="457"/>
      <c r="BH137" s="457"/>
      <c r="BI137" s="457"/>
      <c r="BJ137" s="457"/>
      <c r="BK137" s="457"/>
      <c r="BL137" s="457"/>
      <c r="BM137" s="457"/>
      <c r="BN137" s="314"/>
      <c r="BO137" s="314"/>
      <c r="BP137" s="314" t="s">
        <v>149</v>
      </c>
      <c r="BQ137" s="314"/>
      <c r="BR137" s="314" t="s">
        <v>223</v>
      </c>
      <c r="BS137" s="314" t="s">
        <v>222</v>
      </c>
      <c r="BT137" s="314" t="s">
        <v>221</v>
      </c>
      <c r="BU137" s="314" t="s">
        <v>222</v>
      </c>
      <c r="BV137" s="314"/>
      <c r="BW137" s="314"/>
      <c r="BX137" s="314" t="s">
        <v>150</v>
      </c>
      <c r="BY137" s="314" t="s">
        <v>150</v>
      </c>
      <c r="BZ137" s="314" t="s">
        <v>226</v>
      </c>
      <c r="CA137" s="314"/>
      <c r="CB137" s="457"/>
      <c r="CC137" s="457"/>
      <c r="CD137" s="457"/>
      <c r="CE137" s="457"/>
      <c r="CF137" s="457"/>
      <c r="CG137" s="457"/>
      <c r="CH137" s="457"/>
      <c r="CI137" s="457"/>
      <c r="CJ137" s="457"/>
      <c r="CK137" s="457"/>
      <c r="CL137" s="457"/>
      <c r="CM137" s="457"/>
      <c r="CN137" s="457"/>
      <c r="CO137" s="457"/>
    </row>
    <row r="138" spans="1:93" ht="14.1" customHeight="1">
      <c r="A138" s="456" t="s">
        <v>254</v>
      </c>
      <c r="B138" s="385">
        <v>703820</v>
      </c>
      <c r="C138" s="172"/>
      <c r="D138" s="457"/>
      <c r="E138" s="457"/>
      <c r="F138" s="457"/>
      <c r="G138" s="457"/>
      <c r="H138" s="457"/>
      <c r="I138" s="457"/>
      <c r="J138" s="457"/>
      <c r="K138" s="457"/>
      <c r="L138" s="457"/>
      <c r="M138" s="457"/>
      <c r="N138" s="457"/>
      <c r="O138" s="457"/>
      <c r="P138" s="457"/>
      <c r="Q138" s="457"/>
      <c r="R138" s="457"/>
      <c r="S138" s="457"/>
      <c r="T138" s="457"/>
      <c r="U138" s="457"/>
      <c r="V138" s="457"/>
      <c r="W138" s="457"/>
      <c r="X138" s="457"/>
      <c r="Y138" s="457"/>
      <c r="Z138" s="457"/>
      <c r="AA138" s="457"/>
      <c r="AB138" s="457"/>
      <c r="AC138" s="457"/>
      <c r="AD138" s="457"/>
      <c r="AE138" s="457"/>
      <c r="AF138" s="457"/>
      <c r="AG138" s="457"/>
      <c r="AH138" s="457"/>
      <c r="AI138" s="457"/>
      <c r="AJ138" s="457"/>
      <c r="AK138" s="457"/>
      <c r="AL138" s="457"/>
      <c r="AM138" s="457"/>
      <c r="AN138" s="457"/>
      <c r="AO138" s="457"/>
      <c r="AP138" s="457"/>
      <c r="AQ138" s="457"/>
      <c r="AR138" s="457"/>
      <c r="AS138" s="457"/>
      <c r="AT138" s="457"/>
      <c r="AU138" s="457"/>
      <c r="AV138" s="457"/>
      <c r="AW138" s="457"/>
      <c r="AX138" s="457"/>
      <c r="AY138" s="457"/>
      <c r="AZ138" s="457"/>
      <c r="BA138" s="457"/>
      <c r="BB138" s="457"/>
      <c r="BC138" s="457"/>
      <c r="BD138" s="457"/>
      <c r="BE138" s="457"/>
      <c r="BF138" s="457"/>
      <c r="BG138" s="457"/>
      <c r="BH138" s="457"/>
      <c r="BI138" s="457"/>
      <c r="BJ138" s="457"/>
      <c r="BK138" s="457"/>
      <c r="BL138" s="457"/>
      <c r="BM138" s="457"/>
      <c r="BN138" s="457"/>
      <c r="BO138" s="457"/>
      <c r="BP138" s="457"/>
      <c r="BQ138" s="457"/>
      <c r="BR138" s="457"/>
      <c r="BS138" s="457"/>
      <c r="BT138" s="457"/>
      <c r="BU138" s="314" t="s">
        <v>149</v>
      </c>
      <c r="BV138" s="314" t="s">
        <v>222</v>
      </c>
      <c r="BW138" s="314" t="s">
        <v>222</v>
      </c>
      <c r="BX138" s="314" t="s">
        <v>222</v>
      </c>
      <c r="BY138" s="314"/>
      <c r="BZ138" s="458"/>
      <c r="CA138" s="458"/>
      <c r="CB138" s="314" t="s">
        <v>149</v>
      </c>
      <c r="CC138" s="314"/>
      <c r="CD138" s="314"/>
      <c r="CE138" s="314"/>
      <c r="CF138" s="314" t="s">
        <v>223</v>
      </c>
      <c r="CG138" s="314" t="s">
        <v>221</v>
      </c>
      <c r="CH138" s="314" t="s">
        <v>222</v>
      </c>
      <c r="CI138" s="314" t="s">
        <v>222</v>
      </c>
      <c r="CJ138" s="314"/>
      <c r="CK138" s="314"/>
      <c r="CL138" s="314" t="s">
        <v>150</v>
      </c>
      <c r="CM138" s="314"/>
      <c r="CN138" s="314" t="s">
        <v>150</v>
      </c>
      <c r="CO138" s="314" t="s">
        <v>150</v>
      </c>
    </row>
    <row r="139" spans="1:93" ht="14.1" customHeight="1">
      <c r="A139" s="456" t="s">
        <v>255</v>
      </c>
      <c r="B139" s="385">
        <v>703788</v>
      </c>
      <c r="C139" s="172"/>
      <c r="D139" s="457"/>
      <c r="E139" s="457"/>
      <c r="F139" s="457"/>
      <c r="G139" s="457"/>
      <c r="H139" s="457"/>
      <c r="I139" s="457"/>
      <c r="J139" s="457"/>
      <c r="K139" s="457"/>
      <c r="L139" s="457"/>
      <c r="M139" s="457"/>
      <c r="N139" s="457"/>
      <c r="O139" s="457"/>
      <c r="P139" s="457"/>
      <c r="Q139" s="457"/>
      <c r="R139" s="457"/>
      <c r="S139" s="457"/>
      <c r="T139" s="457"/>
      <c r="U139" s="457"/>
      <c r="V139" s="457"/>
      <c r="W139" s="457"/>
      <c r="X139" s="457"/>
      <c r="Y139" s="457"/>
      <c r="Z139" s="457"/>
      <c r="AA139" s="457"/>
      <c r="AB139" s="457"/>
      <c r="AC139" s="457"/>
      <c r="AD139" s="457"/>
      <c r="AE139" s="457"/>
      <c r="AF139" s="457"/>
      <c r="AG139" s="457"/>
      <c r="AH139" s="457"/>
      <c r="AI139" s="457"/>
      <c r="AJ139" s="457"/>
      <c r="AK139" s="457"/>
      <c r="AL139" s="457"/>
      <c r="AM139" s="457"/>
      <c r="AN139" s="457"/>
      <c r="AO139" s="457"/>
      <c r="AP139" s="457"/>
      <c r="AQ139" s="457"/>
      <c r="AR139" s="457"/>
      <c r="AS139" s="457"/>
      <c r="AT139" s="457"/>
      <c r="AU139" s="457"/>
      <c r="AV139" s="457"/>
      <c r="AW139" s="457"/>
      <c r="AX139" s="457"/>
      <c r="AY139" s="457"/>
      <c r="AZ139" s="457"/>
      <c r="BA139" s="457"/>
      <c r="BB139" s="457"/>
      <c r="BC139" s="457"/>
      <c r="BD139" s="457"/>
      <c r="BE139" s="457"/>
      <c r="BF139" s="457"/>
      <c r="BG139" s="314"/>
      <c r="BH139" s="314"/>
      <c r="BI139" s="314" t="s">
        <v>149</v>
      </c>
      <c r="BJ139" s="314"/>
      <c r="BK139" s="314" t="s">
        <v>222</v>
      </c>
      <c r="BL139" s="314" t="s">
        <v>222</v>
      </c>
      <c r="BM139" s="314" t="s">
        <v>222</v>
      </c>
      <c r="BN139" s="314" t="s">
        <v>222</v>
      </c>
      <c r="BO139" s="314"/>
      <c r="BP139" s="314"/>
      <c r="BQ139" s="314" t="s">
        <v>150</v>
      </c>
      <c r="BR139" s="314"/>
      <c r="BS139" s="314" t="s">
        <v>149</v>
      </c>
      <c r="BT139" s="314" t="s">
        <v>149</v>
      </c>
      <c r="BU139" s="457"/>
      <c r="BV139" s="457"/>
      <c r="BW139" s="457"/>
      <c r="BX139" s="457"/>
      <c r="BY139" s="457"/>
      <c r="BZ139" s="457"/>
      <c r="CA139" s="457"/>
      <c r="CB139" s="457"/>
      <c r="CC139" s="457"/>
      <c r="CD139" s="457"/>
      <c r="CE139" s="457"/>
      <c r="CF139" s="457"/>
      <c r="CG139" s="457"/>
      <c r="CH139" s="457"/>
      <c r="CI139" s="457"/>
      <c r="CJ139" s="457"/>
      <c r="CK139" s="457"/>
      <c r="CL139" s="457"/>
      <c r="CM139" s="457"/>
      <c r="CN139" s="457"/>
      <c r="CO139" s="457"/>
    </row>
    <row r="140" spans="1:93" ht="14.1" customHeight="1">
      <c r="A140" s="456" t="s">
        <v>256</v>
      </c>
      <c r="B140" s="385">
        <v>700646</v>
      </c>
      <c r="C140" s="172"/>
      <c r="D140" s="457"/>
      <c r="E140" s="457"/>
      <c r="F140" s="457"/>
      <c r="G140" s="457"/>
      <c r="H140" s="457"/>
      <c r="I140" s="457"/>
      <c r="J140" s="457"/>
      <c r="K140" s="457"/>
      <c r="L140" s="457"/>
      <c r="M140" s="457"/>
      <c r="N140" s="457"/>
      <c r="O140" s="457"/>
      <c r="P140" s="457"/>
      <c r="Q140" s="457"/>
      <c r="R140" s="457"/>
      <c r="S140" s="457"/>
      <c r="T140" s="457"/>
      <c r="U140" s="457"/>
      <c r="V140" s="457"/>
      <c r="W140" s="457"/>
      <c r="X140" s="457"/>
      <c r="Y140" s="457"/>
      <c r="Z140" s="457"/>
      <c r="AA140" s="457"/>
      <c r="AB140" s="457"/>
      <c r="AC140" s="457"/>
      <c r="AD140" s="457"/>
      <c r="AE140" s="457"/>
      <c r="AF140" s="457"/>
      <c r="AG140" s="457"/>
      <c r="AH140" s="457"/>
      <c r="AI140" s="457"/>
      <c r="AJ140" s="457"/>
      <c r="AK140" s="457"/>
      <c r="AL140" s="314"/>
      <c r="AM140" s="314"/>
      <c r="AN140" s="314" t="s">
        <v>149</v>
      </c>
      <c r="AO140" s="314"/>
      <c r="AP140" s="314" t="s">
        <v>222</v>
      </c>
      <c r="AQ140" s="314" t="s">
        <v>222</v>
      </c>
      <c r="AR140" s="314" t="s">
        <v>222</v>
      </c>
      <c r="AS140" s="314" t="s">
        <v>222</v>
      </c>
      <c r="AT140" s="314"/>
      <c r="AU140" s="314"/>
      <c r="AV140" s="314" t="s">
        <v>150</v>
      </c>
      <c r="AW140" s="314"/>
      <c r="AX140" s="314" t="s">
        <v>149</v>
      </c>
      <c r="AY140" s="314" t="s">
        <v>149</v>
      </c>
      <c r="AZ140" s="457"/>
      <c r="BA140" s="457"/>
      <c r="BB140" s="457"/>
      <c r="BC140" s="457"/>
      <c r="BD140" s="457"/>
      <c r="BE140" s="457"/>
      <c r="BF140" s="457"/>
      <c r="BG140" s="457"/>
      <c r="BH140" s="457"/>
      <c r="BI140" s="457"/>
      <c r="BJ140" s="457"/>
      <c r="BK140" s="457"/>
      <c r="BL140" s="457"/>
      <c r="BM140" s="457"/>
      <c r="BN140" s="457"/>
      <c r="BO140" s="457"/>
      <c r="BP140" s="457"/>
      <c r="BQ140" s="457"/>
      <c r="BR140" s="457"/>
      <c r="BS140" s="457"/>
      <c r="BT140" s="457"/>
      <c r="BU140" s="457"/>
      <c r="BV140" s="457"/>
      <c r="BW140" s="457"/>
      <c r="BX140" s="457"/>
      <c r="BY140" s="457"/>
      <c r="BZ140" s="457"/>
      <c r="CA140" s="457"/>
      <c r="CB140" s="457"/>
      <c r="CC140" s="457"/>
      <c r="CD140" s="457"/>
      <c r="CE140" s="457"/>
      <c r="CF140" s="457"/>
      <c r="CG140" s="457"/>
      <c r="CH140" s="457"/>
      <c r="CI140" s="457"/>
      <c r="CJ140" s="457"/>
      <c r="CK140" s="457"/>
      <c r="CL140" s="457"/>
      <c r="CM140" s="457"/>
      <c r="CN140" s="457"/>
      <c r="CO140" s="457"/>
    </row>
    <row r="141" spans="1:93" ht="14.1" customHeight="1">
      <c r="A141" s="456" t="s">
        <v>257</v>
      </c>
      <c r="B141" s="453">
        <v>655539</v>
      </c>
      <c r="C141" s="172"/>
      <c r="D141" s="457"/>
      <c r="E141" s="457"/>
      <c r="F141" s="457"/>
      <c r="G141" s="457"/>
      <c r="H141" s="457"/>
      <c r="I141" s="457"/>
      <c r="J141" s="457"/>
      <c r="K141" s="457"/>
      <c r="L141" s="457"/>
      <c r="M141" s="457"/>
      <c r="N141" s="457"/>
      <c r="O141" s="457"/>
      <c r="P141" s="457"/>
      <c r="Q141" s="457"/>
      <c r="R141" s="457"/>
      <c r="S141" s="457"/>
      <c r="T141" s="457"/>
      <c r="U141" s="457"/>
      <c r="V141" s="457"/>
      <c r="W141" s="457"/>
      <c r="X141" s="314" t="s">
        <v>150</v>
      </c>
      <c r="Y141" s="314" t="s">
        <v>222</v>
      </c>
      <c r="Z141" s="314" t="s">
        <v>222</v>
      </c>
      <c r="AA141" s="314" t="s">
        <v>222</v>
      </c>
      <c r="AB141" s="314"/>
      <c r="AC141" s="314"/>
      <c r="AD141" s="314"/>
      <c r="AE141" s="314"/>
      <c r="AF141" s="314"/>
      <c r="AG141" s="314"/>
      <c r="AH141" s="314" t="s">
        <v>149</v>
      </c>
      <c r="AI141" s="314" t="s">
        <v>222</v>
      </c>
      <c r="AJ141" s="314" t="s">
        <v>222</v>
      </c>
      <c r="AK141" s="314" t="s">
        <v>222</v>
      </c>
      <c r="AL141" s="314" t="s">
        <v>222</v>
      </c>
      <c r="AM141" s="314"/>
      <c r="AN141" s="314"/>
      <c r="AO141" s="314" t="s">
        <v>150</v>
      </c>
      <c r="AP141" s="314"/>
      <c r="AQ141" s="314" t="s">
        <v>150</v>
      </c>
      <c r="AR141" s="314" t="s">
        <v>150</v>
      </c>
      <c r="AS141" s="457"/>
      <c r="AT141" s="457"/>
      <c r="AU141" s="457"/>
      <c r="AV141" s="457"/>
      <c r="AW141" s="457"/>
      <c r="AX141" s="457"/>
      <c r="AY141" s="457"/>
      <c r="AZ141" s="457"/>
      <c r="BA141" s="457"/>
      <c r="BB141" s="457"/>
      <c r="BC141" s="457"/>
      <c r="BD141" s="457"/>
      <c r="BE141" s="457"/>
      <c r="BF141" s="457"/>
      <c r="BG141" s="457"/>
      <c r="BH141" s="457"/>
      <c r="BI141" s="457"/>
      <c r="BJ141" s="457"/>
      <c r="BK141" s="457"/>
      <c r="BL141" s="457"/>
      <c r="BM141" s="457"/>
      <c r="BN141" s="457"/>
      <c r="BO141" s="457"/>
      <c r="BP141" s="457"/>
      <c r="BQ141" s="457"/>
      <c r="BR141" s="457"/>
      <c r="BS141" s="457"/>
      <c r="BT141" s="457"/>
      <c r="BU141" s="457"/>
      <c r="BV141" s="457"/>
      <c r="BW141" s="457"/>
      <c r="BX141" s="457"/>
      <c r="BY141" s="457"/>
      <c r="BZ141" s="457"/>
      <c r="CA141" s="457"/>
      <c r="CB141" s="457"/>
      <c r="CC141" s="457"/>
      <c r="CD141" s="457"/>
      <c r="CE141" s="457"/>
      <c r="CF141" s="457"/>
      <c r="CG141" s="457"/>
      <c r="CH141" s="457"/>
      <c r="CI141" s="457"/>
      <c r="CJ141" s="457"/>
      <c r="CK141" s="457"/>
      <c r="CL141" s="457"/>
      <c r="CM141" s="457"/>
      <c r="CN141" s="457"/>
      <c r="CO141" s="457"/>
    </row>
    <row r="142" spans="1:93" ht="14.1" customHeight="1">
      <c r="A142" s="459" t="s">
        <v>258</v>
      </c>
      <c r="B142" s="453">
        <v>653933</v>
      </c>
      <c r="C142" s="173"/>
      <c r="D142" s="454"/>
      <c r="E142" s="454"/>
      <c r="F142" s="454"/>
      <c r="G142" s="454"/>
      <c r="H142" s="454"/>
      <c r="I142" s="454"/>
      <c r="J142" s="454"/>
      <c r="K142" s="454"/>
      <c r="L142" s="454"/>
      <c r="M142" s="454"/>
      <c r="N142" s="454"/>
      <c r="O142" s="454"/>
      <c r="P142" s="454"/>
      <c r="Q142" s="454"/>
      <c r="R142" s="454"/>
      <c r="S142" s="454"/>
      <c r="T142" s="454"/>
      <c r="U142" s="454"/>
      <c r="V142" s="454"/>
      <c r="W142" s="454"/>
      <c r="X142" s="314" t="s">
        <v>149</v>
      </c>
      <c r="Y142" s="314" t="s">
        <v>221</v>
      </c>
      <c r="Z142" s="314" t="s">
        <v>223</v>
      </c>
      <c r="AA142" s="314"/>
      <c r="AB142" s="314"/>
      <c r="AC142" s="314" t="s">
        <v>150</v>
      </c>
      <c r="AD142" s="314"/>
      <c r="AE142" s="314" t="s">
        <v>150</v>
      </c>
      <c r="AF142" s="314" t="s">
        <v>150</v>
      </c>
      <c r="AG142" s="314" t="s">
        <v>150</v>
      </c>
      <c r="AH142" s="314"/>
      <c r="AI142" s="314" t="s">
        <v>225</v>
      </c>
      <c r="AJ142" s="314"/>
      <c r="AK142" s="314"/>
      <c r="AL142" s="314" t="s">
        <v>226</v>
      </c>
      <c r="AM142" s="314" t="s">
        <v>222</v>
      </c>
      <c r="AN142" s="314" t="s">
        <v>223</v>
      </c>
      <c r="AO142" s="314" t="s">
        <v>222</v>
      </c>
      <c r="AP142" s="314"/>
      <c r="AQ142" s="314"/>
      <c r="AR142" s="314"/>
      <c r="AS142" s="314"/>
      <c r="AT142" s="314" t="s">
        <v>226</v>
      </c>
      <c r="AU142" s="314"/>
      <c r="AV142" s="314" t="s">
        <v>149</v>
      </c>
      <c r="AW142" s="314"/>
      <c r="AX142" s="314" t="s">
        <v>150</v>
      </c>
      <c r="AY142" s="314" t="s">
        <v>150</v>
      </c>
      <c r="AZ142" s="314" t="s">
        <v>150</v>
      </c>
      <c r="BA142" s="314" t="s">
        <v>221</v>
      </c>
      <c r="BB142" s="314" t="s">
        <v>222</v>
      </c>
      <c r="BC142" s="314"/>
      <c r="BD142" s="314"/>
      <c r="BE142" s="314"/>
      <c r="BF142" s="314" t="s">
        <v>225</v>
      </c>
      <c r="BG142" s="314" t="s">
        <v>149</v>
      </c>
      <c r="BH142" s="314" t="s">
        <v>226</v>
      </c>
      <c r="BI142" s="314"/>
      <c r="BJ142" s="314"/>
      <c r="BK142" s="314"/>
      <c r="BL142" s="314" t="s">
        <v>149</v>
      </c>
      <c r="BM142" s="314" t="s">
        <v>149</v>
      </c>
      <c r="BN142" s="314"/>
      <c r="BO142" s="314" t="s">
        <v>150</v>
      </c>
      <c r="BP142" s="314"/>
      <c r="BQ142" s="314"/>
      <c r="BR142" s="314" t="s">
        <v>222</v>
      </c>
      <c r="BS142" s="314" t="s">
        <v>221</v>
      </c>
      <c r="BT142" s="314" t="s">
        <v>223</v>
      </c>
      <c r="BU142" s="314" t="s">
        <v>222</v>
      </c>
      <c r="BV142" s="314"/>
      <c r="BW142" s="314"/>
      <c r="BX142" s="314" t="s">
        <v>226</v>
      </c>
      <c r="BY142" s="314"/>
      <c r="BZ142" s="314" t="s">
        <v>150</v>
      </c>
      <c r="CA142" s="314" t="s">
        <v>150</v>
      </c>
      <c r="CB142" s="314"/>
      <c r="CC142" s="314" t="s">
        <v>224</v>
      </c>
      <c r="CD142" s="314" t="s">
        <v>229</v>
      </c>
      <c r="CE142" s="314"/>
      <c r="CF142" s="314"/>
      <c r="CG142" s="314" t="s">
        <v>149</v>
      </c>
      <c r="CH142" s="314" t="s">
        <v>225</v>
      </c>
      <c r="CI142" s="314" t="s">
        <v>221</v>
      </c>
      <c r="CJ142" s="314" t="s">
        <v>222</v>
      </c>
      <c r="CK142" s="314"/>
      <c r="CL142" s="314"/>
      <c r="CM142" s="314" t="s">
        <v>150</v>
      </c>
      <c r="CN142" s="314" t="s">
        <v>226</v>
      </c>
      <c r="CO142" s="314"/>
    </row>
    <row r="143" spans="1:93" ht="14.1" customHeight="1">
      <c r="A143" s="456" t="s">
        <v>259</v>
      </c>
      <c r="B143" s="460"/>
      <c r="C143" s="172"/>
      <c r="D143" s="457"/>
      <c r="E143" s="457"/>
      <c r="F143" s="457"/>
      <c r="G143" s="457"/>
      <c r="H143" s="457"/>
      <c r="I143" s="457"/>
      <c r="J143" s="457"/>
      <c r="K143" s="457"/>
      <c r="L143" s="457"/>
      <c r="M143" s="457"/>
      <c r="N143" s="457"/>
      <c r="O143" s="457"/>
      <c r="P143" s="457"/>
      <c r="Q143" s="457"/>
      <c r="R143" s="457"/>
      <c r="S143" s="457"/>
      <c r="T143" s="457"/>
      <c r="U143" s="457"/>
      <c r="V143" s="457"/>
      <c r="W143" s="457"/>
      <c r="X143" s="457"/>
      <c r="Y143" s="457"/>
      <c r="Z143" s="457"/>
      <c r="AA143" s="457"/>
      <c r="AB143" s="457"/>
      <c r="AC143" s="457"/>
      <c r="AD143" s="457"/>
      <c r="AE143" s="457"/>
      <c r="AF143" s="457"/>
      <c r="AG143" s="457"/>
      <c r="AH143" s="457"/>
      <c r="AI143" s="457"/>
      <c r="AJ143" s="457"/>
      <c r="AK143" s="457"/>
      <c r="AL143" s="457"/>
      <c r="AM143" s="457"/>
      <c r="AN143" s="457"/>
      <c r="AO143" s="457"/>
      <c r="AP143" s="457"/>
      <c r="AQ143" s="457"/>
      <c r="AR143" s="457"/>
      <c r="AS143" s="457"/>
      <c r="AT143" s="457"/>
      <c r="AU143" s="457"/>
      <c r="AV143" s="457"/>
      <c r="AW143" s="457"/>
      <c r="AX143" s="457"/>
      <c r="AY143" s="457"/>
      <c r="AZ143" s="457"/>
      <c r="BA143" s="457"/>
      <c r="BB143" s="457"/>
      <c r="BC143" s="457"/>
      <c r="BD143" s="457"/>
      <c r="BE143" s="457"/>
      <c r="BF143" s="457"/>
      <c r="BG143" s="457"/>
      <c r="BH143" s="457"/>
      <c r="BI143" s="457"/>
      <c r="BJ143" s="457"/>
      <c r="BK143" s="457"/>
      <c r="BL143" s="457"/>
      <c r="BM143" s="457"/>
      <c r="BN143" s="457"/>
      <c r="BO143" s="457"/>
      <c r="BP143" s="457"/>
      <c r="BQ143" s="457"/>
      <c r="BR143" s="457"/>
      <c r="BS143" s="457"/>
      <c r="BT143" s="457"/>
      <c r="BU143" s="457"/>
      <c r="BV143" s="457"/>
      <c r="BW143" s="457"/>
      <c r="BX143" s="457"/>
      <c r="BY143" s="457"/>
      <c r="BZ143" s="457"/>
      <c r="CA143" s="457"/>
      <c r="CB143" s="314"/>
      <c r="CC143" s="314"/>
      <c r="CD143" s="314" t="s">
        <v>149</v>
      </c>
      <c r="CE143" s="314"/>
      <c r="CF143" s="314" t="s">
        <v>222</v>
      </c>
      <c r="CG143" s="314" t="s">
        <v>222</v>
      </c>
      <c r="CH143" s="314" t="s">
        <v>223</v>
      </c>
      <c r="CI143" s="314" t="s">
        <v>222</v>
      </c>
      <c r="CJ143" s="314"/>
      <c r="CK143" s="314"/>
      <c r="CL143" s="314" t="s">
        <v>150</v>
      </c>
      <c r="CM143" s="314" t="s">
        <v>150</v>
      </c>
      <c r="CN143" s="314" t="s">
        <v>150</v>
      </c>
      <c r="CO143" s="314"/>
    </row>
    <row r="144" spans="1:93" ht="14.1" customHeight="1">
      <c r="A144" s="286"/>
      <c r="B144" s="721"/>
      <c r="D144" s="326"/>
      <c r="E144" s="326"/>
      <c r="F144" s="326"/>
      <c r="G144" s="326"/>
      <c r="H144" s="326"/>
      <c r="I144" s="326"/>
      <c r="K144" s="326"/>
      <c r="L144" s="326"/>
      <c r="M144" s="326"/>
      <c r="N144" s="326"/>
      <c r="O144" s="326"/>
      <c r="P144" s="326"/>
      <c r="R144" s="326"/>
      <c r="S144" s="326"/>
      <c r="T144" s="326"/>
      <c r="U144" s="326"/>
      <c r="V144" s="326"/>
      <c r="W144" s="326"/>
      <c r="Y144" s="326"/>
      <c r="Z144" s="326"/>
      <c r="AA144" s="326"/>
      <c r="AB144" s="326"/>
      <c r="AC144" s="326"/>
      <c r="AD144" s="326"/>
      <c r="AF144" s="326"/>
      <c r="AG144" s="326"/>
      <c r="AH144" s="326"/>
      <c r="AI144" s="326"/>
      <c r="AJ144" s="326"/>
      <c r="AK144" s="326"/>
      <c r="AM144" s="326"/>
      <c r="AN144" s="326"/>
      <c r="AO144" s="326"/>
      <c r="AP144" s="326"/>
      <c r="AQ144" s="326"/>
      <c r="AR144" s="326"/>
      <c r="AT144" s="326"/>
      <c r="AU144" s="326"/>
      <c r="AV144" s="326"/>
      <c r="AW144" s="326"/>
      <c r="AX144" s="326"/>
      <c r="AY144" s="326"/>
      <c r="BA144" s="326"/>
      <c r="BB144" s="326"/>
      <c r="BC144" s="326"/>
      <c r="BD144" s="326"/>
      <c r="BE144" s="326"/>
      <c r="BF144" s="326"/>
      <c r="BH144" s="326"/>
      <c r="BI144" s="326"/>
      <c r="BJ144" s="326"/>
      <c r="BK144" s="326"/>
      <c r="BL144" s="326"/>
      <c r="BM144" s="326"/>
      <c r="BO144" s="326"/>
      <c r="BP144" s="326"/>
      <c r="BQ144" s="326"/>
      <c r="BR144" s="326"/>
      <c r="BS144" s="326"/>
      <c r="BT144" s="326"/>
      <c r="BV144" s="326"/>
      <c r="BW144" s="326"/>
      <c r="BX144" s="326"/>
      <c r="BY144" s="326"/>
      <c r="BZ144" s="326"/>
      <c r="CA144" s="326"/>
      <c r="CC144" s="326"/>
      <c r="CD144" s="326"/>
      <c r="CE144" s="326"/>
      <c r="CF144" s="326"/>
      <c r="CG144" s="326"/>
      <c r="CH144" s="461"/>
      <c r="CJ144" s="326"/>
      <c r="CK144" s="326"/>
      <c r="CL144" s="326"/>
      <c r="CM144" s="326"/>
      <c r="CN144" s="326"/>
      <c r="CO144" s="326"/>
    </row>
    <row r="145" spans="1:94" ht="14.1" customHeight="1" thickBot="1">
      <c r="A145" s="462" t="s">
        <v>260</v>
      </c>
      <c r="B145" s="463"/>
      <c r="C145" s="53"/>
      <c r="D145" s="464"/>
      <c r="E145" s="464"/>
      <c r="F145" s="464"/>
      <c r="G145" s="464"/>
      <c r="H145" s="464"/>
      <c r="I145" s="464"/>
      <c r="J145" s="53"/>
      <c r="K145" s="464"/>
      <c r="L145" s="464"/>
      <c r="M145" s="464"/>
      <c r="N145" s="464"/>
      <c r="O145" s="464"/>
      <c r="P145" s="464"/>
      <c r="Q145" s="53"/>
      <c r="R145" s="464"/>
      <c r="S145" s="464"/>
      <c r="T145" s="464"/>
      <c r="U145" s="464"/>
      <c r="V145" s="464"/>
      <c r="W145" s="464"/>
      <c r="X145" s="53"/>
      <c r="Y145" s="464"/>
      <c r="Z145" s="464"/>
      <c r="AA145" s="464"/>
      <c r="AB145" s="464"/>
      <c r="AC145" s="464"/>
      <c r="AD145" s="464"/>
      <c r="AE145" s="53"/>
      <c r="AF145" s="464"/>
      <c r="AG145" s="464"/>
      <c r="AH145" s="464"/>
      <c r="AI145" s="464"/>
      <c r="AJ145" s="464"/>
      <c r="AK145" s="464"/>
      <c r="AL145" s="53"/>
      <c r="AM145" s="464"/>
      <c r="AN145" s="464"/>
      <c r="AO145" s="464"/>
      <c r="AP145" s="464"/>
      <c r="AQ145" s="464"/>
      <c r="AR145" s="464"/>
      <c r="AS145" s="53"/>
      <c r="AT145" s="464"/>
      <c r="AU145" s="464"/>
      <c r="AV145" s="464"/>
      <c r="AW145" s="464"/>
      <c r="AX145" s="464"/>
      <c r="AY145" s="464"/>
      <c r="AZ145" s="53"/>
      <c r="BA145" s="464"/>
      <c r="BB145" s="464"/>
      <c r="BC145" s="464"/>
      <c r="BD145" s="464"/>
      <c r="BE145" s="464"/>
      <c r="BF145" s="464"/>
      <c r="BG145" s="53"/>
      <c r="BH145" s="464"/>
      <c r="BI145" s="464"/>
      <c r="BJ145" s="464"/>
      <c r="BK145" s="464"/>
      <c r="BL145" s="464"/>
      <c r="BM145" s="464"/>
      <c r="BN145" s="53"/>
      <c r="BO145" s="464"/>
      <c r="BP145" s="464"/>
      <c r="BQ145" s="464"/>
      <c r="BR145" s="464"/>
      <c r="BS145" s="464"/>
      <c r="BT145" s="464"/>
      <c r="BU145" s="53"/>
      <c r="BV145" s="464"/>
      <c r="BW145" s="464"/>
      <c r="BX145" s="464"/>
      <c r="BY145" s="464"/>
      <c r="BZ145" s="464"/>
      <c r="CA145" s="464"/>
      <c r="CB145" s="53"/>
      <c r="CC145" s="464"/>
      <c r="CD145" s="464"/>
      <c r="CE145" s="464"/>
      <c r="CF145" s="464"/>
      <c r="CG145" s="464"/>
      <c r="CH145" s="465"/>
      <c r="CI145" s="53"/>
      <c r="CJ145" s="464"/>
      <c r="CK145" s="464"/>
      <c r="CL145" s="464"/>
      <c r="CM145" s="464"/>
      <c r="CN145" s="464"/>
      <c r="CO145" s="464"/>
    </row>
    <row r="146" spans="1:94" ht="14.1" customHeight="1">
      <c r="A146" s="174" t="s">
        <v>261</v>
      </c>
      <c r="B146" s="466">
        <v>703293</v>
      </c>
      <c r="C146" s="467" t="s">
        <v>262</v>
      </c>
      <c r="D146" s="314" t="s">
        <v>222</v>
      </c>
      <c r="E146" s="314" t="s">
        <v>222</v>
      </c>
      <c r="F146" s="314" t="s">
        <v>222</v>
      </c>
      <c r="G146" s="314"/>
      <c r="H146" s="468"/>
      <c r="I146" s="468"/>
      <c r="J146" s="469" t="s">
        <v>263</v>
      </c>
      <c r="K146" s="469" t="s">
        <v>263</v>
      </c>
      <c r="L146" s="469" t="s">
        <v>263</v>
      </c>
      <c r="M146" s="469" t="s">
        <v>263</v>
      </c>
      <c r="N146" s="469" t="s">
        <v>263</v>
      </c>
      <c r="O146" s="470" t="s">
        <v>263</v>
      </c>
      <c r="P146" s="470" t="s">
        <v>263</v>
      </c>
      <c r="Q146" s="470" t="s">
        <v>263</v>
      </c>
      <c r="R146" s="470" t="s">
        <v>263</v>
      </c>
      <c r="S146" s="470" t="s">
        <v>263</v>
      </c>
      <c r="T146" s="470" t="s">
        <v>263</v>
      </c>
      <c r="U146" s="470" t="s">
        <v>263</v>
      </c>
      <c r="V146" s="470" t="s">
        <v>263</v>
      </c>
      <c r="W146" s="470" t="s">
        <v>263</v>
      </c>
      <c r="X146" s="471" t="s">
        <v>149</v>
      </c>
      <c r="Y146" s="471" t="s">
        <v>150</v>
      </c>
      <c r="Z146" s="471"/>
      <c r="AA146" s="471"/>
      <c r="AB146" s="471"/>
      <c r="AC146" s="471" t="s">
        <v>150</v>
      </c>
      <c r="AD146" s="471" t="s">
        <v>150</v>
      </c>
      <c r="AE146" s="471"/>
      <c r="AF146" s="471" t="s">
        <v>149</v>
      </c>
      <c r="AG146" s="471" t="s">
        <v>149</v>
      </c>
      <c r="AH146" s="471"/>
      <c r="AI146" s="471"/>
      <c r="AJ146" s="471" t="s">
        <v>149</v>
      </c>
      <c r="AK146" s="471" t="s">
        <v>149</v>
      </c>
      <c r="AL146" s="471" t="s">
        <v>150</v>
      </c>
      <c r="AM146" s="471"/>
      <c r="AN146" s="471" t="s">
        <v>149</v>
      </c>
      <c r="AO146" s="471" t="s">
        <v>149</v>
      </c>
      <c r="AP146" s="471" t="s">
        <v>149</v>
      </c>
      <c r="AQ146" s="471"/>
      <c r="AR146" s="468" t="s">
        <v>264</v>
      </c>
      <c r="AS146" s="471" t="s">
        <v>149</v>
      </c>
      <c r="AT146" s="471" t="s">
        <v>149</v>
      </c>
      <c r="AU146" s="471"/>
      <c r="AV146" s="471"/>
      <c r="AW146" s="471"/>
      <c r="AX146" s="471" t="s">
        <v>265</v>
      </c>
      <c r="AY146" s="471" t="s">
        <v>265</v>
      </c>
      <c r="BA146" s="326"/>
      <c r="BB146" s="326"/>
      <c r="BC146" s="326"/>
      <c r="BD146" s="326"/>
      <c r="BE146" s="326"/>
      <c r="BF146" s="326"/>
      <c r="BH146" s="326"/>
      <c r="BI146" s="326"/>
      <c r="BJ146" s="326"/>
      <c r="BK146" s="326"/>
      <c r="BL146" s="326"/>
      <c r="BM146" s="326"/>
      <c r="BO146" s="326"/>
      <c r="BP146" s="326"/>
      <c r="BQ146" s="326"/>
      <c r="BR146" s="326"/>
      <c r="BS146" s="326"/>
      <c r="BT146" s="326"/>
      <c r="BV146" s="326"/>
      <c r="BW146" s="326"/>
      <c r="BX146" s="326"/>
      <c r="BY146" s="326"/>
      <c r="BZ146" s="326"/>
      <c r="CA146" s="326"/>
      <c r="CC146" s="326"/>
      <c r="CD146" s="326"/>
      <c r="CE146" s="326"/>
      <c r="CF146" s="326"/>
      <c r="CG146" s="326"/>
      <c r="CH146" s="461"/>
      <c r="CJ146" s="326"/>
      <c r="CK146" s="326"/>
      <c r="CL146" s="326"/>
      <c r="CM146" s="326"/>
      <c r="CN146" s="326"/>
      <c r="CO146" s="326"/>
    </row>
    <row r="147" spans="1:94" ht="14.1" customHeight="1">
      <c r="A147" s="472" t="s">
        <v>266</v>
      </c>
      <c r="B147" s="466">
        <v>703544</v>
      </c>
      <c r="C147" s="314" t="s">
        <v>149</v>
      </c>
      <c r="D147" s="314" t="s">
        <v>149</v>
      </c>
      <c r="E147" s="314"/>
      <c r="F147" s="314"/>
      <c r="G147" s="314"/>
      <c r="H147" s="471" t="s">
        <v>150</v>
      </c>
      <c r="I147" s="471" t="s">
        <v>150</v>
      </c>
      <c r="J147" s="314"/>
      <c r="K147" s="314"/>
      <c r="L147" s="314" t="s">
        <v>150</v>
      </c>
      <c r="M147" s="473" t="s">
        <v>222</v>
      </c>
      <c r="N147" s="314" t="s">
        <v>222</v>
      </c>
      <c r="O147" s="471" t="s">
        <v>222</v>
      </c>
      <c r="P147" s="471"/>
      <c r="Q147" s="471"/>
      <c r="R147" s="471" t="s">
        <v>149</v>
      </c>
      <c r="S147" s="474" t="s">
        <v>262</v>
      </c>
      <c r="T147" s="471" t="s">
        <v>150</v>
      </c>
      <c r="U147" s="471" t="s">
        <v>150</v>
      </c>
      <c r="V147" s="468"/>
      <c r="W147" s="468"/>
      <c r="X147" s="470" t="s">
        <v>263</v>
      </c>
      <c r="Y147" s="470" t="s">
        <v>263</v>
      </c>
      <c r="Z147" s="470" t="s">
        <v>263</v>
      </c>
      <c r="AA147" s="470" t="s">
        <v>263</v>
      </c>
      <c r="AB147" s="470" t="s">
        <v>263</v>
      </c>
      <c r="AC147" s="470" t="s">
        <v>263</v>
      </c>
      <c r="AD147" s="470" t="s">
        <v>263</v>
      </c>
      <c r="AE147" s="470" t="s">
        <v>263</v>
      </c>
      <c r="AF147" s="470" t="s">
        <v>263</v>
      </c>
      <c r="AG147" s="470" t="s">
        <v>263</v>
      </c>
      <c r="AH147" s="470" t="s">
        <v>263</v>
      </c>
      <c r="AI147" s="470" t="s">
        <v>263</v>
      </c>
      <c r="AJ147" s="470" t="s">
        <v>263</v>
      </c>
      <c r="AK147" s="470" t="s">
        <v>263</v>
      </c>
      <c r="AL147" s="471" t="s">
        <v>150</v>
      </c>
      <c r="AM147" s="471"/>
      <c r="AN147" s="471"/>
      <c r="AO147" s="471"/>
      <c r="AP147" s="471" t="s">
        <v>222</v>
      </c>
      <c r="AQ147" s="471" t="s">
        <v>222</v>
      </c>
      <c r="AR147" s="471" t="s">
        <v>222</v>
      </c>
      <c r="AS147" s="471" t="s">
        <v>222</v>
      </c>
      <c r="AT147" s="471"/>
      <c r="AU147" s="471"/>
      <c r="AV147" s="471"/>
      <c r="AW147" s="471" t="s">
        <v>149</v>
      </c>
      <c r="AX147" s="471" t="s">
        <v>149</v>
      </c>
      <c r="AY147" s="471" t="s">
        <v>149</v>
      </c>
      <c r="BA147" s="326"/>
      <c r="BB147" s="326"/>
      <c r="BC147" s="326"/>
      <c r="BD147" s="326"/>
      <c r="BE147" s="326"/>
      <c r="BF147" s="326"/>
      <c r="BH147" s="326"/>
      <c r="BI147" s="326"/>
      <c r="BJ147" s="326"/>
      <c r="BK147" s="326"/>
      <c r="BL147" s="326"/>
      <c r="BM147" s="326"/>
      <c r="BO147" s="326"/>
      <c r="BP147" s="326"/>
      <c r="BQ147" s="326"/>
      <c r="BR147" s="326"/>
      <c r="BS147" s="326"/>
      <c r="BT147" s="326"/>
      <c r="BV147" s="326"/>
      <c r="BW147" s="326"/>
      <c r="BX147" s="326"/>
      <c r="BY147" s="326"/>
      <c r="BZ147" s="326"/>
      <c r="CA147" s="326"/>
      <c r="CC147" s="326"/>
      <c r="CD147" s="326"/>
      <c r="CE147" s="326"/>
      <c r="CF147" s="326"/>
      <c r="CG147" s="326"/>
      <c r="CH147" s="461"/>
      <c r="CJ147" s="326"/>
      <c r="CK147" s="326"/>
      <c r="CL147" s="326"/>
      <c r="CM147" s="326"/>
      <c r="CN147" s="326"/>
      <c r="CO147" s="326"/>
    </row>
    <row r="148" spans="1:94" ht="14.1" customHeight="1">
      <c r="A148" s="472" t="s">
        <v>267</v>
      </c>
      <c r="B148" s="466">
        <v>703651</v>
      </c>
      <c r="C148" s="314"/>
      <c r="D148" s="314" t="s">
        <v>149</v>
      </c>
      <c r="E148" s="314" t="s">
        <v>149</v>
      </c>
      <c r="F148" s="314" t="s">
        <v>149</v>
      </c>
      <c r="G148" s="314"/>
      <c r="H148" s="471" t="s">
        <v>149</v>
      </c>
      <c r="I148" s="471" t="s">
        <v>149</v>
      </c>
      <c r="J148" s="314"/>
      <c r="K148" s="314" t="s">
        <v>149</v>
      </c>
      <c r="L148" s="314" t="s">
        <v>149</v>
      </c>
      <c r="M148" s="314"/>
      <c r="N148" s="314"/>
      <c r="O148" s="471" t="s">
        <v>149</v>
      </c>
      <c r="P148" s="471" t="s">
        <v>149</v>
      </c>
      <c r="Q148" s="471"/>
      <c r="R148" s="471" t="s">
        <v>150</v>
      </c>
      <c r="S148" s="471" t="s">
        <v>150</v>
      </c>
      <c r="T148" s="471" t="s">
        <v>150</v>
      </c>
      <c r="U148" s="471" t="s">
        <v>150</v>
      </c>
      <c r="V148" s="471"/>
      <c r="W148" s="471"/>
      <c r="X148" s="471"/>
      <c r="Y148" s="471" t="s">
        <v>150</v>
      </c>
      <c r="Z148" s="471" t="s">
        <v>150</v>
      </c>
      <c r="AA148" s="471" t="s">
        <v>150</v>
      </c>
      <c r="AB148" s="471" t="s">
        <v>150</v>
      </c>
      <c r="AC148" s="471"/>
      <c r="AD148" s="471"/>
      <c r="AE148" s="471" t="s">
        <v>150</v>
      </c>
      <c r="AF148" s="471" t="s">
        <v>222</v>
      </c>
      <c r="AG148" s="471" t="s">
        <v>222</v>
      </c>
      <c r="AH148" s="471" t="s">
        <v>222</v>
      </c>
      <c r="AI148" s="471"/>
      <c r="AJ148" s="471"/>
      <c r="AK148" s="471"/>
      <c r="AL148" s="471"/>
      <c r="AM148" s="471" t="s">
        <v>150</v>
      </c>
      <c r="AN148" s="471" t="s">
        <v>150</v>
      </c>
      <c r="AO148" s="471" t="s">
        <v>150</v>
      </c>
      <c r="AP148" s="471" t="s">
        <v>150</v>
      </c>
      <c r="AQ148" s="471"/>
      <c r="AR148" s="471"/>
      <c r="AS148" s="471" t="s">
        <v>150</v>
      </c>
      <c r="AT148" s="471" t="s">
        <v>222</v>
      </c>
      <c r="AU148" s="471" t="s">
        <v>222</v>
      </c>
      <c r="AV148" s="471" t="s">
        <v>222</v>
      </c>
      <c r="AW148" s="471"/>
      <c r="AX148" s="471"/>
      <c r="AY148" s="471"/>
      <c r="BA148" s="326"/>
      <c r="BB148" s="326"/>
      <c r="BC148" s="326"/>
      <c r="BD148" s="326"/>
      <c r="BE148" s="326"/>
      <c r="BF148" s="326"/>
      <c r="BH148" s="326"/>
      <c r="BI148" s="326"/>
      <c r="BJ148" s="326"/>
      <c r="BK148" s="326"/>
      <c r="BL148" s="326"/>
      <c r="BM148" s="326"/>
      <c r="BO148" s="326"/>
      <c r="BP148" s="326"/>
      <c r="BQ148" s="326"/>
      <c r="BR148" s="326"/>
      <c r="BS148" s="326"/>
      <c r="BT148" s="326"/>
      <c r="BV148" s="326"/>
      <c r="BW148" s="326"/>
      <c r="BX148" s="326"/>
      <c r="BY148" s="326"/>
      <c r="BZ148" s="326"/>
      <c r="CA148" s="326"/>
      <c r="CC148" s="326"/>
      <c r="CD148" s="326"/>
      <c r="CE148" s="326"/>
      <c r="CF148" s="326"/>
      <c r="CG148" s="326"/>
      <c r="CH148" s="461"/>
      <c r="CJ148" s="326"/>
      <c r="CK148" s="326"/>
      <c r="CL148" s="326"/>
      <c r="CM148" s="326"/>
      <c r="CN148" s="326"/>
      <c r="CO148" s="326"/>
    </row>
    <row r="149" spans="1:94" ht="14.1" customHeight="1">
      <c r="A149" s="472" t="s">
        <v>268</v>
      </c>
      <c r="B149" s="466">
        <v>703298</v>
      </c>
      <c r="C149" s="314" t="s">
        <v>150</v>
      </c>
      <c r="D149" s="314" t="s">
        <v>150</v>
      </c>
      <c r="E149" s="314"/>
      <c r="F149" s="314" t="s">
        <v>150</v>
      </c>
      <c r="G149" s="314" t="s">
        <v>150</v>
      </c>
      <c r="H149" s="471"/>
      <c r="I149" s="471"/>
      <c r="J149" s="314" t="s">
        <v>150</v>
      </c>
      <c r="K149" s="314" t="s">
        <v>222</v>
      </c>
      <c r="L149" s="314" t="s">
        <v>222</v>
      </c>
      <c r="M149" s="314" t="s">
        <v>222</v>
      </c>
      <c r="N149" s="314"/>
      <c r="O149" s="471"/>
      <c r="P149" s="468" t="s">
        <v>264</v>
      </c>
      <c r="Q149" s="471" t="s">
        <v>149</v>
      </c>
      <c r="R149" s="471" t="s">
        <v>149</v>
      </c>
      <c r="S149" s="471"/>
      <c r="T149" s="471"/>
      <c r="U149" s="471"/>
      <c r="V149" s="471" t="s">
        <v>150</v>
      </c>
      <c r="W149" s="471" t="s">
        <v>150</v>
      </c>
      <c r="X149" s="471"/>
      <c r="Y149" s="471" t="s">
        <v>222</v>
      </c>
      <c r="Z149" s="471" t="s">
        <v>222</v>
      </c>
      <c r="AA149" s="471" t="s">
        <v>222</v>
      </c>
      <c r="AB149" s="471"/>
      <c r="AC149" s="471"/>
      <c r="AD149" s="471" t="s">
        <v>149</v>
      </c>
      <c r="AE149" s="471" t="s">
        <v>149</v>
      </c>
      <c r="AF149" s="471" t="s">
        <v>149</v>
      </c>
      <c r="AG149" s="471"/>
      <c r="AH149" s="471"/>
      <c r="AI149" s="471"/>
      <c r="AJ149" s="471" t="s">
        <v>150</v>
      </c>
      <c r="AK149" s="471" t="s">
        <v>150</v>
      </c>
      <c r="AL149" s="471"/>
      <c r="AM149" s="471" t="s">
        <v>149</v>
      </c>
      <c r="AN149" s="471" t="s">
        <v>149</v>
      </c>
      <c r="AO149" s="471"/>
      <c r="AP149" s="471"/>
      <c r="AQ149" s="471" t="s">
        <v>150</v>
      </c>
      <c r="AR149" s="471" t="s">
        <v>150</v>
      </c>
      <c r="AS149" s="471"/>
      <c r="AT149" s="471" t="s">
        <v>150</v>
      </c>
      <c r="AU149" s="471" t="s">
        <v>150</v>
      </c>
      <c r="AV149" s="471"/>
      <c r="AW149" s="471" t="s">
        <v>149</v>
      </c>
      <c r="AX149" s="471" t="s">
        <v>149</v>
      </c>
      <c r="AY149" s="471"/>
      <c r="BA149" s="326"/>
      <c r="BB149" s="326"/>
      <c r="BC149" s="326"/>
      <c r="BD149" s="326"/>
      <c r="BE149" s="326"/>
      <c r="BF149" s="326"/>
      <c r="BH149" s="326"/>
      <c r="BI149" s="326"/>
      <c r="BJ149" s="326"/>
      <c r="BK149" s="326"/>
      <c r="BL149" s="326"/>
      <c r="BM149" s="326"/>
      <c r="BO149" s="326"/>
      <c r="BP149" s="326"/>
      <c r="BQ149" s="326"/>
      <c r="BR149" s="326"/>
      <c r="BS149" s="326"/>
      <c r="BT149" s="326"/>
      <c r="BV149" s="326"/>
      <c r="BW149" s="326"/>
      <c r="BX149" s="326"/>
      <c r="BY149" s="326"/>
      <c r="BZ149" s="326"/>
      <c r="CA149" s="326"/>
      <c r="CC149" s="326"/>
      <c r="CD149" s="326"/>
      <c r="CE149" s="326"/>
      <c r="CF149" s="326"/>
      <c r="CG149" s="326"/>
      <c r="CH149" s="461"/>
      <c r="CJ149" s="326"/>
      <c r="CK149" s="326"/>
      <c r="CL149" s="326"/>
      <c r="CM149" s="326"/>
      <c r="CN149" s="326"/>
      <c r="CO149" s="326"/>
    </row>
    <row r="150" spans="1:94" ht="14.1" customHeight="1">
      <c r="A150" s="472" t="s">
        <v>269</v>
      </c>
      <c r="B150" s="466">
        <v>703345</v>
      </c>
      <c r="C150" s="469" t="s">
        <v>263</v>
      </c>
      <c r="D150" s="469" t="s">
        <v>263</v>
      </c>
      <c r="E150" s="469" t="s">
        <v>263</v>
      </c>
      <c r="F150" s="469" t="s">
        <v>263</v>
      </c>
      <c r="G150" s="469" t="s">
        <v>263</v>
      </c>
      <c r="H150" s="470" t="s">
        <v>263</v>
      </c>
      <c r="I150" s="470" t="s">
        <v>263</v>
      </c>
      <c r="J150" s="314" t="s">
        <v>149</v>
      </c>
      <c r="K150" s="314" t="s">
        <v>149</v>
      </c>
      <c r="L150" s="314"/>
      <c r="M150" s="314"/>
      <c r="N150" s="314"/>
      <c r="O150" s="471" t="s">
        <v>150</v>
      </c>
      <c r="P150" s="471" t="s">
        <v>150</v>
      </c>
      <c r="Q150" s="471"/>
      <c r="R150" s="471" t="s">
        <v>149</v>
      </c>
      <c r="S150" s="471" t="s">
        <v>149</v>
      </c>
      <c r="T150" s="471"/>
      <c r="U150" s="471"/>
      <c r="V150" s="471" t="s">
        <v>222</v>
      </c>
      <c r="W150" s="471" t="s">
        <v>222</v>
      </c>
      <c r="X150" s="471" t="s">
        <v>222</v>
      </c>
      <c r="Y150" s="471"/>
      <c r="Z150" s="471"/>
      <c r="AA150" s="471"/>
      <c r="AB150" s="471" t="s">
        <v>149</v>
      </c>
      <c r="AC150" s="471" t="s">
        <v>149</v>
      </c>
      <c r="AD150" s="471" t="s">
        <v>149</v>
      </c>
      <c r="AE150" s="471" t="s">
        <v>149</v>
      </c>
      <c r="AF150" s="471" t="s">
        <v>150</v>
      </c>
      <c r="AG150" s="471"/>
      <c r="AH150" s="471" t="s">
        <v>150</v>
      </c>
      <c r="AI150" s="471" t="s">
        <v>150</v>
      </c>
      <c r="AJ150" s="471"/>
      <c r="AK150" s="471"/>
      <c r="AL150" s="471" t="s">
        <v>150</v>
      </c>
      <c r="AM150" s="471" t="s">
        <v>222</v>
      </c>
      <c r="AN150" s="471" t="s">
        <v>222</v>
      </c>
      <c r="AO150" s="471" t="s">
        <v>222</v>
      </c>
      <c r="AP150" s="471"/>
      <c r="AQ150" s="471"/>
      <c r="AR150" s="471"/>
      <c r="AS150" s="471"/>
      <c r="AT150" s="471" t="s">
        <v>150</v>
      </c>
      <c r="AU150" s="471" t="s">
        <v>150</v>
      </c>
      <c r="AV150" s="471" t="s">
        <v>150</v>
      </c>
      <c r="AW150" s="471" t="s">
        <v>150</v>
      </c>
      <c r="AX150" s="471"/>
      <c r="AY150" s="471"/>
      <c r="BA150" s="326"/>
      <c r="BB150" s="326"/>
      <c r="BC150" s="326"/>
      <c r="BD150" s="326"/>
      <c r="BE150" s="326"/>
      <c r="BF150" s="326"/>
      <c r="BH150" s="326"/>
      <c r="BI150" s="326"/>
      <c r="BJ150" s="326"/>
      <c r="BK150" s="326"/>
      <c r="BL150" s="326"/>
      <c r="BM150" s="326"/>
      <c r="BO150" s="326"/>
      <c r="BP150" s="326"/>
      <c r="BQ150" s="326"/>
      <c r="BR150" s="326"/>
      <c r="BS150" s="326"/>
      <c r="BT150" s="326"/>
      <c r="BV150" s="326"/>
      <c r="BW150" s="326"/>
      <c r="BX150" s="326"/>
      <c r="BY150" s="326"/>
      <c r="BZ150" s="326"/>
      <c r="CA150" s="326"/>
      <c r="CC150" s="326"/>
      <c r="CD150" s="326"/>
      <c r="CE150" s="326"/>
      <c r="CF150" s="326"/>
      <c r="CG150" s="326"/>
      <c r="CH150" s="461"/>
      <c r="CJ150" s="326"/>
      <c r="CK150" s="326"/>
      <c r="CL150" s="326"/>
      <c r="CM150" s="326"/>
      <c r="CN150" s="326"/>
      <c r="CO150" s="326"/>
    </row>
    <row r="151" spans="1:94" ht="14.1" customHeight="1">
      <c r="A151" s="472" t="s">
        <v>270</v>
      </c>
      <c r="B151" s="466">
        <v>703324</v>
      </c>
      <c r="C151" s="314" t="s">
        <v>149</v>
      </c>
      <c r="D151" s="314"/>
      <c r="E151" s="314" t="s">
        <v>149</v>
      </c>
      <c r="F151" s="314" t="s">
        <v>150</v>
      </c>
      <c r="G151" s="314" t="s">
        <v>150</v>
      </c>
      <c r="H151" s="468"/>
      <c r="I151" s="468"/>
      <c r="J151" s="469" t="s">
        <v>263</v>
      </c>
      <c r="K151" s="469" t="s">
        <v>263</v>
      </c>
      <c r="L151" s="469" t="s">
        <v>263</v>
      </c>
      <c r="M151" s="469" t="s">
        <v>263</v>
      </c>
      <c r="N151" s="469" t="s">
        <v>263</v>
      </c>
      <c r="O151" s="470" t="s">
        <v>263</v>
      </c>
      <c r="P151" s="470" t="s">
        <v>263</v>
      </c>
      <c r="Q151" s="470" t="s">
        <v>263</v>
      </c>
      <c r="R151" s="470" t="s">
        <v>263</v>
      </c>
      <c r="S151" s="470" t="s">
        <v>263</v>
      </c>
      <c r="T151" s="470" t="s">
        <v>263</v>
      </c>
      <c r="U151" s="470" t="s">
        <v>263</v>
      </c>
      <c r="V151" s="470" t="s">
        <v>263</v>
      </c>
      <c r="W151" s="470" t="s">
        <v>263</v>
      </c>
      <c r="X151" s="471"/>
      <c r="Y151" s="471" t="s">
        <v>149</v>
      </c>
      <c r="Z151" s="471" t="s">
        <v>149</v>
      </c>
      <c r="AA151" s="471" t="s">
        <v>149</v>
      </c>
      <c r="AB151" s="471" t="s">
        <v>149</v>
      </c>
      <c r="AC151" s="471"/>
      <c r="AD151" s="471"/>
      <c r="AE151" s="474" t="s">
        <v>262</v>
      </c>
      <c r="AF151" s="471" t="s">
        <v>149</v>
      </c>
      <c r="AG151" s="471" t="s">
        <v>150</v>
      </c>
      <c r="AH151" s="471"/>
      <c r="AI151" s="471" t="s">
        <v>222</v>
      </c>
      <c r="AJ151" s="471" t="s">
        <v>222</v>
      </c>
      <c r="AK151" s="471" t="s">
        <v>222</v>
      </c>
      <c r="AL151" s="471"/>
      <c r="AM151" s="471"/>
      <c r="AN151" s="471"/>
      <c r="AO151" s="471" t="s">
        <v>150</v>
      </c>
      <c r="AP151" s="471" t="s">
        <v>150</v>
      </c>
      <c r="AQ151" s="471" t="s">
        <v>150</v>
      </c>
      <c r="AR151" s="471" t="s">
        <v>150</v>
      </c>
      <c r="AS151" s="471"/>
      <c r="AT151" s="471"/>
      <c r="AU151" s="471" t="s">
        <v>149</v>
      </c>
      <c r="AV151" s="471" t="s">
        <v>149</v>
      </c>
      <c r="AW151" s="471"/>
      <c r="AX151" s="471" t="s">
        <v>265</v>
      </c>
      <c r="AY151" s="471" t="s">
        <v>265</v>
      </c>
      <c r="BA151" s="326"/>
      <c r="BB151" s="326"/>
      <c r="BC151" s="326"/>
      <c r="BD151" s="326"/>
      <c r="BE151" s="326"/>
      <c r="BF151" s="326"/>
      <c r="BH151" s="326"/>
      <c r="BI151" s="326"/>
      <c r="BJ151" s="326"/>
      <c r="BK151" s="326"/>
      <c r="BL151" s="326"/>
      <c r="BM151" s="326"/>
      <c r="BO151" s="326"/>
      <c r="BP151" s="326"/>
      <c r="BQ151" s="326"/>
      <c r="BR151" s="326"/>
      <c r="BS151" s="326"/>
      <c r="BT151" s="326"/>
      <c r="BV151" s="326"/>
      <c r="BW151" s="326"/>
      <c r="BX151" s="326"/>
      <c r="BY151" s="326"/>
      <c r="BZ151" s="326"/>
      <c r="CA151" s="326"/>
      <c r="CC151" s="326"/>
      <c r="CD151" s="326"/>
      <c r="CE151" s="326"/>
      <c r="CF151" s="326"/>
      <c r="CG151" s="326"/>
      <c r="CH151" s="461"/>
      <c r="CJ151" s="326"/>
      <c r="CK151" s="326"/>
      <c r="CL151" s="326"/>
      <c r="CM151" s="326"/>
      <c r="CN151" s="326"/>
      <c r="CO151" s="326"/>
    </row>
    <row r="152" spans="1:94" ht="14.1" customHeight="1">
      <c r="A152" s="472" t="s">
        <v>271</v>
      </c>
      <c r="B152" s="466">
        <v>703527</v>
      </c>
      <c r="C152" s="314"/>
      <c r="D152" s="314"/>
      <c r="E152" s="314" t="s">
        <v>149</v>
      </c>
      <c r="F152" s="314" t="s">
        <v>149</v>
      </c>
      <c r="G152" s="314" t="s">
        <v>149</v>
      </c>
      <c r="H152" s="471" t="s">
        <v>150</v>
      </c>
      <c r="I152" s="471" t="s">
        <v>150</v>
      </c>
      <c r="J152" s="314"/>
      <c r="K152" s="314"/>
      <c r="L152" s="314"/>
      <c r="M152" s="314" t="s">
        <v>150</v>
      </c>
      <c r="N152" s="314" t="s">
        <v>150</v>
      </c>
      <c r="O152" s="471" t="s">
        <v>150</v>
      </c>
      <c r="P152" s="471" t="s">
        <v>150</v>
      </c>
      <c r="Q152" s="471" t="s">
        <v>150</v>
      </c>
      <c r="R152" s="471"/>
      <c r="S152" s="471" t="s">
        <v>222</v>
      </c>
      <c r="T152" s="471" t="s">
        <v>222</v>
      </c>
      <c r="U152" s="471" t="s">
        <v>222</v>
      </c>
      <c r="V152" s="468"/>
      <c r="W152" s="468"/>
      <c r="X152" s="470" t="s">
        <v>263</v>
      </c>
      <c r="Y152" s="470" t="s">
        <v>263</v>
      </c>
      <c r="Z152" s="470" t="s">
        <v>263</v>
      </c>
      <c r="AA152" s="470" t="s">
        <v>263</v>
      </c>
      <c r="AB152" s="470" t="s">
        <v>263</v>
      </c>
      <c r="AC152" s="470" t="s">
        <v>263</v>
      </c>
      <c r="AD152" s="470" t="s">
        <v>263</v>
      </c>
      <c r="AE152" s="470" t="s">
        <v>263</v>
      </c>
      <c r="AF152" s="470" t="s">
        <v>263</v>
      </c>
      <c r="AG152" s="470" t="s">
        <v>263</v>
      </c>
      <c r="AH152" s="470" t="s">
        <v>263</v>
      </c>
      <c r="AI152" s="470" t="s">
        <v>263</v>
      </c>
      <c r="AJ152" s="470" t="s">
        <v>263</v>
      </c>
      <c r="AK152" s="470" t="s">
        <v>263</v>
      </c>
      <c r="AL152" s="471" t="s">
        <v>149</v>
      </c>
      <c r="AM152" s="471" t="s">
        <v>149</v>
      </c>
      <c r="AN152" s="471"/>
      <c r="AO152" s="471"/>
      <c r="AP152" s="471"/>
      <c r="AQ152" s="471" t="s">
        <v>149</v>
      </c>
      <c r="AR152" s="471" t="s">
        <v>149</v>
      </c>
      <c r="AS152" s="471" t="s">
        <v>149</v>
      </c>
      <c r="AT152" s="471" t="s">
        <v>150</v>
      </c>
      <c r="AU152" s="471" t="s">
        <v>150</v>
      </c>
      <c r="AV152" s="471"/>
      <c r="AW152" s="471" t="s">
        <v>150</v>
      </c>
      <c r="AX152" s="471"/>
      <c r="AY152" s="471"/>
      <c r="BA152" s="326"/>
      <c r="BB152" s="326"/>
      <c r="BC152" s="326"/>
      <c r="BD152" s="326"/>
      <c r="BE152" s="326"/>
      <c r="BF152" s="326"/>
      <c r="BH152" s="326"/>
      <c r="BI152" s="326"/>
      <c r="BJ152" s="326"/>
      <c r="BK152" s="326"/>
      <c r="BL152" s="326"/>
      <c r="BM152" s="326"/>
      <c r="BO152" s="326"/>
      <c r="BP152" s="326"/>
      <c r="BQ152" s="326"/>
      <c r="BR152" s="326"/>
      <c r="BS152" s="326"/>
      <c r="BT152" s="326"/>
      <c r="BV152" s="326"/>
      <c r="BW152" s="326"/>
      <c r="BX152" s="326"/>
      <c r="BY152" s="326"/>
      <c r="BZ152" s="326"/>
      <c r="CA152" s="326"/>
      <c r="CC152" s="326"/>
      <c r="CD152" s="326"/>
      <c r="CE152" s="326"/>
      <c r="CF152" s="326"/>
      <c r="CG152" s="326"/>
      <c r="CH152" s="461"/>
      <c r="CJ152" s="326"/>
      <c r="CK152" s="326"/>
      <c r="CL152" s="326"/>
      <c r="CM152" s="326"/>
      <c r="CN152" s="326"/>
      <c r="CO152" s="326"/>
    </row>
    <row r="153" spans="1:94" ht="14.1" customHeight="1">
      <c r="A153" s="472" t="s">
        <v>272</v>
      </c>
      <c r="B153" s="466">
        <v>703319</v>
      </c>
      <c r="C153" s="314"/>
      <c r="D153" s="314" t="s">
        <v>150</v>
      </c>
      <c r="E153" s="314" t="s">
        <v>150</v>
      </c>
      <c r="F153" s="314" t="s">
        <v>150</v>
      </c>
      <c r="G153" s="314" t="s">
        <v>150</v>
      </c>
      <c r="H153" s="471"/>
      <c r="I153" s="471"/>
      <c r="J153" s="314" t="s">
        <v>222</v>
      </c>
      <c r="K153" s="314"/>
      <c r="L153" s="314"/>
      <c r="M153" s="314"/>
      <c r="N153" s="314" t="s">
        <v>149</v>
      </c>
      <c r="O153" s="471" t="s">
        <v>149</v>
      </c>
      <c r="P153" s="471" t="s">
        <v>222</v>
      </c>
      <c r="Q153" s="471" t="s">
        <v>222</v>
      </c>
      <c r="R153" s="471" t="s">
        <v>222</v>
      </c>
      <c r="S153" s="471"/>
      <c r="T153" s="471"/>
      <c r="U153" s="471"/>
      <c r="V153" s="471" t="s">
        <v>149</v>
      </c>
      <c r="W153" s="471" t="s">
        <v>149</v>
      </c>
      <c r="X153" s="471" t="s">
        <v>150</v>
      </c>
      <c r="Y153" s="471" t="s">
        <v>150</v>
      </c>
      <c r="Z153" s="471"/>
      <c r="AA153" s="471"/>
      <c r="AB153" s="471"/>
      <c r="AC153" s="471" t="s">
        <v>150</v>
      </c>
      <c r="AD153" s="471" t="s">
        <v>150</v>
      </c>
      <c r="AE153" s="471" t="s">
        <v>150</v>
      </c>
      <c r="AF153" s="471"/>
      <c r="AG153" s="471" t="s">
        <v>149</v>
      </c>
      <c r="AH153" s="471" t="s">
        <v>149</v>
      </c>
      <c r="AI153" s="471" t="s">
        <v>149</v>
      </c>
      <c r="AJ153" s="468"/>
      <c r="AK153" s="468"/>
      <c r="AL153" s="470" t="s">
        <v>263</v>
      </c>
      <c r="AM153" s="470" t="s">
        <v>263</v>
      </c>
      <c r="AN153" s="470" t="s">
        <v>263</v>
      </c>
      <c r="AO153" s="470" t="s">
        <v>263</v>
      </c>
      <c r="AP153" s="470" t="s">
        <v>263</v>
      </c>
      <c r="AQ153" s="470" t="s">
        <v>263</v>
      </c>
      <c r="AR153" s="470" t="s">
        <v>263</v>
      </c>
      <c r="AS153" s="470" t="s">
        <v>263</v>
      </c>
      <c r="AT153" s="470" t="s">
        <v>263</v>
      </c>
      <c r="AU153" s="470" t="s">
        <v>263</v>
      </c>
      <c r="AV153" s="470" t="s">
        <v>263</v>
      </c>
      <c r="AW153" s="470" t="s">
        <v>263</v>
      </c>
      <c r="AX153" s="470" t="s">
        <v>263</v>
      </c>
      <c r="AY153" s="470" t="s">
        <v>263</v>
      </c>
      <c r="BA153" s="326"/>
      <c r="BB153" s="326"/>
      <c r="BC153" s="326"/>
      <c r="BD153" s="326"/>
      <c r="BE153" s="326"/>
      <c r="BF153" s="326"/>
      <c r="BH153" s="326"/>
      <c r="BI153" s="326"/>
      <c r="BJ153" s="326"/>
      <c r="BK153" s="326"/>
      <c r="BL153" s="326"/>
      <c r="BM153" s="326"/>
      <c r="BO153" s="326"/>
      <c r="BP153" s="326"/>
      <c r="BQ153" s="326"/>
      <c r="BR153" s="326"/>
      <c r="BS153" s="326"/>
      <c r="BT153" s="326"/>
      <c r="BV153" s="326"/>
      <c r="BW153" s="326"/>
      <c r="BX153" s="326"/>
      <c r="BY153" s="326"/>
      <c r="BZ153" s="326"/>
      <c r="CA153" s="326"/>
      <c r="CC153" s="326"/>
      <c r="CD153" s="326"/>
      <c r="CE153" s="326"/>
      <c r="CF153" s="326"/>
      <c r="CG153" s="326"/>
      <c r="CH153" s="461"/>
      <c r="CJ153" s="326"/>
      <c r="CK153" s="326"/>
      <c r="CL153" s="326"/>
      <c r="CM153" s="326"/>
      <c r="CN153" s="326"/>
      <c r="CO153" s="326"/>
    </row>
    <row r="154" spans="1:94" ht="14.1" customHeight="1">
      <c r="A154" s="472" t="s">
        <v>273</v>
      </c>
      <c r="B154" s="466">
        <v>703543</v>
      </c>
      <c r="C154" s="314"/>
      <c r="D154" s="314"/>
      <c r="E154" s="314" t="s">
        <v>150</v>
      </c>
      <c r="F154" s="314"/>
      <c r="G154" s="314" t="s">
        <v>222</v>
      </c>
      <c r="H154" s="471" t="s">
        <v>222</v>
      </c>
      <c r="I154" s="471" t="s">
        <v>222</v>
      </c>
      <c r="J154" s="314"/>
      <c r="K154" s="314" t="s">
        <v>150</v>
      </c>
      <c r="L154" s="314" t="s">
        <v>150</v>
      </c>
      <c r="M154" s="314" t="s">
        <v>150</v>
      </c>
      <c r="N154" s="314" t="s">
        <v>150</v>
      </c>
      <c r="O154" s="471"/>
      <c r="P154" s="471"/>
      <c r="Q154" s="471" t="s">
        <v>150</v>
      </c>
      <c r="R154" s="471"/>
      <c r="S154" s="471" t="s">
        <v>149</v>
      </c>
      <c r="T154" s="471" t="s">
        <v>149</v>
      </c>
      <c r="U154" s="471" t="s">
        <v>149</v>
      </c>
      <c r="V154" s="471"/>
      <c r="W154" s="471"/>
      <c r="X154" s="471"/>
      <c r="Y154" s="471"/>
      <c r="Z154" s="471" t="s">
        <v>150</v>
      </c>
      <c r="AA154" s="471"/>
      <c r="AB154" s="471" t="s">
        <v>222</v>
      </c>
      <c r="AC154" s="471" t="s">
        <v>222</v>
      </c>
      <c r="AD154" s="471" t="s">
        <v>222</v>
      </c>
      <c r="AE154" s="471" t="s">
        <v>222</v>
      </c>
      <c r="AF154" s="471"/>
      <c r="AG154" s="471"/>
      <c r="AH154" s="471" t="s">
        <v>149</v>
      </c>
      <c r="AI154" s="471" t="s">
        <v>149</v>
      </c>
      <c r="AJ154" s="468" t="s">
        <v>149</v>
      </c>
      <c r="AK154" s="468"/>
      <c r="AL154" s="470" t="s">
        <v>263</v>
      </c>
      <c r="AM154" s="470" t="s">
        <v>263</v>
      </c>
      <c r="AN154" s="470" t="s">
        <v>263</v>
      </c>
      <c r="AO154" s="470" t="s">
        <v>263</v>
      </c>
      <c r="AP154" s="470" t="s">
        <v>263</v>
      </c>
      <c r="AQ154" s="470" t="s">
        <v>263</v>
      </c>
      <c r="AR154" s="470" t="s">
        <v>263</v>
      </c>
      <c r="AS154" s="470" t="s">
        <v>263</v>
      </c>
      <c r="AT154" s="470" t="s">
        <v>263</v>
      </c>
      <c r="AU154" s="470" t="s">
        <v>263</v>
      </c>
      <c r="AV154" s="470" t="s">
        <v>263</v>
      </c>
      <c r="AW154" s="470" t="s">
        <v>263</v>
      </c>
      <c r="AX154" s="470" t="s">
        <v>263</v>
      </c>
      <c r="AY154" s="470" t="s">
        <v>263</v>
      </c>
      <c r="BA154" s="326"/>
      <c r="BB154" s="326"/>
      <c r="BC154" s="326"/>
      <c r="BD154" s="326"/>
      <c r="BE154" s="326"/>
      <c r="BF154" s="326"/>
      <c r="BH154" s="326"/>
      <c r="BI154" s="326"/>
      <c r="BJ154" s="326"/>
      <c r="BK154" s="326"/>
      <c r="BL154" s="326"/>
      <c r="BM154" s="326"/>
      <c r="BO154" s="326"/>
      <c r="BP154" s="326"/>
      <c r="BQ154" s="326"/>
      <c r="BR154" s="326"/>
      <c r="BS154" s="326"/>
      <c r="BT154" s="326"/>
      <c r="BV154" s="326"/>
      <c r="BW154" s="326"/>
      <c r="BX154" s="326"/>
      <c r="BY154" s="326"/>
      <c r="BZ154" s="326"/>
      <c r="CA154" s="326"/>
      <c r="CC154" s="326"/>
      <c r="CD154" s="326"/>
      <c r="CE154" s="326"/>
      <c r="CF154" s="326"/>
      <c r="CG154" s="326"/>
      <c r="CH154" s="461"/>
      <c r="CJ154" s="326"/>
      <c r="CK154" s="326"/>
      <c r="CL154" s="326"/>
      <c r="CM154" s="326"/>
      <c r="CN154" s="326"/>
      <c r="CO154" s="326"/>
    </row>
    <row r="155" spans="1:94" ht="14.1" customHeight="1" thickBot="1">
      <c r="A155" s="472" t="s">
        <v>274</v>
      </c>
      <c r="B155" s="466">
        <v>703530</v>
      </c>
      <c r="C155" s="314" t="s">
        <v>222</v>
      </c>
      <c r="D155" s="314"/>
      <c r="E155" s="314"/>
      <c r="F155" s="314"/>
      <c r="G155" s="314" t="s">
        <v>149</v>
      </c>
      <c r="H155" s="471" t="s">
        <v>149</v>
      </c>
      <c r="I155" s="471" t="s">
        <v>149</v>
      </c>
      <c r="J155" s="314" t="s">
        <v>150</v>
      </c>
      <c r="K155" s="314"/>
      <c r="L155" s="314" t="s">
        <v>149</v>
      </c>
      <c r="M155" s="314" t="s">
        <v>149</v>
      </c>
      <c r="N155" s="314" t="s">
        <v>149</v>
      </c>
      <c r="O155" s="471"/>
      <c r="P155" s="471"/>
      <c r="Q155" s="471" t="s">
        <v>149</v>
      </c>
      <c r="R155" s="475" t="s">
        <v>264</v>
      </c>
      <c r="S155" s="471" t="s">
        <v>150</v>
      </c>
      <c r="T155" s="471" t="s">
        <v>150</v>
      </c>
      <c r="U155" s="471"/>
      <c r="V155" s="471" t="s">
        <v>149</v>
      </c>
      <c r="W155" s="471"/>
      <c r="X155" s="471"/>
      <c r="Y155" s="471" t="s">
        <v>149</v>
      </c>
      <c r="Z155" s="471" t="s">
        <v>149</v>
      </c>
      <c r="AA155" s="471" t="s">
        <v>150</v>
      </c>
      <c r="AB155" s="471" t="s">
        <v>150</v>
      </c>
      <c r="AC155" s="471"/>
      <c r="AD155" s="471"/>
      <c r="AE155" s="471"/>
      <c r="AF155" s="471" t="s">
        <v>150</v>
      </c>
      <c r="AG155" s="471" t="s">
        <v>150</v>
      </c>
      <c r="AH155" s="471" t="s">
        <v>150</v>
      </c>
      <c r="AI155" s="471" t="s">
        <v>150</v>
      </c>
      <c r="AJ155" s="471"/>
      <c r="AK155" s="471"/>
      <c r="AL155" s="471"/>
      <c r="AM155" s="471"/>
      <c r="AN155" s="471" t="s">
        <v>149</v>
      </c>
      <c r="AO155" s="471" t="s">
        <v>149</v>
      </c>
      <c r="AP155" s="471"/>
      <c r="AQ155" s="471" t="s">
        <v>150</v>
      </c>
      <c r="AR155" s="471" t="s">
        <v>150</v>
      </c>
      <c r="AS155" s="471" t="s">
        <v>150</v>
      </c>
      <c r="AT155" s="471"/>
      <c r="AU155" s="471" t="s">
        <v>149</v>
      </c>
      <c r="AV155" s="471" t="s">
        <v>149</v>
      </c>
      <c r="AW155" s="471" t="s">
        <v>149</v>
      </c>
      <c r="AX155" s="471"/>
      <c r="AY155" s="471"/>
      <c r="BA155" s="326"/>
      <c r="BB155" s="326"/>
      <c r="BC155" s="326"/>
      <c r="BD155" s="326"/>
      <c r="BE155" s="326"/>
      <c r="BF155" s="326"/>
      <c r="BH155" s="326"/>
      <c r="BI155" s="326"/>
      <c r="BJ155" s="326"/>
      <c r="BK155" s="326"/>
      <c r="BL155" s="326"/>
      <c r="BM155" s="326"/>
      <c r="BO155" s="326"/>
      <c r="BP155" s="326"/>
      <c r="BQ155" s="326"/>
      <c r="BR155" s="326"/>
      <c r="BS155" s="326"/>
      <c r="BT155" s="326"/>
      <c r="BV155" s="326"/>
      <c r="BW155" s="326"/>
      <c r="BX155" s="326"/>
      <c r="BY155" s="326"/>
      <c r="BZ155" s="326"/>
      <c r="CA155" s="326"/>
      <c r="CC155" s="326"/>
      <c r="CD155" s="326"/>
      <c r="CE155" s="326"/>
      <c r="CF155" s="326"/>
      <c r="CG155" s="326"/>
      <c r="CH155" s="461"/>
      <c r="CJ155" s="326"/>
      <c r="CK155" s="326"/>
      <c r="CL155" s="326"/>
      <c r="CM155" s="326"/>
      <c r="CN155" s="326"/>
      <c r="CO155" s="326"/>
    </row>
    <row r="156" spans="1:94" s="44" customFormat="1" ht="14.1" customHeight="1">
      <c r="A156" s="175"/>
      <c r="B156" s="114"/>
      <c r="C156" s="799" t="s">
        <v>275</v>
      </c>
      <c r="D156" s="800"/>
      <c r="E156" s="800"/>
      <c r="F156" s="800"/>
      <c r="G156" s="800"/>
      <c r="H156" s="800"/>
      <c r="I156" s="801"/>
      <c r="J156" s="799" t="s">
        <v>275</v>
      </c>
      <c r="K156" s="800"/>
      <c r="L156" s="800"/>
      <c r="M156" s="800"/>
      <c r="N156" s="800"/>
      <c r="O156" s="800"/>
      <c r="P156" s="801"/>
      <c r="Q156" s="799" t="s">
        <v>275</v>
      </c>
      <c r="R156" s="800"/>
      <c r="S156" s="800"/>
      <c r="T156" s="800"/>
      <c r="U156" s="800"/>
      <c r="V156" s="800"/>
      <c r="W156" s="801"/>
      <c r="X156" s="799" t="s">
        <v>275</v>
      </c>
      <c r="Y156" s="800"/>
      <c r="Z156" s="800"/>
      <c r="AA156" s="800"/>
      <c r="AB156" s="800"/>
      <c r="AC156" s="800"/>
      <c r="AD156" s="801"/>
      <c r="AE156" s="799" t="s">
        <v>275</v>
      </c>
      <c r="AF156" s="800"/>
      <c r="AG156" s="800"/>
      <c r="AH156" s="800"/>
      <c r="AI156" s="800"/>
      <c r="AJ156" s="800"/>
      <c r="AK156" s="801"/>
      <c r="AL156" s="799" t="s">
        <v>275</v>
      </c>
      <c r="AM156" s="800"/>
      <c r="AN156" s="800"/>
      <c r="AO156" s="800"/>
      <c r="AP156" s="800"/>
      <c r="AQ156" s="800"/>
      <c r="AR156" s="801"/>
      <c r="AS156" s="799" t="s">
        <v>275</v>
      </c>
      <c r="AT156" s="800"/>
      <c r="AU156" s="800"/>
      <c r="AV156" s="800"/>
      <c r="AW156" s="800"/>
      <c r="AX156" s="800"/>
      <c r="AY156" s="801"/>
      <c r="AZ156" s="47"/>
      <c r="BG156" s="47"/>
      <c r="BN156" s="47"/>
      <c r="BU156" s="47"/>
      <c r="CB156" s="47"/>
      <c r="CH156" s="124"/>
      <c r="CI156" s="47"/>
      <c r="CP156" s="47"/>
    </row>
    <row r="157" spans="1:94" ht="14.1" customHeight="1">
      <c r="A157" s="476"/>
      <c r="B157" s="477"/>
      <c r="C157" s="478"/>
      <c r="D157" s="478"/>
      <c r="E157" s="478"/>
      <c r="F157" s="478"/>
      <c r="G157" s="478"/>
      <c r="H157" s="478"/>
      <c r="I157" s="478"/>
      <c r="J157" s="478"/>
      <c r="K157" s="478"/>
      <c r="L157" s="478"/>
      <c r="M157" s="478"/>
      <c r="N157" s="478"/>
      <c r="O157" s="478"/>
      <c r="P157" s="478"/>
      <c r="Q157" s="478"/>
      <c r="R157" s="478"/>
      <c r="S157" s="478"/>
      <c r="T157" s="478"/>
      <c r="U157" s="478"/>
      <c r="V157" s="478"/>
      <c r="W157" s="478"/>
      <c r="X157" s="478"/>
      <c r="Y157" s="478"/>
      <c r="Z157" s="478"/>
      <c r="AA157" s="478"/>
      <c r="AB157" s="478"/>
      <c r="AC157" s="478"/>
      <c r="AD157" s="478"/>
      <c r="AE157" s="478"/>
      <c r="AF157" s="478"/>
      <c r="AG157" s="478"/>
      <c r="AH157" s="478"/>
      <c r="AI157" s="478"/>
      <c r="AJ157" s="478"/>
      <c r="AK157" s="478"/>
      <c r="AL157" s="478"/>
      <c r="AM157" s="478"/>
      <c r="AN157" s="478"/>
      <c r="AO157" s="478"/>
      <c r="AP157" s="478"/>
      <c r="AQ157" s="478"/>
      <c r="AR157" s="478"/>
      <c r="AS157" s="478"/>
      <c r="AT157" s="478"/>
      <c r="AU157" s="478"/>
      <c r="AV157" s="478"/>
      <c r="AW157" s="478"/>
      <c r="AX157" s="478"/>
      <c r="AY157" s="478"/>
      <c r="AZ157" s="326"/>
      <c r="BA157" s="326"/>
      <c r="BB157" s="326"/>
      <c r="BC157" s="326"/>
      <c r="BD157" s="326"/>
      <c r="BE157" s="326"/>
      <c r="BF157" s="326"/>
      <c r="BG157" s="326"/>
      <c r="BH157" s="326"/>
      <c r="BI157" s="326"/>
      <c r="BJ157" s="326"/>
      <c r="BK157" s="326"/>
      <c r="BL157" s="326"/>
      <c r="BM157" s="326"/>
      <c r="BN157" s="326"/>
      <c r="BO157" s="326"/>
      <c r="BP157" s="326"/>
      <c r="BQ157" s="326"/>
      <c r="BR157" s="326"/>
      <c r="BS157" s="326"/>
      <c r="BT157" s="326"/>
      <c r="BU157" s="326"/>
      <c r="BV157" s="326"/>
      <c r="BW157" s="326"/>
      <c r="BX157" s="326"/>
      <c r="BY157" s="326"/>
      <c r="BZ157" s="326"/>
      <c r="CA157" s="326"/>
      <c r="CB157" s="326"/>
      <c r="CC157" s="326"/>
      <c r="CD157" s="326"/>
      <c r="CE157" s="326"/>
      <c r="CF157" s="326"/>
      <c r="CG157" s="326"/>
      <c r="CH157" s="326"/>
      <c r="CI157" s="326"/>
      <c r="CJ157" s="326"/>
      <c r="CK157" s="326"/>
      <c r="CL157" s="326"/>
      <c r="CM157" s="326"/>
      <c r="CN157" s="326"/>
      <c r="CO157" s="326"/>
      <c r="CP157" s="326"/>
    </row>
    <row r="158" spans="1:94" ht="14.1" customHeight="1">
      <c r="A158" s="476"/>
      <c r="B158" s="477"/>
      <c r="C158" s="478"/>
      <c r="D158" s="478"/>
      <c r="E158" s="478"/>
      <c r="F158" s="478"/>
      <c r="G158" s="478"/>
      <c r="H158" s="478"/>
      <c r="I158" s="478"/>
      <c r="J158" s="478"/>
      <c r="K158" s="478"/>
      <c r="L158" s="478"/>
      <c r="M158" s="478"/>
      <c r="N158" s="478"/>
      <c r="O158" s="478"/>
      <c r="P158" s="478"/>
      <c r="Q158" s="478"/>
      <c r="R158" s="478"/>
      <c r="S158" s="478"/>
      <c r="T158" s="478"/>
      <c r="U158" s="478"/>
      <c r="V158" s="478"/>
      <c r="W158" s="478"/>
      <c r="X158" s="478"/>
      <c r="Y158" s="478"/>
      <c r="Z158" s="478"/>
      <c r="AA158" s="478"/>
      <c r="AB158" s="478"/>
      <c r="AC158" s="478"/>
      <c r="AD158" s="478"/>
      <c r="AE158" s="478"/>
      <c r="AF158" s="478"/>
      <c r="AG158" s="478"/>
      <c r="AH158" s="478"/>
      <c r="AI158" s="478"/>
      <c r="AJ158" s="478"/>
      <c r="AK158" s="478"/>
      <c r="AL158" s="478"/>
      <c r="AM158" s="478"/>
      <c r="AN158" s="478"/>
      <c r="AO158" s="478"/>
      <c r="AP158" s="478"/>
      <c r="AQ158" s="478"/>
      <c r="AR158" s="478"/>
      <c r="AS158" s="478"/>
      <c r="AT158" s="478"/>
      <c r="AU158" s="478"/>
      <c r="AV158" s="478"/>
      <c r="AW158" s="478"/>
      <c r="AX158" s="478"/>
      <c r="AY158" s="478"/>
      <c r="AZ158" s="326"/>
      <c r="BA158" s="326"/>
      <c r="BB158" s="326"/>
      <c r="BC158" s="326"/>
      <c r="BD158" s="326"/>
      <c r="BE158" s="326"/>
      <c r="BF158" s="326"/>
      <c r="BG158" s="326"/>
      <c r="BH158" s="326"/>
      <c r="BI158" s="326"/>
      <c r="BJ158" s="326"/>
      <c r="BK158" s="326"/>
      <c r="BL158" s="326"/>
      <c r="BM158" s="326"/>
      <c r="BN158" s="326"/>
      <c r="BO158" s="326"/>
      <c r="BP158" s="326"/>
      <c r="BQ158" s="326"/>
      <c r="BR158" s="326"/>
      <c r="BS158" s="326"/>
      <c r="BT158" s="326"/>
      <c r="BU158" s="326"/>
      <c r="BV158" s="326"/>
      <c r="BW158" s="326"/>
      <c r="BX158" s="326"/>
      <c r="BY158" s="326"/>
      <c r="BZ158" s="326"/>
      <c r="CA158" s="326"/>
      <c r="CB158" s="326"/>
      <c r="CC158" s="326"/>
      <c r="CD158" s="326"/>
      <c r="CE158" s="326"/>
      <c r="CF158" s="326"/>
      <c r="CG158" s="326"/>
      <c r="CH158" s="326"/>
      <c r="CI158" s="326"/>
      <c r="CJ158" s="326"/>
      <c r="CK158" s="326"/>
      <c r="CL158" s="326"/>
      <c r="CM158" s="326"/>
      <c r="CN158" s="326"/>
      <c r="CO158" s="326"/>
      <c r="CP158" s="326"/>
    </row>
    <row r="159" spans="1:94" ht="14.1" customHeight="1">
      <c r="A159" s="476"/>
      <c r="B159" s="477"/>
      <c r="C159" s="478"/>
      <c r="D159" s="478"/>
      <c r="E159" s="478"/>
      <c r="F159" s="478"/>
      <c r="G159" s="478"/>
      <c r="H159" s="478"/>
      <c r="I159" s="478"/>
      <c r="J159" s="478"/>
      <c r="K159" s="478"/>
      <c r="L159" s="478"/>
      <c r="M159" s="478"/>
      <c r="N159" s="478"/>
      <c r="O159" s="478"/>
      <c r="P159" s="478"/>
      <c r="Q159" s="478"/>
      <c r="R159" s="478"/>
      <c r="S159" s="478"/>
      <c r="T159" s="478"/>
      <c r="U159" s="478"/>
      <c r="V159" s="478"/>
      <c r="W159" s="478"/>
      <c r="X159" s="478"/>
      <c r="Y159" s="478"/>
      <c r="Z159" s="478"/>
      <c r="AA159" s="478"/>
      <c r="AB159" s="478"/>
      <c r="AC159" s="478"/>
      <c r="AD159" s="478"/>
      <c r="AE159" s="478"/>
      <c r="AF159" s="478"/>
      <c r="AG159" s="478"/>
      <c r="AH159" s="478"/>
      <c r="AI159" s="478"/>
      <c r="AJ159" s="478"/>
      <c r="AK159" s="478"/>
      <c r="AL159" s="478"/>
      <c r="AM159" s="478"/>
      <c r="AN159" s="478"/>
      <c r="AO159" s="478"/>
      <c r="AP159" s="478"/>
      <c r="AQ159" s="478"/>
      <c r="AR159" s="478"/>
      <c r="AS159" s="478"/>
      <c r="AT159" s="478"/>
      <c r="AU159" s="478"/>
      <c r="AV159" s="478"/>
      <c r="AW159" s="478"/>
      <c r="AX159" s="478"/>
      <c r="AY159" s="478"/>
      <c r="AZ159" s="326"/>
      <c r="BA159" s="326"/>
      <c r="BB159" s="326"/>
      <c r="BC159" s="326"/>
      <c r="BD159" s="326"/>
      <c r="BE159" s="326"/>
      <c r="BF159" s="326"/>
      <c r="BG159" s="326"/>
      <c r="BH159" s="326"/>
      <c r="BI159" s="326"/>
      <c r="BJ159" s="326"/>
      <c r="BK159" s="326"/>
      <c r="BL159" s="326"/>
      <c r="BM159" s="326"/>
      <c r="BN159" s="326"/>
      <c r="BO159" s="326"/>
      <c r="BP159" s="326"/>
      <c r="BQ159" s="326"/>
      <c r="BR159" s="326"/>
      <c r="BS159" s="326"/>
      <c r="BT159" s="326"/>
      <c r="BU159" s="326"/>
      <c r="BV159" s="326"/>
      <c r="BW159" s="326"/>
      <c r="BX159" s="326"/>
      <c r="BY159" s="326"/>
      <c r="BZ159" s="326"/>
      <c r="CA159" s="326"/>
      <c r="CB159" s="326"/>
      <c r="CC159" s="326"/>
      <c r="CD159" s="326"/>
      <c r="CE159" s="326"/>
      <c r="CF159" s="326"/>
      <c r="CG159" s="326"/>
      <c r="CH159" s="326"/>
      <c r="CI159" s="326"/>
      <c r="CJ159" s="326"/>
      <c r="CK159" s="326"/>
      <c r="CL159" s="326"/>
      <c r="CM159" s="326"/>
      <c r="CN159" s="326"/>
      <c r="CO159" s="326"/>
      <c r="CP159" s="326"/>
    </row>
    <row r="160" spans="1:94" ht="14.1" customHeight="1">
      <c r="A160" s="476"/>
      <c r="B160" s="477"/>
      <c r="C160" s="478"/>
      <c r="D160" s="478"/>
      <c r="E160" s="478"/>
      <c r="F160" s="478"/>
      <c r="G160" s="478"/>
      <c r="H160" s="478"/>
      <c r="I160" s="478"/>
      <c r="J160" s="478"/>
      <c r="K160" s="478"/>
      <c r="L160" s="478"/>
      <c r="M160" s="478"/>
      <c r="N160" s="478"/>
      <c r="O160" s="478"/>
      <c r="P160" s="478"/>
      <c r="Q160" s="478"/>
      <c r="R160" s="478"/>
      <c r="S160" s="478"/>
      <c r="T160" s="478"/>
      <c r="U160" s="478"/>
      <c r="V160" s="478"/>
      <c r="W160" s="478"/>
      <c r="X160" s="478"/>
      <c r="Y160" s="478"/>
      <c r="Z160" s="478"/>
      <c r="AA160" s="478"/>
      <c r="AB160" s="478"/>
      <c r="AC160" s="478"/>
      <c r="AD160" s="478"/>
      <c r="AE160" s="478"/>
      <c r="AF160" s="478"/>
      <c r="AG160" s="478"/>
      <c r="AH160" s="478"/>
      <c r="AI160" s="478"/>
      <c r="AJ160" s="478"/>
      <c r="AK160" s="478"/>
      <c r="AL160" s="478"/>
      <c r="AM160" s="478"/>
      <c r="AN160" s="478"/>
      <c r="AO160" s="478"/>
      <c r="AP160" s="478"/>
      <c r="AQ160" s="478"/>
      <c r="AR160" s="478"/>
      <c r="AS160" s="478"/>
      <c r="AT160" s="478"/>
      <c r="AU160" s="478"/>
      <c r="AV160" s="478"/>
      <c r="AW160" s="478"/>
      <c r="AX160" s="478"/>
      <c r="AY160" s="478"/>
      <c r="AZ160" s="326"/>
      <c r="BA160" s="326"/>
      <c r="BB160" s="326"/>
      <c r="BC160" s="326"/>
      <c r="BD160" s="326"/>
      <c r="BE160" s="326"/>
      <c r="BF160" s="326"/>
      <c r="BG160" s="326"/>
      <c r="BH160" s="326"/>
      <c r="BI160" s="326"/>
      <c r="BJ160" s="326"/>
      <c r="BK160" s="326"/>
      <c r="BL160" s="326"/>
      <c r="BM160" s="326"/>
      <c r="BN160" s="326"/>
      <c r="BO160" s="326"/>
      <c r="BP160" s="326"/>
      <c r="BQ160" s="326"/>
      <c r="BR160" s="326"/>
      <c r="BS160" s="326"/>
      <c r="BT160" s="326"/>
      <c r="BU160" s="326"/>
      <c r="BV160" s="326"/>
      <c r="BW160" s="326"/>
      <c r="BX160" s="326"/>
      <c r="BY160" s="326"/>
      <c r="BZ160" s="326"/>
      <c r="CA160" s="326"/>
      <c r="CB160" s="326"/>
      <c r="CC160" s="326"/>
      <c r="CD160" s="326"/>
      <c r="CE160" s="326"/>
      <c r="CF160" s="326"/>
      <c r="CG160" s="326"/>
      <c r="CH160" s="326"/>
      <c r="CI160" s="326"/>
      <c r="CJ160" s="326"/>
      <c r="CK160" s="326"/>
      <c r="CL160" s="326"/>
      <c r="CM160" s="326"/>
      <c r="CN160" s="326"/>
      <c r="CO160" s="326"/>
      <c r="CP160" s="326"/>
    </row>
    <row r="161" spans="1:94" ht="14.1" customHeight="1">
      <c r="A161" s="476"/>
      <c r="B161" s="477"/>
      <c r="C161" s="478"/>
      <c r="D161" s="478"/>
      <c r="E161" s="478"/>
      <c r="F161" s="478"/>
      <c r="G161" s="478"/>
      <c r="H161" s="478"/>
      <c r="I161" s="478"/>
      <c r="J161" s="478"/>
      <c r="K161" s="478"/>
      <c r="L161" s="478"/>
      <c r="M161" s="478"/>
      <c r="N161" s="478"/>
      <c r="O161" s="478"/>
      <c r="P161" s="478"/>
      <c r="Q161" s="478"/>
      <c r="R161" s="478"/>
      <c r="S161" s="478"/>
      <c r="T161" s="478"/>
      <c r="U161" s="478"/>
      <c r="V161" s="478"/>
      <c r="W161" s="478"/>
      <c r="X161" s="478"/>
      <c r="Y161" s="478"/>
      <c r="Z161" s="478"/>
      <c r="AA161" s="478"/>
      <c r="AB161" s="478"/>
      <c r="AC161" s="478"/>
      <c r="AD161" s="478"/>
      <c r="AE161" s="478"/>
      <c r="AF161" s="478"/>
      <c r="AG161" s="478"/>
      <c r="AH161" s="478"/>
      <c r="AI161" s="478"/>
      <c r="AJ161" s="478"/>
      <c r="AK161" s="478"/>
      <c r="AL161" s="478"/>
      <c r="AM161" s="478"/>
      <c r="AN161" s="478"/>
      <c r="AO161" s="478"/>
      <c r="AP161" s="478"/>
      <c r="AQ161" s="478"/>
      <c r="AR161" s="478"/>
      <c r="AS161" s="478"/>
      <c r="AT161" s="478"/>
      <c r="AU161" s="478"/>
      <c r="AV161" s="478"/>
      <c r="AW161" s="478"/>
      <c r="AX161" s="478"/>
      <c r="AY161" s="478"/>
      <c r="AZ161" s="326"/>
      <c r="BA161" s="326"/>
      <c r="BB161" s="326"/>
      <c r="BC161" s="326"/>
      <c r="BD161" s="326"/>
      <c r="BE161" s="326"/>
      <c r="BF161" s="326"/>
      <c r="BG161" s="326"/>
      <c r="BH161" s="326"/>
      <c r="BI161" s="326"/>
      <c r="BJ161" s="326"/>
      <c r="BK161" s="326"/>
      <c r="BL161" s="326"/>
      <c r="BM161" s="326"/>
      <c r="BN161" s="326"/>
      <c r="BO161" s="326"/>
      <c r="BP161" s="326"/>
      <c r="BQ161" s="326"/>
      <c r="BR161" s="326"/>
      <c r="BS161" s="326"/>
      <c r="BT161" s="326"/>
      <c r="BU161" s="326"/>
      <c r="BV161" s="326"/>
      <c r="BW161" s="326"/>
      <c r="BX161" s="326"/>
      <c r="BY161" s="326"/>
      <c r="BZ161" s="326"/>
      <c r="CA161" s="326"/>
      <c r="CB161" s="326"/>
      <c r="CC161" s="326"/>
      <c r="CD161" s="326"/>
      <c r="CE161" s="326"/>
      <c r="CF161" s="326"/>
      <c r="CG161" s="326"/>
      <c r="CH161" s="326"/>
      <c r="CI161" s="326"/>
      <c r="CJ161" s="326"/>
      <c r="CK161" s="326"/>
      <c r="CL161" s="326"/>
      <c r="CM161" s="326"/>
      <c r="CN161" s="326"/>
      <c r="CO161" s="326"/>
      <c r="CP161" s="326"/>
    </row>
    <row r="162" spans="1:94" ht="14.1" customHeight="1">
      <c r="A162" s="476"/>
      <c r="B162" s="477"/>
      <c r="C162" s="478"/>
      <c r="D162" s="478"/>
      <c r="E162" s="478"/>
      <c r="F162" s="478"/>
      <c r="G162" s="478"/>
      <c r="H162" s="478"/>
      <c r="I162" s="478"/>
      <c r="J162" s="478"/>
      <c r="K162" s="478"/>
      <c r="L162" s="478"/>
      <c r="M162" s="478"/>
      <c r="N162" s="478"/>
      <c r="O162" s="478"/>
      <c r="P162" s="478"/>
      <c r="Q162" s="478"/>
      <c r="R162" s="478"/>
      <c r="S162" s="478"/>
      <c r="T162" s="478"/>
      <c r="U162" s="478"/>
      <c r="V162" s="478"/>
      <c r="W162" s="478"/>
      <c r="X162" s="478"/>
      <c r="Y162" s="478"/>
      <c r="Z162" s="478"/>
      <c r="AA162" s="478"/>
      <c r="AB162" s="478"/>
      <c r="AC162" s="478"/>
      <c r="AD162" s="478"/>
      <c r="AE162" s="478"/>
      <c r="AF162" s="478"/>
      <c r="AG162" s="478"/>
      <c r="AH162" s="478"/>
      <c r="AI162" s="478"/>
      <c r="AJ162" s="478"/>
      <c r="AK162" s="478"/>
      <c r="AL162" s="478"/>
      <c r="AM162" s="478"/>
      <c r="AN162" s="478"/>
      <c r="AO162" s="478"/>
      <c r="AP162" s="478"/>
      <c r="AQ162" s="478"/>
      <c r="AR162" s="478"/>
      <c r="AS162" s="478"/>
      <c r="AT162" s="478"/>
      <c r="AU162" s="478"/>
      <c r="AV162" s="478"/>
      <c r="AW162" s="478"/>
      <c r="AX162" s="478"/>
      <c r="AY162" s="478"/>
      <c r="AZ162" s="326"/>
      <c r="BA162" s="326"/>
      <c r="BB162" s="326"/>
      <c r="BC162" s="326"/>
      <c r="BD162" s="326"/>
      <c r="BE162" s="326"/>
      <c r="BF162" s="326"/>
      <c r="BG162" s="326"/>
      <c r="BH162" s="326"/>
      <c r="BI162" s="326"/>
      <c r="BJ162" s="326"/>
      <c r="BK162" s="326"/>
      <c r="BL162" s="326"/>
      <c r="BM162" s="326"/>
      <c r="BN162" s="326"/>
      <c r="BO162" s="326"/>
      <c r="BP162" s="326"/>
      <c r="BQ162" s="326"/>
      <c r="BR162" s="326"/>
      <c r="BS162" s="326"/>
      <c r="BT162" s="326"/>
      <c r="BU162" s="326"/>
      <c r="BV162" s="326"/>
      <c r="BW162" s="326"/>
      <c r="BX162" s="326"/>
      <c r="BY162" s="326"/>
      <c r="BZ162" s="326"/>
      <c r="CA162" s="326"/>
      <c r="CB162" s="326"/>
      <c r="CC162" s="326"/>
      <c r="CD162" s="326"/>
      <c r="CE162" s="326"/>
      <c r="CF162" s="326"/>
      <c r="CG162" s="326"/>
      <c r="CH162" s="326"/>
      <c r="CI162" s="326"/>
      <c r="CJ162" s="326"/>
      <c r="CK162" s="326"/>
      <c r="CL162" s="326"/>
      <c r="CM162" s="326"/>
      <c r="CN162" s="326"/>
      <c r="CO162" s="326"/>
      <c r="CP162" s="326"/>
    </row>
    <row r="163" spans="1:94" ht="14.1" customHeight="1">
      <c r="A163" s="479"/>
      <c r="B163" s="477"/>
      <c r="D163" s="326"/>
      <c r="E163" s="326"/>
      <c r="F163" s="326"/>
      <c r="G163" s="326"/>
      <c r="H163" s="326"/>
      <c r="I163" s="326"/>
      <c r="K163" s="326"/>
      <c r="L163" s="326"/>
      <c r="M163" s="326"/>
      <c r="N163" s="326"/>
      <c r="O163" s="326"/>
      <c r="P163" s="326"/>
      <c r="R163" s="326"/>
      <c r="S163" s="326"/>
      <c r="T163" s="326"/>
      <c r="U163" s="326"/>
      <c r="V163" s="326"/>
      <c r="W163" s="326"/>
      <c r="Y163" s="326"/>
      <c r="Z163" s="326"/>
      <c r="AA163" s="326"/>
      <c r="AB163" s="326"/>
      <c r="AC163" s="326"/>
      <c r="AD163" s="326"/>
      <c r="AF163" s="326"/>
      <c r="AG163" s="326"/>
      <c r="AH163" s="326"/>
      <c r="AI163" s="326"/>
      <c r="AJ163" s="326"/>
      <c r="AK163" s="326"/>
      <c r="AM163" s="326"/>
      <c r="AN163" s="326"/>
      <c r="AO163" s="326"/>
      <c r="AP163" s="326"/>
      <c r="AQ163" s="326"/>
      <c r="AR163" s="326"/>
      <c r="AT163" s="326"/>
      <c r="AU163" s="326"/>
      <c r="AV163" s="326"/>
      <c r="AW163" s="326"/>
      <c r="AX163" s="326"/>
      <c r="AY163" s="326"/>
      <c r="BA163" s="326"/>
      <c r="BB163" s="326"/>
      <c r="BC163" s="326"/>
      <c r="BD163" s="326"/>
      <c r="BE163" s="326"/>
      <c r="BF163" s="326"/>
      <c r="BH163" s="326"/>
      <c r="BI163" s="326"/>
      <c r="BJ163" s="326"/>
      <c r="BK163" s="326"/>
      <c r="BL163" s="326"/>
      <c r="BM163" s="326"/>
      <c r="BO163" s="326"/>
      <c r="BP163" s="326"/>
      <c r="BQ163" s="326"/>
      <c r="BR163" s="326"/>
      <c r="BS163" s="326"/>
      <c r="BT163" s="326"/>
      <c r="BV163" s="326"/>
      <c r="BW163" s="326"/>
      <c r="BX163" s="326"/>
      <c r="BY163" s="326"/>
      <c r="BZ163" s="326"/>
      <c r="CA163" s="326"/>
      <c r="CC163" s="326"/>
      <c r="CD163" s="326"/>
      <c r="CE163" s="326"/>
      <c r="CF163" s="326"/>
      <c r="CG163" s="326"/>
      <c r="CH163" s="461"/>
      <c r="CJ163" s="326"/>
      <c r="CK163" s="326"/>
      <c r="CL163" s="326"/>
      <c r="CM163" s="326"/>
      <c r="CN163" s="326"/>
      <c r="CO163" s="326"/>
    </row>
    <row r="164" spans="1:94" ht="14.1" customHeight="1">
      <c r="A164" s="479"/>
      <c r="B164" s="477"/>
      <c r="D164" s="326"/>
      <c r="E164" s="326"/>
      <c r="F164" s="326"/>
      <c r="G164" s="326"/>
      <c r="H164" s="326"/>
      <c r="I164" s="326"/>
      <c r="K164" s="326"/>
      <c r="L164" s="326"/>
      <c r="M164" s="326"/>
      <c r="N164" s="326"/>
      <c r="O164" s="326"/>
      <c r="P164" s="326"/>
      <c r="R164" s="326"/>
      <c r="S164" s="326"/>
      <c r="T164" s="326"/>
      <c r="U164" s="326"/>
      <c r="V164" s="326"/>
      <c r="W164" s="326"/>
      <c r="Y164" s="326"/>
      <c r="Z164" s="326"/>
      <c r="AA164" s="326"/>
      <c r="AB164" s="326"/>
      <c r="AC164" s="326"/>
      <c r="AD164" s="326"/>
      <c r="AF164" s="326"/>
      <c r="AG164" s="326"/>
      <c r="AH164" s="326"/>
      <c r="AI164" s="326"/>
      <c r="AJ164" s="326"/>
      <c r="AK164" s="326"/>
      <c r="AM164" s="326"/>
      <c r="AN164" s="326"/>
      <c r="AO164" s="326"/>
      <c r="AP164" s="326"/>
      <c r="AQ164" s="326"/>
      <c r="AR164" s="326"/>
      <c r="AT164" s="326"/>
      <c r="AU164" s="326"/>
      <c r="AV164" s="326"/>
      <c r="AW164" s="326"/>
      <c r="AX164" s="326"/>
      <c r="AY164" s="326"/>
      <c r="BA164" s="326"/>
      <c r="BB164" s="326"/>
      <c r="BC164" s="326"/>
      <c r="BD164" s="326"/>
      <c r="BE164" s="326"/>
      <c r="BF164" s="326"/>
      <c r="BH164" s="326"/>
      <c r="BI164" s="326"/>
      <c r="BJ164" s="326"/>
      <c r="BK164" s="326"/>
      <c r="BL164" s="326"/>
      <c r="BM164" s="326"/>
      <c r="BO164" s="326"/>
      <c r="BP164" s="326"/>
      <c r="BQ164" s="326"/>
      <c r="BR164" s="326"/>
      <c r="BS164" s="326"/>
      <c r="BT164" s="326"/>
      <c r="BV164" s="326"/>
      <c r="BW164" s="326"/>
      <c r="BX164" s="326"/>
      <c r="BY164" s="326"/>
      <c r="BZ164" s="326"/>
      <c r="CA164" s="326"/>
      <c r="CC164" s="326"/>
      <c r="CD164" s="326"/>
      <c r="CE164" s="326"/>
      <c r="CF164" s="326"/>
      <c r="CG164" s="326"/>
      <c r="CH164" s="461"/>
      <c r="CJ164" s="326"/>
      <c r="CK164" s="326"/>
      <c r="CL164" s="326"/>
      <c r="CM164" s="326"/>
      <c r="CN164" s="326"/>
      <c r="CO164" s="326"/>
    </row>
    <row r="165" spans="1:94" ht="14.1" customHeight="1">
      <c r="A165" s="479"/>
      <c r="B165" s="477"/>
      <c r="D165" s="326"/>
      <c r="E165" s="326"/>
      <c r="F165" s="326"/>
      <c r="G165" s="326"/>
      <c r="H165" s="326"/>
      <c r="I165" s="326"/>
      <c r="K165" s="326"/>
      <c r="L165" s="326"/>
      <c r="M165" s="326"/>
      <c r="N165" s="326"/>
      <c r="O165" s="326"/>
      <c r="P165" s="326"/>
      <c r="R165" s="326"/>
      <c r="S165" s="326"/>
      <c r="T165" s="326"/>
      <c r="U165" s="326"/>
      <c r="V165" s="326"/>
      <c r="W165" s="326"/>
      <c r="Y165" s="326"/>
      <c r="Z165" s="326"/>
      <c r="AA165" s="326"/>
      <c r="AB165" s="326"/>
      <c r="AC165" s="326"/>
      <c r="AD165" s="326"/>
      <c r="AF165" s="326"/>
      <c r="AG165" s="326"/>
      <c r="AH165" s="326"/>
      <c r="AI165" s="326"/>
      <c r="AJ165" s="326"/>
      <c r="AK165" s="326"/>
      <c r="AM165" s="326"/>
      <c r="AN165" s="326"/>
      <c r="AO165" s="326"/>
      <c r="AP165" s="326"/>
      <c r="AQ165" s="326"/>
      <c r="AR165" s="326"/>
      <c r="AT165" s="326"/>
      <c r="AU165" s="326"/>
      <c r="AV165" s="326"/>
      <c r="AW165" s="326"/>
      <c r="AX165" s="326"/>
      <c r="AY165" s="326"/>
      <c r="BA165" s="326"/>
      <c r="BB165" s="326"/>
      <c r="BC165" s="326"/>
      <c r="BD165" s="326"/>
      <c r="BE165" s="326"/>
      <c r="BF165" s="326"/>
      <c r="BH165" s="326"/>
      <c r="BI165" s="326"/>
      <c r="BJ165" s="326"/>
      <c r="BK165" s="326"/>
      <c r="BL165" s="326"/>
      <c r="BM165" s="326"/>
      <c r="BO165" s="326"/>
      <c r="BP165" s="326"/>
      <c r="BQ165" s="326"/>
      <c r="BR165" s="326"/>
      <c r="BS165" s="326"/>
      <c r="BT165" s="326"/>
      <c r="BV165" s="326"/>
      <c r="BW165" s="326"/>
      <c r="BX165" s="326"/>
      <c r="BY165" s="326"/>
      <c r="BZ165" s="326"/>
      <c r="CA165" s="326"/>
      <c r="CC165" s="326"/>
      <c r="CD165" s="326"/>
      <c r="CE165" s="326"/>
      <c r="CF165" s="326"/>
      <c r="CG165" s="326"/>
      <c r="CH165" s="461"/>
      <c r="CJ165" s="326"/>
      <c r="CK165" s="326"/>
      <c r="CL165" s="326"/>
      <c r="CM165" s="326"/>
      <c r="CN165" s="326"/>
      <c r="CO165" s="326"/>
    </row>
    <row r="166" spans="1:94" ht="14.1" customHeight="1">
      <c r="A166" s="479"/>
      <c r="B166" s="477"/>
      <c r="C166" s="53"/>
      <c r="D166" s="464"/>
      <c r="E166" s="464"/>
      <c r="F166" s="464"/>
      <c r="G166" s="464"/>
      <c r="H166" s="464"/>
      <c r="I166" s="464"/>
      <c r="J166" s="53"/>
      <c r="K166" s="464"/>
      <c r="L166" s="464"/>
      <c r="M166" s="464"/>
      <c r="N166" s="464"/>
      <c r="O166" s="464"/>
      <c r="P166" s="464"/>
      <c r="Q166" s="53"/>
      <c r="R166" s="464"/>
      <c r="S166" s="464"/>
      <c r="T166" s="464"/>
      <c r="U166" s="464"/>
      <c r="V166" s="464"/>
      <c r="W166" s="464"/>
      <c r="X166" s="53"/>
      <c r="Y166" s="464"/>
      <c r="Z166" s="464"/>
      <c r="AA166" s="464"/>
      <c r="AB166" s="464"/>
      <c r="AC166" s="464"/>
      <c r="AD166" s="464"/>
      <c r="AE166" s="53"/>
      <c r="AF166" s="464"/>
      <c r="AG166" s="464"/>
      <c r="AH166" s="464"/>
      <c r="AI166" s="464"/>
      <c r="AJ166" s="464"/>
      <c r="AK166" s="464"/>
      <c r="AL166" s="53"/>
      <c r="AM166" s="464"/>
      <c r="AN166" s="464"/>
      <c r="AO166" s="464"/>
      <c r="AP166" s="464"/>
      <c r="AQ166" s="464"/>
      <c r="AR166" s="464"/>
      <c r="AS166" s="53"/>
      <c r="AT166" s="464"/>
      <c r="AU166" s="464"/>
      <c r="AV166" s="464"/>
      <c r="AW166" s="464"/>
      <c r="AX166" s="464"/>
      <c r="AY166" s="464"/>
      <c r="AZ166" s="53"/>
      <c r="BA166" s="464"/>
      <c r="BB166" s="464"/>
      <c r="BC166" s="464"/>
      <c r="BD166" s="464"/>
      <c r="BE166" s="464"/>
      <c r="BF166" s="464"/>
      <c r="BG166" s="53"/>
      <c r="BH166" s="464"/>
      <c r="BI166" s="464"/>
      <c r="BJ166" s="464"/>
      <c r="BK166" s="464"/>
      <c r="BL166" s="464"/>
      <c r="BM166" s="464"/>
      <c r="BN166" s="53"/>
      <c r="BO166" s="464"/>
      <c r="BP166" s="464"/>
      <c r="BQ166" s="464"/>
      <c r="BR166" s="464"/>
      <c r="BS166" s="464"/>
      <c r="BT166" s="464"/>
      <c r="BU166" s="53"/>
      <c r="BV166" s="464"/>
      <c r="BW166" s="464"/>
      <c r="BX166" s="464"/>
      <c r="BY166" s="464"/>
      <c r="BZ166" s="464"/>
      <c r="CA166" s="464"/>
      <c r="CB166" s="53"/>
      <c r="CC166" s="464"/>
      <c r="CD166" s="464"/>
      <c r="CE166" s="464"/>
      <c r="CF166" s="464"/>
      <c r="CG166" s="464"/>
      <c r="CH166" s="465"/>
      <c r="CI166" s="53"/>
      <c r="CJ166" s="464"/>
      <c r="CK166" s="464"/>
      <c r="CL166" s="464"/>
      <c r="CM166" s="464"/>
      <c r="CN166" s="464"/>
      <c r="CO166" s="464"/>
    </row>
    <row r="167" spans="1:94" ht="14.1" customHeight="1">
      <c r="A167" s="480" t="s">
        <v>1</v>
      </c>
      <c r="B167" s="416"/>
      <c r="C167" s="314">
        <f t="shared" ref="C167:AH167" si="24">COUNTIF(C6:C165,"0800-1730*")+COUNTIF(C6:C165,"0800-1800*")+COUNTIF(C6:C165,"0730-*")-COUNTIF(C6:C165,"*0800-1730 CS*")-COUNTIF(C6:C165,"*0800-1800 CS*")-COUNTIF(C6:C165,"*0800-1730 PHNW*")-COUNTIF(C6:C165,"*0800-1730 DEMT*")-COUNTIF(C6:C165,"*0800-1730 DD*")</f>
        <v>14</v>
      </c>
      <c r="D167" s="314">
        <f t="shared" si="24"/>
        <v>15</v>
      </c>
      <c r="E167" s="314">
        <f t="shared" si="24"/>
        <v>16</v>
      </c>
      <c r="F167" s="314">
        <f t="shared" si="24"/>
        <v>17</v>
      </c>
      <c r="G167" s="314">
        <f t="shared" si="24"/>
        <v>17</v>
      </c>
      <c r="H167" s="314">
        <f t="shared" si="24"/>
        <v>15</v>
      </c>
      <c r="I167" s="314">
        <f t="shared" si="24"/>
        <v>16</v>
      </c>
      <c r="J167" s="314">
        <f t="shared" si="24"/>
        <v>15</v>
      </c>
      <c r="K167" s="314">
        <f t="shared" si="24"/>
        <v>16</v>
      </c>
      <c r="L167" s="314">
        <f t="shared" si="24"/>
        <v>16</v>
      </c>
      <c r="M167" s="314">
        <f t="shared" si="24"/>
        <v>15</v>
      </c>
      <c r="N167" s="314">
        <f t="shared" si="24"/>
        <v>16</v>
      </c>
      <c r="O167" s="314">
        <f t="shared" si="24"/>
        <v>14</v>
      </c>
      <c r="P167" s="314">
        <f t="shared" si="24"/>
        <v>13</v>
      </c>
      <c r="Q167" s="314">
        <f t="shared" si="24"/>
        <v>14</v>
      </c>
      <c r="R167" s="314">
        <f t="shared" si="24"/>
        <v>15</v>
      </c>
      <c r="S167" s="314">
        <f t="shared" si="24"/>
        <v>16</v>
      </c>
      <c r="T167" s="314">
        <f t="shared" si="24"/>
        <v>15</v>
      </c>
      <c r="U167" s="314">
        <f t="shared" si="24"/>
        <v>14</v>
      </c>
      <c r="V167" s="314">
        <f t="shared" si="24"/>
        <v>14</v>
      </c>
      <c r="W167" s="314">
        <f t="shared" si="24"/>
        <v>14</v>
      </c>
      <c r="X167" s="314">
        <f t="shared" si="24"/>
        <v>15</v>
      </c>
      <c r="Y167" s="314">
        <f t="shared" si="24"/>
        <v>16</v>
      </c>
      <c r="Z167" s="314">
        <f t="shared" si="24"/>
        <v>16</v>
      </c>
      <c r="AA167" s="314">
        <f t="shared" si="24"/>
        <v>16</v>
      </c>
      <c r="AB167" s="314">
        <f t="shared" si="24"/>
        <v>16</v>
      </c>
      <c r="AC167" s="314">
        <f t="shared" si="24"/>
        <v>13</v>
      </c>
      <c r="AD167" s="314">
        <f t="shared" si="24"/>
        <v>15</v>
      </c>
      <c r="AE167" s="314">
        <f t="shared" si="24"/>
        <v>16</v>
      </c>
      <c r="AF167" s="314">
        <f t="shared" si="24"/>
        <v>18</v>
      </c>
      <c r="AG167" s="314">
        <f t="shared" si="24"/>
        <v>16</v>
      </c>
      <c r="AH167" s="314">
        <f t="shared" si="24"/>
        <v>16</v>
      </c>
      <c r="AI167" s="314">
        <f t="shared" ref="AI167:BN167" si="25">COUNTIF(AI6:AI165,"0800-1730*")+COUNTIF(AI6:AI165,"0800-1800*")+COUNTIF(AI6:AI165,"0730-*")-COUNTIF(AI6:AI165,"*0800-1730 CS*")-COUNTIF(AI6:AI165,"*0800-1800 CS*")-COUNTIF(AI6:AI165,"*0800-1730 PHNW*")-COUNTIF(AI6:AI165,"*0800-1730 DEMT*")-COUNTIF(AI6:AI165,"*0800-1730 DD*")</f>
        <v>17</v>
      </c>
      <c r="AJ167" s="314">
        <f t="shared" si="25"/>
        <v>13</v>
      </c>
      <c r="AK167" s="314">
        <f t="shared" si="25"/>
        <v>14</v>
      </c>
      <c r="AL167" s="314">
        <f t="shared" si="25"/>
        <v>16</v>
      </c>
      <c r="AM167" s="314">
        <f t="shared" si="25"/>
        <v>18</v>
      </c>
      <c r="AN167" s="314">
        <f t="shared" si="25"/>
        <v>17</v>
      </c>
      <c r="AO167" s="314">
        <f t="shared" si="25"/>
        <v>18</v>
      </c>
      <c r="AP167" s="314">
        <f t="shared" si="25"/>
        <v>16</v>
      </c>
      <c r="AQ167" s="314">
        <f t="shared" si="25"/>
        <v>12</v>
      </c>
      <c r="AR167" s="314">
        <f t="shared" si="25"/>
        <v>14</v>
      </c>
      <c r="AS167" s="314">
        <f t="shared" si="25"/>
        <v>15</v>
      </c>
      <c r="AT167" s="314">
        <f t="shared" si="25"/>
        <v>17</v>
      </c>
      <c r="AU167" s="314">
        <f t="shared" si="25"/>
        <v>15</v>
      </c>
      <c r="AV167" s="314">
        <f t="shared" si="25"/>
        <v>17</v>
      </c>
      <c r="AW167" s="314">
        <f t="shared" si="25"/>
        <v>17</v>
      </c>
      <c r="AX167" s="314">
        <f t="shared" si="25"/>
        <v>14</v>
      </c>
      <c r="AY167" s="314">
        <f t="shared" si="25"/>
        <v>14</v>
      </c>
      <c r="AZ167" s="314">
        <f t="shared" si="25"/>
        <v>14</v>
      </c>
      <c r="BA167" s="314">
        <f t="shared" si="25"/>
        <v>14</v>
      </c>
      <c r="BB167" s="314">
        <f t="shared" si="25"/>
        <v>13</v>
      </c>
      <c r="BC167" s="314">
        <f t="shared" si="25"/>
        <v>15</v>
      </c>
      <c r="BD167" s="314">
        <f t="shared" si="25"/>
        <v>15</v>
      </c>
      <c r="BE167" s="314">
        <f t="shared" si="25"/>
        <v>12</v>
      </c>
      <c r="BF167" s="314">
        <f t="shared" si="25"/>
        <v>12</v>
      </c>
      <c r="BG167" s="314">
        <f t="shared" si="25"/>
        <v>14</v>
      </c>
      <c r="BH167" s="314">
        <f t="shared" si="25"/>
        <v>14</v>
      </c>
      <c r="BI167" s="314">
        <f t="shared" si="25"/>
        <v>13</v>
      </c>
      <c r="BJ167" s="314">
        <f t="shared" si="25"/>
        <v>16</v>
      </c>
      <c r="BK167" s="314">
        <f t="shared" si="25"/>
        <v>14</v>
      </c>
      <c r="BL167" s="314">
        <f t="shared" si="25"/>
        <v>12</v>
      </c>
      <c r="BM167" s="314">
        <f t="shared" si="25"/>
        <v>12</v>
      </c>
      <c r="BN167" s="314">
        <f t="shared" si="25"/>
        <v>15</v>
      </c>
      <c r="BO167" s="314">
        <f t="shared" ref="BO167:CO167" si="26">COUNTIF(BO6:BO165,"0800-1730*")+COUNTIF(BO6:BO165,"0800-1800*")+COUNTIF(BO6:BO165,"0730-*")-COUNTIF(BO6:BO165,"*0800-1730 CS*")-COUNTIF(BO6:BO165,"*0800-1800 CS*")-COUNTIF(BO6:BO165,"*0800-1730 PHNW*")-COUNTIF(BO6:BO165,"*0800-1730 DEMT*")-COUNTIF(BO6:BO165,"*0800-1730 DD*")</f>
        <v>13</v>
      </c>
      <c r="BP167" s="314">
        <f t="shared" si="26"/>
        <v>13</v>
      </c>
      <c r="BQ167" s="314">
        <f t="shared" si="26"/>
        <v>15</v>
      </c>
      <c r="BR167" s="314">
        <f t="shared" si="26"/>
        <v>15</v>
      </c>
      <c r="BS167" s="314">
        <f t="shared" si="26"/>
        <v>13</v>
      </c>
      <c r="BT167" s="314">
        <f t="shared" si="26"/>
        <v>13</v>
      </c>
      <c r="BU167" s="314">
        <f t="shared" si="26"/>
        <v>13</v>
      </c>
      <c r="BV167" s="314">
        <f t="shared" si="26"/>
        <v>14</v>
      </c>
      <c r="BW167" s="314">
        <f t="shared" si="26"/>
        <v>13</v>
      </c>
      <c r="BX167" s="314">
        <f t="shared" si="26"/>
        <v>15</v>
      </c>
      <c r="BY167" s="314">
        <f t="shared" si="26"/>
        <v>14</v>
      </c>
      <c r="BZ167" s="314">
        <f t="shared" si="26"/>
        <v>12</v>
      </c>
      <c r="CA167" s="314">
        <f t="shared" si="26"/>
        <v>13</v>
      </c>
      <c r="CB167" s="314">
        <f t="shared" si="26"/>
        <v>15</v>
      </c>
      <c r="CC167" s="314">
        <f t="shared" si="26"/>
        <v>15</v>
      </c>
      <c r="CD167" s="314">
        <f t="shared" si="26"/>
        <v>14</v>
      </c>
      <c r="CE167" s="314">
        <f t="shared" si="26"/>
        <v>15</v>
      </c>
      <c r="CF167" s="314">
        <f t="shared" si="26"/>
        <v>14</v>
      </c>
      <c r="CG167" s="314">
        <f t="shared" si="26"/>
        <v>12</v>
      </c>
      <c r="CH167" s="314">
        <f t="shared" si="26"/>
        <v>13</v>
      </c>
      <c r="CI167" s="314">
        <f t="shared" si="26"/>
        <v>14</v>
      </c>
      <c r="CJ167" s="314">
        <f t="shared" si="26"/>
        <v>14</v>
      </c>
      <c r="CK167" s="314">
        <f t="shared" si="26"/>
        <v>14</v>
      </c>
      <c r="CL167" s="314">
        <f t="shared" si="26"/>
        <v>14</v>
      </c>
      <c r="CM167" s="314">
        <f t="shared" si="26"/>
        <v>14</v>
      </c>
      <c r="CN167" s="314">
        <f t="shared" si="26"/>
        <v>12</v>
      </c>
      <c r="CO167" s="314">
        <f t="shared" si="26"/>
        <v>13</v>
      </c>
    </row>
    <row r="168" spans="1:94" ht="14.1" customHeight="1">
      <c r="A168" s="480" t="s">
        <v>276</v>
      </c>
      <c r="B168" s="416"/>
      <c r="C168" s="8">
        <f t="shared" ref="C168:AH168" si="27">COUNTIF(C6:C165,"*SWA*")</f>
        <v>4</v>
      </c>
      <c r="D168" s="8">
        <f t="shared" si="27"/>
        <v>1</v>
      </c>
      <c r="E168" s="8">
        <f t="shared" si="27"/>
        <v>1</v>
      </c>
      <c r="F168" s="8">
        <f t="shared" si="27"/>
        <v>0</v>
      </c>
      <c r="G168" s="8">
        <f t="shared" si="27"/>
        <v>0</v>
      </c>
      <c r="H168" s="8">
        <f t="shared" si="27"/>
        <v>0</v>
      </c>
      <c r="I168" s="8">
        <f t="shared" si="27"/>
        <v>0</v>
      </c>
      <c r="J168" s="8">
        <f t="shared" si="27"/>
        <v>1</v>
      </c>
      <c r="K168" s="8">
        <f t="shared" si="27"/>
        <v>0</v>
      </c>
      <c r="L168" s="8">
        <f t="shared" si="27"/>
        <v>1</v>
      </c>
      <c r="M168" s="8">
        <f t="shared" si="27"/>
        <v>1</v>
      </c>
      <c r="N168" s="8">
        <f t="shared" si="27"/>
        <v>0</v>
      </c>
      <c r="O168" s="8">
        <f t="shared" si="27"/>
        <v>0</v>
      </c>
      <c r="P168" s="8">
        <f t="shared" si="27"/>
        <v>0</v>
      </c>
      <c r="Q168" s="8">
        <f t="shared" si="27"/>
        <v>1</v>
      </c>
      <c r="R168" s="8">
        <f t="shared" si="27"/>
        <v>1</v>
      </c>
      <c r="S168" s="8">
        <f t="shared" si="27"/>
        <v>1</v>
      </c>
      <c r="T168" s="8">
        <f t="shared" si="27"/>
        <v>0</v>
      </c>
      <c r="U168" s="8">
        <f t="shared" si="27"/>
        <v>0</v>
      </c>
      <c r="V168" s="8">
        <f t="shared" si="27"/>
        <v>0</v>
      </c>
      <c r="W168" s="8">
        <f t="shared" si="27"/>
        <v>0</v>
      </c>
      <c r="X168" s="8">
        <f t="shared" si="27"/>
        <v>1</v>
      </c>
      <c r="Y168" s="8">
        <f t="shared" si="27"/>
        <v>1</v>
      </c>
      <c r="Z168" s="8">
        <f t="shared" si="27"/>
        <v>1</v>
      </c>
      <c r="AA168" s="8">
        <f t="shared" si="27"/>
        <v>1</v>
      </c>
      <c r="AB168" s="8">
        <f t="shared" si="27"/>
        <v>1</v>
      </c>
      <c r="AC168" s="8">
        <f t="shared" si="27"/>
        <v>1</v>
      </c>
      <c r="AD168" s="8">
        <f t="shared" si="27"/>
        <v>0</v>
      </c>
      <c r="AE168" s="8">
        <f t="shared" si="27"/>
        <v>2</v>
      </c>
      <c r="AF168" s="8">
        <f t="shared" si="27"/>
        <v>1</v>
      </c>
      <c r="AG168" s="8">
        <f t="shared" si="27"/>
        <v>2</v>
      </c>
      <c r="AH168" s="8">
        <f t="shared" si="27"/>
        <v>1</v>
      </c>
      <c r="AI168" s="8">
        <f t="shared" ref="AI168:BN168" si="28">COUNTIF(AI6:AI165,"*SWA*")</f>
        <v>0</v>
      </c>
      <c r="AJ168" s="8">
        <f t="shared" si="28"/>
        <v>1</v>
      </c>
      <c r="AK168" s="8">
        <f t="shared" si="28"/>
        <v>0</v>
      </c>
      <c r="AL168" s="8">
        <f t="shared" si="28"/>
        <v>0</v>
      </c>
      <c r="AM168" s="8">
        <f t="shared" si="28"/>
        <v>0</v>
      </c>
      <c r="AN168" s="8">
        <f t="shared" si="28"/>
        <v>2</v>
      </c>
      <c r="AO168" s="8">
        <f t="shared" si="28"/>
        <v>0</v>
      </c>
      <c r="AP168" s="8">
        <f t="shared" si="28"/>
        <v>1</v>
      </c>
      <c r="AQ168" s="8">
        <f t="shared" si="28"/>
        <v>1</v>
      </c>
      <c r="AR168" s="8">
        <f t="shared" si="28"/>
        <v>0</v>
      </c>
      <c r="AS168" s="8">
        <f t="shared" si="28"/>
        <v>1</v>
      </c>
      <c r="AT168" s="8">
        <f t="shared" si="28"/>
        <v>1</v>
      </c>
      <c r="AU168" s="8">
        <f t="shared" si="28"/>
        <v>1</v>
      </c>
      <c r="AV168" s="8">
        <f t="shared" si="28"/>
        <v>1</v>
      </c>
      <c r="AW168" s="8">
        <f t="shared" si="28"/>
        <v>1</v>
      </c>
      <c r="AX168" s="8">
        <f t="shared" si="28"/>
        <v>1</v>
      </c>
      <c r="AY168" s="8">
        <f t="shared" si="28"/>
        <v>0</v>
      </c>
      <c r="AZ168" s="8">
        <f t="shared" si="28"/>
        <v>2</v>
      </c>
      <c r="BA168" s="8">
        <f t="shared" si="28"/>
        <v>0</v>
      </c>
      <c r="BB168" s="8">
        <f t="shared" si="28"/>
        <v>2</v>
      </c>
      <c r="BC168" s="8">
        <f t="shared" si="28"/>
        <v>1</v>
      </c>
      <c r="BD168" s="8">
        <f t="shared" si="28"/>
        <v>1</v>
      </c>
      <c r="BE168" s="8">
        <f t="shared" si="28"/>
        <v>0</v>
      </c>
      <c r="BF168" s="8">
        <f t="shared" si="28"/>
        <v>0</v>
      </c>
      <c r="BG168" s="8">
        <f t="shared" si="28"/>
        <v>1</v>
      </c>
      <c r="BH168" s="8">
        <f t="shared" si="28"/>
        <v>0</v>
      </c>
      <c r="BI168" s="8">
        <f t="shared" si="28"/>
        <v>0</v>
      </c>
      <c r="BJ168" s="8">
        <f t="shared" si="28"/>
        <v>0</v>
      </c>
      <c r="BK168" s="8">
        <f t="shared" si="28"/>
        <v>0</v>
      </c>
      <c r="BL168" s="8">
        <f t="shared" si="28"/>
        <v>0</v>
      </c>
      <c r="BM168" s="8">
        <f t="shared" si="28"/>
        <v>0</v>
      </c>
      <c r="BN168" s="8">
        <f t="shared" si="28"/>
        <v>0</v>
      </c>
      <c r="BO168" s="8">
        <f t="shared" ref="BO168:CO168" si="29">COUNTIF(BO6:BO165,"*SWA*")</f>
        <v>1</v>
      </c>
      <c r="BP168" s="8">
        <f t="shared" si="29"/>
        <v>2</v>
      </c>
      <c r="BQ168" s="8">
        <f t="shared" si="29"/>
        <v>1</v>
      </c>
      <c r="BR168" s="8">
        <f t="shared" si="29"/>
        <v>0</v>
      </c>
      <c r="BS168" s="8">
        <f t="shared" si="29"/>
        <v>0</v>
      </c>
      <c r="BT168" s="8">
        <f t="shared" si="29"/>
        <v>0</v>
      </c>
      <c r="BU168" s="8">
        <f t="shared" si="29"/>
        <v>2</v>
      </c>
      <c r="BV168" s="8">
        <f t="shared" si="29"/>
        <v>0</v>
      </c>
      <c r="BW168" s="8">
        <f t="shared" si="29"/>
        <v>2</v>
      </c>
      <c r="BX168" s="8">
        <f t="shared" si="29"/>
        <v>0</v>
      </c>
      <c r="BY168" s="8">
        <f t="shared" si="29"/>
        <v>0</v>
      </c>
      <c r="BZ168" s="8">
        <f t="shared" si="29"/>
        <v>0</v>
      </c>
      <c r="CA168" s="8">
        <f t="shared" si="29"/>
        <v>0</v>
      </c>
      <c r="CB168" s="8">
        <f t="shared" si="29"/>
        <v>0</v>
      </c>
      <c r="CC168" s="8">
        <f t="shared" si="29"/>
        <v>0</v>
      </c>
      <c r="CD168" s="8">
        <f t="shared" si="29"/>
        <v>2</v>
      </c>
      <c r="CE168" s="8">
        <f t="shared" si="29"/>
        <v>0</v>
      </c>
      <c r="CF168" s="8">
        <f t="shared" si="29"/>
        <v>1</v>
      </c>
      <c r="CG168" s="8">
        <f t="shared" si="29"/>
        <v>1</v>
      </c>
      <c r="CH168" s="8">
        <f t="shared" si="29"/>
        <v>0</v>
      </c>
      <c r="CI168" s="8">
        <f t="shared" si="29"/>
        <v>1</v>
      </c>
      <c r="CJ168" s="8">
        <f t="shared" si="29"/>
        <v>2</v>
      </c>
      <c r="CK168" s="8">
        <f t="shared" si="29"/>
        <v>2</v>
      </c>
      <c r="CL168" s="8">
        <f t="shared" si="29"/>
        <v>1</v>
      </c>
      <c r="CM168" s="8">
        <f t="shared" si="29"/>
        <v>0</v>
      </c>
      <c r="CN168" s="8">
        <f t="shared" si="29"/>
        <v>1</v>
      </c>
      <c r="CO168" s="8">
        <f t="shared" si="29"/>
        <v>1</v>
      </c>
    </row>
    <row r="169" spans="1:94" ht="14.1" customHeight="1">
      <c r="A169" s="480" t="s">
        <v>2</v>
      </c>
      <c r="B169" s="416"/>
      <c r="C169" s="8">
        <f t="shared" ref="C169:AH169" si="30">COUNTIF(C6:C165,"*1400-*")+COUNTIF(C6:C165,"*1430-*")</f>
        <v>15</v>
      </c>
      <c r="D169" s="8">
        <f t="shared" si="30"/>
        <v>18</v>
      </c>
      <c r="E169" s="8">
        <f t="shared" si="30"/>
        <v>17</v>
      </c>
      <c r="F169" s="8">
        <f t="shared" si="30"/>
        <v>18</v>
      </c>
      <c r="G169" s="8">
        <f t="shared" si="30"/>
        <v>19</v>
      </c>
      <c r="H169" s="8">
        <f t="shared" si="30"/>
        <v>14</v>
      </c>
      <c r="I169" s="8">
        <f t="shared" si="30"/>
        <v>15</v>
      </c>
      <c r="J169" s="8">
        <f t="shared" si="30"/>
        <v>18</v>
      </c>
      <c r="K169" s="8">
        <f t="shared" si="30"/>
        <v>16</v>
      </c>
      <c r="L169" s="8">
        <f t="shared" si="30"/>
        <v>16</v>
      </c>
      <c r="M169" s="8">
        <f t="shared" si="30"/>
        <v>17</v>
      </c>
      <c r="N169" s="8">
        <f t="shared" si="30"/>
        <v>17</v>
      </c>
      <c r="O169" s="8">
        <f t="shared" si="30"/>
        <v>15</v>
      </c>
      <c r="P169" s="8">
        <f t="shared" si="30"/>
        <v>16</v>
      </c>
      <c r="Q169" s="8">
        <f t="shared" si="30"/>
        <v>16</v>
      </c>
      <c r="R169" s="8">
        <f t="shared" si="30"/>
        <v>15</v>
      </c>
      <c r="S169" s="8">
        <f t="shared" si="30"/>
        <v>15</v>
      </c>
      <c r="T169" s="8">
        <f t="shared" si="30"/>
        <v>16</v>
      </c>
      <c r="U169" s="8">
        <f t="shared" si="30"/>
        <v>16</v>
      </c>
      <c r="V169" s="8">
        <f t="shared" si="30"/>
        <v>13</v>
      </c>
      <c r="W169" s="8">
        <f t="shared" si="30"/>
        <v>13</v>
      </c>
      <c r="X169" s="8">
        <f t="shared" si="30"/>
        <v>17</v>
      </c>
      <c r="Y169" s="8">
        <f t="shared" si="30"/>
        <v>21</v>
      </c>
      <c r="Z169" s="8">
        <f t="shared" si="30"/>
        <v>19</v>
      </c>
      <c r="AA169" s="8">
        <f t="shared" si="30"/>
        <v>18</v>
      </c>
      <c r="AB169" s="8">
        <f t="shared" si="30"/>
        <v>17</v>
      </c>
      <c r="AC169" s="8">
        <f t="shared" si="30"/>
        <v>15</v>
      </c>
      <c r="AD169" s="8">
        <f t="shared" si="30"/>
        <v>15</v>
      </c>
      <c r="AE169" s="8">
        <f t="shared" si="30"/>
        <v>18</v>
      </c>
      <c r="AF169" s="8">
        <f t="shared" si="30"/>
        <v>19</v>
      </c>
      <c r="AG169" s="8">
        <f t="shared" si="30"/>
        <v>19</v>
      </c>
      <c r="AH169" s="8">
        <f t="shared" si="30"/>
        <v>18</v>
      </c>
      <c r="AI169" s="8">
        <f t="shared" ref="AI169:BN169" si="31">COUNTIF(AI6:AI165,"*1400-*")+COUNTIF(AI6:AI165,"*1430-*")</f>
        <v>18</v>
      </c>
      <c r="AJ169" s="8">
        <f t="shared" si="31"/>
        <v>13</v>
      </c>
      <c r="AK169" s="8">
        <f t="shared" si="31"/>
        <v>15</v>
      </c>
      <c r="AL169" s="8">
        <f t="shared" si="31"/>
        <v>19</v>
      </c>
      <c r="AM169" s="8">
        <f t="shared" si="31"/>
        <v>17</v>
      </c>
      <c r="AN169" s="8">
        <f t="shared" si="31"/>
        <v>16</v>
      </c>
      <c r="AO169" s="8">
        <f t="shared" si="31"/>
        <v>16</v>
      </c>
      <c r="AP169" s="8">
        <f t="shared" si="31"/>
        <v>17</v>
      </c>
      <c r="AQ169" s="8">
        <f t="shared" si="31"/>
        <v>16</v>
      </c>
      <c r="AR169" s="8">
        <f t="shared" si="31"/>
        <v>17</v>
      </c>
      <c r="AS169" s="8">
        <f t="shared" si="31"/>
        <v>19</v>
      </c>
      <c r="AT169" s="8">
        <f t="shared" si="31"/>
        <v>19</v>
      </c>
      <c r="AU169" s="8">
        <f t="shared" si="31"/>
        <v>18</v>
      </c>
      <c r="AV169" s="8">
        <f t="shared" si="31"/>
        <v>16</v>
      </c>
      <c r="AW169" s="8">
        <f t="shared" si="31"/>
        <v>17</v>
      </c>
      <c r="AX169" s="8">
        <f t="shared" si="31"/>
        <v>12</v>
      </c>
      <c r="AY169" s="8">
        <f t="shared" si="31"/>
        <v>13</v>
      </c>
      <c r="AZ169" s="8">
        <f t="shared" si="31"/>
        <v>16</v>
      </c>
      <c r="BA169" s="8">
        <f t="shared" si="31"/>
        <v>15</v>
      </c>
      <c r="BB169" s="8">
        <f t="shared" si="31"/>
        <v>16</v>
      </c>
      <c r="BC169" s="8">
        <f t="shared" si="31"/>
        <v>15</v>
      </c>
      <c r="BD169" s="8">
        <f t="shared" si="31"/>
        <v>16</v>
      </c>
      <c r="BE169" s="8">
        <f t="shared" si="31"/>
        <v>12</v>
      </c>
      <c r="BF169" s="8">
        <f t="shared" si="31"/>
        <v>13</v>
      </c>
      <c r="BG169" s="8">
        <f t="shared" si="31"/>
        <v>16</v>
      </c>
      <c r="BH169" s="8">
        <f t="shared" si="31"/>
        <v>15</v>
      </c>
      <c r="BI169" s="8">
        <f t="shared" si="31"/>
        <v>14</v>
      </c>
      <c r="BJ169" s="8">
        <f t="shared" si="31"/>
        <v>14</v>
      </c>
      <c r="BK169" s="8">
        <f t="shared" si="31"/>
        <v>14</v>
      </c>
      <c r="BL169" s="8">
        <f t="shared" si="31"/>
        <v>12</v>
      </c>
      <c r="BM169" s="8">
        <f t="shared" si="31"/>
        <v>13</v>
      </c>
      <c r="BN169" s="8">
        <f t="shared" si="31"/>
        <v>15</v>
      </c>
      <c r="BO169" s="8">
        <f t="shared" ref="BO169:CO169" si="32">COUNTIF(BO6:BO165,"*1400-*")+COUNTIF(BO6:BO165,"*1430-*")</f>
        <v>15</v>
      </c>
      <c r="BP169" s="8">
        <f t="shared" si="32"/>
        <v>16</v>
      </c>
      <c r="BQ169" s="8">
        <f t="shared" si="32"/>
        <v>14</v>
      </c>
      <c r="BR169" s="8">
        <f t="shared" si="32"/>
        <v>14</v>
      </c>
      <c r="BS169" s="8">
        <f t="shared" si="32"/>
        <v>15</v>
      </c>
      <c r="BT169" s="8">
        <f t="shared" si="32"/>
        <v>15</v>
      </c>
      <c r="BU169" s="8">
        <f t="shared" si="32"/>
        <v>17</v>
      </c>
      <c r="BV169" s="8">
        <f t="shared" si="32"/>
        <v>16</v>
      </c>
      <c r="BW169" s="8">
        <f t="shared" si="32"/>
        <v>15</v>
      </c>
      <c r="BX169" s="8">
        <f t="shared" si="32"/>
        <v>15</v>
      </c>
      <c r="BY169" s="8">
        <f t="shared" si="32"/>
        <v>13</v>
      </c>
      <c r="BZ169" s="8">
        <f t="shared" si="32"/>
        <v>12</v>
      </c>
      <c r="CA169" s="8">
        <f t="shared" si="32"/>
        <v>13</v>
      </c>
      <c r="CB169" s="8">
        <f t="shared" si="32"/>
        <v>15</v>
      </c>
      <c r="CC169" s="8">
        <f t="shared" si="32"/>
        <v>16</v>
      </c>
      <c r="CD169" s="8">
        <f t="shared" si="32"/>
        <v>16</v>
      </c>
      <c r="CE169" s="8">
        <f t="shared" si="32"/>
        <v>16</v>
      </c>
      <c r="CF169" s="8">
        <f t="shared" si="32"/>
        <v>17</v>
      </c>
      <c r="CG169" s="8">
        <f t="shared" si="32"/>
        <v>13</v>
      </c>
      <c r="CH169" s="8">
        <f t="shared" si="32"/>
        <v>13</v>
      </c>
      <c r="CI169" s="8">
        <f t="shared" si="32"/>
        <v>15</v>
      </c>
      <c r="CJ169" s="8">
        <f t="shared" si="32"/>
        <v>15</v>
      </c>
      <c r="CK169" s="8">
        <f t="shared" si="32"/>
        <v>16</v>
      </c>
      <c r="CL169" s="8">
        <f t="shared" si="32"/>
        <v>15</v>
      </c>
      <c r="CM169" s="8">
        <f t="shared" si="32"/>
        <v>16</v>
      </c>
      <c r="CN169" s="8">
        <f t="shared" si="32"/>
        <v>12</v>
      </c>
      <c r="CO169" s="8">
        <f t="shared" si="32"/>
        <v>14</v>
      </c>
    </row>
    <row r="170" spans="1:94" ht="14.1" customHeight="1">
      <c r="A170" s="480" t="s">
        <v>277</v>
      </c>
      <c r="B170" s="416"/>
      <c r="C170" s="8">
        <f t="shared" ref="C170:AH170" si="33">COUNTIF(C7:C165,"*SWP*")</f>
        <v>0</v>
      </c>
      <c r="D170" s="8">
        <f t="shared" si="33"/>
        <v>0</v>
      </c>
      <c r="E170" s="8">
        <f t="shared" si="33"/>
        <v>1</v>
      </c>
      <c r="F170" s="8">
        <f t="shared" si="33"/>
        <v>0</v>
      </c>
      <c r="G170" s="8">
        <f t="shared" si="33"/>
        <v>0</v>
      </c>
      <c r="H170" s="8">
        <f t="shared" si="33"/>
        <v>0</v>
      </c>
      <c r="I170" s="8">
        <f t="shared" si="33"/>
        <v>0</v>
      </c>
      <c r="J170" s="8">
        <f t="shared" si="33"/>
        <v>1</v>
      </c>
      <c r="K170" s="8">
        <f t="shared" si="33"/>
        <v>1</v>
      </c>
      <c r="L170" s="8">
        <f t="shared" si="33"/>
        <v>1</v>
      </c>
      <c r="M170" s="8">
        <f t="shared" si="33"/>
        <v>1</v>
      </c>
      <c r="N170" s="8">
        <f t="shared" si="33"/>
        <v>1</v>
      </c>
      <c r="O170" s="8">
        <f t="shared" si="33"/>
        <v>1</v>
      </c>
      <c r="P170" s="8">
        <f t="shared" si="33"/>
        <v>0</v>
      </c>
      <c r="Q170" s="8">
        <f t="shared" si="33"/>
        <v>0</v>
      </c>
      <c r="R170" s="8">
        <f t="shared" si="33"/>
        <v>1</v>
      </c>
      <c r="S170" s="8">
        <f t="shared" si="33"/>
        <v>1</v>
      </c>
      <c r="T170" s="8">
        <f t="shared" si="33"/>
        <v>1</v>
      </c>
      <c r="U170" s="8">
        <f t="shared" si="33"/>
        <v>0</v>
      </c>
      <c r="V170" s="8">
        <f t="shared" si="33"/>
        <v>1</v>
      </c>
      <c r="W170" s="8">
        <f t="shared" si="33"/>
        <v>1</v>
      </c>
      <c r="X170" s="8">
        <f t="shared" si="33"/>
        <v>1</v>
      </c>
      <c r="Y170" s="8">
        <f t="shared" si="33"/>
        <v>0</v>
      </c>
      <c r="Z170" s="8">
        <f t="shared" si="33"/>
        <v>0</v>
      </c>
      <c r="AA170" s="8">
        <f t="shared" si="33"/>
        <v>1</v>
      </c>
      <c r="AB170" s="8">
        <f t="shared" si="33"/>
        <v>1</v>
      </c>
      <c r="AC170" s="8">
        <f t="shared" si="33"/>
        <v>0</v>
      </c>
      <c r="AD170" s="8">
        <f t="shared" si="33"/>
        <v>0</v>
      </c>
      <c r="AE170" s="8">
        <f t="shared" si="33"/>
        <v>1</v>
      </c>
      <c r="AF170" s="8">
        <f t="shared" si="33"/>
        <v>1</v>
      </c>
      <c r="AG170" s="8">
        <f t="shared" si="33"/>
        <v>1</v>
      </c>
      <c r="AH170" s="8">
        <f t="shared" si="33"/>
        <v>0</v>
      </c>
      <c r="AI170" s="8">
        <f t="shared" ref="AI170:BN170" si="34">COUNTIF(AI7:AI165,"*SWP*")</f>
        <v>1</v>
      </c>
      <c r="AJ170" s="8">
        <f t="shared" si="34"/>
        <v>0</v>
      </c>
      <c r="AK170" s="8">
        <f t="shared" si="34"/>
        <v>1</v>
      </c>
      <c r="AL170" s="8">
        <f t="shared" si="34"/>
        <v>1</v>
      </c>
      <c r="AM170" s="8">
        <f t="shared" si="34"/>
        <v>1</v>
      </c>
      <c r="AN170" s="8">
        <f t="shared" si="34"/>
        <v>1</v>
      </c>
      <c r="AO170" s="8">
        <f t="shared" si="34"/>
        <v>1</v>
      </c>
      <c r="AP170" s="8">
        <f t="shared" si="34"/>
        <v>1</v>
      </c>
      <c r="AQ170" s="8">
        <f t="shared" si="34"/>
        <v>1</v>
      </c>
      <c r="AR170" s="8">
        <f t="shared" si="34"/>
        <v>0</v>
      </c>
      <c r="AS170" s="8">
        <f t="shared" si="34"/>
        <v>0</v>
      </c>
      <c r="AT170" s="8">
        <f t="shared" si="34"/>
        <v>0</v>
      </c>
      <c r="AU170" s="8">
        <f t="shared" si="34"/>
        <v>1</v>
      </c>
      <c r="AV170" s="8">
        <f t="shared" si="34"/>
        <v>1</v>
      </c>
      <c r="AW170" s="8">
        <f t="shared" si="34"/>
        <v>0</v>
      </c>
      <c r="AX170" s="8">
        <f t="shared" si="34"/>
        <v>2</v>
      </c>
      <c r="AY170" s="8">
        <f t="shared" si="34"/>
        <v>2</v>
      </c>
      <c r="AZ170" s="8">
        <f t="shared" si="34"/>
        <v>1</v>
      </c>
      <c r="BA170" s="8">
        <f t="shared" si="34"/>
        <v>1</v>
      </c>
      <c r="BB170" s="8">
        <f t="shared" si="34"/>
        <v>1</v>
      </c>
      <c r="BC170" s="8">
        <f t="shared" si="34"/>
        <v>1</v>
      </c>
      <c r="BD170" s="8">
        <f t="shared" si="34"/>
        <v>0</v>
      </c>
      <c r="BE170" s="8">
        <f t="shared" si="34"/>
        <v>0</v>
      </c>
      <c r="BF170" s="8">
        <f t="shared" si="34"/>
        <v>0</v>
      </c>
      <c r="BG170" s="8">
        <f t="shared" si="34"/>
        <v>0</v>
      </c>
      <c r="BH170" s="8">
        <f t="shared" si="34"/>
        <v>1</v>
      </c>
      <c r="BI170" s="8">
        <f t="shared" si="34"/>
        <v>1</v>
      </c>
      <c r="BJ170" s="8">
        <f t="shared" si="34"/>
        <v>2</v>
      </c>
      <c r="BK170" s="8">
        <f t="shared" si="34"/>
        <v>1</v>
      </c>
      <c r="BL170" s="8">
        <f t="shared" si="34"/>
        <v>1</v>
      </c>
      <c r="BM170" s="8">
        <f t="shared" si="34"/>
        <v>1</v>
      </c>
      <c r="BN170" s="8">
        <f t="shared" si="34"/>
        <v>1</v>
      </c>
      <c r="BO170" s="8">
        <f t="shared" ref="BO170:CO170" si="35">COUNTIF(BO7:BO165,"*SWP*")</f>
        <v>1</v>
      </c>
      <c r="BP170" s="8">
        <f t="shared" si="35"/>
        <v>1</v>
      </c>
      <c r="BQ170" s="8">
        <f t="shared" si="35"/>
        <v>1</v>
      </c>
      <c r="BR170" s="8">
        <f t="shared" si="35"/>
        <v>1</v>
      </c>
      <c r="BS170" s="8">
        <f t="shared" si="35"/>
        <v>0</v>
      </c>
      <c r="BT170" s="8">
        <f t="shared" si="35"/>
        <v>0</v>
      </c>
      <c r="BU170" s="8">
        <f t="shared" si="35"/>
        <v>0</v>
      </c>
      <c r="BV170" s="8">
        <f t="shared" si="35"/>
        <v>0</v>
      </c>
      <c r="BW170" s="8">
        <f t="shared" si="35"/>
        <v>0</v>
      </c>
      <c r="BX170" s="8">
        <f t="shared" si="35"/>
        <v>1</v>
      </c>
      <c r="BY170" s="8">
        <f t="shared" si="35"/>
        <v>1</v>
      </c>
      <c r="BZ170" s="8">
        <f t="shared" si="35"/>
        <v>1</v>
      </c>
      <c r="CA170" s="8">
        <f t="shared" si="35"/>
        <v>0</v>
      </c>
      <c r="CB170" s="8">
        <f t="shared" si="35"/>
        <v>2</v>
      </c>
      <c r="CC170" s="8">
        <f t="shared" si="35"/>
        <v>1</v>
      </c>
      <c r="CD170" s="8">
        <f t="shared" si="35"/>
        <v>0</v>
      </c>
      <c r="CE170" s="8">
        <f t="shared" si="35"/>
        <v>1</v>
      </c>
      <c r="CF170" s="8">
        <f t="shared" si="35"/>
        <v>1</v>
      </c>
      <c r="CG170" s="8">
        <f t="shared" si="35"/>
        <v>0</v>
      </c>
      <c r="CH170" s="8">
        <f t="shared" si="35"/>
        <v>0</v>
      </c>
      <c r="CI170" s="8">
        <f t="shared" si="35"/>
        <v>1</v>
      </c>
      <c r="CJ170" s="8">
        <f t="shared" si="35"/>
        <v>1</v>
      </c>
      <c r="CK170" s="8">
        <f t="shared" si="35"/>
        <v>0</v>
      </c>
      <c r="CL170" s="8">
        <f t="shared" si="35"/>
        <v>1</v>
      </c>
      <c r="CM170" s="8">
        <f t="shared" si="35"/>
        <v>0</v>
      </c>
      <c r="CN170" s="8">
        <f t="shared" si="35"/>
        <v>0</v>
      </c>
      <c r="CO170" s="8">
        <f t="shared" si="35"/>
        <v>0</v>
      </c>
    </row>
    <row r="171" spans="1:94" ht="14.1" customHeight="1">
      <c r="A171" s="480" t="s">
        <v>278</v>
      </c>
      <c r="B171" s="416"/>
      <c r="C171" s="8">
        <f t="shared" ref="C171:AH171" si="36">COUNTIF(C6:C165,"2300-*")</f>
        <v>9</v>
      </c>
      <c r="D171" s="8">
        <f t="shared" si="36"/>
        <v>9</v>
      </c>
      <c r="E171" s="8">
        <f t="shared" si="36"/>
        <v>9</v>
      </c>
      <c r="F171" s="8">
        <f t="shared" si="36"/>
        <v>9</v>
      </c>
      <c r="G171" s="8">
        <f t="shared" si="36"/>
        <v>9</v>
      </c>
      <c r="H171" s="8">
        <f t="shared" si="36"/>
        <v>9</v>
      </c>
      <c r="I171" s="8">
        <f t="shared" si="36"/>
        <v>9</v>
      </c>
      <c r="J171" s="8">
        <f t="shared" si="36"/>
        <v>9</v>
      </c>
      <c r="K171" s="8">
        <f t="shared" si="36"/>
        <v>9</v>
      </c>
      <c r="L171" s="8">
        <f t="shared" si="36"/>
        <v>9</v>
      </c>
      <c r="M171" s="8">
        <f t="shared" si="36"/>
        <v>10</v>
      </c>
      <c r="N171" s="8">
        <f t="shared" si="36"/>
        <v>9</v>
      </c>
      <c r="O171" s="8">
        <f t="shared" si="36"/>
        <v>9</v>
      </c>
      <c r="P171" s="8">
        <f t="shared" si="36"/>
        <v>9</v>
      </c>
      <c r="Q171" s="8">
        <f t="shared" si="36"/>
        <v>9</v>
      </c>
      <c r="R171" s="8">
        <f t="shared" si="36"/>
        <v>9</v>
      </c>
      <c r="S171" s="8">
        <f t="shared" si="36"/>
        <v>9</v>
      </c>
      <c r="T171" s="8">
        <f t="shared" si="36"/>
        <v>9</v>
      </c>
      <c r="U171" s="8">
        <f t="shared" si="36"/>
        <v>9</v>
      </c>
      <c r="V171" s="8">
        <f t="shared" si="36"/>
        <v>9</v>
      </c>
      <c r="W171" s="8">
        <f t="shared" si="36"/>
        <v>9</v>
      </c>
      <c r="X171" s="8">
        <f t="shared" si="36"/>
        <v>9</v>
      </c>
      <c r="Y171" s="8">
        <f t="shared" si="36"/>
        <v>8</v>
      </c>
      <c r="Z171" s="8">
        <f t="shared" si="36"/>
        <v>9</v>
      </c>
      <c r="AA171" s="8">
        <f t="shared" si="36"/>
        <v>9</v>
      </c>
      <c r="AB171" s="8">
        <f t="shared" si="36"/>
        <v>9</v>
      </c>
      <c r="AC171" s="8">
        <f t="shared" si="36"/>
        <v>9</v>
      </c>
      <c r="AD171" s="8">
        <f t="shared" si="36"/>
        <v>9</v>
      </c>
      <c r="AE171" s="8">
        <f t="shared" si="36"/>
        <v>9</v>
      </c>
      <c r="AF171" s="8">
        <f t="shared" si="36"/>
        <v>9</v>
      </c>
      <c r="AG171" s="8">
        <f t="shared" si="36"/>
        <v>9</v>
      </c>
      <c r="AH171" s="8">
        <f t="shared" si="36"/>
        <v>9</v>
      </c>
      <c r="AI171" s="8">
        <f t="shared" ref="AI171:BN171" si="37">COUNTIF(AI6:AI165,"2300-*")</f>
        <v>9</v>
      </c>
      <c r="AJ171" s="8">
        <f t="shared" si="37"/>
        <v>9</v>
      </c>
      <c r="AK171" s="8">
        <f t="shared" si="37"/>
        <v>9</v>
      </c>
      <c r="AL171" s="8">
        <f t="shared" si="37"/>
        <v>8</v>
      </c>
      <c r="AM171" s="8">
        <f t="shared" si="37"/>
        <v>9</v>
      </c>
      <c r="AN171" s="8">
        <f t="shared" si="37"/>
        <v>9</v>
      </c>
      <c r="AO171" s="8">
        <f t="shared" si="37"/>
        <v>9</v>
      </c>
      <c r="AP171" s="8">
        <f t="shared" si="37"/>
        <v>9</v>
      </c>
      <c r="AQ171" s="8">
        <f t="shared" si="37"/>
        <v>9</v>
      </c>
      <c r="AR171" s="8">
        <f t="shared" si="37"/>
        <v>9</v>
      </c>
      <c r="AS171" s="8">
        <f t="shared" si="37"/>
        <v>9</v>
      </c>
      <c r="AT171" s="8">
        <f t="shared" si="37"/>
        <v>9</v>
      </c>
      <c r="AU171" s="8">
        <f t="shared" si="37"/>
        <v>9</v>
      </c>
      <c r="AV171" s="8">
        <f t="shared" si="37"/>
        <v>9</v>
      </c>
      <c r="AW171" s="8">
        <f t="shared" si="37"/>
        <v>8</v>
      </c>
      <c r="AX171" s="8">
        <f t="shared" si="37"/>
        <v>8</v>
      </c>
      <c r="AY171" s="8">
        <f t="shared" si="37"/>
        <v>8</v>
      </c>
      <c r="AZ171" s="8">
        <f t="shared" si="37"/>
        <v>8</v>
      </c>
      <c r="BA171" s="8">
        <f t="shared" si="37"/>
        <v>8</v>
      </c>
      <c r="BB171" s="8">
        <f t="shared" si="37"/>
        <v>8</v>
      </c>
      <c r="BC171" s="8">
        <f t="shared" si="37"/>
        <v>8</v>
      </c>
      <c r="BD171" s="8">
        <f t="shared" si="37"/>
        <v>8</v>
      </c>
      <c r="BE171" s="8">
        <f t="shared" si="37"/>
        <v>8</v>
      </c>
      <c r="BF171" s="8">
        <f t="shared" si="37"/>
        <v>8</v>
      </c>
      <c r="BG171" s="8">
        <f t="shared" si="37"/>
        <v>8</v>
      </c>
      <c r="BH171" s="8">
        <f t="shared" si="37"/>
        <v>8</v>
      </c>
      <c r="BI171" s="8">
        <f t="shared" si="37"/>
        <v>8</v>
      </c>
      <c r="BJ171" s="8">
        <f t="shared" si="37"/>
        <v>8</v>
      </c>
      <c r="BK171" s="8">
        <f t="shared" si="37"/>
        <v>8</v>
      </c>
      <c r="BL171" s="8">
        <f t="shared" si="37"/>
        <v>8</v>
      </c>
      <c r="BM171" s="8">
        <f t="shared" si="37"/>
        <v>8</v>
      </c>
      <c r="BN171" s="8">
        <f t="shared" si="37"/>
        <v>8</v>
      </c>
      <c r="BO171" s="8">
        <f t="shared" ref="BO171:CO171" si="38">COUNTIF(BO6:BO165,"2300-*")</f>
        <v>8</v>
      </c>
      <c r="BP171" s="8">
        <f t="shared" si="38"/>
        <v>8</v>
      </c>
      <c r="BQ171" s="8">
        <f t="shared" si="38"/>
        <v>8</v>
      </c>
      <c r="BR171" s="8">
        <f t="shared" si="38"/>
        <v>8</v>
      </c>
      <c r="BS171" s="8">
        <f t="shared" si="38"/>
        <v>8</v>
      </c>
      <c r="BT171" s="8">
        <f t="shared" si="38"/>
        <v>8</v>
      </c>
      <c r="BU171" s="8">
        <f t="shared" si="38"/>
        <v>8</v>
      </c>
      <c r="BV171" s="8">
        <f t="shared" si="38"/>
        <v>8</v>
      </c>
      <c r="BW171" s="8">
        <f t="shared" si="38"/>
        <v>8</v>
      </c>
      <c r="BX171" s="8">
        <f t="shared" si="38"/>
        <v>8</v>
      </c>
      <c r="BY171" s="8">
        <f t="shared" si="38"/>
        <v>8</v>
      </c>
      <c r="BZ171" s="8">
        <f t="shared" si="38"/>
        <v>8</v>
      </c>
      <c r="CA171" s="8">
        <f t="shared" si="38"/>
        <v>8</v>
      </c>
      <c r="CB171" s="8">
        <f t="shared" si="38"/>
        <v>8</v>
      </c>
      <c r="CC171" s="8">
        <f t="shared" si="38"/>
        <v>8</v>
      </c>
      <c r="CD171" s="8">
        <f t="shared" si="38"/>
        <v>8</v>
      </c>
      <c r="CE171" s="8">
        <f t="shared" si="38"/>
        <v>8</v>
      </c>
      <c r="CF171" s="8">
        <f t="shared" si="38"/>
        <v>8</v>
      </c>
      <c r="CG171" s="8">
        <f t="shared" si="38"/>
        <v>8</v>
      </c>
      <c r="CH171" s="8">
        <f t="shared" si="38"/>
        <v>8</v>
      </c>
      <c r="CI171" s="8">
        <f t="shared" si="38"/>
        <v>8</v>
      </c>
      <c r="CJ171" s="8">
        <f t="shared" si="38"/>
        <v>8</v>
      </c>
      <c r="CK171" s="8">
        <f t="shared" si="38"/>
        <v>8</v>
      </c>
      <c r="CL171" s="8">
        <f t="shared" si="38"/>
        <v>8</v>
      </c>
      <c r="CM171" s="8">
        <f t="shared" si="38"/>
        <v>8</v>
      </c>
      <c r="CN171" s="8">
        <f t="shared" si="38"/>
        <v>9</v>
      </c>
      <c r="CO171" s="8">
        <f t="shared" si="38"/>
        <v>9</v>
      </c>
    </row>
    <row r="172" spans="1:94" ht="14.1" customHeight="1">
      <c r="A172" s="50"/>
      <c r="B172" s="416"/>
      <c r="C172" s="8"/>
      <c r="D172" s="314"/>
      <c r="E172" s="314"/>
      <c r="F172" s="314"/>
      <c r="G172" s="314"/>
      <c r="H172" s="314"/>
      <c r="I172" s="314"/>
      <c r="J172" s="8"/>
      <c r="K172" s="314"/>
      <c r="L172" s="314"/>
      <c r="M172" s="314"/>
      <c r="N172" s="314"/>
      <c r="O172" s="314"/>
      <c r="P172" s="314"/>
      <c r="Q172" s="8"/>
      <c r="R172" s="314"/>
      <c r="S172" s="314"/>
      <c r="T172" s="314"/>
      <c r="U172" s="314"/>
      <c r="V172" s="314"/>
      <c r="W172" s="314"/>
      <c r="X172" s="8"/>
      <c r="Y172" s="314"/>
      <c r="Z172" s="314"/>
      <c r="AA172" s="314"/>
      <c r="AB172" s="314"/>
      <c r="AC172" s="314"/>
      <c r="AD172" s="314"/>
      <c r="AE172" s="8"/>
      <c r="AF172" s="314"/>
      <c r="AG172" s="314"/>
      <c r="AH172" s="314"/>
      <c r="AI172" s="314"/>
      <c r="AJ172" s="314"/>
      <c r="AK172" s="314"/>
      <c r="AL172" s="8"/>
      <c r="AM172" s="314"/>
      <c r="AN172" s="314"/>
      <c r="AO172" s="314"/>
      <c r="AP172" s="314"/>
      <c r="AQ172" s="314"/>
      <c r="AR172" s="314"/>
      <c r="AS172" s="8"/>
      <c r="AT172" s="314"/>
      <c r="AU172" s="314"/>
      <c r="AV172" s="314"/>
      <c r="AW172" s="314"/>
      <c r="AX172" s="314"/>
      <c r="AY172" s="314"/>
      <c r="AZ172" s="8"/>
      <c r="BA172" s="314"/>
      <c r="BB172" s="314"/>
      <c r="BC172" s="314"/>
      <c r="BD172" s="314"/>
      <c r="BE172" s="314"/>
      <c r="BF172" s="314"/>
      <c r="BG172" s="8"/>
      <c r="BH172" s="314"/>
      <c r="BI172" s="314"/>
      <c r="BJ172" s="314"/>
      <c r="BK172" s="314"/>
      <c r="BL172" s="314"/>
      <c r="BM172" s="314"/>
      <c r="BN172" s="8"/>
      <c r="BO172" s="314"/>
      <c r="BP172" s="314"/>
      <c r="BQ172" s="314"/>
      <c r="BR172" s="314"/>
      <c r="BS172" s="314"/>
      <c r="BT172" s="314"/>
      <c r="BU172" s="8"/>
      <c r="BV172" s="314"/>
      <c r="BW172" s="314"/>
      <c r="BX172" s="314"/>
      <c r="BY172" s="314"/>
      <c r="BZ172" s="314"/>
      <c r="CA172" s="314"/>
      <c r="CB172" s="314"/>
      <c r="CC172" s="314"/>
      <c r="CD172" s="314"/>
      <c r="CE172" s="314"/>
      <c r="CF172" s="314"/>
      <c r="CG172" s="314"/>
      <c r="CH172" s="314"/>
      <c r="CI172" s="8"/>
      <c r="CJ172" s="314"/>
      <c r="CK172" s="314"/>
      <c r="CL172" s="314"/>
      <c r="CM172" s="314"/>
      <c r="CN172" s="314"/>
      <c r="CO172" s="314"/>
    </row>
    <row r="174" spans="1:94">
      <c r="A174" s="139" t="s">
        <v>157</v>
      </c>
      <c r="B174" s="416"/>
      <c r="C174" s="828"/>
      <c r="D174" s="828"/>
      <c r="E174" s="829"/>
      <c r="F174" s="828"/>
      <c r="G174" s="828"/>
      <c r="H174" s="828"/>
      <c r="I174" s="828"/>
      <c r="J174" s="828"/>
      <c r="K174" s="828"/>
      <c r="L174" s="829"/>
      <c r="M174" s="828"/>
      <c r="N174" s="828"/>
      <c r="O174" s="828"/>
      <c r="P174" s="828"/>
      <c r="Q174" s="828"/>
      <c r="R174" s="828"/>
      <c r="S174" s="829"/>
      <c r="T174" s="828"/>
      <c r="U174" s="828"/>
      <c r="V174" s="828"/>
      <c r="W174" s="828"/>
      <c r="X174" s="828"/>
      <c r="Y174" s="828"/>
      <c r="Z174" s="829"/>
      <c r="AA174" s="828"/>
      <c r="AB174" s="828"/>
      <c r="AC174" s="828"/>
      <c r="AD174" s="828"/>
      <c r="AE174" s="828"/>
      <c r="AF174" s="828"/>
      <c r="AG174" s="829"/>
      <c r="AH174" s="828"/>
      <c r="AI174" s="828"/>
      <c r="AJ174" s="828"/>
      <c r="AK174" s="828"/>
      <c r="AL174" s="828"/>
      <c r="AM174" s="828"/>
      <c r="AN174" s="829"/>
      <c r="AO174" s="828"/>
      <c r="AP174" s="828"/>
      <c r="AQ174" s="828"/>
      <c r="AR174" s="828"/>
      <c r="AS174" s="828"/>
      <c r="AT174" s="828"/>
      <c r="AU174" s="829"/>
      <c r="AV174" s="828"/>
      <c r="AW174" s="828"/>
      <c r="AX174" s="828"/>
      <c r="AY174" s="828"/>
      <c r="AZ174" s="828"/>
      <c r="BA174" s="828"/>
      <c r="BB174" s="829"/>
      <c r="BC174" s="828"/>
      <c r="BD174" s="828"/>
      <c r="BE174" s="828"/>
      <c r="BF174" s="828"/>
      <c r="BG174" s="828"/>
      <c r="BH174" s="828"/>
      <c r="BI174" s="829"/>
      <c r="BJ174" s="828"/>
      <c r="BK174" s="828"/>
      <c r="BL174" s="828"/>
      <c r="BM174" s="828"/>
      <c r="BN174" s="828"/>
      <c r="BO174" s="828"/>
      <c r="BP174" s="829"/>
      <c r="BQ174" s="828"/>
      <c r="BR174" s="828"/>
      <c r="BS174" s="828"/>
      <c r="BT174" s="828"/>
      <c r="BU174" s="828"/>
      <c r="BV174" s="828"/>
      <c r="BW174" s="829"/>
      <c r="BX174" s="828"/>
      <c r="BY174" s="828"/>
      <c r="BZ174" s="828"/>
      <c r="CA174" s="828"/>
      <c r="CB174" s="828"/>
      <c r="CC174" s="828"/>
      <c r="CD174" s="829"/>
      <c r="CE174" s="828"/>
      <c r="CF174" s="828"/>
      <c r="CG174" s="828"/>
      <c r="CH174" s="828"/>
      <c r="CI174" s="828"/>
      <c r="CJ174" s="828"/>
      <c r="CK174" s="829"/>
      <c r="CL174" s="828"/>
      <c r="CM174" s="326"/>
      <c r="CN174" s="326"/>
      <c r="CO174" s="326"/>
    </row>
    <row r="175" spans="1:94">
      <c r="A175" s="140" t="s">
        <v>159</v>
      </c>
      <c r="B175" s="416">
        <v>628440</v>
      </c>
      <c r="C175" s="828"/>
      <c r="D175" s="828"/>
      <c r="E175" s="830" t="s">
        <v>279</v>
      </c>
      <c r="F175" s="828"/>
      <c r="G175" s="828"/>
      <c r="H175" s="828"/>
      <c r="I175" s="828"/>
      <c r="J175" s="828"/>
      <c r="K175" s="828"/>
      <c r="L175" s="830" t="s">
        <v>279</v>
      </c>
      <c r="M175" s="828"/>
      <c r="N175" s="828"/>
      <c r="O175" s="828"/>
      <c r="P175" s="828"/>
      <c r="Q175" s="828"/>
      <c r="R175" s="828"/>
      <c r="S175" s="830" t="s">
        <v>279</v>
      </c>
      <c r="T175" s="828"/>
      <c r="U175" s="828"/>
      <c r="V175" s="828"/>
      <c r="W175" s="828"/>
      <c r="X175" s="828"/>
      <c r="Y175" s="828"/>
      <c r="Z175" s="830" t="s">
        <v>279</v>
      </c>
      <c r="AA175" s="828"/>
      <c r="AB175" s="828"/>
      <c r="AC175" s="828"/>
      <c r="AD175" s="828"/>
      <c r="AE175" s="828"/>
      <c r="AF175" s="828"/>
      <c r="AG175" s="830" t="s">
        <v>279</v>
      </c>
      <c r="AH175" s="828"/>
      <c r="AI175" s="828"/>
      <c r="AJ175" s="828"/>
      <c r="AK175" s="828"/>
      <c r="AL175" s="828"/>
      <c r="AM175" s="828"/>
      <c r="AN175" s="830" t="s">
        <v>279</v>
      </c>
      <c r="AO175" s="828"/>
      <c r="AP175" s="828"/>
      <c r="AQ175" s="828"/>
      <c r="AR175" s="828"/>
      <c r="AS175" s="828"/>
      <c r="AT175" s="828"/>
      <c r="AU175" s="830" t="s">
        <v>279</v>
      </c>
      <c r="AV175" s="828"/>
      <c r="AW175" s="828"/>
      <c r="AX175" s="828"/>
      <c r="AY175" s="828"/>
      <c r="AZ175" s="828"/>
      <c r="BA175" s="828"/>
      <c r="BB175" s="830" t="s">
        <v>279</v>
      </c>
      <c r="BC175" s="828"/>
      <c r="BD175" s="828"/>
      <c r="BE175" s="828"/>
      <c r="BF175" s="828"/>
      <c r="BG175" s="828"/>
      <c r="BH175" s="828"/>
      <c r="BI175" s="830" t="s">
        <v>279</v>
      </c>
      <c r="BJ175" s="828"/>
      <c r="BK175" s="828"/>
      <c r="BL175" s="828"/>
      <c r="BM175" s="828"/>
      <c r="BN175" s="828"/>
      <c r="BO175" s="828"/>
      <c r="BP175" s="830" t="s">
        <v>279</v>
      </c>
      <c r="BQ175" s="828"/>
      <c r="BR175" s="828"/>
      <c r="BS175" s="828"/>
      <c r="BT175" s="828"/>
      <c r="BU175" s="828"/>
      <c r="BV175" s="828"/>
      <c r="BW175" s="830" t="s">
        <v>279</v>
      </c>
      <c r="BX175" s="828"/>
      <c r="BY175" s="828"/>
      <c r="BZ175" s="828"/>
      <c r="CA175" s="828"/>
      <c r="CB175" s="828"/>
      <c r="CC175" s="828"/>
      <c r="CD175" s="830" t="s">
        <v>279</v>
      </c>
      <c r="CE175" s="828"/>
      <c r="CF175" s="828"/>
      <c r="CG175" s="828"/>
      <c r="CH175" s="828"/>
      <c r="CI175" s="828"/>
      <c r="CJ175" s="828"/>
      <c r="CK175" s="830" t="s">
        <v>279</v>
      </c>
      <c r="CL175" s="828"/>
      <c r="CM175" s="326"/>
      <c r="CN175" s="326"/>
      <c r="CO175" s="326"/>
    </row>
    <row r="176" spans="1:94">
      <c r="A176" s="142" t="s">
        <v>164</v>
      </c>
      <c r="B176" s="416">
        <v>653976</v>
      </c>
      <c r="C176" s="828"/>
      <c r="D176" s="828"/>
      <c r="E176" s="830" t="s">
        <v>279</v>
      </c>
      <c r="F176" s="828"/>
      <c r="G176" s="828"/>
      <c r="H176" s="828"/>
      <c r="I176" s="828"/>
      <c r="J176" s="828"/>
      <c r="K176" s="828"/>
      <c r="L176" s="830" t="s">
        <v>279</v>
      </c>
      <c r="M176" s="828"/>
      <c r="N176" s="828"/>
      <c r="O176" s="828"/>
      <c r="P176" s="828"/>
      <c r="Q176" s="828"/>
      <c r="R176" s="828"/>
      <c r="S176" s="830" t="s">
        <v>279</v>
      </c>
      <c r="T176" s="828"/>
      <c r="U176" s="828"/>
      <c r="V176" s="828"/>
      <c r="W176" s="828"/>
      <c r="X176" s="828"/>
      <c r="Y176" s="828"/>
      <c r="Z176" s="830" t="s">
        <v>279</v>
      </c>
      <c r="AA176" s="828"/>
      <c r="AB176" s="828"/>
      <c r="AC176" s="828"/>
      <c r="AD176" s="828"/>
      <c r="AE176" s="828"/>
      <c r="AF176" s="828"/>
      <c r="AG176" s="830" t="s">
        <v>279</v>
      </c>
      <c r="AH176" s="828"/>
      <c r="AI176" s="828"/>
      <c r="AJ176" s="828"/>
      <c r="AK176" s="828"/>
      <c r="AL176" s="828"/>
      <c r="AM176" s="828"/>
      <c r="AN176" s="830" t="s">
        <v>279</v>
      </c>
      <c r="AO176" s="828"/>
      <c r="AP176" s="828"/>
      <c r="AQ176" s="828"/>
      <c r="AR176" s="828"/>
      <c r="AS176" s="828"/>
      <c r="AT176" s="828"/>
      <c r="AU176" s="830" t="s">
        <v>279</v>
      </c>
      <c r="AV176" s="828"/>
      <c r="AW176" s="828"/>
      <c r="AX176" s="828"/>
      <c r="AY176" s="828"/>
      <c r="AZ176" s="828"/>
      <c r="BA176" s="828"/>
      <c r="BB176" s="830" t="s">
        <v>279</v>
      </c>
      <c r="BC176" s="828"/>
      <c r="BD176" s="828"/>
      <c r="BE176" s="828"/>
      <c r="BF176" s="828"/>
      <c r="BG176" s="828"/>
      <c r="BH176" s="828"/>
      <c r="BI176" s="830" t="s">
        <v>279</v>
      </c>
      <c r="BJ176" s="828"/>
      <c r="BK176" s="828"/>
      <c r="BL176" s="828"/>
      <c r="BM176" s="828"/>
      <c r="BN176" s="828"/>
      <c r="BO176" s="828"/>
      <c r="BP176" s="830" t="s">
        <v>279</v>
      </c>
      <c r="BQ176" s="828"/>
      <c r="BR176" s="828"/>
      <c r="BS176" s="828"/>
      <c r="BT176" s="828"/>
      <c r="BU176" s="828"/>
      <c r="BV176" s="828"/>
      <c r="BW176" s="830" t="s">
        <v>279</v>
      </c>
      <c r="BX176" s="828"/>
      <c r="BY176" s="828"/>
      <c r="BZ176" s="828"/>
      <c r="CA176" s="828"/>
      <c r="CB176" s="828"/>
      <c r="CC176" s="828"/>
      <c r="CD176" s="830" t="s">
        <v>279</v>
      </c>
      <c r="CE176" s="828"/>
      <c r="CF176" s="828"/>
      <c r="CG176" s="828"/>
      <c r="CH176" s="828"/>
      <c r="CI176" s="828"/>
      <c r="CJ176" s="828"/>
      <c r="CK176" s="830" t="s">
        <v>279</v>
      </c>
      <c r="CL176" s="828"/>
      <c r="CM176" s="326"/>
      <c r="CN176" s="326"/>
      <c r="CO176" s="326"/>
    </row>
    <row r="177" spans="1:90">
      <c r="A177" s="143" t="s">
        <v>166</v>
      </c>
      <c r="B177" s="416">
        <v>654362</v>
      </c>
      <c r="C177" s="828"/>
      <c r="D177" s="828"/>
      <c r="E177" s="830" t="s">
        <v>279</v>
      </c>
      <c r="F177" s="828"/>
      <c r="G177" s="828"/>
      <c r="H177" s="828"/>
      <c r="I177" s="828"/>
      <c r="J177" s="828"/>
      <c r="K177" s="828"/>
      <c r="L177" s="830" t="s">
        <v>279</v>
      </c>
      <c r="M177" s="828"/>
      <c r="N177" s="828"/>
      <c r="O177" s="828"/>
      <c r="P177" s="828"/>
      <c r="Q177" s="828"/>
      <c r="R177" s="828"/>
      <c r="S177" s="830" t="s">
        <v>279</v>
      </c>
      <c r="T177" s="828"/>
      <c r="U177" s="828"/>
      <c r="V177" s="828"/>
      <c r="W177" s="828"/>
      <c r="X177" s="828"/>
      <c r="Y177" s="828"/>
      <c r="Z177" s="830" t="s">
        <v>279</v>
      </c>
      <c r="AA177" s="828"/>
      <c r="AB177" s="828"/>
      <c r="AC177" s="828"/>
      <c r="AD177" s="828"/>
      <c r="AE177" s="828"/>
      <c r="AF177" s="828"/>
      <c r="AG177" s="830" t="s">
        <v>279</v>
      </c>
      <c r="AH177" s="828"/>
      <c r="AI177" s="828"/>
      <c r="AJ177" s="828"/>
      <c r="AK177" s="828"/>
      <c r="AL177" s="828"/>
      <c r="AM177" s="828"/>
      <c r="AN177" s="830" t="s">
        <v>279</v>
      </c>
      <c r="AO177" s="828"/>
      <c r="AP177" s="828"/>
      <c r="AQ177" s="828"/>
      <c r="AR177" s="828"/>
      <c r="AS177" s="828"/>
      <c r="AT177" s="828"/>
      <c r="AU177" s="830" t="s">
        <v>279</v>
      </c>
      <c r="AV177" s="828"/>
      <c r="AW177" s="828"/>
      <c r="AX177" s="828"/>
      <c r="AY177" s="828"/>
      <c r="AZ177" s="828"/>
      <c r="BA177" s="828"/>
      <c r="BB177" s="830" t="s">
        <v>279</v>
      </c>
      <c r="BC177" s="828"/>
      <c r="BD177" s="828"/>
      <c r="BE177" s="828"/>
      <c r="BF177" s="828"/>
      <c r="BG177" s="828"/>
      <c r="BH177" s="828"/>
      <c r="BI177" s="830" t="s">
        <v>279</v>
      </c>
      <c r="BJ177" s="828"/>
      <c r="BK177" s="828"/>
      <c r="BL177" s="828"/>
      <c r="BM177" s="828"/>
      <c r="BN177" s="828"/>
      <c r="BO177" s="828"/>
      <c r="BP177" s="830" t="s">
        <v>279</v>
      </c>
      <c r="BQ177" s="828"/>
      <c r="BR177" s="828"/>
      <c r="BS177" s="828"/>
      <c r="BT177" s="828"/>
      <c r="BU177" s="828"/>
      <c r="BV177" s="828"/>
      <c r="BW177" s="830" t="s">
        <v>279</v>
      </c>
      <c r="BX177" s="828"/>
      <c r="BY177" s="828"/>
      <c r="BZ177" s="828"/>
      <c r="CA177" s="828"/>
      <c r="CB177" s="828"/>
      <c r="CC177" s="828"/>
      <c r="CD177" s="830" t="s">
        <v>279</v>
      </c>
      <c r="CE177" s="828"/>
      <c r="CF177" s="828"/>
      <c r="CG177" s="828"/>
      <c r="CH177" s="828"/>
      <c r="CI177" s="828"/>
      <c r="CJ177" s="828"/>
      <c r="CK177" s="830" t="s">
        <v>279</v>
      </c>
      <c r="CL177" s="828"/>
    </row>
    <row r="178" spans="1:90">
      <c r="A178" s="143" t="s">
        <v>168</v>
      </c>
      <c r="B178" s="416">
        <v>615829</v>
      </c>
      <c r="C178" s="828"/>
      <c r="D178" s="828"/>
      <c r="E178" s="830" t="s">
        <v>280</v>
      </c>
      <c r="F178" s="828"/>
      <c r="G178" s="828"/>
      <c r="H178" s="828"/>
      <c r="I178" s="828"/>
      <c r="J178" s="828"/>
      <c r="K178" s="828"/>
      <c r="L178" s="830" t="s">
        <v>280</v>
      </c>
      <c r="M178" s="828"/>
      <c r="N178" s="828"/>
      <c r="O178" s="828"/>
      <c r="P178" s="828"/>
      <c r="Q178" s="828"/>
      <c r="R178" s="828"/>
      <c r="S178" s="830" t="s">
        <v>280</v>
      </c>
      <c r="T178" s="828"/>
      <c r="U178" s="828"/>
      <c r="V178" s="828"/>
      <c r="W178" s="828"/>
      <c r="X178" s="828"/>
      <c r="Y178" s="828"/>
      <c r="Z178" s="830" t="s">
        <v>280</v>
      </c>
      <c r="AA178" s="828"/>
      <c r="AB178" s="828"/>
      <c r="AC178" s="828"/>
      <c r="AD178" s="828"/>
      <c r="AE178" s="828"/>
      <c r="AF178" s="828"/>
      <c r="AG178" s="830" t="s">
        <v>280</v>
      </c>
      <c r="AH178" s="828"/>
      <c r="AI178" s="828"/>
      <c r="AJ178" s="828"/>
      <c r="AK178" s="828"/>
      <c r="AL178" s="828"/>
      <c r="AM178" s="828"/>
      <c r="AN178" s="830" t="s">
        <v>280</v>
      </c>
      <c r="AO178" s="828"/>
      <c r="AP178" s="828"/>
      <c r="AQ178" s="828"/>
      <c r="AR178" s="828"/>
      <c r="AS178" s="828"/>
      <c r="AT178" s="828"/>
      <c r="AU178" s="830" t="s">
        <v>280</v>
      </c>
      <c r="AV178" s="828"/>
      <c r="AW178" s="828"/>
      <c r="AX178" s="828"/>
      <c r="AY178" s="828"/>
      <c r="AZ178" s="828"/>
      <c r="BA178" s="828"/>
      <c r="BB178" s="830" t="s">
        <v>280</v>
      </c>
      <c r="BC178" s="828"/>
      <c r="BD178" s="828"/>
      <c r="BE178" s="828"/>
      <c r="BF178" s="828"/>
      <c r="BG178" s="828"/>
      <c r="BH178" s="828"/>
      <c r="BI178" s="830" t="s">
        <v>280</v>
      </c>
      <c r="BJ178" s="828"/>
      <c r="BK178" s="828"/>
      <c r="BL178" s="828"/>
      <c r="BM178" s="828"/>
      <c r="BN178" s="828"/>
      <c r="BO178" s="828"/>
      <c r="BP178" s="830" t="s">
        <v>280</v>
      </c>
      <c r="BQ178" s="828"/>
      <c r="BR178" s="828"/>
      <c r="BS178" s="828"/>
      <c r="BT178" s="828"/>
      <c r="BU178" s="828"/>
      <c r="BV178" s="828"/>
      <c r="BW178" s="830" t="s">
        <v>280</v>
      </c>
      <c r="BX178" s="828"/>
      <c r="BY178" s="828"/>
      <c r="BZ178" s="828"/>
      <c r="CA178" s="828"/>
      <c r="CB178" s="828"/>
      <c r="CC178" s="828"/>
      <c r="CD178" s="830" t="s">
        <v>280</v>
      </c>
      <c r="CE178" s="828"/>
      <c r="CF178" s="828"/>
      <c r="CG178" s="828"/>
      <c r="CH178" s="828"/>
      <c r="CI178" s="828"/>
      <c r="CJ178" s="828"/>
      <c r="CK178" s="830" t="s">
        <v>280</v>
      </c>
      <c r="CL178" s="828"/>
    </row>
    <row r="179" spans="1:90">
      <c r="A179" s="822" t="s">
        <v>170</v>
      </c>
      <c r="B179" s="416">
        <v>619567</v>
      </c>
      <c r="C179" s="828"/>
      <c r="D179" s="828"/>
      <c r="E179" s="830" t="s">
        <v>280</v>
      </c>
      <c r="F179" s="828"/>
      <c r="G179" s="828"/>
      <c r="H179" s="828"/>
      <c r="I179" s="828"/>
      <c r="J179" s="828"/>
      <c r="K179" s="828"/>
      <c r="L179" s="830" t="s">
        <v>280</v>
      </c>
      <c r="M179" s="828"/>
      <c r="N179" s="828"/>
      <c r="O179" s="828"/>
      <c r="P179" s="828"/>
      <c r="Q179" s="828"/>
      <c r="R179" s="828"/>
      <c r="S179" s="830" t="s">
        <v>280</v>
      </c>
      <c r="T179" s="828"/>
      <c r="U179" s="828"/>
      <c r="V179" s="828"/>
      <c r="W179" s="828"/>
      <c r="X179" s="828"/>
      <c r="Y179" s="828"/>
      <c r="Z179" s="830" t="s">
        <v>280</v>
      </c>
      <c r="AA179" s="828"/>
      <c r="AB179" s="828"/>
      <c r="AC179" s="828"/>
      <c r="AD179" s="828"/>
      <c r="AE179" s="828"/>
      <c r="AF179" s="828"/>
      <c r="AG179" s="830" t="s">
        <v>280</v>
      </c>
      <c r="AH179" s="828"/>
      <c r="AI179" s="828"/>
      <c r="AJ179" s="828"/>
      <c r="AK179" s="828"/>
      <c r="AL179" s="828"/>
      <c r="AM179" s="828"/>
      <c r="AN179" s="830" t="s">
        <v>280</v>
      </c>
      <c r="AO179" s="828"/>
      <c r="AP179" s="828"/>
      <c r="AQ179" s="828"/>
      <c r="AR179" s="828"/>
      <c r="AS179" s="828"/>
      <c r="AT179" s="828"/>
      <c r="AU179" s="830" t="s">
        <v>280</v>
      </c>
      <c r="AV179" s="828"/>
      <c r="AW179" s="828"/>
      <c r="AX179" s="828"/>
      <c r="AY179" s="828"/>
      <c r="AZ179" s="828"/>
      <c r="BA179" s="828"/>
      <c r="BB179" s="830" t="s">
        <v>280</v>
      </c>
      <c r="BC179" s="828"/>
      <c r="BD179" s="828"/>
      <c r="BE179" s="828"/>
      <c r="BF179" s="828"/>
      <c r="BG179" s="828"/>
      <c r="BH179" s="828"/>
      <c r="BI179" s="830" t="s">
        <v>280</v>
      </c>
      <c r="BJ179" s="828"/>
      <c r="BK179" s="828"/>
      <c r="BL179" s="828"/>
      <c r="BM179" s="828"/>
      <c r="BN179" s="828"/>
      <c r="BO179" s="828"/>
      <c r="BP179" s="830" t="s">
        <v>280</v>
      </c>
      <c r="BQ179" s="828"/>
      <c r="BR179" s="828"/>
      <c r="BS179" s="828"/>
      <c r="BT179" s="828"/>
      <c r="BU179" s="828"/>
      <c r="BV179" s="828"/>
      <c r="BW179" s="830" t="s">
        <v>280</v>
      </c>
      <c r="BX179" s="828"/>
      <c r="BY179" s="828"/>
      <c r="BZ179" s="828"/>
      <c r="CA179" s="828"/>
      <c r="CB179" s="828"/>
      <c r="CC179" s="828"/>
      <c r="CD179" s="830" t="s">
        <v>280</v>
      </c>
      <c r="CE179" s="828"/>
      <c r="CF179" s="828"/>
      <c r="CG179" s="828"/>
      <c r="CH179" s="828"/>
      <c r="CI179" s="828"/>
      <c r="CJ179" s="828"/>
      <c r="CK179" s="830" t="s">
        <v>280</v>
      </c>
      <c r="CL179" s="828"/>
    </row>
    <row r="180" spans="1:90">
      <c r="A180" s="142" t="s">
        <v>171</v>
      </c>
      <c r="B180" s="416">
        <v>626157</v>
      </c>
      <c r="C180" s="828"/>
      <c r="D180" s="828"/>
      <c r="E180" s="830" t="s">
        <v>281</v>
      </c>
      <c r="F180" s="828"/>
      <c r="G180" s="828"/>
      <c r="H180" s="828"/>
      <c r="I180" s="828"/>
      <c r="J180" s="828"/>
      <c r="K180" s="828"/>
      <c r="L180" s="830" t="s">
        <v>281</v>
      </c>
      <c r="M180" s="828"/>
      <c r="N180" s="828"/>
      <c r="O180" s="828"/>
      <c r="P180" s="828"/>
      <c r="Q180" s="828"/>
      <c r="R180" s="828"/>
      <c r="S180" s="830" t="s">
        <v>281</v>
      </c>
      <c r="T180" s="828"/>
      <c r="U180" s="828"/>
      <c r="V180" s="828"/>
      <c r="W180" s="828"/>
      <c r="X180" s="828"/>
      <c r="Y180" s="828"/>
      <c r="Z180" s="830" t="s">
        <v>281</v>
      </c>
      <c r="AA180" s="828"/>
      <c r="AB180" s="828"/>
      <c r="AC180" s="828"/>
      <c r="AD180" s="828"/>
      <c r="AE180" s="828"/>
      <c r="AF180" s="828"/>
      <c r="AG180" s="830" t="s">
        <v>281</v>
      </c>
      <c r="AH180" s="828"/>
      <c r="AI180" s="828"/>
      <c r="AJ180" s="828"/>
      <c r="AK180" s="828"/>
      <c r="AL180" s="828"/>
      <c r="AM180" s="828"/>
      <c r="AN180" s="830" t="s">
        <v>281</v>
      </c>
      <c r="AO180" s="828"/>
      <c r="AP180" s="828"/>
      <c r="AQ180" s="828"/>
      <c r="AR180" s="828"/>
      <c r="AS180" s="828"/>
      <c r="AT180" s="828"/>
      <c r="AU180" s="830" t="s">
        <v>281</v>
      </c>
      <c r="AV180" s="828"/>
      <c r="AW180" s="828"/>
      <c r="AX180" s="828"/>
      <c r="AY180" s="828"/>
      <c r="AZ180" s="828"/>
      <c r="BA180" s="828"/>
      <c r="BB180" s="830" t="s">
        <v>281</v>
      </c>
      <c r="BC180" s="828"/>
      <c r="BD180" s="828"/>
      <c r="BE180" s="828"/>
      <c r="BF180" s="828"/>
      <c r="BG180" s="828"/>
      <c r="BH180" s="828"/>
      <c r="BI180" s="830" t="s">
        <v>281</v>
      </c>
      <c r="BJ180" s="828"/>
      <c r="BK180" s="828"/>
      <c r="BL180" s="828"/>
      <c r="BM180" s="828"/>
      <c r="BN180" s="828"/>
      <c r="BO180" s="828"/>
      <c r="BP180" s="830" t="s">
        <v>281</v>
      </c>
      <c r="BQ180" s="828"/>
      <c r="BR180" s="828"/>
      <c r="BS180" s="828"/>
      <c r="BT180" s="828"/>
      <c r="BU180" s="828"/>
      <c r="BV180" s="828"/>
      <c r="BW180" s="830" t="s">
        <v>281</v>
      </c>
      <c r="BX180" s="828"/>
      <c r="BY180" s="828"/>
      <c r="BZ180" s="828"/>
      <c r="CA180" s="828"/>
      <c r="CB180" s="828"/>
      <c r="CC180" s="828"/>
      <c r="CD180" s="830" t="s">
        <v>281</v>
      </c>
      <c r="CE180" s="828"/>
      <c r="CF180" s="828"/>
      <c r="CG180" s="828"/>
      <c r="CH180" s="828"/>
      <c r="CI180" s="828"/>
      <c r="CJ180" s="828"/>
      <c r="CK180" s="830" t="s">
        <v>281</v>
      </c>
      <c r="CL180" s="828"/>
    </row>
    <row r="181" spans="1:90">
      <c r="A181" s="144" t="s">
        <v>173</v>
      </c>
      <c r="B181" s="416">
        <v>645122</v>
      </c>
      <c r="C181" s="828"/>
      <c r="D181" s="828"/>
      <c r="E181" s="830" t="s">
        <v>281</v>
      </c>
      <c r="F181" s="828"/>
      <c r="G181" s="828"/>
      <c r="H181" s="828"/>
      <c r="I181" s="828"/>
      <c r="J181" s="828"/>
      <c r="K181" s="828"/>
      <c r="L181" s="830" t="s">
        <v>281</v>
      </c>
      <c r="M181" s="828"/>
      <c r="N181" s="828"/>
      <c r="O181" s="828"/>
      <c r="P181" s="828"/>
      <c r="Q181" s="828"/>
      <c r="R181" s="828"/>
      <c r="S181" s="830" t="s">
        <v>281</v>
      </c>
      <c r="T181" s="828"/>
      <c r="U181" s="828"/>
      <c r="V181" s="828"/>
      <c r="W181" s="828"/>
      <c r="X181" s="828"/>
      <c r="Y181" s="828"/>
      <c r="Z181" s="830" t="s">
        <v>281</v>
      </c>
      <c r="AA181" s="828"/>
      <c r="AB181" s="828"/>
      <c r="AC181" s="828"/>
      <c r="AD181" s="828"/>
      <c r="AE181" s="828"/>
      <c r="AF181" s="828"/>
      <c r="AG181" s="830" t="s">
        <v>281</v>
      </c>
      <c r="AH181" s="828"/>
      <c r="AI181" s="828"/>
      <c r="AJ181" s="828"/>
      <c r="AK181" s="828"/>
      <c r="AL181" s="828"/>
      <c r="AM181" s="828"/>
      <c r="AN181" s="830" t="s">
        <v>281</v>
      </c>
      <c r="AO181" s="828"/>
      <c r="AP181" s="828"/>
      <c r="AQ181" s="828"/>
      <c r="AR181" s="828"/>
      <c r="AS181" s="828"/>
      <c r="AT181" s="828"/>
      <c r="AU181" s="830" t="s">
        <v>281</v>
      </c>
      <c r="AV181" s="828"/>
      <c r="AW181" s="828"/>
      <c r="AX181" s="828"/>
      <c r="AY181" s="828"/>
      <c r="AZ181" s="828"/>
      <c r="BA181" s="828"/>
      <c r="BB181" s="830" t="s">
        <v>281</v>
      </c>
      <c r="BC181" s="828"/>
      <c r="BD181" s="828"/>
      <c r="BE181" s="828"/>
      <c r="BF181" s="828"/>
      <c r="BG181" s="828"/>
      <c r="BH181" s="828"/>
      <c r="BI181" s="830" t="s">
        <v>281</v>
      </c>
      <c r="BJ181" s="828"/>
      <c r="BK181" s="828"/>
      <c r="BL181" s="828"/>
      <c r="BM181" s="828"/>
      <c r="BN181" s="828"/>
      <c r="BO181" s="828"/>
      <c r="BP181" s="830" t="s">
        <v>281</v>
      </c>
      <c r="BQ181" s="828"/>
      <c r="BR181" s="828"/>
      <c r="BS181" s="828"/>
      <c r="BT181" s="828"/>
      <c r="BU181" s="828"/>
      <c r="BV181" s="828"/>
      <c r="BW181" s="830" t="s">
        <v>281</v>
      </c>
      <c r="BX181" s="828"/>
      <c r="BY181" s="828"/>
      <c r="BZ181" s="828"/>
      <c r="CA181" s="828"/>
      <c r="CB181" s="828"/>
      <c r="CC181" s="828"/>
      <c r="CD181" s="830" t="s">
        <v>281</v>
      </c>
      <c r="CE181" s="828"/>
      <c r="CF181" s="828"/>
      <c r="CG181" s="828"/>
      <c r="CH181" s="828"/>
      <c r="CI181" s="828"/>
      <c r="CJ181" s="828"/>
      <c r="CK181" s="830" t="s">
        <v>281</v>
      </c>
      <c r="CL181" s="828"/>
    </row>
    <row r="182" spans="1:90">
      <c r="A182" s="140" t="s">
        <v>174</v>
      </c>
      <c r="B182" s="481"/>
      <c r="C182" s="828"/>
      <c r="D182" s="828"/>
      <c r="E182" s="830" t="s">
        <v>282</v>
      </c>
      <c r="F182" s="828"/>
      <c r="G182" s="828"/>
      <c r="H182" s="828"/>
      <c r="I182" s="828"/>
      <c r="J182" s="828"/>
      <c r="K182" s="828"/>
      <c r="L182" s="830" t="s">
        <v>282</v>
      </c>
      <c r="M182" s="828"/>
      <c r="N182" s="828"/>
      <c r="O182" s="828"/>
      <c r="P182" s="828"/>
      <c r="Q182" s="828"/>
      <c r="R182" s="828"/>
      <c r="S182" s="830" t="s">
        <v>282</v>
      </c>
      <c r="T182" s="828"/>
      <c r="U182" s="828"/>
      <c r="V182" s="828"/>
      <c r="W182" s="828"/>
      <c r="X182" s="828"/>
      <c r="Y182" s="828"/>
      <c r="Z182" s="830" t="s">
        <v>282</v>
      </c>
      <c r="AA182" s="828"/>
      <c r="AB182" s="828"/>
      <c r="AC182" s="828"/>
      <c r="AD182" s="828"/>
      <c r="AE182" s="828"/>
      <c r="AF182" s="828"/>
      <c r="AG182" s="830" t="s">
        <v>282</v>
      </c>
      <c r="AH182" s="828"/>
      <c r="AI182" s="828"/>
      <c r="AJ182" s="828"/>
      <c r="AK182" s="828"/>
      <c r="AL182" s="828"/>
      <c r="AM182" s="828"/>
      <c r="AN182" s="830" t="s">
        <v>282</v>
      </c>
      <c r="AO182" s="828"/>
      <c r="AP182" s="828"/>
      <c r="AQ182" s="828"/>
      <c r="AR182" s="828"/>
      <c r="AS182" s="828"/>
      <c r="AT182" s="828"/>
      <c r="AU182" s="830" t="s">
        <v>282</v>
      </c>
      <c r="AV182" s="828"/>
      <c r="AW182" s="828"/>
      <c r="AX182" s="828"/>
      <c r="AY182" s="828"/>
      <c r="AZ182" s="828"/>
      <c r="BA182" s="828"/>
      <c r="BB182" s="830" t="s">
        <v>282</v>
      </c>
      <c r="BC182" s="828"/>
      <c r="BD182" s="828"/>
      <c r="BE182" s="828"/>
      <c r="BF182" s="828"/>
      <c r="BG182" s="828"/>
      <c r="BH182" s="828"/>
      <c r="BI182" s="830" t="s">
        <v>282</v>
      </c>
      <c r="BJ182" s="828"/>
      <c r="BK182" s="828"/>
      <c r="BL182" s="828"/>
      <c r="BM182" s="828"/>
      <c r="BN182" s="828"/>
      <c r="BO182" s="828"/>
      <c r="BP182" s="830" t="s">
        <v>282</v>
      </c>
      <c r="BQ182" s="828"/>
      <c r="BR182" s="828"/>
      <c r="BS182" s="828"/>
      <c r="BT182" s="828"/>
      <c r="BU182" s="828"/>
      <c r="BV182" s="828"/>
      <c r="BW182" s="830" t="s">
        <v>282</v>
      </c>
      <c r="BX182" s="828"/>
      <c r="BY182" s="828"/>
      <c r="BZ182" s="828"/>
      <c r="CA182" s="828"/>
      <c r="CB182" s="828"/>
      <c r="CC182" s="828"/>
      <c r="CD182" s="830" t="s">
        <v>282</v>
      </c>
      <c r="CE182" s="828"/>
      <c r="CF182" s="828"/>
      <c r="CG182" s="828"/>
      <c r="CH182" s="828"/>
      <c r="CI182" s="828"/>
      <c r="CJ182" s="828"/>
      <c r="CK182" s="830" t="s">
        <v>282</v>
      </c>
      <c r="CL182" s="828"/>
    </row>
    <row r="183" spans="1:90" ht="15" thickBot="1">
      <c r="A183" s="177" t="s">
        <v>175</v>
      </c>
      <c r="B183" s="416">
        <v>624174</v>
      </c>
      <c r="C183" s="828"/>
      <c r="D183" s="828"/>
      <c r="E183" s="831" t="s">
        <v>283</v>
      </c>
      <c r="F183" s="828"/>
      <c r="G183" s="828"/>
      <c r="H183" s="828"/>
      <c r="I183" s="828"/>
      <c r="J183" s="828"/>
      <c r="K183" s="828"/>
      <c r="L183" s="831" t="s">
        <v>283</v>
      </c>
      <c r="M183" s="828"/>
      <c r="N183" s="828"/>
      <c r="O183" s="828"/>
      <c r="P183" s="828"/>
      <c r="Q183" s="828"/>
      <c r="R183" s="828"/>
      <c r="S183" s="831" t="s">
        <v>283</v>
      </c>
      <c r="T183" s="828"/>
      <c r="U183" s="828"/>
      <c r="V183" s="828"/>
      <c r="W183" s="828"/>
      <c r="X183" s="828"/>
      <c r="Y183" s="828"/>
      <c r="Z183" s="831" t="s">
        <v>283</v>
      </c>
      <c r="AA183" s="828"/>
      <c r="AB183" s="828"/>
      <c r="AC183" s="828"/>
      <c r="AD183" s="828"/>
      <c r="AE183" s="828"/>
      <c r="AF183" s="828"/>
      <c r="AG183" s="831" t="s">
        <v>283</v>
      </c>
      <c r="AH183" s="828"/>
      <c r="AI183" s="828"/>
      <c r="AJ183" s="828"/>
      <c r="AK183" s="828"/>
      <c r="AL183" s="828"/>
      <c r="AM183" s="828"/>
      <c r="AN183" s="831" t="s">
        <v>283</v>
      </c>
      <c r="AO183" s="828"/>
      <c r="AP183" s="828"/>
      <c r="AQ183" s="828"/>
      <c r="AR183" s="828"/>
      <c r="AS183" s="828"/>
      <c r="AT183" s="828"/>
      <c r="AU183" s="831" t="s">
        <v>283</v>
      </c>
      <c r="AV183" s="828"/>
      <c r="AW183" s="828"/>
      <c r="AX183" s="828"/>
      <c r="AY183" s="828"/>
      <c r="AZ183" s="828"/>
      <c r="BA183" s="828"/>
      <c r="BB183" s="831" t="s">
        <v>283</v>
      </c>
      <c r="BC183" s="828"/>
      <c r="BD183" s="828"/>
      <c r="BE183" s="828"/>
      <c r="BF183" s="828"/>
      <c r="BG183" s="828"/>
      <c r="BH183" s="828"/>
      <c r="BI183" s="831" t="s">
        <v>283</v>
      </c>
      <c r="BJ183" s="828"/>
      <c r="BK183" s="828"/>
      <c r="BL183" s="828"/>
      <c r="BM183" s="828"/>
      <c r="BN183" s="828"/>
      <c r="BO183" s="828"/>
      <c r="BP183" s="831" t="s">
        <v>283</v>
      </c>
      <c r="BQ183" s="828"/>
      <c r="BR183" s="828"/>
      <c r="BS183" s="828"/>
      <c r="BT183" s="828"/>
      <c r="BU183" s="828"/>
      <c r="BV183" s="828"/>
      <c r="BW183" s="831" t="s">
        <v>283</v>
      </c>
      <c r="BX183" s="828"/>
      <c r="BY183" s="828"/>
      <c r="BZ183" s="828"/>
      <c r="CA183" s="828"/>
      <c r="CB183" s="828"/>
      <c r="CC183" s="828"/>
      <c r="CD183" s="831" t="s">
        <v>283</v>
      </c>
      <c r="CE183" s="828"/>
      <c r="CF183" s="828"/>
      <c r="CG183" s="828"/>
      <c r="CH183" s="828"/>
      <c r="CI183" s="828"/>
      <c r="CJ183" s="828"/>
      <c r="CK183" s="831" t="s">
        <v>283</v>
      </c>
      <c r="CL183" s="828"/>
    </row>
    <row r="184" spans="1:90">
      <c r="A184" s="178" t="s">
        <v>176</v>
      </c>
      <c r="B184" s="416"/>
      <c r="C184" s="828"/>
      <c r="D184" s="828"/>
      <c r="E184" s="829"/>
      <c r="F184" s="828"/>
      <c r="G184" s="828"/>
      <c r="H184" s="828"/>
      <c r="I184" s="828"/>
      <c r="J184" s="828"/>
      <c r="K184" s="828"/>
      <c r="L184" s="829"/>
      <c r="M184" s="828"/>
      <c r="N184" s="828"/>
      <c r="O184" s="828"/>
      <c r="P184" s="828"/>
      <c r="Q184" s="828"/>
      <c r="R184" s="828"/>
      <c r="S184" s="829"/>
      <c r="T184" s="828"/>
      <c r="U184" s="828"/>
      <c r="V184" s="828"/>
      <c r="W184" s="828"/>
      <c r="X184" s="828"/>
      <c r="Y184" s="828"/>
      <c r="Z184" s="829"/>
      <c r="AA184" s="828"/>
      <c r="AB184" s="828"/>
      <c r="AC184" s="828"/>
      <c r="AD184" s="828"/>
      <c r="AE184" s="828"/>
      <c r="AF184" s="828"/>
      <c r="AG184" s="829"/>
      <c r="AH184" s="828"/>
      <c r="AI184" s="828"/>
      <c r="AJ184" s="828"/>
      <c r="AK184" s="828"/>
      <c r="AL184" s="828"/>
      <c r="AM184" s="828"/>
      <c r="AN184" s="829"/>
      <c r="AO184" s="828"/>
      <c r="AP184" s="828"/>
      <c r="AQ184" s="828"/>
      <c r="AR184" s="828"/>
      <c r="AS184" s="828"/>
      <c r="AT184" s="828"/>
      <c r="AU184" s="829"/>
      <c r="AV184" s="828"/>
      <c r="AW184" s="828"/>
      <c r="AX184" s="828"/>
      <c r="AY184" s="828"/>
      <c r="AZ184" s="828"/>
      <c r="BA184" s="828"/>
      <c r="BB184" s="829"/>
      <c r="BC184" s="828"/>
      <c r="BD184" s="828"/>
      <c r="BE184" s="828"/>
      <c r="BF184" s="828"/>
      <c r="BG184" s="828"/>
      <c r="BH184" s="828"/>
      <c r="BI184" s="829"/>
      <c r="BJ184" s="828"/>
      <c r="BK184" s="828"/>
      <c r="BL184" s="828"/>
      <c r="BM184" s="828"/>
      <c r="BN184" s="828"/>
      <c r="BO184" s="828"/>
      <c r="BP184" s="829"/>
      <c r="BQ184" s="828"/>
      <c r="BR184" s="828"/>
      <c r="BS184" s="828"/>
      <c r="BT184" s="828"/>
      <c r="BU184" s="828"/>
      <c r="BV184" s="828"/>
      <c r="BW184" s="829"/>
      <c r="BX184" s="828"/>
      <c r="BY184" s="828"/>
      <c r="BZ184" s="828"/>
      <c r="CA184" s="828"/>
      <c r="CB184" s="828"/>
      <c r="CC184" s="828"/>
      <c r="CD184" s="829"/>
      <c r="CE184" s="828"/>
      <c r="CF184" s="828"/>
      <c r="CG184" s="828"/>
      <c r="CH184" s="828"/>
      <c r="CI184" s="828"/>
      <c r="CJ184" s="828"/>
      <c r="CK184" s="829"/>
      <c r="CL184" s="828"/>
    </row>
    <row r="185" spans="1:90">
      <c r="A185" s="433" t="s">
        <v>177</v>
      </c>
      <c r="B185" s="416">
        <v>637990</v>
      </c>
      <c r="C185" s="828"/>
      <c r="D185" s="828"/>
      <c r="E185" s="830" t="s">
        <v>279</v>
      </c>
      <c r="F185" s="828"/>
      <c r="G185" s="828"/>
      <c r="H185" s="828"/>
      <c r="I185" s="828"/>
      <c r="J185" s="828"/>
      <c r="K185" s="828"/>
      <c r="L185" s="830" t="s">
        <v>279</v>
      </c>
      <c r="M185" s="828"/>
      <c r="N185" s="828"/>
      <c r="O185" s="828"/>
      <c r="P185" s="828"/>
      <c r="Q185" s="828"/>
      <c r="R185" s="828"/>
      <c r="S185" s="830" t="s">
        <v>279</v>
      </c>
      <c r="T185" s="828"/>
      <c r="U185" s="828"/>
      <c r="V185" s="828"/>
      <c r="W185" s="828"/>
      <c r="X185" s="828"/>
      <c r="Y185" s="828"/>
      <c r="Z185" s="830" t="s">
        <v>279</v>
      </c>
      <c r="AA185" s="828"/>
      <c r="AB185" s="828"/>
      <c r="AC185" s="828"/>
      <c r="AD185" s="828"/>
      <c r="AE185" s="828"/>
      <c r="AF185" s="828"/>
      <c r="AG185" s="830" t="s">
        <v>279</v>
      </c>
      <c r="AH185" s="828"/>
      <c r="AI185" s="828"/>
      <c r="AJ185" s="828"/>
      <c r="AK185" s="828"/>
      <c r="AL185" s="828"/>
      <c r="AM185" s="828"/>
      <c r="AN185" s="830" t="s">
        <v>279</v>
      </c>
      <c r="AO185" s="828"/>
      <c r="AP185" s="828"/>
      <c r="AQ185" s="828"/>
      <c r="AR185" s="828"/>
      <c r="AS185" s="828"/>
      <c r="AT185" s="828"/>
      <c r="AU185" s="830" t="s">
        <v>279</v>
      </c>
      <c r="AV185" s="828"/>
      <c r="AW185" s="828"/>
      <c r="AX185" s="828"/>
      <c r="AY185" s="828"/>
      <c r="AZ185" s="828"/>
      <c r="BA185" s="828"/>
      <c r="BB185" s="830" t="s">
        <v>279</v>
      </c>
      <c r="BC185" s="828"/>
      <c r="BD185" s="828"/>
      <c r="BE185" s="828"/>
      <c r="BF185" s="828"/>
      <c r="BG185" s="828"/>
      <c r="BH185" s="828"/>
      <c r="BI185" s="830" t="s">
        <v>279</v>
      </c>
      <c r="BJ185" s="828"/>
      <c r="BK185" s="828"/>
      <c r="BL185" s="828"/>
      <c r="BM185" s="828"/>
      <c r="BN185" s="828"/>
      <c r="BO185" s="828"/>
      <c r="BP185" s="830" t="s">
        <v>279</v>
      </c>
      <c r="BQ185" s="828"/>
      <c r="BR185" s="828"/>
      <c r="BS185" s="828"/>
      <c r="BT185" s="828"/>
      <c r="BU185" s="828"/>
      <c r="BV185" s="828"/>
      <c r="BW185" s="830" t="s">
        <v>279</v>
      </c>
      <c r="BX185" s="828"/>
      <c r="BY185" s="828"/>
      <c r="BZ185" s="828"/>
      <c r="CA185" s="828"/>
      <c r="CB185" s="828"/>
      <c r="CC185" s="828"/>
      <c r="CD185" s="830" t="s">
        <v>279</v>
      </c>
      <c r="CE185" s="828"/>
      <c r="CF185" s="828"/>
      <c r="CG185" s="828"/>
      <c r="CH185" s="828"/>
      <c r="CI185" s="828"/>
      <c r="CJ185" s="828"/>
      <c r="CK185" s="830" t="s">
        <v>279</v>
      </c>
      <c r="CL185" s="828"/>
    </row>
    <row r="186" spans="1:90">
      <c r="A186" s="143" t="s">
        <v>179</v>
      </c>
      <c r="B186" s="416">
        <v>652867</v>
      </c>
      <c r="C186" s="828"/>
      <c r="D186" s="828"/>
      <c r="E186" s="830" t="s">
        <v>279</v>
      </c>
      <c r="F186" s="828"/>
      <c r="G186" s="828"/>
      <c r="H186" s="828"/>
      <c r="I186" s="828"/>
      <c r="J186" s="828"/>
      <c r="K186" s="828"/>
      <c r="L186" s="830" t="s">
        <v>279</v>
      </c>
      <c r="M186" s="828"/>
      <c r="N186" s="828"/>
      <c r="O186" s="828"/>
      <c r="P186" s="828"/>
      <c r="Q186" s="828"/>
      <c r="R186" s="828"/>
      <c r="S186" s="830" t="s">
        <v>279</v>
      </c>
      <c r="T186" s="828"/>
      <c r="U186" s="828"/>
      <c r="V186" s="828"/>
      <c r="W186" s="828"/>
      <c r="X186" s="828"/>
      <c r="Y186" s="828"/>
      <c r="Z186" s="830" t="s">
        <v>279</v>
      </c>
      <c r="AA186" s="828"/>
      <c r="AB186" s="828"/>
      <c r="AC186" s="828"/>
      <c r="AD186" s="828"/>
      <c r="AE186" s="828"/>
      <c r="AF186" s="828"/>
      <c r="AG186" s="830" t="s">
        <v>279</v>
      </c>
      <c r="AH186" s="828"/>
      <c r="AI186" s="828"/>
      <c r="AJ186" s="828"/>
      <c r="AK186" s="828"/>
      <c r="AL186" s="828"/>
      <c r="AM186" s="828"/>
      <c r="AN186" s="830" t="s">
        <v>279</v>
      </c>
      <c r="AO186" s="828"/>
      <c r="AP186" s="828"/>
      <c r="AQ186" s="828"/>
      <c r="AR186" s="828"/>
      <c r="AS186" s="828"/>
      <c r="AT186" s="828"/>
      <c r="AU186" s="830" t="s">
        <v>279</v>
      </c>
      <c r="AV186" s="828"/>
      <c r="AW186" s="828"/>
      <c r="AX186" s="828"/>
      <c r="AY186" s="828"/>
      <c r="AZ186" s="828"/>
      <c r="BA186" s="828"/>
      <c r="BB186" s="830" t="s">
        <v>279</v>
      </c>
      <c r="BC186" s="828"/>
      <c r="BD186" s="828"/>
      <c r="BE186" s="828"/>
      <c r="BF186" s="828"/>
      <c r="BG186" s="828"/>
      <c r="BH186" s="828"/>
      <c r="BI186" s="830" t="s">
        <v>279</v>
      </c>
      <c r="BJ186" s="828"/>
      <c r="BK186" s="828"/>
      <c r="BL186" s="828"/>
      <c r="BM186" s="828"/>
      <c r="BN186" s="828"/>
      <c r="BO186" s="828"/>
      <c r="BP186" s="830" t="s">
        <v>279</v>
      </c>
      <c r="BQ186" s="828"/>
      <c r="BR186" s="828"/>
      <c r="BS186" s="828"/>
      <c r="BT186" s="828"/>
      <c r="BU186" s="828"/>
      <c r="BV186" s="828"/>
      <c r="BW186" s="830" t="s">
        <v>279</v>
      </c>
      <c r="BX186" s="828"/>
      <c r="BY186" s="828"/>
      <c r="BZ186" s="828"/>
      <c r="CA186" s="828"/>
      <c r="CB186" s="828"/>
      <c r="CC186" s="828"/>
      <c r="CD186" s="830" t="s">
        <v>279</v>
      </c>
      <c r="CE186" s="828"/>
      <c r="CF186" s="828"/>
      <c r="CG186" s="828"/>
      <c r="CH186" s="828"/>
      <c r="CI186" s="828"/>
      <c r="CJ186" s="828"/>
      <c r="CK186" s="830" t="s">
        <v>279</v>
      </c>
      <c r="CL186" s="828"/>
    </row>
    <row r="187" spans="1:90">
      <c r="A187" s="438" t="s">
        <v>180</v>
      </c>
      <c r="B187" s="416">
        <v>638831</v>
      </c>
      <c r="C187" s="828"/>
      <c r="D187" s="828"/>
      <c r="E187" s="830" t="s">
        <v>279</v>
      </c>
      <c r="F187" s="828"/>
      <c r="G187" s="828"/>
      <c r="H187" s="828"/>
      <c r="I187" s="828"/>
      <c r="J187" s="828"/>
      <c r="K187" s="828"/>
      <c r="L187" s="830" t="s">
        <v>279</v>
      </c>
      <c r="M187" s="828"/>
      <c r="N187" s="828"/>
      <c r="O187" s="828"/>
      <c r="P187" s="828"/>
      <c r="Q187" s="828"/>
      <c r="R187" s="828"/>
      <c r="S187" s="830" t="s">
        <v>279</v>
      </c>
      <c r="T187" s="828"/>
      <c r="U187" s="828"/>
      <c r="V187" s="828"/>
      <c r="W187" s="828"/>
      <c r="X187" s="828"/>
      <c r="Y187" s="828"/>
      <c r="Z187" s="830" t="s">
        <v>279</v>
      </c>
      <c r="AA187" s="828"/>
      <c r="AB187" s="828"/>
      <c r="AC187" s="828"/>
      <c r="AD187" s="828"/>
      <c r="AE187" s="828"/>
      <c r="AF187" s="828"/>
      <c r="AG187" s="830" t="s">
        <v>279</v>
      </c>
      <c r="AH187" s="828"/>
      <c r="AI187" s="828"/>
      <c r="AJ187" s="828"/>
      <c r="AK187" s="828"/>
      <c r="AL187" s="828"/>
      <c r="AM187" s="828"/>
      <c r="AN187" s="830" t="s">
        <v>279</v>
      </c>
      <c r="AO187" s="828"/>
      <c r="AP187" s="828"/>
      <c r="AQ187" s="828"/>
      <c r="AR187" s="828"/>
      <c r="AS187" s="828"/>
      <c r="AT187" s="828"/>
      <c r="AU187" s="830" t="s">
        <v>279</v>
      </c>
      <c r="AV187" s="828"/>
      <c r="AW187" s="828"/>
      <c r="AX187" s="828"/>
      <c r="AY187" s="828"/>
      <c r="AZ187" s="828"/>
      <c r="BA187" s="828"/>
      <c r="BB187" s="830" t="s">
        <v>279</v>
      </c>
      <c r="BC187" s="828"/>
      <c r="BD187" s="828"/>
      <c r="BE187" s="828"/>
      <c r="BF187" s="828"/>
      <c r="BG187" s="828"/>
      <c r="BH187" s="828"/>
      <c r="BI187" s="830" t="s">
        <v>279</v>
      </c>
      <c r="BJ187" s="828"/>
      <c r="BK187" s="828"/>
      <c r="BL187" s="828"/>
      <c r="BM187" s="828"/>
      <c r="BN187" s="828"/>
      <c r="BO187" s="828"/>
      <c r="BP187" s="830" t="s">
        <v>279</v>
      </c>
      <c r="BQ187" s="828"/>
      <c r="BR187" s="828"/>
      <c r="BS187" s="828"/>
      <c r="BT187" s="828"/>
      <c r="BU187" s="828"/>
      <c r="BV187" s="828"/>
      <c r="BW187" s="830" t="s">
        <v>279</v>
      </c>
      <c r="BX187" s="828"/>
      <c r="BY187" s="828"/>
      <c r="BZ187" s="828"/>
      <c r="CA187" s="828"/>
      <c r="CB187" s="828"/>
      <c r="CC187" s="828"/>
      <c r="CD187" s="830" t="s">
        <v>279</v>
      </c>
      <c r="CE187" s="828"/>
      <c r="CF187" s="828"/>
      <c r="CG187" s="828"/>
      <c r="CH187" s="828"/>
      <c r="CI187" s="828"/>
      <c r="CJ187" s="828"/>
      <c r="CK187" s="830" t="s">
        <v>279</v>
      </c>
      <c r="CL187" s="828"/>
    </row>
    <row r="188" spans="1:90">
      <c r="A188" s="439" t="s">
        <v>182</v>
      </c>
      <c r="B188" s="416">
        <v>631314</v>
      </c>
      <c r="C188" s="828"/>
      <c r="D188" s="828"/>
      <c r="E188" s="830" t="s">
        <v>281</v>
      </c>
      <c r="F188" s="828"/>
      <c r="G188" s="828"/>
      <c r="H188" s="828"/>
      <c r="I188" s="828"/>
      <c r="J188" s="828"/>
      <c r="K188" s="828"/>
      <c r="L188" s="830" t="s">
        <v>281</v>
      </c>
      <c r="M188" s="828"/>
      <c r="N188" s="828"/>
      <c r="O188" s="828"/>
      <c r="P188" s="828"/>
      <c r="Q188" s="828"/>
      <c r="R188" s="828"/>
      <c r="S188" s="830" t="s">
        <v>281</v>
      </c>
      <c r="T188" s="828"/>
      <c r="U188" s="828"/>
      <c r="V188" s="828"/>
      <c r="W188" s="828"/>
      <c r="X188" s="828"/>
      <c r="Y188" s="828"/>
      <c r="Z188" s="830" t="s">
        <v>281</v>
      </c>
      <c r="AA188" s="828"/>
      <c r="AB188" s="828"/>
      <c r="AC188" s="828"/>
      <c r="AD188" s="828"/>
      <c r="AE188" s="828"/>
      <c r="AF188" s="828"/>
      <c r="AG188" s="830" t="s">
        <v>281</v>
      </c>
      <c r="AH188" s="828"/>
      <c r="AI188" s="828"/>
      <c r="AJ188" s="828"/>
      <c r="AK188" s="828"/>
      <c r="AL188" s="828"/>
      <c r="AM188" s="828"/>
      <c r="AN188" s="830" t="s">
        <v>281</v>
      </c>
      <c r="AO188" s="828"/>
      <c r="AP188" s="828"/>
      <c r="AQ188" s="828"/>
      <c r="AR188" s="828"/>
      <c r="AS188" s="828"/>
      <c r="AT188" s="828"/>
      <c r="AU188" s="830" t="s">
        <v>281</v>
      </c>
      <c r="AV188" s="828"/>
      <c r="AW188" s="828"/>
      <c r="AX188" s="828"/>
      <c r="AY188" s="828"/>
      <c r="AZ188" s="828"/>
      <c r="BA188" s="828"/>
      <c r="BB188" s="830" t="s">
        <v>281</v>
      </c>
      <c r="BC188" s="828"/>
      <c r="BD188" s="828"/>
      <c r="BE188" s="828"/>
      <c r="BF188" s="828"/>
      <c r="BG188" s="828"/>
      <c r="BH188" s="828"/>
      <c r="BI188" s="830" t="s">
        <v>281</v>
      </c>
      <c r="BJ188" s="828"/>
      <c r="BK188" s="828"/>
      <c r="BL188" s="828"/>
      <c r="BM188" s="828"/>
      <c r="BN188" s="828"/>
      <c r="BO188" s="828"/>
      <c r="BP188" s="830" t="s">
        <v>281</v>
      </c>
      <c r="BQ188" s="828"/>
      <c r="BR188" s="828"/>
      <c r="BS188" s="828"/>
      <c r="BT188" s="828"/>
      <c r="BU188" s="828"/>
      <c r="BV188" s="828"/>
      <c r="BW188" s="830" t="s">
        <v>281</v>
      </c>
      <c r="BX188" s="828"/>
      <c r="BY188" s="828"/>
      <c r="BZ188" s="828"/>
      <c r="CA188" s="828"/>
      <c r="CB188" s="828"/>
      <c r="CC188" s="828"/>
      <c r="CD188" s="830" t="s">
        <v>281</v>
      </c>
      <c r="CE188" s="828"/>
      <c r="CF188" s="828"/>
      <c r="CG188" s="828"/>
      <c r="CH188" s="828"/>
      <c r="CI188" s="828"/>
      <c r="CJ188" s="828"/>
      <c r="CK188" s="830" t="s">
        <v>281</v>
      </c>
      <c r="CL188" s="828"/>
    </row>
    <row r="189" spans="1:90">
      <c r="A189" s="439" t="s">
        <v>185</v>
      </c>
      <c r="B189" s="416">
        <v>631732</v>
      </c>
      <c r="C189" s="828"/>
      <c r="D189" s="828"/>
      <c r="E189" s="830" t="s">
        <v>281</v>
      </c>
      <c r="F189" s="828"/>
      <c r="G189" s="828"/>
      <c r="H189" s="828"/>
      <c r="I189" s="828"/>
      <c r="J189" s="828"/>
      <c r="K189" s="828"/>
      <c r="L189" s="830" t="s">
        <v>281</v>
      </c>
      <c r="M189" s="828"/>
      <c r="N189" s="828"/>
      <c r="O189" s="828"/>
      <c r="P189" s="828"/>
      <c r="Q189" s="828"/>
      <c r="R189" s="828"/>
      <c r="S189" s="830" t="s">
        <v>281</v>
      </c>
      <c r="T189" s="828"/>
      <c r="U189" s="828"/>
      <c r="V189" s="828"/>
      <c r="W189" s="828"/>
      <c r="X189" s="828"/>
      <c r="Y189" s="828"/>
      <c r="Z189" s="830" t="s">
        <v>281</v>
      </c>
      <c r="AA189" s="828"/>
      <c r="AB189" s="828"/>
      <c r="AC189" s="828"/>
      <c r="AD189" s="828"/>
      <c r="AE189" s="828"/>
      <c r="AF189" s="828"/>
      <c r="AG189" s="830" t="s">
        <v>281</v>
      </c>
      <c r="AH189" s="828"/>
      <c r="AI189" s="828"/>
      <c r="AJ189" s="828"/>
      <c r="AK189" s="828"/>
      <c r="AL189" s="828"/>
      <c r="AM189" s="828"/>
      <c r="AN189" s="830" t="s">
        <v>281</v>
      </c>
      <c r="AO189" s="828"/>
      <c r="AP189" s="828"/>
      <c r="AQ189" s="828"/>
      <c r="AR189" s="828"/>
      <c r="AS189" s="828"/>
      <c r="AT189" s="828"/>
      <c r="AU189" s="830" t="s">
        <v>281</v>
      </c>
      <c r="AV189" s="828"/>
      <c r="AW189" s="828"/>
      <c r="AX189" s="828"/>
      <c r="AY189" s="828"/>
      <c r="AZ189" s="828"/>
      <c r="BA189" s="828"/>
      <c r="BB189" s="830" t="s">
        <v>281</v>
      </c>
      <c r="BC189" s="828"/>
      <c r="BD189" s="828"/>
      <c r="BE189" s="828"/>
      <c r="BF189" s="828"/>
      <c r="BG189" s="828"/>
      <c r="BH189" s="828"/>
      <c r="BI189" s="830" t="s">
        <v>281</v>
      </c>
      <c r="BJ189" s="828"/>
      <c r="BK189" s="828"/>
      <c r="BL189" s="828"/>
      <c r="BM189" s="828"/>
      <c r="BN189" s="828"/>
      <c r="BO189" s="828"/>
      <c r="BP189" s="830" t="s">
        <v>281</v>
      </c>
      <c r="BQ189" s="828"/>
      <c r="BR189" s="828"/>
      <c r="BS189" s="828"/>
      <c r="BT189" s="828"/>
      <c r="BU189" s="828"/>
      <c r="BV189" s="828"/>
      <c r="BW189" s="830" t="s">
        <v>281</v>
      </c>
      <c r="BX189" s="828"/>
      <c r="BY189" s="828"/>
      <c r="BZ189" s="828"/>
      <c r="CA189" s="828"/>
      <c r="CB189" s="828"/>
      <c r="CC189" s="828"/>
      <c r="CD189" s="830" t="s">
        <v>281</v>
      </c>
      <c r="CE189" s="828"/>
      <c r="CF189" s="828"/>
      <c r="CG189" s="828"/>
      <c r="CH189" s="828"/>
      <c r="CI189" s="828"/>
      <c r="CJ189" s="828"/>
      <c r="CK189" s="830" t="s">
        <v>281</v>
      </c>
      <c r="CL189" s="828"/>
    </row>
    <row r="190" spans="1:90">
      <c r="A190" s="443" t="s">
        <v>186</v>
      </c>
      <c r="B190" s="416">
        <v>634876</v>
      </c>
      <c r="C190" s="828"/>
      <c r="D190" s="828"/>
      <c r="E190" s="830" t="s">
        <v>281</v>
      </c>
      <c r="F190" s="828"/>
      <c r="G190" s="828"/>
      <c r="H190" s="828"/>
      <c r="I190" s="828"/>
      <c r="J190" s="828"/>
      <c r="K190" s="828"/>
      <c r="L190" s="830" t="s">
        <v>281</v>
      </c>
      <c r="M190" s="828"/>
      <c r="N190" s="828"/>
      <c r="O190" s="828"/>
      <c r="P190" s="828"/>
      <c r="Q190" s="828"/>
      <c r="R190" s="828"/>
      <c r="S190" s="830" t="s">
        <v>281</v>
      </c>
      <c r="T190" s="828"/>
      <c r="U190" s="828"/>
      <c r="V190" s="828"/>
      <c r="W190" s="828"/>
      <c r="X190" s="828"/>
      <c r="Y190" s="828"/>
      <c r="Z190" s="830" t="s">
        <v>281</v>
      </c>
      <c r="AA190" s="828"/>
      <c r="AB190" s="828"/>
      <c r="AC190" s="828"/>
      <c r="AD190" s="828"/>
      <c r="AE190" s="828"/>
      <c r="AF190" s="828"/>
      <c r="AG190" s="830" t="s">
        <v>281</v>
      </c>
      <c r="AH190" s="828"/>
      <c r="AI190" s="828"/>
      <c r="AJ190" s="828"/>
      <c r="AK190" s="828"/>
      <c r="AL190" s="828"/>
      <c r="AM190" s="828"/>
      <c r="AN190" s="830" t="s">
        <v>281</v>
      </c>
      <c r="AO190" s="828"/>
      <c r="AP190" s="828"/>
      <c r="AQ190" s="828"/>
      <c r="AR190" s="828"/>
      <c r="AS190" s="828"/>
      <c r="AT190" s="828"/>
      <c r="AU190" s="830" t="s">
        <v>281</v>
      </c>
      <c r="AV190" s="828"/>
      <c r="AW190" s="828"/>
      <c r="AX190" s="828"/>
      <c r="AY190" s="828"/>
      <c r="AZ190" s="828"/>
      <c r="BA190" s="828"/>
      <c r="BB190" s="830" t="s">
        <v>281</v>
      </c>
      <c r="BC190" s="828"/>
      <c r="BD190" s="828"/>
      <c r="BE190" s="828"/>
      <c r="BF190" s="828"/>
      <c r="BG190" s="828"/>
      <c r="BH190" s="828"/>
      <c r="BI190" s="830" t="s">
        <v>281</v>
      </c>
      <c r="BJ190" s="828"/>
      <c r="BK190" s="828"/>
      <c r="BL190" s="828"/>
      <c r="BM190" s="828"/>
      <c r="BN190" s="828"/>
      <c r="BO190" s="828"/>
      <c r="BP190" s="830" t="s">
        <v>281</v>
      </c>
      <c r="BQ190" s="828"/>
      <c r="BR190" s="828"/>
      <c r="BS190" s="828"/>
      <c r="BT190" s="828"/>
      <c r="BU190" s="828"/>
      <c r="BV190" s="828"/>
      <c r="BW190" s="830" t="s">
        <v>281</v>
      </c>
      <c r="BX190" s="828"/>
      <c r="BY190" s="828"/>
      <c r="BZ190" s="828"/>
      <c r="CA190" s="828"/>
      <c r="CB190" s="828"/>
      <c r="CC190" s="828"/>
      <c r="CD190" s="830" t="s">
        <v>281</v>
      </c>
      <c r="CE190" s="828"/>
      <c r="CF190" s="828"/>
      <c r="CG190" s="828"/>
      <c r="CH190" s="828"/>
      <c r="CI190" s="828"/>
      <c r="CJ190" s="828"/>
      <c r="CK190" s="830" t="s">
        <v>281</v>
      </c>
      <c r="CL190" s="828"/>
    </row>
    <row r="191" spans="1:90">
      <c r="A191" s="832" t="s">
        <v>189</v>
      </c>
      <c r="B191" s="416"/>
      <c r="C191" s="828"/>
      <c r="D191" s="828"/>
      <c r="E191" s="829"/>
      <c r="F191" s="828"/>
      <c r="G191" s="828"/>
      <c r="H191" s="828"/>
      <c r="I191" s="828"/>
      <c r="J191" s="828"/>
      <c r="K191" s="828"/>
      <c r="L191" s="829"/>
      <c r="M191" s="828"/>
      <c r="N191" s="828"/>
      <c r="O191" s="828"/>
      <c r="P191" s="828"/>
      <c r="Q191" s="828"/>
      <c r="R191" s="828"/>
      <c r="S191" s="829"/>
      <c r="T191" s="828"/>
      <c r="U191" s="828"/>
      <c r="V191" s="828"/>
      <c r="W191" s="828"/>
      <c r="X191" s="828"/>
      <c r="Y191" s="828"/>
      <c r="Z191" s="829"/>
      <c r="AA191" s="828"/>
      <c r="AB191" s="828"/>
      <c r="AC191" s="828"/>
      <c r="AD191" s="828"/>
      <c r="AE191" s="828"/>
      <c r="AF191" s="828"/>
      <c r="AG191" s="829"/>
      <c r="AH191" s="828"/>
      <c r="AI191" s="828"/>
      <c r="AJ191" s="828"/>
      <c r="AK191" s="828"/>
      <c r="AL191" s="828"/>
      <c r="AM191" s="828"/>
      <c r="AN191" s="829"/>
      <c r="AO191" s="828"/>
      <c r="AP191" s="828"/>
      <c r="AQ191" s="828"/>
      <c r="AR191" s="828"/>
      <c r="AS191" s="828"/>
      <c r="AT191" s="828"/>
      <c r="AU191" s="829"/>
      <c r="AV191" s="828"/>
      <c r="AW191" s="828"/>
      <c r="AX191" s="828"/>
      <c r="AY191" s="828"/>
      <c r="AZ191" s="828"/>
      <c r="BA191" s="828"/>
      <c r="BB191" s="829"/>
      <c r="BC191" s="828"/>
      <c r="BD191" s="828"/>
      <c r="BE191" s="828"/>
      <c r="BF191" s="828"/>
      <c r="BG191" s="828"/>
      <c r="BH191" s="828"/>
      <c r="BI191" s="829"/>
      <c r="BJ191" s="828"/>
      <c r="BK191" s="828"/>
      <c r="BL191" s="828"/>
      <c r="BM191" s="828"/>
      <c r="BN191" s="828"/>
      <c r="BO191" s="828"/>
      <c r="BP191" s="829"/>
      <c r="BQ191" s="828"/>
      <c r="BR191" s="828"/>
      <c r="BS191" s="828"/>
      <c r="BT191" s="828"/>
      <c r="BU191" s="828"/>
      <c r="BV191" s="828"/>
      <c r="BW191" s="829"/>
      <c r="BX191" s="828"/>
      <c r="BY191" s="828"/>
      <c r="BZ191" s="828"/>
      <c r="CA191" s="828"/>
      <c r="CB191" s="828"/>
      <c r="CC191" s="828"/>
      <c r="CD191" s="829"/>
      <c r="CE191" s="828"/>
      <c r="CF191" s="828"/>
      <c r="CG191" s="828"/>
      <c r="CH191" s="828"/>
      <c r="CI191" s="828"/>
      <c r="CJ191" s="828"/>
      <c r="CK191" s="829"/>
      <c r="CL191" s="828"/>
    </row>
    <row r="192" spans="1:90">
      <c r="A192" s="148" t="s">
        <v>190</v>
      </c>
      <c r="B192" s="416">
        <v>648620</v>
      </c>
      <c r="C192" s="828"/>
      <c r="D192" s="828"/>
      <c r="E192" s="830" t="s">
        <v>279</v>
      </c>
      <c r="F192" s="828"/>
      <c r="G192" s="828"/>
      <c r="H192" s="828"/>
      <c r="I192" s="828"/>
      <c r="J192" s="828"/>
      <c r="K192" s="828"/>
      <c r="L192" s="830" t="s">
        <v>279</v>
      </c>
      <c r="M192" s="828"/>
      <c r="N192" s="828"/>
      <c r="O192" s="828"/>
      <c r="P192" s="828"/>
      <c r="Q192" s="828"/>
      <c r="R192" s="828"/>
      <c r="S192" s="830" t="s">
        <v>279</v>
      </c>
      <c r="T192" s="828"/>
      <c r="U192" s="828"/>
      <c r="V192" s="828"/>
      <c r="W192" s="828"/>
      <c r="X192" s="828"/>
      <c r="Y192" s="828"/>
      <c r="Z192" s="830" t="s">
        <v>279</v>
      </c>
      <c r="AA192" s="828"/>
      <c r="AB192" s="828"/>
      <c r="AC192" s="828"/>
      <c r="AD192" s="828"/>
      <c r="AE192" s="828"/>
      <c r="AF192" s="828"/>
      <c r="AG192" s="830" t="s">
        <v>279</v>
      </c>
      <c r="AH192" s="828"/>
      <c r="AI192" s="828"/>
      <c r="AJ192" s="828"/>
      <c r="AK192" s="828"/>
      <c r="AL192" s="828"/>
      <c r="AM192" s="828"/>
      <c r="AN192" s="830" t="s">
        <v>279</v>
      </c>
      <c r="AO192" s="828"/>
      <c r="AP192" s="828"/>
      <c r="AQ192" s="828"/>
      <c r="AR192" s="828"/>
      <c r="AS192" s="828"/>
      <c r="AT192" s="828"/>
      <c r="AU192" s="830" t="s">
        <v>279</v>
      </c>
      <c r="AV192" s="828"/>
      <c r="AW192" s="828"/>
      <c r="AX192" s="828"/>
      <c r="AY192" s="828"/>
      <c r="AZ192" s="828"/>
      <c r="BA192" s="828"/>
      <c r="BB192" s="830" t="s">
        <v>279</v>
      </c>
      <c r="BC192" s="828"/>
      <c r="BD192" s="828"/>
      <c r="BE192" s="828"/>
      <c r="BF192" s="828"/>
      <c r="BG192" s="828"/>
      <c r="BH192" s="828"/>
      <c r="BI192" s="830" t="s">
        <v>279</v>
      </c>
      <c r="BJ192" s="828"/>
      <c r="BK192" s="828"/>
      <c r="BL192" s="828"/>
      <c r="BM192" s="828"/>
      <c r="BN192" s="828"/>
      <c r="BO192" s="828"/>
      <c r="BP192" s="830" t="s">
        <v>279</v>
      </c>
      <c r="BQ192" s="828"/>
      <c r="BR192" s="828"/>
      <c r="BS192" s="828"/>
      <c r="BT192" s="828"/>
      <c r="BU192" s="828"/>
      <c r="BV192" s="828"/>
      <c r="BW192" s="830" t="s">
        <v>279</v>
      </c>
      <c r="BX192" s="828"/>
      <c r="BY192" s="828"/>
      <c r="BZ192" s="828"/>
      <c r="CA192" s="828"/>
      <c r="CB192" s="828"/>
      <c r="CC192" s="828"/>
      <c r="CD192" s="830" t="s">
        <v>279</v>
      </c>
      <c r="CE192" s="828"/>
      <c r="CF192" s="828"/>
      <c r="CG192" s="828"/>
      <c r="CH192" s="828"/>
      <c r="CI192" s="828"/>
      <c r="CJ192" s="828"/>
      <c r="CK192" s="830" t="s">
        <v>279</v>
      </c>
      <c r="CL192" s="828"/>
    </row>
    <row r="193" spans="1:90">
      <c r="A193" s="149" t="s">
        <v>193</v>
      </c>
      <c r="B193" s="416">
        <v>652357</v>
      </c>
      <c r="C193" s="828"/>
      <c r="D193" s="828"/>
      <c r="E193" s="830" t="s">
        <v>279</v>
      </c>
      <c r="F193" s="828"/>
      <c r="G193" s="828"/>
      <c r="H193" s="828"/>
      <c r="I193" s="828"/>
      <c r="J193" s="828"/>
      <c r="K193" s="828"/>
      <c r="L193" s="830" t="s">
        <v>279</v>
      </c>
      <c r="M193" s="828"/>
      <c r="N193" s="828"/>
      <c r="O193" s="828"/>
      <c r="P193" s="828"/>
      <c r="Q193" s="828"/>
      <c r="R193" s="828"/>
      <c r="S193" s="830" t="s">
        <v>279</v>
      </c>
      <c r="T193" s="828"/>
      <c r="U193" s="828"/>
      <c r="V193" s="828"/>
      <c r="W193" s="828"/>
      <c r="X193" s="828"/>
      <c r="Y193" s="828"/>
      <c r="Z193" s="830" t="s">
        <v>279</v>
      </c>
      <c r="AA193" s="828"/>
      <c r="AB193" s="828"/>
      <c r="AC193" s="828"/>
      <c r="AD193" s="828"/>
      <c r="AE193" s="828"/>
      <c r="AF193" s="828"/>
      <c r="AG193" s="830" t="s">
        <v>279</v>
      </c>
      <c r="AH193" s="828"/>
      <c r="AI193" s="828"/>
      <c r="AJ193" s="828"/>
      <c r="AK193" s="828"/>
      <c r="AL193" s="828"/>
      <c r="AM193" s="828"/>
      <c r="AN193" s="830" t="s">
        <v>279</v>
      </c>
      <c r="AO193" s="828"/>
      <c r="AP193" s="828"/>
      <c r="AQ193" s="828"/>
      <c r="AR193" s="828"/>
      <c r="AS193" s="828"/>
      <c r="AT193" s="828"/>
      <c r="AU193" s="830" t="s">
        <v>279</v>
      </c>
      <c r="AV193" s="828"/>
      <c r="AW193" s="828"/>
      <c r="AX193" s="828"/>
      <c r="AY193" s="828"/>
      <c r="AZ193" s="828"/>
      <c r="BA193" s="828"/>
      <c r="BB193" s="830" t="s">
        <v>279</v>
      </c>
      <c r="BC193" s="828"/>
      <c r="BD193" s="828"/>
      <c r="BE193" s="828"/>
      <c r="BF193" s="828"/>
      <c r="BG193" s="828"/>
      <c r="BH193" s="828"/>
      <c r="BI193" s="830" t="s">
        <v>279</v>
      </c>
      <c r="BJ193" s="828"/>
      <c r="BK193" s="828"/>
      <c r="BL193" s="828"/>
      <c r="BM193" s="828"/>
      <c r="BN193" s="828"/>
      <c r="BO193" s="828"/>
      <c r="BP193" s="830" t="s">
        <v>279</v>
      </c>
      <c r="BQ193" s="828"/>
      <c r="BR193" s="828"/>
      <c r="BS193" s="828"/>
      <c r="BT193" s="828"/>
      <c r="BU193" s="828"/>
      <c r="BV193" s="828"/>
      <c r="BW193" s="830" t="s">
        <v>279</v>
      </c>
      <c r="BX193" s="828"/>
      <c r="BY193" s="828"/>
      <c r="BZ193" s="828"/>
      <c r="CA193" s="828"/>
      <c r="CB193" s="828"/>
      <c r="CC193" s="828"/>
      <c r="CD193" s="830" t="s">
        <v>279</v>
      </c>
      <c r="CE193" s="828"/>
      <c r="CF193" s="828"/>
      <c r="CG193" s="828"/>
      <c r="CH193" s="828"/>
      <c r="CI193" s="828"/>
      <c r="CJ193" s="828"/>
      <c r="CK193" s="830" t="s">
        <v>279</v>
      </c>
      <c r="CL193" s="828"/>
    </row>
    <row r="194" spans="1:90">
      <c r="A194" s="446" t="s">
        <v>196</v>
      </c>
      <c r="B194" s="481"/>
      <c r="C194" s="828"/>
      <c r="D194" s="828"/>
      <c r="E194" s="830" t="s">
        <v>279</v>
      </c>
      <c r="F194" s="828"/>
      <c r="G194" s="828"/>
      <c r="H194" s="828"/>
      <c r="I194" s="828"/>
      <c r="J194" s="828"/>
      <c r="K194" s="828"/>
      <c r="L194" s="830" t="s">
        <v>279</v>
      </c>
      <c r="M194" s="828"/>
      <c r="N194" s="828"/>
      <c r="O194" s="828"/>
      <c r="P194" s="828"/>
      <c r="Q194" s="828"/>
      <c r="R194" s="828"/>
      <c r="S194" s="830" t="s">
        <v>279</v>
      </c>
      <c r="T194" s="828"/>
      <c r="U194" s="828"/>
      <c r="V194" s="828"/>
      <c r="W194" s="828"/>
      <c r="X194" s="828"/>
      <c r="Y194" s="828"/>
      <c r="Z194" s="830" t="s">
        <v>279</v>
      </c>
      <c r="AA194" s="828"/>
      <c r="AB194" s="828"/>
      <c r="AC194" s="828"/>
      <c r="AD194" s="828"/>
      <c r="AE194" s="828"/>
      <c r="AF194" s="828"/>
      <c r="AG194" s="830" t="s">
        <v>279</v>
      </c>
      <c r="AH194" s="828"/>
      <c r="AI194" s="828"/>
      <c r="AJ194" s="828"/>
      <c r="AK194" s="828"/>
      <c r="AL194" s="828"/>
      <c r="AM194" s="828"/>
      <c r="AN194" s="830" t="s">
        <v>279</v>
      </c>
      <c r="AO194" s="828"/>
      <c r="AP194" s="828"/>
      <c r="AQ194" s="828"/>
      <c r="AR194" s="828"/>
      <c r="AS194" s="828"/>
      <c r="AT194" s="828"/>
      <c r="AU194" s="830" t="s">
        <v>279</v>
      </c>
      <c r="AV194" s="828"/>
      <c r="AW194" s="828"/>
      <c r="AX194" s="828"/>
      <c r="AY194" s="828"/>
      <c r="AZ194" s="828"/>
      <c r="BA194" s="828"/>
      <c r="BB194" s="830" t="s">
        <v>279</v>
      </c>
      <c r="BC194" s="828"/>
      <c r="BD194" s="828"/>
      <c r="BE194" s="828"/>
      <c r="BF194" s="828"/>
      <c r="BG194" s="828"/>
      <c r="BH194" s="828"/>
      <c r="BI194" s="830" t="s">
        <v>279</v>
      </c>
      <c r="BJ194" s="828"/>
      <c r="BK194" s="828"/>
      <c r="BL194" s="828"/>
      <c r="BM194" s="828"/>
      <c r="BN194" s="828"/>
      <c r="BO194" s="828"/>
      <c r="BP194" s="830" t="s">
        <v>279</v>
      </c>
      <c r="BQ194" s="828"/>
      <c r="BR194" s="828"/>
      <c r="BS194" s="828"/>
      <c r="BT194" s="828"/>
      <c r="BU194" s="828"/>
      <c r="BV194" s="828"/>
      <c r="BW194" s="830" t="s">
        <v>279</v>
      </c>
      <c r="BX194" s="828"/>
      <c r="BY194" s="828"/>
      <c r="BZ194" s="828"/>
      <c r="CA194" s="828"/>
      <c r="CB194" s="828"/>
      <c r="CC194" s="828"/>
      <c r="CD194" s="830" t="s">
        <v>279</v>
      </c>
      <c r="CE194" s="828"/>
      <c r="CF194" s="828"/>
      <c r="CG194" s="828"/>
      <c r="CH194" s="828"/>
      <c r="CI194" s="828"/>
      <c r="CJ194" s="828"/>
      <c r="CK194" s="830" t="s">
        <v>279</v>
      </c>
      <c r="CL194" s="828"/>
    </row>
    <row r="195" spans="1:90">
      <c r="A195" s="149" t="s">
        <v>198</v>
      </c>
      <c r="B195" s="416">
        <v>655089</v>
      </c>
      <c r="C195" s="828"/>
      <c r="D195" s="828"/>
      <c r="E195" s="830" t="s">
        <v>279</v>
      </c>
      <c r="F195" s="828"/>
      <c r="G195" s="828"/>
      <c r="H195" s="828"/>
      <c r="I195" s="828"/>
      <c r="J195" s="828"/>
      <c r="K195" s="828"/>
      <c r="L195" s="830" t="s">
        <v>279</v>
      </c>
      <c r="M195" s="828"/>
      <c r="N195" s="828"/>
      <c r="O195" s="828"/>
      <c r="P195" s="828"/>
      <c r="Q195" s="828"/>
      <c r="R195" s="828"/>
      <c r="S195" s="830" t="s">
        <v>279</v>
      </c>
      <c r="T195" s="828"/>
      <c r="U195" s="828"/>
      <c r="V195" s="828"/>
      <c r="W195" s="828"/>
      <c r="X195" s="828"/>
      <c r="Y195" s="828"/>
      <c r="Z195" s="830" t="s">
        <v>279</v>
      </c>
      <c r="AA195" s="828"/>
      <c r="AB195" s="828"/>
      <c r="AC195" s="828"/>
      <c r="AD195" s="828"/>
      <c r="AE195" s="828"/>
      <c r="AF195" s="828"/>
      <c r="AG195" s="830" t="s">
        <v>279</v>
      </c>
      <c r="AH195" s="828"/>
      <c r="AI195" s="828"/>
      <c r="AJ195" s="828"/>
      <c r="AK195" s="828"/>
      <c r="AL195" s="828"/>
      <c r="AM195" s="828"/>
      <c r="AN195" s="830" t="s">
        <v>279</v>
      </c>
      <c r="AO195" s="828"/>
      <c r="AP195" s="828"/>
      <c r="AQ195" s="828"/>
      <c r="AR195" s="828"/>
      <c r="AS195" s="828"/>
      <c r="AT195" s="828"/>
      <c r="AU195" s="830" t="s">
        <v>279</v>
      </c>
      <c r="AV195" s="828"/>
      <c r="AW195" s="828"/>
      <c r="AX195" s="828"/>
      <c r="AY195" s="828"/>
      <c r="AZ195" s="828"/>
      <c r="BA195" s="828"/>
      <c r="BB195" s="830" t="s">
        <v>279</v>
      </c>
      <c r="BC195" s="828"/>
      <c r="BD195" s="828"/>
      <c r="BE195" s="828"/>
      <c r="BF195" s="828"/>
      <c r="BG195" s="828"/>
      <c r="BH195" s="828"/>
      <c r="BI195" s="830" t="s">
        <v>279</v>
      </c>
      <c r="BJ195" s="828"/>
      <c r="BK195" s="828"/>
      <c r="BL195" s="828"/>
      <c r="BM195" s="828"/>
      <c r="BN195" s="828"/>
      <c r="BO195" s="828"/>
      <c r="BP195" s="830" t="s">
        <v>279</v>
      </c>
      <c r="BQ195" s="828"/>
      <c r="BR195" s="828"/>
      <c r="BS195" s="828"/>
      <c r="BT195" s="828"/>
      <c r="BU195" s="828"/>
      <c r="BV195" s="828"/>
      <c r="BW195" s="830" t="s">
        <v>279</v>
      </c>
      <c r="BX195" s="828"/>
      <c r="BY195" s="828"/>
      <c r="BZ195" s="828"/>
      <c r="CA195" s="828"/>
      <c r="CB195" s="828"/>
      <c r="CC195" s="828"/>
      <c r="CD195" s="830" t="s">
        <v>279</v>
      </c>
      <c r="CE195" s="828"/>
      <c r="CF195" s="828"/>
      <c r="CG195" s="828"/>
      <c r="CH195" s="828"/>
      <c r="CI195" s="828"/>
      <c r="CJ195" s="828"/>
      <c r="CK195" s="830" t="s">
        <v>279</v>
      </c>
      <c r="CL195" s="828"/>
    </row>
    <row r="196" spans="1:90">
      <c r="A196" s="150" t="s">
        <v>199</v>
      </c>
      <c r="B196" s="416">
        <v>649364</v>
      </c>
      <c r="C196" s="828"/>
      <c r="D196" s="828"/>
      <c r="E196" s="830" t="s">
        <v>279</v>
      </c>
      <c r="F196" s="828"/>
      <c r="G196" s="828"/>
      <c r="H196" s="828"/>
      <c r="I196" s="828"/>
      <c r="J196" s="828"/>
      <c r="K196" s="828"/>
      <c r="L196" s="830" t="s">
        <v>279</v>
      </c>
      <c r="M196" s="828"/>
      <c r="N196" s="828"/>
      <c r="O196" s="828"/>
      <c r="P196" s="828"/>
      <c r="Q196" s="828"/>
      <c r="R196" s="828"/>
      <c r="S196" s="830" t="s">
        <v>279</v>
      </c>
      <c r="T196" s="828"/>
      <c r="U196" s="828"/>
      <c r="V196" s="828"/>
      <c r="W196" s="828"/>
      <c r="X196" s="828"/>
      <c r="Y196" s="828"/>
      <c r="Z196" s="830" t="s">
        <v>280</v>
      </c>
      <c r="AA196" s="828"/>
      <c r="AB196" s="828"/>
      <c r="AC196" s="828"/>
      <c r="AD196" s="828"/>
      <c r="AE196" s="828"/>
      <c r="AF196" s="828"/>
      <c r="AG196" s="830" t="s">
        <v>280</v>
      </c>
      <c r="AH196" s="828"/>
      <c r="AI196" s="828"/>
      <c r="AJ196" s="828"/>
      <c r="AK196" s="828"/>
      <c r="AL196" s="828"/>
      <c r="AM196" s="828"/>
      <c r="AN196" s="830" t="s">
        <v>280</v>
      </c>
      <c r="AO196" s="828"/>
      <c r="AP196" s="828"/>
      <c r="AQ196" s="828"/>
      <c r="AR196" s="828"/>
      <c r="AS196" s="828"/>
      <c r="AT196" s="828"/>
      <c r="AU196" s="830" t="s">
        <v>280</v>
      </c>
      <c r="AV196" s="828"/>
      <c r="AW196" s="828"/>
      <c r="AX196" s="828"/>
      <c r="AY196" s="828"/>
      <c r="AZ196" s="828"/>
      <c r="BA196" s="828"/>
      <c r="BB196" s="830" t="s">
        <v>280</v>
      </c>
      <c r="BC196" s="828"/>
      <c r="BD196" s="828"/>
      <c r="BE196" s="828"/>
      <c r="BF196" s="828"/>
      <c r="BG196" s="828"/>
      <c r="BH196" s="828"/>
      <c r="BI196" s="830" t="s">
        <v>280</v>
      </c>
      <c r="BJ196" s="828"/>
      <c r="BK196" s="828"/>
      <c r="BL196" s="828"/>
      <c r="BM196" s="828"/>
      <c r="BN196" s="828"/>
      <c r="BO196" s="828"/>
      <c r="BP196" s="830" t="s">
        <v>280</v>
      </c>
      <c r="BQ196" s="828"/>
      <c r="BR196" s="828"/>
      <c r="BS196" s="828"/>
      <c r="BT196" s="828"/>
      <c r="BU196" s="828"/>
      <c r="BV196" s="828"/>
      <c r="BW196" s="830" t="s">
        <v>280</v>
      </c>
      <c r="BX196" s="828"/>
      <c r="BY196" s="828"/>
      <c r="BZ196" s="828"/>
      <c r="CA196" s="828"/>
      <c r="CB196" s="828"/>
      <c r="CC196" s="828"/>
      <c r="CD196" s="830" t="s">
        <v>280</v>
      </c>
      <c r="CE196" s="828"/>
      <c r="CF196" s="828"/>
      <c r="CG196" s="828"/>
      <c r="CH196" s="828"/>
      <c r="CI196" s="828"/>
      <c r="CJ196" s="828"/>
      <c r="CK196" s="830" t="s">
        <v>280</v>
      </c>
      <c r="CL196" s="828"/>
    </row>
    <row r="197" spans="1:90">
      <c r="A197" s="151" t="s">
        <v>200</v>
      </c>
      <c r="B197" s="416">
        <v>700872</v>
      </c>
      <c r="C197" s="828"/>
      <c r="D197" s="828"/>
      <c r="E197" s="830" t="s">
        <v>279</v>
      </c>
      <c r="F197" s="828"/>
      <c r="G197" s="828"/>
      <c r="H197" s="828"/>
      <c r="I197" s="828"/>
      <c r="J197" s="828"/>
      <c r="K197" s="828"/>
      <c r="L197" s="830" t="s">
        <v>279</v>
      </c>
      <c r="M197" s="828"/>
      <c r="N197" s="828"/>
      <c r="O197" s="828"/>
      <c r="P197" s="828"/>
      <c r="Q197" s="828"/>
      <c r="R197" s="828"/>
      <c r="S197" s="830" t="s">
        <v>279</v>
      </c>
      <c r="T197" s="828"/>
      <c r="U197" s="828"/>
      <c r="V197" s="828"/>
      <c r="W197" s="828"/>
      <c r="X197" s="828"/>
      <c r="Y197" s="828"/>
      <c r="Z197" s="830" t="s">
        <v>279</v>
      </c>
      <c r="AA197" s="828"/>
      <c r="AB197" s="828"/>
      <c r="AC197" s="828"/>
      <c r="AD197" s="828"/>
      <c r="AE197" s="828"/>
      <c r="AF197" s="828"/>
      <c r="AG197" s="830" t="s">
        <v>279</v>
      </c>
      <c r="AH197" s="828"/>
      <c r="AI197" s="828"/>
      <c r="AJ197" s="828"/>
      <c r="AK197" s="828"/>
      <c r="AL197" s="828"/>
      <c r="AM197" s="828"/>
      <c r="AN197" s="830" t="s">
        <v>279</v>
      </c>
      <c r="AO197" s="828"/>
      <c r="AP197" s="828"/>
      <c r="AQ197" s="828"/>
      <c r="AR197" s="828"/>
      <c r="AS197" s="828"/>
      <c r="AT197" s="828"/>
      <c r="AU197" s="830" t="s">
        <v>279</v>
      </c>
      <c r="AV197" s="828"/>
      <c r="AW197" s="828"/>
      <c r="AX197" s="828"/>
      <c r="AY197" s="828"/>
      <c r="AZ197" s="828"/>
      <c r="BA197" s="828"/>
      <c r="BB197" s="830" t="s">
        <v>279</v>
      </c>
      <c r="BC197" s="828"/>
      <c r="BD197" s="828"/>
      <c r="BE197" s="828"/>
      <c r="BF197" s="828"/>
      <c r="BG197" s="828"/>
      <c r="BH197" s="828"/>
      <c r="BI197" s="830" t="s">
        <v>279</v>
      </c>
      <c r="BJ197" s="828"/>
      <c r="BK197" s="828"/>
      <c r="BL197" s="828"/>
      <c r="BM197" s="828"/>
      <c r="BN197" s="828"/>
      <c r="BO197" s="828"/>
      <c r="BP197" s="830" t="s">
        <v>279</v>
      </c>
      <c r="BQ197" s="828"/>
      <c r="BR197" s="828"/>
      <c r="BS197" s="828"/>
      <c r="BT197" s="828"/>
      <c r="BU197" s="828"/>
      <c r="BV197" s="828"/>
      <c r="BW197" s="830" t="s">
        <v>279</v>
      </c>
      <c r="BX197" s="828"/>
      <c r="BY197" s="828"/>
      <c r="BZ197" s="828"/>
      <c r="CA197" s="828"/>
      <c r="CB197" s="828"/>
      <c r="CC197" s="828"/>
      <c r="CD197" s="830" t="s">
        <v>279</v>
      </c>
      <c r="CE197" s="828"/>
      <c r="CF197" s="828"/>
      <c r="CG197" s="828"/>
      <c r="CH197" s="828"/>
      <c r="CI197" s="828"/>
      <c r="CJ197" s="828"/>
      <c r="CK197" s="830" t="s">
        <v>279</v>
      </c>
      <c r="CL197" s="828"/>
    </row>
    <row r="198" spans="1:90">
      <c r="A198" s="449" t="s">
        <v>202</v>
      </c>
      <c r="B198" s="481"/>
      <c r="C198" s="828"/>
      <c r="D198" s="828"/>
      <c r="E198" s="830" t="s">
        <v>279</v>
      </c>
      <c r="F198" s="828"/>
      <c r="G198" s="828"/>
      <c r="H198" s="828"/>
      <c r="I198" s="828"/>
      <c r="J198" s="828"/>
      <c r="K198" s="828"/>
      <c r="L198" s="830" t="s">
        <v>279</v>
      </c>
      <c r="M198" s="828"/>
      <c r="N198" s="828"/>
      <c r="O198" s="828"/>
      <c r="P198" s="828"/>
      <c r="Q198" s="828"/>
      <c r="R198" s="828"/>
      <c r="S198" s="830" t="s">
        <v>279</v>
      </c>
      <c r="T198" s="828"/>
      <c r="U198" s="828"/>
      <c r="V198" s="828"/>
      <c r="W198" s="828"/>
      <c r="X198" s="828"/>
      <c r="Y198" s="828"/>
      <c r="Z198" s="830" t="s">
        <v>279</v>
      </c>
      <c r="AA198" s="828"/>
      <c r="AB198" s="828"/>
      <c r="AC198" s="828"/>
      <c r="AD198" s="828"/>
      <c r="AE198" s="828"/>
      <c r="AF198" s="828"/>
      <c r="AG198" s="830" t="s">
        <v>279</v>
      </c>
      <c r="AH198" s="828"/>
      <c r="AI198" s="828"/>
      <c r="AJ198" s="828"/>
      <c r="AK198" s="828"/>
      <c r="AL198" s="828"/>
      <c r="AM198" s="828"/>
      <c r="AN198" s="830" t="s">
        <v>279</v>
      </c>
      <c r="AO198" s="828"/>
      <c r="AP198" s="828"/>
      <c r="AQ198" s="828"/>
      <c r="AR198" s="828"/>
      <c r="AS198" s="828"/>
      <c r="AT198" s="828"/>
      <c r="AU198" s="830" t="s">
        <v>279</v>
      </c>
      <c r="AV198" s="828"/>
      <c r="AW198" s="828"/>
      <c r="AX198" s="828"/>
      <c r="AY198" s="828"/>
      <c r="AZ198" s="828"/>
      <c r="BA198" s="828"/>
      <c r="BB198" s="830" t="s">
        <v>279</v>
      </c>
      <c r="BC198" s="828"/>
      <c r="BD198" s="828"/>
      <c r="BE198" s="828"/>
      <c r="BF198" s="828"/>
      <c r="BG198" s="828"/>
      <c r="BH198" s="828"/>
      <c r="BI198" s="830" t="s">
        <v>279</v>
      </c>
      <c r="BJ198" s="828"/>
      <c r="BK198" s="828"/>
      <c r="BL198" s="828"/>
      <c r="BM198" s="828"/>
      <c r="BN198" s="828"/>
      <c r="BO198" s="828"/>
      <c r="BP198" s="830" t="s">
        <v>279</v>
      </c>
      <c r="BQ198" s="828"/>
      <c r="BR198" s="828"/>
      <c r="BS198" s="828"/>
      <c r="BT198" s="828"/>
      <c r="BU198" s="828"/>
      <c r="BV198" s="828"/>
      <c r="BW198" s="830" t="s">
        <v>279</v>
      </c>
      <c r="BX198" s="828"/>
      <c r="BY198" s="828"/>
      <c r="BZ198" s="828"/>
      <c r="CA198" s="828"/>
      <c r="CB198" s="828"/>
      <c r="CC198" s="828"/>
      <c r="CD198" s="830" t="s">
        <v>279</v>
      </c>
      <c r="CE198" s="828"/>
      <c r="CF198" s="828"/>
      <c r="CG198" s="828"/>
      <c r="CH198" s="828"/>
      <c r="CI198" s="828"/>
      <c r="CJ198" s="828"/>
      <c r="CK198" s="830" t="s">
        <v>279</v>
      </c>
      <c r="CL198" s="828"/>
    </row>
    <row r="199" spans="1:90">
      <c r="A199" s="152" t="s">
        <v>204</v>
      </c>
      <c r="B199" s="416">
        <v>652868</v>
      </c>
      <c r="C199" s="828"/>
      <c r="D199" s="828"/>
      <c r="E199" s="830" t="s">
        <v>279</v>
      </c>
      <c r="F199" s="828"/>
      <c r="G199" s="828"/>
      <c r="H199" s="828"/>
      <c r="I199" s="828"/>
      <c r="J199" s="828"/>
      <c r="K199" s="828"/>
      <c r="L199" s="830" t="s">
        <v>279</v>
      </c>
      <c r="M199" s="828"/>
      <c r="N199" s="828"/>
      <c r="O199" s="828"/>
      <c r="P199" s="828"/>
      <c r="Q199" s="828"/>
      <c r="R199" s="828"/>
      <c r="S199" s="830" t="s">
        <v>279</v>
      </c>
      <c r="T199" s="828"/>
      <c r="U199" s="828"/>
      <c r="V199" s="828"/>
      <c r="W199" s="828"/>
      <c r="X199" s="828"/>
      <c r="Y199" s="828"/>
      <c r="Z199" s="830" t="s">
        <v>280</v>
      </c>
      <c r="AA199" s="828"/>
      <c r="AB199" s="828"/>
      <c r="AC199" s="828"/>
      <c r="AD199" s="828"/>
      <c r="AE199" s="828"/>
      <c r="AF199" s="828"/>
      <c r="AG199" s="830" t="s">
        <v>280</v>
      </c>
      <c r="AH199" s="828"/>
      <c r="AI199" s="828"/>
      <c r="AJ199" s="828"/>
      <c r="AK199" s="828"/>
      <c r="AL199" s="828"/>
      <c r="AM199" s="828"/>
      <c r="AN199" s="830" t="s">
        <v>280</v>
      </c>
      <c r="AO199" s="828"/>
      <c r="AP199" s="828"/>
      <c r="AQ199" s="828"/>
      <c r="AR199" s="828"/>
      <c r="AS199" s="828"/>
      <c r="AT199" s="828"/>
      <c r="AU199" s="830" t="s">
        <v>280</v>
      </c>
      <c r="AV199" s="828"/>
      <c r="AW199" s="828"/>
      <c r="AX199" s="828"/>
      <c r="AY199" s="828"/>
      <c r="AZ199" s="828"/>
      <c r="BA199" s="828"/>
      <c r="BB199" s="830" t="s">
        <v>280</v>
      </c>
      <c r="BC199" s="828"/>
      <c r="BD199" s="828"/>
      <c r="BE199" s="828"/>
      <c r="BF199" s="828"/>
      <c r="BG199" s="828"/>
      <c r="BH199" s="828"/>
      <c r="BI199" s="830" t="s">
        <v>280</v>
      </c>
      <c r="BJ199" s="828"/>
      <c r="BK199" s="828"/>
      <c r="BL199" s="828"/>
      <c r="BM199" s="828"/>
      <c r="BN199" s="828"/>
      <c r="BO199" s="828"/>
      <c r="BP199" s="830" t="s">
        <v>280</v>
      </c>
      <c r="BQ199" s="828"/>
      <c r="BR199" s="828"/>
      <c r="BS199" s="828"/>
      <c r="BT199" s="828"/>
      <c r="BU199" s="828"/>
      <c r="BV199" s="828"/>
      <c r="BW199" s="830" t="s">
        <v>280</v>
      </c>
      <c r="BX199" s="828"/>
      <c r="BY199" s="828"/>
      <c r="BZ199" s="828"/>
      <c r="CA199" s="828"/>
      <c r="CB199" s="828"/>
      <c r="CC199" s="828"/>
      <c r="CD199" s="830" t="s">
        <v>280</v>
      </c>
      <c r="CE199" s="828"/>
      <c r="CF199" s="828"/>
      <c r="CG199" s="828"/>
      <c r="CH199" s="828"/>
      <c r="CI199" s="828"/>
      <c r="CJ199" s="828"/>
      <c r="CK199" s="830" t="s">
        <v>280</v>
      </c>
      <c r="CL199" s="828"/>
    </row>
    <row r="200" spans="1:90">
      <c r="A200" s="149" t="s">
        <v>205</v>
      </c>
      <c r="B200" s="416">
        <v>652998</v>
      </c>
      <c r="C200" s="828"/>
      <c r="D200" s="828"/>
      <c r="E200" s="830" t="s">
        <v>279</v>
      </c>
      <c r="F200" s="828"/>
      <c r="G200" s="828"/>
      <c r="H200" s="828"/>
      <c r="I200" s="828"/>
      <c r="J200" s="828"/>
      <c r="K200" s="828"/>
      <c r="L200" s="830" t="s">
        <v>279</v>
      </c>
      <c r="M200" s="828"/>
      <c r="N200" s="828"/>
      <c r="O200" s="828"/>
      <c r="P200" s="828"/>
      <c r="Q200" s="828"/>
      <c r="R200" s="828"/>
      <c r="S200" s="830" t="s">
        <v>279</v>
      </c>
      <c r="T200" s="828"/>
      <c r="U200" s="828"/>
      <c r="V200" s="828"/>
      <c r="W200" s="828"/>
      <c r="X200" s="828"/>
      <c r="Y200" s="828"/>
      <c r="Z200" s="830" t="s">
        <v>280</v>
      </c>
      <c r="AA200" s="828"/>
      <c r="AB200" s="828"/>
      <c r="AC200" s="828"/>
      <c r="AD200" s="828"/>
      <c r="AE200" s="828"/>
      <c r="AF200" s="828"/>
      <c r="AG200" s="830" t="s">
        <v>280</v>
      </c>
      <c r="AH200" s="828"/>
      <c r="AI200" s="828"/>
      <c r="AJ200" s="828"/>
      <c r="AK200" s="828"/>
      <c r="AL200" s="828"/>
      <c r="AM200" s="828"/>
      <c r="AN200" s="830" t="s">
        <v>280</v>
      </c>
      <c r="AO200" s="828"/>
      <c r="AP200" s="828"/>
      <c r="AQ200" s="828"/>
      <c r="AR200" s="828"/>
      <c r="AS200" s="828"/>
      <c r="AT200" s="828"/>
      <c r="AU200" s="830" t="s">
        <v>280</v>
      </c>
      <c r="AV200" s="828"/>
      <c r="AW200" s="828"/>
      <c r="AX200" s="828"/>
      <c r="AY200" s="828"/>
      <c r="AZ200" s="828"/>
      <c r="BA200" s="828"/>
      <c r="BB200" s="830" t="s">
        <v>280</v>
      </c>
      <c r="BC200" s="828"/>
      <c r="BD200" s="828"/>
      <c r="BE200" s="828"/>
      <c r="BF200" s="828"/>
      <c r="BG200" s="828"/>
      <c r="BH200" s="828"/>
      <c r="BI200" s="830" t="s">
        <v>280</v>
      </c>
      <c r="BJ200" s="828"/>
      <c r="BK200" s="828"/>
      <c r="BL200" s="828"/>
      <c r="BM200" s="828"/>
      <c r="BN200" s="828"/>
      <c r="BO200" s="828"/>
      <c r="BP200" s="830" t="s">
        <v>280</v>
      </c>
      <c r="BQ200" s="828"/>
      <c r="BR200" s="828"/>
      <c r="BS200" s="828"/>
      <c r="BT200" s="828"/>
      <c r="BU200" s="828"/>
      <c r="BV200" s="828"/>
      <c r="BW200" s="830" t="s">
        <v>280</v>
      </c>
      <c r="BX200" s="828"/>
      <c r="BY200" s="828"/>
      <c r="BZ200" s="828"/>
      <c r="CA200" s="828"/>
      <c r="CB200" s="828"/>
      <c r="CC200" s="828"/>
      <c r="CD200" s="830" t="s">
        <v>280</v>
      </c>
      <c r="CE200" s="828"/>
      <c r="CF200" s="828"/>
      <c r="CG200" s="828"/>
      <c r="CH200" s="828"/>
      <c r="CI200" s="828"/>
      <c r="CJ200" s="828"/>
      <c r="CK200" s="830" t="s">
        <v>280</v>
      </c>
      <c r="CL200" s="828"/>
    </row>
    <row r="201" spans="1:90">
      <c r="A201" s="153" t="s">
        <v>206</v>
      </c>
      <c r="B201" s="481"/>
      <c r="C201" s="828"/>
      <c r="D201" s="828"/>
      <c r="E201" s="830" t="s">
        <v>279</v>
      </c>
      <c r="F201" s="828"/>
      <c r="G201" s="828"/>
      <c r="H201" s="828"/>
      <c r="I201" s="828"/>
      <c r="J201" s="828"/>
      <c r="K201" s="828"/>
      <c r="L201" s="830" t="s">
        <v>279</v>
      </c>
      <c r="M201" s="828"/>
      <c r="N201" s="828"/>
      <c r="O201" s="828"/>
      <c r="P201" s="828"/>
      <c r="Q201" s="828"/>
      <c r="R201" s="828"/>
      <c r="S201" s="830" t="s">
        <v>279</v>
      </c>
      <c r="T201" s="828"/>
      <c r="U201" s="828"/>
      <c r="V201" s="828"/>
      <c r="W201" s="828"/>
      <c r="X201" s="828"/>
      <c r="Y201" s="828"/>
      <c r="Z201" s="830" t="s">
        <v>279</v>
      </c>
      <c r="AA201" s="828"/>
      <c r="AB201" s="828"/>
      <c r="AC201" s="828"/>
      <c r="AD201" s="828"/>
      <c r="AE201" s="828"/>
      <c r="AF201" s="828"/>
      <c r="AG201" s="830" t="s">
        <v>279</v>
      </c>
      <c r="AH201" s="828"/>
      <c r="AI201" s="828"/>
      <c r="AJ201" s="828"/>
      <c r="AK201" s="828"/>
      <c r="AL201" s="828"/>
      <c r="AM201" s="828"/>
      <c r="AN201" s="830" t="s">
        <v>279</v>
      </c>
      <c r="AO201" s="828"/>
      <c r="AP201" s="828"/>
      <c r="AQ201" s="828"/>
      <c r="AR201" s="828"/>
      <c r="AS201" s="828"/>
      <c r="AT201" s="828"/>
      <c r="AU201" s="830" t="s">
        <v>279</v>
      </c>
      <c r="AV201" s="828"/>
      <c r="AW201" s="828"/>
      <c r="AX201" s="828"/>
      <c r="AY201" s="828"/>
      <c r="AZ201" s="828"/>
      <c r="BA201" s="828"/>
      <c r="BB201" s="830" t="s">
        <v>279</v>
      </c>
      <c r="BC201" s="828"/>
      <c r="BD201" s="828"/>
      <c r="BE201" s="828"/>
      <c r="BF201" s="828"/>
      <c r="BG201" s="828"/>
      <c r="BH201" s="828"/>
      <c r="BI201" s="830" t="s">
        <v>279</v>
      </c>
      <c r="BJ201" s="828"/>
      <c r="BK201" s="828"/>
      <c r="BL201" s="828"/>
      <c r="BM201" s="828"/>
      <c r="BN201" s="828"/>
      <c r="BO201" s="828"/>
      <c r="BP201" s="830" t="s">
        <v>279</v>
      </c>
      <c r="BQ201" s="828"/>
      <c r="BR201" s="828"/>
      <c r="BS201" s="828"/>
      <c r="BT201" s="828"/>
      <c r="BU201" s="828"/>
      <c r="BV201" s="828"/>
      <c r="BW201" s="830" t="s">
        <v>279</v>
      </c>
      <c r="BX201" s="828"/>
      <c r="BY201" s="828"/>
      <c r="BZ201" s="828"/>
      <c r="CA201" s="828"/>
      <c r="CB201" s="828"/>
      <c r="CC201" s="828"/>
      <c r="CD201" s="830" t="s">
        <v>279</v>
      </c>
      <c r="CE201" s="828"/>
      <c r="CF201" s="828"/>
      <c r="CG201" s="828"/>
      <c r="CH201" s="828"/>
      <c r="CI201" s="828"/>
      <c r="CJ201" s="828"/>
      <c r="CK201" s="830" t="s">
        <v>279</v>
      </c>
      <c r="CL201" s="828"/>
    </row>
    <row r="202" spans="1:90">
      <c r="A202" s="446" t="s">
        <v>207</v>
      </c>
      <c r="B202" s="416">
        <v>654981</v>
      </c>
      <c r="C202" s="828"/>
      <c r="D202" s="828"/>
      <c r="E202" s="830" t="s">
        <v>279</v>
      </c>
      <c r="F202" s="828"/>
      <c r="G202" s="828"/>
      <c r="H202" s="828"/>
      <c r="I202" s="828"/>
      <c r="J202" s="828"/>
      <c r="K202" s="828"/>
      <c r="L202" s="830" t="s">
        <v>279</v>
      </c>
      <c r="M202" s="828"/>
      <c r="N202" s="828"/>
      <c r="O202" s="828"/>
      <c r="P202" s="828"/>
      <c r="Q202" s="828"/>
      <c r="R202" s="828"/>
      <c r="S202" s="830" t="s">
        <v>279</v>
      </c>
      <c r="T202" s="828"/>
      <c r="U202" s="828"/>
      <c r="V202" s="828"/>
      <c r="W202" s="828"/>
      <c r="X202" s="828"/>
      <c r="Y202" s="828"/>
      <c r="Z202" s="830" t="s">
        <v>280</v>
      </c>
      <c r="AA202" s="828"/>
      <c r="AB202" s="828"/>
      <c r="AC202" s="828"/>
      <c r="AD202" s="828"/>
      <c r="AE202" s="828"/>
      <c r="AF202" s="828"/>
      <c r="AG202" s="830" t="s">
        <v>280</v>
      </c>
      <c r="AH202" s="828"/>
      <c r="AI202" s="828"/>
      <c r="AJ202" s="828"/>
      <c r="AK202" s="828"/>
      <c r="AL202" s="828"/>
      <c r="AM202" s="828"/>
      <c r="AN202" s="830" t="s">
        <v>280</v>
      </c>
      <c r="AO202" s="828"/>
      <c r="AP202" s="828"/>
      <c r="AQ202" s="828"/>
      <c r="AR202" s="828"/>
      <c r="AS202" s="828"/>
      <c r="AT202" s="828"/>
      <c r="AU202" s="830" t="s">
        <v>280</v>
      </c>
      <c r="AV202" s="828"/>
      <c r="AW202" s="828"/>
      <c r="AX202" s="828"/>
      <c r="AY202" s="828"/>
      <c r="AZ202" s="828"/>
      <c r="BA202" s="828"/>
      <c r="BB202" s="830" t="s">
        <v>280</v>
      </c>
      <c r="BC202" s="828"/>
      <c r="BD202" s="828"/>
      <c r="BE202" s="828"/>
      <c r="BF202" s="828"/>
      <c r="BG202" s="828"/>
      <c r="BH202" s="828"/>
      <c r="BI202" s="830" t="s">
        <v>280</v>
      </c>
      <c r="BJ202" s="828"/>
      <c r="BK202" s="828"/>
      <c r="BL202" s="828"/>
      <c r="BM202" s="828"/>
      <c r="BN202" s="828"/>
      <c r="BO202" s="828"/>
      <c r="BP202" s="830" t="s">
        <v>280</v>
      </c>
      <c r="BQ202" s="828"/>
      <c r="BR202" s="828"/>
      <c r="BS202" s="828"/>
      <c r="BT202" s="828"/>
      <c r="BU202" s="828"/>
      <c r="BV202" s="828"/>
      <c r="BW202" s="830" t="s">
        <v>280</v>
      </c>
      <c r="BX202" s="828"/>
      <c r="BY202" s="828"/>
      <c r="BZ202" s="828"/>
      <c r="CA202" s="828"/>
      <c r="CB202" s="828"/>
      <c r="CC202" s="828"/>
      <c r="CD202" s="830" t="s">
        <v>280</v>
      </c>
      <c r="CE202" s="828"/>
      <c r="CF202" s="828"/>
      <c r="CG202" s="828"/>
      <c r="CH202" s="828"/>
      <c r="CI202" s="828"/>
      <c r="CJ202" s="828"/>
      <c r="CK202" s="830" t="s">
        <v>280</v>
      </c>
      <c r="CL202" s="828"/>
    </row>
    <row r="203" spans="1:90">
      <c r="A203" s="450" t="s">
        <v>208</v>
      </c>
      <c r="B203" s="416">
        <v>703795</v>
      </c>
      <c r="C203" s="828"/>
      <c r="D203" s="828"/>
      <c r="E203" s="830" t="s">
        <v>284</v>
      </c>
      <c r="F203" s="828"/>
      <c r="G203" s="828"/>
      <c r="H203" s="828"/>
      <c r="I203" s="828"/>
      <c r="J203" s="828"/>
      <c r="K203" s="828"/>
      <c r="L203" s="830" t="s">
        <v>284</v>
      </c>
      <c r="M203" s="828"/>
      <c r="N203" s="828"/>
      <c r="O203" s="828"/>
      <c r="P203" s="828"/>
      <c r="Q203" s="828"/>
      <c r="R203" s="828"/>
      <c r="S203" s="830" t="s">
        <v>284</v>
      </c>
      <c r="T203" s="828"/>
      <c r="U203" s="828"/>
      <c r="V203" s="828"/>
      <c r="W203" s="828"/>
      <c r="X203" s="828"/>
      <c r="Y203" s="828"/>
      <c r="Z203" s="830" t="s">
        <v>280</v>
      </c>
      <c r="AA203" s="828"/>
      <c r="AB203" s="828"/>
      <c r="AC203" s="828"/>
      <c r="AD203" s="828"/>
      <c r="AE203" s="828"/>
      <c r="AF203" s="828"/>
      <c r="AG203" s="830" t="s">
        <v>280</v>
      </c>
      <c r="AH203" s="828"/>
      <c r="AI203" s="828"/>
      <c r="AJ203" s="828"/>
      <c r="AK203" s="828"/>
      <c r="AL203" s="828"/>
      <c r="AM203" s="828"/>
      <c r="AN203" s="830" t="s">
        <v>280</v>
      </c>
      <c r="AO203" s="828"/>
      <c r="AP203" s="828"/>
      <c r="AQ203" s="828"/>
      <c r="AR203" s="828"/>
      <c r="AS203" s="828"/>
      <c r="AT203" s="828"/>
      <c r="AU203" s="830" t="s">
        <v>280</v>
      </c>
      <c r="AV203" s="828"/>
      <c r="AW203" s="828"/>
      <c r="AX203" s="828"/>
      <c r="AY203" s="828"/>
      <c r="AZ203" s="828"/>
      <c r="BA203" s="828"/>
      <c r="BB203" s="830" t="s">
        <v>280</v>
      </c>
      <c r="BC203" s="828"/>
      <c r="BD203" s="828"/>
      <c r="BE203" s="828"/>
      <c r="BF203" s="828"/>
      <c r="BG203" s="828"/>
      <c r="BH203" s="828"/>
      <c r="BI203" s="830" t="s">
        <v>280</v>
      </c>
      <c r="BJ203" s="828"/>
      <c r="BK203" s="828"/>
      <c r="BL203" s="828"/>
      <c r="BM203" s="828"/>
      <c r="BN203" s="828"/>
      <c r="BO203" s="828"/>
      <c r="BP203" s="830" t="s">
        <v>280</v>
      </c>
      <c r="BQ203" s="828"/>
      <c r="BR203" s="828"/>
      <c r="BS203" s="828"/>
      <c r="BT203" s="828"/>
      <c r="BU203" s="828"/>
      <c r="BV203" s="828"/>
      <c r="BW203" s="830" t="s">
        <v>280</v>
      </c>
      <c r="BX203" s="828"/>
      <c r="BY203" s="828"/>
      <c r="BZ203" s="828"/>
      <c r="CA203" s="828"/>
      <c r="CB203" s="828"/>
      <c r="CC203" s="828"/>
      <c r="CD203" s="830" t="s">
        <v>280</v>
      </c>
      <c r="CE203" s="828"/>
      <c r="CF203" s="828"/>
      <c r="CG203" s="828"/>
      <c r="CH203" s="828"/>
      <c r="CI203" s="828"/>
      <c r="CJ203" s="828"/>
      <c r="CK203" s="830" t="s">
        <v>280</v>
      </c>
      <c r="CL203" s="828"/>
    </row>
    <row r="204" spans="1:90">
      <c r="A204" s="446" t="s">
        <v>209</v>
      </c>
      <c r="B204" s="416">
        <v>652364</v>
      </c>
      <c r="C204" s="828"/>
      <c r="D204" s="828"/>
      <c r="E204" s="830" t="s">
        <v>280</v>
      </c>
      <c r="F204" s="828"/>
      <c r="G204" s="828"/>
      <c r="H204" s="828"/>
      <c r="I204" s="828"/>
      <c r="J204" s="828"/>
      <c r="K204" s="828"/>
      <c r="L204" s="830" t="s">
        <v>280</v>
      </c>
      <c r="M204" s="828"/>
      <c r="N204" s="828"/>
      <c r="O204" s="828"/>
      <c r="P204" s="828"/>
      <c r="Q204" s="828"/>
      <c r="R204" s="828"/>
      <c r="S204" s="830" t="s">
        <v>280</v>
      </c>
      <c r="T204" s="828"/>
      <c r="U204" s="828"/>
      <c r="V204" s="828"/>
      <c r="W204" s="828"/>
      <c r="X204" s="828"/>
      <c r="Y204" s="828"/>
      <c r="Z204" s="830" t="s">
        <v>280</v>
      </c>
      <c r="AA204" s="828"/>
      <c r="AB204" s="828"/>
      <c r="AC204" s="828"/>
      <c r="AD204" s="828"/>
      <c r="AE204" s="828"/>
      <c r="AF204" s="828"/>
      <c r="AG204" s="830" t="s">
        <v>280</v>
      </c>
      <c r="AH204" s="828"/>
      <c r="AI204" s="828"/>
      <c r="AJ204" s="828"/>
      <c r="AK204" s="828"/>
      <c r="AL204" s="828"/>
      <c r="AM204" s="828"/>
      <c r="AN204" s="830" t="s">
        <v>280</v>
      </c>
      <c r="AO204" s="828"/>
      <c r="AP204" s="828"/>
      <c r="AQ204" s="828"/>
      <c r="AR204" s="828"/>
      <c r="AS204" s="828"/>
      <c r="AT204" s="828"/>
      <c r="AU204" s="830" t="s">
        <v>280</v>
      </c>
      <c r="AV204" s="828"/>
      <c r="AW204" s="828"/>
      <c r="AX204" s="828"/>
      <c r="AY204" s="828"/>
      <c r="AZ204" s="828"/>
      <c r="BA204" s="828"/>
      <c r="BB204" s="830" t="s">
        <v>280</v>
      </c>
      <c r="BC204" s="828"/>
      <c r="BD204" s="828"/>
      <c r="BE204" s="828"/>
      <c r="BF204" s="828"/>
      <c r="BG204" s="828"/>
      <c r="BH204" s="828"/>
      <c r="BI204" s="830" t="s">
        <v>280</v>
      </c>
      <c r="BJ204" s="828"/>
      <c r="BK204" s="828"/>
      <c r="BL204" s="828"/>
      <c r="BM204" s="828"/>
      <c r="BN204" s="828"/>
      <c r="BO204" s="828"/>
      <c r="BP204" s="830" t="s">
        <v>280</v>
      </c>
      <c r="BQ204" s="828"/>
      <c r="BR204" s="828"/>
      <c r="BS204" s="828"/>
      <c r="BT204" s="828"/>
      <c r="BU204" s="828"/>
      <c r="BV204" s="828"/>
      <c r="BW204" s="830" t="s">
        <v>280</v>
      </c>
      <c r="BX204" s="828"/>
      <c r="BY204" s="828"/>
      <c r="BZ204" s="828"/>
      <c r="CA204" s="828"/>
      <c r="CB204" s="828"/>
      <c r="CC204" s="828"/>
      <c r="CD204" s="830" t="s">
        <v>280</v>
      </c>
      <c r="CE204" s="828"/>
      <c r="CF204" s="828"/>
      <c r="CG204" s="828"/>
      <c r="CH204" s="828"/>
      <c r="CI204" s="828"/>
      <c r="CJ204" s="828"/>
      <c r="CK204" s="830" t="s">
        <v>280</v>
      </c>
      <c r="CL204" s="828"/>
    </row>
    <row r="205" spans="1:90">
      <c r="A205" s="446" t="s">
        <v>210</v>
      </c>
      <c r="B205" s="416">
        <v>644433</v>
      </c>
      <c r="C205" s="828"/>
      <c r="D205" s="828"/>
      <c r="E205" s="830" t="s">
        <v>280</v>
      </c>
      <c r="F205" s="828"/>
      <c r="G205" s="828"/>
      <c r="H205" s="828"/>
      <c r="I205" s="828"/>
      <c r="J205" s="828"/>
      <c r="K205" s="828"/>
      <c r="L205" s="830" t="s">
        <v>280</v>
      </c>
      <c r="M205" s="828"/>
      <c r="N205" s="828"/>
      <c r="O205" s="828"/>
      <c r="P205" s="828"/>
      <c r="Q205" s="828"/>
      <c r="R205" s="828"/>
      <c r="S205" s="830" t="s">
        <v>280</v>
      </c>
      <c r="T205" s="828"/>
      <c r="U205" s="828"/>
      <c r="V205" s="828"/>
      <c r="W205" s="828"/>
      <c r="X205" s="828"/>
      <c r="Y205" s="828"/>
      <c r="Z205" s="830" t="s">
        <v>281</v>
      </c>
      <c r="AA205" s="828"/>
      <c r="AB205" s="828"/>
      <c r="AC205" s="828"/>
      <c r="AD205" s="828"/>
      <c r="AE205" s="828"/>
      <c r="AF205" s="828"/>
      <c r="AG205" s="830" t="s">
        <v>281</v>
      </c>
      <c r="AH205" s="828"/>
      <c r="AI205" s="828"/>
      <c r="AJ205" s="828"/>
      <c r="AK205" s="828"/>
      <c r="AL205" s="828"/>
      <c r="AM205" s="828"/>
      <c r="AN205" s="830" t="s">
        <v>281</v>
      </c>
      <c r="AO205" s="828"/>
      <c r="AP205" s="828"/>
      <c r="AQ205" s="828"/>
      <c r="AR205" s="828"/>
      <c r="AS205" s="828"/>
      <c r="AT205" s="828"/>
      <c r="AU205" s="830" t="s">
        <v>281</v>
      </c>
      <c r="AV205" s="828"/>
      <c r="AW205" s="828"/>
      <c r="AX205" s="828"/>
      <c r="AY205" s="828"/>
      <c r="AZ205" s="828"/>
      <c r="BA205" s="828"/>
      <c r="BB205" s="830" t="s">
        <v>281</v>
      </c>
      <c r="BC205" s="828"/>
      <c r="BD205" s="828"/>
      <c r="BE205" s="828"/>
      <c r="BF205" s="828"/>
      <c r="BG205" s="828"/>
      <c r="BH205" s="828"/>
      <c r="BI205" s="830" t="s">
        <v>281</v>
      </c>
      <c r="BJ205" s="828"/>
      <c r="BK205" s="828"/>
      <c r="BL205" s="828"/>
      <c r="BM205" s="828"/>
      <c r="BN205" s="828"/>
      <c r="BO205" s="828"/>
      <c r="BP205" s="830" t="s">
        <v>281</v>
      </c>
      <c r="BQ205" s="828"/>
      <c r="BR205" s="828"/>
      <c r="BS205" s="828"/>
      <c r="BT205" s="828"/>
      <c r="BU205" s="828"/>
      <c r="BV205" s="828"/>
      <c r="BW205" s="830" t="s">
        <v>281</v>
      </c>
      <c r="BX205" s="828"/>
      <c r="BY205" s="828"/>
      <c r="BZ205" s="828"/>
      <c r="CA205" s="828"/>
      <c r="CB205" s="828"/>
      <c r="CC205" s="828"/>
      <c r="CD205" s="830" t="s">
        <v>281</v>
      </c>
      <c r="CE205" s="828"/>
      <c r="CF205" s="828"/>
      <c r="CG205" s="828"/>
      <c r="CH205" s="828"/>
      <c r="CI205" s="828"/>
      <c r="CJ205" s="828"/>
      <c r="CK205" s="830" t="s">
        <v>281</v>
      </c>
      <c r="CL205" s="828"/>
    </row>
    <row r="206" spans="1:90">
      <c r="A206" s="446" t="s">
        <v>211</v>
      </c>
      <c r="B206" s="416">
        <v>650602</v>
      </c>
      <c r="C206" s="828"/>
      <c r="D206" s="828"/>
      <c r="E206" s="830" t="s">
        <v>280</v>
      </c>
      <c r="F206" s="828"/>
      <c r="G206" s="828"/>
      <c r="H206" s="828"/>
      <c r="I206" s="828"/>
      <c r="J206" s="828"/>
      <c r="K206" s="828"/>
      <c r="L206" s="830" t="s">
        <v>280</v>
      </c>
      <c r="M206" s="828"/>
      <c r="N206" s="828"/>
      <c r="O206" s="828"/>
      <c r="P206" s="828"/>
      <c r="Q206" s="828"/>
      <c r="R206" s="828"/>
      <c r="S206" s="830" t="s">
        <v>280</v>
      </c>
      <c r="T206" s="828"/>
      <c r="U206" s="828"/>
      <c r="V206" s="828"/>
      <c r="W206" s="828"/>
      <c r="X206" s="828"/>
      <c r="Y206" s="828"/>
      <c r="Z206" s="830" t="s">
        <v>281</v>
      </c>
      <c r="AA206" s="828"/>
      <c r="AB206" s="828"/>
      <c r="AC206" s="828"/>
      <c r="AD206" s="828"/>
      <c r="AE206" s="828"/>
      <c r="AF206" s="828"/>
      <c r="AG206" s="830" t="s">
        <v>281</v>
      </c>
      <c r="AH206" s="828"/>
      <c r="AI206" s="828"/>
      <c r="AJ206" s="828"/>
      <c r="AK206" s="828"/>
      <c r="AL206" s="828"/>
      <c r="AM206" s="828"/>
      <c r="AN206" s="830" t="s">
        <v>281</v>
      </c>
      <c r="AO206" s="828"/>
      <c r="AP206" s="828"/>
      <c r="AQ206" s="828"/>
      <c r="AR206" s="828"/>
      <c r="AS206" s="828"/>
      <c r="AT206" s="828"/>
      <c r="AU206" s="830" t="s">
        <v>281</v>
      </c>
      <c r="AV206" s="828"/>
      <c r="AW206" s="828"/>
      <c r="AX206" s="828"/>
      <c r="AY206" s="828"/>
      <c r="AZ206" s="828"/>
      <c r="BA206" s="828"/>
      <c r="BB206" s="830" t="s">
        <v>281</v>
      </c>
      <c r="BC206" s="828"/>
      <c r="BD206" s="828"/>
      <c r="BE206" s="828"/>
      <c r="BF206" s="828"/>
      <c r="BG206" s="828"/>
      <c r="BH206" s="828"/>
      <c r="BI206" s="830" t="s">
        <v>281</v>
      </c>
      <c r="BJ206" s="828"/>
      <c r="BK206" s="828"/>
      <c r="BL206" s="828"/>
      <c r="BM206" s="828"/>
      <c r="BN206" s="828"/>
      <c r="BO206" s="828"/>
      <c r="BP206" s="830" t="s">
        <v>281</v>
      </c>
      <c r="BQ206" s="828"/>
      <c r="BR206" s="828"/>
      <c r="BS206" s="828"/>
      <c r="BT206" s="828"/>
      <c r="BU206" s="828"/>
      <c r="BV206" s="828"/>
      <c r="BW206" s="830" t="s">
        <v>281</v>
      </c>
      <c r="BX206" s="828"/>
      <c r="BY206" s="828"/>
      <c r="BZ206" s="828"/>
      <c r="CA206" s="828"/>
      <c r="CB206" s="828"/>
      <c r="CC206" s="828"/>
      <c r="CD206" s="830" t="s">
        <v>281</v>
      </c>
      <c r="CE206" s="828"/>
      <c r="CF206" s="828"/>
      <c r="CG206" s="828"/>
      <c r="CH206" s="828"/>
      <c r="CI206" s="828"/>
      <c r="CJ206" s="828"/>
      <c r="CK206" s="830" t="s">
        <v>281</v>
      </c>
      <c r="CL206" s="828"/>
    </row>
    <row r="207" spans="1:90">
      <c r="A207" s="449" t="s">
        <v>212</v>
      </c>
      <c r="B207" s="481"/>
      <c r="C207" s="828"/>
      <c r="D207" s="828"/>
      <c r="E207" s="830" t="s">
        <v>280</v>
      </c>
      <c r="F207" s="828"/>
      <c r="G207" s="828"/>
      <c r="H207" s="828"/>
      <c r="I207" s="828"/>
      <c r="J207" s="828"/>
      <c r="K207" s="828"/>
      <c r="L207" s="830" t="s">
        <v>280</v>
      </c>
      <c r="M207" s="828"/>
      <c r="N207" s="828"/>
      <c r="O207" s="828"/>
      <c r="P207" s="828"/>
      <c r="Q207" s="828"/>
      <c r="R207" s="828"/>
      <c r="S207" s="830" t="s">
        <v>280</v>
      </c>
      <c r="T207" s="828"/>
      <c r="U207" s="828"/>
      <c r="V207" s="828"/>
      <c r="W207" s="828"/>
      <c r="X207" s="828"/>
      <c r="Y207" s="828"/>
      <c r="Z207" s="830" t="s">
        <v>279</v>
      </c>
      <c r="AA207" s="828"/>
      <c r="AB207" s="828"/>
      <c r="AC207" s="828"/>
      <c r="AD207" s="828"/>
      <c r="AE207" s="828"/>
      <c r="AF207" s="828"/>
      <c r="AG207" s="830" t="s">
        <v>279</v>
      </c>
      <c r="AH207" s="828"/>
      <c r="AI207" s="828"/>
      <c r="AJ207" s="828"/>
      <c r="AK207" s="828"/>
      <c r="AL207" s="828"/>
      <c r="AM207" s="828"/>
      <c r="AN207" s="830" t="s">
        <v>279</v>
      </c>
      <c r="AO207" s="828"/>
      <c r="AP207" s="828"/>
      <c r="AQ207" s="828"/>
      <c r="AR207" s="828"/>
      <c r="AS207" s="828"/>
      <c r="AT207" s="828"/>
      <c r="AU207" s="830" t="s">
        <v>279</v>
      </c>
      <c r="AV207" s="828"/>
      <c r="AW207" s="828"/>
      <c r="AX207" s="828"/>
      <c r="AY207" s="828"/>
      <c r="AZ207" s="828"/>
      <c r="BA207" s="828"/>
      <c r="BB207" s="830" t="s">
        <v>279</v>
      </c>
      <c r="BC207" s="828"/>
      <c r="BD207" s="828"/>
      <c r="BE207" s="828"/>
      <c r="BF207" s="828"/>
      <c r="BG207" s="828"/>
      <c r="BH207" s="828"/>
      <c r="BI207" s="830" t="s">
        <v>279</v>
      </c>
      <c r="BJ207" s="828"/>
      <c r="BK207" s="828"/>
      <c r="BL207" s="828"/>
      <c r="BM207" s="828"/>
      <c r="BN207" s="828"/>
      <c r="BO207" s="828"/>
      <c r="BP207" s="830" t="s">
        <v>279</v>
      </c>
      <c r="BQ207" s="828"/>
      <c r="BR207" s="828"/>
      <c r="BS207" s="828"/>
      <c r="BT207" s="828"/>
      <c r="BU207" s="828"/>
      <c r="BV207" s="828"/>
      <c r="BW207" s="830" t="s">
        <v>279</v>
      </c>
      <c r="BX207" s="828"/>
      <c r="BY207" s="828"/>
      <c r="BZ207" s="828"/>
      <c r="CA207" s="828"/>
      <c r="CB207" s="828"/>
      <c r="CC207" s="828"/>
      <c r="CD207" s="830" t="s">
        <v>279</v>
      </c>
      <c r="CE207" s="828"/>
      <c r="CF207" s="828"/>
      <c r="CG207" s="828"/>
      <c r="CH207" s="828"/>
      <c r="CI207" s="828"/>
      <c r="CJ207" s="828"/>
      <c r="CK207" s="830" t="s">
        <v>279</v>
      </c>
      <c r="CL207" s="828"/>
    </row>
    <row r="208" spans="1:90">
      <c r="A208" s="154" t="s">
        <v>214</v>
      </c>
      <c r="B208" s="416">
        <v>636733</v>
      </c>
      <c r="C208" s="828"/>
      <c r="D208" s="828"/>
      <c r="E208" s="830" t="s">
        <v>280</v>
      </c>
      <c r="F208" s="828"/>
      <c r="G208" s="828"/>
      <c r="H208" s="828"/>
      <c r="I208" s="828"/>
      <c r="J208" s="828"/>
      <c r="K208" s="828"/>
      <c r="L208" s="830" t="s">
        <v>280</v>
      </c>
      <c r="M208" s="828"/>
      <c r="N208" s="828"/>
      <c r="O208" s="828"/>
      <c r="P208" s="828"/>
      <c r="Q208" s="828"/>
      <c r="R208" s="828"/>
      <c r="S208" s="830" t="s">
        <v>280</v>
      </c>
      <c r="T208" s="828"/>
      <c r="U208" s="828"/>
      <c r="V208" s="828"/>
      <c r="W208" s="828"/>
      <c r="X208" s="828"/>
      <c r="Y208" s="828"/>
      <c r="Z208" s="830" t="s">
        <v>280</v>
      </c>
      <c r="AA208" s="828"/>
      <c r="AB208" s="828"/>
      <c r="AC208" s="828"/>
      <c r="AD208" s="828"/>
      <c r="AE208" s="828"/>
      <c r="AF208" s="828"/>
      <c r="AG208" s="830" t="s">
        <v>280</v>
      </c>
      <c r="AH208" s="828"/>
      <c r="AI208" s="828"/>
      <c r="AJ208" s="828"/>
      <c r="AK208" s="828"/>
      <c r="AL208" s="828"/>
      <c r="AM208" s="828"/>
      <c r="AN208" s="830" t="s">
        <v>280</v>
      </c>
      <c r="AO208" s="828"/>
      <c r="AP208" s="828"/>
      <c r="AQ208" s="828"/>
      <c r="AR208" s="828"/>
      <c r="AS208" s="828"/>
      <c r="AT208" s="828"/>
      <c r="AU208" s="830" t="s">
        <v>280</v>
      </c>
      <c r="AV208" s="828"/>
      <c r="AW208" s="828"/>
      <c r="AX208" s="828"/>
      <c r="AY208" s="828"/>
      <c r="AZ208" s="828"/>
      <c r="BA208" s="828"/>
      <c r="BB208" s="830" t="s">
        <v>280</v>
      </c>
      <c r="BC208" s="828"/>
      <c r="BD208" s="828"/>
      <c r="BE208" s="828"/>
      <c r="BF208" s="828"/>
      <c r="BG208" s="828"/>
      <c r="BH208" s="828"/>
      <c r="BI208" s="830" t="s">
        <v>280</v>
      </c>
      <c r="BJ208" s="828"/>
      <c r="BK208" s="828"/>
      <c r="BL208" s="828"/>
      <c r="BM208" s="828"/>
      <c r="BN208" s="828"/>
      <c r="BO208" s="828"/>
      <c r="BP208" s="830" t="s">
        <v>280</v>
      </c>
      <c r="BQ208" s="828"/>
      <c r="BR208" s="828"/>
      <c r="BS208" s="828"/>
      <c r="BT208" s="828"/>
      <c r="BU208" s="828"/>
      <c r="BV208" s="828"/>
      <c r="BW208" s="830" t="s">
        <v>280</v>
      </c>
      <c r="BX208" s="828"/>
      <c r="BY208" s="828"/>
      <c r="BZ208" s="828"/>
      <c r="CA208" s="828"/>
      <c r="CB208" s="828"/>
      <c r="CC208" s="828"/>
      <c r="CD208" s="830" t="s">
        <v>280</v>
      </c>
      <c r="CE208" s="828"/>
      <c r="CF208" s="828"/>
      <c r="CG208" s="828"/>
      <c r="CH208" s="828"/>
      <c r="CI208" s="828"/>
      <c r="CJ208" s="828"/>
      <c r="CK208" s="830" t="s">
        <v>280</v>
      </c>
      <c r="CL208" s="828"/>
    </row>
    <row r="209" spans="1:91">
      <c r="A209" s="152" t="s">
        <v>216</v>
      </c>
      <c r="B209" s="416">
        <v>637770</v>
      </c>
      <c r="C209" s="828"/>
      <c r="D209" s="828"/>
      <c r="E209" s="830" t="s">
        <v>280</v>
      </c>
      <c r="F209" s="828"/>
      <c r="G209" s="828"/>
      <c r="H209" s="828"/>
      <c r="I209" s="828"/>
      <c r="J209" s="828"/>
      <c r="K209" s="828"/>
      <c r="L209" s="830" t="s">
        <v>280</v>
      </c>
      <c r="M209" s="828"/>
      <c r="N209" s="828"/>
      <c r="O209" s="828"/>
      <c r="P209" s="828"/>
      <c r="Q209" s="828"/>
      <c r="R209" s="828"/>
      <c r="S209" s="830" t="s">
        <v>280</v>
      </c>
      <c r="T209" s="828"/>
      <c r="U209" s="828"/>
      <c r="V209" s="828"/>
      <c r="W209" s="828"/>
      <c r="X209" s="828"/>
      <c r="Y209" s="828"/>
      <c r="Z209" s="830" t="s">
        <v>279</v>
      </c>
      <c r="AA209" s="828"/>
      <c r="AB209" s="828"/>
      <c r="AC209" s="828"/>
      <c r="AD209" s="828"/>
      <c r="AE209" s="828"/>
      <c r="AF209" s="828"/>
      <c r="AG209" s="830" t="s">
        <v>279</v>
      </c>
      <c r="AH209" s="828"/>
      <c r="AI209" s="828"/>
      <c r="AJ209" s="828"/>
      <c r="AK209" s="828"/>
      <c r="AL209" s="828"/>
      <c r="AM209" s="828"/>
      <c r="AN209" s="830" t="s">
        <v>279</v>
      </c>
      <c r="AO209" s="828"/>
      <c r="AP209" s="828"/>
      <c r="AQ209" s="828"/>
      <c r="AR209" s="828"/>
      <c r="AS209" s="828"/>
      <c r="AT209" s="828"/>
      <c r="AU209" s="830" t="s">
        <v>279</v>
      </c>
      <c r="AV209" s="828"/>
      <c r="AW209" s="828"/>
      <c r="AX209" s="828"/>
      <c r="AY209" s="828"/>
      <c r="AZ209" s="828"/>
      <c r="BA209" s="828"/>
      <c r="BB209" s="830" t="s">
        <v>279</v>
      </c>
      <c r="BC209" s="828"/>
      <c r="BD209" s="828"/>
      <c r="BE209" s="828"/>
      <c r="BF209" s="828"/>
      <c r="BG209" s="828"/>
      <c r="BH209" s="828"/>
      <c r="BI209" s="830" t="s">
        <v>279</v>
      </c>
      <c r="BJ209" s="828"/>
      <c r="BK209" s="828"/>
      <c r="BL209" s="828"/>
      <c r="BM209" s="828"/>
      <c r="BN209" s="828"/>
      <c r="BO209" s="828"/>
      <c r="BP209" s="830" t="s">
        <v>279</v>
      </c>
      <c r="BQ209" s="828"/>
      <c r="BR209" s="828"/>
      <c r="BS209" s="828"/>
      <c r="BT209" s="828"/>
      <c r="BU209" s="828"/>
      <c r="BV209" s="828"/>
      <c r="BW209" s="830" t="s">
        <v>279</v>
      </c>
      <c r="BX209" s="828"/>
      <c r="BY209" s="828"/>
      <c r="BZ209" s="828"/>
      <c r="CA209" s="828"/>
      <c r="CB209" s="828"/>
      <c r="CC209" s="828"/>
      <c r="CD209" s="830" t="s">
        <v>279</v>
      </c>
      <c r="CE209" s="828"/>
      <c r="CF209" s="828"/>
      <c r="CG209" s="828"/>
      <c r="CH209" s="828"/>
      <c r="CI209" s="828"/>
      <c r="CJ209" s="828"/>
      <c r="CK209" s="830" t="s">
        <v>279</v>
      </c>
      <c r="CL209" s="828"/>
      <c r="CM209" s="326"/>
    </row>
    <row r="210" spans="1:91">
      <c r="A210" s="482"/>
      <c r="B210" s="416"/>
      <c r="D210" s="326"/>
      <c r="E210" s="326"/>
      <c r="F210" s="326"/>
      <c r="G210" s="326"/>
      <c r="H210" s="326"/>
      <c r="I210" s="326"/>
      <c r="K210" s="326"/>
      <c r="L210" s="326"/>
      <c r="M210" s="326"/>
      <c r="N210" s="326"/>
      <c r="O210" s="326"/>
      <c r="P210" s="326"/>
      <c r="R210" s="326"/>
      <c r="S210" s="326"/>
      <c r="T210" s="326"/>
      <c r="U210" s="326"/>
      <c r="V210" s="326"/>
      <c r="W210" s="326"/>
      <c r="Y210" s="326"/>
      <c r="Z210" s="326"/>
      <c r="AA210" s="326"/>
      <c r="AB210" s="326"/>
      <c r="AC210" s="326"/>
      <c r="AD210" s="326"/>
      <c r="AF210" s="326"/>
      <c r="AG210" s="326"/>
      <c r="AH210" s="326"/>
      <c r="AI210" s="326"/>
      <c r="AJ210" s="326"/>
      <c r="AK210" s="326"/>
      <c r="AM210" s="326"/>
      <c r="AN210" s="326"/>
      <c r="AO210" s="326"/>
      <c r="AP210" s="326"/>
      <c r="AQ210" s="326"/>
      <c r="AR210" s="326"/>
      <c r="AT210" s="326"/>
      <c r="AU210" s="326"/>
      <c r="AV210" s="326"/>
      <c r="AW210" s="326"/>
      <c r="AX210" s="326"/>
      <c r="AY210" s="326"/>
      <c r="BA210" s="326"/>
      <c r="BB210" s="326"/>
      <c r="BC210" s="326"/>
      <c r="BD210" s="326"/>
      <c r="BE210" s="326"/>
      <c r="BF210" s="326"/>
      <c r="BH210" s="326"/>
      <c r="BI210" s="326"/>
      <c r="BJ210" s="326"/>
      <c r="BK210" s="326"/>
      <c r="BL210" s="326"/>
      <c r="BM210" s="326"/>
      <c r="BO210" s="326"/>
      <c r="BP210" s="326"/>
      <c r="BQ210" s="326"/>
      <c r="BR210" s="326"/>
      <c r="BS210" s="326"/>
      <c r="BT210" s="326"/>
      <c r="BV210" s="326"/>
      <c r="BW210" s="326"/>
      <c r="BX210" s="326"/>
      <c r="BY210" s="326"/>
      <c r="BZ210" s="326"/>
      <c r="CA210" s="326"/>
      <c r="CC210" s="326"/>
      <c r="CD210" s="326"/>
      <c r="CE210" s="326"/>
      <c r="CF210" s="326"/>
      <c r="CG210" s="326"/>
      <c r="CH210" s="461"/>
      <c r="CJ210" s="326"/>
      <c r="CK210" s="326"/>
      <c r="CL210" s="326"/>
      <c r="CM210" s="326"/>
    </row>
    <row r="211" spans="1:91">
      <c r="A211" s="482"/>
      <c r="B211" s="416"/>
      <c r="D211" s="326"/>
      <c r="E211" s="326"/>
      <c r="F211" s="326"/>
      <c r="G211" s="326"/>
      <c r="H211" s="326"/>
      <c r="I211" s="326"/>
      <c r="K211" s="326"/>
      <c r="L211" s="326"/>
      <c r="M211" s="326"/>
      <c r="N211" s="326"/>
      <c r="O211" s="326"/>
      <c r="P211" s="326"/>
      <c r="R211" s="326"/>
      <c r="S211" s="326"/>
      <c r="T211" s="326"/>
      <c r="U211" s="326"/>
      <c r="V211" s="326"/>
      <c r="W211" s="326"/>
      <c r="Y211" s="326"/>
      <c r="Z211" s="326"/>
      <c r="AA211" s="326"/>
      <c r="AB211" s="326"/>
      <c r="AC211" s="326"/>
      <c r="AD211" s="326"/>
      <c r="AF211" s="326"/>
      <c r="AG211" s="326"/>
      <c r="AH211" s="326"/>
      <c r="AI211" s="326"/>
      <c r="AJ211" s="326"/>
      <c r="AK211" s="326"/>
      <c r="AM211" s="326"/>
      <c r="AN211" s="326"/>
      <c r="AO211" s="326"/>
      <c r="AP211" s="326"/>
      <c r="AQ211" s="326"/>
      <c r="AR211" s="326"/>
      <c r="AT211" s="326"/>
      <c r="AU211" s="326"/>
      <c r="AV211" s="326"/>
      <c r="AW211" s="326"/>
      <c r="AX211" s="326"/>
      <c r="AY211" s="326"/>
      <c r="BA211" s="326"/>
      <c r="BB211" s="326"/>
      <c r="BC211" s="326"/>
      <c r="BD211" s="326"/>
      <c r="BE211" s="326"/>
      <c r="BF211" s="326"/>
      <c r="BH211" s="326"/>
      <c r="BI211" s="326"/>
      <c r="BJ211" s="326"/>
      <c r="BK211" s="326"/>
      <c r="BL211" s="326"/>
      <c r="BM211" s="326"/>
      <c r="BO211" s="326"/>
      <c r="BP211" s="326"/>
      <c r="BQ211" s="326"/>
      <c r="BR211" s="326"/>
      <c r="BS211" s="326"/>
      <c r="BT211" s="326"/>
      <c r="BV211" s="326"/>
      <c r="BW211" s="326"/>
      <c r="BX211" s="326"/>
      <c r="BY211" s="326"/>
      <c r="BZ211" s="326"/>
      <c r="CA211" s="326"/>
      <c r="CC211" s="326"/>
      <c r="CD211" s="326"/>
      <c r="CE211" s="326"/>
      <c r="CF211" s="326"/>
      <c r="CG211" s="326"/>
      <c r="CH211" s="461"/>
      <c r="CJ211" s="326"/>
      <c r="CK211" s="326"/>
      <c r="CL211" s="326"/>
      <c r="CM211" s="326"/>
    </row>
    <row r="212" spans="1:91">
      <c r="A212" s="482"/>
      <c r="B212" s="416"/>
      <c r="D212" s="326"/>
      <c r="E212" s="326"/>
      <c r="F212" s="326"/>
      <c r="G212" s="326"/>
      <c r="H212" s="326"/>
      <c r="I212" s="326"/>
      <c r="K212" s="326"/>
      <c r="L212" s="326"/>
      <c r="M212" s="326"/>
      <c r="N212" s="326"/>
      <c r="O212" s="326"/>
      <c r="P212" s="326"/>
      <c r="R212" s="326"/>
      <c r="S212" s="326"/>
      <c r="T212" s="326"/>
      <c r="U212" s="326"/>
      <c r="V212" s="326"/>
      <c r="W212" s="326"/>
      <c r="Y212" s="326"/>
      <c r="Z212" s="326"/>
      <c r="AA212" s="326"/>
      <c r="AB212" s="326"/>
      <c r="AC212" s="326"/>
      <c r="AD212" s="326"/>
      <c r="AF212" s="326"/>
      <c r="AG212" s="326"/>
      <c r="AH212" s="326"/>
      <c r="AI212" s="326"/>
      <c r="AJ212" s="326"/>
      <c r="AK212" s="326"/>
      <c r="AM212" s="326"/>
      <c r="AN212" s="326"/>
      <c r="AO212" s="326"/>
      <c r="AP212" s="326"/>
      <c r="AQ212" s="326"/>
      <c r="AR212" s="326"/>
      <c r="AT212" s="326"/>
      <c r="AU212" s="326"/>
      <c r="AV212" s="326"/>
      <c r="AW212" s="326"/>
      <c r="AX212" s="326"/>
      <c r="AY212" s="326"/>
      <c r="BA212" s="326"/>
      <c r="BB212" s="326"/>
      <c r="BC212" s="326"/>
      <c r="BD212" s="326"/>
      <c r="BE212" s="326"/>
      <c r="BF212" s="326"/>
      <c r="BH212" s="326"/>
      <c r="BI212" s="326"/>
      <c r="BJ212" s="326"/>
      <c r="BK212" s="326"/>
      <c r="BL212" s="326"/>
      <c r="BM212" s="326"/>
      <c r="BO212" s="326"/>
      <c r="BP212" s="326"/>
      <c r="BQ212" s="326"/>
      <c r="BR212" s="326"/>
      <c r="BS212" s="326"/>
      <c r="BT212" s="326"/>
      <c r="BV212" s="326"/>
      <c r="BW212" s="326"/>
      <c r="BX212" s="326"/>
      <c r="BY212" s="326"/>
      <c r="BZ212" s="326"/>
      <c r="CA212" s="326"/>
      <c r="CC212" s="326"/>
      <c r="CD212" s="326"/>
      <c r="CE212" s="326"/>
      <c r="CF212" s="326"/>
      <c r="CG212" s="326"/>
      <c r="CH212" s="461"/>
      <c r="CJ212" s="326"/>
      <c r="CK212" s="326"/>
      <c r="CL212" s="326"/>
      <c r="CM212" s="326"/>
    </row>
    <row r="213" spans="1:91">
      <c r="A213" s="482"/>
      <c r="B213" s="416"/>
      <c r="D213" s="326"/>
      <c r="E213" s="326"/>
      <c r="F213" s="326"/>
      <c r="G213" s="326"/>
      <c r="H213" s="326"/>
      <c r="I213" s="326"/>
      <c r="K213" s="326"/>
      <c r="L213" s="326"/>
      <c r="M213" s="326"/>
      <c r="N213" s="326"/>
      <c r="O213" s="326"/>
      <c r="P213" s="326"/>
      <c r="R213" s="326"/>
      <c r="S213" s="326"/>
      <c r="T213" s="326"/>
      <c r="U213" s="326"/>
      <c r="V213" s="326"/>
      <c r="W213" s="326"/>
      <c r="Y213" s="326"/>
      <c r="Z213" s="326"/>
      <c r="AA213" s="326"/>
      <c r="AB213" s="326"/>
      <c r="AC213" s="326"/>
      <c r="AD213" s="326"/>
      <c r="AF213" s="326"/>
      <c r="AG213" s="326"/>
      <c r="AH213" s="326"/>
      <c r="AI213" s="326"/>
      <c r="AJ213" s="326"/>
      <c r="AK213" s="326"/>
      <c r="AM213" s="326"/>
      <c r="AN213" s="326"/>
      <c r="AO213" s="326"/>
      <c r="AP213" s="326"/>
      <c r="AQ213" s="326"/>
      <c r="AR213" s="326"/>
      <c r="AT213" s="326"/>
      <c r="AU213" s="326"/>
      <c r="AV213" s="326"/>
      <c r="AW213" s="326"/>
      <c r="AX213" s="326"/>
      <c r="AY213" s="326"/>
      <c r="BA213" s="326"/>
      <c r="BB213" s="326"/>
      <c r="BC213" s="326"/>
      <c r="BD213" s="326"/>
      <c r="BE213" s="326"/>
      <c r="BF213" s="326"/>
      <c r="BH213" s="326"/>
      <c r="BI213" s="326"/>
      <c r="BJ213" s="326"/>
      <c r="BK213" s="326"/>
      <c r="BL213" s="326"/>
      <c r="BM213" s="326"/>
      <c r="BO213" s="326"/>
      <c r="BP213" s="326"/>
      <c r="BQ213" s="326"/>
      <c r="BR213" s="326"/>
      <c r="BS213" s="326"/>
      <c r="BT213" s="326"/>
      <c r="BV213" s="326"/>
      <c r="BW213" s="326"/>
      <c r="BX213" s="326"/>
      <c r="BY213" s="326"/>
      <c r="BZ213" s="326"/>
      <c r="CA213" s="326"/>
      <c r="CC213" s="326"/>
      <c r="CD213" s="326"/>
      <c r="CE213" s="326"/>
      <c r="CF213" s="326"/>
      <c r="CG213" s="326"/>
      <c r="CH213" s="461"/>
      <c r="CJ213" s="326"/>
      <c r="CK213" s="326"/>
      <c r="CL213" s="326"/>
      <c r="CM213" s="326"/>
    </row>
    <row r="214" spans="1:91">
      <c r="A214" s="483"/>
      <c r="B214" s="416"/>
      <c r="D214" s="326"/>
      <c r="E214" s="326"/>
      <c r="F214" s="326"/>
      <c r="G214" s="326"/>
      <c r="H214" s="326"/>
      <c r="I214" s="326"/>
      <c r="K214" s="326"/>
      <c r="L214" s="326"/>
      <c r="M214" s="326"/>
      <c r="N214" s="326"/>
      <c r="O214" s="326"/>
      <c r="P214" s="326"/>
      <c r="R214" s="326"/>
      <c r="S214" s="326"/>
      <c r="T214" s="326"/>
      <c r="U214" s="326"/>
      <c r="V214" s="326"/>
      <c r="W214" s="326"/>
      <c r="Y214" s="326"/>
      <c r="Z214" s="326"/>
      <c r="AA214" s="326"/>
      <c r="AB214" s="326"/>
      <c r="AC214" s="326"/>
      <c r="AD214" s="326"/>
      <c r="AF214" s="326"/>
      <c r="AG214" s="326"/>
      <c r="AH214" s="326"/>
      <c r="AI214" s="326"/>
      <c r="AJ214" s="326"/>
      <c r="AK214" s="326"/>
      <c r="AM214" s="326"/>
      <c r="AN214" s="326"/>
      <c r="AO214" s="326"/>
      <c r="AP214" s="326"/>
      <c r="AQ214" s="326"/>
      <c r="AR214" s="326"/>
      <c r="AT214" s="326"/>
      <c r="AU214" s="326"/>
      <c r="AV214" s="326"/>
      <c r="AW214" s="326"/>
      <c r="AX214" s="326"/>
      <c r="AY214" s="326"/>
      <c r="BA214" s="326"/>
      <c r="BB214" s="326"/>
      <c r="BC214" s="326"/>
      <c r="BD214" s="326"/>
      <c r="BE214" s="326"/>
      <c r="BF214" s="326"/>
      <c r="BH214" s="326"/>
      <c r="BI214" s="326"/>
      <c r="BJ214" s="326"/>
      <c r="BK214" s="326"/>
      <c r="BL214" s="326"/>
      <c r="BM214" s="326"/>
      <c r="BO214" s="326"/>
      <c r="BP214" s="326"/>
      <c r="BQ214" s="326"/>
      <c r="BR214" s="326"/>
      <c r="BS214" s="326"/>
      <c r="BT214" s="326"/>
      <c r="BV214" s="326"/>
      <c r="BW214" s="326"/>
      <c r="BX214" s="326"/>
      <c r="BY214" s="326"/>
      <c r="BZ214" s="326"/>
      <c r="CA214" s="326"/>
      <c r="CC214" s="326"/>
      <c r="CD214" s="326"/>
      <c r="CE214" s="326"/>
      <c r="CF214" s="326"/>
      <c r="CG214" s="326"/>
      <c r="CH214" s="461"/>
      <c r="CJ214" s="326"/>
      <c r="CK214" s="326"/>
      <c r="CL214" s="326"/>
      <c r="CM214" s="326"/>
    </row>
    <row r="215" spans="1:91">
      <c r="A215" s="482"/>
      <c r="B215" s="416"/>
      <c r="D215" s="326"/>
      <c r="E215" s="326"/>
      <c r="F215" s="326"/>
      <c r="G215" s="326"/>
      <c r="H215" s="326"/>
      <c r="I215" s="326"/>
      <c r="K215" s="326"/>
      <c r="L215" s="326"/>
      <c r="M215" s="326"/>
      <c r="N215" s="326"/>
      <c r="O215" s="326"/>
      <c r="P215" s="326"/>
      <c r="R215" s="326"/>
      <c r="S215" s="326"/>
      <c r="T215" s="326"/>
      <c r="U215" s="326"/>
      <c r="V215" s="326"/>
      <c r="W215" s="326"/>
      <c r="Y215" s="326"/>
      <c r="Z215" s="326"/>
      <c r="AA215" s="326"/>
      <c r="AB215" s="326"/>
      <c r="AC215" s="326"/>
      <c r="AD215" s="326"/>
      <c r="AF215" s="326"/>
      <c r="AG215" s="326"/>
      <c r="AH215" s="326"/>
      <c r="AI215" s="326"/>
      <c r="AJ215" s="326"/>
      <c r="AK215" s="326"/>
      <c r="AM215" s="326"/>
      <c r="AN215" s="326"/>
      <c r="AO215" s="326"/>
      <c r="AP215" s="326"/>
      <c r="AQ215" s="326"/>
      <c r="AR215" s="326"/>
      <c r="AT215" s="326"/>
      <c r="AU215" s="326"/>
      <c r="AV215" s="326"/>
      <c r="AW215" s="326"/>
      <c r="AX215" s="326"/>
      <c r="AY215" s="326"/>
      <c r="BA215" s="326"/>
      <c r="BB215" s="326"/>
      <c r="BC215" s="326"/>
      <c r="BD215" s="326"/>
      <c r="BE215" s="326"/>
      <c r="BF215" s="326"/>
      <c r="BH215" s="326"/>
      <c r="BI215" s="326"/>
      <c r="BJ215" s="326"/>
      <c r="BK215" s="326"/>
      <c r="BL215" s="326"/>
      <c r="BM215" s="326"/>
      <c r="BO215" s="326"/>
      <c r="BP215" s="326"/>
      <c r="BQ215" s="326"/>
      <c r="BR215" s="326"/>
      <c r="BS215" s="326"/>
      <c r="BT215" s="326"/>
      <c r="BV215" s="326"/>
      <c r="BW215" s="326"/>
      <c r="BX215" s="326"/>
      <c r="BY215" s="326"/>
      <c r="BZ215" s="326"/>
      <c r="CA215" s="326"/>
      <c r="CC215" s="326"/>
      <c r="CD215" s="326"/>
      <c r="CE215" s="326"/>
      <c r="CF215" s="326"/>
      <c r="CG215" s="326"/>
      <c r="CH215" s="461"/>
      <c r="CJ215" s="326"/>
      <c r="CK215" s="326"/>
      <c r="CL215" s="326"/>
      <c r="CM215" s="326"/>
    </row>
    <row r="216" spans="1:91">
      <c r="A216" s="179"/>
      <c r="B216" s="416"/>
      <c r="D216" s="326"/>
      <c r="E216" s="326"/>
      <c r="F216" s="326"/>
      <c r="G216" s="326"/>
      <c r="H216" s="326"/>
      <c r="I216" s="326"/>
      <c r="K216" s="326"/>
      <c r="L216" s="326"/>
      <c r="M216" s="326"/>
      <c r="N216" s="326"/>
      <c r="O216" s="326"/>
      <c r="P216" s="326"/>
      <c r="R216" s="326"/>
      <c r="S216" s="326"/>
      <c r="T216" s="326"/>
      <c r="U216" s="326"/>
      <c r="V216" s="326"/>
      <c r="W216" s="326"/>
      <c r="Y216" s="326"/>
      <c r="Z216" s="326"/>
      <c r="AA216" s="326"/>
      <c r="AB216" s="326"/>
      <c r="AC216" s="326"/>
      <c r="AD216" s="326"/>
      <c r="AF216" s="326"/>
      <c r="AG216" s="326"/>
      <c r="AH216" s="326"/>
      <c r="AI216" s="326"/>
      <c r="AJ216" s="326"/>
      <c r="AK216" s="326"/>
      <c r="AM216" s="326"/>
      <c r="AN216" s="326"/>
      <c r="AO216" s="326"/>
      <c r="AP216" s="326"/>
      <c r="AQ216" s="326"/>
      <c r="AR216" s="326"/>
      <c r="AT216" s="326"/>
      <c r="AU216" s="326"/>
      <c r="AV216" s="326"/>
      <c r="AW216" s="326"/>
      <c r="AX216" s="326"/>
      <c r="AY216" s="326"/>
      <c r="BA216" s="326"/>
      <c r="BB216" s="326"/>
      <c r="BC216" s="326"/>
      <c r="BD216" s="326"/>
      <c r="BE216" s="326"/>
      <c r="BF216" s="326"/>
      <c r="BH216" s="326"/>
      <c r="BI216" s="326"/>
      <c r="BJ216" s="326"/>
      <c r="BK216" s="326"/>
      <c r="BL216" s="326"/>
      <c r="BM216" s="326"/>
      <c r="BO216" s="326"/>
      <c r="BP216" s="326"/>
      <c r="BQ216" s="326"/>
      <c r="BR216" s="326"/>
      <c r="BS216" s="326"/>
      <c r="BT216" s="326"/>
      <c r="BV216" s="326"/>
      <c r="BW216" s="326"/>
      <c r="BX216" s="326"/>
      <c r="BY216" s="326"/>
      <c r="BZ216" s="326"/>
      <c r="CA216" s="326"/>
      <c r="CC216" s="326"/>
      <c r="CD216" s="326"/>
      <c r="CE216" s="326"/>
      <c r="CF216" s="326"/>
      <c r="CG216" s="326"/>
      <c r="CH216" s="461"/>
      <c r="CJ216" s="326"/>
      <c r="CK216" s="326"/>
      <c r="CL216" s="326"/>
      <c r="CM216" s="326"/>
    </row>
    <row r="217" spans="1:91">
      <c r="A217" s="482"/>
      <c r="B217" s="416"/>
      <c r="D217" s="326"/>
      <c r="E217" s="326"/>
      <c r="F217" s="326"/>
      <c r="G217" s="326"/>
      <c r="H217" s="326"/>
      <c r="I217" s="326"/>
      <c r="K217" s="326"/>
      <c r="L217" s="326"/>
      <c r="M217" s="326"/>
      <c r="N217" s="326"/>
      <c r="O217" s="326"/>
      <c r="P217" s="326"/>
      <c r="R217" s="326"/>
      <c r="S217" s="326"/>
      <c r="T217" s="326"/>
      <c r="U217" s="326"/>
      <c r="V217" s="326"/>
      <c r="W217" s="326"/>
      <c r="Y217" s="326"/>
      <c r="Z217" s="326"/>
      <c r="AA217" s="326"/>
      <c r="AB217" s="326"/>
      <c r="AC217" s="326"/>
      <c r="AD217" s="326"/>
      <c r="AF217" s="326"/>
      <c r="AG217" s="326"/>
      <c r="AH217" s="326"/>
      <c r="AI217" s="326"/>
      <c r="AJ217" s="326"/>
      <c r="AK217" s="326"/>
      <c r="AM217" s="326"/>
      <c r="AN217" s="326"/>
      <c r="AO217" s="326"/>
      <c r="AP217" s="326"/>
      <c r="AQ217" s="326"/>
      <c r="AR217" s="326"/>
      <c r="AT217" s="326"/>
      <c r="AU217" s="326"/>
      <c r="AV217" s="326"/>
      <c r="AW217" s="326"/>
      <c r="AX217" s="326"/>
      <c r="AY217" s="326"/>
      <c r="BA217" s="326"/>
      <c r="BB217" s="326"/>
      <c r="BC217" s="326"/>
      <c r="BD217" s="326"/>
      <c r="BE217" s="326"/>
      <c r="BF217" s="326"/>
      <c r="BH217" s="326"/>
      <c r="BI217" s="326"/>
      <c r="BJ217" s="326"/>
      <c r="BK217" s="326"/>
      <c r="BL217" s="326"/>
      <c r="BM217" s="326"/>
      <c r="BO217" s="326"/>
      <c r="BP217" s="326"/>
      <c r="BQ217" s="326"/>
      <c r="BR217" s="326"/>
      <c r="BS217" s="326"/>
      <c r="BT217" s="326"/>
      <c r="BV217" s="326"/>
      <c r="BW217" s="326"/>
      <c r="BX217" s="326"/>
      <c r="BY217" s="326"/>
      <c r="BZ217" s="326"/>
      <c r="CA217" s="326"/>
      <c r="CC217" s="326"/>
      <c r="CD217" s="326"/>
      <c r="CE217" s="326"/>
      <c r="CF217" s="326"/>
      <c r="CG217" s="326"/>
      <c r="CH217" s="461"/>
      <c r="CJ217" s="326"/>
      <c r="CK217" s="326"/>
      <c r="CL217" s="326"/>
      <c r="CM217" s="326"/>
    </row>
    <row r="218" spans="1:91">
      <c r="A218" s="482"/>
      <c r="B218" s="416"/>
      <c r="D218" s="326"/>
      <c r="E218" s="326"/>
      <c r="F218" s="326"/>
      <c r="G218" s="326"/>
      <c r="H218" s="326"/>
      <c r="I218" s="326"/>
      <c r="K218" s="326"/>
      <c r="L218" s="326"/>
      <c r="M218" s="326"/>
      <c r="N218" s="326"/>
      <c r="O218" s="326"/>
      <c r="P218" s="326"/>
      <c r="R218" s="326"/>
      <c r="S218" s="326"/>
      <c r="T218" s="326"/>
      <c r="U218" s="326"/>
      <c r="V218" s="326"/>
      <c r="W218" s="326"/>
      <c r="Y218" s="326"/>
      <c r="Z218" s="326"/>
      <c r="AA218" s="326"/>
      <c r="AB218" s="326"/>
      <c r="AC218" s="326"/>
      <c r="AD218" s="326"/>
      <c r="AF218" s="326"/>
      <c r="AG218" s="326"/>
      <c r="AH218" s="326"/>
      <c r="AI218" s="326"/>
      <c r="AJ218" s="326"/>
      <c r="AK218" s="326"/>
      <c r="AM218" s="326"/>
      <c r="AN218" s="326"/>
      <c r="AO218" s="326"/>
      <c r="AP218" s="326"/>
      <c r="AQ218" s="326"/>
      <c r="AR218" s="326"/>
      <c r="AT218" s="326"/>
      <c r="AU218" s="326"/>
      <c r="AV218" s="326"/>
      <c r="AW218" s="326"/>
      <c r="AX218" s="326"/>
      <c r="AY218" s="326"/>
      <c r="BA218" s="326"/>
      <c r="BB218" s="326"/>
      <c r="BC218" s="326"/>
      <c r="BD218" s="326"/>
      <c r="BE218" s="326"/>
      <c r="BF218" s="326"/>
      <c r="BH218" s="326"/>
      <c r="BI218" s="326"/>
      <c r="BJ218" s="326"/>
      <c r="BK218" s="326"/>
      <c r="BL218" s="326"/>
      <c r="BM218" s="326"/>
      <c r="BO218" s="326"/>
      <c r="BP218" s="326"/>
      <c r="BQ218" s="326"/>
      <c r="BR218" s="326"/>
      <c r="BS218" s="326"/>
      <c r="BT218" s="326"/>
      <c r="BV218" s="326"/>
      <c r="BW218" s="326"/>
      <c r="BX218" s="326"/>
      <c r="BY218" s="326"/>
      <c r="BZ218" s="326"/>
      <c r="CA218" s="326"/>
      <c r="CC218" s="326"/>
      <c r="CD218" s="326"/>
      <c r="CE218" s="326"/>
      <c r="CF218" s="326"/>
      <c r="CG218" s="326"/>
      <c r="CH218" s="461"/>
      <c r="CJ218" s="326"/>
      <c r="CK218" s="326"/>
      <c r="CL218" s="326"/>
      <c r="CM218" s="326"/>
    </row>
    <row r="219" spans="1:91">
      <c r="A219" s="327"/>
      <c r="B219" s="416"/>
      <c r="D219" s="326"/>
      <c r="E219" s="326"/>
      <c r="F219" s="326"/>
      <c r="G219" s="326"/>
      <c r="H219" s="326"/>
      <c r="I219" s="326"/>
      <c r="K219" s="326"/>
      <c r="L219" s="326"/>
      <c r="M219" s="326"/>
      <c r="N219" s="326"/>
      <c r="O219" s="326"/>
      <c r="P219" s="326"/>
      <c r="R219" s="326"/>
      <c r="S219" s="326"/>
      <c r="T219" s="326"/>
      <c r="U219" s="326"/>
      <c r="V219" s="326"/>
      <c r="W219" s="326"/>
      <c r="Y219" s="326"/>
      <c r="Z219" s="326"/>
      <c r="AA219" s="326"/>
      <c r="AB219" s="326"/>
      <c r="AC219" s="326"/>
      <c r="AD219" s="326"/>
      <c r="AF219" s="326"/>
      <c r="AG219" s="326"/>
      <c r="AH219" s="326"/>
      <c r="AI219" s="326"/>
      <c r="AJ219" s="326"/>
      <c r="AK219" s="326"/>
      <c r="AM219" s="326"/>
      <c r="AN219" s="326"/>
      <c r="AO219" s="326"/>
      <c r="AP219" s="326"/>
      <c r="AQ219" s="326"/>
      <c r="AR219" s="326"/>
      <c r="AT219" s="326"/>
      <c r="AU219" s="326"/>
      <c r="AV219" s="326"/>
      <c r="AW219" s="326"/>
      <c r="AX219" s="326"/>
      <c r="AY219" s="326"/>
      <c r="BA219" s="326"/>
      <c r="BB219" s="326"/>
      <c r="BC219" s="326"/>
      <c r="BD219" s="326"/>
      <c r="BE219" s="326"/>
      <c r="BF219" s="326"/>
      <c r="BH219" s="326"/>
      <c r="BI219" s="326"/>
      <c r="BJ219" s="326"/>
      <c r="BK219" s="326"/>
      <c r="BL219" s="326"/>
      <c r="BM219" s="326"/>
      <c r="BO219" s="326"/>
      <c r="BP219" s="326"/>
      <c r="BQ219" s="326"/>
      <c r="BR219" s="326"/>
      <c r="BS219" s="326"/>
      <c r="BT219" s="326"/>
      <c r="BV219" s="326"/>
      <c r="BW219" s="326"/>
      <c r="BX219" s="326"/>
      <c r="BY219" s="326"/>
      <c r="BZ219" s="326"/>
      <c r="CA219" s="326"/>
      <c r="CC219" s="326"/>
      <c r="CD219" s="326"/>
      <c r="CE219" s="326"/>
      <c r="CF219" s="326"/>
      <c r="CG219" s="326"/>
      <c r="CH219" s="461"/>
      <c r="CJ219" s="326"/>
      <c r="CK219" s="326"/>
      <c r="CL219" s="326"/>
      <c r="CM219" s="326"/>
    </row>
    <row r="220" spans="1:91" ht="15" thickBot="1">
      <c r="A220" s="833"/>
      <c r="B220" s="416"/>
      <c r="D220" s="326"/>
      <c r="E220" s="326"/>
      <c r="F220" s="326"/>
      <c r="G220" s="326"/>
      <c r="H220" s="326"/>
      <c r="I220" s="326"/>
      <c r="K220" s="326"/>
      <c r="L220" s="326"/>
      <c r="M220" s="326"/>
      <c r="N220" s="326"/>
      <c r="O220" s="326"/>
      <c r="P220" s="326"/>
      <c r="R220" s="326"/>
      <c r="S220" s="326"/>
      <c r="T220" s="326"/>
      <c r="U220" s="326"/>
      <c r="V220" s="326"/>
      <c r="W220" s="326"/>
      <c r="Y220" s="326"/>
      <c r="Z220" s="326"/>
      <c r="AA220" s="326"/>
      <c r="AB220" s="326"/>
      <c r="AC220" s="326"/>
      <c r="AD220" s="326"/>
      <c r="AF220" s="326"/>
      <c r="AG220" s="326"/>
      <c r="AH220" s="326"/>
      <c r="AI220" s="326"/>
      <c r="AJ220" s="326"/>
      <c r="AK220" s="326"/>
      <c r="AM220" s="326"/>
      <c r="AN220" s="326"/>
      <c r="AO220" s="326"/>
      <c r="AP220" s="326"/>
      <c r="AQ220" s="326"/>
      <c r="AR220" s="326"/>
      <c r="AT220" s="326"/>
      <c r="AU220" s="326"/>
      <c r="AV220" s="326"/>
      <c r="AW220" s="326"/>
      <c r="AX220" s="326"/>
      <c r="AY220" s="326"/>
      <c r="BA220" s="326"/>
      <c r="BB220" s="326"/>
      <c r="BC220" s="326"/>
      <c r="BD220" s="326"/>
      <c r="BE220" s="326"/>
      <c r="BF220" s="326"/>
      <c r="BH220" s="326"/>
      <c r="BI220" s="326"/>
      <c r="BJ220" s="326"/>
      <c r="BK220" s="326"/>
      <c r="BL220" s="326"/>
      <c r="BM220" s="326"/>
      <c r="BO220" s="326"/>
      <c r="BP220" s="326"/>
      <c r="BQ220" s="326"/>
      <c r="BR220" s="326"/>
      <c r="BS220" s="326"/>
      <c r="BT220" s="326"/>
      <c r="BV220" s="326"/>
      <c r="BW220" s="326"/>
      <c r="BX220" s="326"/>
      <c r="BY220" s="326"/>
      <c r="BZ220" s="326"/>
      <c r="CA220" s="326"/>
      <c r="CC220" s="326"/>
      <c r="CD220" s="326"/>
      <c r="CE220" s="326"/>
      <c r="CF220" s="326"/>
      <c r="CG220" s="326"/>
      <c r="CH220" s="461"/>
      <c r="CJ220" s="326"/>
      <c r="CK220" s="326"/>
      <c r="CL220" s="326"/>
      <c r="CM220" s="326"/>
    </row>
    <row r="221" spans="1:91">
      <c r="A221" s="722"/>
      <c r="B221" s="416"/>
      <c r="D221" s="326"/>
      <c r="E221" s="326"/>
      <c r="F221" s="326"/>
      <c r="G221" s="326"/>
      <c r="H221" s="326"/>
      <c r="I221" s="326"/>
      <c r="K221" s="326"/>
      <c r="L221" s="326"/>
      <c r="M221" s="326"/>
      <c r="N221" s="326"/>
      <c r="O221" s="326"/>
      <c r="P221" s="326"/>
      <c r="R221" s="326"/>
      <c r="S221" s="326"/>
      <c r="T221" s="326"/>
      <c r="U221" s="326"/>
      <c r="V221" s="326"/>
      <c r="W221" s="326"/>
      <c r="Y221" s="326"/>
      <c r="Z221" s="326"/>
      <c r="AA221" s="326"/>
      <c r="AB221" s="326"/>
      <c r="AC221" s="326"/>
      <c r="AD221" s="326"/>
      <c r="AF221" s="326"/>
      <c r="AG221" s="326"/>
      <c r="AH221" s="326"/>
      <c r="AI221" s="326"/>
      <c r="AJ221" s="326"/>
      <c r="AK221" s="326"/>
      <c r="AM221" s="326"/>
      <c r="AN221" s="326"/>
      <c r="AO221" s="326"/>
      <c r="AP221" s="326"/>
      <c r="AQ221" s="326"/>
      <c r="AR221" s="326"/>
      <c r="AT221" s="326"/>
      <c r="AU221" s="326"/>
      <c r="AV221" s="326"/>
      <c r="AW221" s="326"/>
      <c r="AX221" s="326"/>
      <c r="AY221" s="326"/>
      <c r="BA221" s="326"/>
      <c r="BB221" s="326"/>
      <c r="BC221" s="326"/>
      <c r="BD221" s="326"/>
      <c r="BE221" s="326"/>
      <c r="BF221" s="326"/>
      <c r="BH221" s="326"/>
      <c r="BI221" s="326"/>
      <c r="BJ221" s="326"/>
      <c r="BK221" s="326"/>
      <c r="BL221" s="326"/>
      <c r="BM221" s="326"/>
      <c r="BO221" s="326"/>
      <c r="BP221" s="326"/>
      <c r="BQ221" s="326"/>
      <c r="BR221" s="326"/>
      <c r="BS221" s="326"/>
      <c r="BT221" s="326"/>
      <c r="BV221" s="326"/>
      <c r="BW221" s="326"/>
      <c r="BX221" s="326"/>
      <c r="BY221" s="326"/>
      <c r="BZ221" s="326"/>
      <c r="CA221" s="326"/>
      <c r="CC221" s="326"/>
      <c r="CD221" s="326"/>
      <c r="CE221" s="326"/>
      <c r="CF221" s="326"/>
      <c r="CG221" s="326"/>
      <c r="CH221" s="461"/>
      <c r="CJ221" s="326"/>
      <c r="CK221" s="326"/>
      <c r="CL221" s="326"/>
      <c r="CM221" s="326"/>
    </row>
    <row r="224" spans="1:91">
      <c r="A224" s="484"/>
      <c r="B224" s="485" t="s">
        <v>151</v>
      </c>
      <c r="C224" s="180">
        <f>COUNTIF(C4:C108,"*CSO*")</f>
        <v>1</v>
      </c>
      <c r="D224" s="180">
        <f>COUNTIF(D4:D108,"*CSO*")</f>
        <v>1</v>
      </c>
      <c r="E224" s="180">
        <f>COUNTIF(E4:E108,"*CSO*")</f>
        <v>1</v>
      </c>
      <c r="F224" s="180">
        <f>COUNTIF(F4:F108,"*CSO*")</f>
        <v>1</v>
      </c>
      <c r="G224" s="180">
        <f>COUNTIF(G4:G108,"*CSO*")</f>
        <v>1</v>
      </c>
      <c r="H224" s="326"/>
      <c r="I224" s="326"/>
      <c r="J224" s="180">
        <f>COUNTIF(J4:J108,"*CSO*")</f>
        <v>1</v>
      </c>
      <c r="K224" s="180">
        <f>COUNTIF(K4:K108,"*CSO*")</f>
        <v>1</v>
      </c>
      <c r="L224" s="180">
        <f>COUNTIF(L4:L108,"*CSO*")</f>
        <v>1</v>
      </c>
      <c r="M224" s="180">
        <f>COUNTIF(M4:M108,"*CSO*")</f>
        <v>1</v>
      </c>
      <c r="N224" s="180">
        <f>COUNTIF(N4:N108,"*CSO*")</f>
        <v>1</v>
      </c>
      <c r="O224" s="326"/>
      <c r="P224" s="326"/>
      <c r="Q224" s="180">
        <f>COUNTIF(Q4:Q108,"*CSO*")</f>
        <v>1</v>
      </c>
      <c r="R224" s="180">
        <f>COUNTIF(R4:R108,"*CSO*")</f>
        <v>1</v>
      </c>
      <c r="S224" s="180">
        <f>COUNTIF(S4:S108,"*CSO*")</f>
        <v>1</v>
      </c>
      <c r="T224" s="180">
        <f>COUNTIF(T4:T108,"*CSO*")</f>
        <v>1</v>
      </c>
      <c r="U224" s="180">
        <f>COUNTIF(U4:U108,"*CSO*")</f>
        <v>1</v>
      </c>
      <c r="V224" s="326"/>
      <c r="W224" s="326"/>
      <c r="X224" s="180">
        <f>COUNTIF(X4:X108,"*CSO*")</f>
        <v>1</v>
      </c>
      <c r="Y224" s="180">
        <f>COUNTIF(Y4:Y108,"*CSO*")</f>
        <v>1</v>
      </c>
      <c r="Z224" s="180">
        <f>COUNTIF(Z4:Z108,"*CSO*")</f>
        <v>1</v>
      </c>
      <c r="AA224" s="180">
        <f>COUNTIF(AA4:AA108,"*CSO*")</f>
        <v>1</v>
      </c>
      <c r="AB224" s="180">
        <f>COUNTIF(AB4:AB108,"*CSO*")</f>
        <v>1</v>
      </c>
      <c r="AC224" s="326"/>
      <c r="AD224" s="326"/>
      <c r="AE224" s="180">
        <f>COUNTIF(AE4:AE108,"*CSO*")</f>
        <v>1</v>
      </c>
      <c r="AF224" s="180">
        <f>COUNTIF(AF4:AF108,"*CSO*")</f>
        <v>1</v>
      </c>
      <c r="AG224" s="180">
        <f>COUNTIF(AG4:AG108,"*CSO*")</f>
        <v>1</v>
      </c>
      <c r="AH224" s="180">
        <f>COUNTIF(AH4:AH108,"*CSO*")</f>
        <v>1</v>
      </c>
      <c r="AI224" s="180">
        <f>COUNTIF(AI4:AI108,"*CSO*")</f>
        <v>1</v>
      </c>
      <c r="AJ224" s="326"/>
      <c r="AK224" s="326"/>
      <c r="AL224" s="180"/>
      <c r="AM224" s="180">
        <f>COUNTIF(AM4:AM108,"*CSO*")</f>
        <v>1</v>
      </c>
      <c r="AN224" s="180">
        <f>COUNTIF(AN4:AN108,"*CSO*")</f>
        <v>1</v>
      </c>
      <c r="AO224" s="180">
        <f>COUNTIF(AO4:AO108,"*CSO*")</f>
        <v>1</v>
      </c>
      <c r="AP224" s="180">
        <f>COUNTIF(AP4:AP108,"*CSO*")</f>
        <v>1</v>
      </c>
      <c r="AQ224" s="326"/>
      <c r="AR224" s="326"/>
      <c r="AS224" s="180">
        <f>COUNTIF(AS4:AS108,"*CSO*")</f>
        <v>1</v>
      </c>
      <c r="AT224" s="180">
        <f>COUNTIF(AT4:AT108,"*CSO*")</f>
        <v>1</v>
      </c>
      <c r="AU224" s="180">
        <f>COUNTIF(AU4:AU108,"*CSO*")</f>
        <v>1</v>
      </c>
      <c r="AV224" s="180">
        <f>COUNTIF(AV4:AV108,"*CSO*")</f>
        <v>1</v>
      </c>
      <c r="AW224" s="180">
        <f>COUNTIF(AW4:AW108,"*CSO*")</f>
        <v>1</v>
      </c>
      <c r="AX224" s="326"/>
      <c r="AY224" s="326"/>
      <c r="AZ224" s="180">
        <f>COUNTIF(AZ4:AZ108,"*CSO*")</f>
        <v>1</v>
      </c>
      <c r="BA224" s="180">
        <f>COUNTIF(BA4:BA108,"*CSO*")</f>
        <v>1</v>
      </c>
      <c r="BB224" s="180">
        <f>COUNTIF(BB4:BB108,"*CSO*")</f>
        <v>1</v>
      </c>
      <c r="BC224" s="180">
        <f>COUNTIF(BC4:BC108,"*CSO*")</f>
        <v>1</v>
      </c>
      <c r="BD224" s="180">
        <f>COUNTIF(BD4:BD108,"*CSO*")</f>
        <v>1</v>
      </c>
      <c r="BE224" s="326"/>
      <c r="BF224" s="326"/>
      <c r="BG224" s="180">
        <f>COUNTIF(BG4:BG108,"*CSO*")</f>
        <v>1</v>
      </c>
      <c r="BH224" s="180">
        <f>COUNTIF(BH4:BH108,"*CSO*")</f>
        <v>1</v>
      </c>
      <c r="BI224" s="180">
        <f>COUNTIF(BI4:BI108,"*CSO*")</f>
        <v>1</v>
      </c>
      <c r="BJ224" s="180">
        <f>COUNTIF(BJ4:BJ108,"*CSO*")</f>
        <v>1</v>
      </c>
      <c r="BK224" s="180"/>
      <c r="BL224" s="326"/>
      <c r="BM224" s="326"/>
      <c r="BN224" s="180"/>
      <c r="BO224" s="180">
        <f>COUNTIF(BO4:BO108,"*CSO*")</f>
        <v>1</v>
      </c>
      <c r="BP224" s="180">
        <f>COUNTIF(BP4:BP108,"*CSO*")</f>
        <v>1</v>
      </c>
      <c r="BQ224" s="180">
        <f>COUNTIF(BQ4:BQ108,"*CSO*")</f>
        <v>1</v>
      </c>
      <c r="BR224" s="180">
        <f>COUNTIF(BR4:BR108,"*CSO*")</f>
        <v>1</v>
      </c>
      <c r="BS224" s="326"/>
      <c r="BT224" s="326"/>
      <c r="BU224" s="180">
        <f>COUNTIF(BU4:BU108,"*CSO*")</f>
        <v>1</v>
      </c>
      <c r="BV224" s="180">
        <f>COUNTIF(BV4:BV108,"*CSO*")</f>
        <v>1</v>
      </c>
      <c r="BW224" s="180">
        <f>COUNTIF(BW4:BW108,"*CSO*")</f>
        <v>1</v>
      </c>
      <c r="BX224" s="180">
        <f>COUNTIF(BX4:BX108,"*CSO*")</f>
        <v>1</v>
      </c>
      <c r="BY224" s="180">
        <f>COUNTIF(BY4:BY108,"*CSO*")</f>
        <v>1</v>
      </c>
      <c r="BZ224" s="326"/>
      <c r="CA224" s="326"/>
      <c r="CB224" s="180">
        <f>COUNTIF(CB4:CB108,"*CSO*")</f>
        <v>1</v>
      </c>
      <c r="CC224" s="180">
        <f>COUNTIF(CC4:CC108,"*CSO*")</f>
        <v>1</v>
      </c>
      <c r="CD224" s="180">
        <f>COUNTIF(CD4:CD108,"*CSO*")</f>
        <v>1</v>
      </c>
      <c r="CE224" s="180">
        <f>COUNTIF(CE4:CE108,"*CSO*")</f>
        <v>1</v>
      </c>
      <c r="CF224" s="180">
        <f>COUNTIF(CF4:CF108,"*CSO*")</f>
        <v>1</v>
      </c>
      <c r="CG224" s="326"/>
      <c r="CH224" s="326"/>
      <c r="CI224" s="180">
        <f>COUNTIF(CI4:CI108,"*CSO*")</f>
        <v>1</v>
      </c>
      <c r="CJ224" s="180">
        <f>COUNTIF(CJ4:CJ108,"*CSO*")</f>
        <v>1</v>
      </c>
      <c r="CK224" s="180">
        <f>COUNTIF(CK4:CK108,"*CSO*")</f>
        <v>1</v>
      </c>
      <c r="CL224" s="180">
        <f>COUNTIF(CL4:CL108,"*CSO*")</f>
        <v>1</v>
      </c>
      <c r="CM224" s="180">
        <f>COUNTIF(CM4:CM108,"*CSO*")</f>
        <v>1</v>
      </c>
    </row>
    <row r="225" spans="1:94">
      <c r="A225" s="484"/>
      <c r="B225" s="486" t="s">
        <v>285</v>
      </c>
      <c r="C225" s="18">
        <f t="shared" ref="C225:AH225" si="39">COUNTIF(C5:C108,"*ARC*")</f>
        <v>1</v>
      </c>
      <c r="D225" s="18">
        <f t="shared" si="39"/>
        <v>1</v>
      </c>
      <c r="E225" s="18">
        <f t="shared" si="39"/>
        <v>1</v>
      </c>
      <c r="F225" s="18">
        <f t="shared" si="39"/>
        <v>1</v>
      </c>
      <c r="G225" s="18">
        <f t="shared" si="39"/>
        <v>1</v>
      </c>
      <c r="H225" s="18">
        <f t="shared" si="39"/>
        <v>1</v>
      </c>
      <c r="I225" s="18">
        <f t="shared" si="39"/>
        <v>1</v>
      </c>
      <c r="J225" s="18">
        <f t="shared" si="39"/>
        <v>1</v>
      </c>
      <c r="K225" s="18">
        <f t="shared" si="39"/>
        <v>1</v>
      </c>
      <c r="L225" s="18">
        <f t="shared" si="39"/>
        <v>1</v>
      </c>
      <c r="M225" s="18">
        <f t="shared" si="39"/>
        <v>1</v>
      </c>
      <c r="N225" s="18">
        <f t="shared" si="39"/>
        <v>1</v>
      </c>
      <c r="O225" s="18">
        <f t="shared" si="39"/>
        <v>1</v>
      </c>
      <c r="P225" s="18">
        <f t="shared" si="39"/>
        <v>1</v>
      </c>
      <c r="Q225" s="18">
        <f t="shared" si="39"/>
        <v>1</v>
      </c>
      <c r="R225" s="18">
        <f t="shared" si="39"/>
        <v>1</v>
      </c>
      <c r="S225" s="18">
        <f t="shared" si="39"/>
        <v>1</v>
      </c>
      <c r="T225" s="18">
        <f t="shared" si="39"/>
        <v>1</v>
      </c>
      <c r="U225" s="18">
        <f t="shared" si="39"/>
        <v>1</v>
      </c>
      <c r="V225" s="18">
        <f t="shared" si="39"/>
        <v>1</v>
      </c>
      <c r="W225" s="18">
        <f t="shared" si="39"/>
        <v>1</v>
      </c>
      <c r="X225" s="18">
        <f t="shared" si="39"/>
        <v>1</v>
      </c>
      <c r="Y225" s="18">
        <f t="shared" si="39"/>
        <v>1</v>
      </c>
      <c r="Z225" s="18">
        <f t="shared" si="39"/>
        <v>1</v>
      </c>
      <c r="AA225" s="18">
        <f t="shared" si="39"/>
        <v>1</v>
      </c>
      <c r="AB225" s="18">
        <f t="shared" si="39"/>
        <v>1</v>
      </c>
      <c r="AC225" s="18">
        <f t="shared" si="39"/>
        <v>1</v>
      </c>
      <c r="AD225" s="18">
        <f t="shared" si="39"/>
        <v>1</v>
      </c>
      <c r="AE225" s="18">
        <f t="shared" si="39"/>
        <v>1</v>
      </c>
      <c r="AF225" s="18">
        <f t="shared" si="39"/>
        <v>1</v>
      </c>
      <c r="AG225" s="18">
        <f t="shared" si="39"/>
        <v>1</v>
      </c>
      <c r="AH225" s="18">
        <f t="shared" si="39"/>
        <v>1</v>
      </c>
      <c r="AI225" s="18">
        <f t="shared" ref="AI225:BN225" si="40">COUNTIF(AI5:AI108,"*ARC*")</f>
        <v>1</v>
      </c>
      <c r="AJ225" s="18">
        <f t="shared" si="40"/>
        <v>1</v>
      </c>
      <c r="AK225" s="18">
        <f t="shared" si="40"/>
        <v>1</v>
      </c>
      <c r="AL225" s="18">
        <f t="shared" si="40"/>
        <v>1</v>
      </c>
      <c r="AM225" s="18">
        <f t="shared" si="40"/>
        <v>1</v>
      </c>
      <c r="AN225" s="18">
        <f t="shared" si="40"/>
        <v>1</v>
      </c>
      <c r="AO225" s="18">
        <f t="shared" si="40"/>
        <v>1</v>
      </c>
      <c r="AP225" s="18">
        <f t="shared" si="40"/>
        <v>1</v>
      </c>
      <c r="AQ225" s="18">
        <f t="shared" si="40"/>
        <v>0</v>
      </c>
      <c r="AR225" s="18">
        <f t="shared" si="40"/>
        <v>1</v>
      </c>
      <c r="AS225" s="18">
        <f t="shared" si="40"/>
        <v>1</v>
      </c>
      <c r="AT225" s="18">
        <f t="shared" si="40"/>
        <v>1</v>
      </c>
      <c r="AU225" s="18">
        <f t="shared" si="40"/>
        <v>1</v>
      </c>
      <c r="AV225" s="18">
        <f t="shared" si="40"/>
        <v>1</v>
      </c>
      <c r="AW225" s="18">
        <f t="shared" si="40"/>
        <v>1</v>
      </c>
      <c r="AX225" s="18">
        <f t="shared" si="40"/>
        <v>1</v>
      </c>
      <c r="AY225" s="18">
        <f t="shared" si="40"/>
        <v>1</v>
      </c>
      <c r="AZ225" s="18">
        <f t="shared" si="40"/>
        <v>1</v>
      </c>
      <c r="BA225" s="18">
        <f t="shared" si="40"/>
        <v>1</v>
      </c>
      <c r="BB225" s="18">
        <f t="shared" si="40"/>
        <v>1</v>
      </c>
      <c r="BC225" s="18">
        <f t="shared" si="40"/>
        <v>1</v>
      </c>
      <c r="BD225" s="18">
        <f t="shared" si="40"/>
        <v>1</v>
      </c>
      <c r="BE225" s="18">
        <f t="shared" si="40"/>
        <v>1</v>
      </c>
      <c r="BF225" s="18">
        <f t="shared" si="40"/>
        <v>0</v>
      </c>
      <c r="BG225" s="18">
        <f t="shared" si="40"/>
        <v>1</v>
      </c>
      <c r="BH225" s="18">
        <f t="shared" si="40"/>
        <v>1</v>
      </c>
      <c r="BI225" s="18">
        <f t="shared" si="40"/>
        <v>1</v>
      </c>
      <c r="BJ225" s="18">
        <f t="shared" si="40"/>
        <v>1</v>
      </c>
      <c r="BK225" s="18">
        <f t="shared" si="40"/>
        <v>1</v>
      </c>
      <c r="BL225" s="18">
        <f t="shared" si="40"/>
        <v>1</v>
      </c>
      <c r="BM225" s="18">
        <f t="shared" si="40"/>
        <v>0</v>
      </c>
      <c r="BN225" s="18">
        <f t="shared" si="40"/>
        <v>1</v>
      </c>
      <c r="BO225" s="18">
        <f t="shared" ref="BO225:CO225" si="41">COUNTIF(BO5:BO108,"*ARC*")</f>
        <v>1</v>
      </c>
      <c r="BP225" s="18">
        <f t="shared" si="41"/>
        <v>1</v>
      </c>
      <c r="BQ225" s="18">
        <f t="shared" si="41"/>
        <v>1</v>
      </c>
      <c r="BR225" s="18">
        <f t="shared" si="41"/>
        <v>1</v>
      </c>
      <c r="BS225" s="18">
        <f t="shared" si="41"/>
        <v>1</v>
      </c>
      <c r="BT225" s="18">
        <f t="shared" si="41"/>
        <v>0</v>
      </c>
      <c r="BU225" s="18">
        <f t="shared" si="41"/>
        <v>1</v>
      </c>
      <c r="BV225" s="18">
        <f t="shared" si="41"/>
        <v>1</v>
      </c>
      <c r="BW225" s="18">
        <f t="shared" si="41"/>
        <v>1</v>
      </c>
      <c r="BX225" s="18">
        <f t="shared" si="41"/>
        <v>1</v>
      </c>
      <c r="BY225" s="18">
        <f t="shared" si="41"/>
        <v>1</v>
      </c>
      <c r="BZ225" s="18">
        <f t="shared" si="41"/>
        <v>1</v>
      </c>
      <c r="CA225" s="18">
        <f t="shared" si="41"/>
        <v>1</v>
      </c>
      <c r="CB225" s="18">
        <f t="shared" si="41"/>
        <v>1</v>
      </c>
      <c r="CC225" s="18">
        <f t="shared" si="41"/>
        <v>1</v>
      </c>
      <c r="CD225" s="18">
        <f t="shared" si="41"/>
        <v>1</v>
      </c>
      <c r="CE225" s="18">
        <f t="shared" si="41"/>
        <v>1</v>
      </c>
      <c r="CF225" s="18">
        <f t="shared" si="41"/>
        <v>1</v>
      </c>
      <c r="CG225" s="18">
        <f t="shared" si="41"/>
        <v>1</v>
      </c>
      <c r="CH225" s="18">
        <f t="shared" si="41"/>
        <v>1</v>
      </c>
      <c r="CI225" s="18">
        <f t="shared" si="41"/>
        <v>1</v>
      </c>
      <c r="CJ225" s="18">
        <f t="shared" si="41"/>
        <v>1</v>
      </c>
      <c r="CK225" s="18">
        <f t="shared" si="41"/>
        <v>1</v>
      </c>
      <c r="CL225" s="18">
        <f t="shared" si="41"/>
        <v>1</v>
      </c>
      <c r="CM225" s="18">
        <f t="shared" si="41"/>
        <v>1</v>
      </c>
      <c r="CN225" s="18">
        <f t="shared" si="41"/>
        <v>0</v>
      </c>
      <c r="CO225" s="18">
        <f t="shared" si="41"/>
        <v>1</v>
      </c>
    </row>
    <row r="226" spans="1:94">
      <c r="A226" s="484"/>
      <c r="B226" s="487" t="s">
        <v>286</v>
      </c>
      <c r="C226" s="18">
        <f t="shared" ref="C226:AH226" si="42">COUNTIF(C5:C103,"*AAC*")</f>
        <v>1</v>
      </c>
      <c r="D226" s="18">
        <f t="shared" si="42"/>
        <v>1</v>
      </c>
      <c r="E226" s="18">
        <f t="shared" si="42"/>
        <v>1</v>
      </c>
      <c r="F226" s="18">
        <f t="shared" si="42"/>
        <v>1</v>
      </c>
      <c r="G226" s="18">
        <f t="shared" si="42"/>
        <v>1</v>
      </c>
      <c r="H226" s="18">
        <f t="shared" si="42"/>
        <v>1</v>
      </c>
      <c r="I226" s="18">
        <f t="shared" si="42"/>
        <v>1</v>
      </c>
      <c r="J226" s="18">
        <f t="shared" si="42"/>
        <v>1</v>
      </c>
      <c r="K226" s="18">
        <f t="shared" si="42"/>
        <v>1</v>
      </c>
      <c r="L226" s="18">
        <f t="shared" si="42"/>
        <v>1</v>
      </c>
      <c r="M226" s="18">
        <f t="shared" si="42"/>
        <v>1</v>
      </c>
      <c r="N226" s="18">
        <f t="shared" si="42"/>
        <v>1</v>
      </c>
      <c r="O226" s="18">
        <f t="shared" si="42"/>
        <v>1</v>
      </c>
      <c r="P226" s="18">
        <f t="shared" si="42"/>
        <v>1</v>
      </c>
      <c r="Q226" s="18">
        <f t="shared" si="42"/>
        <v>1</v>
      </c>
      <c r="R226" s="18">
        <f t="shared" si="42"/>
        <v>1</v>
      </c>
      <c r="S226" s="18">
        <f t="shared" si="42"/>
        <v>1</v>
      </c>
      <c r="T226" s="18">
        <f t="shared" si="42"/>
        <v>1</v>
      </c>
      <c r="U226" s="18">
        <f t="shared" si="42"/>
        <v>1</v>
      </c>
      <c r="V226" s="18">
        <f t="shared" si="42"/>
        <v>1</v>
      </c>
      <c r="W226" s="18">
        <f t="shared" si="42"/>
        <v>1</v>
      </c>
      <c r="X226" s="18">
        <f t="shared" si="42"/>
        <v>1</v>
      </c>
      <c r="Y226" s="18">
        <f t="shared" si="42"/>
        <v>1</v>
      </c>
      <c r="Z226" s="18">
        <f t="shared" si="42"/>
        <v>1</v>
      </c>
      <c r="AA226" s="18">
        <f t="shared" si="42"/>
        <v>1</v>
      </c>
      <c r="AB226" s="18">
        <f t="shared" si="42"/>
        <v>1</v>
      </c>
      <c r="AC226" s="18">
        <f t="shared" si="42"/>
        <v>1</v>
      </c>
      <c r="AD226" s="18">
        <f t="shared" si="42"/>
        <v>1</v>
      </c>
      <c r="AE226" s="18">
        <f t="shared" si="42"/>
        <v>1</v>
      </c>
      <c r="AF226" s="18">
        <f t="shared" si="42"/>
        <v>1</v>
      </c>
      <c r="AG226" s="18">
        <f t="shared" si="42"/>
        <v>1</v>
      </c>
      <c r="AH226" s="18">
        <f t="shared" si="42"/>
        <v>1</v>
      </c>
      <c r="AI226" s="18">
        <f t="shared" ref="AI226:BN226" si="43">COUNTIF(AI5:AI103,"*AAC*")</f>
        <v>1</v>
      </c>
      <c r="AJ226" s="18">
        <f t="shared" si="43"/>
        <v>1</v>
      </c>
      <c r="AK226" s="18">
        <f t="shared" si="43"/>
        <v>1</v>
      </c>
      <c r="AL226" s="18">
        <f t="shared" si="43"/>
        <v>1</v>
      </c>
      <c r="AM226" s="18">
        <f t="shared" si="43"/>
        <v>1</v>
      </c>
      <c r="AN226" s="18">
        <f t="shared" si="43"/>
        <v>1</v>
      </c>
      <c r="AO226" s="18">
        <f t="shared" si="43"/>
        <v>1</v>
      </c>
      <c r="AP226" s="18">
        <f t="shared" si="43"/>
        <v>1</v>
      </c>
      <c r="AQ226" s="18">
        <f t="shared" si="43"/>
        <v>1</v>
      </c>
      <c r="AR226" s="18">
        <f t="shared" si="43"/>
        <v>1</v>
      </c>
      <c r="AS226" s="18">
        <f t="shared" si="43"/>
        <v>1</v>
      </c>
      <c r="AT226" s="18">
        <f t="shared" si="43"/>
        <v>1</v>
      </c>
      <c r="AU226" s="18">
        <f t="shared" si="43"/>
        <v>1</v>
      </c>
      <c r="AV226" s="18">
        <f t="shared" si="43"/>
        <v>1</v>
      </c>
      <c r="AW226" s="18">
        <f t="shared" si="43"/>
        <v>1</v>
      </c>
      <c r="AX226" s="18">
        <f t="shared" si="43"/>
        <v>1</v>
      </c>
      <c r="AY226" s="18">
        <f t="shared" si="43"/>
        <v>1</v>
      </c>
      <c r="AZ226" s="18">
        <f t="shared" si="43"/>
        <v>1</v>
      </c>
      <c r="BA226" s="18">
        <f t="shared" si="43"/>
        <v>1</v>
      </c>
      <c r="BB226" s="18">
        <f t="shared" si="43"/>
        <v>1</v>
      </c>
      <c r="BC226" s="18">
        <f t="shared" si="43"/>
        <v>1</v>
      </c>
      <c r="BD226" s="18">
        <f t="shared" si="43"/>
        <v>1</v>
      </c>
      <c r="BE226" s="18">
        <f t="shared" si="43"/>
        <v>1</v>
      </c>
      <c r="BF226" s="18">
        <f t="shared" si="43"/>
        <v>1</v>
      </c>
      <c r="BG226" s="18">
        <f t="shared" si="43"/>
        <v>1</v>
      </c>
      <c r="BH226" s="18">
        <f t="shared" si="43"/>
        <v>1</v>
      </c>
      <c r="BI226" s="18">
        <f t="shared" si="43"/>
        <v>1</v>
      </c>
      <c r="BJ226" s="18">
        <f t="shared" si="43"/>
        <v>1</v>
      </c>
      <c r="BK226" s="18">
        <f t="shared" si="43"/>
        <v>1</v>
      </c>
      <c r="BL226" s="18">
        <f t="shared" si="43"/>
        <v>1</v>
      </c>
      <c r="BM226" s="18">
        <f t="shared" si="43"/>
        <v>1</v>
      </c>
      <c r="BN226" s="18">
        <f t="shared" si="43"/>
        <v>1</v>
      </c>
      <c r="BO226" s="18">
        <f t="shared" ref="BO226:CO226" si="44">COUNTIF(BO5:BO103,"*AAC*")</f>
        <v>1</v>
      </c>
      <c r="BP226" s="18">
        <f t="shared" si="44"/>
        <v>1</v>
      </c>
      <c r="BQ226" s="18">
        <f t="shared" si="44"/>
        <v>1</v>
      </c>
      <c r="BR226" s="18">
        <f t="shared" si="44"/>
        <v>1</v>
      </c>
      <c r="BS226" s="18">
        <f t="shared" si="44"/>
        <v>1</v>
      </c>
      <c r="BT226" s="18">
        <f t="shared" si="44"/>
        <v>1</v>
      </c>
      <c r="BU226" s="18">
        <f t="shared" si="44"/>
        <v>1</v>
      </c>
      <c r="BV226" s="18">
        <f t="shared" si="44"/>
        <v>1</v>
      </c>
      <c r="BW226" s="18">
        <f t="shared" si="44"/>
        <v>1</v>
      </c>
      <c r="BX226" s="18">
        <f t="shared" si="44"/>
        <v>1</v>
      </c>
      <c r="BY226" s="18">
        <f t="shared" si="44"/>
        <v>1</v>
      </c>
      <c r="BZ226" s="18">
        <f t="shared" si="44"/>
        <v>1</v>
      </c>
      <c r="CA226" s="18">
        <f t="shared" si="44"/>
        <v>1</v>
      </c>
      <c r="CB226" s="18">
        <f t="shared" si="44"/>
        <v>1</v>
      </c>
      <c r="CC226" s="18">
        <f t="shared" si="44"/>
        <v>1</v>
      </c>
      <c r="CD226" s="18">
        <f t="shared" si="44"/>
        <v>1</v>
      </c>
      <c r="CE226" s="18">
        <f t="shared" si="44"/>
        <v>1</v>
      </c>
      <c r="CF226" s="18">
        <f t="shared" si="44"/>
        <v>1</v>
      </c>
      <c r="CG226" s="18">
        <f t="shared" si="44"/>
        <v>1</v>
      </c>
      <c r="CH226" s="18">
        <f t="shared" si="44"/>
        <v>1</v>
      </c>
      <c r="CI226" s="18">
        <f t="shared" si="44"/>
        <v>1</v>
      </c>
      <c r="CJ226" s="18">
        <f t="shared" si="44"/>
        <v>1</v>
      </c>
      <c r="CK226" s="18">
        <f t="shared" si="44"/>
        <v>1</v>
      </c>
      <c r="CL226" s="18">
        <f t="shared" si="44"/>
        <v>1</v>
      </c>
      <c r="CM226" s="18">
        <f t="shared" si="44"/>
        <v>1</v>
      </c>
      <c r="CN226" s="18">
        <f t="shared" si="44"/>
        <v>1</v>
      </c>
      <c r="CO226" s="18">
        <f t="shared" si="44"/>
        <v>1</v>
      </c>
    </row>
    <row r="227" spans="1:94">
      <c r="A227" s="484"/>
      <c r="B227" s="488" t="s">
        <v>287</v>
      </c>
      <c r="C227" s="18">
        <f t="shared" ref="C227:AH227" si="45">COUNTIF(C5:C104,"*AGC*")</f>
        <v>1</v>
      </c>
      <c r="D227" s="18">
        <f t="shared" si="45"/>
        <v>1</v>
      </c>
      <c r="E227" s="18">
        <f t="shared" si="45"/>
        <v>1</v>
      </c>
      <c r="F227" s="18">
        <f t="shared" si="45"/>
        <v>1</v>
      </c>
      <c r="G227" s="18">
        <f t="shared" si="45"/>
        <v>1</v>
      </c>
      <c r="H227" s="18">
        <f t="shared" si="45"/>
        <v>1</v>
      </c>
      <c r="I227" s="18">
        <f t="shared" si="45"/>
        <v>1</v>
      </c>
      <c r="J227" s="18">
        <f t="shared" si="45"/>
        <v>1</v>
      </c>
      <c r="K227" s="18">
        <f t="shared" si="45"/>
        <v>1</v>
      </c>
      <c r="L227" s="18">
        <f t="shared" si="45"/>
        <v>1</v>
      </c>
      <c r="M227" s="18">
        <f t="shared" si="45"/>
        <v>1</v>
      </c>
      <c r="N227" s="18">
        <f t="shared" si="45"/>
        <v>1</v>
      </c>
      <c r="O227" s="18">
        <f t="shared" si="45"/>
        <v>1</v>
      </c>
      <c r="P227" s="18">
        <f t="shared" si="45"/>
        <v>1</v>
      </c>
      <c r="Q227" s="18">
        <f t="shared" si="45"/>
        <v>1</v>
      </c>
      <c r="R227" s="18">
        <f t="shared" si="45"/>
        <v>1</v>
      </c>
      <c r="S227" s="18">
        <f t="shared" si="45"/>
        <v>1</v>
      </c>
      <c r="T227" s="18">
        <f t="shared" si="45"/>
        <v>1</v>
      </c>
      <c r="U227" s="18">
        <f t="shared" si="45"/>
        <v>1</v>
      </c>
      <c r="V227" s="18">
        <f t="shared" si="45"/>
        <v>1</v>
      </c>
      <c r="W227" s="18">
        <f t="shared" si="45"/>
        <v>1</v>
      </c>
      <c r="X227" s="18">
        <f t="shared" si="45"/>
        <v>1</v>
      </c>
      <c r="Y227" s="18">
        <f t="shared" si="45"/>
        <v>1</v>
      </c>
      <c r="Z227" s="18">
        <f t="shared" si="45"/>
        <v>1</v>
      </c>
      <c r="AA227" s="18">
        <f t="shared" si="45"/>
        <v>1</v>
      </c>
      <c r="AB227" s="18">
        <f t="shared" si="45"/>
        <v>1</v>
      </c>
      <c r="AC227" s="18">
        <f t="shared" si="45"/>
        <v>1</v>
      </c>
      <c r="AD227" s="18">
        <f t="shared" si="45"/>
        <v>1</v>
      </c>
      <c r="AE227" s="18">
        <f t="shared" si="45"/>
        <v>1</v>
      </c>
      <c r="AF227" s="18">
        <f t="shared" si="45"/>
        <v>1</v>
      </c>
      <c r="AG227" s="18">
        <f t="shared" si="45"/>
        <v>1</v>
      </c>
      <c r="AH227" s="18">
        <f t="shared" si="45"/>
        <v>1</v>
      </c>
      <c r="AI227" s="18">
        <f t="shared" ref="AI227:BN227" si="46">COUNTIF(AI5:AI104,"*AGC*")</f>
        <v>1</v>
      </c>
      <c r="AJ227" s="18">
        <f t="shared" si="46"/>
        <v>1</v>
      </c>
      <c r="AK227" s="18">
        <f t="shared" si="46"/>
        <v>1</v>
      </c>
      <c r="AL227" s="18">
        <f t="shared" si="46"/>
        <v>1</v>
      </c>
      <c r="AM227" s="18">
        <f t="shared" si="46"/>
        <v>1</v>
      </c>
      <c r="AN227" s="18">
        <f t="shared" si="46"/>
        <v>1</v>
      </c>
      <c r="AO227" s="18">
        <f t="shared" si="46"/>
        <v>1</v>
      </c>
      <c r="AP227" s="18">
        <f t="shared" si="46"/>
        <v>1</v>
      </c>
      <c r="AQ227" s="18">
        <f t="shared" si="46"/>
        <v>1</v>
      </c>
      <c r="AR227" s="18">
        <f t="shared" si="46"/>
        <v>1</v>
      </c>
      <c r="AS227" s="18">
        <f t="shared" si="46"/>
        <v>1</v>
      </c>
      <c r="AT227" s="18">
        <f t="shared" si="46"/>
        <v>1</v>
      </c>
      <c r="AU227" s="18">
        <f t="shared" si="46"/>
        <v>1</v>
      </c>
      <c r="AV227" s="18">
        <f t="shared" si="46"/>
        <v>1</v>
      </c>
      <c r="AW227" s="18">
        <f t="shared" si="46"/>
        <v>1</v>
      </c>
      <c r="AX227" s="18">
        <f t="shared" si="46"/>
        <v>1</v>
      </c>
      <c r="AY227" s="18">
        <f t="shared" si="46"/>
        <v>1</v>
      </c>
      <c r="AZ227" s="18">
        <f t="shared" si="46"/>
        <v>1</v>
      </c>
      <c r="BA227" s="18">
        <f t="shared" si="46"/>
        <v>1</v>
      </c>
      <c r="BB227" s="18">
        <f t="shared" si="46"/>
        <v>1</v>
      </c>
      <c r="BC227" s="18">
        <f t="shared" si="46"/>
        <v>1</v>
      </c>
      <c r="BD227" s="18">
        <f t="shared" si="46"/>
        <v>1</v>
      </c>
      <c r="BE227" s="18">
        <f t="shared" si="46"/>
        <v>1</v>
      </c>
      <c r="BF227" s="18">
        <f t="shared" si="46"/>
        <v>1</v>
      </c>
      <c r="BG227" s="18">
        <f t="shared" si="46"/>
        <v>1</v>
      </c>
      <c r="BH227" s="18">
        <f t="shared" si="46"/>
        <v>1</v>
      </c>
      <c r="BI227" s="18">
        <f t="shared" si="46"/>
        <v>1</v>
      </c>
      <c r="BJ227" s="18">
        <f t="shared" si="46"/>
        <v>1</v>
      </c>
      <c r="BK227" s="18">
        <f t="shared" si="46"/>
        <v>1</v>
      </c>
      <c r="BL227" s="18">
        <f t="shared" si="46"/>
        <v>1</v>
      </c>
      <c r="BM227" s="18">
        <f t="shared" si="46"/>
        <v>1</v>
      </c>
      <c r="BN227" s="18">
        <f t="shared" si="46"/>
        <v>1</v>
      </c>
      <c r="BO227" s="18">
        <f t="shared" ref="BO227:CO227" si="47">COUNTIF(BO5:BO104,"*AGC*")</f>
        <v>1</v>
      </c>
      <c r="BP227" s="18">
        <f t="shared" si="47"/>
        <v>1</v>
      </c>
      <c r="BQ227" s="18">
        <f t="shared" si="47"/>
        <v>1</v>
      </c>
      <c r="BR227" s="18">
        <f t="shared" si="47"/>
        <v>1</v>
      </c>
      <c r="BS227" s="18">
        <f t="shared" si="47"/>
        <v>1</v>
      </c>
      <c r="BT227" s="18">
        <f t="shared" si="47"/>
        <v>1</v>
      </c>
      <c r="BU227" s="18">
        <f t="shared" si="47"/>
        <v>1</v>
      </c>
      <c r="BV227" s="18">
        <f t="shared" si="47"/>
        <v>1</v>
      </c>
      <c r="BW227" s="18">
        <f t="shared" si="47"/>
        <v>1</v>
      </c>
      <c r="BX227" s="18">
        <f t="shared" si="47"/>
        <v>1</v>
      </c>
      <c r="BY227" s="18">
        <f t="shared" si="47"/>
        <v>1</v>
      </c>
      <c r="BZ227" s="18">
        <f t="shared" si="47"/>
        <v>1</v>
      </c>
      <c r="CA227" s="18">
        <f t="shared" si="47"/>
        <v>1</v>
      </c>
      <c r="CB227" s="18">
        <f t="shared" si="47"/>
        <v>1</v>
      </c>
      <c r="CC227" s="18">
        <f t="shared" si="47"/>
        <v>1</v>
      </c>
      <c r="CD227" s="18">
        <f t="shared" si="47"/>
        <v>1</v>
      </c>
      <c r="CE227" s="18">
        <f t="shared" si="47"/>
        <v>1</v>
      </c>
      <c r="CF227" s="18">
        <f t="shared" si="47"/>
        <v>1</v>
      </c>
      <c r="CG227" s="18">
        <f t="shared" si="47"/>
        <v>1</v>
      </c>
      <c r="CH227" s="18">
        <f t="shared" si="47"/>
        <v>1</v>
      </c>
      <c r="CI227" s="18">
        <f t="shared" si="47"/>
        <v>1</v>
      </c>
      <c r="CJ227" s="18">
        <f t="shared" si="47"/>
        <v>1</v>
      </c>
      <c r="CK227" s="18">
        <f t="shared" si="47"/>
        <v>1</v>
      </c>
      <c r="CL227" s="18">
        <f t="shared" si="47"/>
        <v>1</v>
      </c>
      <c r="CM227" s="18">
        <f t="shared" si="47"/>
        <v>1</v>
      </c>
      <c r="CN227" s="18">
        <f t="shared" si="47"/>
        <v>1</v>
      </c>
      <c r="CO227" s="18">
        <f t="shared" si="47"/>
        <v>1</v>
      </c>
    </row>
    <row r="228" spans="1:94">
      <c r="A228" s="484"/>
      <c r="B228" s="489" t="s">
        <v>288</v>
      </c>
      <c r="C228" s="18">
        <f t="shared" ref="C228:AH228" si="48">COUNTIF(C5:C104,"*ACC*")</f>
        <v>1</v>
      </c>
      <c r="D228" s="18">
        <f t="shared" si="48"/>
        <v>1</v>
      </c>
      <c r="E228" s="18">
        <f t="shared" si="48"/>
        <v>1</v>
      </c>
      <c r="F228" s="18">
        <f t="shared" si="48"/>
        <v>1</v>
      </c>
      <c r="G228" s="18">
        <f t="shared" si="48"/>
        <v>1</v>
      </c>
      <c r="H228" s="18">
        <f t="shared" si="48"/>
        <v>0</v>
      </c>
      <c r="I228" s="18">
        <f t="shared" si="48"/>
        <v>1</v>
      </c>
      <c r="J228" s="18">
        <f t="shared" si="48"/>
        <v>1</v>
      </c>
      <c r="K228" s="18">
        <f t="shared" si="48"/>
        <v>1</v>
      </c>
      <c r="L228" s="18">
        <f t="shared" si="48"/>
        <v>1</v>
      </c>
      <c r="M228" s="18">
        <f t="shared" si="48"/>
        <v>1</v>
      </c>
      <c r="N228" s="18">
        <f t="shared" si="48"/>
        <v>1</v>
      </c>
      <c r="O228" s="18">
        <f t="shared" si="48"/>
        <v>0</v>
      </c>
      <c r="P228" s="18">
        <f t="shared" si="48"/>
        <v>1</v>
      </c>
      <c r="Q228" s="18">
        <f t="shared" si="48"/>
        <v>1</v>
      </c>
      <c r="R228" s="18">
        <f t="shared" si="48"/>
        <v>1</v>
      </c>
      <c r="S228" s="18">
        <f t="shared" si="48"/>
        <v>1</v>
      </c>
      <c r="T228" s="18">
        <f t="shared" si="48"/>
        <v>1</v>
      </c>
      <c r="U228" s="18">
        <f t="shared" si="48"/>
        <v>1</v>
      </c>
      <c r="V228" s="18">
        <f t="shared" si="48"/>
        <v>0</v>
      </c>
      <c r="W228" s="18">
        <f t="shared" si="48"/>
        <v>1</v>
      </c>
      <c r="X228" s="18">
        <f t="shared" si="48"/>
        <v>1</v>
      </c>
      <c r="Y228" s="18">
        <f t="shared" si="48"/>
        <v>1</v>
      </c>
      <c r="Z228" s="18">
        <f t="shared" si="48"/>
        <v>1</v>
      </c>
      <c r="AA228" s="18">
        <f t="shared" si="48"/>
        <v>1</v>
      </c>
      <c r="AB228" s="18">
        <f t="shared" si="48"/>
        <v>1</v>
      </c>
      <c r="AC228" s="18">
        <f t="shared" si="48"/>
        <v>1</v>
      </c>
      <c r="AD228" s="18">
        <f t="shared" si="48"/>
        <v>1</v>
      </c>
      <c r="AE228" s="18">
        <f t="shared" si="48"/>
        <v>1</v>
      </c>
      <c r="AF228" s="18">
        <f t="shared" si="48"/>
        <v>1</v>
      </c>
      <c r="AG228" s="18">
        <f t="shared" si="48"/>
        <v>1</v>
      </c>
      <c r="AH228" s="18">
        <f t="shared" si="48"/>
        <v>1</v>
      </c>
      <c r="AI228" s="18">
        <f t="shared" ref="AI228:BN228" si="49">COUNTIF(AI5:AI104,"*ACC*")</f>
        <v>1</v>
      </c>
      <c r="AJ228" s="18">
        <f t="shared" si="49"/>
        <v>0</v>
      </c>
      <c r="AK228" s="18">
        <f t="shared" si="49"/>
        <v>1</v>
      </c>
      <c r="AL228" s="18">
        <f t="shared" si="49"/>
        <v>1</v>
      </c>
      <c r="AM228" s="18">
        <f t="shared" si="49"/>
        <v>1</v>
      </c>
      <c r="AN228" s="18">
        <f t="shared" si="49"/>
        <v>1</v>
      </c>
      <c r="AO228" s="18">
        <f t="shared" si="49"/>
        <v>1</v>
      </c>
      <c r="AP228" s="18">
        <f t="shared" si="49"/>
        <v>1</v>
      </c>
      <c r="AQ228" s="18">
        <f t="shared" si="49"/>
        <v>0</v>
      </c>
      <c r="AR228" s="18">
        <f t="shared" si="49"/>
        <v>1</v>
      </c>
      <c r="AS228" s="18">
        <f t="shared" si="49"/>
        <v>1</v>
      </c>
      <c r="AT228" s="18">
        <f t="shared" si="49"/>
        <v>1</v>
      </c>
      <c r="AU228" s="18">
        <f t="shared" si="49"/>
        <v>1</v>
      </c>
      <c r="AV228" s="18">
        <f t="shared" si="49"/>
        <v>1</v>
      </c>
      <c r="AW228" s="18">
        <f t="shared" si="49"/>
        <v>1</v>
      </c>
      <c r="AX228" s="18">
        <f t="shared" si="49"/>
        <v>1</v>
      </c>
      <c r="AY228" s="18">
        <f t="shared" si="49"/>
        <v>1</v>
      </c>
      <c r="AZ228" s="18">
        <f t="shared" si="49"/>
        <v>1</v>
      </c>
      <c r="BA228" s="18">
        <f t="shared" si="49"/>
        <v>1</v>
      </c>
      <c r="BB228" s="18">
        <f t="shared" si="49"/>
        <v>1</v>
      </c>
      <c r="BC228" s="18">
        <f t="shared" si="49"/>
        <v>1</v>
      </c>
      <c r="BD228" s="18">
        <f t="shared" si="49"/>
        <v>1</v>
      </c>
      <c r="BE228" s="18">
        <f t="shared" si="49"/>
        <v>0</v>
      </c>
      <c r="BF228" s="18">
        <f t="shared" si="49"/>
        <v>1</v>
      </c>
      <c r="BG228" s="18">
        <f t="shared" si="49"/>
        <v>1</v>
      </c>
      <c r="BH228" s="18">
        <f t="shared" si="49"/>
        <v>1</v>
      </c>
      <c r="BI228" s="18">
        <f t="shared" si="49"/>
        <v>1</v>
      </c>
      <c r="BJ228" s="18">
        <f t="shared" si="49"/>
        <v>1</v>
      </c>
      <c r="BK228" s="18">
        <f t="shared" si="49"/>
        <v>1</v>
      </c>
      <c r="BL228" s="18">
        <f t="shared" si="49"/>
        <v>0</v>
      </c>
      <c r="BM228" s="18">
        <f t="shared" si="49"/>
        <v>1</v>
      </c>
      <c r="BN228" s="18">
        <f t="shared" si="49"/>
        <v>1</v>
      </c>
      <c r="BO228" s="18">
        <f t="shared" ref="BO228:CO228" si="50">COUNTIF(BO5:BO104,"*ACC*")</f>
        <v>1</v>
      </c>
      <c r="BP228" s="18">
        <f t="shared" si="50"/>
        <v>1</v>
      </c>
      <c r="BQ228" s="18">
        <f t="shared" si="50"/>
        <v>1</v>
      </c>
      <c r="BR228" s="18">
        <f t="shared" si="50"/>
        <v>1</v>
      </c>
      <c r="BS228" s="18">
        <f t="shared" si="50"/>
        <v>0</v>
      </c>
      <c r="BT228" s="18">
        <f t="shared" si="50"/>
        <v>1</v>
      </c>
      <c r="BU228" s="18">
        <f t="shared" si="50"/>
        <v>1</v>
      </c>
      <c r="BV228" s="18">
        <f t="shared" si="50"/>
        <v>1</v>
      </c>
      <c r="BW228" s="18">
        <f t="shared" si="50"/>
        <v>1</v>
      </c>
      <c r="BX228" s="18">
        <f t="shared" si="50"/>
        <v>1</v>
      </c>
      <c r="BY228" s="18">
        <f t="shared" si="50"/>
        <v>1</v>
      </c>
      <c r="BZ228" s="18">
        <f t="shared" si="50"/>
        <v>0</v>
      </c>
      <c r="CA228" s="18">
        <f t="shared" si="50"/>
        <v>1</v>
      </c>
      <c r="CB228" s="18">
        <f t="shared" si="50"/>
        <v>1</v>
      </c>
      <c r="CC228" s="18">
        <f t="shared" si="50"/>
        <v>1</v>
      </c>
      <c r="CD228" s="18">
        <f t="shared" si="50"/>
        <v>1</v>
      </c>
      <c r="CE228" s="18">
        <f t="shared" si="50"/>
        <v>1</v>
      </c>
      <c r="CF228" s="18">
        <f t="shared" si="50"/>
        <v>1</v>
      </c>
      <c r="CG228" s="18">
        <f t="shared" si="50"/>
        <v>1</v>
      </c>
      <c r="CH228" s="18">
        <f t="shared" si="50"/>
        <v>1</v>
      </c>
      <c r="CI228" s="18">
        <f t="shared" si="50"/>
        <v>1</v>
      </c>
      <c r="CJ228" s="18">
        <f t="shared" si="50"/>
        <v>1</v>
      </c>
      <c r="CK228" s="18">
        <f t="shared" si="50"/>
        <v>1</v>
      </c>
      <c r="CL228" s="18">
        <f t="shared" si="50"/>
        <v>1</v>
      </c>
      <c r="CM228" s="18">
        <f t="shared" si="50"/>
        <v>1</v>
      </c>
      <c r="CN228" s="18">
        <f t="shared" si="50"/>
        <v>1</v>
      </c>
      <c r="CO228" s="18">
        <f t="shared" si="50"/>
        <v>1</v>
      </c>
    </row>
    <row r="229" spans="1:94">
      <c r="A229" s="484"/>
      <c r="B229" s="490" t="s">
        <v>289</v>
      </c>
      <c r="C229" s="18">
        <f t="shared" ref="C229:AH229" si="51">COUNTIF(C6:C108,"*ASSC*")</f>
        <v>1</v>
      </c>
      <c r="D229" s="18">
        <f t="shared" si="51"/>
        <v>1</v>
      </c>
      <c r="E229" s="18">
        <f t="shared" si="51"/>
        <v>1</v>
      </c>
      <c r="F229" s="18">
        <f t="shared" si="51"/>
        <v>1</v>
      </c>
      <c r="G229" s="18">
        <f t="shared" si="51"/>
        <v>1</v>
      </c>
      <c r="H229" s="18">
        <f t="shared" si="51"/>
        <v>1</v>
      </c>
      <c r="I229" s="18">
        <f t="shared" si="51"/>
        <v>1</v>
      </c>
      <c r="J229" s="18">
        <f t="shared" si="51"/>
        <v>1</v>
      </c>
      <c r="K229" s="18">
        <f t="shared" si="51"/>
        <v>1</v>
      </c>
      <c r="L229" s="18">
        <f t="shared" si="51"/>
        <v>1</v>
      </c>
      <c r="M229" s="18">
        <f t="shared" si="51"/>
        <v>1</v>
      </c>
      <c r="N229" s="18">
        <f t="shared" si="51"/>
        <v>1</v>
      </c>
      <c r="O229" s="18">
        <f t="shared" si="51"/>
        <v>1</v>
      </c>
      <c r="P229" s="18">
        <f t="shared" si="51"/>
        <v>1</v>
      </c>
      <c r="Q229" s="18">
        <f t="shared" si="51"/>
        <v>1</v>
      </c>
      <c r="R229" s="18">
        <f t="shared" si="51"/>
        <v>1</v>
      </c>
      <c r="S229" s="18">
        <f t="shared" si="51"/>
        <v>1</v>
      </c>
      <c r="T229" s="18">
        <f t="shared" si="51"/>
        <v>1</v>
      </c>
      <c r="U229" s="18">
        <f t="shared" si="51"/>
        <v>1</v>
      </c>
      <c r="V229" s="18">
        <f t="shared" si="51"/>
        <v>1</v>
      </c>
      <c r="W229" s="18">
        <f t="shared" si="51"/>
        <v>1</v>
      </c>
      <c r="X229" s="18">
        <f t="shared" si="51"/>
        <v>1</v>
      </c>
      <c r="Y229" s="18">
        <f t="shared" si="51"/>
        <v>1</v>
      </c>
      <c r="Z229" s="18">
        <f t="shared" si="51"/>
        <v>1</v>
      </c>
      <c r="AA229" s="18">
        <f t="shared" si="51"/>
        <v>1</v>
      </c>
      <c r="AB229" s="18">
        <f t="shared" si="51"/>
        <v>1</v>
      </c>
      <c r="AC229" s="18">
        <f t="shared" si="51"/>
        <v>1</v>
      </c>
      <c r="AD229" s="18">
        <f t="shared" si="51"/>
        <v>1</v>
      </c>
      <c r="AE229" s="18">
        <f t="shared" si="51"/>
        <v>1</v>
      </c>
      <c r="AF229" s="18">
        <f t="shared" si="51"/>
        <v>1</v>
      </c>
      <c r="AG229" s="18">
        <f t="shared" si="51"/>
        <v>1</v>
      </c>
      <c r="AH229" s="18">
        <f t="shared" si="51"/>
        <v>1</v>
      </c>
      <c r="AI229" s="18">
        <f t="shared" ref="AI229:BN229" si="52">COUNTIF(AI6:AI108,"*ASSC*")</f>
        <v>1</v>
      </c>
      <c r="AJ229" s="18">
        <f t="shared" si="52"/>
        <v>1</v>
      </c>
      <c r="AK229" s="18">
        <f t="shared" si="52"/>
        <v>1</v>
      </c>
      <c r="AL229" s="18">
        <f t="shared" si="52"/>
        <v>1</v>
      </c>
      <c r="AM229" s="18">
        <f t="shared" si="52"/>
        <v>1</v>
      </c>
      <c r="AN229" s="18">
        <f t="shared" si="52"/>
        <v>1</v>
      </c>
      <c r="AO229" s="18">
        <f t="shared" si="52"/>
        <v>1</v>
      </c>
      <c r="AP229" s="18">
        <f t="shared" si="52"/>
        <v>1</v>
      </c>
      <c r="AQ229" s="18">
        <f t="shared" si="52"/>
        <v>1</v>
      </c>
      <c r="AR229" s="18">
        <f t="shared" si="52"/>
        <v>1</v>
      </c>
      <c r="AS229" s="18">
        <f t="shared" si="52"/>
        <v>1</v>
      </c>
      <c r="AT229" s="18">
        <f t="shared" si="52"/>
        <v>1</v>
      </c>
      <c r="AU229" s="18">
        <f t="shared" si="52"/>
        <v>1</v>
      </c>
      <c r="AV229" s="18">
        <f t="shared" si="52"/>
        <v>1</v>
      </c>
      <c r="AW229" s="18">
        <f t="shared" si="52"/>
        <v>1</v>
      </c>
      <c r="AX229" s="18">
        <f t="shared" si="52"/>
        <v>1</v>
      </c>
      <c r="AY229" s="18">
        <f t="shared" si="52"/>
        <v>1</v>
      </c>
      <c r="AZ229" s="18">
        <f t="shared" si="52"/>
        <v>1</v>
      </c>
      <c r="BA229" s="18">
        <f t="shared" si="52"/>
        <v>1</v>
      </c>
      <c r="BB229" s="18">
        <f t="shared" si="52"/>
        <v>1</v>
      </c>
      <c r="BC229" s="18">
        <f t="shared" si="52"/>
        <v>1</v>
      </c>
      <c r="BD229" s="18">
        <f t="shared" si="52"/>
        <v>1</v>
      </c>
      <c r="BE229" s="18">
        <f t="shared" si="52"/>
        <v>1</v>
      </c>
      <c r="BF229" s="18">
        <f t="shared" si="52"/>
        <v>1</v>
      </c>
      <c r="BG229" s="18">
        <f t="shared" si="52"/>
        <v>1</v>
      </c>
      <c r="BH229" s="18">
        <f t="shared" si="52"/>
        <v>1</v>
      </c>
      <c r="BI229" s="18">
        <f t="shared" si="52"/>
        <v>1</v>
      </c>
      <c r="BJ229" s="18">
        <f t="shared" si="52"/>
        <v>1</v>
      </c>
      <c r="BK229" s="18">
        <f t="shared" si="52"/>
        <v>1</v>
      </c>
      <c r="BL229" s="18">
        <f t="shared" si="52"/>
        <v>1</v>
      </c>
      <c r="BM229" s="18">
        <f t="shared" si="52"/>
        <v>1</v>
      </c>
      <c r="BN229" s="18">
        <f t="shared" si="52"/>
        <v>1</v>
      </c>
      <c r="BO229" s="18">
        <f t="shared" ref="BO229:CO229" si="53">COUNTIF(BO6:BO108,"*ASSC*")</f>
        <v>1</v>
      </c>
      <c r="BP229" s="18">
        <f t="shared" si="53"/>
        <v>1</v>
      </c>
      <c r="BQ229" s="18">
        <f t="shared" si="53"/>
        <v>1</v>
      </c>
      <c r="BR229" s="18">
        <f t="shared" si="53"/>
        <v>1</v>
      </c>
      <c r="BS229" s="18">
        <f t="shared" si="53"/>
        <v>1</v>
      </c>
      <c r="BT229" s="18">
        <f t="shared" si="53"/>
        <v>1</v>
      </c>
      <c r="BU229" s="18">
        <f t="shared" si="53"/>
        <v>1</v>
      </c>
      <c r="BV229" s="18">
        <f t="shared" si="53"/>
        <v>1</v>
      </c>
      <c r="BW229" s="18">
        <f t="shared" si="53"/>
        <v>1</v>
      </c>
      <c r="BX229" s="18">
        <f t="shared" si="53"/>
        <v>1</v>
      </c>
      <c r="BY229" s="18">
        <f t="shared" si="53"/>
        <v>1</v>
      </c>
      <c r="BZ229" s="18">
        <f t="shared" si="53"/>
        <v>1</v>
      </c>
      <c r="CA229" s="18">
        <f t="shared" si="53"/>
        <v>1</v>
      </c>
      <c r="CB229" s="18">
        <f t="shared" si="53"/>
        <v>1</v>
      </c>
      <c r="CC229" s="18">
        <f t="shared" si="53"/>
        <v>1</v>
      </c>
      <c r="CD229" s="18">
        <f t="shared" si="53"/>
        <v>1</v>
      </c>
      <c r="CE229" s="18">
        <f t="shared" si="53"/>
        <v>1</v>
      </c>
      <c r="CF229" s="18">
        <f t="shared" si="53"/>
        <v>1</v>
      </c>
      <c r="CG229" s="18">
        <f t="shared" si="53"/>
        <v>1</v>
      </c>
      <c r="CH229" s="18">
        <f t="shared" si="53"/>
        <v>1</v>
      </c>
      <c r="CI229" s="18">
        <f t="shared" si="53"/>
        <v>1</v>
      </c>
      <c r="CJ229" s="18">
        <f t="shared" si="53"/>
        <v>1</v>
      </c>
      <c r="CK229" s="18">
        <f t="shared" si="53"/>
        <v>1</v>
      </c>
      <c r="CL229" s="18">
        <f t="shared" si="53"/>
        <v>1</v>
      </c>
      <c r="CM229" s="18">
        <f t="shared" si="53"/>
        <v>1</v>
      </c>
      <c r="CN229" s="18">
        <f t="shared" si="53"/>
        <v>1</v>
      </c>
      <c r="CO229" s="18">
        <f t="shared" si="53"/>
        <v>1</v>
      </c>
    </row>
    <row r="230" spans="1:94">
      <c r="A230" s="484"/>
      <c r="B230" s="491" t="s">
        <v>290</v>
      </c>
      <c r="D230" s="18"/>
      <c r="E230" s="18">
        <f>COUNTIF(E6:E110,"*AFC*")+COUNTIF(E6:E110,"*AWC*")</f>
        <v>1</v>
      </c>
      <c r="F230" s="18">
        <f>COUNTIF(F6:F110,"*AFC*")+COUNTIF(F6:F110,"*AWC*")</f>
        <v>1</v>
      </c>
      <c r="G230" s="18">
        <f>COUNTIF(G6:G110,"*AFC*")+COUNTIF(G6:G110,"*AWC*")</f>
        <v>1</v>
      </c>
      <c r="H230" s="18"/>
      <c r="I230" s="18"/>
      <c r="J230" s="18">
        <f>COUNTIF(J6:J110,"*AFC*")+COUNTIF(J6:J110,"*AWC*")</f>
        <v>1</v>
      </c>
      <c r="K230" s="18">
        <f>COUNTIF(K6:K110,"*AFC*")+COUNTIF(K6:K110,"*AWC*")</f>
        <v>1</v>
      </c>
      <c r="L230" s="18">
        <f>COUNTIF(L6:L110,"*AFC*")+COUNTIF(L6:L110,"*AWC*")</f>
        <v>2</v>
      </c>
      <c r="M230" s="18">
        <f>COUNTIF(M6:M110,"*AFC*")+COUNTIF(M6:M110,"*AWC*")</f>
        <v>1</v>
      </c>
      <c r="N230" s="18">
        <f>COUNTIF(N6:N110,"*AFC*")+COUNTIF(N6:N110,"*AWC*")</f>
        <v>1</v>
      </c>
      <c r="O230" s="18"/>
      <c r="P230" s="18"/>
      <c r="R230" s="18"/>
      <c r="S230" s="18">
        <f>COUNTIF(S6:S110,"*AFC*")+COUNTIF(S6:S110,"*AWC*")</f>
        <v>2</v>
      </c>
      <c r="T230" s="18">
        <f>COUNTIF(T6:T110,"*AFC*")+COUNTIF(T6:T110,"*AWC*")</f>
        <v>1</v>
      </c>
      <c r="U230" s="18">
        <f>COUNTIF(U6:U110,"*AFC*")+COUNTIF(U6:U110,"*AWC*")</f>
        <v>1</v>
      </c>
      <c r="V230" s="18"/>
      <c r="W230" s="18"/>
      <c r="X230" s="18">
        <f>COUNTIF(X6:X110,"*AFC*")+COUNTIF(X6:X110,"*AWC*")</f>
        <v>1</v>
      </c>
      <c r="Y230" s="18">
        <f>COUNTIF(Y6:Y110,"*AFC*")+COUNTIF(Y6:Y110,"*AWC*")</f>
        <v>1</v>
      </c>
      <c r="Z230" s="18">
        <f>COUNTIF(Z6:Z110,"*AFC*")+COUNTIF(Z6:Z110,"*AWC*")</f>
        <v>2</v>
      </c>
      <c r="AA230" s="18">
        <f>COUNTIF(AA6:AA110,"*AFC*")+COUNTIF(AA6:AA110,"*AWC*")</f>
        <v>1</v>
      </c>
      <c r="AB230" s="18">
        <f>COUNTIF(AB6:AB110,"*AFC*")+COUNTIF(AB6:AB110,"*AWC*")</f>
        <v>1</v>
      </c>
      <c r="AC230" s="18"/>
      <c r="AD230" s="18"/>
      <c r="AE230" s="18">
        <f>COUNTIF(AE6:AE110,"*AFC*")+COUNTIF(AE6:AE110,"*AWC*")</f>
        <v>1</v>
      </c>
      <c r="AF230" s="18">
        <f>COUNTIF(AF6:AF110,"*AFC*")+COUNTIF(AF6:AF110,"*AWC*")</f>
        <v>1</v>
      </c>
      <c r="AG230" s="18">
        <f>COUNTIF(AG6:AG110,"*AFC*")+COUNTIF(AG6:AG110,"*AWC*")</f>
        <v>2</v>
      </c>
      <c r="AH230" s="18">
        <f>COUNTIF(AH6:AH110,"*AFC*")+COUNTIF(AH6:AH110,"*AWC*")</f>
        <v>1</v>
      </c>
      <c r="AI230" s="18">
        <f>COUNTIF(AI6:AI110,"*AFC*")+COUNTIF(AI6:AI110,"*AWC*")</f>
        <v>1</v>
      </c>
      <c r="AJ230" s="18"/>
      <c r="AK230" s="18"/>
      <c r="AM230" s="18">
        <f>COUNTIF(AM6:AM110,"*AFC*")+COUNTIF(AM6:AM110,"*AWC*")</f>
        <v>2</v>
      </c>
      <c r="AN230" s="18">
        <f>COUNTIF(AN6:AN110,"*AFC*")+COUNTIF(AN6:AN110,"*AWC*")</f>
        <v>2</v>
      </c>
      <c r="AO230" s="18">
        <f>COUNTIF(AO6:AO110,"*AFC*")+COUNTIF(AO6:AO110,"*AWC*")</f>
        <v>2</v>
      </c>
      <c r="AP230" s="18">
        <f>COUNTIF(AP6:AP110,"*AFC*")+COUNTIF(AP6:AP110,"*AWC*")</f>
        <v>1</v>
      </c>
      <c r="AQ230" s="18"/>
      <c r="AR230" s="18"/>
      <c r="AT230" s="18">
        <f>COUNTIF(AT6:AT110,"*AFC*")+COUNTIF(AT6:AT110,"*AWC*")</f>
        <v>2</v>
      </c>
      <c r="AU230" s="18">
        <f>COUNTIF(AU6:AU110,"*AFC*")+COUNTIF(AU6:AU110,"*AWC*")</f>
        <v>2</v>
      </c>
      <c r="AV230" s="18">
        <f>COUNTIF(AV6:AV110,"*AFC*")+COUNTIF(AV6:AV110,"*AWC*")</f>
        <v>1</v>
      </c>
      <c r="AW230" s="18">
        <f>COUNTIF(AW6:AW110,"*AFC*")+COUNTIF(AW6:AW110,"*AWC*")</f>
        <v>1</v>
      </c>
      <c r="AX230" s="18"/>
      <c r="AY230" s="18"/>
      <c r="AZ230" s="18">
        <f>COUNTIF(AZ6:AZ110,"*AFC*")+COUNTIF(AZ6:AZ110,"*AWC*")</f>
        <v>1</v>
      </c>
      <c r="BA230" s="18">
        <f>COUNTIF(BA6:BA110,"*AFC*")+COUNTIF(BA6:BA110,"*AWC*")</f>
        <v>1</v>
      </c>
      <c r="BB230" s="18">
        <f>COUNTIF(BB6:BB110,"*AFC*")+COUNTIF(BB6:BB110,"*AWC*")</f>
        <v>2</v>
      </c>
      <c r="BC230" s="18">
        <f>COUNTIF(BC6:BC110,"*AFC*")+COUNTIF(BC6:BC110,"*AWC*")</f>
        <v>1</v>
      </c>
      <c r="BD230" s="18">
        <f>COUNTIF(BD6:BD110,"*AFC*")+COUNTIF(BD6:BD110,"*AWC*")</f>
        <v>1</v>
      </c>
      <c r="BE230" s="18"/>
      <c r="BF230" s="18"/>
      <c r="BH230" s="18"/>
      <c r="BI230" s="18">
        <f>COUNTIF(BI6:BI110,"*AFC*")+COUNTIF(BI6:BI110,"*AWC*")</f>
        <v>2</v>
      </c>
      <c r="BJ230" s="18">
        <f>COUNTIF(BJ6:BJ110,"*AFC*")+COUNTIF(BJ6:BJ110,"*AWC*")</f>
        <v>1</v>
      </c>
      <c r="BK230" s="18"/>
      <c r="BL230" s="18"/>
      <c r="BM230" s="18"/>
      <c r="BO230" s="18"/>
      <c r="BP230" s="18">
        <f>COUNTIF(BP6:BP110,"*AFC*")+COUNTIF(BP6:BP110,"*AWC*")</f>
        <v>2</v>
      </c>
      <c r="BQ230" s="18">
        <f>COUNTIF(BQ6:BQ110,"*AFC*")+COUNTIF(BQ6:BQ110,"*AWC*")</f>
        <v>1</v>
      </c>
      <c r="BR230" s="18">
        <f>COUNTIF(BR6:BR110,"*AFC*")+COUNTIF(BR6:BR110,"*AWC*")</f>
        <v>1</v>
      </c>
      <c r="BS230" s="18"/>
      <c r="BT230" s="18"/>
      <c r="BV230" s="18"/>
      <c r="BW230" s="18">
        <f>COUNTIF(BW6:BW110,"*AFC*")+COUNTIF(BW6:BW110,"*AWC*")</f>
        <v>2</v>
      </c>
      <c r="BX230" s="18"/>
      <c r="BY230" s="18"/>
      <c r="BZ230" s="18"/>
      <c r="CA230" s="18"/>
      <c r="CB230" s="18">
        <f>COUNTIF(CB6:CB110,"*AFC*")+COUNTIF(CB6:CB110,"*AWC*")</f>
        <v>1</v>
      </c>
      <c r="CC230" s="18">
        <f>COUNTIF(CC6:CC110,"*AFC*")+COUNTIF(CC6:CC110,"*AWC*")</f>
        <v>1</v>
      </c>
      <c r="CD230" s="18">
        <f>COUNTIF(CD6:CD110,"*AFC*")+COUNTIF(CD6:CD110,"*AWC*")</f>
        <v>3</v>
      </c>
      <c r="CE230" s="18">
        <f>COUNTIF(CE6:CE110,"*AFC*")+COUNTIF(CE6:CE110,"*AWC*")</f>
        <v>1</v>
      </c>
      <c r="CF230" s="18">
        <f>COUNTIF(CF6:CF110,"*AFC*")+COUNTIF(CF6:CF110,"*AWC*")</f>
        <v>1</v>
      </c>
      <c r="CG230" s="18"/>
      <c r="CH230" s="18"/>
      <c r="CJ230" s="18"/>
      <c r="CK230" s="18">
        <f>COUNTIF(CK6:CK110,"*AFC*")+COUNTIF(CK6:CK110,"*AWC*")</f>
        <v>2</v>
      </c>
      <c r="CL230" s="18">
        <f>COUNTIF(CL6:CL110,"*AFC*")+COUNTIF(CL6:CL110,"*AWC*")</f>
        <v>1</v>
      </c>
      <c r="CM230" s="18"/>
      <c r="CN230" s="18"/>
      <c r="CO230" s="18"/>
    </row>
    <row r="231" spans="1:94">
      <c r="A231" s="484"/>
      <c r="B231" s="181"/>
      <c r="D231" s="18"/>
      <c r="E231" s="18"/>
      <c r="F231" s="18"/>
      <c r="G231" s="18"/>
      <c r="H231" s="18"/>
      <c r="I231" s="18"/>
      <c r="K231" s="18"/>
      <c r="L231" s="18"/>
      <c r="M231" s="18"/>
      <c r="N231" s="18"/>
      <c r="O231" s="18"/>
      <c r="P231" s="18"/>
      <c r="R231" s="18"/>
      <c r="S231" s="18"/>
      <c r="T231" s="18"/>
      <c r="U231" s="18"/>
      <c r="V231" s="18"/>
      <c r="W231" s="18"/>
      <c r="Y231" s="18"/>
      <c r="Z231" s="18"/>
      <c r="AA231" s="18"/>
      <c r="AB231" s="18"/>
      <c r="AC231" s="18"/>
      <c r="AD231" s="18"/>
      <c r="AF231" s="18"/>
      <c r="AG231" s="18"/>
      <c r="AH231" s="18"/>
      <c r="AI231" s="18"/>
      <c r="AJ231" s="18"/>
      <c r="AK231" s="18"/>
      <c r="AM231" s="18"/>
      <c r="AN231" s="18"/>
      <c r="AO231" s="18"/>
      <c r="AP231" s="18"/>
      <c r="AQ231" s="18"/>
      <c r="AR231" s="18"/>
      <c r="AT231" s="18"/>
      <c r="AU231" s="18"/>
      <c r="AV231" s="18"/>
      <c r="AW231" s="18"/>
      <c r="AX231" s="18"/>
      <c r="AY231" s="18"/>
      <c r="BA231" s="18"/>
      <c r="BB231" s="18"/>
      <c r="BC231" s="18"/>
      <c r="BD231" s="18"/>
      <c r="BE231" s="18"/>
      <c r="BF231" s="18"/>
      <c r="BH231" s="18"/>
      <c r="BI231" s="18"/>
      <c r="BJ231" s="18"/>
      <c r="BK231" s="18"/>
      <c r="BL231" s="18"/>
      <c r="BM231" s="18"/>
      <c r="BO231" s="18"/>
      <c r="BP231" s="18"/>
      <c r="BQ231" s="18"/>
      <c r="BR231" s="18"/>
      <c r="BS231" s="18"/>
      <c r="BT231" s="18"/>
      <c r="BV231" s="18"/>
      <c r="BW231" s="18"/>
      <c r="BX231" s="18"/>
      <c r="BY231" s="18"/>
      <c r="BZ231" s="18"/>
      <c r="CA231" s="18"/>
      <c r="CC231" s="18"/>
      <c r="CD231" s="18"/>
      <c r="CE231" s="18"/>
      <c r="CF231" s="18"/>
      <c r="CG231" s="18"/>
      <c r="CH231" s="18"/>
      <c r="CJ231" s="18"/>
      <c r="CK231" s="18"/>
      <c r="CL231" s="18"/>
      <c r="CM231" s="18"/>
      <c r="CN231" s="18"/>
      <c r="CO231" s="18"/>
    </row>
    <row r="232" spans="1:94">
      <c r="A232" s="484"/>
      <c r="B232" s="486" t="s">
        <v>291</v>
      </c>
      <c r="C232" s="18">
        <f t="shared" ref="C232:AH232" si="54">COUNTIF(C5:C108,"*PRC*")</f>
        <v>1</v>
      </c>
      <c r="D232" s="18">
        <f t="shared" si="54"/>
        <v>1</v>
      </c>
      <c r="E232" s="18">
        <f t="shared" si="54"/>
        <v>1</v>
      </c>
      <c r="F232" s="18">
        <f t="shared" si="54"/>
        <v>1</v>
      </c>
      <c r="G232" s="18">
        <f t="shared" si="54"/>
        <v>1</v>
      </c>
      <c r="H232" s="18">
        <f t="shared" si="54"/>
        <v>0</v>
      </c>
      <c r="I232" s="18">
        <f t="shared" si="54"/>
        <v>1</v>
      </c>
      <c r="J232" s="18">
        <f t="shared" si="54"/>
        <v>1</v>
      </c>
      <c r="K232" s="18">
        <f t="shared" si="54"/>
        <v>1</v>
      </c>
      <c r="L232" s="18">
        <f t="shared" si="54"/>
        <v>1</v>
      </c>
      <c r="M232" s="18">
        <f t="shared" si="54"/>
        <v>1</v>
      </c>
      <c r="N232" s="18">
        <f t="shared" si="54"/>
        <v>1</v>
      </c>
      <c r="O232" s="18">
        <f t="shared" si="54"/>
        <v>1</v>
      </c>
      <c r="P232" s="18">
        <f t="shared" si="54"/>
        <v>1</v>
      </c>
      <c r="Q232" s="18">
        <f t="shared" si="54"/>
        <v>1</v>
      </c>
      <c r="R232" s="18">
        <f t="shared" si="54"/>
        <v>1</v>
      </c>
      <c r="S232" s="18">
        <f t="shared" si="54"/>
        <v>1</v>
      </c>
      <c r="T232" s="18">
        <f t="shared" si="54"/>
        <v>1</v>
      </c>
      <c r="U232" s="18">
        <f t="shared" si="54"/>
        <v>1</v>
      </c>
      <c r="V232" s="18">
        <f t="shared" si="54"/>
        <v>1</v>
      </c>
      <c r="W232" s="18">
        <f t="shared" si="54"/>
        <v>1</v>
      </c>
      <c r="X232" s="18">
        <f t="shared" si="54"/>
        <v>1</v>
      </c>
      <c r="Y232" s="18">
        <f t="shared" si="54"/>
        <v>1</v>
      </c>
      <c r="Z232" s="18">
        <f t="shared" si="54"/>
        <v>1</v>
      </c>
      <c r="AA232" s="18">
        <f t="shared" si="54"/>
        <v>1</v>
      </c>
      <c r="AB232" s="18">
        <f t="shared" si="54"/>
        <v>1</v>
      </c>
      <c r="AC232" s="18">
        <f t="shared" si="54"/>
        <v>0</v>
      </c>
      <c r="AD232" s="18">
        <f t="shared" si="54"/>
        <v>1</v>
      </c>
      <c r="AE232" s="18">
        <f t="shared" si="54"/>
        <v>1</v>
      </c>
      <c r="AF232" s="18">
        <f t="shared" si="54"/>
        <v>1</v>
      </c>
      <c r="AG232" s="18">
        <f t="shared" si="54"/>
        <v>1</v>
      </c>
      <c r="AH232" s="18">
        <f t="shared" si="54"/>
        <v>1</v>
      </c>
      <c r="AI232" s="18">
        <f t="shared" ref="AI232:BN232" si="55">COUNTIF(AI5:AI108,"*PRC*")</f>
        <v>1</v>
      </c>
      <c r="AJ232" s="18">
        <f t="shared" si="55"/>
        <v>1</v>
      </c>
      <c r="AK232" s="18">
        <f t="shared" si="55"/>
        <v>1</v>
      </c>
      <c r="AL232" s="18">
        <f t="shared" si="55"/>
        <v>1</v>
      </c>
      <c r="AM232" s="18">
        <f t="shared" si="55"/>
        <v>1</v>
      </c>
      <c r="AN232" s="18">
        <f t="shared" si="55"/>
        <v>1</v>
      </c>
      <c r="AO232" s="18">
        <f t="shared" si="55"/>
        <v>1</v>
      </c>
      <c r="AP232" s="18">
        <f t="shared" si="55"/>
        <v>1</v>
      </c>
      <c r="AQ232" s="18">
        <f t="shared" si="55"/>
        <v>1</v>
      </c>
      <c r="AR232" s="18">
        <f t="shared" si="55"/>
        <v>1</v>
      </c>
      <c r="AS232" s="18">
        <f t="shared" si="55"/>
        <v>1</v>
      </c>
      <c r="AT232" s="18">
        <f t="shared" si="55"/>
        <v>1</v>
      </c>
      <c r="AU232" s="18">
        <f t="shared" si="55"/>
        <v>1</v>
      </c>
      <c r="AV232" s="18">
        <f t="shared" si="55"/>
        <v>1</v>
      </c>
      <c r="AW232" s="18">
        <f t="shared" si="55"/>
        <v>1</v>
      </c>
      <c r="AX232" s="18">
        <f t="shared" si="55"/>
        <v>1</v>
      </c>
      <c r="AY232" s="18">
        <f t="shared" si="55"/>
        <v>1</v>
      </c>
      <c r="AZ232" s="18">
        <f t="shared" si="55"/>
        <v>1</v>
      </c>
      <c r="BA232" s="18">
        <f t="shared" si="55"/>
        <v>1</v>
      </c>
      <c r="BB232" s="18">
        <f t="shared" si="55"/>
        <v>1</v>
      </c>
      <c r="BC232" s="18">
        <f t="shared" si="55"/>
        <v>1</v>
      </c>
      <c r="BD232" s="18">
        <f t="shared" si="55"/>
        <v>1</v>
      </c>
      <c r="BE232" s="18">
        <f t="shared" si="55"/>
        <v>0</v>
      </c>
      <c r="BF232" s="18">
        <f t="shared" si="55"/>
        <v>1</v>
      </c>
      <c r="BG232" s="18">
        <f t="shared" si="55"/>
        <v>1</v>
      </c>
      <c r="BH232" s="18">
        <f t="shared" si="55"/>
        <v>1</v>
      </c>
      <c r="BI232" s="18">
        <f t="shared" si="55"/>
        <v>1</v>
      </c>
      <c r="BJ232" s="18">
        <f t="shared" si="55"/>
        <v>1</v>
      </c>
      <c r="BK232" s="18">
        <f t="shared" si="55"/>
        <v>1</v>
      </c>
      <c r="BL232" s="18">
        <f t="shared" si="55"/>
        <v>0</v>
      </c>
      <c r="BM232" s="18">
        <f t="shared" si="55"/>
        <v>1</v>
      </c>
      <c r="BN232" s="18">
        <f t="shared" si="55"/>
        <v>1</v>
      </c>
      <c r="BO232" s="18">
        <f t="shared" ref="BO232:CO232" si="56">COUNTIF(BO5:BO108,"*PRC*")</f>
        <v>1</v>
      </c>
      <c r="BP232" s="18">
        <f t="shared" si="56"/>
        <v>1</v>
      </c>
      <c r="BQ232" s="18">
        <f t="shared" si="56"/>
        <v>1</v>
      </c>
      <c r="BR232" s="18">
        <f t="shared" si="56"/>
        <v>1</v>
      </c>
      <c r="BS232" s="18">
        <f t="shared" si="56"/>
        <v>1</v>
      </c>
      <c r="BT232" s="18">
        <f t="shared" si="56"/>
        <v>1</v>
      </c>
      <c r="BU232" s="18">
        <f t="shared" si="56"/>
        <v>1</v>
      </c>
      <c r="BV232" s="18">
        <f t="shared" si="56"/>
        <v>1</v>
      </c>
      <c r="BW232" s="18">
        <f t="shared" si="56"/>
        <v>1</v>
      </c>
      <c r="BX232" s="18">
        <f t="shared" si="56"/>
        <v>1</v>
      </c>
      <c r="BY232" s="18">
        <f t="shared" si="56"/>
        <v>1</v>
      </c>
      <c r="BZ232" s="18">
        <f t="shared" si="56"/>
        <v>0</v>
      </c>
      <c r="CA232" s="18">
        <f t="shared" si="56"/>
        <v>0</v>
      </c>
      <c r="CB232" s="18">
        <f t="shared" si="56"/>
        <v>1</v>
      </c>
      <c r="CC232" s="18">
        <f t="shared" si="56"/>
        <v>1</v>
      </c>
      <c r="CD232" s="18">
        <f t="shared" si="56"/>
        <v>1</v>
      </c>
      <c r="CE232" s="18">
        <f t="shared" si="56"/>
        <v>1</v>
      </c>
      <c r="CF232" s="18">
        <f t="shared" si="56"/>
        <v>1</v>
      </c>
      <c r="CG232" s="18">
        <f t="shared" si="56"/>
        <v>1</v>
      </c>
      <c r="CH232" s="18">
        <f t="shared" si="56"/>
        <v>1</v>
      </c>
      <c r="CI232" s="18">
        <f t="shared" si="56"/>
        <v>1</v>
      </c>
      <c r="CJ232" s="18">
        <f t="shared" si="56"/>
        <v>1</v>
      </c>
      <c r="CK232" s="18">
        <f t="shared" si="56"/>
        <v>1</v>
      </c>
      <c r="CL232" s="18">
        <f t="shared" si="56"/>
        <v>1</v>
      </c>
      <c r="CM232" s="18">
        <f t="shared" si="56"/>
        <v>1</v>
      </c>
      <c r="CN232" s="18">
        <f t="shared" si="56"/>
        <v>0</v>
      </c>
      <c r="CO232" s="18">
        <f t="shared" si="56"/>
        <v>1</v>
      </c>
    </row>
    <row r="233" spans="1:94">
      <c r="A233" s="484"/>
      <c r="B233" s="487" t="s">
        <v>292</v>
      </c>
      <c r="C233" s="18">
        <f t="shared" ref="C233:AH233" si="57">COUNTIF(C5:C103,"*PAC*")</f>
        <v>1</v>
      </c>
      <c r="D233" s="18">
        <f t="shared" si="57"/>
        <v>1</v>
      </c>
      <c r="E233" s="18">
        <f t="shared" si="57"/>
        <v>1</v>
      </c>
      <c r="F233" s="18">
        <f t="shared" si="57"/>
        <v>1</v>
      </c>
      <c r="G233" s="18">
        <f t="shared" si="57"/>
        <v>1</v>
      </c>
      <c r="H233" s="18">
        <f t="shared" si="57"/>
        <v>1</v>
      </c>
      <c r="I233" s="18">
        <f t="shared" si="57"/>
        <v>1</v>
      </c>
      <c r="J233" s="18">
        <f t="shared" si="57"/>
        <v>1</v>
      </c>
      <c r="K233" s="18">
        <f t="shared" si="57"/>
        <v>1</v>
      </c>
      <c r="L233" s="18">
        <f t="shared" si="57"/>
        <v>1</v>
      </c>
      <c r="M233" s="18">
        <f t="shared" si="57"/>
        <v>1</v>
      </c>
      <c r="N233" s="18">
        <f t="shared" si="57"/>
        <v>1</v>
      </c>
      <c r="O233" s="18">
        <f t="shared" si="57"/>
        <v>1</v>
      </c>
      <c r="P233" s="18">
        <f t="shared" si="57"/>
        <v>1</v>
      </c>
      <c r="Q233" s="18">
        <f t="shared" si="57"/>
        <v>1</v>
      </c>
      <c r="R233" s="18">
        <f t="shared" si="57"/>
        <v>1</v>
      </c>
      <c r="S233" s="18">
        <f t="shared" si="57"/>
        <v>1</v>
      </c>
      <c r="T233" s="18">
        <f t="shared" si="57"/>
        <v>1</v>
      </c>
      <c r="U233" s="18">
        <f t="shared" si="57"/>
        <v>1</v>
      </c>
      <c r="V233" s="18">
        <f t="shared" si="57"/>
        <v>1</v>
      </c>
      <c r="W233" s="18">
        <f t="shared" si="57"/>
        <v>1</v>
      </c>
      <c r="X233" s="18">
        <f t="shared" si="57"/>
        <v>1</v>
      </c>
      <c r="Y233" s="18">
        <f t="shared" si="57"/>
        <v>1</v>
      </c>
      <c r="Z233" s="18">
        <f t="shared" si="57"/>
        <v>1</v>
      </c>
      <c r="AA233" s="18">
        <f t="shared" si="57"/>
        <v>1</v>
      </c>
      <c r="AB233" s="18">
        <f t="shared" si="57"/>
        <v>1</v>
      </c>
      <c r="AC233" s="18">
        <f t="shared" si="57"/>
        <v>1</v>
      </c>
      <c r="AD233" s="18">
        <f t="shared" si="57"/>
        <v>1</v>
      </c>
      <c r="AE233" s="18">
        <f t="shared" si="57"/>
        <v>1</v>
      </c>
      <c r="AF233" s="18">
        <f t="shared" si="57"/>
        <v>1</v>
      </c>
      <c r="AG233" s="18">
        <f t="shared" si="57"/>
        <v>1</v>
      </c>
      <c r="AH233" s="18">
        <f t="shared" si="57"/>
        <v>1</v>
      </c>
      <c r="AI233" s="18">
        <f t="shared" ref="AI233:BN233" si="58">COUNTIF(AI5:AI103,"*PAC*")</f>
        <v>1</v>
      </c>
      <c r="AJ233" s="18">
        <f t="shared" si="58"/>
        <v>1</v>
      </c>
      <c r="AK233" s="18">
        <f t="shared" si="58"/>
        <v>1</v>
      </c>
      <c r="AL233" s="18">
        <f t="shared" si="58"/>
        <v>1</v>
      </c>
      <c r="AM233" s="18">
        <f t="shared" si="58"/>
        <v>1</v>
      </c>
      <c r="AN233" s="18">
        <f t="shared" si="58"/>
        <v>1</v>
      </c>
      <c r="AO233" s="18">
        <f t="shared" si="58"/>
        <v>1</v>
      </c>
      <c r="AP233" s="18">
        <f t="shared" si="58"/>
        <v>1</v>
      </c>
      <c r="AQ233" s="18">
        <f t="shared" si="58"/>
        <v>1</v>
      </c>
      <c r="AR233" s="18">
        <f t="shared" si="58"/>
        <v>1</v>
      </c>
      <c r="AS233" s="18">
        <f t="shared" si="58"/>
        <v>1</v>
      </c>
      <c r="AT233" s="18">
        <f t="shared" si="58"/>
        <v>1</v>
      </c>
      <c r="AU233" s="18">
        <f t="shared" si="58"/>
        <v>1</v>
      </c>
      <c r="AV233" s="18">
        <f t="shared" si="58"/>
        <v>1</v>
      </c>
      <c r="AW233" s="18">
        <f t="shared" si="58"/>
        <v>1</v>
      </c>
      <c r="AX233" s="18">
        <f t="shared" si="58"/>
        <v>1</v>
      </c>
      <c r="AY233" s="18">
        <f t="shared" si="58"/>
        <v>1</v>
      </c>
      <c r="AZ233" s="18">
        <f t="shared" si="58"/>
        <v>1</v>
      </c>
      <c r="BA233" s="18">
        <f t="shared" si="58"/>
        <v>1</v>
      </c>
      <c r="BB233" s="18">
        <f t="shared" si="58"/>
        <v>1</v>
      </c>
      <c r="BC233" s="18">
        <f t="shared" si="58"/>
        <v>1</v>
      </c>
      <c r="BD233" s="18">
        <f t="shared" si="58"/>
        <v>1</v>
      </c>
      <c r="BE233" s="18">
        <f t="shared" si="58"/>
        <v>1</v>
      </c>
      <c r="BF233" s="18">
        <f t="shared" si="58"/>
        <v>1</v>
      </c>
      <c r="BG233" s="18">
        <f t="shared" si="58"/>
        <v>1</v>
      </c>
      <c r="BH233" s="18">
        <f t="shared" si="58"/>
        <v>1</v>
      </c>
      <c r="BI233" s="18">
        <f t="shared" si="58"/>
        <v>1</v>
      </c>
      <c r="BJ233" s="18">
        <f t="shared" si="58"/>
        <v>1</v>
      </c>
      <c r="BK233" s="18">
        <f t="shared" si="58"/>
        <v>1</v>
      </c>
      <c r="BL233" s="18">
        <f t="shared" si="58"/>
        <v>1</v>
      </c>
      <c r="BM233" s="18">
        <f t="shared" si="58"/>
        <v>1</v>
      </c>
      <c r="BN233" s="18">
        <f t="shared" si="58"/>
        <v>1</v>
      </c>
      <c r="BO233" s="18">
        <f t="shared" ref="BO233:CO233" si="59">COUNTIF(BO5:BO103,"*PAC*")</f>
        <v>1</v>
      </c>
      <c r="BP233" s="18">
        <f t="shared" si="59"/>
        <v>1</v>
      </c>
      <c r="BQ233" s="18">
        <f t="shared" si="59"/>
        <v>1</v>
      </c>
      <c r="BR233" s="18">
        <f t="shared" si="59"/>
        <v>1</v>
      </c>
      <c r="BS233" s="18">
        <f t="shared" si="59"/>
        <v>1</v>
      </c>
      <c r="BT233" s="18">
        <f t="shared" si="59"/>
        <v>1</v>
      </c>
      <c r="BU233" s="18">
        <f t="shared" si="59"/>
        <v>1</v>
      </c>
      <c r="BV233" s="18">
        <f t="shared" si="59"/>
        <v>1</v>
      </c>
      <c r="BW233" s="18">
        <f t="shared" si="59"/>
        <v>1</v>
      </c>
      <c r="BX233" s="18">
        <f t="shared" si="59"/>
        <v>1</v>
      </c>
      <c r="BY233" s="18">
        <f t="shared" si="59"/>
        <v>1</v>
      </c>
      <c r="BZ233" s="18">
        <f t="shared" si="59"/>
        <v>1</v>
      </c>
      <c r="CA233" s="18">
        <f t="shared" si="59"/>
        <v>1</v>
      </c>
      <c r="CB233" s="18">
        <f t="shared" si="59"/>
        <v>1</v>
      </c>
      <c r="CC233" s="18">
        <f t="shared" si="59"/>
        <v>1</v>
      </c>
      <c r="CD233" s="18">
        <f t="shared" si="59"/>
        <v>1</v>
      </c>
      <c r="CE233" s="18">
        <f t="shared" si="59"/>
        <v>1</v>
      </c>
      <c r="CF233" s="18">
        <f t="shared" si="59"/>
        <v>1</v>
      </c>
      <c r="CG233" s="18">
        <f t="shared" si="59"/>
        <v>1</v>
      </c>
      <c r="CH233" s="18">
        <f t="shared" si="59"/>
        <v>1</v>
      </c>
      <c r="CI233" s="18">
        <f t="shared" si="59"/>
        <v>1</v>
      </c>
      <c r="CJ233" s="18">
        <f t="shared" si="59"/>
        <v>1</v>
      </c>
      <c r="CK233" s="18">
        <f t="shared" si="59"/>
        <v>1</v>
      </c>
      <c r="CL233" s="18">
        <f t="shared" si="59"/>
        <v>1</v>
      </c>
      <c r="CM233" s="18">
        <f t="shared" si="59"/>
        <v>1</v>
      </c>
      <c r="CN233" s="18">
        <f t="shared" si="59"/>
        <v>1</v>
      </c>
      <c r="CO233" s="18">
        <f t="shared" si="59"/>
        <v>1</v>
      </c>
    </row>
    <row r="234" spans="1:94">
      <c r="A234" s="484"/>
      <c r="B234" s="488" t="s">
        <v>293</v>
      </c>
      <c r="C234" s="18">
        <f t="shared" ref="C234:AH234" si="60">COUNTIF(C2:C105,"*PGC*")</f>
        <v>1</v>
      </c>
      <c r="D234" s="18">
        <f t="shared" si="60"/>
        <v>1</v>
      </c>
      <c r="E234" s="18">
        <f t="shared" si="60"/>
        <v>1</v>
      </c>
      <c r="F234" s="18">
        <f t="shared" si="60"/>
        <v>1</v>
      </c>
      <c r="G234" s="18">
        <f t="shared" si="60"/>
        <v>1</v>
      </c>
      <c r="H234" s="18">
        <f t="shared" si="60"/>
        <v>1</v>
      </c>
      <c r="I234" s="18">
        <f t="shared" si="60"/>
        <v>1</v>
      </c>
      <c r="J234" s="18">
        <f t="shared" si="60"/>
        <v>1</v>
      </c>
      <c r="K234" s="18">
        <f t="shared" si="60"/>
        <v>1</v>
      </c>
      <c r="L234" s="18">
        <f t="shared" si="60"/>
        <v>1</v>
      </c>
      <c r="M234" s="18">
        <f t="shared" si="60"/>
        <v>1</v>
      </c>
      <c r="N234" s="18">
        <f t="shared" si="60"/>
        <v>1</v>
      </c>
      <c r="O234" s="18">
        <f t="shared" si="60"/>
        <v>1</v>
      </c>
      <c r="P234" s="18">
        <f t="shared" si="60"/>
        <v>1</v>
      </c>
      <c r="Q234" s="18">
        <f t="shared" si="60"/>
        <v>1</v>
      </c>
      <c r="R234" s="18">
        <f t="shared" si="60"/>
        <v>1</v>
      </c>
      <c r="S234" s="18">
        <f t="shared" si="60"/>
        <v>1</v>
      </c>
      <c r="T234" s="18">
        <f t="shared" si="60"/>
        <v>1</v>
      </c>
      <c r="U234" s="18">
        <f t="shared" si="60"/>
        <v>1</v>
      </c>
      <c r="V234" s="18">
        <f t="shared" si="60"/>
        <v>1</v>
      </c>
      <c r="W234" s="18">
        <f t="shared" si="60"/>
        <v>1</v>
      </c>
      <c r="X234" s="18">
        <f t="shared" si="60"/>
        <v>1</v>
      </c>
      <c r="Y234" s="18">
        <f t="shared" si="60"/>
        <v>1</v>
      </c>
      <c r="Z234" s="18">
        <f t="shared" si="60"/>
        <v>1</v>
      </c>
      <c r="AA234" s="18">
        <f t="shared" si="60"/>
        <v>1</v>
      </c>
      <c r="AB234" s="18">
        <f t="shared" si="60"/>
        <v>1</v>
      </c>
      <c r="AC234" s="18">
        <f t="shared" si="60"/>
        <v>1</v>
      </c>
      <c r="AD234" s="18">
        <f t="shared" si="60"/>
        <v>1</v>
      </c>
      <c r="AE234" s="18">
        <f t="shared" si="60"/>
        <v>1</v>
      </c>
      <c r="AF234" s="18">
        <f t="shared" si="60"/>
        <v>1</v>
      </c>
      <c r="AG234" s="18">
        <f t="shared" si="60"/>
        <v>1</v>
      </c>
      <c r="AH234" s="18">
        <f t="shared" si="60"/>
        <v>1</v>
      </c>
      <c r="AI234" s="18">
        <f t="shared" ref="AI234:BN234" si="61">COUNTIF(AI2:AI105,"*PGC*")</f>
        <v>1</v>
      </c>
      <c r="AJ234" s="18">
        <f t="shared" si="61"/>
        <v>1</v>
      </c>
      <c r="AK234" s="18">
        <f t="shared" si="61"/>
        <v>1</v>
      </c>
      <c r="AL234" s="18">
        <f t="shared" si="61"/>
        <v>1</v>
      </c>
      <c r="AM234" s="18">
        <f t="shared" si="61"/>
        <v>1</v>
      </c>
      <c r="AN234" s="18">
        <f t="shared" si="61"/>
        <v>1</v>
      </c>
      <c r="AO234" s="18">
        <f t="shared" si="61"/>
        <v>1</v>
      </c>
      <c r="AP234" s="18">
        <f t="shared" si="61"/>
        <v>1</v>
      </c>
      <c r="AQ234" s="18">
        <f t="shared" si="61"/>
        <v>1</v>
      </c>
      <c r="AR234" s="18">
        <f t="shared" si="61"/>
        <v>1</v>
      </c>
      <c r="AS234" s="18">
        <f t="shared" si="61"/>
        <v>1</v>
      </c>
      <c r="AT234" s="18">
        <f t="shared" si="61"/>
        <v>1</v>
      </c>
      <c r="AU234" s="18">
        <f t="shared" si="61"/>
        <v>1</v>
      </c>
      <c r="AV234" s="18">
        <f t="shared" si="61"/>
        <v>1</v>
      </c>
      <c r="AW234" s="18">
        <f t="shared" si="61"/>
        <v>1</v>
      </c>
      <c r="AX234" s="18">
        <f t="shared" si="61"/>
        <v>1</v>
      </c>
      <c r="AY234" s="18">
        <f t="shared" si="61"/>
        <v>1</v>
      </c>
      <c r="AZ234" s="18">
        <f t="shared" si="61"/>
        <v>1</v>
      </c>
      <c r="BA234" s="18">
        <f t="shared" si="61"/>
        <v>1</v>
      </c>
      <c r="BB234" s="18">
        <f t="shared" si="61"/>
        <v>1</v>
      </c>
      <c r="BC234" s="18">
        <f t="shared" si="61"/>
        <v>1</v>
      </c>
      <c r="BD234" s="18">
        <f t="shared" si="61"/>
        <v>1</v>
      </c>
      <c r="BE234" s="18">
        <f t="shared" si="61"/>
        <v>1</v>
      </c>
      <c r="BF234" s="18">
        <f t="shared" si="61"/>
        <v>1</v>
      </c>
      <c r="BG234" s="18">
        <f t="shared" si="61"/>
        <v>1</v>
      </c>
      <c r="BH234" s="18">
        <f t="shared" si="61"/>
        <v>1</v>
      </c>
      <c r="BI234" s="18">
        <f t="shared" si="61"/>
        <v>1</v>
      </c>
      <c r="BJ234" s="18">
        <f t="shared" si="61"/>
        <v>1</v>
      </c>
      <c r="BK234" s="18">
        <f t="shared" si="61"/>
        <v>1</v>
      </c>
      <c r="BL234" s="18">
        <f t="shared" si="61"/>
        <v>1</v>
      </c>
      <c r="BM234" s="18">
        <f t="shared" si="61"/>
        <v>1</v>
      </c>
      <c r="BN234" s="18">
        <f t="shared" si="61"/>
        <v>1</v>
      </c>
      <c r="BO234" s="18">
        <f t="shared" ref="BO234:CO234" si="62">COUNTIF(BO2:BO105,"*PGC*")</f>
        <v>1</v>
      </c>
      <c r="BP234" s="18">
        <f t="shared" si="62"/>
        <v>1</v>
      </c>
      <c r="BQ234" s="18">
        <f t="shared" si="62"/>
        <v>1</v>
      </c>
      <c r="BR234" s="18">
        <f t="shared" si="62"/>
        <v>1</v>
      </c>
      <c r="BS234" s="18">
        <f t="shared" si="62"/>
        <v>1</v>
      </c>
      <c r="BT234" s="18">
        <f t="shared" si="62"/>
        <v>1</v>
      </c>
      <c r="BU234" s="18">
        <f t="shared" si="62"/>
        <v>1</v>
      </c>
      <c r="BV234" s="18">
        <f t="shared" si="62"/>
        <v>1</v>
      </c>
      <c r="BW234" s="18">
        <f t="shared" si="62"/>
        <v>1</v>
      </c>
      <c r="BX234" s="18">
        <f t="shared" si="62"/>
        <v>1</v>
      </c>
      <c r="BY234" s="18">
        <f t="shared" si="62"/>
        <v>1</v>
      </c>
      <c r="BZ234" s="18">
        <f t="shared" si="62"/>
        <v>1</v>
      </c>
      <c r="CA234" s="18">
        <f t="shared" si="62"/>
        <v>1</v>
      </c>
      <c r="CB234" s="18">
        <f t="shared" si="62"/>
        <v>1</v>
      </c>
      <c r="CC234" s="18">
        <f t="shared" si="62"/>
        <v>1</v>
      </c>
      <c r="CD234" s="18">
        <f t="shared" si="62"/>
        <v>1</v>
      </c>
      <c r="CE234" s="18">
        <f t="shared" si="62"/>
        <v>1</v>
      </c>
      <c r="CF234" s="18">
        <f t="shared" si="62"/>
        <v>1</v>
      </c>
      <c r="CG234" s="18">
        <f t="shared" si="62"/>
        <v>1</v>
      </c>
      <c r="CH234" s="18">
        <f t="shared" si="62"/>
        <v>1</v>
      </c>
      <c r="CI234" s="18">
        <f t="shared" si="62"/>
        <v>1</v>
      </c>
      <c r="CJ234" s="18">
        <f t="shared" si="62"/>
        <v>1</v>
      </c>
      <c r="CK234" s="18">
        <f t="shared" si="62"/>
        <v>1</v>
      </c>
      <c r="CL234" s="18">
        <f t="shared" si="62"/>
        <v>1</v>
      </c>
      <c r="CM234" s="18">
        <f t="shared" si="62"/>
        <v>1</v>
      </c>
      <c r="CN234" s="18">
        <f t="shared" si="62"/>
        <v>1</v>
      </c>
      <c r="CO234" s="18">
        <f t="shared" si="62"/>
        <v>1</v>
      </c>
    </row>
    <row r="235" spans="1:94">
      <c r="A235" s="484"/>
      <c r="B235" s="489" t="s">
        <v>294</v>
      </c>
      <c r="C235" s="18">
        <f t="shared" ref="C235:AH235" si="63">COUNTIF(C2:C105,"*PCC*")</f>
        <v>1</v>
      </c>
      <c r="D235" s="18">
        <f t="shared" si="63"/>
        <v>1</v>
      </c>
      <c r="E235" s="18">
        <f t="shared" si="63"/>
        <v>1</v>
      </c>
      <c r="F235" s="18">
        <f t="shared" si="63"/>
        <v>1</v>
      </c>
      <c r="G235" s="18">
        <f t="shared" si="63"/>
        <v>1</v>
      </c>
      <c r="H235" s="18">
        <f t="shared" si="63"/>
        <v>0</v>
      </c>
      <c r="I235" s="18">
        <f t="shared" si="63"/>
        <v>0</v>
      </c>
      <c r="J235" s="18">
        <f t="shared" si="63"/>
        <v>1</v>
      </c>
      <c r="K235" s="18">
        <f t="shared" si="63"/>
        <v>1</v>
      </c>
      <c r="L235" s="18">
        <f t="shared" si="63"/>
        <v>1</v>
      </c>
      <c r="M235" s="18">
        <f t="shared" si="63"/>
        <v>1</v>
      </c>
      <c r="N235" s="18">
        <f t="shared" si="63"/>
        <v>1</v>
      </c>
      <c r="O235" s="18">
        <f t="shared" si="63"/>
        <v>0</v>
      </c>
      <c r="P235" s="18">
        <f t="shared" si="63"/>
        <v>0</v>
      </c>
      <c r="Q235" s="18">
        <f t="shared" si="63"/>
        <v>1</v>
      </c>
      <c r="R235" s="18">
        <f t="shared" si="63"/>
        <v>1</v>
      </c>
      <c r="S235" s="18">
        <f t="shared" si="63"/>
        <v>1</v>
      </c>
      <c r="T235" s="18">
        <f t="shared" si="63"/>
        <v>1</v>
      </c>
      <c r="U235" s="18">
        <f t="shared" si="63"/>
        <v>1</v>
      </c>
      <c r="V235" s="18">
        <f t="shared" si="63"/>
        <v>0</v>
      </c>
      <c r="W235" s="18">
        <f t="shared" si="63"/>
        <v>0</v>
      </c>
      <c r="X235" s="18">
        <f t="shared" si="63"/>
        <v>1</v>
      </c>
      <c r="Y235" s="18">
        <f t="shared" si="63"/>
        <v>1</v>
      </c>
      <c r="Z235" s="18">
        <f t="shared" si="63"/>
        <v>1</v>
      </c>
      <c r="AA235" s="18">
        <f t="shared" si="63"/>
        <v>1</v>
      </c>
      <c r="AB235" s="18">
        <f t="shared" si="63"/>
        <v>1</v>
      </c>
      <c r="AC235" s="18">
        <f t="shared" si="63"/>
        <v>0</v>
      </c>
      <c r="AD235" s="18">
        <f t="shared" si="63"/>
        <v>0</v>
      </c>
      <c r="AE235" s="18">
        <f t="shared" si="63"/>
        <v>1</v>
      </c>
      <c r="AF235" s="18">
        <f t="shared" si="63"/>
        <v>1</v>
      </c>
      <c r="AG235" s="18">
        <f t="shared" si="63"/>
        <v>1</v>
      </c>
      <c r="AH235" s="18">
        <f t="shared" si="63"/>
        <v>1</v>
      </c>
      <c r="AI235" s="18">
        <f t="shared" ref="AI235:BN235" si="64">COUNTIF(AI2:AI105,"*PCC*")</f>
        <v>1</v>
      </c>
      <c r="AJ235" s="18">
        <f t="shared" si="64"/>
        <v>0</v>
      </c>
      <c r="AK235" s="18">
        <f t="shared" si="64"/>
        <v>1</v>
      </c>
      <c r="AL235" s="18">
        <f t="shared" si="64"/>
        <v>1</v>
      </c>
      <c r="AM235" s="18">
        <f t="shared" si="64"/>
        <v>1</v>
      </c>
      <c r="AN235" s="18">
        <f t="shared" si="64"/>
        <v>1</v>
      </c>
      <c r="AO235" s="18">
        <f t="shared" si="64"/>
        <v>1</v>
      </c>
      <c r="AP235" s="18">
        <f t="shared" si="64"/>
        <v>1</v>
      </c>
      <c r="AQ235" s="18">
        <f t="shared" si="64"/>
        <v>0</v>
      </c>
      <c r="AR235" s="18">
        <f t="shared" si="64"/>
        <v>0</v>
      </c>
      <c r="AS235" s="18">
        <f t="shared" si="64"/>
        <v>1</v>
      </c>
      <c r="AT235" s="18">
        <f t="shared" si="64"/>
        <v>1</v>
      </c>
      <c r="AU235" s="18">
        <f t="shared" si="64"/>
        <v>1</v>
      </c>
      <c r="AV235" s="18">
        <f t="shared" si="64"/>
        <v>1</v>
      </c>
      <c r="AW235" s="18">
        <f t="shared" si="64"/>
        <v>1</v>
      </c>
      <c r="AX235" s="18">
        <f t="shared" si="64"/>
        <v>0</v>
      </c>
      <c r="AY235" s="18">
        <f t="shared" si="64"/>
        <v>0</v>
      </c>
      <c r="AZ235" s="18">
        <f t="shared" si="64"/>
        <v>1</v>
      </c>
      <c r="BA235" s="18">
        <f t="shared" si="64"/>
        <v>1</v>
      </c>
      <c r="BB235" s="18">
        <f t="shared" si="64"/>
        <v>1</v>
      </c>
      <c r="BC235" s="18">
        <f t="shared" si="64"/>
        <v>1</v>
      </c>
      <c r="BD235" s="18">
        <f t="shared" si="64"/>
        <v>1</v>
      </c>
      <c r="BE235" s="18">
        <f t="shared" si="64"/>
        <v>0</v>
      </c>
      <c r="BF235" s="18">
        <f t="shared" si="64"/>
        <v>0</v>
      </c>
      <c r="BG235" s="18">
        <f t="shared" si="64"/>
        <v>1</v>
      </c>
      <c r="BH235" s="18">
        <f t="shared" si="64"/>
        <v>1</v>
      </c>
      <c r="BI235" s="18">
        <f t="shared" si="64"/>
        <v>1</v>
      </c>
      <c r="BJ235" s="18">
        <f t="shared" si="64"/>
        <v>1</v>
      </c>
      <c r="BK235" s="18">
        <f t="shared" si="64"/>
        <v>1</v>
      </c>
      <c r="BL235" s="18">
        <f t="shared" si="64"/>
        <v>0</v>
      </c>
      <c r="BM235" s="18">
        <f t="shared" si="64"/>
        <v>0</v>
      </c>
      <c r="BN235" s="18">
        <f t="shared" si="64"/>
        <v>1</v>
      </c>
      <c r="BO235" s="18">
        <f t="shared" ref="BO235:CO235" si="65">COUNTIF(BO2:BO105,"*PCC*")</f>
        <v>1</v>
      </c>
      <c r="BP235" s="18">
        <f t="shared" si="65"/>
        <v>1</v>
      </c>
      <c r="BQ235" s="18">
        <f t="shared" si="65"/>
        <v>1</v>
      </c>
      <c r="BR235" s="18">
        <f t="shared" si="65"/>
        <v>1</v>
      </c>
      <c r="BS235" s="18">
        <f t="shared" si="65"/>
        <v>0</v>
      </c>
      <c r="BT235" s="18">
        <f t="shared" si="65"/>
        <v>1</v>
      </c>
      <c r="BU235" s="18">
        <f t="shared" si="65"/>
        <v>1</v>
      </c>
      <c r="BV235" s="18">
        <f t="shared" si="65"/>
        <v>1</v>
      </c>
      <c r="BW235" s="18">
        <f t="shared" si="65"/>
        <v>1</v>
      </c>
      <c r="BX235" s="18">
        <f t="shared" si="65"/>
        <v>1</v>
      </c>
      <c r="BY235" s="18">
        <f t="shared" si="65"/>
        <v>1</v>
      </c>
      <c r="BZ235" s="18">
        <f t="shared" si="65"/>
        <v>0</v>
      </c>
      <c r="CA235" s="18">
        <f t="shared" si="65"/>
        <v>0</v>
      </c>
      <c r="CB235" s="18">
        <f t="shared" si="65"/>
        <v>1</v>
      </c>
      <c r="CC235" s="18">
        <f t="shared" si="65"/>
        <v>1</v>
      </c>
      <c r="CD235" s="18">
        <f t="shared" si="65"/>
        <v>1</v>
      </c>
      <c r="CE235" s="18">
        <f t="shared" si="65"/>
        <v>1</v>
      </c>
      <c r="CF235" s="18">
        <f t="shared" si="65"/>
        <v>1</v>
      </c>
      <c r="CG235" s="18">
        <f t="shared" si="65"/>
        <v>0</v>
      </c>
      <c r="CH235" s="18">
        <f t="shared" si="65"/>
        <v>0</v>
      </c>
      <c r="CI235" s="18">
        <f t="shared" si="65"/>
        <v>1</v>
      </c>
      <c r="CJ235" s="18">
        <f t="shared" si="65"/>
        <v>1</v>
      </c>
      <c r="CK235" s="18">
        <f t="shared" si="65"/>
        <v>1</v>
      </c>
      <c r="CL235" s="18">
        <f t="shared" si="65"/>
        <v>1</v>
      </c>
      <c r="CM235" s="18">
        <f t="shared" si="65"/>
        <v>1</v>
      </c>
      <c r="CN235" s="18">
        <f t="shared" si="65"/>
        <v>0</v>
      </c>
      <c r="CO235" s="18">
        <f t="shared" si="65"/>
        <v>0</v>
      </c>
    </row>
    <row r="236" spans="1:94">
      <c r="A236" s="484"/>
      <c r="B236" s="490" t="s">
        <v>295</v>
      </c>
      <c r="C236" s="18">
        <f t="shared" ref="C236:AH236" si="66">COUNTIF(C5:C110,"*PSSC*")</f>
        <v>1</v>
      </c>
      <c r="D236" s="18">
        <f t="shared" si="66"/>
        <v>1</v>
      </c>
      <c r="E236" s="18">
        <f t="shared" si="66"/>
        <v>1</v>
      </c>
      <c r="F236" s="18">
        <f t="shared" si="66"/>
        <v>1</v>
      </c>
      <c r="G236" s="18">
        <f t="shared" si="66"/>
        <v>1</v>
      </c>
      <c r="H236" s="18">
        <f t="shared" si="66"/>
        <v>1</v>
      </c>
      <c r="I236" s="18">
        <f t="shared" si="66"/>
        <v>1</v>
      </c>
      <c r="J236" s="18">
        <f t="shared" si="66"/>
        <v>1</v>
      </c>
      <c r="K236" s="18">
        <f t="shared" si="66"/>
        <v>1</v>
      </c>
      <c r="L236" s="18">
        <f t="shared" si="66"/>
        <v>1</v>
      </c>
      <c r="M236" s="18">
        <f t="shared" si="66"/>
        <v>1</v>
      </c>
      <c r="N236" s="18">
        <f t="shared" si="66"/>
        <v>1</v>
      </c>
      <c r="O236" s="18">
        <f t="shared" si="66"/>
        <v>1</v>
      </c>
      <c r="P236" s="18">
        <f t="shared" si="66"/>
        <v>1</v>
      </c>
      <c r="Q236" s="18">
        <f t="shared" si="66"/>
        <v>1</v>
      </c>
      <c r="R236" s="18">
        <f t="shared" si="66"/>
        <v>1</v>
      </c>
      <c r="S236" s="18">
        <f t="shared" si="66"/>
        <v>1</v>
      </c>
      <c r="T236" s="18">
        <f t="shared" si="66"/>
        <v>1</v>
      </c>
      <c r="U236" s="18">
        <f t="shared" si="66"/>
        <v>1</v>
      </c>
      <c r="V236" s="18">
        <f t="shared" si="66"/>
        <v>1</v>
      </c>
      <c r="W236" s="18">
        <f t="shared" si="66"/>
        <v>1</v>
      </c>
      <c r="X236" s="18">
        <f t="shared" si="66"/>
        <v>1</v>
      </c>
      <c r="Y236" s="18">
        <f t="shared" si="66"/>
        <v>1</v>
      </c>
      <c r="Z236" s="18">
        <f t="shared" si="66"/>
        <v>1</v>
      </c>
      <c r="AA236" s="18">
        <f t="shared" si="66"/>
        <v>1</v>
      </c>
      <c r="AB236" s="18">
        <f t="shared" si="66"/>
        <v>1</v>
      </c>
      <c r="AC236" s="18">
        <f t="shared" si="66"/>
        <v>1</v>
      </c>
      <c r="AD236" s="18">
        <f t="shared" si="66"/>
        <v>1</v>
      </c>
      <c r="AE236" s="18">
        <f t="shared" si="66"/>
        <v>1</v>
      </c>
      <c r="AF236" s="18">
        <f t="shared" si="66"/>
        <v>1</v>
      </c>
      <c r="AG236" s="18">
        <f t="shared" si="66"/>
        <v>1</v>
      </c>
      <c r="AH236" s="18">
        <f t="shared" si="66"/>
        <v>1</v>
      </c>
      <c r="AI236" s="18">
        <f t="shared" ref="AI236:BN236" si="67">COUNTIF(AI5:AI110,"*PSSC*")</f>
        <v>1</v>
      </c>
      <c r="AJ236" s="18">
        <f t="shared" si="67"/>
        <v>1</v>
      </c>
      <c r="AK236" s="18">
        <f t="shared" si="67"/>
        <v>1</v>
      </c>
      <c r="AL236" s="18">
        <f t="shared" si="67"/>
        <v>1</v>
      </c>
      <c r="AM236" s="18">
        <f t="shared" si="67"/>
        <v>1</v>
      </c>
      <c r="AN236" s="18">
        <f t="shared" si="67"/>
        <v>1</v>
      </c>
      <c r="AO236" s="18">
        <f t="shared" si="67"/>
        <v>1</v>
      </c>
      <c r="AP236" s="18">
        <f t="shared" si="67"/>
        <v>1</v>
      </c>
      <c r="AQ236" s="18">
        <f t="shared" si="67"/>
        <v>1</v>
      </c>
      <c r="AR236" s="18">
        <f t="shared" si="67"/>
        <v>1</v>
      </c>
      <c r="AS236" s="18">
        <f t="shared" si="67"/>
        <v>1</v>
      </c>
      <c r="AT236" s="18">
        <f t="shared" si="67"/>
        <v>1</v>
      </c>
      <c r="AU236" s="18">
        <f t="shared" si="67"/>
        <v>1</v>
      </c>
      <c r="AV236" s="18">
        <f t="shared" si="67"/>
        <v>1</v>
      </c>
      <c r="AW236" s="18">
        <f t="shared" si="67"/>
        <v>1</v>
      </c>
      <c r="AX236" s="18">
        <f t="shared" si="67"/>
        <v>1</v>
      </c>
      <c r="AY236" s="18">
        <f t="shared" si="67"/>
        <v>1</v>
      </c>
      <c r="AZ236" s="18">
        <f t="shared" si="67"/>
        <v>1</v>
      </c>
      <c r="BA236" s="18">
        <f t="shared" si="67"/>
        <v>1</v>
      </c>
      <c r="BB236" s="18">
        <f t="shared" si="67"/>
        <v>1</v>
      </c>
      <c r="BC236" s="18">
        <f t="shared" si="67"/>
        <v>1</v>
      </c>
      <c r="BD236" s="18">
        <f t="shared" si="67"/>
        <v>1</v>
      </c>
      <c r="BE236" s="18">
        <f t="shared" si="67"/>
        <v>1</v>
      </c>
      <c r="BF236" s="18">
        <f t="shared" si="67"/>
        <v>1</v>
      </c>
      <c r="BG236" s="18">
        <f t="shared" si="67"/>
        <v>1</v>
      </c>
      <c r="BH236" s="18">
        <f t="shared" si="67"/>
        <v>1</v>
      </c>
      <c r="BI236" s="18">
        <f t="shared" si="67"/>
        <v>1</v>
      </c>
      <c r="BJ236" s="18">
        <f t="shared" si="67"/>
        <v>1</v>
      </c>
      <c r="BK236" s="18">
        <f t="shared" si="67"/>
        <v>1</v>
      </c>
      <c r="BL236" s="18">
        <f t="shared" si="67"/>
        <v>1</v>
      </c>
      <c r="BM236" s="18">
        <f t="shared" si="67"/>
        <v>1</v>
      </c>
      <c r="BN236" s="18">
        <f t="shared" si="67"/>
        <v>1</v>
      </c>
      <c r="BO236" s="18">
        <f t="shared" ref="BO236:CO236" si="68">COUNTIF(BO5:BO110,"*PSSC*")</f>
        <v>1</v>
      </c>
      <c r="BP236" s="18">
        <f t="shared" si="68"/>
        <v>1</v>
      </c>
      <c r="BQ236" s="18">
        <f t="shared" si="68"/>
        <v>1</v>
      </c>
      <c r="BR236" s="18">
        <f t="shared" si="68"/>
        <v>1</v>
      </c>
      <c r="BS236" s="18">
        <f t="shared" si="68"/>
        <v>1</v>
      </c>
      <c r="BT236" s="18">
        <f t="shared" si="68"/>
        <v>1</v>
      </c>
      <c r="BU236" s="18">
        <f t="shared" si="68"/>
        <v>1</v>
      </c>
      <c r="BV236" s="18">
        <f t="shared" si="68"/>
        <v>1</v>
      </c>
      <c r="BW236" s="18">
        <f t="shared" si="68"/>
        <v>1</v>
      </c>
      <c r="BX236" s="18">
        <f t="shared" si="68"/>
        <v>1</v>
      </c>
      <c r="BY236" s="18">
        <f t="shared" si="68"/>
        <v>1</v>
      </c>
      <c r="BZ236" s="18">
        <f t="shared" si="68"/>
        <v>1</v>
      </c>
      <c r="CA236" s="18">
        <f t="shared" si="68"/>
        <v>1</v>
      </c>
      <c r="CB236" s="18">
        <f t="shared" si="68"/>
        <v>1</v>
      </c>
      <c r="CC236" s="18">
        <f t="shared" si="68"/>
        <v>1</v>
      </c>
      <c r="CD236" s="18">
        <f t="shared" si="68"/>
        <v>1</v>
      </c>
      <c r="CE236" s="18">
        <f t="shared" si="68"/>
        <v>1</v>
      </c>
      <c r="CF236" s="18">
        <f t="shared" si="68"/>
        <v>1</v>
      </c>
      <c r="CG236" s="18">
        <f t="shared" si="68"/>
        <v>1</v>
      </c>
      <c r="CH236" s="18">
        <f t="shared" si="68"/>
        <v>1</v>
      </c>
      <c r="CI236" s="18">
        <f t="shared" si="68"/>
        <v>1</v>
      </c>
      <c r="CJ236" s="18">
        <f t="shared" si="68"/>
        <v>1</v>
      </c>
      <c r="CK236" s="18">
        <f t="shared" si="68"/>
        <v>1</v>
      </c>
      <c r="CL236" s="18">
        <f t="shared" si="68"/>
        <v>1</v>
      </c>
      <c r="CM236" s="18">
        <f t="shared" si="68"/>
        <v>1</v>
      </c>
      <c r="CN236" s="18">
        <f t="shared" si="68"/>
        <v>1</v>
      </c>
      <c r="CO236" s="18">
        <f t="shared" si="68"/>
        <v>1</v>
      </c>
    </row>
    <row r="237" spans="1:94">
      <c r="A237" s="484"/>
      <c r="B237" s="491" t="s">
        <v>296</v>
      </c>
      <c r="D237" s="18"/>
      <c r="E237" s="18"/>
      <c r="F237" s="18"/>
      <c r="G237" s="18"/>
      <c r="H237" s="18"/>
      <c r="I237" s="18"/>
      <c r="K237" s="18">
        <f>COUNTIF(K6:K110,"*PFC*")</f>
        <v>1</v>
      </c>
      <c r="L237" s="18"/>
      <c r="M237" s="18">
        <f>COUNTIF(M6:M110,"*PFC*")</f>
        <v>1</v>
      </c>
      <c r="N237" s="18"/>
      <c r="O237" s="18"/>
      <c r="P237" s="18"/>
      <c r="R237" s="18"/>
      <c r="S237" s="18"/>
      <c r="T237" s="18"/>
      <c r="U237" s="18"/>
      <c r="V237" s="18"/>
      <c r="W237" s="18"/>
      <c r="Y237" s="18">
        <f>COUNTIF(Y6:Y110,"*PFC*")</f>
        <v>1</v>
      </c>
      <c r="Z237" s="18">
        <f>COUNTIF(Z6:Z110,"*PFC*")</f>
        <v>1</v>
      </c>
      <c r="AA237" s="18">
        <f>COUNTIF(AA6:AA110,"*PFC*")</f>
        <v>1</v>
      </c>
      <c r="AB237" s="18"/>
      <c r="AC237" s="18"/>
      <c r="AD237" s="18"/>
      <c r="AF237" s="18">
        <f>COUNTIF(AF6:AF110,"*PFC*")</f>
        <v>1</v>
      </c>
      <c r="AG237" s="18">
        <f>COUNTIF(AG6:AG110,"*PFC*")</f>
        <v>1</v>
      </c>
      <c r="AH237" s="18"/>
      <c r="AI237" s="18"/>
      <c r="AJ237" s="18"/>
      <c r="AK237" s="18"/>
      <c r="AM237" s="18">
        <f>COUNTIF(AM6:AM110,"*PFC*")</f>
        <v>1</v>
      </c>
      <c r="AN237" s="18"/>
      <c r="AO237" s="18"/>
      <c r="AP237" s="18"/>
      <c r="AQ237" s="18"/>
      <c r="AR237" s="18"/>
      <c r="AT237" s="18"/>
      <c r="AU237" s="18"/>
      <c r="AV237" s="18">
        <f>COUNTIF(AV6:AV110,"*PFC*")</f>
        <v>1</v>
      </c>
      <c r="AW237" s="18"/>
      <c r="AX237" s="18"/>
      <c r="AY237" s="18"/>
      <c r="BA237" s="18"/>
      <c r="BB237" s="18">
        <f>COUNTIF(BB6:BB110,"*PFC*")</f>
        <v>1</v>
      </c>
      <c r="BC237" s="18">
        <f>COUNTIF(BC6:BC110,"*PFC*")</f>
        <v>1</v>
      </c>
      <c r="BD237" s="18"/>
      <c r="BE237" s="18"/>
      <c r="BF237" s="18"/>
      <c r="BH237" s="18"/>
      <c r="BI237" s="18"/>
      <c r="BJ237" s="18"/>
      <c r="BK237" s="18"/>
      <c r="BL237" s="18"/>
      <c r="BM237" s="18"/>
      <c r="BO237" s="18"/>
      <c r="BP237" s="18">
        <f>COUNTIF(BP6:BP110,"*PFC*")</f>
        <v>1</v>
      </c>
      <c r="BQ237" s="18"/>
      <c r="BR237" s="18"/>
      <c r="BS237" s="18"/>
      <c r="BT237" s="18"/>
      <c r="BV237" s="18"/>
      <c r="BW237" s="18"/>
      <c r="BX237" s="18"/>
      <c r="BY237" s="18"/>
      <c r="BZ237" s="18"/>
      <c r="CA237" s="18"/>
      <c r="CC237" s="18">
        <f>COUNTIF(CC6:CC110,"*PFC*")</f>
        <v>1</v>
      </c>
      <c r="CD237" s="18">
        <f>COUNTIF(CD6:CD110,"*PFC*")</f>
        <v>1</v>
      </c>
      <c r="CE237" s="18">
        <f>COUNTIF(CE6:CE110,"*PFC*")</f>
        <v>1</v>
      </c>
      <c r="CF237" s="18"/>
      <c r="CG237" s="18"/>
      <c r="CH237" s="18"/>
      <c r="CJ237" s="18"/>
      <c r="CK237" s="18"/>
      <c r="CL237" s="18"/>
      <c r="CM237" s="18"/>
      <c r="CN237" s="18"/>
      <c r="CO237" s="18"/>
    </row>
    <row r="238" spans="1:94">
      <c r="A238" s="484"/>
      <c r="B238" s="181"/>
      <c r="D238" s="18"/>
      <c r="E238" s="18"/>
      <c r="F238" s="18"/>
      <c r="G238" s="18"/>
      <c r="H238" s="18"/>
      <c r="I238" s="18"/>
      <c r="K238" s="18"/>
      <c r="L238" s="18"/>
      <c r="M238" s="18"/>
      <c r="N238" s="18"/>
      <c r="O238" s="18"/>
      <c r="P238" s="18"/>
      <c r="R238" s="18"/>
      <c r="S238" s="18"/>
      <c r="T238" s="18"/>
      <c r="U238" s="18"/>
      <c r="V238" s="18"/>
      <c r="W238" s="18"/>
      <c r="Y238" s="18"/>
      <c r="Z238" s="18"/>
      <c r="AA238" s="18"/>
      <c r="AB238" s="18"/>
      <c r="AC238" s="18"/>
      <c r="AD238" s="18"/>
      <c r="AF238" s="18"/>
      <c r="AG238" s="18"/>
      <c r="AH238" s="18"/>
      <c r="AI238" s="18"/>
      <c r="AJ238" s="18"/>
      <c r="AK238" s="18"/>
      <c r="AM238" s="18"/>
      <c r="AN238" s="18"/>
      <c r="AO238" s="18"/>
      <c r="AP238" s="18"/>
      <c r="AQ238" s="18"/>
      <c r="AR238" s="18"/>
      <c r="AT238" s="18"/>
      <c r="AU238" s="18"/>
      <c r="AV238" s="18"/>
      <c r="AW238" s="18"/>
      <c r="AX238" s="18"/>
      <c r="AY238" s="18"/>
      <c r="BA238" s="18"/>
      <c r="BB238" s="18"/>
      <c r="BC238" s="18"/>
      <c r="BD238" s="18"/>
      <c r="BE238" s="18"/>
      <c r="BF238" s="18"/>
      <c r="BH238" s="18"/>
      <c r="BI238" s="18"/>
      <c r="BJ238" s="18"/>
      <c r="BK238" s="18"/>
      <c r="BL238" s="18"/>
      <c r="BM238" s="18"/>
      <c r="BO238" s="18"/>
      <c r="BP238" s="18"/>
      <c r="BQ238" s="18"/>
      <c r="BR238" s="18"/>
      <c r="BS238" s="18"/>
      <c r="BT238" s="18"/>
      <c r="BV238" s="18"/>
      <c r="BW238" s="18"/>
      <c r="BX238" s="18"/>
      <c r="BY238" s="18"/>
      <c r="BZ238" s="18"/>
      <c r="CA238" s="18"/>
      <c r="CC238" s="18"/>
      <c r="CD238" s="18"/>
      <c r="CE238" s="18"/>
      <c r="CF238" s="18"/>
      <c r="CG238" s="18"/>
      <c r="CH238" s="18"/>
      <c r="CJ238" s="18"/>
      <c r="CK238" s="18"/>
      <c r="CL238" s="18"/>
      <c r="CM238" s="18"/>
      <c r="CN238" s="18"/>
      <c r="CO238" s="18"/>
    </row>
    <row r="239" spans="1:94">
      <c r="A239" s="492"/>
      <c r="B239" s="493"/>
      <c r="D239" s="18"/>
      <c r="E239" s="18"/>
      <c r="F239" s="18"/>
      <c r="G239" s="18"/>
      <c r="H239" s="18"/>
      <c r="I239" s="18"/>
      <c r="K239" s="18"/>
      <c r="L239" s="18"/>
      <c r="M239" s="18"/>
      <c r="N239" s="18"/>
      <c r="O239" s="18"/>
      <c r="P239" s="18"/>
      <c r="R239" s="18"/>
      <c r="S239" s="18"/>
      <c r="T239" s="18"/>
      <c r="U239" s="18"/>
      <c r="V239" s="18"/>
      <c r="W239" s="18"/>
      <c r="Y239" s="18"/>
      <c r="Z239" s="18"/>
      <c r="AA239" s="18"/>
      <c r="AB239" s="18"/>
      <c r="AC239" s="18"/>
      <c r="AD239" s="18"/>
      <c r="AF239" s="18"/>
      <c r="AG239" s="18"/>
      <c r="AH239" s="18"/>
      <c r="AI239" s="18"/>
      <c r="AJ239" s="18"/>
      <c r="AK239" s="18"/>
      <c r="AM239" s="18"/>
      <c r="AN239" s="18"/>
      <c r="AO239" s="18"/>
      <c r="AP239" s="18"/>
      <c r="AQ239" s="18"/>
      <c r="AR239" s="18"/>
      <c r="AT239" s="18"/>
      <c r="AU239" s="18"/>
      <c r="AV239" s="18"/>
      <c r="AW239" s="18"/>
      <c r="AX239" s="18"/>
      <c r="AY239" s="18"/>
      <c r="BA239" s="18"/>
      <c r="BB239" s="18"/>
      <c r="BC239" s="18"/>
      <c r="BD239" s="18"/>
      <c r="BE239" s="18"/>
      <c r="BF239" s="18"/>
      <c r="BH239" s="18"/>
      <c r="BI239" s="18"/>
      <c r="BJ239" s="18"/>
      <c r="BK239" s="18"/>
      <c r="BL239" s="18"/>
      <c r="BM239" s="18"/>
      <c r="BO239" s="18"/>
      <c r="BP239" s="18"/>
      <c r="BQ239" s="18"/>
      <c r="BR239" s="18"/>
      <c r="BS239" s="18"/>
      <c r="BT239" s="18"/>
      <c r="BV239" s="18"/>
      <c r="BW239" s="18"/>
      <c r="BX239" s="18"/>
      <c r="BY239" s="18"/>
      <c r="BZ239" s="18"/>
      <c r="CA239" s="18"/>
      <c r="CC239" s="18"/>
      <c r="CD239" s="18"/>
      <c r="CE239" s="18"/>
      <c r="CF239" s="18"/>
      <c r="CG239" s="18"/>
      <c r="CH239" s="18"/>
      <c r="CJ239" s="18"/>
      <c r="CK239" s="18"/>
      <c r="CL239" s="18"/>
      <c r="CM239" s="18"/>
      <c r="CN239" s="18"/>
      <c r="CO239" s="18"/>
      <c r="CP239" s="326"/>
    </row>
  </sheetData>
  <mergeCells count="33">
    <mergeCell ref="AZ2:BF2"/>
    <mergeCell ref="BG2:BM2"/>
    <mergeCell ref="BN2:BT2"/>
    <mergeCell ref="BU2:CA2"/>
    <mergeCell ref="C2:I2"/>
    <mergeCell ref="J2:P2"/>
    <mergeCell ref="Q2:W2"/>
    <mergeCell ref="X2:AD2"/>
    <mergeCell ref="AE2:AK2"/>
    <mergeCell ref="AL2:AR2"/>
    <mergeCell ref="CB2:CH2"/>
    <mergeCell ref="CI2:CO2"/>
    <mergeCell ref="C110:I110"/>
    <mergeCell ref="J110:P110"/>
    <mergeCell ref="Q110:W110"/>
    <mergeCell ref="X110:AD110"/>
    <mergeCell ref="AE110:AK110"/>
    <mergeCell ref="AL110:AR110"/>
    <mergeCell ref="AS110:AY110"/>
    <mergeCell ref="AZ110:BF110"/>
    <mergeCell ref="BG110:BM110"/>
    <mergeCell ref="BN110:BT110"/>
    <mergeCell ref="BU110:CA110"/>
    <mergeCell ref="CB110:CH110"/>
    <mergeCell ref="CI110:CO110"/>
    <mergeCell ref="AS2:AY2"/>
    <mergeCell ref="AL156:AR156"/>
    <mergeCell ref="AS156:AY156"/>
    <mergeCell ref="C156:I156"/>
    <mergeCell ref="J156:P156"/>
    <mergeCell ref="Q156:W156"/>
    <mergeCell ref="X156:AD156"/>
    <mergeCell ref="AE156:AK156"/>
  </mergeCells>
  <conditionalFormatting sqref="A79:A81 A72:A77">
    <cfRule type="duplicateValues" dxfId="1920" priority="17"/>
  </conditionalFormatting>
  <conditionalFormatting sqref="A83:A87">
    <cfRule type="duplicateValues" dxfId="1919" priority="16"/>
  </conditionalFormatting>
  <conditionalFormatting sqref="A84:A85">
    <cfRule type="duplicateValues" dxfId="1918" priority="13"/>
    <cfRule type="duplicateValues" dxfId="1917" priority="14"/>
  </conditionalFormatting>
  <conditionalFormatting sqref="A88:A89">
    <cfRule type="duplicateValues" dxfId="1916" priority="15"/>
  </conditionalFormatting>
  <conditionalFormatting sqref="A103:A106 A91:A101">
    <cfRule type="duplicateValues" dxfId="1915" priority="11"/>
  </conditionalFormatting>
  <conditionalFormatting sqref="A106">
    <cfRule type="duplicateValues" dxfId="1914" priority="9"/>
    <cfRule type="duplicateValues" dxfId="1913" priority="10"/>
  </conditionalFormatting>
  <conditionalFormatting sqref="A108:A109">
    <cfRule type="duplicateValues" dxfId="1912" priority="12"/>
  </conditionalFormatting>
  <conditionalFormatting sqref="A182:A183 A175:A180">
    <cfRule type="duplicateValues" dxfId="1911" priority="26"/>
  </conditionalFormatting>
  <conditionalFormatting sqref="A185:A189">
    <cfRule type="duplicateValues" dxfId="1910" priority="25"/>
  </conditionalFormatting>
  <conditionalFormatting sqref="A186:A187">
    <cfRule type="duplicateValues" dxfId="1909" priority="22"/>
    <cfRule type="duplicateValues" dxfId="1908" priority="23"/>
  </conditionalFormatting>
  <conditionalFormatting sqref="A190">
    <cfRule type="duplicateValues" dxfId="1907" priority="24"/>
  </conditionalFormatting>
  <conditionalFormatting sqref="A204:A207 A192:A202">
    <cfRule type="duplicateValues" dxfId="1906" priority="20"/>
  </conditionalFormatting>
  <conditionalFormatting sqref="A207">
    <cfRule type="duplicateValues" dxfId="1905" priority="18"/>
    <cfRule type="duplicateValues" dxfId="1904" priority="19"/>
  </conditionalFormatting>
  <conditionalFormatting sqref="A209">
    <cfRule type="duplicateValues" dxfId="1903" priority="21"/>
  </conditionalFormatting>
  <conditionalFormatting sqref="C83:F83">
    <cfRule type="containsText" dxfId="1902" priority="51" operator="containsText" text="PL">
      <formula>NOT(ISERROR(SEARCH("PL",C83)))</formula>
    </cfRule>
    <cfRule type="containsText" dxfId="1901" priority="52" operator="containsText" text="SW">
      <formula>NOT(ISERROR(SEARCH("SW",C83)))</formula>
    </cfRule>
    <cfRule type="containsText" dxfId="1900" priority="53" operator="containsText" text="AT">
      <formula>NOT(ISERROR(SEARCH("AT",C83)))</formula>
    </cfRule>
    <cfRule type="containsText" dxfId="1899" priority="54" operator="containsText" text="SS">
      <formula>NOT(ISERROR(SEARCH("SS",C83)))</formula>
    </cfRule>
  </conditionalFormatting>
  <conditionalFormatting sqref="C61:G61 J61:N61 Q61:U61 X61:AB61 AE61:AI61 AL61:AP61 AS61:AW61 AZ61:BD61 BG61:BK61 BN61:BR61 BU61:BY61 CB61:CF61 CI61:CM61">
    <cfRule type="containsText" dxfId="1898" priority="332" operator="containsText" text="CSO">
      <formula>NOT(ISERROR(SEARCH("CSO",C61)))</formula>
    </cfRule>
    <cfRule type="containsText" dxfId="1897" priority="333" operator="containsText" text="FC">
      <formula>NOT(ISERROR(SEARCH("FC",C61)))</formula>
    </cfRule>
    <cfRule type="containsText" dxfId="1896" priority="334" operator="containsText" text="SS">
      <formula>NOT(ISERROR(SEARCH("SS",C61)))</formula>
    </cfRule>
    <cfRule type="containsText" dxfId="1895" priority="335" operator="containsText" text="RC">
      <formula>NOT(ISERROR(SEARCH("RC",C61)))</formula>
    </cfRule>
    <cfRule type="containsText" dxfId="1894" priority="336" operator="containsText" text="PAC">
      <formula>NOT(ISERROR(SEARCH("PAC",C61)))</formula>
    </cfRule>
    <cfRule type="containsText" dxfId="1893" priority="337" operator="containsText" text="AAC">
      <formula>NOT(ISERROR(SEARCH("AAC",C61)))</formula>
    </cfRule>
    <cfRule type="containsText" dxfId="1892" priority="338" operator="containsText" text="GC">
      <formula>NOT(ISERROR(SEARCH("GC",C61)))</formula>
    </cfRule>
  </conditionalFormatting>
  <conditionalFormatting sqref="C63:G64 J63:N64 Q63:U64 X63:AB64 AE63:AI64 AL63:AP64 AS63:AW64 AZ63:BD64 BG63:BK64 BN63:BR64 BU63:BY64 CB63:CF64 CI63:CM64">
    <cfRule type="cellIs" dxfId="1891" priority="341" operator="lessThan">
      <formula>5</formula>
    </cfRule>
  </conditionalFormatting>
  <conditionalFormatting sqref="C238:I238 C224:C237 D224:G224 J224:J229 Q224:Q229 X224:X229 AE224:AE229 AL224:AL229 AS224:AS229 AZ224:AZ229 BG224:BG229 BN224:BN229 BU224:BU229 CB224:CB229 CI224:CI229 K224:N224 R224:U224 Y224:AB224 AF224:AI224 AM224:AP224 AT224:AW224 BA224:BD224 BH224:BK224 BO224:BR224 BV224:BY224 CC224:CF224 CJ224:CM224 K225:P229 R225:W229 Y225:AD229 AF225:AK229 AM225:AR229 AT225:AY229 BA225:BF229 BH225:BM229 BO225:BT229 BV225:CA229 CC225:CH229 CJ225:CO229 J230:CO233 J235:CO238 D235:I237 D225:I233 D234:CO234">
    <cfRule type="colorScale" priority="343">
      <colorScale>
        <cfvo type="num" val="0"/>
        <cfvo type="num" val="1"/>
        <cfvo type="num" val="2"/>
        <color theme="0"/>
        <color rgb="FFAFFC06"/>
        <color rgb="FFFF0000"/>
      </colorScale>
    </cfRule>
  </conditionalFormatting>
  <conditionalFormatting sqref="C8:CO26 B27:CM27 C28:CO36 C37:CA37 CC37:CO37 C38:CO58">
    <cfRule type="containsText" dxfId="1890" priority="330" operator="containsText" text="CSO">
      <formula>NOT(ISERROR(SEARCH("CSO",B8)))</formula>
    </cfRule>
  </conditionalFormatting>
  <conditionalFormatting sqref="C8:CO26 B27:CM27 C28:CO58">
    <cfRule type="containsText" dxfId="1889" priority="321" operator="containsText" text="PAC">
      <formula>NOT(ISERROR(SEARCH("PAC",B8)))</formula>
    </cfRule>
    <cfRule type="containsText" dxfId="1888" priority="322" operator="containsText" text="AAC">
      <formula>NOT(ISERROR(SEARCH("AAC",B8)))</formula>
    </cfRule>
    <cfRule type="containsText" dxfId="1887" priority="323" operator="containsText" text="GC">
      <formula>NOT(ISERROR(SEARCH("GC",B8)))</formula>
    </cfRule>
    <cfRule type="containsText" dxfId="1886" priority="324" operator="containsText" text="FC">
      <formula>NOT(ISERROR(SEARCH("FC",B8)))</formula>
    </cfRule>
    <cfRule type="containsText" dxfId="1885" priority="325" operator="containsText" text="CC">
      <formula>NOT(ISERROR(SEARCH("CC",B8)))</formula>
    </cfRule>
    <cfRule type="containsText" dxfId="1884" priority="326" operator="containsText" text="RC">
      <formula>NOT(ISERROR(SEARCH("RC",B8)))</formula>
    </cfRule>
    <cfRule type="containsText" dxfId="1883" priority="327" operator="containsText" text="SSC">
      <formula>NOT(ISERROR(SEARCH("SSC",B8)))</formula>
    </cfRule>
  </conditionalFormatting>
  <conditionalFormatting sqref="C63:CO63 C64:G64 J64:N64 Q64:U64 X64:AB64 AE64:AI64 AL64:AP64 AS64:AW64 AZ64:BD64 BG64:BK64 BN64:BR64 BU64:BY64 CB64:CF64 CI64:CM64">
    <cfRule type="cellIs" dxfId="1882" priority="342" operator="greaterThan">
      <formula>6</formula>
    </cfRule>
  </conditionalFormatting>
  <conditionalFormatting sqref="C66:CO66 C67:BF67 BN67:CO67 C68:CO70">
    <cfRule type="containsText" dxfId="1881" priority="320" operator="containsText" text="CC">
      <formula>NOT(ISERROR(SEARCH("CC",C66)))</formula>
    </cfRule>
  </conditionalFormatting>
  <conditionalFormatting sqref="C66:CO70">
    <cfRule type="containsText" dxfId="1880" priority="6" operator="containsText" text="RC">
      <formula>NOT(ISERROR(SEARCH("RC",C66)))</formula>
    </cfRule>
  </conditionalFormatting>
  <conditionalFormatting sqref="C168:CO168">
    <cfRule type="cellIs" dxfId="1879" priority="340" operator="greaterThan">
      <formula>3</formula>
    </cfRule>
  </conditionalFormatting>
  <conditionalFormatting sqref="C170:CO170">
    <cfRule type="cellIs" dxfId="1878" priority="339" operator="greaterThan">
      <formula>4</formula>
    </cfRule>
  </conditionalFormatting>
  <conditionalFormatting sqref="H63:I64 O63:P64 V63:W64 AC63:AD64 AJ63:AK64 AQ63:AR64 AX63:AY64 BE63:BF64 BL63:BM64 BS63:BT64 BZ63:CA64 CG63:CH64 CN63:CO64">
    <cfRule type="cellIs" dxfId="1877" priority="331" operator="greaterThan">
      <formula>3</formula>
    </cfRule>
  </conditionalFormatting>
  <conditionalFormatting sqref="Q85:U85">
    <cfRule type="containsText" dxfId="1876" priority="227" operator="containsText" text="PL">
      <formula>NOT(ISERROR(SEARCH("PL",Q85)))</formula>
    </cfRule>
    <cfRule type="containsText" dxfId="1875" priority="228" operator="containsText" text="SW">
      <formula>NOT(ISERROR(SEARCH("SW",Q85)))</formula>
    </cfRule>
    <cfRule type="containsText" dxfId="1874" priority="229" operator="containsText" text="AT">
      <formula>NOT(ISERROR(SEARCH("AT",Q85)))</formula>
    </cfRule>
    <cfRule type="containsText" dxfId="1873" priority="230" operator="containsText" text="SS">
      <formula>NOT(ISERROR(SEARCH("SS",Q85)))</formula>
    </cfRule>
  </conditionalFormatting>
  <conditionalFormatting sqref="Q66:AD66">
    <cfRule type="containsText" dxfId="1872" priority="328" operator="containsText" text="CSO">
      <formula>NOT(ISERROR(SEARCH("CSO",Q66)))</formula>
    </cfRule>
  </conditionalFormatting>
  <conditionalFormatting sqref="T83:Y83 AA83">
    <cfRule type="containsText" dxfId="1871" priority="195" operator="containsText" text="PL">
      <formula>NOT(ISERROR(SEARCH("PL",T83)))</formula>
    </cfRule>
    <cfRule type="containsText" dxfId="1870" priority="196" operator="containsText" text="SW">
      <formula>NOT(ISERROR(SEARCH("SW",T83)))</formula>
    </cfRule>
    <cfRule type="containsText" dxfId="1869" priority="197" operator="containsText" text="AT">
      <formula>NOT(ISERROR(SEARCH("AT",T83)))</formula>
    </cfRule>
    <cfRule type="containsText" dxfId="1868" priority="198" operator="containsText" text="SS">
      <formula>NOT(ISERROR(SEARCH("SS",T83)))</formula>
    </cfRule>
  </conditionalFormatting>
  <conditionalFormatting sqref="U87">
    <cfRule type="containsText" dxfId="1867" priority="83" operator="containsText" text="PL">
      <formula>NOT(ISERROR(SEARCH("PL",U87)))</formula>
    </cfRule>
    <cfRule type="containsText" dxfId="1866" priority="84" operator="containsText" text="SW">
      <formula>NOT(ISERROR(SEARCH("SW",U87)))</formula>
    </cfRule>
    <cfRule type="containsText" dxfId="1865" priority="85" operator="containsText" text="AT">
      <formula>NOT(ISERROR(SEARCH("AT",U87)))</formula>
    </cfRule>
    <cfRule type="containsText" dxfId="1864" priority="86" operator="containsText" text="SS">
      <formula>NOT(ISERROR(SEARCH("SS",U87)))</formula>
    </cfRule>
  </conditionalFormatting>
  <conditionalFormatting sqref="V88:W89">
    <cfRule type="containsText" dxfId="1863" priority="167" operator="containsText" text="PL">
      <formula>NOT(ISERROR(SEARCH("PL",V88)))</formula>
    </cfRule>
    <cfRule type="containsText" dxfId="1862" priority="168" operator="containsText" text="SW">
      <formula>NOT(ISERROR(SEARCH("SW",V88)))</formula>
    </cfRule>
    <cfRule type="containsText" dxfId="1861" priority="169" operator="containsText" text="AT">
      <formula>NOT(ISERROR(SEARCH("AT",V88)))</formula>
    </cfRule>
    <cfRule type="containsText" dxfId="1860" priority="170" operator="containsText" text="SS">
      <formula>NOT(ISERROR(SEARCH("SS",V88)))</formula>
    </cfRule>
  </conditionalFormatting>
  <conditionalFormatting sqref="X85">
    <cfRule type="containsText" dxfId="1859" priority="199" operator="containsText" text="PL">
      <formula>NOT(ISERROR(SEARCH("PL",X85)))</formula>
    </cfRule>
    <cfRule type="containsText" dxfId="1858" priority="200" operator="containsText" text="SW">
      <formula>NOT(ISERROR(SEARCH("SW",X85)))</formula>
    </cfRule>
    <cfRule type="containsText" dxfId="1857" priority="201" operator="containsText" text="AT">
      <formula>NOT(ISERROR(SEARCH("AT",X85)))</formula>
    </cfRule>
    <cfRule type="containsText" dxfId="1856" priority="202" operator="containsText" text="SS">
      <formula>NOT(ISERROR(SEARCH("SS",X85)))</formula>
    </cfRule>
  </conditionalFormatting>
  <conditionalFormatting sqref="X84:AA84">
    <cfRule type="containsText" dxfId="1855" priority="259" operator="containsText" text="PL">
      <formula>NOT(ISERROR(SEARCH("PL",X84)))</formula>
    </cfRule>
    <cfRule type="containsText" dxfId="1854" priority="260" operator="containsText" text="SW">
      <formula>NOT(ISERROR(SEARCH("SW",X84)))</formula>
    </cfRule>
    <cfRule type="containsText" dxfId="1853" priority="261" operator="containsText" text="AT">
      <formula>NOT(ISERROR(SEARCH("AT",X84)))</formula>
    </cfRule>
    <cfRule type="containsText" dxfId="1852" priority="262" operator="containsText" text="SS">
      <formula>NOT(ISERROR(SEARCH("SS",X84)))</formula>
    </cfRule>
  </conditionalFormatting>
  <conditionalFormatting sqref="Y77">
    <cfRule type="containsText" dxfId="1851" priority="295" operator="containsText" text="PL">
      <formula>NOT(ISERROR(SEARCH("PL",Y77)))</formula>
    </cfRule>
    <cfRule type="containsText" dxfId="1850" priority="296" operator="containsText" text="SW">
      <formula>NOT(ISERROR(SEARCH("SW",Y77)))</formula>
    </cfRule>
    <cfRule type="containsText" dxfId="1849" priority="297" operator="containsText" text="AT">
      <formula>NOT(ISERROR(SEARCH("AT",Y77)))</formula>
    </cfRule>
    <cfRule type="containsText" dxfId="1848" priority="298" operator="containsText" text="SS">
      <formula>NOT(ISERROR(SEARCH("SS",Y77)))</formula>
    </cfRule>
  </conditionalFormatting>
  <conditionalFormatting sqref="AB77">
    <cfRule type="containsText" dxfId="1847" priority="299" operator="containsText" text="PL">
      <formula>NOT(ISERROR(SEARCH("PL",AB77)))</formula>
    </cfRule>
    <cfRule type="containsText" dxfId="1846" priority="300" operator="containsText" text="SW">
      <formula>NOT(ISERROR(SEARCH("SW",AB77)))</formula>
    </cfRule>
    <cfRule type="containsText" dxfId="1845" priority="301" operator="containsText" text="AT">
      <formula>NOT(ISERROR(SEARCH("AT",AB77)))</formula>
    </cfRule>
    <cfRule type="containsText" dxfId="1844" priority="302" operator="containsText" text="SS">
      <formula>NOT(ISERROR(SEARCH("SS",AB77)))</formula>
    </cfRule>
  </conditionalFormatting>
  <conditionalFormatting sqref="AB87:AD87">
    <cfRule type="containsText" dxfId="1843" priority="147" operator="containsText" text="PL">
      <formula>NOT(ISERROR(SEARCH("PL",AB87)))</formula>
    </cfRule>
    <cfRule type="containsText" dxfId="1842" priority="148" operator="containsText" text="SW">
      <formula>NOT(ISERROR(SEARCH("SW",AB87)))</formula>
    </cfRule>
    <cfRule type="containsText" dxfId="1841" priority="149" operator="containsText" text="AT">
      <formula>NOT(ISERROR(SEARCH("AT",AB87)))</formula>
    </cfRule>
    <cfRule type="containsText" dxfId="1840" priority="150" operator="containsText" text="SS">
      <formula>NOT(ISERROR(SEARCH("SS",AB87)))</formula>
    </cfRule>
  </conditionalFormatting>
  <conditionalFormatting sqref="AC86:AD86">
    <cfRule type="containsText" dxfId="1839" priority="119" operator="containsText" text="PL">
      <formula>NOT(ISERROR(SEARCH("PL",AC86)))</formula>
    </cfRule>
    <cfRule type="containsText" dxfId="1838" priority="120" operator="containsText" text="SW">
      <formula>NOT(ISERROR(SEARCH("SW",AC86)))</formula>
    </cfRule>
    <cfRule type="containsText" dxfId="1837" priority="121" operator="containsText" text="AT">
      <formula>NOT(ISERROR(SEARCH("AT",AC86)))</formula>
    </cfRule>
    <cfRule type="containsText" dxfId="1836" priority="122" operator="containsText" text="SS">
      <formula>NOT(ISERROR(SEARCH("SS",AC86)))</formula>
    </cfRule>
  </conditionalFormatting>
  <conditionalFormatting sqref="AE88:AF89">
    <cfRule type="containsText" dxfId="1835" priority="279" operator="containsText" text="PL">
      <formula>NOT(ISERROR(SEARCH("PL",AE88)))</formula>
    </cfRule>
    <cfRule type="containsText" dxfId="1834" priority="280" operator="containsText" text="SW">
      <formula>NOT(ISERROR(SEARCH("SW",AE88)))</formula>
    </cfRule>
    <cfRule type="containsText" dxfId="1833" priority="281" operator="containsText" text="AT">
      <formula>NOT(ISERROR(SEARCH("AT",AE88)))</formula>
    </cfRule>
    <cfRule type="containsText" dxfId="1832" priority="282" operator="containsText" text="SS">
      <formula>NOT(ISERROR(SEARCH("SS",AE88)))</formula>
    </cfRule>
  </conditionalFormatting>
  <conditionalFormatting sqref="AE76:AG76">
    <cfRule type="containsText" dxfId="1831" priority="307" operator="containsText" text="PL">
      <formula>NOT(ISERROR(SEARCH("PL",AE76)))</formula>
    </cfRule>
    <cfRule type="containsText" dxfId="1830" priority="308" operator="containsText" text="SW">
      <formula>NOT(ISERROR(SEARCH("SW",AE76)))</formula>
    </cfRule>
    <cfRule type="containsText" dxfId="1829" priority="309" operator="containsText" text="AT">
      <formula>NOT(ISERROR(SEARCH("AT",AE76)))</formula>
    </cfRule>
    <cfRule type="containsText" dxfId="1828" priority="310" operator="containsText" text="SS">
      <formula>NOT(ISERROR(SEARCH("SS",AE76)))</formula>
    </cfRule>
  </conditionalFormatting>
  <conditionalFormatting sqref="AE83:AI83">
    <cfRule type="containsText" dxfId="1827" priority="191" operator="containsText" text="PL">
      <formula>NOT(ISERROR(SEARCH("PL",AE83)))</formula>
    </cfRule>
    <cfRule type="containsText" dxfId="1826" priority="192" operator="containsText" text="SW">
      <formula>NOT(ISERROR(SEARCH("SW",AE83)))</formula>
    </cfRule>
    <cfRule type="containsText" dxfId="1825" priority="193" operator="containsText" text="AT">
      <formula>NOT(ISERROR(SEARCH("AT",AE83)))</formula>
    </cfRule>
    <cfRule type="containsText" dxfId="1824" priority="194" operator="containsText" text="SS">
      <formula>NOT(ISERROR(SEARCH("SS",AE83)))</formula>
    </cfRule>
  </conditionalFormatting>
  <conditionalFormatting sqref="AE84:AK84">
    <cfRule type="containsText" dxfId="1823" priority="255" operator="containsText" text="PL">
      <formula>NOT(ISERROR(SEARCH("PL",AE84)))</formula>
    </cfRule>
    <cfRule type="containsText" dxfId="1822" priority="256" operator="containsText" text="SW">
      <formula>NOT(ISERROR(SEARCH("SW",AE84)))</formula>
    </cfRule>
    <cfRule type="containsText" dxfId="1821" priority="257" operator="containsText" text="AT">
      <formula>NOT(ISERROR(SEARCH("AT",AE84)))</formula>
    </cfRule>
    <cfRule type="containsText" dxfId="1820" priority="258" operator="containsText" text="SS">
      <formula>NOT(ISERROR(SEARCH("SS",AE84)))</formula>
    </cfRule>
  </conditionalFormatting>
  <conditionalFormatting sqref="AF78">
    <cfRule type="containsText" dxfId="1819" priority="303" operator="containsText" text="PL">
      <formula>NOT(ISERROR(SEARCH("PL",AF78)))</formula>
    </cfRule>
    <cfRule type="containsText" dxfId="1818" priority="304" operator="containsText" text="SW">
      <formula>NOT(ISERROR(SEARCH("SW",AF78)))</formula>
    </cfRule>
    <cfRule type="containsText" dxfId="1817" priority="305" operator="containsText" text="AT">
      <formula>NOT(ISERROR(SEARCH("AT",AF78)))</formula>
    </cfRule>
    <cfRule type="containsText" dxfId="1816" priority="306" operator="containsText" text="SS">
      <formula>NOT(ISERROR(SEARCH("SS",AF78)))</formula>
    </cfRule>
  </conditionalFormatting>
  <conditionalFormatting sqref="AF85:AI85">
    <cfRule type="containsText" dxfId="1815" priority="223" operator="containsText" text="PL">
      <formula>NOT(ISERROR(SEARCH("PL",AF85)))</formula>
    </cfRule>
    <cfRule type="containsText" dxfId="1814" priority="224" operator="containsText" text="SW">
      <formula>NOT(ISERROR(SEARCH("SW",AF85)))</formula>
    </cfRule>
    <cfRule type="containsText" dxfId="1813" priority="225" operator="containsText" text="AT">
      <formula>NOT(ISERROR(SEARCH("AT",AF85)))</formula>
    </cfRule>
    <cfRule type="containsText" dxfId="1812" priority="226" operator="containsText" text="SS">
      <formula>NOT(ISERROR(SEARCH("SS",AF85)))</formula>
    </cfRule>
  </conditionalFormatting>
  <conditionalFormatting sqref="AG86:AH86">
    <cfRule type="containsText" dxfId="1811" priority="131" operator="containsText" text="PL">
      <formula>NOT(ISERROR(SEARCH("PL",AG86)))</formula>
    </cfRule>
    <cfRule type="containsText" dxfId="1810" priority="132" operator="containsText" text="SW">
      <formula>NOT(ISERROR(SEARCH("SW",AG86)))</formula>
    </cfRule>
    <cfRule type="containsText" dxfId="1809" priority="133" operator="containsText" text="AT">
      <formula>NOT(ISERROR(SEARCH("AT",AG86)))</formula>
    </cfRule>
    <cfRule type="containsText" dxfId="1808" priority="134" operator="containsText" text="SS">
      <formula>NOT(ISERROR(SEARCH("SS",AG86)))</formula>
    </cfRule>
  </conditionalFormatting>
  <conditionalFormatting sqref="AI87">
    <cfRule type="containsText" dxfId="1807" priority="87" operator="containsText" text="PL">
      <formula>NOT(ISERROR(SEARCH("PL",AI87)))</formula>
    </cfRule>
    <cfRule type="containsText" dxfId="1806" priority="88" operator="containsText" text="SW">
      <formula>NOT(ISERROR(SEARCH("SW",AI87)))</formula>
    </cfRule>
    <cfRule type="containsText" dxfId="1805" priority="89" operator="containsText" text="AT">
      <formula>NOT(ISERROR(SEARCH("AT",AI87)))</formula>
    </cfRule>
    <cfRule type="containsText" dxfId="1804" priority="90" operator="containsText" text="SS">
      <formula>NOT(ISERROR(SEARCH("SS",AI87)))</formula>
    </cfRule>
  </conditionalFormatting>
  <conditionalFormatting sqref="AJ88:AK89">
    <cfRule type="containsText" dxfId="1803" priority="163" operator="containsText" text="PL">
      <formula>NOT(ISERROR(SEARCH("PL",AJ88)))</formula>
    </cfRule>
    <cfRule type="containsText" dxfId="1802" priority="164" operator="containsText" text="SW">
      <formula>NOT(ISERROR(SEARCH("SW",AJ88)))</formula>
    </cfRule>
    <cfRule type="containsText" dxfId="1801" priority="165" operator="containsText" text="AT">
      <formula>NOT(ISERROR(SEARCH("AT",AJ88)))</formula>
    </cfRule>
    <cfRule type="containsText" dxfId="1800" priority="166" operator="containsText" text="SS">
      <formula>NOT(ISERROR(SEARCH("SS",AJ88)))</formula>
    </cfRule>
  </conditionalFormatting>
  <conditionalFormatting sqref="AL86:AL87">
    <cfRule type="containsText" dxfId="1799" priority="71" operator="containsText" text="PL">
      <formula>NOT(ISERROR(SEARCH("PL",AL86)))</formula>
    </cfRule>
    <cfRule type="containsText" dxfId="1798" priority="72" operator="containsText" text="SW">
      <formula>NOT(ISERROR(SEARCH("SW",AL86)))</formula>
    </cfRule>
    <cfRule type="containsText" dxfId="1797" priority="73" operator="containsText" text="AT">
      <formula>NOT(ISERROR(SEARCH("AT",AL86)))</formula>
    </cfRule>
    <cfRule type="containsText" dxfId="1796" priority="74" operator="containsText" text="SS">
      <formula>NOT(ISERROR(SEARCH("SS",AL86)))</formula>
    </cfRule>
  </conditionalFormatting>
  <conditionalFormatting sqref="AL83:AO83">
    <cfRule type="containsText" dxfId="1795" priority="187" operator="containsText" text="PL">
      <formula>NOT(ISERROR(SEARCH("PL",AL83)))</formula>
    </cfRule>
    <cfRule type="containsText" dxfId="1794" priority="188" operator="containsText" text="SW">
      <formula>NOT(ISERROR(SEARCH("SW",AL83)))</formula>
    </cfRule>
    <cfRule type="containsText" dxfId="1793" priority="189" operator="containsText" text="AT">
      <formula>NOT(ISERROR(SEARCH("AT",AL83)))</formula>
    </cfRule>
    <cfRule type="containsText" dxfId="1792" priority="190" operator="containsText" text="SS">
      <formula>NOT(ISERROR(SEARCH("SS",AL83)))</formula>
    </cfRule>
  </conditionalFormatting>
  <conditionalFormatting sqref="AM88:AN89">
    <cfRule type="containsText" dxfId="1791" priority="159" operator="containsText" text="PL">
      <formula>NOT(ISERROR(SEARCH("PL",AM88)))</formula>
    </cfRule>
    <cfRule type="containsText" dxfId="1790" priority="160" operator="containsText" text="SW">
      <formula>NOT(ISERROR(SEARCH("SW",AM88)))</formula>
    </cfRule>
    <cfRule type="containsText" dxfId="1789" priority="161" operator="containsText" text="AT">
      <formula>NOT(ISERROR(SEARCH("AT",AM88)))</formula>
    </cfRule>
    <cfRule type="containsText" dxfId="1788" priority="162" operator="containsText" text="SS">
      <formula>NOT(ISERROR(SEARCH("SS",AM88)))</formula>
    </cfRule>
  </conditionalFormatting>
  <conditionalFormatting sqref="AM84:AP84">
    <cfRule type="containsText" dxfId="1787" priority="251" operator="containsText" text="PL">
      <formula>NOT(ISERROR(SEARCH("PL",AM84)))</formula>
    </cfRule>
    <cfRule type="containsText" dxfId="1786" priority="252" operator="containsText" text="SW">
      <formula>NOT(ISERROR(SEARCH("SW",AM84)))</formula>
    </cfRule>
    <cfRule type="containsText" dxfId="1785" priority="253" operator="containsText" text="AT">
      <formula>NOT(ISERROR(SEARCH("AT",AM84)))</formula>
    </cfRule>
    <cfRule type="containsText" dxfId="1784" priority="254" operator="containsText" text="SS">
      <formula>NOT(ISERROR(SEARCH("SS",AM84)))</formula>
    </cfRule>
  </conditionalFormatting>
  <conditionalFormatting sqref="AM85:AR85 CK85 CM85:CO85 CE85:CE86 C88:C89">
    <cfRule type="containsText" dxfId="1783" priority="284" operator="containsText" text="SW">
      <formula>NOT(ISERROR(SEARCH("SW",C85)))</formula>
    </cfRule>
    <cfRule type="containsText" dxfId="1782" priority="285" operator="containsText" text="AT">
      <formula>NOT(ISERROR(SEARCH("AT",C85)))</formula>
    </cfRule>
    <cfRule type="containsText" dxfId="1781" priority="286" operator="containsText" text="SS">
      <formula>NOT(ISERROR(SEARCH("SS",C85)))</formula>
    </cfRule>
  </conditionalFormatting>
  <conditionalFormatting sqref="AP86:AP87">
    <cfRule type="containsText" dxfId="1780" priority="79" operator="containsText" text="PL">
      <formula>NOT(ISERROR(SEARCH("PL",AP86)))</formula>
    </cfRule>
    <cfRule type="containsText" dxfId="1779" priority="80" operator="containsText" text="SW">
      <formula>NOT(ISERROR(SEARCH("SW",AP86)))</formula>
    </cfRule>
    <cfRule type="containsText" dxfId="1778" priority="81" operator="containsText" text="AT">
      <formula>NOT(ISERROR(SEARCH("AT",AP86)))</formula>
    </cfRule>
    <cfRule type="containsText" dxfId="1777" priority="82" operator="containsText" text="SS">
      <formula>NOT(ISERROR(SEARCH("SS",AP86)))</formula>
    </cfRule>
  </conditionalFormatting>
  <conditionalFormatting sqref="AS88:AT89">
    <cfRule type="containsText" dxfId="1776" priority="275" operator="containsText" text="PL">
      <formula>NOT(ISERROR(SEARCH("PL",AS88)))</formula>
    </cfRule>
    <cfRule type="containsText" dxfId="1775" priority="276" operator="containsText" text="SW">
      <formula>NOT(ISERROR(SEARCH("SW",AS88)))</formula>
    </cfRule>
    <cfRule type="containsText" dxfId="1774" priority="277" operator="containsText" text="AT">
      <formula>NOT(ISERROR(SEARCH("AT",AS88)))</formula>
    </cfRule>
    <cfRule type="containsText" dxfId="1773" priority="278" operator="containsText" text="SS">
      <formula>NOT(ISERROR(SEARCH("SS",AS88)))</formula>
    </cfRule>
  </conditionalFormatting>
  <conditionalFormatting sqref="AS83:AY85">
    <cfRule type="containsText" dxfId="1772" priority="183" operator="containsText" text="PL">
      <formula>NOT(ISERROR(SEARCH("PL",AS83)))</formula>
    </cfRule>
    <cfRule type="containsText" dxfId="1771" priority="184" operator="containsText" text="SW">
      <formula>NOT(ISERROR(SEARCH("SW",AS83)))</formula>
    </cfRule>
    <cfRule type="containsText" dxfId="1770" priority="185" operator="containsText" text="AT">
      <formula>NOT(ISERROR(SEARCH("AT",AS83)))</formula>
    </cfRule>
    <cfRule type="containsText" dxfId="1769" priority="186" operator="containsText" text="SS">
      <formula>NOT(ISERROR(SEARCH("SS",AS83)))</formula>
    </cfRule>
  </conditionalFormatting>
  <conditionalFormatting sqref="AU86:AV86">
    <cfRule type="containsText" dxfId="1768" priority="143" operator="containsText" text="PL">
      <formula>NOT(ISERROR(SEARCH("PL",AU86)))</formula>
    </cfRule>
    <cfRule type="containsText" dxfId="1767" priority="144" operator="containsText" text="SW">
      <formula>NOT(ISERROR(SEARCH("SW",AU86)))</formula>
    </cfRule>
    <cfRule type="containsText" dxfId="1766" priority="145" operator="containsText" text="AT">
      <formula>NOT(ISERROR(SEARCH("AT",AU86)))</formula>
    </cfRule>
    <cfRule type="containsText" dxfId="1765" priority="146" operator="containsText" text="SS">
      <formula>NOT(ISERROR(SEARCH("SS",AU86)))</formula>
    </cfRule>
  </conditionalFormatting>
  <conditionalFormatting sqref="AX87:AY89">
    <cfRule type="containsText" dxfId="1764" priority="75" operator="containsText" text="PL">
      <formula>NOT(ISERROR(SEARCH("PL",AX87)))</formula>
    </cfRule>
    <cfRule type="containsText" dxfId="1763" priority="76" operator="containsText" text="SW">
      <formula>NOT(ISERROR(SEARCH("SW",AX87)))</formula>
    </cfRule>
    <cfRule type="containsText" dxfId="1762" priority="77" operator="containsText" text="AT">
      <formula>NOT(ISERROR(SEARCH("AT",AX87)))</formula>
    </cfRule>
    <cfRule type="containsText" dxfId="1761" priority="78" operator="containsText" text="SS">
      <formula>NOT(ISERROR(SEARCH("SS",AX87)))</formula>
    </cfRule>
  </conditionalFormatting>
  <conditionalFormatting sqref="AZ87">
    <cfRule type="containsText" dxfId="1760" priority="67" operator="containsText" text="PL">
      <formula>NOT(ISERROR(SEARCH("PL",AZ87)))</formula>
    </cfRule>
    <cfRule type="containsText" dxfId="1759" priority="68" operator="containsText" text="SW">
      <formula>NOT(ISERROR(SEARCH("SW",AZ87)))</formula>
    </cfRule>
    <cfRule type="containsText" dxfId="1758" priority="69" operator="containsText" text="AT">
      <formula>NOT(ISERROR(SEARCH("AT",AZ87)))</formula>
    </cfRule>
    <cfRule type="containsText" dxfId="1757" priority="70" operator="containsText" text="SS">
      <formula>NOT(ISERROR(SEARCH("SS",AZ87)))</formula>
    </cfRule>
  </conditionalFormatting>
  <conditionalFormatting sqref="AZ83:BE83">
    <cfRule type="containsText" dxfId="1756" priority="179" operator="containsText" text="PL">
      <formula>NOT(ISERROR(SEARCH("PL",AZ83)))</formula>
    </cfRule>
    <cfRule type="containsText" dxfId="1755" priority="180" operator="containsText" text="SW">
      <formula>NOT(ISERROR(SEARCH("SW",AZ83)))</formula>
    </cfRule>
    <cfRule type="containsText" dxfId="1754" priority="181" operator="containsText" text="AT">
      <formula>NOT(ISERROR(SEARCH("AT",AZ83)))</formula>
    </cfRule>
    <cfRule type="containsText" dxfId="1753" priority="182" operator="containsText" text="SS">
      <formula>NOT(ISERROR(SEARCH("SS",AZ83)))</formula>
    </cfRule>
  </conditionalFormatting>
  <conditionalFormatting sqref="AZ84:BF85">
    <cfRule type="containsText" dxfId="1752" priority="219" operator="containsText" text="PL">
      <formula>NOT(ISERROR(SEARCH("PL",AZ84)))</formula>
    </cfRule>
    <cfRule type="containsText" dxfId="1751" priority="220" operator="containsText" text="SW">
      <formula>NOT(ISERROR(SEARCH("SW",AZ84)))</formula>
    </cfRule>
    <cfRule type="containsText" dxfId="1750" priority="221" operator="containsText" text="AT">
      <formula>NOT(ISERROR(SEARCH("AT",AZ84)))</formula>
    </cfRule>
    <cfRule type="containsText" dxfId="1749" priority="222" operator="containsText" text="SS">
      <formula>NOT(ISERROR(SEARCH("SS",AZ84)))</formula>
    </cfRule>
  </conditionalFormatting>
  <conditionalFormatting sqref="BA86">
    <cfRule type="containsText" dxfId="1748" priority="107" operator="containsText" text="PL">
      <formula>NOT(ISERROR(SEARCH("PL",BA86)))</formula>
    </cfRule>
    <cfRule type="containsText" dxfId="1747" priority="108" operator="containsText" text="SW">
      <formula>NOT(ISERROR(SEARCH("SW",BA86)))</formula>
    </cfRule>
    <cfRule type="containsText" dxfId="1746" priority="109" operator="containsText" text="AT">
      <formula>NOT(ISERROR(SEARCH("AT",BA86)))</formula>
    </cfRule>
    <cfRule type="containsText" dxfId="1745" priority="110" operator="containsText" text="SS">
      <formula>NOT(ISERROR(SEARCH("SS",BA86)))</formula>
    </cfRule>
  </conditionalFormatting>
  <conditionalFormatting sqref="BE86:BF86">
    <cfRule type="containsText" dxfId="1744" priority="115" operator="containsText" text="PL">
      <formula>NOT(ISERROR(SEARCH("PL",BE86)))</formula>
    </cfRule>
    <cfRule type="containsText" dxfId="1743" priority="116" operator="containsText" text="SW">
      <formula>NOT(ISERROR(SEARCH("SW",BE86)))</formula>
    </cfRule>
    <cfRule type="containsText" dxfId="1742" priority="117" operator="containsText" text="AT">
      <formula>NOT(ISERROR(SEARCH("AT",BE86)))</formula>
    </cfRule>
    <cfRule type="containsText" dxfId="1741" priority="118" operator="containsText" text="SS">
      <formula>NOT(ISERROR(SEARCH("SS",BE86)))</formula>
    </cfRule>
  </conditionalFormatting>
  <conditionalFormatting sqref="BE88:BF89">
    <cfRule type="containsText" dxfId="1740" priority="155" operator="containsText" text="PL">
      <formula>NOT(ISERROR(SEARCH("PL",BE88)))</formula>
    </cfRule>
    <cfRule type="containsText" dxfId="1739" priority="156" operator="containsText" text="SW">
      <formula>NOT(ISERROR(SEARCH("SW",BE88)))</formula>
    </cfRule>
    <cfRule type="containsText" dxfId="1738" priority="157" operator="containsText" text="AT">
      <formula>NOT(ISERROR(SEARCH("AT",BE88)))</formula>
    </cfRule>
    <cfRule type="containsText" dxfId="1737" priority="158" operator="containsText" text="SS">
      <formula>NOT(ISERROR(SEARCH("SS",BE88)))</formula>
    </cfRule>
  </conditionalFormatting>
  <conditionalFormatting sqref="BG87">
    <cfRule type="containsText" dxfId="1736" priority="63" operator="containsText" text="PL">
      <formula>NOT(ISERROR(SEARCH("PL",BG87)))</formula>
    </cfRule>
    <cfRule type="containsText" dxfId="1735" priority="64" operator="containsText" text="SW">
      <formula>NOT(ISERROR(SEARCH("SW",BG87)))</formula>
    </cfRule>
    <cfRule type="containsText" dxfId="1734" priority="65" operator="containsText" text="AT">
      <formula>NOT(ISERROR(SEARCH("AT",BG87)))</formula>
    </cfRule>
    <cfRule type="containsText" dxfId="1733" priority="66" operator="containsText" text="SS">
      <formula>NOT(ISERROR(SEARCH("SS",BG87)))</formula>
    </cfRule>
  </conditionalFormatting>
  <conditionalFormatting sqref="BG83:BH83">
    <cfRule type="containsText" dxfId="1732" priority="47" operator="containsText" text="PL">
      <formula>NOT(ISERROR(SEARCH("PL",BG83)))</formula>
    </cfRule>
    <cfRule type="containsText" dxfId="1731" priority="48" operator="containsText" text="SW">
      <formula>NOT(ISERROR(SEARCH("SW",BG83)))</formula>
    </cfRule>
    <cfRule type="containsText" dxfId="1730" priority="49" operator="containsText" text="AT">
      <formula>NOT(ISERROR(SEARCH("AT",BG83)))</formula>
    </cfRule>
    <cfRule type="containsText" dxfId="1729" priority="50" operator="containsText" text="SS">
      <formula>NOT(ISERROR(SEARCH("SS",BG83)))</formula>
    </cfRule>
  </conditionalFormatting>
  <conditionalFormatting sqref="BG84:BK84">
    <cfRule type="containsText" dxfId="1728" priority="247" operator="containsText" text="PL">
      <formula>NOT(ISERROR(SEARCH("PL",BG84)))</formula>
    </cfRule>
    <cfRule type="containsText" dxfId="1727" priority="248" operator="containsText" text="SW">
      <formula>NOT(ISERROR(SEARCH("SW",BG84)))</formula>
    </cfRule>
    <cfRule type="containsText" dxfId="1726" priority="249" operator="containsText" text="AT">
      <formula>NOT(ISERROR(SEARCH("AT",BG84)))</formula>
    </cfRule>
    <cfRule type="containsText" dxfId="1725" priority="250" operator="containsText" text="SS">
      <formula>NOT(ISERROR(SEARCH("SS",BG84)))</formula>
    </cfRule>
  </conditionalFormatting>
  <conditionalFormatting sqref="BG67:BM67">
    <cfRule type="containsText" dxfId="1724" priority="1" operator="containsText" text="PAC">
      <formula>NOT(ISERROR(SEARCH("PAC",BG67)))</formula>
    </cfRule>
    <cfRule type="containsText" dxfId="1723" priority="2" operator="containsText" text="AAC">
      <formula>NOT(ISERROR(SEARCH("AAC",BG67)))</formula>
    </cfRule>
    <cfRule type="containsText" dxfId="1722" priority="3" operator="containsText" text="GC">
      <formula>NOT(ISERROR(SEARCH("GC",BG67)))</formula>
    </cfRule>
    <cfRule type="containsText" dxfId="1721" priority="4" operator="containsText" text="FC">
      <formula>NOT(ISERROR(SEARCH("FC",BG67)))</formula>
    </cfRule>
    <cfRule type="containsText" dxfId="1720" priority="5" operator="containsText" text="CC">
      <formula>NOT(ISERROR(SEARCH("CC",BG67)))</formula>
    </cfRule>
    <cfRule type="containsText" dxfId="1719" priority="7" operator="containsText" text="SSC">
      <formula>NOT(ISERROR(SEARCH("SSC",BG67)))</formula>
    </cfRule>
    <cfRule type="containsText" dxfId="1718" priority="8" operator="containsText" text="CSO">
      <formula>NOT(ISERROR(SEARCH("CSO",BG67)))</formula>
    </cfRule>
  </conditionalFormatting>
  <conditionalFormatting sqref="BG85:BR85">
    <cfRule type="containsText" dxfId="1717" priority="211" operator="containsText" text="PL">
      <formula>NOT(ISERROR(SEARCH("PL",BG85)))</formula>
    </cfRule>
    <cfRule type="containsText" dxfId="1716" priority="212" operator="containsText" text="SW">
      <formula>NOT(ISERROR(SEARCH("SW",BG85)))</formula>
    </cfRule>
    <cfRule type="containsText" dxfId="1715" priority="213" operator="containsText" text="AT">
      <formula>NOT(ISERROR(SEARCH("AT",BG85)))</formula>
    </cfRule>
    <cfRule type="containsText" dxfId="1714" priority="214" operator="containsText" text="SS">
      <formula>NOT(ISERROR(SEARCH("SS",BG85)))</formula>
    </cfRule>
  </conditionalFormatting>
  <conditionalFormatting sqref="BH88:BI89">
    <cfRule type="containsText" dxfId="1713" priority="151" operator="containsText" text="PL">
      <formula>NOT(ISERROR(SEARCH("PL",BH88)))</formula>
    </cfRule>
    <cfRule type="containsText" dxfId="1712" priority="152" operator="containsText" text="SW">
      <formula>NOT(ISERROR(SEARCH("SW",BH88)))</formula>
    </cfRule>
    <cfRule type="containsText" dxfId="1711" priority="153" operator="containsText" text="AT">
      <formula>NOT(ISERROR(SEARCH("AT",BH88)))</formula>
    </cfRule>
    <cfRule type="containsText" dxfId="1710" priority="154" operator="containsText" text="SS">
      <formula>NOT(ISERROR(SEARCH("SS",BH88)))</formula>
    </cfRule>
  </conditionalFormatting>
  <conditionalFormatting sqref="BI86">
    <cfRule type="containsText" dxfId="1709" priority="103" operator="containsText" text="PL">
      <formula>NOT(ISERROR(SEARCH("PL",BI86)))</formula>
    </cfRule>
    <cfRule type="containsText" dxfId="1708" priority="104" operator="containsText" text="SW">
      <formula>NOT(ISERROR(SEARCH("SW",BI86)))</formula>
    </cfRule>
    <cfRule type="containsText" dxfId="1707" priority="105" operator="containsText" text="AT">
      <formula>NOT(ISERROR(SEARCH("AT",BI86)))</formula>
    </cfRule>
    <cfRule type="containsText" dxfId="1706" priority="106" operator="containsText" text="SS">
      <formula>NOT(ISERROR(SEARCH("SS",BI86)))</formula>
    </cfRule>
  </conditionalFormatting>
  <conditionalFormatting sqref="BJ83:BK83">
    <cfRule type="containsText" dxfId="1705" priority="43" operator="containsText" text="PL">
      <formula>NOT(ISERROR(SEARCH("PL",BJ83)))</formula>
    </cfRule>
    <cfRule type="containsText" dxfId="1704" priority="44" operator="containsText" text="SW">
      <formula>NOT(ISERROR(SEARCH("SW",BJ83)))</formula>
    </cfRule>
    <cfRule type="containsText" dxfId="1703" priority="45" operator="containsText" text="AT">
      <formula>NOT(ISERROR(SEARCH("AT",BJ83)))</formula>
    </cfRule>
    <cfRule type="containsText" dxfId="1702" priority="46" operator="containsText" text="SS">
      <formula>NOT(ISERROR(SEARCH("SS",BJ83)))</formula>
    </cfRule>
  </conditionalFormatting>
  <conditionalFormatting sqref="BJ87:BK87">
    <cfRule type="containsText" dxfId="1701" priority="59" operator="containsText" text="PL">
      <formula>NOT(ISERROR(SEARCH("PL",BJ87)))</formula>
    </cfRule>
    <cfRule type="containsText" dxfId="1700" priority="60" operator="containsText" text="SW">
      <formula>NOT(ISERROR(SEARCH("SW",BJ87)))</formula>
    </cfRule>
    <cfRule type="containsText" dxfId="1699" priority="61" operator="containsText" text="AT">
      <formula>NOT(ISERROR(SEARCH("AT",BJ87)))</formula>
    </cfRule>
    <cfRule type="containsText" dxfId="1698" priority="62" operator="containsText" text="SS">
      <formula>NOT(ISERROR(SEARCH("SS",BJ87)))</formula>
    </cfRule>
  </conditionalFormatting>
  <conditionalFormatting sqref="BK107:BM107 BX107:BY107">
    <cfRule type="containsText" dxfId="1697" priority="291" operator="containsText" text="PL">
      <formula>NOT(ISERROR(SEARCH("PL",BK107)))</formula>
    </cfRule>
    <cfRule type="containsText" dxfId="1696" priority="292" operator="containsText" text="SW">
      <formula>NOT(ISERROR(SEARCH("SW",BK107)))</formula>
    </cfRule>
    <cfRule type="containsText" dxfId="1695" priority="293" operator="containsText" text="AT">
      <formula>NOT(ISERROR(SEARCH("AT",BK107)))</formula>
    </cfRule>
    <cfRule type="containsText" dxfId="1694" priority="294" operator="containsText" text="SS">
      <formula>NOT(ISERROR(SEARCH("SS",BK107)))</formula>
    </cfRule>
  </conditionalFormatting>
  <conditionalFormatting sqref="BN88:BO89">
    <cfRule type="containsText" dxfId="1693" priority="171" operator="containsText" text="PL">
      <formula>NOT(ISERROR(SEARCH("PL",BN88)))</formula>
    </cfRule>
    <cfRule type="containsText" dxfId="1692" priority="172" operator="containsText" text="SW">
      <formula>NOT(ISERROR(SEARCH("SW",BN88)))</formula>
    </cfRule>
    <cfRule type="containsText" dxfId="1691" priority="173" operator="containsText" text="AT">
      <formula>NOT(ISERROR(SEARCH("AT",BN88)))</formula>
    </cfRule>
    <cfRule type="containsText" dxfId="1690" priority="174" operator="containsText" text="SS">
      <formula>NOT(ISERROR(SEARCH("SS",BN88)))</formula>
    </cfRule>
  </conditionalFormatting>
  <conditionalFormatting sqref="BN84:BQ84">
    <cfRule type="containsText" dxfId="1689" priority="243" operator="containsText" text="PL">
      <formula>NOT(ISERROR(SEARCH("PL",BN84)))</formula>
    </cfRule>
    <cfRule type="containsText" dxfId="1688" priority="244" operator="containsText" text="SW">
      <formula>NOT(ISERROR(SEARCH("SW",BN84)))</formula>
    </cfRule>
    <cfRule type="containsText" dxfId="1687" priority="245" operator="containsText" text="AT">
      <formula>NOT(ISERROR(SEARCH("AT",BN84)))</formula>
    </cfRule>
    <cfRule type="containsText" dxfId="1686" priority="246" operator="containsText" text="SS">
      <formula>NOT(ISERROR(SEARCH("SS",BN84)))</formula>
    </cfRule>
  </conditionalFormatting>
  <conditionalFormatting sqref="BN83:BU83">
    <cfRule type="containsText" dxfId="1685" priority="175" operator="containsText" text="PL">
      <formula>NOT(ISERROR(SEARCH("PL",BN83)))</formula>
    </cfRule>
    <cfRule type="containsText" dxfId="1684" priority="176" operator="containsText" text="SW">
      <formula>NOT(ISERROR(SEARCH("SW",BN83)))</formula>
    </cfRule>
    <cfRule type="containsText" dxfId="1683" priority="177" operator="containsText" text="AT">
      <formula>NOT(ISERROR(SEARCH("AT",BN83)))</formula>
    </cfRule>
    <cfRule type="containsText" dxfId="1682" priority="178" operator="containsText" text="SS">
      <formula>NOT(ISERROR(SEARCH("SS",BN83)))</formula>
    </cfRule>
  </conditionalFormatting>
  <conditionalFormatting sqref="BP86:BP87">
    <cfRule type="containsText" dxfId="1681" priority="127" operator="containsText" text="PL">
      <formula>NOT(ISERROR(SEARCH("PL",BP86)))</formula>
    </cfRule>
    <cfRule type="containsText" dxfId="1680" priority="128" operator="containsText" text="SW">
      <formula>NOT(ISERROR(SEARCH("SW",BP86)))</formula>
    </cfRule>
    <cfRule type="containsText" dxfId="1679" priority="129" operator="containsText" text="AT">
      <formula>NOT(ISERROR(SEARCH("AT",BP86)))</formula>
    </cfRule>
    <cfRule type="containsText" dxfId="1678" priority="130" operator="containsText" text="SS">
      <formula>NOT(ISERROR(SEARCH("SS",BP86)))</formula>
    </cfRule>
  </conditionalFormatting>
  <conditionalFormatting sqref="BQ86">
    <cfRule type="containsText" dxfId="1677" priority="123" operator="containsText" text="PL">
      <formula>NOT(ISERROR(SEARCH("PL",BQ86)))</formula>
    </cfRule>
    <cfRule type="containsText" dxfId="1676" priority="124" operator="containsText" text="SW">
      <formula>NOT(ISERROR(SEARCH("SW",BQ86)))</formula>
    </cfRule>
    <cfRule type="containsText" dxfId="1675" priority="125" operator="containsText" text="AT">
      <formula>NOT(ISERROR(SEARCH("AT",BQ86)))</formula>
    </cfRule>
    <cfRule type="containsText" dxfId="1674" priority="126" operator="containsText" text="SS">
      <formula>NOT(ISERROR(SEARCH("SS",BQ86)))</formula>
    </cfRule>
  </conditionalFormatting>
  <conditionalFormatting sqref="BR87:BT87">
    <cfRule type="containsText" dxfId="1673" priority="139" operator="containsText" text="PL">
      <formula>NOT(ISERROR(SEARCH("PL",BR87)))</formula>
    </cfRule>
    <cfRule type="containsText" dxfId="1672" priority="140" operator="containsText" text="SW">
      <formula>NOT(ISERROR(SEARCH("SW",BR87)))</formula>
    </cfRule>
    <cfRule type="containsText" dxfId="1671" priority="141" operator="containsText" text="AT">
      <formula>NOT(ISERROR(SEARCH("AT",BR87)))</formula>
    </cfRule>
    <cfRule type="containsText" dxfId="1670" priority="142" operator="containsText" text="SS">
      <formula>NOT(ISERROR(SEARCH("SS",BR87)))</formula>
    </cfRule>
  </conditionalFormatting>
  <conditionalFormatting sqref="BU88:BV89">
    <cfRule type="containsText" dxfId="1669" priority="271" operator="containsText" text="PL">
      <formula>NOT(ISERROR(SEARCH("PL",BU88)))</formula>
    </cfRule>
    <cfRule type="containsText" dxfId="1668" priority="272" operator="containsText" text="SW">
      <formula>NOT(ISERROR(SEARCH("SW",BU88)))</formula>
    </cfRule>
    <cfRule type="containsText" dxfId="1667" priority="273" operator="containsText" text="AT">
      <formula>NOT(ISERROR(SEARCH("AT",BU88)))</formula>
    </cfRule>
    <cfRule type="containsText" dxfId="1666" priority="274" operator="containsText" text="SS">
      <formula>NOT(ISERROR(SEARCH("SS",BU88)))</formula>
    </cfRule>
  </conditionalFormatting>
  <conditionalFormatting sqref="BU85:BX85">
    <cfRule type="containsText" dxfId="1665" priority="207" operator="containsText" text="PL">
      <formula>NOT(ISERROR(SEARCH("PL",BU85)))</formula>
    </cfRule>
    <cfRule type="containsText" dxfId="1664" priority="208" operator="containsText" text="SW">
      <formula>NOT(ISERROR(SEARCH("SW",BU85)))</formula>
    </cfRule>
    <cfRule type="containsText" dxfId="1663" priority="209" operator="containsText" text="AT">
      <formula>NOT(ISERROR(SEARCH("AT",BU85)))</formula>
    </cfRule>
    <cfRule type="containsText" dxfId="1662" priority="210" operator="containsText" text="SS">
      <formula>NOT(ISERROR(SEARCH("SS",BU85)))</formula>
    </cfRule>
  </conditionalFormatting>
  <conditionalFormatting sqref="BU84:CF84">
    <cfRule type="containsText" dxfId="1661" priority="235" operator="containsText" text="PL">
      <formula>NOT(ISERROR(SEARCH("PL",BU84)))</formula>
    </cfRule>
    <cfRule type="containsText" dxfId="1660" priority="236" operator="containsText" text="SW">
      <formula>NOT(ISERROR(SEARCH("SW",BU84)))</formula>
    </cfRule>
    <cfRule type="containsText" dxfId="1659" priority="237" operator="containsText" text="AT">
      <formula>NOT(ISERROR(SEARCH("AT",BU84)))</formula>
    </cfRule>
    <cfRule type="containsText" dxfId="1658" priority="238" operator="containsText" text="SS">
      <formula>NOT(ISERROR(SEARCH("SS",BU84)))</formula>
    </cfRule>
  </conditionalFormatting>
  <conditionalFormatting sqref="BW83 G85:I85 M86:N86">
    <cfRule type="containsText" dxfId="1657" priority="267" operator="containsText" text="PL">
      <formula>NOT(ISERROR(SEARCH("PL",G83)))</formula>
    </cfRule>
    <cfRule type="containsText" dxfId="1656" priority="268" operator="containsText" text="SW">
      <formula>NOT(ISERROR(SEARCH("SW",G83)))</formula>
    </cfRule>
    <cfRule type="containsText" dxfId="1655" priority="269" operator="containsText" text="AT">
      <formula>NOT(ISERROR(SEARCH("AT",G83)))</formula>
    </cfRule>
    <cfRule type="containsText" dxfId="1654" priority="270" operator="containsText" text="SS">
      <formula>NOT(ISERROR(SEARCH("SS",G83)))</formula>
    </cfRule>
  </conditionalFormatting>
  <conditionalFormatting sqref="BY87">
    <cfRule type="containsText" dxfId="1653" priority="91" operator="containsText" text="PL">
      <formula>NOT(ISERROR(SEARCH("PL",BY87)))</formula>
    </cfRule>
    <cfRule type="containsText" dxfId="1652" priority="92" operator="containsText" text="SW">
      <formula>NOT(ISERROR(SEARCH("SW",BY87)))</formula>
    </cfRule>
    <cfRule type="containsText" dxfId="1651" priority="93" operator="containsText" text="AT">
      <formula>NOT(ISERROR(SEARCH("AT",BY87)))</formula>
    </cfRule>
    <cfRule type="containsText" dxfId="1650" priority="94" operator="containsText" text="SS">
      <formula>NOT(ISERROR(SEARCH("SS",BY87)))</formula>
    </cfRule>
  </conditionalFormatting>
  <conditionalFormatting sqref="BZ86:CA86">
    <cfRule type="containsText" dxfId="1649" priority="27" operator="containsText" text="PL">
      <formula>NOT(ISERROR(SEARCH("PL",BZ86)))</formula>
    </cfRule>
    <cfRule type="containsText" dxfId="1648" priority="28" operator="containsText" text="SW">
      <formula>NOT(ISERROR(SEARCH("SW",BZ86)))</formula>
    </cfRule>
    <cfRule type="containsText" dxfId="1647" priority="29" operator="containsText" text="AT">
      <formula>NOT(ISERROR(SEARCH("AT",BZ86)))</formula>
    </cfRule>
    <cfRule type="containsText" dxfId="1646" priority="30" operator="containsText" text="SS">
      <formula>NOT(ISERROR(SEARCH("SS",BZ86)))</formula>
    </cfRule>
  </conditionalFormatting>
  <conditionalFormatting sqref="BZ83:CC83">
    <cfRule type="containsText" dxfId="1645" priority="31" operator="containsText" text="PL">
      <formula>NOT(ISERROR(SEARCH("PL",BZ83)))</formula>
    </cfRule>
    <cfRule type="containsText" dxfId="1644" priority="32" operator="containsText" text="SW">
      <formula>NOT(ISERROR(SEARCH("SW",BZ83)))</formula>
    </cfRule>
    <cfRule type="containsText" dxfId="1643" priority="33" operator="containsText" text="AT">
      <formula>NOT(ISERROR(SEARCH("AT",BZ83)))</formula>
    </cfRule>
    <cfRule type="containsText" dxfId="1642" priority="34" operator="containsText" text="SS">
      <formula>NOT(ISERROR(SEARCH("SS",BZ83)))</formula>
    </cfRule>
  </conditionalFormatting>
  <conditionalFormatting sqref="CB107:CE107">
    <cfRule type="containsText" dxfId="1641" priority="287" operator="containsText" text="PL">
      <formula>NOT(ISERROR(SEARCH("PL",CB107)))</formula>
    </cfRule>
    <cfRule type="containsText" dxfId="1640" priority="288" operator="containsText" text="SW">
      <formula>NOT(ISERROR(SEARCH("SW",CB107)))</formula>
    </cfRule>
    <cfRule type="containsText" dxfId="1639" priority="289" operator="containsText" text="AT">
      <formula>NOT(ISERROR(SEARCH("AT",CB107)))</formula>
    </cfRule>
    <cfRule type="containsText" dxfId="1638" priority="290" operator="containsText" text="SS">
      <formula>NOT(ISERROR(SEARCH("SS",CB107)))</formula>
    </cfRule>
  </conditionalFormatting>
  <conditionalFormatting sqref="CB85:CI85">
    <cfRule type="containsText" dxfId="1637" priority="203" operator="containsText" text="PL">
      <formula>NOT(ISERROR(SEARCH("PL",CB85)))</formula>
    </cfRule>
    <cfRule type="containsText" dxfId="1636" priority="204" operator="containsText" text="SW">
      <formula>NOT(ISERROR(SEARCH("SW",CB85)))</formula>
    </cfRule>
    <cfRule type="containsText" dxfId="1635" priority="205" operator="containsText" text="AT">
      <formula>NOT(ISERROR(SEARCH("AT",CB85)))</formula>
    </cfRule>
    <cfRule type="containsText" dxfId="1634" priority="206" operator="containsText" text="SS">
      <formula>NOT(ISERROR(SEARCH("SS",CB85)))</formula>
    </cfRule>
  </conditionalFormatting>
  <conditionalFormatting sqref="CE76">
    <cfRule type="containsText" dxfId="1633" priority="311" operator="containsText" text="PL">
      <formula>NOT(ISERROR(SEARCH("PL",CE76)))</formula>
    </cfRule>
    <cfRule type="containsText" dxfId="1632" priority="312" operator="containsText" text="SW">
      <formula>NOT(ISERROR(SEARCH("SW",CE76)))</formula>
    </cfRule>
    <cfRule type="containsText" dxfId="1631" priority="313" operator="containsText" text="AT">
      <formula>NOT(ISERROR(SEARCH("AT",CE76)))</formula>
    </cfRule>
    <cfRule type="containsText" dxfId="1630" priority="314" operator="containsText" text="SS">
      <formula>NOT(ISERROR(SEARCH("SS",CE76)))</formula>
    </cfRule>
    <cfRule type="containsText" dxfId="1629" priority="315" operator="containsText" text="PL">
      <formula>NOT(ISERROR(SEARCH("PL",CE76)))</formula>
    </cfRule>
    <cfRule type="containsText" dxfId="1628" priority="316" operator="containsText" text="SW">
      <formula>NOT(ISERROR(SEARCH("SW",CE76)))</formula>
    </cfRule>
    <cfRule type="containsText" dxfId="1627" priority="317" operator="containsText" text="AT">
      <formula>NOT(ISERROR(SEARCH("AT",CE76)))</formula>
    </cfRule>
    <cfRule type="containsText" dxfId="1626" priority="318" operator="containsText" text="SS">
      <formula>NOT(ISERROR(SEARCH("SS",CE76)))</formula>
    </cfRule>
  </conditionalFormatting>
  <conditionalFormatting sqref="CE85:CE86 AM85:AR85 CK85 CM85:CO85 C88:C89">
    <cfRule type="containsText" dxfId="1625" priority="283" operator="containsText" text="PL">
      <formula>NOT(ISERROR(SEARCH("PL",C85)))</formula>
    </cfRule>
  </conditionalFormatting>
  <conditionalFormatting sqref="CE83:CF83">
    <cfRule type="containsText" dxfId="1624" priority="35" operator="containsText" text="PL">
      <formula>NOT(ISERROR(SEARCH("PL",CE83)))</formula>
    </cfRule>
    <cfRule type="containsText" dxfId="1623" priority="36" operator="containsText" text="SW">
      <formula>NOT(ISERROR(SEARCH("SW",CE83)))</formula>
    </cfRule>
    <cfRule type="containsText" dxfId="1622" priority="37" operator="containsText" text="AT">
      <formula>NOT(ISERROR(SEARCH("AT",CE83)))</formula>
    </cfRule>
    <cfRule type="containsText" dxfId="1621" priority="38" operator="containsText" text="SS">
      <formula>NOT(ISERROR(SEARCH("SS",CE83)))</formula>
    </cfRule>
  </conditionalFormatting>
  <conditionalFormatting sqref="CE86:CF86">
    <cfRule type="containsText" dxfId="1620" priority="111" operator="containsText" text="PL">
      <formula>NOT(ISERROR(SEARCH("PL",CE86)))</formula>
    </cfRule>
    <cfRule type="containsText" dxfId="1619" priority="112" operator="containsText" text="SW">
      <formula>NOT(ISERROR(SEARCH("SW",CE86)))</formula>
    </cfRule>
    <cfRule type="containsText" dxfId="1618" priority="113" operator="containsText" text="AT">
      <formula>NOT(ISERROR(SEARCH("AT",CE86)))</formula>
    </cfRule>
    <cfRule type="containsText" dxfId="1617" priority="114" operator="containsText" text="SS">
      <formula>NOT(ISERROR(SEARCH("SS",CE86)))</formula>
    </cfRule>
  </conditionalFormatting>
  <conditionalFormatting sqref="CG87:CH87">
    <cfRule type="containsText" dxfId="1616" priority="95" operator="containsText" text="PL">
      <formula>NOT(ISERROR(SEARCH("PL",CG87)))</formula>
    </cfRule>
    <cfRule type="containsText" dxfId="1615" priority="96" operator="containsText" text="SW">
      <formula>NOT(ISERROR(SEARCH("SW",CG87)))</formula>
    </cfRule>
    <cfRule type="containsText" dxfId="1614" priority="97" operator="containsText" text="AT">
      <formula>NOT(ISERROR(SEARCH("AT",CG87)))</formula>
    </cfRule>
    <cfRule type="containsText" dxfId="1613" priority="98" operator="containsText" text="SS">
      <formula>NOT(ISERROR(SEARCH("SS",CG87)))</formula>
    </cfRule>
  </conditionalFormatting>
  <conditionalFormatting sqref="CI83 CK83:CM83">
    <cfRule type="containsText" dxfId="1612" priority="263" operator="containsText" text="PL">
      <formula>NOT(ISERROR(SEARCH("PL",CI83)))</formula>
    </cfRule>
    <cfRule type="containsText" dxfId="1611" priority="264" operator="containsText" text="SW">
      <formula>NOT(ISERROR(SEARCH("SW",CI83)))</formula>
    </cfRule>
    <cfRule type="containsText" dxfId="1610" priority="265" operator="containsText" text="AT">
      <formula>NOT(ISERROR(SEARCH("AT",CI83)))</formula>
    </cfRule>
    <cfRule type="containsText" dxfId="1609" priority="266" operator="containsText" text="SS">
      <formula>NOT(ISERROR(SEARCH("SS",CI83)))</formula>
    </cfRule>
  </conditionalFormatting>
  <conditionalFormatting sqref="CJ88:CJ89">
    <cfRule type="containsText" dxfId="1608" priority="55" operator="containsText" text="PL">
      <formula>NOT(ISERROR(SEARCH("PL",CJ88)))</formula>
    </cfRule>
    <cfRule type="containsText" dxfId="1607" priority="56" operator="containsText" text="SW">
      <formula>NOT(ISERROR(SEARCH("SW",CJ88)))</formula>
    </cfRule>
    <cfRule type="containsText" dxfId="1606" priority="57" operator="containsText" text="AT">
      <formula>NOT(ISERROR(SEARCH("AT",CJ88)))</formula>
    </cfRule>
    <cfRule type="containsText" dxfId="1605" priority="58" operator="containsText" text="SS">
      <formula>NOT(ISERROR(SEARCH("SS",CJ88)))</formula>
    </cfRule>
  </conditionalFormatting>
  <conditionalFormatting sqref="CK87:CL87">
    <cfRule type="containsText" dxfId="1604" priority="135" operator="containsText" text="PL">
      <formula>NOT(ISERROR(SEARCH("PL",CK87)))</formula>
    </cfRule>
    <cfRule type="containsText" dxfId="1603" priority="136" operator="containsText" text="SW">
      <formula>NOT(ISERROR(SEARCH("SW",CK87)))</formula>
    </cfRule>
    <cfRule type="containsText" dxfId="1602" priority="137" operator="containsText" text="AT">
      <formula>NOT(ISERROR(SEARCH("AT",CK87)))</formula>
    </cfRule>
    <cfRule type="containsText" dxfId="1601" priority="138" operator="containsText" text="SS">
      <formula>NOT(ISERROR(SEARCH("SS",CK87)))</formula>
    </cfRule>
  </conditionalFormatting>
  <conditionalFormatting sqref="CL86:CM86">
    <cfRule type="containsText" dxfId="1600" priority="99" operator="containsText" text="PL">
      <formula>NOT(ISERROR(SEARCH("PL",CL86)))</formula>
    </cfRule>
    <cfRule type="containsText" dxfId="1599" priority="100" operator="containsText" text="SW">
      <formula>NOT(ISERROR(SEARCH("SW",CL86)))</formula>
    </cfRule>
    <cfRule type="containsText" dxfId="1598" priority="101" operator="containsText" text="AT">
      <formula>NOT(ISERROR(SEARCH("AT",CL86)))</formula>
    </cfRule>
    <cfRule type="containsText" dxfId="1597" priority="102" operator="containsText" text="SS">
      <formula>NOT(ISERROR(SEARCH("SS",CL86)))</formula>
    </cfRule>
  </conditionalFormatting>
  <conditionalFormatting sqref="CL84:CO84">
    <cfRule type="containsText" dxfId="1596" priority="231" operator="containsText" text="PL">
      <formula>NOT(ISERROR(SEARCH("PL",CL84)))</formula>
    </cfRule>
    <cfRule type="containsText" dxfId="1595" priority="232" operator="containsText" text="SW">
      <formula>NOT(ISERROR(SEARCH("SW",CL84)))</formula>
    </cfRule>
    <cfRule type="containsText" dxfId="1594" priority="233" operator="containsText" text="AT">
      <formula>NOT(ISERROR(SEARCH("AT",CL84)))</formula>
    </cfRule>
    <cfRule type="containsText" dxfId="1593" priority="234" operator="containsText" text="SS">
      <formula>NOT(ISERROR(SEARCH("SS",CL84)))</formula>
    </cfRule>
  </conditionalFormatting>
  <dataValidations count="2">
    <dataValidation type="list" allowBlank="1" showInputMessage="1" sqref="D133:J134 H135:J141 D112:E130 E135:F141 F113:F130 G112:H130 I113:J130" xr:uid="{57BE8A7D-8D20-4B40-B467-E8BFA1440C85}">
      <formula1>#REF!</formula1>
    </dataValidation>
    <dataValidation type="list" allowBlank="1" showInputMessage="1" sqref="L128:O128 L124:P124 CR121 CO138:CR138 CL113:CN113 CP113:CR113 L112:Y117 L129:Y137 M126:AA126 Z116:AH116 Z112:AM112 Z129:AM133 L138:AM140 L119:AT123 AN129:AT132 AJ116:AP116 AN138:AR138 R124:AT124 L127:AT127 Q128:AT128 L125:AT125 AC126:AT126 AU119:BA121 AU130:BA130 AR112:BH112 AT138:BG138 AN133:BD133 BB119:BC119 BC130:CD130 BF133:CD133 AU122:CD129 AU131:CD132 AA137:CD137 N118:CI118 Z134:CD136 Z113:CK115 BB120:CK121 CE122:CI122 CE123:CR137 BJ138:CM138 AN139:CR140 Z117:CK117 AR116:CK116 BE119:CK119 CK118 CK122:CR122 CL114:CR120 CL121:CP121" xr:uid="{BC8BB348-2FFA-B948-9B1F-7F3A814DAEE6}">
      <formula1>$J$50:$J$60</formula1>
    </dataValidation>
  </dataValidations>
  <printOptions gridLines="1"/>
  <pageMargins left="0.59055118110236227" right="0.39370078740157483" top="0.59055118110236227" bottom="0.59055118110236227" header="0" footer="0"/>
  <pageSetup paperSize="9" scale="78" pageOrder="overThenDown" orientation="portrait" horizontalDpi="0" verticalDpi="0"/>
  <headerFooter>
    <oddHeader>&amp;C&amp;"Calibri,Regular"&amp;K000000MMC ED ADULT ROSTER TERM 1 2026</oddHeader>
    <oddFooter>&amp;R&amp;"Calibri,Regular"&amp;K000000FINAL Version 9/1/2026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DB95-3865-A04C-BBAF-A05B293676C3}">
  <sheetPr>
    <tabColor theme="0"/>
    <pageSetUpPr fitToPage="1"/>
  </sheetPr>
  <dimension ref="A1:W292"/>
  <sheetViews>
    <sheetView topLeftCell="R1" zoomScale="130" zoomScaleNormal="130" workbookViewId="0">
      <pane ySplit="4" topLeftCell="R92" activePane="bottomLeft" state="frozen"/>
      <selection pane="bottomLeft" activeCell="S1" sqref="S1"/>
      <selection activeCell="S1" sqref="S1"/>
    </sheetView>
  </sheetViews>
  <sheetFormatPr defaultColWidth="9" defaultRowHeight="14.25"/>
  <cols>
    <col min="1" max="2" width="10.875" style="56" hidden="1" customWidth="1"/>
    <col min="3" max="3" width="18" style="56" customWidth="1"/>
    <col min="4" max="4" width="24.375" style="72" customWidth="1"/>
    <col min="5" max="5" width="10.875" style="68"/>
    <col min="6" max="6" width="12.875" style="66" customWidth="1"/>
    <col min="7" max="10" width="12.875" style="64" customWidth="1"/>
    <col min="11" max="11" width="12.125" style="64" customWidth="1"/>
    <col min="12" max="12" width="12.625" style="64" customWidth="1"/>
    <col min="13" max="13" width="10.875" style="56"/>
    <col min="14" max="14" width="14.875" style="89" customWidth="1"/>
    <col min="15" max="15" width="15.375" style="112" customWidth="1"/>
    <col min="16" max="21" width="15.375" style="89" customWidth="1"/>
    <col min="22" max="22" width="12.875" style="34" customWidth="1"/>
    <col min="23" max="23" width="9" style="34"/>
    <col min="24" max="16384" width="9" style="56"/>
  </cols>
  <sheetData>
    <row r="1" spans="1:23" ht="14.1" customHeight="1" thickBot="1">
      <c r="D1" s="57"/>
      <c r="E1" s="58"/>
      <c r="F1" s="5" t="str">
        <f>CONCATENATE(F170,"-",F171,"-",F172,"-",F173,"-",F174)</f>
        <v>12-4-15-0-9</v>
      </c>
      <c r="G1" s="5" t="str">
        <f t="shared" ref="G1:L1" si="0">CONCATENATE(G170,"-",G171,"-",G172,"-",G173,"-",G174)</f>
        <v>16-1-18-0-8</v>
      </c>
      <c r="H1" s="5" t="str">
        <f t="shared" si="0"/>
        <v>16-1-17-1-9</v>
      </c>
      <c r="I1" s="5" t="str">
        <f t="shared" si="0"/>
        <v>13-1-16-1-9</v>
      </c>
      <c r="J1" s="5" t="str">
        <f t="shared" si="0"/>
        <v>15-2-17-1-9</v>
      </c>
      <c r="K1" s="5" t="str">
        <f t="shared" si="0"/>
        <v>13-0-15-0-8</v>
      </c>
      <c r="L1" s="5" t="str">
        <f t="shared" si="0"/>
        <v>11-1-14-0-8</v>
      </c>
      <c r="O1" s="89" t="str">
        <f t="shared" ref="O1:U1" si="1">F1</f>
        <v>12-4-15-0-9</v>
      </c>
      <c r="P1" s="89" t="str">
        <f t="shared" si="1"/>
        <v>16-1-18-0-8</v>
      </c>
      <c r="Q1" s="89" t="str">
        <f t="shared" si="1"/>
        <v>16-1-17-1-9</v>
      </c>
      <c r="R1" s="89" t="str">
        <f t="shared" si="1"/>
        <v>13-1-16-1-9</v>
      </c>
      <c r="S1" s="89" t="str">
        <f t="shared" si="1"/>
        <v>15-2-17-1-9</v>
      </c>
      <c r="T1" s="89" t="str">
        <f t="shared" si="1"/>
        <v>13-0-15-0-8</v>
      </c>
      <c r="U1" s="89" t="str">
        <f t="shared" si="1"/>
        <v>11-1-14-0-8</v>
      </c>
    </row>
    <row r="2" spans="1:23" ht="15" thickBot="1">
      <c r="C2" s="1" t="s">
        <v>0</v>
      </c>
      <c r="D2" s="1" t="s">
        <v>0</v>
      </c>
      <c r="E2" s="58"/>
      <c r="F2" s="809">
        <v>1</v>
      </c>
      <c r="G2" s="802"/>
      <c r="H2" s="802"/>
      <c r="I2" s="802"/>
      <c r="J2" s="802"/>
      <c r="K2" s="802"/>
      <c r="L2" s="802"/>
      <c r="O2" s="754">
        <f>F2</f>
        <v>1</v>
      </c>
      <c r="P2" s="755"/>
      <c r="Q2" s="755"/>
      <c r="R2" s="755"/>
      <c r="S2" s="755"/>
      <c r="T2" s="755"/>
      <c r="U2" s="756"/>
    </row>
    <row r="3" spans="1:23" ht="14.1" customHeight="1">
      <c r="A3" s="56" t="s">
        <v>297</v>
      </c>
      <c r="B3" s="56" t="s">
        <v>298</v>
      </c>
      <c r="C3" s="494" t="s">
        <v>299</v>
      </c>
      <c r="D3" s="494" t="s">
        <v>300</v>
      </c>
      <c r="E3" s="69" t="s">
        <v>5</v>
      </c>
      <c r="F3" s="22" t="s">
        <v>6</v>
      </c>
      <c r="G3" s="23" t="s">
        <v>7</v>
      </c>
      <c r="H3" s="23" t="s">
        <v>8</v>
      </c>
      <c r="I3" s="23" t="s">
        <v>9</v>
      </c>
      <c r="J3" s="23" t="s">
        <v>10</v>
      </c>
      <c r="K3" s="23" t="s">
        <v>11</v>
      </c>
      <c r="L3" s="24" t="s">
        <v>12</v>
      </c>
      <c r="O3" s="90" t="s">
        <v>6</v>
      </c>
      <c r="P3" s="91" t="s">
        <v>7</v>
      </c>
      <c r="Q3" s="91" t="s">
        <v>8</v>
      </c>
      <c r="R3" s="91" t="s">
        <v>9</v>
      </c>
      <c r="S3" s="91" t="s">
        <v>10</v>
      </c>
      <c r="T3" s="91" t="s">
        <v>11</v>
      </c>
      <c r="U3" s="92" t="s">
        <v>12</v>
      </c>
    </row>
    <row r="4" spans="1:23" ht="14.1" customHeight="1" thickBot="1">
      <c r="B4" s="56" t="s">
        <v>13</v>
      </c>
      <c r="C4" s="25"/>
      <c r="D4" s="25"/>
      <c r="E4" s="77"/>
      <c r="F4" s="26">
        <v>46055</v>
      </c>
      <c r="G4" s="27">
        <v>46056</v>
      </c>
      <c r="H4" s="27">
        <v>46057</v>
      </c>
      <c r="I4" s="27">
        <v>46058</v>
      </c>
      <c r="J4" s="27">
        <v>46059</v>
      </c>
      <c r="K4" s="27">
        <v>46060</v>
      </c>
      <c r="L4" s="27">
        <v>46061</v>
      </c>
      <c r="N4" s="93"/>
      <c r="O4" s="94">
        <f t="shared" ref="O4:U4" si="2">F4</f>
        <v>46055</v>
      </c>
      <c r="P4" s="95">
        <f t="shared" si="2"/>
        <v>46056</v>
      </c>
      <c r="Q4" s="95">
        <f t="shared" si="2"/>
        <v>46057</v>
      </c>
      <c r="R4" s="95">
        <f t="shared" si="2"/>
        <v>46058</v>
      </c>
      <c r="S4" s="95">
        <f t="shared" si="2"/>
        <v>46059</v>
      </c>
      <c r="T4" s="95">
        <f t="shared" si="2"/>
        <v>46060</v>
      </c>
      <c r="U4" s="96">
        <f t="shared" si="2"/>
        <v>46061</v>
      </c>
    </row>
    <row r="5" spans="1:23" ht="14.1" customHeight="1" thickBot="1">
      <c r="C5" s="2"/>
      <c r="D5" s="2"/>
      <c r="E5" s="81"/>
      <c r="F5" s="6"/>
      <c r="G5" s="7"/>
      <c r="H5" s="7"/>
      <c r="I5" s="7"/>
      <c r="J5" s="7"/>
      <c r="K5" s="7"/>
      <c r="L5" s="12"/>
      <c r="O5" s="757" t="s">
        <v>301</v>
      </c>
      <c r="P5" s="758"/>
      <c r="Q5" s="758"/>
      <c r="R5" s="758"/>
      <c r="S5" s="758"/>
      <c r="T5" s="758"/>
      <c r="U5" s="759"/>
      <c r="W5" s="34" t="s">
        <v>302</v>
      </c>
    </row>
    <row r="6" spans="1:23" ht="14.1" customHeight="1">
      <c r="C6" s="315" t="s">
        <v>26</v>
      </c>
      <c r="D6" s="315" t="s">
        <v>26</v>
      </c>
      <c r="E6" s="495"/>
      <c r="F6" s="317"/>
      <c r="G6" s="318"/>
      <c r="H6" s="318"/>
      <c r="I6" s="318"/>
      <c r="J6" s="318"/>
      <c r="K6" s="318"/>
      <c r="L6" s="319"/>
      <c r="N6" s="97" t="s">
        <v>303</v>
      </c>
      <c r="O6" s="98" t="str">
        <f t="shared" ref="O6:U6" si="3">INDEX($C7:$L189,MATCH("*AGC*",F7:F192,0),1)</f>
        <v>JACKIE SMS</v>
      </c>
      <c r="P6" s="99" t="str">
        <f t="shared" si="3"/>
        <v>VARUNA SMS</v>
      </c>
      <c r="Q6" s="99" t="str">
        <f t="shared" si="3"/>
        <v>ANDY L  SMS</v>
      </c>
      <c r="R6" s="99" t="str">
        <f t="shared" si="3"/>
        <v>CHAMARA SMS</v>
      </c>
      <c r="S6" s="99" t="str">
        <f t="shared" si="3"/>
        <v>DANIEL SMS</v>
      </c>
      <c r="T6" s="99" t="str">
        <f t="shared" si="3"/>
        <v>ABI SMS</v>
      </c>
      <c r="U6" s="100" t="str">
        <f t="shared" si="3"/>
        <v>MICHAEL SMS</v>
      </c>
      <c r="V6" s="34" t="s">
        <v>287</v>
      </c>
      <c r="W6" s="101"/>
    </row>
    <row r="7" spans="1:23" ht="14.1" customHeight="1">
      <c r="C7" s="496" t="s">
        <v>304</v>
      </c>
      <c r="D7" s="497" t="s">
        <v>27</v>
      </c>
      <c r="E7" s="498">
        <v>625982</v>
      </c>
      <c r="F7" s="323" t="s">
        <v>28</v>
      </c>
      <c r="G7" s="324"/>
      <c r="H7" s="324"/>
      <c r="I7" s="324"/>
      <c r="J7" s="324"/>
      <c r="K7" s="324"/>
      <c r="L7" s="325"/>
      <c r="N7" s="499" t="s">
        <v>305</v>
      </c>
      <c r="O7" s="102" t="str">
        <f t="shared" ref="O7:U7" si="4">INDEX($C7:$L189,MATCH("*AAC",F7:F191,0),1)</f>
        <v>QING SMS</v>
      </c>
      <c r="P7" s="500" t="str">
        <f t="shared" si="4"/>
        <v>TARA J. SMS</v>
      </c>
      <c r="Q7" s="500" t="str">
        <f t="shared" si="4"/>
        <v>BRAD SMS</v>
      </c>
      <c r="R7" s="500" t="e">
        <f t="shared" si="4"/>
        <v>#N/A</v>
      </c>
      <c r="S7" s="500" t="str">
        <f t="shared" si="4"/>
        <v>ANASTASIA SMS</v>
      </c>
      <c r="T7" s="500" t="str">
        <f t="shared" si="4"/>
        <v>STEPHEN G SMS</v>
      </c>
      <c r="U7" s="501" t="str">
        <f t="shared" si="4"/>
        <v>JULIA SMS</v>
      </c>
      <c r="V7" s="34" t="s">
        <v>286</v>
      </c>
      <c r="W7" s="101"/>
    </row>
    <row r="8" spans="1:23" ht="14.1" customHeight="1">
      <c r="C8" s="497" t="s">
        <v>306</v>
      </c>
      <c r="D8" s="83" t="s">
        <v>29</v>
      </c>
      <c r="E8" s="502">
        <v>628936</v>
      </c>
      <c r="F8" s="328" t="s">
        <v>30</v>
      </c>
      <c r="G8" s="329"/>
      <c r="H8" s="329"/>
      <c r="I8" s="329"/>
      <c r="J8" s="329"/>
      <c r="K8" s="329"/>
      <c r="L8" s="330"/>
      <c r="N8" s="503" t="s">
        <v>307</v>
      </c>
      <c r="O8" s="102" t="str">
        <f t="shared" ref="O8:U8" si="5">INDEX($C7:$L189,MATCH("*ARC*",F7:F192,0),1)</f>
        <v>DIANA SMS</v>
      </c>
      <c r="P8" s="500" t="str">
        <f t="shared" si="5"/>
        <v>TARA K. SMS</v>
      </c>
      <c r="Q8" s="500" t="str">
        <f t="shared" si="5"/>
        <v>ANDRE SMS</v>
      </c>
      <c r="R8" s="500" t="str">
        <f t="shared" si="5"/>
        <v>JEREMY SMS</v>
      </c>
      <c r="S8" s="500" t="str">
        <f t="shared" si="5"/>
        <v>PAIGE SMS</v>
      </c>
      <c r="T8" s="500" t="str">
        <f t="shared" si="5"/>
        <v>JULIA SMS</v>
      </c>
      <c r="U8" s="501" t="str">
        <f t="shared" si="5"/>
        <v>STEPHEN G SMS</v>
      </c>
      <c r="V8" s="34" t="s">
        <v>285</v>
      </c>
      <c r="W8" s="101"/>
    </row>
    <row r="9" spans="1:23" ht="14.1" customHeight="1">
      <c r="C9" s="504" t="s">
        <v>308</v>
      </c>
      <c r="D9" s="723" t="s">
        <v>42</v>
      </c>
      <c r="E9" s="502">
        <v>628576</v>
      </c>
      <c r="F9" s="341" t="s">
        <v>33</v>
      </c>
      <c r="G9" s="314" t="s">
        <v>33</v>
      </c>
      <c r="H9" s="334"/>
      <c r="I9" s="314" t="s">
        <v>33</v>
      </c>
      <c r="J9" s="334"/>
      <c r="K9" s="314" t="s">
        <v>36</v>
      </c>
      <c r="L9" s="336"/>
      <c r="N9" s="505" t="s">
        <v>309</v>
      </c>
      <c r="O9" s="102" t="str">
        <f t="shared" ref="O9:U9" si="6">INDEX($C7:$L189,MATCH("*ASSC*",F7:F192,0),1)</f>
        <v>DAVID SMS</v>
      </c>
      <c r="P9" s="500" t="str">
        <f t="shared" si="6"/>
        <v>SCOTT SMS</v>
      </c>
      <c r="Q9" s="500" t="str">
        <f t="shared" si="6"/>
        <v>HELEN SMS</v>
      </c>
      <c r="R9" s="500" t="str">
        <f t="shared" si="6"/>
        <v>JON SMS</v>
      </c>
      <c r="S9" s="500" t="str">
        <f t="shared" si="6"/>
        <v>STEVE T SMS</v>
      </c>
      <c r="T9" s="500" t="str">
        <f t="shared" si="6"/>
        <v>MICHAEL SMS</v>
      </c>
      <c r="U9" s="501" t="str">
        <f t="shared" si="6"/>
        <v>SUSAN SMS</v>
      </c>
      <c r="V9" s="34" t="s">
        <v>289</v>
      </c>
      <c r="W9" s="101"/>
    </row>
    <row r="10" spans="1:23" ht="14.1" customHeight="1">
      <c r="C10" s="504" t="s">
        <v>310</v>
      </c>
      <c r="D10" s="497" t="s">
        <v>45</v>
      </c>
      <c r="E10" s="506">
        <v>632647</v>
      </c>
      <c r="F10" s="328" t="s">
        <v>30</v>
      </c>
      <c r="G10" s="329"/>
      <c r="H10" s="329"/>
      <c r="I10" s="329"/>
      <c r="J10" s="329"/>
      <c r="K10" s="329"/>
      <c r="L10" s="330"/>
      <c r="N10" s="507" t="s">
        <v>311</v>
      </c>
      <c r="O10" s="102" t="str">
        <f t="shared" ref="O10:U10" si="7">INDEX($C6:$L188,MATCH("*ACC*",F6:F184,0),1)</f>
        <v>SALEEM CMO</v>
      </c>
      <c r="P10" s="500" t="str">
        <f t="shared" si="7"/>
        <v>MINA SMS</v>
      </c>
      <c r="Q10" s="500" t="str">
        <f t="shared" si="7"/>
        <v>SAM CMO</v>
      </c>
      <c r="R10" s="500" t="str">
        <f t="shared" si="7"/>
        <v>TITUS CMO</v>
      </c>
      <c r="S10" s="500" t="str">
        <f t="shared" si="7"/>
        <v>JIMMY SMS</v>
      </c>
      <c r="T10" s="500" t="str">
        <f t="shared" si="7"/>
        <v>DIANA SMS</v>
      </c>
      <c r="U10" s="501" t="str">
        <f t="shared" si="7"/>
        <v>SAM CMO</v>
      </c>
      <c r="V10" s="34" t="s">
        <v>288</v>
      </c>
      <c r="W10" s="101"/>
    </row>
    <row r="11" spans="1:23" ht="14.1" customHeight="1">
      <c r="C11" s="497" t="s">
        <v>312</v>
      </c>
      <c r="D11" s="497" t="s">
        <v>48</v>
      </c>
      <c r="E11" s="502">
        <v>279110</v>
      </c>
      <c r="F11" s="341" t="s">
        <v>37</v>
      </c>
      <c r="G11" s="314" t="s">
        <v>33</v>
      </c>
      <c r="H11" s="314" t="s">
        <v>33</v>
      </c>
      <c r="I11" s="314"/>
      <c r="J11" s="314"/>
      <c r="K11" s="314" t="s">
        <v>32</v>
      </c>
      <c r="L11" s="336"/>
      <c r="N11" s="733" t="s">
        <v>313</v>
      </c>
      <c r="O11" s="774" t="str" cm="1">
        <f t="array" ref="O11">_xlfn.TEXTJOIN(CHAR(10),TRUE,IF(F7:F111="0800-1800 AFC",$C7:$C111,""),IF(F7:F111="0800-1730 AFC",$C7:$C111,""),IF(F7:F111="0800-1800",$C7:$C111,""),IF(F7:F111="0800-1730",$C7:$C111,""))</f>
        <v>SHIV IR
SYLVIA JR</v>
      </c>
      <c r="P11" s="775" t="str" cm="1">
        <f t="array" ref="P11">_xlfn.TEXTJOIN(CHAR(10),TRUE,IF(G7:G111="0800-1800 AFC",$C7:$C111,""),IF(G7:G111="0800-1730 AFC",$C7:$C111,""),IF(G7:G111="0800-1800",$C7:$C111,""),IF(G7:G111="0800-1730",$C7:$C111,""))</f>
        <v>MARK SR
CLARE IR
CHRISTINA JR
CHRISTOPHER JR</v>
      </c>
      <c r="Q11" s="775" t="str" cm="1">
        <f t="array" ref="Q11">_xlfn.TEXTJOIN(CHAR(10),TRUE,IF(H7:H111="0800-1800 AFC",$C7:$C111,""),IF(H7:H111="0800-1730 AFC",$C7:$C111,""),IF(H7:H111="0800-1800",$C7:$C111,""),IF(H7:H111="0800-1730",$C7:$C111,""))</f>
        <v>TITUS CMO
SALEEM CMO</v>
      </c>
      <c r="R11" s="775" t="str" cm="1">
        <f t="array" ref="R11">_xlfn.TEXTJOIN(CHAR(10),TRUE,IF(I7:I111="0800-1800 AFC",$C7:$C111,""),IF(I7:I111="0800-1730 AFC",$C7:$C111,""),IF(I7:I111="0800-1800",$C7:$C111,""),IF(I7:I111="0800-1730",$C7:$C111,""))</f>
        <v>MILES SR
CHRISTINA JR
ISOBEL JR
RACHEL JR</v>
      </c>
      <c r="S11" s="775" t="str" cm="1">
        <f t="array" ref="S11">_xlfn.TEXTJOIN(CHAR(10),TRUE,IF(J7:J111="0800-1800 AFC",$C7:$C111,""),IF(J7:J111="0800-1730 AFC",$C7:$C111,""),IF(J7:J111="0800-1800",$C7:$C111,""),IF(J7:J111="0800-1730",$C7:$C111,""))</f>
        <v>SUHAIL SMS
JOSHUA IR
ISOBEL JR
RACHEL JR</v>
      </c>
      <c r="T11" s="775" t="str" cm="1">
        <f t="array" ref="T11">_xlfn.TEXTJOIN(CHAR(10),TRUE,IF(K7:K111="0800-1800 AFC",$C7:$C111,""),IF(K7:K111="0800-1730 AFC",$C7:$C111,""),IF(K7:K111="0800-1800",$C7:$C111,""),IF(K7:K111="0800-1730",$C7:$C111,""))</f>
        <v>JOSHUA IR
CLARE JR
ISOBEL JR</v>
      </c>
      <c r="U11" s="775" t="str" cm="1">
        <f t="array" ref="U11">_xlfn.TEXTJOIN(CHAR(10),TRUE,IF(L7:L111="0800-1800 AFC",$C7:$C111,""),IF(L7:L111="0800-1730 AFC",$C7:$C111,""),IF(L7:L111="0800-1800",$C7:$C111,""),IF(L7:L111="0800-1730",$C7:$C111,""))</f>
        <v>JOSHUA IR</v>
      </c>
      <c r="W11" s="772">
        <v>7</v>
      </c>
    </row>
    <row r="12" spans="1:23" ht="14.1" customHeight="1">
      <c r="C12" s="497" t="s">
        <v>314</v>
      </c>
      <c r="D12" s="497" t="s">
        <v>49</v>
      </c>
      <c r="E12" s="502">
        <v>213322</v>
      </c>
      <c r="F12" s="344"/>
      <c r="G12" s="314" t="s">
        <v>50</v>
      </c>
      <c r="H12" s="314" t="s">
        <v>38</v>
      </c>
      <c r="I12" s="314"/>
      <c r="J12" s="314" t="s">
        <v>40</v>
      </c>
      <c r="K12" s="314"/>
      <c r="L12" s="336"/>
      <c r="N12" s="734"/>
      <c r="O12" s="774"/>
      <c r="P12" s="775"/>
      <c r="Q12" s="775"/>
      <c r="R12" s="775"/>
      <c r="S12" s="775"/>
      <c r="T12" s="775"/>
      <c r="U12" s="775"/>
      <c r="W12" s="772"/>
    </row>
    <row r="13" spans="1:23" ht="14.1" customHeight="1">
      <c r="C13" s="497" t="s">
        <v>315</v>
      </c>
      <c r="D13" s="497" t="s">
        <v>51</v>
      </c>
      <c r="E13" s="502">
        <v>602997</v>
      </c>
      <c r="F13" s="345" t="s">
        <v>40</v>
      </c>
      <c r="G13" s="314" t="s">
        <v>52</v>
      </c>
      <c r="H13" s="314" t="s">
        <v>53</v>
      </c>
      <c r="I13" s="314"/>
      <c r="J13" s="314" t="s">
        <v>50</v>
      </c>
      <c r="K13" s="314"/>
      <c r="L13" s="336"/>
      <c r="N13" s="734"/>
      <c r="O13" s="774"/>
      <c r="P13" s="775"/>
      <c r="Q13" s="775"/>
      <c r="R13" s="775"/>
      <c r="S13" s="775"/>
      <c r="T13" s="775"/>
      <c r="U13" s="775"/>
      <c r="W13" s="772"/>
    </row>
    <row r="14" spans="1:23" ht="14.1" customHeight="1">
      <c r="C14" s="504" t="s">
        <v>316</v>
      </c>
      <c r="D14" s="504" t="s">
        <v>55</v>
      </c>
      <c r="E14" s="502">
        <v>646459</v>
      </c>
      <c r="F14" s="341" t="s">
        <v>47</v>
      </c>
      <c r="G14" s="326" t="s">
        <v>33</v>
      </c>
      <c r="H14" s="464" t="s">
        <v>317</v>
      </c>
      <c r="I14" s="326" t="s">
        <v>36</v>
      </c>
      <c r="J14" s="334"/>
      <c r="K14" s="314"/>
      <c r="L14" s="336"/>
      <c r="N14" s="734"/>
      <c r="O14" s="774"/>
      <c r="P14" s="775"/>
      <c r="Q14" s="775"/>
      <c r="R14" s="775"/>
      <c r="S14" s="775"/>
      <c r="T14" s="775"/>
      <c r="U14" s="775"/>
      <c r="W14" s="772"/>
    </row>
    <row r="15" spans="1:23" ht="14.1" customHeight="1">
      <c r="C15" s="497" t="s">
        <v>318</v>
      </c>
      <c r="D15" s="504" t="s">
        <v>56</v>
      </c>
      <c r="E15" s="502">
        <v>632594</v>
      </c>
      <c r="F15" s="341" t="s">
        <v>34</v>
      </c>
      <c r="G15" s="314"/>
      <c r="H15" s="314" t="s">
        <v>33</v>
      </c>
      <c r="I15" s="314"/>
      <c r="J15" s="314"/>
      <c r="K15" s="314" t="s">
        <v>43</v>
      </c>
      <c r="L15" s="336" t="s">
        <v>38</v>
      </c>
      <c r="N15" s="734"/>
      <c r="O15" s="774"/>
      <c r="P15" s="775"/>
      <c r="Q15" s="775"/>
      <c r="R15" s="775"/>
      <c r="S15" s="775"/>
      <c r="T15" s="775"/>
      <c r="U15" s="775"/>
      <c r="W15" s="772"/>
    </row>
    <row r="16" spans="1:23" ht="14.1" customHeight="1">
      <c r="C16" s="497" t="s">
        <v>319</v>
      </c>
      <c r="D16" s="497" t="s">
        <v>58</v>
      </c>
      <c r="E16" s="502">
        <v>541622</v>
      </c>
      <c r="F16" s="344"/>
      <c r="G16" s="334"/>
      <c r="H16" s="334"/>
      <c r="I16" s="314" t="s">
        <v>50</v>
      </c>
      <c r="J16" s="314" t="s">
        <v>47</v>
      </c>
      <c r="K16" s="350" t="s">
        <v>34</v>
      </c>
      <c r="L16" s="351" t="s">
        <v>36</v>
      </c>
      <c r="N16" s="734"/>
      <c r="O16" s="774"/>
      <c r="P16" s="775"/>
      <c r="Q16" s="775"/>
      <c r="R16" s="775"/>
      <c r="S16" s="775"/>
      <c r="T16" s="775"/>
      <c r="U16" s="775"/>
      <c r="W16" s="772"/>
    </row>
    <row r="17" spans="3:23" ht="14.1" customHeight="1">
      <c r="C17" s="504" t="s">
        <v>320</v>
      </c>
      <c r="D17" s="504" t="s">
        <v>59</v>
      </c>
      <c r="E17" s="508">
        <v>614941</v>
      </c>
      <c r="F17" s="328" t="s">
        <v>60</v>
      </c>
      <c r="G17" s="329"/>
      <c r="H17" s="354"/>
      <c r="I17" s="125"/>
      <c r="J17" s="329"/>
      <c r="K17" s="329"/>
      <c r="L17" s="330"/>
      <c r="N17" s="773"/>
      <c r="O17" s="774"/>
      <c r="P17" s="775"/>
      <c r="Q17" s="775"/>
      <c r="R17" s="775"/>
      <c r="S17" s="775"/>
      <c r="T17" s="775"/>
      <c r="U17" s="775"/>
      <c r="W17" s="772"/>
    </row>
    <row r="18" spans="3:23" ht="14.1" customHeight="1">
      <c r="C18" s="497" t="s">
        <v>321</v>
      </c>
      <c r="D18" s="497" t="s">
        <v>63</v>
      </c>
      <c r="E18" s="509">
        <v>46055</v>
      </c>
      <c r="F18" s="344" t="s">
        <v>62</v>
      </c>
      <c r="G18" s="334"/>
      <c r="H18" s="352"/>
      <c r="I18" s="55"/>
      <c r="J18" s="334"/>
      <c r="K18" s="334"/>
      <c r="L18" s="335"/>
      <c r="N18" s="510" t="s">
        <v>322</v>
      </c>
      <c r="O18" s="102" t="e">
        <f t="shared" ref="O18:U18" si="8">INDEX($C7:$L189,MATCH("*AHJ*",F7:F192,0),1)</f>
        <v>#N/A</v>
      </c>
      <c r="P18" s="102" t="str">
        <f t="shared" si="8"/>
        <v>PHILLIP HMO</v>
      </c>
      <c r="Q18" s="102" t="str">
        <f t="shared" si="8"/>
        <v>MIKEY HMO</v>
      </c>
      <c r="R18" s="102" t="str">
        <f t="shared" si="8"/>
        <v>FADIA HMO</v>
      </c>
      <c r="S18" s="102" t="str">
        <f t="shared" si="8"/>
        <v>WILL HMO</v>
      </c>
      <c r="T18" s="102" t="str">
        <f t="shared" si="8"/>
        <v>DEVUNI HMO</v>
      </c>
      <c r="U18" s="102" t="str">
        <f t="shared" si="8"/>
        <v>LISA HMO</v>
      </c>
      <c r="V18" s="34" t="s">
        <v>323</v>
      </c>
      <c r="W18" s="89">
        <v>1</v>
      </c>
    </row>
    <row r="19" spans="3:23" ht="14.1" customHeight="1">
      <c r="C19" s="511" t="s">
        <v>324</v>
      </c>
      <c r="D19" s="497" t="s">
        <v>64</v>
      </c>
      <c r="E19" s="502">
        <v>628578</v>
      </c>
      <c r="F19" s="358"/>
      <c r="G19" s="350" t="s">
        <v>32</v>
      </c>
      <c r="H19" s="127" t="s">
        <v>36</v>
      </c>
      <c r="I19" s="127" t="s">
        <v>33</v>
      </c>
      <c r="J19" s="314" t="s">
        <v>35</v>
      </c>
      <c r="K19" s="334"/>
      <c r="L19" s="348"/>
      <c r="N19" s="776" t="s">
        <v>325</v>
      </c>
      <c r="O19" s="777" t="str" cm="1">
        <f t="array" ref="O19">_xlfn.TEXTJOIN(CHAR(10),TRUE,_xlfn._xlws.FILTER($C7:$C181,RIGHT(F7:F181,LEN("ASSJ"))="ASSJ",""))</f>
        <v>MARYAM HMO</v>
      </c>
      <c r="P19" s="777" t="str" cm="1">
        <f t="array" ref="P19">_xlfn.TEXTJOIN(CHAR(10),TRUE,_xlfn._xlws.FILTER($C7:$C181,RIGHT(G7:G181,LEN("ASSJ"))="ASSJ",""))</f>
        <v>ZOBIA HMO</v>
      </c>
      <c r="Q19" s="777" t="str" cm="1">
        <f t="array" ref="Q19">_xlfn.TEXTJOIN(CHAR(10),TRUE,_xlfn._xlws.FILTER($C7:$C181,RIGHT(H7:H181,LEN("ASSJ"))="ASSJ",""))</f>
        <v>DEVUNI HMO</v>
      </c>
      <c r="R19" s="777" t="str" cm="1">
        <f t="array" ref="R19">_xlfn.TEXTJOIN(CHAR(10),TRUE,_xlfn._xlws.FILTER($C7:$C181,RIGHT(I7:I181,LEN("ASSJ"))="ASSJ",""))</f>
        <v>ANKUSH HMO</v>
      </c>
      <c r="S19" s="777" t="str" cm="1">
        <f t="array" ref="S19">_xlfn.TEXTJOIN(CHAR(10),TRUE,_xlfn._xlws.FILTER($C7:$C181,RIGHT(J7:J181,LEN("ASSJ"))="ASSJ",""))</f>
        <v>FADIA HMO</v>
      </c>
      <c r="T19" s="777" t="str" cm="1">
        <f t="array" ref="T19">_xlfn.TEXTJOIN(CHAR(10),TRUE,_xlfn._xlws.FILTER($C7:$C181,RIGHT(K7:K181,LEN("ASSJ"))="ASSJ",""))</f>
        <v>TRAM HMO</v>
      </c>
      <c r="U19" s="777" t="str" cm="1">
        <f t="array" ref="U19">_xlfn.TEXTJOIN(CHAR(10),TRUE,_xlfn._xlws.FILTER($C7:$C181,RIGHT(L7:L181,LEN("ASSJ"))="ASSJ",""))</f>
        <v>DEVUNI HMO</v>
      </c>
      <c r="V19" s="34" t="s">
        <v>326</v>
      </c>
      <c r="W19" s="772">
        <v>2</v>
      </c>
    </row>
    <row r="20" spans="3:23" ht="14.1" customHeight="1">
      <c r="C20" s="497" t="s">
        <v>327</v>
      </c>
      <c r="D20" s="504" t="s">
        <v>68</v>
      </c>
      <c r="E20" s="512">
        <v>628603</v>
      </c>
      <c r="F20" s="344"/>
      <c r="G20" s="314" t="s">
        <v>35</v>
      </c>
      <c r="H20" s="314" t="s">
        <v>33</v>
      </c>
      <c r="I20" s="314" t="s">
        <v>43</v>
      </c>
      <c r="J20" s="314"/>
      <c r="K20" s="314" t="s">
        <v>328</v>
      </c>
      <c r="L20" s="336"/>
      <c r="N20" s="776"/>
      <c r="O20" s="777"/>
      <c r="P20" s="777"/>
      <c r="Q20" s="777"/>
      <c r="R20" s="777"/>
      <c r="S20" s="777"/>
      <c r="T20" s="777"/>
      <c r="U20" s="777"/>
      <c r="W20" s="772"/>
    </row>
    <row r="21" spans="3:23" ht="14.1" customHeight="1">
      <c r="C21" s="513" t="s">
        <v>329</v>
      </c>
      <c r="D21" s="504" t="s">
        <v>71</v>
      </c>
      <c r="E21" s="113">
        <v>631416</v>
      </c>
      <c r="F21" s="341" t="s">
        <v>35</v>
      </c>
      <c r="G21" s="314"/>
      <c r="H21" s="334"/>
      <c r="I21" s="334"/>
      <c r="J21" s="314" t="s">
        <v>32</v>
      </c>
      <c r="K21" s="314"/>
      <c r="L21" s="46"/>
      <c r="N21" s="733" t="s">
        <v>330</v>
      </c>
      <c r="O21" s="777" t="str" cm="1">
        <f t="array" ref="O21">_xlfn.TEXTJOIN(CHAR(10),TRUE,IF(F112:F185="0800-1730",$C112:$C181,""))</f>
        <v>BRENDAN HMO
AREEBA HMO
Sarah W. INT
Arooj INT</v>
      </c>
      <c r="P21" s="750" t="str" cm="1">
        <f t="array" ref="P21">_xlfn.TEXTJOIN(CHAR(10),TRUE,IF(G112:G185="0800-1730",$C112:$C181,""))</f>
        <v>MIKEY HMO
MARYAM HMO
Sarah W. INT
Arooj INT</v>
      </c>
      <c r="Q21" s="750" t="str" cm="1">
        <f t="array" ref="Q21">_xlfn.TEXTJOIN(CHAR(10),TRUE,IF(H112:H185="0800-1730",$C112:$C181,""))</f>
        <v>AREEBA HMO
ZOBIA HMO
PHILLIP HMO
Arooj INT
Elliott INT
Ranusha INT</v>
      </c>
      <c r="R21" s="750" t="str" cm="1">
        <f t="array" ref="R21">_xlfn.TEXTJOIN(CHAR(10),TRUE,IF(I112:I185="0800-1730",$C112:$C181,""))</f>
        <v>PIN HMO
Arooj INT
Ranusha INT</v>
      </c>
      <c r="S21" s="750" t="str" cm="1">
        <f t="array" ref="S21">_xlfn.TEXTJOIN(CHAR(10),TRUE,IF(J112:J185="0800-1730",$C112:$C181,""))</f>
        <v>DEVUNI HMO
Ranusha INT
Raxanna INT</v>
      </c>
      <c r="T21" s="750" t="str" cm="1">
        <f t="array" ref="T21">_xlfn.TEXTJOIN(CHAR(10),TRUE,IF(K112:K185="0800-1730",$C112:$C181,""))</f>
        <v>LISA HMO
Elliott INT
Raxanna INT</v>
      </c>
      <c r="U21" s="750" t="str" cm="1">
        <f t="array" ref="U21">_xlfn.TEXTJOIN(CHAR(10),TRUE,IF(L112:L185="0800-1730",$C112:$C181,""))</f>
        <v>TRAM HMO
Raxanna INT</v>
      </c>
      <c r="W21" s="772">
        <v>7</v>
      </c>
    </row>
    <row r="22" spans="3:23" ht="14.1" customHeight="1">
      <c r="C22" s="80" t="s">
        <v>331</v>
      </c>
      <c r="D22" s="514" t="s">
        <v>73</v>
      </c>
      <c r="E22" s="515">
        <v>613670</v>
      </c>
      <c r="F22" s="344" t="s">
        <v>74</v>
      </c>
      <c r="G22" s="334"/>
      <c r="H22" s="334"/>
      <c r="I22" s="334"/>
      <c r="J22" s="334"/>
      <c r="K22" s="334"/>
      <c r="L22" s="335"/>
      <c r="N22" s="734"/>
      <c r="O22" s="777"/>
      <c r="P22" s="750"/>
      <c r="Q22" s="750"/>
      <c r="R22" s="750"/>
      <c r="S22" s="750"/>
      <c r="T22" s="750"/>
      <c r="U22" s="750"/>
      <c r="W22" s="772"/>
    </row>
    <row r="23" spans="3:23" ht="14.1" customHeight="1">
      <c r="C23" s="511" t="s">
        <v>332</v>
      </c>
      <c r="D23" s="504" t="s">
        <v>76</v>
      </c>
      <c r="E23" s="516">
        <v>621988</v>
      </c>
      <c r="F23" s="366" t="s">
        <v>77</v>
      </c>
      <c r="G23" s="367"/>
      <c r="H23" s="367"/>
      <c r="I23" s="367"/>
      <c r="J23" s="367"/>
      <c r="K23" s="367"/>
      <c r="L23" s="335"/>
      <c r="N23" s="734"/>
      <c r="O23" s="777"/>
      <c r="P23" s="750"/>
      <c r="Q23" s="750"/>
      <c r="R23" s="750"/>
      <c r="S23" s="750"/>
      <c r="T23" s="750"/>
      <c r="U23" s="750"/>
      <c r="W23" s="772"/>
    </row>
    <row r="24" spans="3:23" ht="14.1" customHeight="1">
      <c r="C24" s="497" t="s">
        <v>333</v>
      </c>
      <c r="D24" s="497" t="s">
        <v>79</v>
      </c>
      <c r="E24" s="502">
        <v>609408</v>
      </c>
      <c r="F24" s="341" t="s">
        <v>33</v>
      </c>
      <c r="G24" s="314"/>
      <c r="H24" s="314" t="s">
        <v>57</v>
      </c>
      <c r="I24" s="314"/>
      <c r="J24" s="314"/>
      <c r="K24" s="314" t="s">
        <v>40</v>
      </c>
      <c r="L24" s="336" t="s">
        <v>43</v>
      </c>
      <c r="N24" s="734"/>
      <c r="O24" s="777"/>
      <c r="P24" s="750"/>
      <c r="Q24" s="750"/>
      <c r="R24" s="750"/>
      <c r="S24" s="750"/>
      <c r="T24" s="750"/>
      <c r="U24" s="750"/>
      <c r="W24" s="772"/>
    </row>
    <row r="25" spans="3:23" ht="14.1" customHeight="1">
      <c r="C25" s="511" t="s">
        <v>334</v>
      </c>
      <c r="D25" s="497" t="s">
        <v>81</v>
      </c>
      <c r="E25" s="516">
        <v>632646</v>
      </c>
      <c r="F25" s="331" t="s">
        <v>80</v>
      </c>
      <c r="G25" s="332"/>
      <c r="H25" s="332"/>
      <c r="I25" s="332"/>
      <c r="J25" s="332"/>
      <c r="K25" s="332"/>
      <c r="L25" s="333"/>
      <c r="N25" s="734"/>
      <c r="O25" s="777"/>
      <c r="P25" s="750"/>
      <c r="Q25" s="750"/>
      <c r="R25" s="750"/>
      <c r="S25" s="750"/>
      <c r="T25" s="750"/>
      <c r="U25" s="750"/>
      <c r="W25" s="772"/>
    </row>
    <row r="26" spans="3:23" ht="14.1" customHeight="1">
      <c r="C26" s="511" t="s">
        <v>335</v>
      </c>
      <c r="D26" s="497" t="s">
        <v>82</v>
      </c>
      <c r="E26" s="517">
        <v>634491</v>
      </c>
      <c r="F26" s="331" t="s">
        <v>31</v>
      </c>
      <c r="G26" s="332"/>
      <c r="H26" s="332"/>
      <c r="I26" s="332"/>
      <c r="J26" s="332"/>
      <c r="K26" s="332"/>
      <c r="L26" s="333"/>
      <c r="N26" s="734"/>
      <c r="O26" s="777"/>
      <c r="P26" s="750"/>
      <c r="Q26" s="750"/>
      <c r="R26" s="750"/>
      <c r="S26" s="750"/>
      <c r="T26" s="750"/>
      <c r="U26" s="750"/>
      <c r="W26" s="772"/>
    </row>
    <row r="27" spans="3:23" ht="14.1" customHeight="1">
      <c r="C27" s="518" t="s">
        <v>83</v>
      </c>
      <c r="D27" s="518" t="s">
        <v>336</v>
      </c>
      <c r="E27" s="519"/>
      <c r="F27" s="316"/>
      <c r="G27" s="378"/>
      <c r="H27" s="378"/>
      <c r="I27" s="378"/>
      <c r="J27" s="378"/>
      <c r="K27" s="378"/>
      <c r="L27" s="319"/>
      <c r="N27" s="773"/>
      <c r="O27" s="777"/>
      <c r="P27" s="750"/>
      <c r="Q27" s="750"/>
      <c r="R27" s="750"/>
      <c r="S27" s="750"/>
      <c r="T27" s="750"/>
      <c r="U27" s="750"/>
      <c r="W27" s="772"/>
    </row>
    <row r="28" spans="3:23" ht="14.1" customHeight="1">
      <c r="C28" s="497" t="s">
        <v>337</v>
      </c>
      <c r="D28" s="497" t="s">
        <v>84</v>
      </c>
      <c r="E28" s="502">
        <v>502961</v>
      </c>
      <c r="F28" s="341" t="s">
        <v>85</v>
      </c>
      <c r="G28" s="314" t="s">
        <v>86</v>
      </c>
      <c r="H28" s="314"/>
      <c r="I28" s="314"/>
      <c r="J28" s="314"/>
      <c r="K28" s="314"/>
      <c r="L28" s="336"/>
      <c r="N28" s="778" t="s">
        <v>338</v>
      </c>
      <c r="O28" s="781" t="str" cm="1">
        <f t="array" ref="O28">_xlfn.TEXTJOIN(CHAR(10),TRUE,_xlfn._xlws.FILTER($C7:$C181,RIGHT(F7:F181,LEN("SWA"))="SWA",""))</f>
        <v>MIKHAR IR
ISOBEL JR
JEROME JR
SUBARNA JR</v>
      </c>
      <c r="P28" s="781" t="str" cm="1">
        <f t="array" ref="P28">_xlfn.TEXTJOIN(CHAR(10),TRUE,_xlfn._xlws.FILTER($C7:$C181,RIGHT(G7:G181,LEN("SWA"))="SWA",""))</f>
        <v>GIOVANA JR</v>
      </c>
      <c r="Q28" s="781" t="str" cm="1">
        <f t="array" ref="Q28">_xlfn.TEXTJOIN(CHAR(10),TRUE,_xlfn._xlws.FILTER($C7:$C181,RIGHT(H7:H181,LEN("SWA"))="SWA",""))</f>
        <v>HEATHER CMO</v>
      </c>
      <c r="R28" s="781" t="str" cm="1">
        <f t="array" ref="R28">_xlfn.TEXTJOIN(CHAR(10),TRUE,_xlfn._xlws.FILTER($C7:$C181,RIGHT(I7:I181,LEN("SWA"))="SWA",""))</f>
        <v>LISA HMO</v>
      </c>
      <c r="S28" s="781" t="str" cm="1">
        <f t="array" ref="S28">_xlfn.TEXTJOIN(CHAR(10),TRUE,_xlfn._xlws.FILTER($C7:$C181,RIGHT(J7:J181,LEN("SWA"))="SWA",""))</f>
        <v>DESLIN JR
ANKUSH HMO</v>
      </c>
      <c r="T28" s="781" t="str" cm="1">
        <f t="array" ref="T28">_xlfn.TEXTJOIN(CHAR(10),TRUE,_xlfn._xlws.FILTER($C7:$C181,RIGHT(K7:K181,LEN("SWA"))="SWA",""))</f>
        <v/>
      </c>
      <c r="U28" s="781" t="str" cm="1">
        <f t="array" ref="U28">_xlfn.TEXTJOIN(CHAR(10),TRUE,_xlfn._xlws.FILTER($C7:$C181,RIGHT(L7:L181,LEN("SWA"))="SWA",""))</f>
        <v>CHRISTINA JR</v>
      </c>
      <c r="V28" s="34" t="s">
        <v>339</v>
      </c>
      <c r="W28" s="772">
        <v>3</v>
      </c>
    </row>
    <row r="29" spans="3:23" ht="14.1" customHeight="1">
      <c r="C29" s="497" t="s">
        <v>340</v>
      </c>
      <c r="D29" s="497" t="s">
        <v>96</v>
      </c>
      <c r="E29" s="502">
        <v>601096</v>
      </c>
      <c r="F29" s="380"/>
      <c r="G29" s="350" t="s">
        <v>47</v>
      </c>
      <c r="H29" s="350" t="s">
        <v>33</v>
      </c>
      <c r="I29" s="314" t="s">
        <v>35</v>
      </c>
      <c r="J29" s="350"/>
      <c r="K29" s="334"/>
      <c r="L29" s="335"/>
      <c r="N29" s="779"/>
      <c r="O29" s="782"/>
      <c r="P29" s="782"/>
      <c r="Q29" s="782"/>
      <c r="R29" s="782"/>
      <c r="S29" s="782"/>
      <c r="T29" s="782"/>
      <c r="U29" s="782"/>
      <c r="W29" s="772"/>
    </row>
    <row r="30" spans="3:23" ht="14.1" customHeight="1">
      <c r="C30" s="497" t="s">
        <v>341</v>
      </c>
      <c r="D30" s="497" t="s">
        <v>97</v>
      </c>
      <c r="E30" s="502">
        <v>260509</v>
      </c>
      <c r="F30" s="344"/>
      <c r="G30" s="314"/>
      <c r="H30" s="314" t="s">
        <v>37</v>
      </c>
      <c r="I30" s="464" t="s">
        <v>342</v>
      </c>
      <c r="J30" s="314" t="s">
        <v>36</v>
      </c>
      <c r="K30" s="314"/>
      <c r="L30" s="336"/>
      <c r="N30" s="780"/>
      <c r="O30" s="783"/>
      <c r="P30" s="783"/>
      <c r="Q30" s="783"/>
      <c r="R30" s="783"/>
      <c r="S30" s="783"/>
      <c r="T30" s="783"/>
      <c r="U30" s="783"/>
      <c r="W30" s="772"/>
    </row>
    <row r="31" spans="3:23" ht="14.1" customHeight="1">
      <c r="C31" s="504" t="s">
        <v>343</v>
      </c>
      <c r="D31" s="504" t="s">
        <v>99</v>
      </c>
      <c r="E31" s="502">
        <v>603237</v>
      </c>
      <c r="F31" s="334"/>
      <c r="G31" s="314" t="s">
        <v>33</v>
      </c>
      <c r="H31" s="314" t="s">
        <v>47</v>
      </c>
      <c r="I31" s="314"/>
      <c r="J31" s="314"/>
      <c r="K31" s="314"/>
      <c r="L31" s="314" t="s">
        <v>34</v>
      </c>
      <c r="N31" s="101"/>
      <c r="O31" s="101"/>
      <c r="P31" s="101"/>
      <c r="Q31" s="101"/>
      <c r="R31" s="101"/>
      <c r="S31" s="101"/>
      <c r="T31" s="101"/>
      <c r="U31" s="101"/>
      <c r="V31" s="101"/>
      <c r="W31" s="101"/>
    </row>
    <row r="32" spans="3:23" ht="14.1" customHeight="1">
      <c r="C32" s="520" t="s">
        <v>344</v>
      </c>
      <c r="D32" s="520" t="s">
        <v>101</v>
      </c>
      <c r="E32" s="502">
        <v>613781</v>
      </c>
      <c r="F32" s="344"/>
      <c r="G32" s="314"/>
      <c r="H32" s="314" t="s">
        <v>46</v>
      </c>
      <c r="I32" s="334"/>
      <c r="J32" s="314"/>
      <c r="K32" s="350" t="s">
        <v>47</v>
      </c>
      <c r="L32" s="351" t="s">
        <v>37</v>
      </c>
      <c r="N32" s="103" t="s">
        <v>345</v>
      </c>
      <c r="O32" s="98" t="str">
        <f>F62</f>
        <v>REZA</v>
      </c>
      <c r="P32" s="98" t="str">
        <f>G62</f>
        <v>REZA</v>
      </c>
      <c r="Q32" s="98" t="str">
        <f t="shared" ref="Q32:S32" si="9">H62</f>
        <v>MANEESHA</v>
      </c>
      <c r="R32" s="98" t="str">
        <f t="shared" si="9"/>
        <v>REZA</v>
      </c>
      <c r="S32" s="98" t="str">
        <f t="shared" si="9"/>
        <v xml:space="preserve">MANEESHA </v>
      </c>
      <c r="T32" s="99"/>
      <c r="U32" s="100"/>
      <c r="W32" s="89"/>
    </row>
    <row r="33" spans="3:23" ht="14.1" customHeight="1">
      <c r="C33" s="497" t="s">
        <v>346</v>
      </c>
      <c r="D33" s="497" t="s">
        <v>102</v>
      </c>
      <c r="E33" s="502">
        <v>611691</v>
      </c>
      <c r="F33" s="334" t="s">
        <v>2</v>
      </c>
      <c r="G33" s="314" t="s">
        <v>33</v>
      </c>
      <c r="H33" s="314" t="s">
        <v>43</v>
      </c>
      <c r="I33" s="314" t="s">
        <v>46</v>
      </c>
      <c r="J33" s="314"/>
      <c r="K33" s="314"/>
      <c r="L33" s="352" t="s">
        <v>1</v>
      </c>
      <c r="N33" s="834" t="s">
        <v>347</v>
      </c>
      <c r="O33" s="521" t="str" cm="1">
        <f t="array" ref="O33">_xlfn.TEXTJOIN(CHAR(10),TRUE,_xlfn._xlws.FILTER($C7:$C181,RIGHT(F7:F181,LEN("CSO"))="CSO",""))</f>
        <v>SCOTT SMS</v>
      </c>
      <c r="P33" s="521" t="str" cm="1">
        <f t="array" ref="P33">_xlfn.TEXTJOIN(CHAR(10),TRUE,_xlfn._xlws.FILTER($C7:$C181,RIGHT(G7:G181,LEN("CSO"))="CSO",""))</f>
        <v>STEVE T SMS</v>
      </c>
      <c r="Q33" s="521" t="str" cm="1">
        <f t="array" ref="Q33">_xlfn.TEXTJOIN(CHAR(10),TRUE,_xlfn._xlws.FILTER($C7:$C181,RIGHT(H7:H181,LEN("CSO"))="CSO",""))</f>
        <v>JON SMS</v>
      </c>
      <c r="R33" s="521" t="str" cm="1">
        <f t="array" ref="R33">_xlfn.TEXTJOIN(CHAR(10),TRUE,_xlfn._xlws.FILTER($C7:$C181,RIGHT(I7:I181,LEN("CSO"))="CSO",""))</f>
        <v>ANASTASIA SMS</v>
      </c>
      <c r="S33" s="521" t="str" cm="1">
        <f t="array" ref="S33">_xlfn.TEXTJOIN(CHAR(10),TRUE,_xlfn._xlws.FILTER($C7:$C181,RIGHT(J7:J181,LEN("CSO"))="CSO",""))</f>
        <v>DAVID SMS</v>
      </c>
      <c r="T33" s="835"/>
      <c r="U33" s="836"/>
      <c r="W33" s="89"/>
    </row>
    <row r="34" spans="3:23" ht="14.1" customHeight="1" thickBot="1">
      <c r="C34" s="497" t="s">
        <v>348</v>
      </c>
      <c r="D34" s="504" t="s">
        <v>103</v>
      </c>
      <c r="E34" s="502">
        <v>634258</v>
      </c>
      <c r="F34" s="341" t="s">
        <v>38</v>
      </c>
      <c r="G34" s="314"/>
      <c r="H34" s="314" t="s">
        <v>50</v>
      </c>
      <c r="I34" s="314" t="s">
        <v>40</v>
      </c>
      <c r="J34" s="314"/>
      <c r="K34" s="314"/>
      <c r="L34" s="336"/>
      <c r="O34" s="89"/>
      <c r="W34" s="89"/>
    </row>
    <row r="35" spans="3:23" ht="14.1" customHeight="1" thickBot="1">
      <c r="C35" s="504" t="s">
        <v>349</v>
      </c>
      <c r="D35" s="504" t="s">
        <v>104</v>
      </c>
      <c r="E35" s="506">
        <v>618946</v>
      </c>
      <c r="F35" s="341" t="s">
        <v>50</v>
      </c>
      <c r="G35" s="314" t="s">
        <v>40</v>
      </c>
      <c r="H35" s="334"/>
      <c r="I35" s="356" t="s">
        <v>105</v>
      </c>
      <c r="J35" s="356"/>
      <c r="K35" s="356"/>
      <c r="L35" s="333"/>
      <c r="O35" s="784" t="s">
        <v>350</v>
      </c>
      <c r="P35" s="785"/>
      <c r="Q35" s="785"/>
      <c r="R35" s="785"/>
      <c r="S35" s="785"/>
      <c r="T35" s="785"/>
      <c r="U35" s="786"/>
      <c r="W35" s="89" t="s">
        <v>351</v>
      </c>
    </row>
    <row r="36" spans="3:23" ht="14.1" customHeight="1">
      <c r="C36" s="504" t="s">
        <v>352</v>
      </c>
      <c r="D36" s="504" t="s">
        <v>109</v>
      </c>
      <c r="E36" s="502">
        <v>634702</v>
      </c>
      <c r="F36" s="355" t="s">
        <v>98</v>
      </c>
      <c r="G36" s="356"/>
      <c r="H36" s="356"/>
      <c r="I36" s="356"/>
      <c r="J36" s="356"/>
      <c r="K36" s="356"/>
      <c r="L36" s="384"/>
      <c r="N36" s="104" t="s">
        <v>303</v>
      </c>
      <c r="O36" s="105" t="str">
        <f t="shared" ref="O36:U36" si="10">INDEX($C7:$L189,MATCH("*Pgc",F7:F192,0),1)</f>
        <v>JULIA SMS</v>
      </c>
      <c r="P36" s="99" t="str">
        <f t="shared" si="10"/>
        <v>BARRY SMS</v>
      </c>
      <c r="Q36" s="99" t="str">
        <f t="shared" si="10"/>
        <v>MINA SMS</v>
      </c>
      <c r="R36" s="99" t="str">
        <f t="shared" si="10"/>
        <v>QING SMS</v>
      </c>
      <c r="S36" s="99" t="str">
        <f t="shared" si="10"/>
        <v>ANDRE SMS</v>
      </c>
      <c r="T36" s="99" t="str">
        <f t="shared" si="10"/>
        <v>MADDY SMS</v>
      </c>
      <c r="U36" s="100" t="str">
        <f t="shared" si="10"/>
        <v>ANASTASIA SMS</v>
      </c>
      <c r="V36" s="34" t="s">
        <v>293</v>
      </c>
      <c r="W36" s="772">
        <v>5</v>
      </c>
    </row>
    <row r="37" spans="3:23" ht="14.1" customHeight="1">
      <c r="C37" s="78" t="s">
        <v>353</v>
      </c>
      <c r="D37" s="504" t="s">
        <v>110</v>
      </c>
      <c r="E37" s="498">
        <v>648587</v>
      </c>
      <c r="F37" s="328" t="s">
        <v>30</v>
      </c>
      <c r="G37" s="329"/>
      <c r="H37" s="329"/>
      <c r="I37" s="329"/>
      <c r="J37" s="329"/>
      <c r="K37" s="329"/>
      <c r="L37" s="330"/>
      <c r="N37" s="522" t="s">
        <v>305</v>
      </c>
      <c r="O37" s="523" t="str">
        <f t="shared" ref="O37:U37" si="11">INDEX($C7:$L189,MATCH("*PAC",F7:F191,0),1)</f>
        <v>JON SMS</v>
      </c>
      <c r="P37" s="500" t="str">
        <f t="shared" si="11"/>
        <v>DANIEL SMS</v>
      </c>
      <c r="Q37" s="500" t="str">
        <f t="shared" si="11"/>
        <v>STEVE T SMS</v>
      </c>
      <c r="R37" s="500" t="e">
        <f t="shared" si="11"/>
        <v>#N/A</v>
      </c>
      <c r="S37" s="500" t="str">
        <f t="shared" si="11"/>
        <v>BEN SMS</v>
      </c>
      <c r="T37" s="500" t="str">
        <f t="shared" si="11"/>
        <v>AFTAB SMS</v>
      </c>
      <c r="U37" s="501" t="str">
        <f t="shared" si="11"/>
        <v>ABI SMS</v>
      </c>
      <c r="V37" s="34" t="s">
        <v>292</v>
      </c>
      <c r="W37" s="772"/>
    </row>
    <row r="38" spans="3:23" ht="14.1" customHeight="1">
      <c r="C38" s="78" t="s">
        <v>354</v>
      </c>
      <c r="D38" s="504" t="s">
        <v>111</v>
      </c>
      <c r="E38" s="498">
        <v>637933</v>
      </c>
      <c r="F38" s="349" t="s">
        <v>46</v>
      </c>
      <c r="G38" s="326" t="s">
        <v>38</v>
      </c>
      <c r="H38" s="326"/>
      <c r="I38" s="334"/>
      <c r="J38" s="326" t="s">
        <v>43</v>
      </c>
      <c r="K38" s="326"/>
      <c r="L38" s="46"/>
      <c r="N38" s="524" t="s">
        <v>307</v>
      </c>
      <c r="O38" s="523" t="str">
        <f t="shared" ref="O38:U38" si="12">INDEX($C7:$L189,MATCH("*PRC",F7:F192,0),1)</f>
        <v>JIMMY SMS</v>
      </c>
      <c r="P38" s="500" t="str">
        <f t="shared" si="12"/>
        <v>CHAMARA SMS</v>
      </c>
      <c r="Q38" s="500" t="str">
        <f t="shared" si="12"/>
        <v>ANDREW H SMS</v>
      </c>
      <c r="R38" s="500" t="str">
        <f t="shared" si="12"/>
        <v>TARA J. SMS</v>
      </c>
      <c r="S38" s="500" t="str">
        <f t="shared" si="12"/>
        <v>MINA SMS</v>
      </c>
      <c r="T38" s="500" t="str">
        <f t="shared" si="12"/>
        <v>CHAMARA SMS</v>
      </c>
      <c r="U38" s="501" t="str">
        <f t="shared" si="12"/>
        <v>TITUS CMO</v>
      </c>
      <c r="V38" s="34" t="s">
        <v>291</v>
      </c>
      <c r="W38" s="772"/>
    </row>
    <row r="39" spans="3:23" ht="14.1" customHeight="1">
      <c r="C39" s="504" t="s">
        <v>355</v>
      </c>
      <c r="D39" s="504" t="s">
        <v>112</v>
      </c>
      <c r="E39" s="506">
        <v>634394</v>
      </c>
      <c r="F39" s="328" t="s">
        <v>30</v>
      </c>
      <c r="G39" s="329"/>
      <c r="H39" s="329"/>
      <c r="I39" s="329"/>
      <c r="J39" s="329"/>
      <c r="K39" s="329"/>
      <c r="L39" s="330"/>
      <c r="N39" s="525" t="s">
        <v>309</v>
      </c>
      <c r="O39" s="523" t="str">
        <f t="shared" ref="O39:U39" si="13">INDEX($C7:$L189,MATCH("*PSSC",F7:F192,0),1)</f>
        <v>ABI SMS</v>
      </c>
      <c r="P39" s="500" t="str">
        <f t="shared" si="13"/>
        <v>JACKIE SMS</v>
      </c>
      <c r="Q39" s="500" t="str">
        <f t="shared" si="13"/>
        <v>TARA K. SMS</v>
      </c>
      <c r="R39" s="500" t="str">
        <f t="shared" si="13"/>
        <v>BEN SMS</v>
      </c>
      <c r="S39" s="500" t="e">
        <f t="shared" si="13"/>
        <v>#N/A</v>
      </c>
      <c r="T39" s="500" t="str">
        <f t="shared" si="13"/>
        <v>ANASTASIA SMS</v>
      </c>
      <c r="U39" s="501" t="str">
        <f t="shared" si="13"/>
        <v>BRAD SMS</v>
      </c>
      <c r="V39" s="34" t="s">
        <v>295</v>
      </c>
      <c r="W39" s="772"/>
    </row>
    <row r="40" spans="3:23" ht="14.1" customHeight="1">
      <c r="C40" s="497" t="s">
        <v>356</v>
      </c>
      <c r="D40" s="526" t="s">
        <v>113</v>
      </c>
      <c r="E40" s="502">
        <v>605686</v>
      </c>
      <c r="F40" s="389" t="s">
        <v>36</v>
      </c>
      <c r="G40" s="390"/>
      <c r="H40" s="390"/>
      <c r="I40" s="390"/>
      <c r="J40" s="390"/>
      <c r="K40" s="390" t="s">
        <v>37</v>
      </c>
      <c r="L40" s="391" t="s">
        <v>47</v>
      </c>
      <c r="N40" s="527" t="s">
        <v>357</v>
      </c>
      <c r="O40" s="523" t="str">
        <f>INDEX($C7:$L215,MATCH("*PCC*",F7:F203,0),1)</f>
        <v>DANIEL SMS</v>
      </c>
      <c r="P40" s="500" t="str">
        <f>INDEX($C7:$L215,MATCH("*PCC*",G7:G203,0),1)</f>
        <v>MILES SR</v>
      </c>
      <c r="Q40" s="500" t="str">
        <f>INDEX($C7:$L215,MATCH("*PCC*",H7:H200,0),1)</f>
        <v>STEPHEN G SMS</v>
      </c>
      <c r="R40" s="500" t="str">
        <f>INDEX($C7:$L215,MATCH("*PCC*",I7:I203,0),1)</f>
        <v>ANDY L  SMS</v>
      </c>
      <c r="S40" s="500" t="str">
        <f>INDEX($C7:$L215,MATCH("*PCC*",J7:J203,0),1)</f>
        <v>JACQUELINE SMS</v>
      </c>
      <c r="T40" s="500" t="str">
        <f>INDEX($C7:$L215,MATCH("*PCC*",K7:K203,0),1)</f>
        <v>TITUS CMO</v>
      </c>
      <c r="U40" s="501" t="str">
        <f>INDEX($C7:$L215,MATCH("*PCC*",L7:L203,0),1)</f>
        <v>AFTAB SMS</v>
      </c>
      <c r="V40" s="34" t="s">
        <v>294</v>
      </c>
      <c r="W40" s="772"/>
    </row>
    <row r="41" spans="3:23" ht="14.1" customHeight="1">
      <c r="C41" s="79" t="s">
        <v>358</v>
      </c>
      <c r="D41" s="497" t="s">
        <v>114</v>
      </c>
      <c r="E41" s="502">
        <v>119385</v>
      </c>
      <c r="F41" s="334"/>
      <c r="G41" s="464" t="s">
        <v>359</v>
      </c>
      <c r="H41" s="326"/>
      <c r="I41" s="464" t="s">
        <v>342</v>
      </c>
      <c r="J41" s="314"/>
      <c r="K41" s="314"/>
      <c r="L41" s="336" t="s">
        <v>89</v>
      </c>
      <c r="N41" s="789" t="s">
        <v>360</v>
      </c>
      <c r="O41" s="787" t="str" cm="1">
        <f t="array" ref="O41">_xlfn.TEXTJOIN(CHAR(10),TRUE,IF(F7:F111="1430-0000 PFC",$C7:$C111,""),IF(F7:F111="1400-0000 PFC",$C7:$C111,""),IF(F7:F111="1430-0000",$C7:$C111,""))</f>
        <v>DENNIS SR
JOSEPH SR
JOSHUA IR</v>
      </c>
      <c r="P41" s="750" t="str" cm="1">
        <f t="array" ref="P41">_xlfn.TEXTJOIN(CHAR(10),TRUE,IF(G7:G111="1430-0000 PFC",$C7:$C111,""),IF(G7:G111="1400-0000 PFC",$C7:$C111,""),IF(G7:G111="1430-0000",$C7:$C111,""))</f>
        <v>HARMEEN IR
DESLIN JR
SYLVIA JR
RACHEL JR</v>
      </c>
      <c r="Q41" s="750" t="str" cm="1">
        <f t="array" ref="Q41">_xlfn.TEXTJOIN(CHAR(10),TRUE,IF(H7:H111="1430-0000 PFC",$C7:$C111,""),IF(H7:H111="1400-0000 PFC",$C7:$C111,""),IF(H7:H111="1430-0000",$C7:$C111,""))</f>
        <v>MARK SR
CLARE IR
CLARE JR
GIOVANA JR</v>
      </c>
      <c r="R41" s="750" t="str" cm="1">
        <f t="array" ref="R41">_xlfn.TEXTJOIN(CHAR(10),TRUE,IF(I7:I111="1430-0000 PFC",$C7:$C111,""),IF(I7:I111="1400-0000 PFC",$C7:$C111,""),IF(I7:I111="1430-0000",$C7:$C111,""))</f>
        <v>MARK SR
CHRISTOPHER JR
GIOVANA JR
KELLY JR</v>
      </c>
      <c r="S41" s="750" t="str" cm="1">
        <f t="array" ref="S41">_xlfn.TEXTJOIN(CHAR(10),TRUE,IF(J7:J111="1430-0000 PFC",$C7:$C111,""),IF(J7:J111="1400-0000 PFC",$C7:$C111,""),IF(J7:J111="1430-0000",$C7:$C111,""))</f>
        <v>MILES SR
POH JR
GIOVANA JR
SYLVIA JR
KELLY JR</v>
      </c>
      <c r="T41" s="750" t="str" cm="1">
        <f t="array" ref="T41">_xlfn.TEXTJOIN(CHAR(10),TRUE,IF(K7:K111="1430-0000 PFC",$C7:$C111,""),IF(K7:K111="1400-0000 PFC",$C7:$C111,""),IF(K7:K111="1430-0000",$C7:$C111,""))</f>
        <v>MILES SR
CHRISTINA JR
KELLY JR</v>
      </c>
      <c r="U41" s="788" t="str" cm="1">
        <f t="array" ref="U41">_xlfn.TEXTJOIN(CHAR(10),TRUE,IF(L7:L111="1430-0000 PFC",$C7:$C111,""),IF(L7:L111="1400-0000 PFC",$C7:$C111,""),IF(L7:L111="1430-0000",$C7:$C111,""))</f>
        <v>SHIV IR
POH JR</v>
      </c>
      <c r="W41" s="772">
        <v>7</v>
      </c>
    </row>
    <row r="42" spans="3:23" ht="14.1" customHeight="1">
      <c r="C42" s="504" t="s">
        <v>361</v>
      </c>
      <c r="D42" s="504" t="s">
        <v>116</v>
      </c>
      <c r="E42" s="502">
        <v>623962</v>
      </c>
      <c r="F42" s="344"/>
      <c r="G42" s="8" t="s">
        <v>43</v>
      </c>
      <c r="H42" s="8"/>
      <c r="I42" s="8" t="s">
        <v>33</v>
      </c>
      <c r="J42" s="314"/>
      <c r="K42" s="314"/>
      <c r="L42" s="348"/>
      <c r="N42" s="790"/>
      <c r="O42" s="787"/>
      <c r="P42" s="750"/>
      <c r="Q42" s="750"/>
      <c r="R42" s="750"/>
      <c r="S42" s="750"/>
      <c r="T42" s="750"/>
      <c r="U42" s="788"/>
      <c r="W42" s="772"/>
    </row>
    <row r="43" spans="3:23" ht="14.1" customHeight="1">
      <c r="C43" s="497" t="s">
        <v>362</v>
      </c>
      <c r="D43" s="504" t="s">
        <v>117</v>
      </c>
      <c r="E43" s="508">
        <v>613725</v>
      </c>
      <c r="F43" s="341" t="s">
        <v>33</v>
      </c>
      <c r="G43" s="334"/>
      <c r="H43" s="314"/>
      <c r="I43" s="314"/>
      <c r="J43" s="314" t="s">
        <v>37</v>
      </c>
      <c r="K43" s="314"/>
      <c r="L43" s="334"/>
      <c r="N43" s="790"/>
      <c r="O43" s="787"/>
      <c r="P43" s="750"/>
      <c r="Q43" s="750"/>
      <c r="R43" s="750"/>
      <c r="S43" s="750"/>
      <c r="T43" s="750"/>
      <c r="U43" s="788"/>
      <c r="W43" s="772"/>
    </row>
    <row r="44" spans="3:23" ht="14.1" customHeight="1">
      <c r="C44" s="497" t="s">
        <v>363</v>
      </c>
      <c r="D44" s="504" t="s">
        <v>118</v>
      </c>
      <c r="E44" s="516">
        <v>612264</v>
      </c>
      <c r="F44" s="344"/>
      <c r="G44" s="314"/>
      <c r="H44" s="314"/>
      <c r="I44" s="314" t="s">
        <v>34</v>
      </c>
      <c r="J44" s="314" t="s">
        <v>38</v>
      </c>
      <c r="K44" s="314"/>
      <c r="L44" s="336"/>
      <c r="N44" s="790"/>
      <c r="O44" s="787"/>
      <c r="P44" s="750"/>
      <c r="Q44" s="750"/>
      <c r="R44" s="750"/>
      <c r="S44" s="750"/>
      <c r="T44" s="750"/>
      <c r="U44" s="788"/>
      <c r="W44" s="772"/>
    </row>
    <row r="45" spans="3:23" ht="14.1" customHeight="1">
      <c r="C45" s="497" t="s">
        <v>364</v>
      </c>
      <c r="D45" s="497" t="s">
        <v>119</v>
      </c>
      <c r="E45" s="502">
        <v>643950</v>
      </c>
      <c r="F45" s="344"/>
      <c r="G45" s="334"/>
      <c r="H45" s="314"/>
      <c r="I45" s="334"/>
      <c r="J45" s="334"/>
      <c r="K45" s="314" t="s">
        <v>38</v>
      </c>
      <c r="L45" s="336" t="s">
        <v>46</v>
      </c>
      <c r="N45" s="790"/>
      <c r="O45" s="787"/>
      <c r="P45" s="750"/>
      <c r="Q45" s="750"/>
      <c r="R45" s="750"/>
      <c r="S45" s="750"/>
      <c r="T45" s="750"/>
      <c r="U45" s="788"/>
      <c r="W45" s="772"/>
    </row>
    <row r="46" spans="3:23" ht="14.1" customHeight="1">
      <c r="C46" s="79" t="s">
        <v>365</v>
      </c>
      <c r="D46" s="723" t="s">
        <v>120</v>
      </c>
      <c r="E46" s="502">
        <v>618881</v>
      </c>
      <c r="F46" s="328" t="s">
        <v>30</v>
      </c>
      <c r="G46" s="329"/>
      <c r="H46" s="329"/>
      <c r="I46" s="329"/>
      <c r="J46" s="329"/>
      <c r="K46" s="329"/>
      <c r="L46" s="330"/>
      <c r="N46" s="790"/>
      <c r="O46" s="787"/>
      <c r="P46" s="750"/>
      <c r="Q46" s="750"/>
      <c r="R46" s="750"/>
      <c r="S46" s="750"/>
      <c r="T46" s="750"/>
      <c r="U46" s="788"/>
      <c r="W46" s="772"/>
    </row>
    <row r="47" spans="3:23" ht="14.1" customHeight="1">
      <c r="C47" s="497" t="s">
        <v>366</v>
      </c>
      <c r="D47" s="497" t="s">
        <v>122</v>
      </c>
      <c r="E47" s="508">
        <v>141658</v>
      </c>
      <c r="F47" s="355" t="s">
        <v>98</v>
      </c>
      <c r="G47" s="356"/>
      <c r="H47" s="356"/>
      <c r="I47" s="356"/>
      <c r="J47" s="356"/>
      <c r="K47" s="356"/>
      <c r="L47" s="384"/>
      <c r="N47" s="791"/>
      <c r="O47" s="787"/>
      <c r="P47" s="750"/>
      <c r="Q47" s="750"/>
      <c r="R47" s="750"/>
      <c r="S47" s="750"/>
      <c r="T47" s="750"/>
      <c r="U47" s="788"/>
      <c r="W47" s="101"/>
    </row>
    <row r="48" spans="3:23" ht="14.1" customHeight="1">
      <c r="C48" s="511" t="s">
        <v>367</v>
      </c>
      <c r="D48" s="504" t="s">
        <v>123</v>
      </c>
      <c r="E48" s="516">
        <v>654004</v>
      </c>
      <c r="F48" s="328" t="s">
        <v>30</v>
      </c>
      <c r="G48" s="329"/>
      <c r="H48" s="329"/>
      <c r="I48" s="329"/>
      <c r="J48" s="329"/>
      <c r="K48" s="329"/>
      <c r="L48" s="330"/>
      <c r="N48" s="528" t="s">
        <v>368</v>
      </c>
      <c r="O48" s="228" t="str">
        <f t="shared" ref="O48:U48" si="14">INDEX($C7:$L189,MATCH("*PHJ*",F7:F192,0),1)</f>
        <v>DESLIN JR</v>
      </c>
      <c r="P48" s="229" t="str">
        <f t="shared" si="14"/>
        <v>SUBARNA JR</v>
      </c>
      <c r="Q48" s="229" t="str">
        <f t="shared" si="14"/>
        <v>KELLY JR</v>
      </c>
      <c r="R48" s="229" t="str">
        <f t="shared" si="14"/>
        <v>CLARE JR</v>
      </c>
      <c r="S48" s="229" t="str">
        <f t="shared" si="14"/>
        <v>CHRISTOPHER JR</v>
      </c>
      <c r="T48" s="229" t="str">
        <f t="shared" si="14"/>
        <v>DESLIN JR</v>
      </c>
      <c r="U48" s="230" t="e">
        <f t="shared" si="14"/>
        <v>#N/A</v>
      </c>
      <c r="V48" s="34" t="s">
        <v>369</v>
      </c>
      <c r="W48" s="89">
        <v>1</v>
      </c>
    </row>
    <row r="49" spans="3:23" ht="14.1" customHeight="1">
      <c r="C49" s="511" t="s">
        <v>370</v>
      </c>
      <c r="D49" s="504" t="s">
        <v>124</v>
      </c>
      <c r="E49" s="516">
        <v>655191</v>
      </c>
      <c r="F49" s="529" t="s">
        <v>371</v>
      </c>
      <c r="G49" s="314" t="s">
        <v>36</v>
      </c>
      <c r="H49" s="46"/>
      <c r="I49" s="334" t="s">
        <v>125</v>
      </c>
      <c r="J49" s="334"/>
      <c r="K49" s="314"/>
      <c r="L49" s="336"/>
      <c r="N49" s="792" t="s">
        <v>325</v>
      </c>
      <c r="O49" s="812" t="str" cm="1">
        <f t="array" ref="O49">_xlfn.TEXTJOIN(CHAR(10),TRUE,_xlfn._xlws.FILTER($C7:$C181,RIGHT(F7:F181,LEN("pSSJ"))="pSSJ",""))</f>
        <v>WILL HMO</v>
      </c>
      <c r="P49" s="812" t="str" cm="1">
        <f t="array" ref="P49">_xlfn.TEXTJOIN(CHAR(10),TRUE,_xlfn._xlws.FILTER($C7:$C181,RIGHT(G7:G181,LEN("pSSJ"))="pSSJ",""))</f>
        <v>AARON B. HMO</v>
      </c>
      <c r="Q49" s="812" t="str" cm="1">
        <f t="array" ref="Q49">_xlfn.TEXTJOIN(CHAR(10),TRUE,_xlfn._xlws.FILTER($C7:$C181,RIGHT(H7:H181,LEN("pSSJ"))="pSSJ",""))</f>
        <v>LISA HMO</v>
      </c>
      <c r="R49" s="812" t="str" cm="1">
        <f t="array" ref="R49">_xlfn.TEXTJOIN(CHAR(10),TRUE,_xlfn._xlws.FILTER($C7:$C181,RIGHT(I7:I181,LEN("pSSJ"))="pSSJ",""))</f>
        <v>MIKEY HMO</v>
      </c>
      <c r="S49" s="812" t="str" cm="1">
        <f t="array" ref="S49">_xlfn.TEXTJOIN(CHAR(10),TRUE,_xlfn._xlws.FILTER($C7:$C181,RIGHT(J7:J181,LEN("pSSJ"))="pSSJ",""))</f>
        <v>PIN HMO</v>
      </c>
      <c r="T49" s="812" t="str" cm="1">
        <f t="array" ref="T49">_xlfn.TEXTJOIN(CHAR(10),TRUE,_xlfn._xlws.FILTER($C7:$C181,RIGHT(K7:K181,LEN("pSSJ"))="pSSJ",""))</f>
        <v>PHILLIP HMO</v>
      </c>
      <c r="U49" s="812" t="str" cm="1">
        <f t="array" ref="U49">_xlfn.TEXTJOIN(CHAR(10),TRUE,_xlfn._xlws.FILTER($C7:$C181,RIGHT(L7:L181,LEN("pSSJ"))="pSSJ",""))</f>
        <v>MILOS HMO</v>
      </c>
      <c r="V49" s="34" t="s">
        <v>372</v>
      </c>
      <c r="W49" s="772">
        <v>2</v>
      </c>
    </row>
    <row r="50" spans="3:23" ht="14.1" customHeight="1">
      <c r="C50" s="511" t="s">
        <v>373</v>
      </c>
      <c r="D50" s="504" t="s">
        <v>126</v>
      </c>
      <c r="E50" s="516">
        <v>653055</v>
      </c>
      <c r="F50" s="334"/>
      <c r="G50" s="21" t="s">
        <v>37</v>
      </c>
      <c r="H50" s="21" t="s">
        <v>34</v>
      </c>
      <c r="I50" s="21"/>
      <c r="J50" s="334"/>
      <c r="K50" s="390"/>
      <c r="L50" s="398"/>
      <c r="N50" s="792"/>
      <c r="O50" s="812"/>
      <c r="P50" s="812"/>
      <c r="Q50" s="812"/>
      <c r="R50" s="812"/>
      <c r="S50" s="812"/>
      <c r="T50" s="812"/>
      <c r="U50" s="812"/>
      <c r="W50" s="772"/>
    </row>
    <row r="51" spans="3:23" ht="14.1" customHeight="1">
      <c r="C51" s="497" t="s">
        <v>374</v>
      </c>
      <c r="D51" s="340" t="s">
        <v>128</v>
      </c>
      <c r="E51" s="502">
        <v>650059</v>
      </c>
      <c r="F51" s="399"/>
      <c r="G51" s="334"/>
      <c r="H51" s="390" t="s">
        <v>33</v>
      </c>
      <c r="I51" s="390" t="s">
        <v>37</v>
      </c>
      <c r="J51" s="334"/>
      <c r="K51" s="390"/>
      <c r="L51" s="391"/>
      <c r="N51" s="733" t="s">
        <v>330</v>
      </c>
      <c r="O51" s="737" t="str" cm="1">
        <f t="array" ref="O51">_xlfn.TEXTJOIN(CHAR(10),TRUE,IF(F112:F185="1430-0000",$C112:$C181,""))</f>
        <v>BRIANNA HMO
AARON G. HMO
AARON B. HMO
BRIER HMO
Ann INT</v>
      </c>
      <c r="P51" s="740" t="str" cm="1">
        <f t="array" ref="P51">_xlfn.TEXTJOIN(CHAR(10),TRUE,IF(G112:G185="1430-0000",$C112:$C181,""))</f>
        <v>BRIANNA HMO
ANKUSH HMO
LISA HMO
BRIER HMO
WILL HMO
Ann INT
Daniel INT</v>
      </c>
      <c r="Q51" s="740" t="str" cm="1">
        <f t="array" ref="Q51">_xlfn.TEXTJOIN(CHAR(10),TRUE,IF(H112:H185="1430-0000",$C112:$C181,""))</f>
        <v>BRIANNA HMO
AARON B. HMO
BRIER HMO
WILL HMO
Daniel INT
Sarah C. INT</v>
      </c>
      <c r="R51" s="740" t="str" cm="1">
        <f t="array" ref="R51">_xlfn.TEXTJOIN(CHAR(10),TRUE,IF(I112:I185="1430-0000",$C112:$C181,""))</f>
        <v>BRENDAN HMO
ZOBIA HMO
MARYAM HMO
Ann INT
Elliott INT
Daniel INT</v>
      </c>
      <c r="S51" s="740" t="str" cm="1">
        <f t="array" ref="S51">_xlfn.TEXTJOIN(CHAR(10),TRUE,IF(J112:J185="1430-0000",$C112:$C181,""))</f>
        <v>BRENDAN HMO
MIKEY HMO
MARYAM HMO
Sarah W. INT
Ann INT
Elliott INT</v>
      </c>
      <c r="T51" s="740" t="str" cm="1">
        <f t="array" ref="T51">_xlfn.TEXTJOIN(CHAR(10),TRUE,IF(K112:K185="1430-0000",$C112:$C181,""))</f>
        <v>ANKUSH HMO
MILOS HMO
FADIA HMO
PIN HMO
Ranusha INT
Daniel INT</v>
      </c>
      <c r="U51" s="764" t="str" cm="1">
        <f t="array" ref="U51">_xlfn.TEXTJOIN(CHAR(10),TRUE,IF(L112:L185="1430-0000",$C112:$C181,""))</f>
        <v>BRIANNA HMO
PHILLIP HMO
FADIA HMO
PIN HMO
Sarah W. INT
Ranusha INT</v>
      </c>
      <c r="W51" s="772">
        <v>8</v>
      </c>
    </row>
    <row r="52" spans="3:23" ht="14.1" customHeight="1">
      <c r="C52" s="497" t="s">
        <v>375</v>
      </c>
      <c r="D52" s="340" t="s">
        <v>129</v>
      </c>
      <c r="E52" s="502">
        <v>703067</v>
      </c>
      <c r="F52" s="334"/>
      <c r="G52" s="390" t="s">
        <v>33</v>
      </c>
      <c r="H52" s="387"/>
      <c r="I52" s="334"/>
      <c r="J52" s="390" t="s">
        <v>46</v>
      </c>
      <c r="K52" s="390"/>
      <c r="L52" s="391"/>
      <c r="N52" s="734"/>
      <c r="O52" s="737"/>
      <c r="P52" s="740"/>
      <c r="Q52" s="740"/>
      <c r="R52" s="740"/>
      <c r="S52" s="740"/>
      <c r="T52" s="740"/>
      <c r="U52" s="764"/>
      <c r="W52" s="772"/>
    </row>
    <row r="53" spans="3:23" ht="14.1" customHeight="1">
      <c r="C53" s="497" t="s">
        <v>376</v>
      </c>
      <c r="D53" s="340" t="s">
        <v>132</v>
      </c>
      <c r="E53" s="502">
        <v>703495</v>
      </c>
      <c r="F53" s="399"/>
      <c r="G53" s="387"/>
      <c r="H53" s="387"/>
      <c r="I53" s="390" t="s">
        <v>33</v>
      </c>
      <c r="J53" s="390" t="s">
        <v>41</v>
      </c>
      <c r="K53" s="390"/>
      <c r="L53" s="391"/>
      <c r="N53" s="734"/>
      <c r="O53" s="737"/>
      <c r="P53" s="740"/>
      <c r="Q53" s="740"/>
      <c r="R53" s="740"/>
      <c r="S53" s="740"/>
      <c r="T53" s="740"/>
      <c r="U53" s="764"/>
      <c r="W53" s="772"/>
    </row>
    <row r="54" spans="3:23" ht="14.1" customHeight="1">
      <c r="C54" s="504" t="s">
        <v>377</v>
      </c>
      <c r="D54" s="504" t="s">
        <v>133</v>
      </c>
      <c r="E54" s="502">
        <v>578275</v>
      </c>
      <c r="F54" s="344"/>
      <c r="G54" s="326"/>
      <c r="H54" s="334"/>
      <c r="I54" s="326"/>
      <c r="J54" s="314"/>
      <c r="K54" s="314"/>
      <c r="L54" s="336"/>
      <c r="N54" s="734"/>
      <c r="O54" s="737"/>
      <c r="P54" s="740"/>
      <c r="Q54" s="740"/>
      <c r="R54" s="740"/>
      <c r="S54" s="740"/>
      <c r="T54" s="740"/>
      <c r="U54" s="764"/>
      <c r="W54" s="772"/>
    </row>
    <row r="55" spans="3:23" ht="14.1" customHeight="1">
      <c r="C55" s="504" t="s">
        <v>378</v>
      </c>
      <c r="D55" s="497" t="s">
        <v>135</v>
      </c>
      <c r="E55" s="502">
        <v>644237</v>
      </c>
      <c r="F55" s="323" t="s">
        <v>28</v>
      </c>
      <c r="G55" s="324"/>
      <c r="H55" s="324"/>
      <c r="I55" s="324"/>
      <c r="J55" s="324"/>
      <c r="K55" s="324"/>
      <c r="L55" s="325"/>
      <c r="N55" s="734"/>
      <c r="O55" s="737"/>
      <c r="P55" s="740"/>
      <c r="Q55" s="740"/>
      <c r="R55" s="740"/>
      <c r="S55" s="740"/>
      <c r="T55" s="740"/>
      <c r="U55" s="764"/>
      <c r="W55" s="772"/>
    </row>
    <row r="56" spans="3:23" ht="14.1" customHeight="1">
      <c r="C56" s="497" t="s">
        <v>379</v>
      </c>
      <c r="D56" s="504" t="s">
        <v>136</v>
      </c>
      <c r="E56" s="502">
        <v>634259</v>
      </c>
      <c r="F56" s="344"/>
      <c r="G56" s="314"/>
      <c r="H56" s="314" t="s">
        <v>35</v>
      </c>
      <c r="I56" s="314"/>
      <c r="J56" s="314"/>
      <c r="K56" s="314"/>
      <c r="L56" s="336"/>
      <c r="N56" s="734"/>
      <c r="O56" s="737"/>
      <c r="P56" s="740"/>
      <c r="Q56" s="740"/>
      <c r="R56" s="740"/>
      <c r="S56" s="740"/>
      <c r="T56" s="740"/>
      <c r="U56" s="764"/>
      <c r="W56" s="772"/>
    </row>
    <row r="57" spans="3:23" ht="14.1" customHeight="1">
      <c r="C57" s="497" t="s">
        <v>380</v>
      </c>
      <c r="D57" s="526" t="s">
        <v>137</v>
      </c>
      <c r="E57" s="502">
        <v>418439</v>
      </c>
      <c r="F57" s="399"/>
      <c r="G57" s="21"/>
      <c r="H57" s="21" t="s">
        <v>40</v>
      </c>
      <c r="I57" s="21"/>
      <c r="J57" s="390"/>
      <c r="K57" s="390"/>
      <c r="L57" s="398"/>
      <c r="N57" s="734"/>
      <c r="O57" s="737"/>
      <c r="P57" s="740"/>
      <c r="Q57" s="740"/>
      <c r="R57" s="740"/>
      <c r="S57" s="740"/>
      <c r="T57" s="740"/>
      <c r="U57" s="764"/>
      <c r="W57" s="772"/>
    </row>
    <row r="58" spans="3:23" ht="14.1" customHeight="1">
      <c r="C58" s="511" t="s">
        <v>381</v>
      </c>
      <c r="D58" s="526" t="s">
        <v>138</v>
      </c>
      <c r="E58" s="498">
        <v>650974</v>
      </c>
      <c r="F58" s="341"/>
      <c r="G58" s="8"/>
      <c r="H58" s="8"/>
      <c r="I58" s="8"/>
      <c r="J58" s="314"/>
      <c r="K58" s="314"/>
      <c r="L58" s="348"/>
      <c r="N58" s="735"/>
      <c r="O58" s="737"/>
      <c r="P58" s="740"/>
      <c r="Q58" s="740"/>
      <c r="R58" s="740"/>
      <c r="S58" s="740"/>
      <c r="T58" s="740"/>
      <c r="U58" s="764"/>
      <c r="W58" s="772"/>
    </row>
    <row r="59" spans="3:23" ht="14.1" customHeight="1">
      <c r="C59" s="511" t="s">
        <v>382</v>
      </c>
      <c r="D59" s="526" t="s">
        <v>383</v>
      </c>
      <c r="E59" s="498">
        <v>541888</v>
      </c>
      <c r="F59" s="341"/>
      <c r="G59" s="8"/>
      <c r="H59" s="8"/>
      <c r="I59" s="464" t="s">
        <v>342</v>
      </c>
      <c r="J59" s="314"/>
      <c r="K59" s="314"/>
      <c r="L59" s="348"/>
      <c r="N59" s="239"/>
      <c r="O59" s="243"/>
      <c r="P59" s="243"/>
      <c r="Q59" s="243"/>
      <c r="R59" s="243"/>
      <c r="S59" s="243"/>
      <c r="T59" s="243"/>
      <c r="U59" s="243"/>
      <c r="W59" s="89"/>
    </row>
    <row r="60" spans="3:23" ht="14.1" customHeight="1">
      <c r="C60" s="530"/>
      <c r="D60" s="514"/>
      <c r="E60" s="515"/>
      <c r="F60" s="341"/>
      <c r="G60" s="314"/>
      <c r="H60" s="314"/>
      <c r="I60" s="314"/>
      <c r="J60" s="314"/>
      <c r="K60" s="314"/>
      <c r="L60" s="336"/>
      <c r="N60" s="742" t="s">
        <v>384</v>
      </c>
      <c r="O60" s="810" t="str" cm="1">
        <f t="array" ref="O60">_xlfn.TEXTJOIN(CHAR(10),TRUE,_xlfn._xlws.FILTER($C7:$C181,RIGHT(F7:F181,LEN("SWP"))="SWP",""))</f>
        <v/>
      </c>
      <c r="P60" s="810" t="str" cm="1">
        <f t="array" ref="P60">_xlfn.TEXTJOIN(CHAR(10),TRUE,_xlfn._xlws.FILTER($C7:$C181,RIGHT(G7:G181,LEN("SWP"))="SWP",""))</f>
        <v/>
      </c>
      <c r="Q60" s="810" t="str" cm="1">
        <f t="array" ref="Q60">_xlfn.TEXTJOIN(CHAR(10),TRUE,_xlfn._xlws.FILTER($C7:$C181,RIGHT(H7:H181,LEN("SWP"))="SWP",""))</f>
        <v>CHRISTOPHER JR</v>
      </c>
      <c r="R60" s="810" t="str" cm="1">
        <f t="array" ref="R60">_xlfn.TEXTJOIN(CHAR(10),TRUE,_xlfn._xlws.FILTER($C7:$C181,RIGHT(I7:I181,LEN("SWP"))="SWP",""))</f>
        <v>AARON B. HMO</v>
      </c>
      <c r="S60" s="810" t="str" cm="1">
        <f t="array" ref="S60">_xlfn.TEXTJOIN(CHAR(10),TRUE,_xlfn._xlws.FILTER($C7:$C181,RIGHT(J7:J181,LEN("SWP"))="SWP",""))</f>
        <v>ZOBIA HMO</v>
      </c>
      <c r="T60" s="810" t="str" cm="1">
        <f t="array" ref="T60">_xlfn.TEXTJOIN(CHAR(10),TRUE,_xlfn._xlws.FILTER($C7:$C181,RIGHT(K7:K181,LEN("SWP"))="SWP",""))</f>
        <v/>
      </c>
      <c r="U60" s="810" t="str" cm="1">
        <f t="array" ref="U60">_xlfn.TEXTJOIN(CHAR(10),TRUE,_xlfn._xlws.FILTER($C7:$C181,RIGHT(L7:L181,LEN("SWP"))="SWP",""))</f>
        <v/>
      </c>
      <c r="V60" s="34" t="s">
        <v>385</v>
      </c>
      <c r="W60" s="89">
        <v>4</v>
      </c>
    </row>
    <row r="61" spans="3:23" ht="14.1" customHeight="1">
      <c r="C61" s="531"/>
      <c r="D61" s="532"/>
      <c r="E61" s="533"/>
      <c r="F61" s="341"/>
      <c r="G61" s="314"/>
      <c r="H61" s="314"/>
      <c r="I61" s="314"/>
      <c r="J61" s="314"/>
      <c r="K61" s="314"/>
      <c r="L61" s="336"/>
      <c r="N61" s="743"/>
      <c r="O61" s="810"/>
      <c r="P61" s="810"/>
      <c r="Q61" s="810"/>
      <c r="R61" s="810"/>
      <c r="S61" s="810"/>
      <c r="T61" s="810"/>
      <c r="U61" s="810"/>
      <c r="W61" s="89"/>
    </row>
    <row r="62" spans="3:23" ht="14.1" customHeight="1">
      <c r="C62" s="530" t="s">
        <v>345</v>
      </c>
      <c r="D62" s="530" t="s">
        <v>345</v>
      </c>
      <c r="E62" s="534"/>
      <c r="F62" s="133" t="s">
        <v>142</v>
      </c>
      <c r="G62" s="404" t="s">
        <v>142</v>
      </c>
      <c r="H62" s="404" t="s">
        <v>386</v>
      </c>
      <c r="I62" s="404" t="s">
        <v>142</v>
      </c>
      <c r="J62" s="404" t="s">
        <v>387</v>
      </c>
      <c r="K62" s="9"/>
      <c r="L62" s="33"/>
      <c r="N62" s="743"/>
      <c r="O62" s="810"/>
      <c r="P62" s="810"/>
      <c r="Q62" s="810"/>
      <c r="R62" s="810"/>
      <c r="S62" s="810"/>
      <c r="T62" s="810"/>
      <c r="U62" s="810"/>
      <c r="W62" s="89"/>
    </row>
    <row r="63" spans="3:23" ht="14.1" customHeight="1">
      <c r="C63" s="31"/>
      <c r="D63" s="31"/>
      <c r="E63" s="534"/>
      <c r="F63" s="28"/>
      <c r="G63" s="29"/>
      <c r="H63" s="29"/>
      <c r="I63" s="29"/>
      <c r="J63" s="29"/>
      <c r="K63" s="29"/>
      <c r="L63" s="30"/>
      <c r="N63" s="744"/>
      <c r="O63" s="810"/>
      <c r="P63" s="810"/>
      <c r="Q63" s="810"/>
      <c r="R63" s="810"/>
      <c r="S63" s="810"/>
      <c r="T63" s="810"/>
      <c r="U63" s="810"/>
      <c r="W63" s="89"/>
    </row>
    <row r="64" spans="3:23" ht="14.1" customHeight="1">
      <c r="C64" s="63"/>
      <c r="D64" s="411" t="s">
        <v>145</v>
      </c>
      <c r="E64" s="534"/>
      <c r="F64" s="314">
        <f>COUNTIF(F7:F61,"0800-*")+COUNTIF(F7:F61,"0730-*")-COUNTIF(F7:F61,"*0800-1730 CS*")-COUNTIF(F7:F61,"*0800-1730 PHNW*")-COUNTIF(F7:F61,"*0800-1730 DEMT*")-COUNTIF(F7:F61,"*0800-1730 EXAM*")-COUNTIF(F7:F61,"*0800-1800 CS*")-COUNTIF(F7:F61,"*0800-1800 PHNW*")</f>
        <v>4</v>
      </c>
      <c r="G64" s="314">
        <f>COUNTIF(G7:G61,"0800-*")+COUNTIF(G7:G61,"0730-*")-COUNTIF(G7:G61,"*0800-1730 CS*")-COUNTIF(G7:G61,"*0800-1730 PHNW*")-COUNTIF(G7:G61,"*0800-1730 DEMT*")-COUNTIF(G7:G61,"*0800-1730 EXAM*")-COUNTIF(G7:G61,"*0800-1800 CS*")-COUNTIF(G7:G61,"*0800-1800 PHNW*")</f>
        <v>5</v>
      </c>
      <c r="H64" s="314">
        <f>COUNTIF(H7:H61,"0800-*")+COUNTIF(H7:H61,"0730-*")-COUNTIF(H7:H61,"*0800-1730 CS*")-COUNTIF(H7:H61,"*0800-1730 PHNW*")-COUNTIF(H7:H61,"*0800-1730 DEMT*")-COUNTIF(H7:H61,"*0800-1730 EXAM*")-COUNTIF(H7:H61,"*0800-1800 CS*")-COUNTIF(H7:H61,"*0800-1800 PHNW*")</f>
        <v>4</v>
      </c>
      <c r="I64" s="314">
        <f>COUNTIF(I7:I61,"0800-*")+COUNTIF(I7:I61,"0730-*")-COUNTIF(I7:I61,"*0800-1730 CS*")-COUNTIF(I7:I61,"*0800-1730 PHNW*")-COUNTIF(I7:I61,"*0800-1730 DEMT*")-COUNTIF(I7:I61,"*0800-1730 EXAM*")-COUNTIF(I7:I61,"*0800-1800 CS*")-COUNTIF(I7:I61,"*0800-1800 PHNW*")</f>
        <v>3</v>
      </c>
      <c r="J64" s="314">
        <f>COUNTIF(J7:J61,"0800-*")+COUNTIF(J7:J61,"0730-*")-COUNTIF(J7:J61,"*0800-1730 CS*")-COUNTIF(J7:J61,"*0800-1730 PHNW*")-COUNTIF(J7:J61,"*0800-1730 DEMT*")-COUNTIF(J7:J61,"*0800-1730 EXAM*")-COUNTIF(J7:J61,"*0800-1800 CS*")-COUNTIF(J7:J61,"*0800-1800 PHNW*")</f>
        <v>6</v>
      </c>
      <c r="K64" s="314">
        <f>COUNTIF(K7:K61,"0800-*")+COUNTIF(K7:K61,"0730-*")</f>
        <v>5</v>
      </c>
      <c r="L64" s="336">
        <f>COUNTIF(L7:L61,"0800-*")+COUNTIF(L7:L61,"0730-*")</f>
        <v>4</v>
      </c>
      <c r="N64" s="106"/>
      <c r="O64" s="34"/>
      <c r="P64" s="34"/>
      <c r="Q64" s="34"/>
      <c r="R64" s="34"/>
      <c r="S64" s="34"/>
      <c r="T64" s="34"/>
      <c r="U64" s="34"/>
      <c r="W64" s="89"/>
    </row>
    <row r="65" spans="3:23" ht="14.1" customHeight="1" thickBot="1">
      <c r="C65" s="535"/>
      <c r="D65" s="411" t="s">
        <v>146</v>
      </c>
      <c r="E65" s="534"/>
      <c r="F65" s="341">
        <f t="shared" ref="F65:L65" si="15">COUNTIF(F7:F62,"*0000*")</f>
        <v>5</v>
      </c>
      <c r="G65" s="314">
        <f t="shared" si="15"/>
        <v>4</v>
      </c>
      <c r="H65" s="314">
        <f t="shared" si="15"/>
        <v>5</v>
      </c>
      <c r="I65" s="314">
        <f t="shared" si="15"/>
        <v>4</v>
      </c>
      <c r="J65" s="314">
        <f t="shared" si="15"/>
        <v>4</v>
      </c>
      <c r="K65" s="314">
        <f t="shared" si="15"/>
        <v>4</v>
      </c>
      <c r="L65" s="336">
        <f t="shared" si="15"/>
        <v>4</v>
      </c>
      <c r="N65" s="106"/>
      <c r="O65" s="796" t="s">
        <v>388</v>
      </c>
      <c r="P65" s="797"/>
      <c r="Q65" s="797"/>
      <c r="R65" s="797"/>
      <c r="S65" s="797"/>
      <c r="T65" s="797"/>
      <c r="U65" s="798"/>
      <c r="W65" s="89" t="s">
        <v>389</v>
      </c>
    </row>
    <row r="66" spans="3:23" ht="14.1" customHeight="1">
      <c r="C66" s="407" t="s">
        <v>147</v>
      </c>
      <c r="D66" s="407" t="s">
        <v>147</v>
      </c>
      <c r="E66" s="534"/>
      <c r="F66" s="408"/>
      <c r="G66" s="409"/>
      <c r="H66" s="409"/>
      <c r="I66" s="409"/>
      <c r="J66" s="409" t="s">
        <v>115</v>
      </c>
      <c r="K66" s="409"/>
      <c r="L66" s="410"/>
      <c r="N66" s="104" t="s">
        <v>390</v>
      </c>
      <c r="O66" s="107" t="str">
        <f t="shared" ref="O66:U66" si="16">INDEX($C7:$L189,MATCH("*N1*",F7:F192,0),1)</f>
        <v>ANA CMO</v>
      </c>
      <c r="P66" s="108" t="str">
        <f t="shared" si="16"/>
        <v>ANA CMO</v>
      </c>
      <c r="Q66" s="108" t="str">
        <f t="shared" si="16"/>
        <v>AMY SR</v>
      </c>
      <c r="R66" s="108" t="str">
        <f t="shared" si="16"/>
        <v>AMY SR</v>
      </c>
      <c r="S66" s="108" t="str">
        <f t="shared" si="16"/>
        <v>AMY SR</v>
      </c>
      <c r="T66" s="108" t="str">
        <f t="shared" si="16"/>
        <v>WILLIAM SR</v>
      </c>
      <c r="U66" s="109" t="str">
        <f t="shared" si="16"/>
        <v>WILLIAM SR</v>
      </c>
      <c r="V66" s="89"/>
      <c r="W66" s="106">
        <v>1</v>
      </c>
    </row>
    <row r="67" spans="3:23" ht="14.1" customHeight="1">
      <c r="C67" s="411" t="s">
        <v>391</v>
      </c>
      <c r="D67" s="411" t="s">
        <v>148</v>
      </c>
      <c r="E67" s="536">
        <v>609268</v>
      </c>
      <c r="F67" s="341"/>
      <c r="G67" s="334"/>
      <c r="H67" s="314" t="s">
        <v>149</v>
      </c>
      <c r="I67" s="314" t="s">
        <v>32</v>
      </c>
      <c r="J67" s="314"/>
      <c r="K67" s="314" t="s">
        <v>46</v>
      </c>
      <c r="L67" s="336" t="s">
        <v>35</v>
      </c>
      <c r="N67" s="749" t="s">
        <v>392</v>
      </c>
      <c r="O67" s="746" t="str" cm="1">
        <f t="array" ref="O67">_xlfn.TEXTJOIN(CHAR(10),TRUE,IF(F7:F185="2300-0900",$C7:$C181,""),IF(F7:F185="2300-0830",$C7:$C181,""))</f>
        <v>CRAIG JR
MASON HMO
CHRIS HMO
HARRISON HMO
Raxanna INT</v>
      </c>
      <c r="P67" s="748" t="str" cm="1">
        <f t="array" ref="P67">_xlfn.TEXTJOIN(CHAR(10),TRUE,IF(G7:G185="2300-0900",$C7:$C181,""),IF(G7:G185="2300-0830",$C7:$C181,""))</f>
        <v>CRAIG JR
JEROME JR
VISHNU HMO
CHRIS HMO
Arushi INT</v>
      </c>
      <c r="Q67" s="748" t="str" cm="1">
        <f t="array" ref="Q67">_xlfn.TEXTJOIN(CHAR(10),TRUE,IF(H7:H185="2300-0900",$C7:$C181,""),IF(H7:H185="2300-0830",$C7:$C181,""))</f>
        <v>CRAIG JR
JEROME JR
MASON HMO
HARRISON HMO
Arushi INT</v>
      </c>
      <c r="R67" s="748" t="str" cm="1">
        <f t="array" ref="R67">_xlfn.TEXTJOIN(CHAR(10),TRUE,IF(I7:I185="2300-0900",$C7:$C181,""),IF(I7:I185="2300-0830",$C7:$C181,""))</f>
        <v>CRAIG JR
JEROME JR
VISHNU HMO
CHRIS HMO
Arushi INT</v>
      </c>
      <c r="S67" s="748" t="str" cm="1">
        <f t="array" ref="S67">_xlfn.TEXTJOIN(CHAR(10),TRUE,IF(J7:J185="2300-0900",$C7:$C181,""),IF(J7:J185="2300-0830",$C7:$C181,""))</f>
        <v>PAUL JR
LAURA JR
AARON G. HMO
SUMEDH HMO
Sarah C. INT</v>
      </c>
      <c r="T67" s="748" t="str" cm="1">
        <f t="array" ref="T67">_xlfn.TEXTJOIN(CHAR(10),TRUE,IF(K7:K185="2300-0900",$C7:$C181,""),IF(K7:K185="2300-0830",$C7:$C181,""))</f>
        <v>PAUL JR
LAURA JR
AREEBA HMO
AARON N. HMO
Sarah C. INT</v>
      </c>
      <c r="U67" s="767" t="str" cm="1">
        <f t="array" ref="U67">_xlfn.TEXTJOIN(CHAR(10),TRUE,IF(L7:L185="2300-0900",$C7:$C181,""),IF(L7:L185="2300-0830",$C7:$C181,""))</f>
        <v>PAUL JR
SUBARNA JR
AARON G. HMO
Sarah C. INT</v>
      </c>
      <c r="W67" s="89">
        <v>9</v>
      </c>
    </row>
    <row r="68" spans="3:23" ht="14.1" customHeight="1">
      <c r="C68" s="411" t="s">
        <v>393</v>
      </c>
      <c r="D68" s="411" t="s">
        <v>152</v>
      </c>
      <c r="E68" s="537">
        <v>517752</v>
      </c>
      <c r="F68" s="341"/>
      <c r="G68" s="314"/>
      <c r="H68" s="314" t="s">
        <v>153</v>
      </c>
      <c r="I68" s="314"/>
      <c r="J68" s="314"/>
      <c r="K68" s="314"/>
      <c r="L68" s="336"/>
      <c r="N68" s="749"/>
      <c r="O68" s="746"/>
      <c r="P68" s="748"/>
      <c r="Q68" s="748"/>
      <c r="R68" s="748"/>
      <c r="S68" s="748"/>
      <c r="T68" s="748"/>
      <c r="U68" s="767"/>
      <c r="W68" s="89"/>
    </row>
    <row r="69" spans="3:23" ht="14.1" customHeight="1">
      <c r="C69" s="411" t="s">
        <v>394</v>
      </c>
      <c r="D69" s="411" t="s">
        <v>154</v>
      </c>
      <c r="E69" s="537">
        <v>609129</v>
      </c>
      <c r="F69" s="381"/>
      <c r="G69" s="350"/>
      <c r="H69" s="314" t="s">
        <v>91</v>
      </c>
      <c r="I69" s="350"/>
      <c r="J69" s="350"/>
      <c r="K69" s="314"/>
      <c r="L69" s="336" t="s">
        <v>91</v>
      </c>
      <c r="N69" s="749"/>
      <c r="O69" s="746"/>
      <c r="P69" s="748"/>
      <c r="Q69" s="748"/>
      <c r="R69" s="748"/>
      <c r="S69" s="748"/>
      <c r="T69" s="748"/>
      <c r="U69" s="767"/>
      <c r="W69" s="89"/>
    </row>
    <row r="70" spans="3:23" ht="14.1" customHeight="1">
      <c r="C70" s="411" t="s">
        <v>395</v>
      </c>
      <c r="D70" s="538" t="s">
        <v>156</v>
      </c>
      <c r="E70" s="539">
        <v>636554</v>
      </c>
      <c r="F70" s="341" t="s">
        <v>32</v>
      </c>
      <c r="G70" s="314"/>
      <c r="H70" s="314" t="s">
        <v>149</v>
      </c>
      <c r="I70" s="314"/>
      <c r="J70" s="314"/>
      <c r="K70" s="314"/>
      <c r="L70" s="336"/>
      <c r="N70" s="749"/>
      <c r="O70" s="746"/>
      <c r="P70" s="748"/>
      <c r="Q70" s="748"/>
      <c r="R70" s="748"/>
      <c r="S70" s="748"/>
      <c r="T70" s="748"/>
      <c r="U70" s="767"/>
      <c r="W70" s="89"/>
    </row>
    <row r="71" spans="3:23" ht="14.1" customHeight="1" thickBot="1">
      <c r="C71" s="837"/>
      <c r="D71" s="49"/>
      <c r="E71" s="534"/>
      <c r="F71" s="838"/>
      <c r="G71" s="839"/>
      <c r="H71" s="839"/>
      <c r="I71" s="839"/>
      <c r="J71" s="839"/>
      <c r="K71" s="839"/>
      <c r="L71" s="840"/>
      <c r="N71" s="749"/>
      <c r="O71" s="746"/>
      <c r="P71" s="748"/>
      <c r="Q71" s="748"/>
      <c r="R71" s="748"/>
      <c r="S71" s="748"/>
      <c r="T71" s="748"/>
      <c r="U71" s="767"/>
      <c r="W71" s="89"/>
    </row>
    <row r="72" spans="3:23" ht="14.1" customHeight="1">
      <c r="C72" s="724" t="s">
        <v>157</v>
      </c>
      <c r="D72" s="540" t="s">
        <v>157</v>
      </c>
      <c r="E72" s="54"/>
      <c r="F72" s="725"/>
      <c r="G72" s="726"/>
      <c r="H72" s="726"/>
      <c r="I72" s="726"/>
      <c r="J72" s="726"/>
      <c r="K72" s="726"/>
      <c r="L72" s="727"/>
      <c r="N72" s="749"/>
      <c r="O72" s="746"/>
      <c r="P72" s="748"/>
      <c r="Q72" s="748"/>
      <c r="R72" s="748"/>
      <c r="S72" s="748"/>
      <c r="T72" s="748"/>
      <c r="U72" s="767"/>
      <c r="W72" s="89"/>
    </row>
    <row r="73" spans="3:23" ht="14.1" customHeight="1">
      <c r="C73" s="541" t="s">
        <v>396</v>
      </c>
      <c r="D73" s="182" t="s">
        <v>159</v>
      </c>
      <c r="E73" s="416">
        <v>628440</v>
      </c>
      <c r="F73" s="417" t="s">
        <v>31</v>
      </c>
      <c r="G73" s="417"/>
      <c r="H73" s="417"/>
      <c r="I73" s="417"/>
      <c r="J73" s="417"/>
      <c r="K73" s="417"/>
      <c r="L73" s="418"/>
      <c r="N73" s="749"/>
      <c r="O73" s="746"/>
      <c r="P73" s="748"/>
      <c r="Q73" s="748"/>
      <c r="R73" s="748"/>
      <c r="S73" s="748"/>
      <c r="T73" s="748"/>
      <c r="U73" s="767"/>
      <c r="W73" s="89"/>
    </row>
    <row r="74" spans="3:23" ht="14.1" customHeight="1">
      <c r="C74" s="541" t="s">
        <v>397</v>
      </c>
      <c r="D74" s="183" t="s">
        <v>164</v>
      </c>
      <c r="E74" s="416">
        <v>653976</v>
      </c>
      <c r="F74" s="424"/>
      <c r="G74" s="421" t="s">
        <v>46</v>
      </c>
      <c r="H74" s="420"/>
      <c r="I74" s="421" t="s">
        <v>149</v>
      </c>
      <c r="J74" s="421" t="s">
        <v>150</v>
      </c>
      <c r="K74" s="421" t="s">
        <v>150</v>
      </c>
      <c r="L74" s="422"/>
      <c r="N74" s="749"/>
      <c r="O74" s="746"/>
      <c r="P74" s="748"/>
      <c r="Q74" s="748"/>
      <c r="R74" s="748"/>
      <c r="S74" s="748"/>
      <c r="T74" s="748"/>
      <c r="U74" s="767"/>
      <c r="W74" s="89"/>
    </row>
    <row r="75" spans="3:23" ht="14.1" customHeight="1">
      <c r="C75" s="85" t="s">
        <v>398</v>
      </c>
      <c r="D75" s="184" t="s">
        <v>166</v>
      </c>
      <c r="E75" s="416">
        <v>654362</v>
      </c>
      <c r="F75" s="421" t="s">
        <v>150</v>
      </c>
      <c r="G75" s="423"/>
      <c r="H75" s="421"/>
      <c r="I75" s="421"/>
      <c r="J75" s="542" t="s">
        <v>342</v>
      </c>
      <c r="K75" s="542" t="s">
        <v>317</v>
      </c>
      <c r="L75" s="542" t="s">
        <v>317</v>
      </c>
      <c r="N75" s="749"/>
      <c r="O75" s="746"/>
      <c r="P75" s="748"/>
      <c r="Q75" s="748"/>
      <c r="R75" s="748"/>
      <c r="S75" s="748"/>
      <c r="T75" s="748"/>
      <c r="U75" s="767"/>
      <c r="W75" s="89"/>
    </row>
    <row r="76" spans="3:23" ht="14.1" customHeight="1">
      <c r="C76" s="69" t="s">
        <v>399</v>
      </c>
      <c r="D76" s="184" t="s">
        <v>168</v>
      </c>
      <c r="E76" s="416">
        <v>615829</v>
      </c>
      <c r="F76" s="424"/>
      <c r="G76" s="421" t="s">
        <v>149</v>
      </c>
      <c r="H76" s="421" t="s">
        <v>150</v>
      </c>
      <c r="I76" s="421" t="s">
        <v>150</v>
      </c>
      <c r="J76" s="421"/>
      <c r="K76" s="424"/>
      <c r="L76" s="426"/>
      <c r="N76" s="528" t="s">
        <v>368</v>
      </c>
      <c r="O76" s="228" t="str">
        <f t="shared" ref="O76:U76" si="17">INDEX($C10:$L191,MATCH("*NHJ*",F10:F194,0),1)</f>
        <v>VISHNU HMO</v>
      </c>
      <c r="P76" s="229" t="str">
        <f t="shared" si="17"/>
        <v>HARRISON HMO</v>
      </c>
      <c r="Q76" s="229" t="str">
        <f t="shared" si="17"/>
        <v>CHRIS HMO</v>
      </c>
      <c r="R76" s="229" t="str">
        <f t="shared" si="17"/>
        <v>MASON HMO</v>
      </c>
      <c r="S76" s="229" t="str">
        <f t="shared" si="17"/>
        <v>AARON N. HMO</v>
      </c>
      <c r="T76" s="229" t="e">
        <f t="shared" si="17"/>
        <v>#N/A</v>
      </c>
      <c r="U76" s="230" t="str">
        <f t="shared" si="17"/>
        <v>BRENDAN HMO</v>
      </c>
      <c r="V76" s="34" t="s">
        <v>400</v>
      </c>
      <c r="W76" s="89">
        <v>1</v>
      </c>
    </row>
    <row r="77" spans="3:23" ht="14.1" customHeight="1">
      <c r="C77" s="541" t="s">
        <v>401</v>
      </c>
      <c r="D77" s="841" t="s">
        <v>170</v>
      </c>
      <c r="E77" s="416">
        <v>619567</v>
      </c>
      <c r="F77" s="420"/>
      <c r="G77" s="420"/>
      <c r="H77" s="421" t="s">
        <v>161</v>
      </c>
      <c r="I77" s="421" t="s">
        <v>161</v>
      </c>
      <c r="J77" s="421" t="s">
        <v>161</v>
      </c>
      <c r="K77" s="420"/>
      <c r="L77" s="422"/>
      <c r="N77" s="768" t="s">
        <v>325</v>
      </c>
      <c r="O77" s="812" t="str" cm="1">
        <f t="array" ref="O77">_xlfn.TEXTJOIN(CHAR(10),TRUE,_xlfn._xlws.FILTER($C7:$C181,RIGHT(F7:F181,LEN("nSSJ"))="nSSJ",""))</f>
        <v>HANNAH IR
MILOS HMO</v>
      </c>
      <c r="P77" s="812" t="str" cm="1">
        <f t="array" ref="P77">_xlfn.TEXTJOIN(CHAR(10),TRUE,_xlfn._xlws.FILTER($C7:$C181,RIGHT(G7:G181,LEN("nSSJ"))="nSSJ",""))</f>
        <v>HANNAH IR</v>
      </c>
      <c r="Q77" s="812" t="str" cm="1">
        <f t="array" ref="Q77">_xlfn.TEXTJOIN(CHAR(10),TRUE,_xlfn._xlws.FILTER($C7:$C181,RIGHT(H7:H181,LEN("nSSJ"))="nSSJ",""))</f>
        <v>HANNAH IR
VISHNU HMO</v>
      </c>
      <c r="R77" s="812" t="str" cm="1">
        <f t="array" ref="R77">_xlfn.TEXTJOIN(CHAR(10),TRUE,_xlfn._xlws.FILTER($C7:$C181,RIGHT(I7:I181,LEN("nSSJ"))="nSSJ",""))</f>
        <v>HANNAH IR
HARRISON HMO</v>
      </c>
      <c r="S77" s="812" t="str" cm="1">
        <f t="array" ref="S77">_xlfn.TEXTJOIN(CHAR(10),TRUE,_xlfn._xlws.FILTER($C7:$C181,RIGHT(J7:J181,LEN("nSSJ"))="nSSJ",""))</f>
        <v>MIKHAR IR
AREEBA HMO</v>
      </c>
      <c r="T77" s="812" t="str" cm="1">
        <f t="array" ref="T77">_xlfn.TEXTJOIN(CHAR(10),TRUE,_xlfn._xlws.FILTER($C7:$C181,RIGHT(K7:K181,LEN("nSSJ"))="nSSJ",""))</f>
        <v>MIKHAR IR
AARON G. HMO</v>
      </c>
      <c r="U77" s="812" t="str" cm="1">
        <f t="array" ref="U77">_xlfn.TEXTJOIN(CHAR(10),TRUE,_xlfn._xlws.FILTER($C7:$C181,RIGHT(L7:L181,LEN("nSSJ"))="nSSJ",""))</f>
        <v>MIKHAR IR
AARON N. HMO</v>
      </c>
      <c r="V77" s="34" t="s">
        <v>402</v>
      </c>
      <c r="W77" s="89">
        <v>2</v>
      </c>
    </row>
    <row r="78" spans="3:23" ht="14.1" customHeight="1">
      <c r="C78" s="543" t="s">
        <v>403</v>
      </c>
      <c r="D78" s="183" t="s">
        <v>171</v>
      </c>
      <c r="E78" s="416">
        <v>626157</v>
      </c>
      <c r="F78" s="421" t="s">
        <v>150</v>
      </c>
      <c r="G78" s="420"/>
      <c r="H78" s="420"/>
      <c r="I78" s="421"/>
      <c r="J78" s="420"/>
      <c r="K78" s="424"/>
      <c r="L78" s="421" t="s">
        <v>404</v>
      </c>
      <c r="N78" s="769"/>
      <c r="O78" s="812"/>
      <c r="P78" s="812"/>
      <c r="Q78" s="812"/>
      <c r="R78" s="812"/>
      <c r="S78" s="812"/>
      <c r="T78" s="812"/>
      <c r="U78" s="812"/>
      <c r="W78" s="89"/>
    </row>
    <row r="79" spans="3:23" ht="14.1" customHeight="1">
      <c r="C79" s="69" t="s">
        <v>405</v>
      </c>
      <c r="D79" s="185" t="s">
        <v>173</v>
      </c>
      <c r="E79" s="416">
        <v>645122</v>
      </c>
      <c r="F79" s="420"/>
      <c r="G79" s="420"/>
      <c r="H79" s="420"/>
      <c r="I79" s="420"/>
      <c r="J79" s="420"/>
      <c r="K79" s="421" t="s">
        <v>161</v>
      </c>
      <c r="L79" s="421" t="s">
        <v>161</v>
      </c>
      <c r="N79" s="842" t="s">
        <v>406</v>
      </c>
      <c r="O79" s="110" t="str">
        <f t="shared" ref="O79:U79" si="18">INDEX($C7:$L189,MATCH("*PRC",F7:F192,0),1)</f>
        <v>JIMMY SMS</v>
      </c>
      <c r="P79" s="111" t="str">
        <f t="shared" si="18"/>
        <v>CHAMARA SMS</v>
      </c>
      <c r="Q79" s="111" t="str">
        <f t="shared" si="18"/>
        <v>ANDREW H SMS</v>
      </c>
      <c r="R79" s="111" t="str">
        <f t="shared" si="18"/>
        <v>TARA J. SMS</v>
      </c>
      <c r="S79" s="111" t="str">
        <f t="shared" si="18"/>
        <v>MINA SMS</v>
      </c>
      <c r="T79" s="111" t="str">
        <f t="shared" si="18"/>
        <v>CHAMARA SMS</v>
      </c>
      <c r="U79" s="111" t="str">
        <f t="shared" si="18"/>
        <v>TITUS CMO</v>
      </c>
      <c r="W79" s="89"/>
    </row>
    <row r="80" spans="3:23" ht="14.1" customHeight="1" thickBot="1">
      <c r="C80" s="543" t="s">
        <v>407</v>
      </c>
      <c r="D80" s="186" t="s">
        <v>174</v>
      </c>
      <c r="E80" s="416">
        <v>615820</v>
      </c>
      <c r="F80" s="430"/>
      <c r="G80" s="430"/>
      <c r="H80" s="430"/>
      <c r="I80" s="430"/>
      <c r="J80" s="430"/>
      <c r="K80" s="430"/>
      <c r="L80" s="430"/>
      <c r="N80" s="106"/>
      <c r="O80" s="89"/>
      <c r="T80" s="843" t="str">
        <f>INDEX($C7:$L190,MATCH("*PGC",K7:K193,0),1)</f>
        <v>MADDY SMS</v>
      </c>
      <c r="U80" s="844" t="str">
        <f>INDEX($C8:$L190,MATCH("*PGC",L8:L193,0),1)</f>
        <v>ANASTASIA SMS</v>
      </c>
    </row>
    <row r="81" spans="3:22" ht="14.1" customHeight="1">
      <c r="C81" s="541" t="s">
        <v>408</v>
      </c>
      <c r="D81" s="544" t="s">
        <v>175</v>
      </c>
      <c r="E81" s="416">
        <v>624174</v>
      </c>
      <c r="F81" s="421" t="s">
        <v>161</v>
      </c>
      <c r="G81" s="421" t="s">
        <v>161</v>
      </c>
      <c r="H81" s="424"/>
      <c r="I81" s="424"/>
      <c r="J81" s="424"/>
      <c r="K81" s="420"/>
      <c r="L81" s="422"/>
      <c r="O81" s="89"/>
      <c r="V81" s="89"/>
    </row>
    <row r="82" spans="3:22" ht="14.1" customHeight="1">
      <c r="C82" s="543"/>
      <c r="D82" s="545"/>
      <c r="E82" s="385"/>
      <c r="F82" s="421"/>
      <c r="G82" s="421"/>
      <c r="H82" s="420"/>
      <c r="I82" s="420"/>
      <c r="J82" s="420"/>
      <c r="K82" s="420"/>
      <c r="L82" s="422"/>
      <c r="O82" s="89"/>
      <c r="V82" s="89"/>
    </row>
    <row r="83" spans="3:22" ht="14.1" customHeight="1">
      <c r="C83" s="728" t="s">
        <v>176</v>
      </c>
      <c r="D83" s="728" t="s">
        <v>176</v>
      </c>
      <c r="E83" s="146"/>
      <c r="F83" s="729"/>
      <c r="G83" s="729"/>
      <c r="H83" s="729"/>
      <c r="I83" s="729"/>
      <c r="J83" s="729"/>
      <c r="K83" s="729"/>
      <c r="L83" s="729"/>
      <c r="O83" s="89"/>
      <c r="V83" s="89"/>
    </row>
    <row r="84" spans="3:22" ht="14.1" customHeight="1">
      <c r="C84" s="411" t="s">
        <v>409</v>
      </c>
      <c r="D84" s="546" t="s">
        <v>177</v>
      </c>
      <c r="E84" s="416">
        <v>637990</v>
      </c>
      <c r="F84" s="314" t="s">
        <v>178</v>
      </c>
      <c r="G84" s="314" t="s">
        <v>178</v>
      </c>
      <c r="H84" s="314" t="s">
        <v>178</v>
      </c>
      <c r="I84" s="314" t="s">
        <v>178</v>
      </c>
      <c r="J84" s="423"/>
      <c r="K84" s="423"/>
      <c r="L84" s="423"/>
      <c r="O84" s="89"/>
      <c r="V84" s="89"/>
    </row>
    <row r="85" spans="3:22" ht="14.1" customHeight="1">
      <c r="C85" s="86" t="s">
        <v>410</v>
      </c>
      <c r="D85" s="184" t="s">
        <v>179</v>
      </c>
      <c r="E85" s="416">
        <v>652867</v>
      </c>
      <c r="F85" s="421" t="s">
        <v>150</v>
      </c>
      <c r="G85" s="434"/>
      <c r="H85" s="434"/>
      <c r="I85" s="434"/>
      <c r="J85" s="421" t="s">
        <v>149</v>
      </c>
      <c r="K85" s="421" t="s">
        <v>149</v>
      </c>
      <c r="L85" s="421" t="s">
        <v>149</v>
      </c>
      <c r="O85" s="89"/>
      <c r="V85" s="89"/>
    </row>
    <row r="86" spans="3:22" ht="14.1" customHeight="1">
      <c r="C86" s="543" t="s">
        <v>411</v>
      </c>
      <c r="D86" s="547" t="s">
        <v>180</v>
      </c>
      <c r="E86" s="416">
        <v>638831</v>
      </c>
      <c r="F86" s="419" t="s">
        <v>181</v>
      </c>
      <c r="G86" s="420"/>
      <c r="H86" s="420"/>
      <c r="I86" s="423"/>
      <c r="J86" s="314" t="s">
        <v>178</v>
      </c>
      <c r="K86" s="314" t="s">
        <v>178</v>
      </c>
      <c r="L86" s="314" t="s">
        <v>178</v>
      </c>
      <c r="O86" s="89"/>
      <c r="V86" s="89"/>
    </row>
    <row r="87" spans="3:22" ht="14.1" customHeight="1">
      <c r="C87" s="411" t="s">
        <v>412</v>
      </c>
      <c r="D87" s="548" t="s">
        <v>182</v>
      </c>
      <c r="E87" s="416">
        <v>631314</v>
      </c>
      <c r="F87" s="426"/>
      <c r="G87" s="421" t="s">
        <v>150</v>
      </c>
      <c r="H87" s="423"/>
      <c r="I87" s="423"/>
      <c r="J87" s="420"/>
      <c r="K87" s="420"/>
      <c r="L87" s="421" t="s">
        <v>413</v>
      </c>
      <c r="O87" s="89"/>
      <c r="V87" s="89"/>
    </row>
    <row r="88" spans="3:22" ht="14.1" customHeight="1">
      <c r="C88" s="69" t="s">
        <v>414</v>
      </c>
      <c r="D88" s="548" t="s">
        <v>185</v>
      </c>
      <c r="E88" s="416">
        <v>631732</v>
      </c>
      <c r="F88" s="421" t="s">
        <v>149</v>
      </c>
      <c r="G88" s="424"/>
      <c r="H88" s="420"/>
      <c r="I88" s="420"/>
      <c r="J88" s="420"/>
      <c r="K88" s="421"/>
      <c r="L88" s="421" t="s">
        <v>150</v>
      </c>
      <c r="O88" s="89"/>
      <c r="V88" s="89"/>
    </row>
    <row r="89" spans="3:22" ht="14.1" customHeight="1">
      <c r="C89" s="541" t="s">
        <v>415</v>
      </c>
      <c r="D89" s="549" t="s">
        <v>186</v>
      </c>
      <c r="E89" s="416">
        <v>634876</v>
      </c>
      <c r="F89" s="421"/>
      <c r="G89" s="421" t="s">
        <v>149</v>
      </c>
      <c r="H89" s="421" t="s">
        <v>150</v>
      </c>
      <c r="I89" s="426"/>
      <c r="J89" s="422"/>
      <c r="K89" s="426"/>
      <c r="L89" s="426"/>
      <c r="O89" s="89"/>
      <c r="V89" s="89"/>
    </row>
    <row r="90" spans="3:22" ht="14.1" customHeight="1">
      <c r="C90" s="541"/>
      <c r="D90" s="187"/>
      <c r="E90" s="136"/>
      <c r="F90" s="421"/>
      <c r="G90" s="421"/>
      <c r="H90" s="421"/>
      <c r="I90" s="422"/>
      <c r="J90" s="422"/>
      <c r="K90" s="422"/>
      <c r="L90" s="422"/>
      <c r="O90" s="89"/>
      <c r="V90" s="89"/>
    </row>
    <row r="91" spans="3:22" ht="14.1" customHeight="1">
      <c r="C91" s="4" t="s">
        <v>189</v>
      </c>
      <c r="D91" s="4" t="s">
        <v>189</v>
      </c>
      <c r="E91" s="136"/>
      <c r="F91" s="444"/>
      <c r="G91" s="444"/>
      <c r="H91" s="444"/>
      <c r="I91" s="444"/>
      <c r="J91" s="444"/>
      <c r="K91" s="444"/>
      <c r="L91" s="444"/>
      <c r="O91" s="89"/>
    </row>
    <row r="92" spans="3:22" ht="14.1" customHeight="1">
      <c r="C92" s="69" t="s">
        <v>416</v>
      </c>
      <c r="D92" s="188" t="s">
        <v>190</v>
      </c>
      <c r="E92" s="416">
        <v>648620</v>
      </c>
      <c r="F92" s="434"/>
      <c r="G92" s="445" t="s">
        <v>149</v>
      </c>
      <c r="H92" s="420"/>
      <c r="I92" s="445" t="s">
        <v>149</v>
      </c>
      <c r="J92" s="420"/>
      <c r="K92" s="421" t="s">
        <v>150</v>
      </c>
      <c r="L92" s="421" t="s">
        <v>163</v>
      </c>
      <c r="O92" s="34"/>
      <c r="P92" s="34"/>
      <c r="Q92" s="34"/>
      <c r="R92" s="34"/>
      <c r="S92" s="34"/>
      <c r="T92" s="34"/>
      <c r="U92" s="34"/>
    </row>
    <row r="93" spans="3:22" ht="14.1" customHeight="1">
      <c r="C93" s="550" t="s">
        <v>417</v>
      </c>
      <c r="D93" s="189" t="s">
        <v>193</v>
      </c>
      <c r="E93" s="416">
        <v>652357</v>
      </c>
      <c r="F93" s="424"/>
      <c r="G93" s="434"/>
      <c r="H93" s="421" t="s">
        <v>150</v>
      </c>
      <c r="I93" s="421" t="s">
        <v>191</v>
      </c>
      <c r="J93" s="421"/>
      <c r="K93" s="445" t="s">
        <v>149</v>
      </c>
      <c r="L93" s="445" t="s">
        <v>194</v>
      </c>
      <c r="O93" s="34"/>
      <c r="P93" s="34"/>
      <c r="Q93" s="34"/>
      <c r="R93" s="34"/>
      <c r="S93" s="34"/>
      <c r="T93" s="34"/>
      <c r="U93" s="34"/>
    </row>
    <row r="94" spans="3:22" ht="14.1" customHeight="1">
      <c r="C94" s="69" t="s">
        <v>418</v>
      </c>
      <c r="D94" s="551" t="s">
        <v>196</v>
      </c>
      <c r="E94" s="416">
        <v>703714</v>
      </c>
      <c r="F94" s="447" t="s">
        <v>197</v>
      </c>
      <c r="G94" s="445" t="s">
        <v>149</v>
      </c>
      <c r="H94" s="419" t="s">
        <v>167</v>
      </c>
      <c r="I94" s="421" t="s">
        <v>150</v>
      </c>
      <c r="J94" s="421" t="s">
        <v>191</v>
      </c>
      <c r="K94" s="448"/>
      <c r="L94" s="448"/>
      <c r="O94" s="89"/>
    </row>
    <row r="95" spans="3:22" ht="14.1" customHeight="1">
      <c r="C95" s="87" t="s">
        <v>419</v>
      </c>
      <c r="D95" s="189" t="s">
        <v>198</v>
      </c>
      <c r="E95" s="416">
        <v>655089</v>
      </c>
      <c r="F95" s="421" t="s">
        <v>191</v>
      </c>
      <c r="G95" s="421" t="s">
        <v>150</v>
      </c>
      <c r="H95" s="421"/>
      <c r="I95" s="423"/>
      <c r="J95" s="421" t="s">
        <v>163</v>
      </c>
      <c r="K95" s="421" t="s">
        <v>191</v>
      </c>
      <c r="L95" s="422"/>
      <c r="O95" s="34"/>
      <c r="P95" s="34"/>
      <c r="Q95" s="34"/>
      <c r="R95" s="34"/>
      <c r="S95" s="34"/>
    </row>
    <row r="96" spans="3:22" ht="14.1" customHeight="1">
      <c r="C96" s="69" t="s">
        <v>420</v>
      </c>
      <c r="D96" s="190" t="s">
        <v>199</v>
      </c>
      <c r="E96" s="416">
        <v>649364</v>
      </c>
      <c r="F96" s="447" t="s">
        <v>197</v>
      </c>
      <c r="G96" s="448"/>
      <c r="H96" s="314"/>
      <c r="I96" s="421" t="s">
        <v>413</v>
      </c>
      <c r="J96" s="421" t="s">
        <v>150</v>
      </c>
      <c r="K96" s="423"/>
      <c r="L96" s="421" t="s">
        <v>150</v>
      </c>
      <c r="O96" s="89"/>
    </row>
    <row r="97" spans="3:15" ht="14.1" customHeight="1">
      <c r="C97" s="543" t="s">
        <v>421</v>
      </c>
      <c r="D97" s="191" t="s">
        <v>200</v>
      </c>
      <c r="E97" s="416">
        <v>700872</v>
      </c>
      <c r="F97" s="447" t="s">
        <v>197</v>
      </c>
      <c r="G97" s="419" t="s">
        <v>163</v>
      </c>
      <c r="H97" s="421" t="s">
        <v>150</v>
      </c>
      <c r="I97" s="421" t="s">
        <v>150</v>
      </c>
      <c r="J97" s="421" t="s">
        <v>150</v>
      </c>
      <c r="K97" s="422"/>
      <c r="L97" s="421"/>
      <c r="O97" s="89"/>
    </row>
    <row r="98" spans="3:15" ht="14.1" customHeight="1">
      <c r="C98" s="543" t="s">
        <v>422</v>
      </c>
      <c r="D98" s="552" t="s">
        <v>202</v>
      </c>
      <c r="E98" s="416">
        <v>703861</v>
      </c>
      <c r="F98" s="447" t="s">
        <v>203</v>
      </c>
      <c r="G98" s="421"/>
      <c r="H98" s="421"/>
      <c r="I98" s="421" t="s">
        <v>149</v>
      </c>
      <c r="J98" s="421" t="s">
        <v>149</v>
      </c>
      <c r="K98" s="421" t="s">
        <v>149</v>
      </c>
      <c r="L98" s="421"/>
      <c r="O98" s="89"/>
    </row>
    <row r="99" spans="3:15" ht="14.1" customHeight="1">
      <c r="C99" s="543" t="s">
        <v>423</v>
      </c>
      <c r="D99" s="192" t="s">
        <v>204</v>
      </c>
      <c r="E99" s="416">
        <v>652868</v>
      </c>
      <c r="F99" s="417" t="s">
        <v>31</v>
      </c>
      <c r="G99" s="417"/>
      <c r="H99" s="417"/>
      <c r="I99" s="417"/>
      <c r="J99" s="417"/>
      <c r="K99" s="417"/>
      <c r="L99" s="418"/>
      <c r="O99" s="89"/>
    </row>
    <row r="100" spans="3:15" ht="14.1" customHeight="1">
      <c r="C100" s="543" t="s">
        <v>424</v>
      </c>
      <c r="D100" s="189" t="s">
        <v>205</v>
      </c>
      <c r="E100" s="416">
        <v>652998</v>
      </c>
      <c r="F100" s="417" t="s">
        <v>31</v>
      </c>
      <c r="G100" s="417"/>
      <c r="H100" s="417"/>
      <c r="I100" s="417"/>
      <c r="J100" s="417"/>
      <c r="K100" s="417"/>
      <c r="L100" s="418"/>
      <c r="O100" s="89"/>
    </row>
    <row r="101" spans="3:15" ht="14.1" customHeight="1">
      <c r="C101" s="543" t="s">
        <v>425</v>
      </c>
      <c r="D101" s="193" t="s">
        <v>206</v>
      </c>
      <c r="E101" s="416">
        <v>654959</v>
      </c>
      <c r="F101" s="421" t="s">
        <v>192</v>
      </c>
      <c r="G101" s="421" t="s">
        <v>192</v>
      </c>
      <c r="H101" s="421" t="s">
        <v>192</v>
      </c>
      <c r="I101" s="421" t="s">
        <v>192</v>
      </c>
      <c r="J101" s="422"/>
      <c r="K101" s="422"/>
      <c r="L101" s="422"/>
      <c r="O101" s="89"/>
    </row>
    <row r="102" spans="3:15" ht="14.1" customHeight="1">
      <c r="C102" s="85" t="s">
        <v>426</v>
      </c>
      <c r="D102" s="551" t="s">
        <v>207</v>
      </c>
      <c r="E102" s="416">
        <v>654981</v>
      </c>
      <c r="F102" s="445" t="s">
        <v>149</v>
      </c>
      <c r="G102" s="421" t="s">
        <v>150</v>
      </c>
      <c r="H102" s="423"/>
      <c r="I102" s="423"/>
      <c r="J102" s="421" t="s">
        <v>150</v>
      </c>
      <c r="K102" s="422"/>
      <c r="L102" s="422"/>
      <c r="O102" s="89"/>
    </row>
    <row r="103" spans="3:15" ht="14.1" customHeight="1">
      <c r="C103" s="85" t="s">
        <v>427</v>
      </c>
      <c r="D103" s="553" t="s">
        <v>208</v>
      </c>
      <c r="E103" s="416">
        <v>703795</v>
      </c>
      <c r="F103" s="424"/>
      <c r="G103" s="421" t="s">
        <v>150</v>
      </c>
      <c r="H103" s="420"/>
      <c r="I103" s="445" t="s">
        <v>149</v>
      </c>
      <c r="J103" s="445" t="s">
        <v>149</v>
      </c>
      <c r="K103" s="420"/>
      <c r="L103" s="420"/>
      <c r="O103" s="89"/>
    </row>
    <row r="104" spans="3:15" ht="14.1" customHeight="1">
      <c r="C104" s="730" t="s">
        <v>428</v>
      </c>
      <c r="D104" s="551" t="s">
        <v>209</v>
      </c>
      <c r="E104" s="416">
        <v>652364</v>
      </c>
      <c r="F104" s="426"/>
      <c r="G104" s="421"/>
      <c r="H104" s="421"/>
      <c r="I104" s="421"/>
      <c r="J104" s="421" t="s">
        <v>192</v>
      </c>
      <c r="K104" s="421" t="s">
        <v>192</v>
      </c>
      <c r="L104" s="421" t="s">
        <v>192</v>
      </c>
      <c r="O104" s="89"/>
    </row>
    <row r="105" spans="3:15" ht="14.1" customHeight="1">
      <c r="C105" s="543" t="s">
        <v>429</v>
      </c>
      <c r="D105" s="551" t="s">
        <v>210</v>
      </c>
      <c r="E105" s="416">
        <v>644433</v>
      </c>
      <c r="F105" s="423"/>
      <c r="G105" s="423"/>
      <c r="H105" s="422"/>
      <c r="I105" s="422"/>
      <c r="J105" s="421" t="s">
        <v>192</v>
      </c>
      <c r="K105" s="421" t="s">
        <v>192</v>
      </c>
      <c r="L105" s="422"/>
      <c r="O105" s="89"/>
    </row>
    <row r="106" spans="3:15" ht="14.1" customHeight="1">
      <c r="C106" s="87" t="s">
        <v>430</v>
      </c>
      <c r="D106" s="551" t="s">
        <v>211</v>
      </c>
      <c r="E106" s="416">
        <v>650602</v>
      </c>
      <c r="F106" s="417" t="s">
        <v>31</v>
      </c>
      <c r="G106" s="417"/>
      <c r="H106" s="417"/>
      <c r="I106" s="417"/>
      <c r="J106" s="417"/>
      <c r="K106" s="417"/>
      <c r="L106" s="418"/>
      <c r="O106" s="89"/>
    </row>
    <row r="107" spans="3:15" ht="14.1" customHeight="1">
      <c r="C107" s="87" t="s">
        <v>431</v>
      </c>
      <c r="D107" s="552" t="s">
        <v>212</v>
      </c>
      <c r="E107" s="416">
        <v>704893</v>
      </c>
      <c r="F107" s="447" t="s">
        <v>213</v>
      </c>
      <c r="G107" s="421" t="s">
        <v>192</v>
      </c>
      <c r="H107" s="421" t="s">
        <v>192</v>
      </c>
      <c r="I107" s="421" t="s">
        <v>192</v>
      </c>
      <c r="J107" s="423"/>
      <c r="K107" s="423"/>
      <c r="L107" s="423"/>
      <c r="O107" s="89"/>
    </row>
    <row r="108" spans="3:15" ht="14.1" customHeight="1">
      <c r="C108" s="87" t="s">
        <v>432</v>
      </c>
      <c r="D108" s="194" t="s">
        <v>214</v>
      </c>
      <c r="E108" s="416">
        <v>636733</v>
      </c>
      <c r="F108" s="447" t="s">
        <v>215</v>
      </c>
      <c r="G108" s="421" t="s">
        <v>191</v>
      </c>
      <c r="H108" s="422"/>
      <c r="I108" s="423"/>
      <c r="J108" s="423"/>
      <c r="K108" s="423"/>
      <c r="L108" s="421" t="s">
        <v>192</v>
      </c>
      <c r="O108" s="89"/>
    </row>
    <row r="109" spans="3:15" ht="14.1" customHeight="1">
      <c r="C109" s="69" t="s">
        <v>433</v>
      </c>
      <c r="D109" s="195" t="s">
        <v>216</v>
      </c>
      <c r="E109" s="156">
        <v>637770</v>
      </c>
      <c r="F109" s="157"/>
      <c r="G109" s="158"/>
      <c r="H109" s="159" t="s">
        <v>191</v>
      </c>
      <c r="I109" s="159" t="s">
        <v>150</v>
      </c>
      <c r="J109" s="159" t="s">
        <v>150</v>
      </c>
      <c r="K109" s="159" t="s">
        <v>150</v>
      </c>
      <c r="L109" s="158"/>
      <c r="O109" s="89"/>
    </row>
    <row r="110" spans="3:15" ht="14.1" customHeight="1">
      <c r="C110" s="543"/>
      <c r="D110" s="554"/>
      <c r="E110" s="385"/>
      <c r="F110" s="422"/>
      <c r="G110" s="420"/>
      <c r="H110" s="421"/>
      <c r="I110" s="421"/>
      <c r="J110" s="421"/>
      <c r="K110" s="421"/>
      <c r="L110" s="420"/>
      <c r="O110" s="89"/>
    </row>
    <row r="111" spans="3:15" ht="15" thickBot="1">
      <c r="C111" s="543"/>
      <c r="D111" s="554"/>
      <c r="E111" s="166"/>
      <c r="F111" s="811" t="s">
        <v>217</v>
      </c>
      <c r="G111" s="803"/>
      <c r="H111" s="803"/>
      <c r="I111" s="803"/>
      <c r="J111" s="803"/>
      <c r="K111" s="803"/>
      <c r="L111" s="804"/>
      <c r="O111" s="89"/>
    </row>
    <row r="112" spans="3:15" ht="14.1" customHeight="1">
      <c r="C112" s="555" t="s">
        <v>434</v>
      </c>
      <c r="D112" s="167" t="s">
        <v>219</v>
      </c>
      <c r="E112" s="114"/>
      <c r="F112" s="168">
        <f t="shared" ref="F112:L112" si="19">F4</f>
        <v>46055</v>
      </c>
      <c r="G112" s="168">
        <f t="shared" si="19"/>
        <v>46056</v>
      </c>
      <c r="H112" s="168">
        <f t="shared" si="19"/>
        <v>46057</v>
      </c>
      <c r="I112" s="168">
        <f t="shared" si="19"/>
        <v>46058</v>
      </c>
      <c r="J112" s="168">
        <f t="shared" si="19"/>
        <v>46059</v>
      </c>
      <c r="K112" s="168">
        <f t="shared" si="19"/>
        <v>46060</v>
      </c>
      <c r="L112" s="168">
        <f t="shared" si="19"/>
        <v>46061</v>
      </c>
      <c r="O112" s="89"/>
    </row>
    <row r="113" spans="3:15" ht="14.1" customHeight="1">
      <c r="C113" s="556" t="s">
        <v>435</v>
      </c>
      <c r="D113" s="557" t="s">
        <v>220</v>
      </c>
      <c r="E113" s="453">
        <v>654686</v>
      </c>
      <c r="F113" s="283" t="s">
        <v>150</v>
      </c>
      <c r="G113" s="720" t="s">
        <v>150</v>
      </c>
      <c r="H113" s="720" t="s">
        <v>150</v>
      </c>
      <c r="I113" s="720"/>
      <c r="J113" s="720"/>
      <c r="K113" s="314"/>
      <c r="L113" s="314" t="s">
        <v>150</v>
      </c>
      <c r="O113" s="89"/>
    </row>
    <row r="114" spans="3:15" ht="14.1" customHeight="1">
      <c r="C114" s="556" t="s">
        <v>436</v>
      </c>
      <c r="D114" s="557" t="s">
        <v>227</v>
      </c>
      <c r="E114" s="453">
        <v>700581</v>
      </c>
      <c r="F114" s="169"/>
      <c r="G114" s="314" t="s">
        <v>150</v>
      </c>
      <c r="H114" s="314"/>
      <c r="I114" s="314" t="s">
        <v>224</v>
      </c>
      <c r="J114" s="314" t="s">
        <v>163</v>
      </c>
      <c r="K114" s="314" t="s">
        <v>150</v>
      </c>
      <c r="L114" s="314"/>
      <c r="O114" s="89"/>
    </row>
    <row r="115" spans="3:15" ht="14.1" customHeight="1">
      <c r="C115" s="88" t="s">
        <v>437</v>
      </c>
      <c r="D115" s="557" t="s">
        <v>228</v>
      </c>
      <c r="E115" s="453">
        <v>700540</v>
      </c>
      <c r="F115" s="169" t="s">
        <v>150</v>
      </c>
      <c r="G115" s="314"/>
      <c r="H115" s="314"/>
      <c r="I115" s="314"/>
      <c r="J115" s="314" t="s">
        <v>222</v>
      </c>
      <c r="K115" s="314" t="s">
        <v>221</v>
      </c>
      <c r="L115" s="314" t="s">
        <v>222</v>
      </c>
      <c r="O115" s="89"/>
    </row>
    <row r="116" spans="3:15" ht="14.1" customHeight="1">
      <c r="C116" s="556" t="s">
        <v>438</v>
      </c>
      <c r="D116" s="557" t="s">
        <v>230</v>
      </c>
      <c r="E116" s="453">
        <v>646665</v>
      </c>
      <c r="F116" s="169" t="s">
        <v>149</v>
      </c>
      <c r="G116" s="314"/>
      <c r="H116" s="314"/>
      <c r="I116" s="314" t="s">
        <v>150</v>
      </c>
      <c r="J116" s="314" t="s">
        <v>150</v>
      </c>
      <c r="K116" s="314"/>
      <c r="L116" s="314" t="s">
        <v>223</v>
      </c>
      <c r="O116" s="89"/>
    </row>
    <row r="117" spans="3:15" ht="14.1" customHeight="1">
      <c r="C117" s="556" t="s">
        <v>439</v>
      </c>
      <c r="D117" s="557" t="s">
        <v>231</v>
      </c>
      <c r="E117" s="453">
        <v>654598</v>
      </c>
      <c r="F117" s="169" t="s">
        <v>150</v>
      </c>
      <c r="G117" s="314" t="s">
        <v>226</v>
      </c>
      <c r="H117" s="314" t="s">
        <v>150</v>
      </c>
      <c r="I117" s="314" t="s">
        <v>167</v>
      </c>
      <c r="J117" s="314"/>
      <c r="K117" s="314"/>
      <c r="L117" s="314"/>
      <c r="O117" s="89"/>
    </row>
    <row r="118" spans="3:15" ht="14.1" customHeight="1">
      <c r="C118" s="556" t="s">
        <v>440</v>
      </c>
      <c r="D118" s="557" t="s">
        <v>232</v>
      </c>
      <c r="E118" s="453">
        <v>700591</v>
      </c>
      <c r="F118" s="169" t="s">
        <v>149</v>
      </c>
      <c r="G118" s="314"/>
      <c r="H118" s="314" t="s">
        <v>149</v>
      </c>
      <c r="I118" s="314"/>
      <c r="J118" s="314" t="s">
        <v>221</v>
      </c>
      <c r="K118" s="314" t="s">
        <v>222</v>
      </c>
      <c r="L118" s="314"/>
      <c r="O118" s="89"/>
    </row>
    <row r="119" spans="3:15" ht="14.1" customHeight="1">
      <c r="C119" s="556" t="s">
        <v>441</v>
      </c>
      <c r="D119" s="557" t="s">
        <v>233</v>
      </c>
      <c r="E119" s="453">
        <v>700648</v>
      </c>
      <c r="F119" s="8" t="s">
        <v>222</v>
      </c>
      <c r="G119" s="464" t="s">
        <v>442</v>
      </c>
      <c r="H119" s="314" t="s">
        <v>222</v>
      </c>
      <c r="I119" s="314" t="s">
        <v>223</v>
      </c>
      <c r="J119" s="314"/>
      <c r="K119" s="314"/>
      <c r="L119" s="314"/>
      <c r="O119" s="89"/>
    </row>
    <row r="120" spans="3:15" ht="14.1" customHeight="1">
      <c r="C120" s="556" t="s">
        <v>443</v>
      </c>
      <c r="D120" s="557" t="s">
        <v>234</v>
      </c>
      <c r="E120" s="453">
        <v>700653</v>
      </c>
      <c r="F120" s="8" t="s">
        <v>221</v>
      </c>
      <c r="G120" s="314"/>
      <c r="H120" s="314"/>
      <c r="I120" s="314"/>
      <c r="J120" s="314"/>
      <c r="K120" s="314" t="s">
        <v>150</v>
      </c>
      <c r="L120" s="314" t="s">
        <v>226</v>
      </c>
      <c r="O120" s="89"/>
    </row>
    <row r="121" spans="3:15" ht="14.1" customHeight="1">
      <c r="C121" s="556" t="s">
        <v>444</v>
      </c>
      <c r="D121" s="557" t="s">
        <v>235</v>
      </c>
      <c r="E121" s="453">
        <v>700604</v>
      </c>
      <c r="F121" s="169"/>
      <c r="G121" s="314"/>
      <c r="H121" s="314"/>
      <c r="I121" s="314"/>
      <c r="J121" s="314" t="s">
        <v>223</v>
      </c>
      <c r="K121" s="314" t="s">
        <v>222</v>
      </c>
      <c r="L121" s="314" t="s">
        <v>221</v>
      </c>
      <c r="O121" s="89"/>
    </row>
    <row r="122" spans="3:15" ht="14.1" customHeight="1">
      <c r="C122" s="556" t="s">
        <v>445</v>
      </c>
      <c r="D122" s="557" t="s">
        <v>236</v>
      </c>
      <c r="E122" s="453">
        <v>655170</v>
      </c>
      <c r="F122" s="8" t="s">
        <v>223</v>
      </c>
      <c r="G122" s="314" t="s">
        <v>222</v>
      </c>
      <c r="H122" s="314" t="s">
        <v>221</v>
      </c>
      <c r="I122" s="314" t="s">
        <v>222</v>
      </c>
      <c r="J122" s="314"/>
      <c r="K122" s="314"/>
      <c r="L122" s="314"/>
      <c r="O122" s="89"/>
    </row>
    <row r="123" spans="3:15" ht="14.1" customHeight="1">
      <c r="C123" s="556" t="s">
        <v>446</v>
      </c>
      <c r="D123" s="557" t="s">
        <v>237</v>
      </c>
      <c r="E123" s="453">
        <v>703000</v>
      </c>
      <c r="F123" s="169"/>
      <c r="G123" s="314" t="s">
        <v>150</v>
      </c>
      <c r="H123" s="314" t="s">
        <v>226</v>
      </c>
      <c r="I123" s="314" t="s">
        <v>163</v>
      </c>
      <c r="J123" s="314"/>
      <c r="K123" s="314" t="s">
        <v>149</v>
      </c>
      <c r="L123" s="314" t="s">
        <v>225</v>
      </c>
      <c r="O123" s="89"/>
    </row>
    <row r="124" spans="3:15" ht="14.1" customHeight="1">
      <c r="C124" s="556" t="s">
        <v>447</v>
      </c>
      <c r="D124" s="557" t="s">
        <v>238</v>
      </c>
      <c r="E124" s="453">
        <v>702770</v>
      </c>
      <c r="F124" s="169"/>
      <c r="G124" s="314" t="s">
        <v>224</v>
      </c>
      <c r="H124" s="314" t="s">
        <v>149</v>
      </c>
      <c r="I124" s="314" t="s">
        <v>150</v>
      </c>
      <c r="J124" s="314" t="s">
        <v>167</v>
      </c>
      <c r="K124" s="314"/>
      <c r="L124" s="314"/>
      <c r="O124" s="89"/>
    </row>
    <row r="125" spans="3:15" ht="14.1" customHeight="1">
      <c r="C125" s="556" t="s">
        <v>448</v>
      </c>
      <c r="D125" s="557" t="s">
        <v>239</v>
      </c>
      <c r="E125" s="453">
        <v>704108</v>
      </c>
      <c r="F125" s="169"/>
      <c r="G125" s="314" t="s">
        <v>225</v>
      </c>
      <c r="H125" s="314" t="s">
        <v>149</v>
      </c>
      <c r="I125" s="314"/>
      <c r="J125" s="314"/>
      <c r="K125" s="314" t="s">
        <v>226</v>
      </c>
      <c r="L125" s="314" t="s">
        <v>150</v>
      </c>
      <c r="O125" s="89"/>
    </row>
    <row r="126" spans="3:15" ht="14.1" customHeight="1">
      <c r="C126" s="556" t="s">
        <v>449</v>
      </c>
      <c r="D126" s="557" t="s">
        <v>240</v>
      </c>
      <c r="E126" s="453">
        <v>700734</v>
      </c>
      <c r="F126" s="8" t="s">
        <v>222</v>
      </c>
      <c r="G126" s="314" t="s">
        <v>222</v>
      </c>
      <c r="H126" s="314" t="s">
        <v>223</v>
      </c>
      <c r="I126" s="314" t="s">
        <v>222</v>
      </c>
      <c r="J126" s="314"/>
      <c r="K126" s="314"/>
      <c r="L126" s="314"/>
      <c r="O126" s="89"/>
    </row>
    <row r="127" spans="3:15" ht="14.1" customHeight="1">
      <c r="C127" s="556" t="s">
        <v>450</v>
      </c>
      <c r="D127" s="557" t="s">
        <v>241</v>
      </c>
      <c r="E127" s="453">
        <v>702035</v>
      </c>
      <c r="F127" s="169"/>
      <c r="G127" s="314"/>
      <c r="H127" s="314"/>
      <c r="I127" s="314" t="s">
        <v>225</v>
      </c>
      <c r="J127" s="314" t="s">
        <v>224</v>
      </c>
      <c r="K127" s="314" t="s">
        <v>150</v>
      </c>
      <c r="L127" s="314" t="s">
        <v>150</v>
      </c>
      <c r="O127" s="89"/>
    </row>
    <row r="128" spans="3:15" ht="14.1" customHeight="1">
      <c r="C128" s="556" t="s">
        <v>451</v>
      </c>
      <c r="D128" s="557" t="s">
        <v>242</v>
      </c>
      <c r="E128" s="453">
        <v>702779</v>
      </c>
      <c r="F128" s="169"/>
      <c r="G128" s="314"/>
      <c r="H128" s="314" t="s">
        <v>224</v>
      </c>
      <c r="I128" s="314"/>
      <c r="J128" s="314" t="s">
        <v>149</v>
      </c>
      <c r="K128" s="314" t="s">
        <v>225</v>
      </c>
      <c r="L128" s="314" t="s">
        <v>224</v>
      </c>
      <c r="O128" s="89"/>
    </row>
    <row r="129" spans="3:15" ht="14.1" customHeight="1">
      <c r="C129" s="556" t="s">
        <v>452</v>
      </c>
      <c r="D129" s="557" t="s">
        <v>243</v>
      </c>
      <c r="E129" s="453">
        <v>641339</v>
      </c>
      <c r="F129" s="8" t="s">
        <v>222</v>
      </c>
      <c r="G129" s="314" t="s">
        <v>223</v>
      </c>
      <c r="H129" s="314" t="s">
        <v>222</v>
      </c>
      <c r="I129" s="314" t="s">
        <v>221</v>
      </c>
      <c r="J129" s="314"/>
      <c r="K129" s="314"/>
      <c r="L129" s="314"/>
      <c r="O129" s="89"/>
    </row>
    <row r="130" spans="3:15" ht="14.1" customHeight="1">
      <c r="C130" s="556" t="s">
        <v>453</v>
      </c>
      <c r="D130" s="557" t="s">
        <v>244</v>
      </c>
      <c r="E130" s="453">
        <v>703783</v>
      </c>
      <c r="F130" s="169"/>
      <c r="G130" s="314"/>
      <c r="H130" s="314"/>
      <c r="I130" s="314" t="s">
        <v>149</v>
      </c>
      <c r="J130" s="314" t="s">
        <v>226</v>
      </c>
      <c r="K130" s="314" t="s">
        <v>150</v>
      </c>
      <c r="L130" s="314" t="s">
        <v>150</v>
      </c>
      <c r="O130" s="89"/>
    </row>
    <row r="131" spans="3:15" ht="14.1" customHeight="1">
      <c r="C131" s="556" t="s">
        <v>454</v>
      </c>
      <c r="D131" s="557" t="s">
        <v>245</v>
      </c>
      <c r="E131" s="385">
        <v>702087</v>
      </c>
      <c r="F131" s="169"/>
      <c r="G131" s="314"/>
      <c r="H131" s="314"/>
      <c r="I131" s="314"/>
      <c r="J131" s="314"/>
      <c r="K131" s="314" t="s">
        <v>224</v>
      </c>
      <c r="L131" s="314" t="s">
        <v>149</v>
      </c>
      <c r="O131" s="89"/>
    </row>
    <row r="132" spans="3:15" ht="14.1" customHeight="1">
      <c r="C132" s="556" t="s">
        <v>455</v>
      </c>
      <c r="D132" s="558" t="s">
        <v>246</v>
      </c>
      <c r="E132" s="429"/>
      <c r="F132" s="53"/>
      <c r="G132" s="464"/>
      <c r="H132" s="464"/>
      <c r="I132" s="464"/>
      <c r="J132" s="464"/>
      <c r="K132" s="464"/>
      <c r="L132" s="464"/>
      <c r="O132" s="89"/>
    </row>
    <row r="133" spans="3:15" ht="14.1" customHeight="1">
      <c r="C133" s="556" t="s">
        <v>456</v>
      </c>
      <c r="D133" s="557" t="s">
        <v>247</v>
      </c>
      <c r="E133" s="385">
        <v>703186</v>
      </c>
      <c r="F133" s="169" t="s">
        <v>150</v>
      </c>
      <c r="G133" s="314" t="s">
        <v>150</v>
      </c>
      <c r="H133" s="314" t="s">
        <v>150</v>
      </c>
      <c r="I133" s="314"/>
      <c r="J133" s="314" t="s">
        <v>457</v>
      </c>
      <c r="K133" s="314"/>
      <c r="L133" s="314"/>
      <c r="O133" s="89"/>
    </row>
    <row r="134" spans="3:15" ht="14.1" customHeight="1">
      <c r="C134" s="556" t="s">
        <v>458</v>
      </c>
      <c r="D134" s="557" t="s">
        <v>248</v>
      </c>
      <c r="E134" s="385">
        <v>703168</v>
      </c>
      <c r="F134" s="169"/>
      <c r="G134" s="314" t="s">
        <v>149</v>
      </c>
      <c r="H134" s="314" t="s">
        <v>225</v>
      </c>
      <c r="I134" s="314" t="s">
        <v>226</v>
      </c>
      <c r="J134" s="314" t="s">
        <v>150</v>
      </c>
      <c r="K134" s="314"/>
      <c r="L134" s="314"/>
      <c r="O134" s="89"/>
    </row>
    <row r="135" spans="3:15" ht="14.1" customHeight="1">
      <c r="C135" s="556" t="s">
        <v>459</v>
      </c>
      <c r="D135" s="557" t="s">
        <v>249</v>
      </c>
      <c r="E135" s="385">
        <v>703270</v>
      </c>
      <c r="F135" s="169" t="s">
        <v>226</v>
      </c>
      <c r="G135" s="314" t="s">
        <v>150</v>
      </c>
      <c r="H135" s="314" t="s">
        <v>150</v>
      </c>
      <c r="I135" s="314"/>
      <c r="J135" s="314" t="s">
        <v>225</v>
      </c>
      <c r="K135" s="314"/>
      <c r="L135" s="314"/>
      <c r="O135" s="89"/>
    </row>
    <row r="136" spans="3:15" ht="14.1" customHeight="1">
      <c r="C136" s="556" t="s">
        <v>460</v>
      </c>
      <c r="D136" s="558" t="s">
        <v>251</v>
      </c>
      <c r="E136" s="385">
        <v>702481</v>
      </c>
      <c r="F136" s="8" t="s">
        <v>224</v>
      </c>
      <c r="G136" s="314" t="s">
        <v>149</v>
      </c>
      <c r="H136" s="314"/>
      <c r="I136" s="314" t="s">
        <v>150</v>
      </c>
      <c r="J136" s="314" t="s">
        <v>150</v>
      </c>
      <c r="K136" s="314"/>
      <c r="L136" s="314"/>
      <c r="O136" s="89"/>
    </row>
    <row r="137" spans="3:15" ht="14.1" customHeight="1">
      <c r="C137" s="556" t="s">
        <v>461</v>
      </c>
      <c r="D137" s="558" t="s">
        <v>252</v>
      </c>
      <c r="E137" s="385">
        <v>700682</v>
      </c>
      <c r="F137" s="172"/>
      <c r="G137" s="457"/>
      <c r="H137" s="457"/>
      <c r="I137" s="457"/>
      <c r="J137" s="457"/>
      <c r="K137" s="457"/>
      <c r="L137" s="457"/>
      <c r="O137" s="89"/>
    </row>
    <row r="138" spans="3:15" ht="14.1" customHeight="1">
      <c r="C138" s="556" t="s">
        <v>462</v>
      </c>
      <c r="D138" s="558" t="s">
        <v>253</v>
      </c>
      <c r="E138" s="385">
        <v>700721</v>
      </c>
      <c r="F138" s="172"/>
      <c r="G138" s="457"/>
      <c r="H138" s="457"/>
      <c r="I138" s="457"/>
      <c r="J138" s="457"/>
      <c r="K138" s="457"/>
      <c r="L138" s="457"/>
      <c r="O138" s="89"/>
    </row>
    <row r="139" spans="3:15" ht="14.1" customHeight="1">
      <c r="C139" s="556" t="s">
        <v>463</v>
      </c>
      <c r="D139" s="558" t="s">
        <v>254</v>
      </c>
      <c r="E139" s="385">
        <v>703820</v>
      </c>
      <c r="F139" s="172"/>
      <c r="G139" s="457"/>
      <c r="H139" s="457"/>
      <c r="I139" s="457"/>
      <c r="J139" s="457"/>
      <c r="K139" s="457"/>
      <c r="L139" s="457"/>
      <c r="O139" s="89"/>
    </row>
    <row r="140" spans="3:15" ht="14.1" customHeight="1">
      <c r="C140" s="556" t="s">
        <v>464</v>
      </c>
      <c r="D140" s="558" t="s">
        <v>255</v>
      </c>
      <c r="E140" s="385">
        <v>703788</v>
      </c>
      <c r="F140" s="172"/>
      <c r="G140" s="457"/>
      <c r="H140" s="457"/>
      <c r="I140" s="457"/>
      <c r="J140" s="457"/>
      <c r="K140" s="457"/>
      <c r="L140" s="457"/>
      <c r="O140" s="89"/>
    </row>
    <row r="141" spans="3:15" ht="14.1" customHeight="1">
      <c r="C141" s="556" t="s">
        <v>465</v>
      </c>
      <c r="D141" s="558" t="s">
        <v>256</v>
      </c>
      <c r="E141" s="385">
        <v>700646</v>
      </c>
      <c r="F141" s="172"/>
      <c r="G141" s="457"/>
      <c r="H141" s="457"/>
      <c r="I141" s="457"/>
      <c r="J141" s="457"/>
      <c r="K141" s="457"/>
      <c r="L141" s="457"/>
      <c r="O141" s="89"/>
    </row>
    <row r="142" spans="3:15" ht="14.1" customHeight="1">
      <c r="C142" s="556" t="s">
        <v>466</v>
      </c>
      <c r="D142" s="558" t="s">
        <v>257</v>
      </c>
      <c r="E142" s="453">
        <v>655539</v>
      </c>
      <c r="F142" s="172"/>
      <c r="G142" s="457"/>
      <c r="H142" s="457"/>
      <c r="I142" s="457"/>
      <c r="J142" s="457"/>
      <c r="K142" s="457"/>
      <c r="L142" s="457"/>
      <c r="O142" s="89"/>
    </row>
    <row r="143" spans="3:15" ht="14.1" customHeight="1">
      <c r="C143" s="556" t="s">
        <v>467</v>
      </c>
      <c r="D143" s="559" t="s">
        <v>258</v>
      </c>
      <c r="E143" s="453">
        <v>653933</v>
      </c>
      <c r="F143" s="173"/>
      <c r="G143" s="454"/>
      <c r="H143" s="454"/>
      <c r="I143" s="454"/>
      <c r="J143" s="454"/>
      <c r="K143" s="454"/>
      <c r="L143" s="454"/>
      <c r="O143" s="89"/>
    </row>
    <row r="144" spans="3:15" ht="14.1" customHeight="1">
      <c r="C144" s="556" t="s">
        <v>468</v>
      </c>
      <c r="D144" s="558" t="s">
        <v>259</v>
      </c>
      <c r="E144" s="460"/>
      <c r="F144" s="172"/>
      <c r="G144" s="457"/>
      <c r="H144" s="457"/>
      <c r="I144" s="457"/>
      <c r="J144" s="457"/>
      <c r="K144" s="457"/>
      <c r="L144" s="457"/>
      <c r="O144" s="89"/>
    </row>
    <row r="145" spans="3:15" ht="14.1" customHeight="1">
      <c r="C145" s="556" t="s">
        <v>469</v>
      </c>
      <c r="D145" s="287" t="s">
        <v>470</v>
      </c>
      <c r="E145" s="731">
        <v>633881</v>
      </c>
      <c r="F145" s="18"/>
      <c r="G145" s="326"/>
      <c r="H145" s="326"/>
      <c r="I145" s="326"/>
      <c r="J145" s="326" t="s">
        <v>222</v>
      </c>
      <c r="K145" s="464" t="s">
        <v>471</v>
      </c>
      <c r="L145" s="326"/>
      <c r="O145" s="89"/>
    </row>
    <row r="146" spans="3:15" ht="14.1" customHeight="1">
      <c r="C146" s="556"/>
      <c r="D146" s="286"/>
      <c r="E146" s="721"/>
      <c r="F146" s="18"/>
      <c r="G146" s="326"/>
      <c r="H146" s="326"/>
      <c r="I146" s="326"/>
      <c r="J146" s="326"/>
      <c r="K146" s="326"/>
      <c r="L146" s="326"/>
      <c r="O146" s="89"/>
    </row>
    <row r="147" spans="3:15" ht="14.1" customHeight="1" thickBot="1">
      <c r="C147" s="560" t="s">
        <v>472</v>
      </c>
      <c r="D147" s="462" t="s">
        <v>260</v>
      </c>
      <c r="E147" s="463"/>
      <c r="F147" s="53"/>
      <c r="G147" s="464"/>
      <c r="H147" s="464"/>
      <c r="I147" s="464"/>
      <c r="J147" s="464"/>
      <c r="K147" s="464"/>
      <c r="L147" s="464"/>
      <c r="O147" s="89"/>
    </row>
    <row r="148" spans="3:15" ht="14.1" customHeight="1">
      <c r="C148" s="561" t="s">
        <v>473</v>
      </c>
      <c r="D148" s="196" t="s">
        <v>261</v>
      </c>
      <c r="E148" s="466">
        <v>703293</v>
      </c>
      <c r="F148" s="467" t="s">
        <v>262</v>
      </c>
      <c r="G148" s="314" t="s">
        <v>222</v>
      </c>
      <c r="H148" s="314" t="s">
        <v>222</v>
      </c>
      <c r="I148" s="314" t="s">
        <v>222</v>
      </c>
      <c r="J148" s="314"/>
      <c r="K148" s="468"/>
      <c r="L148" s="468"/>
      <c r="O148" s="89"/>
    </row>
    <row r="149" spans="3:15" ht="14.1" customHeight="1">
      <c r="C149" s="561" t="s">
        <v>474</v>
      </c>
      <c r="D149" s="562" t="s">
        <v>266</v>
      </c>
      <c r="E149" s="466">
        <v>703544</v>
      </c>
      <c r="F149" s="314" t="s">
        <v>149</v>
      </c>
      <c r="G149" s="314" t="s">
        <v>149</v>
      </c>
      <c r="H149" s="314"/>
      <c r="I149" s="314"/>
      <c r="J149" s="471" t="s">
        <v>150</v>
      </c>
      <c r="K149" s="471"/>
      <c r="L149" s="471" t="s">
        <v>150</v>
      </c>
      <c r="O149" s="89"/>
    </row>
    <row r="150" spans="3:15" ht="14.1" customHeight="1">
      <c r="C150" s="561" t="s">
        <v>475</v>
      </c>
      <c r="D150" s="562" t="s">
        <v>267</v>
      </c>
      <c r="E150" s="466">
        <v>703651</v>
      </c>
      <c r="F150" s="314" t="s">
        <v>149</v>
      </c>
      <c r="G150" s="314" t="s">
        <v>149</v>
      </c>
      <c r="H150" s="314" t="s">
        <v>149</v>
      </c>
      <c r="I150" s="314" t="s">
        <v>149</v>
      </c>
      <c r="J150" s="314"/>
      <c r="K150" s="471"/>
      <c r="L150" s="464" t="s">
        <v>476</v>
      </c>
      <c r="O150" s="89"/>
    </row>
    <row r="151" spans="3:15" ht="14.1" customHeight="1">
      <c r="C151" s="561" t="s">
        <v>477</v>
      </c>
      <c r="D151" s="562" t="s">
        <v>268</v>
      </c>
      <c r="E151" s="466">
        <v>703298</v>
      </c>
      <c r="F151" s="314" t="s">
        <v>150</v>
      </c>
      <c r="G151" s="314" t="s">
        <v>150</v>
      </c>
      <c r="H151" s="314"/>
      <c r="I151" s="314" t="s">
        <v>150</v>
      </c>
      <c r="J151" s="314" t="s">
        <v>150</v>
      </c>
      <c r="K151" s="471"/>
      <c r="L151" s="471"/>
      <c r="O151" s="89"/>
    </row>
    <row r="152" spans="3:15" ht="14.1" customHeight="1">
      <c r="C152" s="561" t="s">
        <v>478</v>
      </c>
      <c r="D152" s="562" t="s">
        <v>269</v>
      </c>
      <c r="E152" s="466">
        <v>703345</v>
      </c>
      <c r="F152" s="469" t="s">
        <v>263</v>
      </c>
      <c r="G152" s="469" t="s">
        <v>263</v>
      </c>
      <c r="H152" s="469" t="s">
        <v>263</v>
      </c>
      <c r="I152" s="469" t="s">
        <v>263</v>
      </c>
      <c r="J152" s="469" t="s">
        <v>263</v>
      </c>
      <c r="K152" s="470" t="s">
        <v>263</v>
      </c>
      <c r="L152" s="470" t="s">
        <v>263</v>
      </c>
      <c r="O152" s="89"/>
    </row>
    <row r="153" spans="3:15" ht="14.1" customHeight="1">
      <c r="C153" s="561" t="s">
        <v>479</v>
      </c>
      <c r="D153" s="562" t="s">
        <v>270</v>
      </c>
      <c r="E153" s="466">
        <v>703324</v>
      </c>
      <c r="F153" s="314"/>
      <c r="G153" s="314"/>
      <c r="H153" s="314" t="s">
        <v>149</v>
      </c>
      <c r="I153" s="314" t="s">
        <v>150</v>
      </c>
      <c r="J153" s="314" t="s">
        <v>150</v>
      </c>
      <c r="K153" s="471" t="s">
        <v>149</v>
      </c>
      <c r="L153" s="468"/>
      <c r="O153" s="89"/>
    </row>
    <row r="154" spans="3:15" ht="14.1" customHeight="1">
      <c r="C154" s="561" t="s">
        <v>480</v>
      </c>
      <c r="D154" s="562" t="s">
        <v>271</v>
      </c>
      <c r="E154" s="466">
        <v>703527</v>
      </c>
      <c r="F154" s="314"/>
      <c r="G154" s="314"/>
      <c r="H154" s="314" t="s">
        <v>149</v>
      </c>
      <c r="I154" s="314" t="s">
        <v>149</v>
      </c>
      <c r="J154" s="314" t="s">
        <v>149</v>
      </c>
      <c r="K154" s="471" t="s">
        <v>150</v>
      </c>
      <c r="L154" s="471" t="s">
        <v>150</v>
      </c>
      <c r="O154" s="89"/>
    </row>
    <row r="155" spans="3:15" ht="14.1" customHeight="1">
      <c r="C155" s="561" t="s">
        <v>481</v>
      </c>
      <c r="D155" s="562" t="s">
        <v>272</v>
      </c>
      <c r="E155" s="466">
        <v>703319</v>
      </c>
      <c r="F155" s="314"/>
      <c r="G155" s="314" t="s">
        <v>150</v>
      </c>
      <c r="H155" s="314" t="s">
        <v>150</v>
      </c>
      <c r="I155" s="314" t="s">
        <v>150</v>
      </c>
      <c r="J155" s="314"/>
      <c r="K155" s="314" t="s">
        <v>150</v>
      </c>
      <c r="L155" s="471"/>
      <c r="O155" s="89"/>
    </row>
    <row r="156" spans="3:15" ht="14.1" customHeight="1">
      <c r="C156" s="561" t="s">
        <v>482</v>
      </c>
      <c r="D156" s="562" t="s">
        <v>273</v>
      </c>
      <c r="E156" s="466">
        <v>703543</v>
      </c>
      <c r="F156" s="314"/>
      <c r="G156" s="314"/>
      <c r="H156" s="314" t="s">
        <v>150</v>
      </c>
      <c r="I156" s="314"/>
      <c r="J156" s="314" t="s">
        <v>222</v>
      </c>
      <c r="K156" s="471" t="s">
        <v>222</v>
      </c>
      <c r="L156" s="471" t="s">
        <v>222</v>
      </c>
      <c r="O156" s="89"/>
    </row>
    <row r="157" spans="3:15" ht="14.1" customHeight="1" thickBot="1">
      <c r="C157" s="561" t="s">
        <v>483</v>
      </c>
      <c r="D157" s="562" t="s">
        <v>274</v>
      </c>
      <c r="E157" s="466">
        <v>703530</v>
      </c>
      <c r="F157" s="314" t="s">
        <v>222</v>
      </c>
      <c r="G157" s="314"/>
      <c r="H157" s="314"/>
      <c r="I157" s="314"/>
      <c r="J157" s="314" t="s">
        <v>149</v>
      </c>
      <c r="K157" s="471" t="s">
        <v>149</v>
      </c>
      <c r="L157" s="471" t="s">
        <v>149</v>
      </c>
      <c r="O157" s="89"/>
    </row>
    <row r="158" spans="3:15" ht="14.1" customHeight="1">
      <c r="C158" s="561" t="s">
        <v>484</v>
      </c>
      <c r="D158" s="231" t="s">
        <v>485</v>
      </c>
      <c r="E158" s="466">
        <v>700626</v>
      </c>
      <c r="F158" s="5" t="s">
        <v>486</v>
      </c>
      <c r="G158" s="232" t="s">
        <v>487</v>
      </c>
      <c r="H158" s="232" t="s">
        <v>487</v>
      </c>
      <c r="I158" s="232"/>
      <c r="J158" s="232" t="s">
        <v>487</v>
      </c>
      <c r="K158" s="233"/>
      <c r="L158" s="234"/>
      <c r="O158" s="89"/>
    </row>
    <row r="159" spans="3:15" ht="15">
      <c r="C159" s="561"/>
      <c r="D159" s="175"/>
      <c r="E159" s="114"/>
      <c r="F159" s="799" t="s">
        <v>275</v>
      </c>
      <c r="G159" s="800"/>
      <c r="H159" s="800"/>
      <c r="I159" s="800"/>
      <c r="J159" s="800"/>
      <c r="K159" s="800"/>
      <c r="L159" s="801"/>
      <c r="O159" s="89"/>
    </row>
    <row r="160" spans="3:15" ht="14.1" customHeight="1">
      <c r="D160" s="476"/>
      <c r="E160" s="477"/>
      <c r="F160" s="478"/>
      <c r="G160" s="478"/>
      <c r="H160" s="478"/>
      <c r="I160" s="478"/>
      <c r="J160" s="478"/>
      <c r="K160" s="478"/>
      <c r="L160" s="478"/>
      <c r="O160" s="89"/>
    </row>
    <row r="161" spans="3:15" ht="14.1" customHeight="1">
      <c r="D161" s="479"/>
      <c r="E161" s="477"/>
      <c r="F161" s="478"/>
      <c r="G161" s="478"/>
      <c r="H161" s="478"/>
      <c r="I161" s="478"/>
      <c r="J161" s="478"/>
      <c r="K161" s="478"/>
      <c r="L161" s="478"/>
      <c r="O161" s="89"/>
    </row>
    <row r="162" spans="3:15" ht="14.1" customHeight="1">
      <c r="C162" s="563" t="s">
        <v>488</v>
      </c>
      <c r="D162" s="479" t="s">
        <v>488</v>
      </c>
      <c r="E162" s="477"/>
      <c r="F162" s="478"/>
      <c r="G162" s="478"/>
      <c r="H162" s="478"/>
      <c r="I162" s="478"/>
      <c r="J162" s="478"/>
      <c r="K162" s="478"/>
      <c r="L162" s="478"/>
      <c r="O162" s="89"/>
    </row>
    <row r="163" spans="3:15" ht="14.1" customHeight="1">
      <c r="C163" s="563"/>
      <c r="D163" s="563"/>
      <c r="E163" s="477"/>
      <c r="F163" s="478"/>
      <c r="G163" s="478"/>
      <c r="H163" s="478"/>
      <c r="I163" s="478"/>
      <c r="J163" s="478"/>
      <c r="K163" s="478"/>
      <c r="L163" s="478"/>
      <c r="O163" s="89"/>
    </row>
    <row r="164" spans="3:15" ht="14.1" customHeight="1">
      <c r="C164" s="563"/>
      <c r="D164" s="563"/>
      <c r="E164" s="477"/>
      <c r="F164" s="478"/>
      <c r="G164" s="478"/>
      <c r="H164" s="478"/>
      <c r="I164" s="478"/>
      <c r="J164" s="478"/>
      <c r="K164" s="478"/>
      <c r="L164" s="478"/>
      <c r="O164" s="89"/>
    </row>
    <row r="165" spans="3:15" ht="14.1" customHeight="1">
      <c r="C165" s="563"/>
      <c r="D165" s="563"/>
      <c r="E165" s="477"/>
      <c r="F165" s="478"/>
      <c r="G165" s="478"/>
      <c r="H165" s="478"/>
      <c r="I165" s="478"/>
      <c r="J165" s="478"/>
      <c r="K165" s="478"/>
      <c r="L165" s="478"/>
      <c r="O165" s="89"/>
    </row>
    <row r="166" spans="3:15" ht="14.1" customHeight="1">
      <c r="C166" s="563"/>
      <c r="D166" s="563"/>
      <c r="E166" s="477"/>
      <c r="F166" s="18"/>
      <c r="G166" s="326"/>
      <c r="H166" s="326"/>
      <c r="I166" s="326"/>
      <c r="J166" s="326"/>
      <c r="K166" s="326"/>
      <c r="L166" s="326"/>
      <c r="O166" s="89"/>
    </row>
    <row r="167" spans="3:15" ht="14.1" customHeight="1">
      <c r="C167" s="563"/>
      <c r="D167" s="563"/>
      <c r="E167" s="477"/>
      <c r="F167" s="18"/>
      <c r="G167" s="326"/>
      <c r="H167" s="326"/>
      <c r="I167" s="326"/>
      <c r="J167" s="326"/>
      <c r="K167" s="326"/>
      <c r="L167" s="326"/>
      <c r="O167" s="89"/>
    </row>
    <row r="168" spans="3:15" ht="14.1" customHeight="1">
      <c r="C168" s="563"/>
      <c r="D168" s="563"/>
      <c r="E168" s="477"/>
      <c r="F168" s="18"/>
      <c r="G168" s="326"/>
      <c r="H168" s="326"/>
      <c r="I168" s="326"/>
      <c r="J168" s="326"/>
      <c r="K168" s="326"/>
      <c r="L168" s="326"/>
      <c r="O168" s="89"/>
    </row>
    <row r="169" spans="3:15" ht="14.1" customHeight="1">
      <c r="C169" s="563"/>
      <c r="D169" s="563"/>
      <c r="E169" s="477"/>
      <c r="F169" s="53"/>
      <c r="G169" s="464"/>
      <c r="H169" s="464"/>
      <c r="I169" s="464"/>
      <c r="J169" s="464"/>
      <c r="K169" s="464"/>
      <c r="L169" s="464"/>
      <c r="O169" s="89"/>
    </row>
    <row r="170" spans="3:15" ht="14.1" customHeight="1">
      <c r="C170" s="538" t="s">
        <v>1</v>
      </c>
      <c r="D170" s="538" t="s">
        <v>1</v>
      </c>
      <c r="E170" s="416"/>
      <c r="F170" s="314">
        <f t="shared" ref="F170:L170" si="20">COUNTIF(F6:F168,"0800-1730*")+COUNTIF(F6:F168,"0800-1800*")+COUNTIF(F6:F168,"0730-*")-COUNTIF(F6:F168,"*0800-1730 CS*")-COUNTIF(F6:F168,"*0800-1800 CS*")-COUNTIF(F6:F168,"*0800-1730 PHNW*")-COUNTIF(F6:F168,"*0800-1730 DEMT*")-COUNTIF(F6:F168,"*0800-1730 DD*")</f>
        <v>12</v>
      </c>
      <c r="G170" s="314">
        <f t="shared" si="20"/>
        <v>16</v>
      </c>
      <c r="H170" s="314">
        <f t="shared" si="20"/>
        <v>16</v>
      </c>
      <c r="I170" s="314">
        <f t="shared" si="20"/>
        <v>13</v>
      </c>
      <c r="J170" s="314">
        <f t="shared" si="20"/>
        <v>15</v>
      </c>
      <c r="K170" s="314">
        <f t="shared" si="20"/>
        <v>13</v>
      </c>
      <c r="L170" s="314">
        <f t="shared" si="20"/>
        <v>11</v>
      </c>
      <c r="O170" s="89"/>
    </row>
    <row r="171" spans="3:15" ht="14.1" customHeight="1">
      <c r="C171" s="538" t="s">
        <v>276</v>
      </c>
      <c r="D171" s="538" t="s">
        <v>276</v>
      </c>
      <c r="E171" s="416"/>
      <c r="F171" s="8">
        <f t="shared" ref="F171:L171" si="21">COUNTIF(F6:F168,"*SWA*")</f>
        <v>4</v>
      </c>
      <c r="G171" s="8">
        <f t="shared" si="21"/>
        <v>1</v>
      </c>
      <c r="H171" s="8">
        <f t="shared" si="21"/>
        <v>1</v>
      </c>
      <c r="I171" s="8">
        <f t="shared" si="21"/>
        <v>1</v>
      </c>
      <c r="J171" s="8">
        <f t="shared" si="21"/>
        <v>2</v>
      </c>
      <c r="K171" s="8">
        <f t="shared" si="21"/>
        <v>0</v>
      </c>
      <c r="L171" s="8">
        <f t="shared" si="21"/>
        <v>1</v>
      </c>
      <c r="O171" s="89"/>
    </row>
    <row r="172" spans="3:15" ht="14.1" customHeight="1">
      <c r="C172" s="538" t="s">
        <v>2</v>
      </c>
      <c r="D172" s="538" t="s">
        <v>2</v>
      </c>
      <c r="E172" s="416"/>
      <c r="F172" s="8">
        <f t="shared" ref="F172:L172" si="22">COUNTIF(F6:F168,"*1400-*")+COUNTIF(F6:F168,"*1430-*")</f>
        <v>15</v>
      </c>
      <c r="G172" s="8">
        <f t="shared" si="22"/>
        <v>18</v>
      </c>
      <c r="H172" s="8">
        <f t="shared" si="22"/>
        <v>17</v>
      </c>
      <c r="I172" s="8">
        <f t="shared" si="22"/>
        <v>16</v>
      </c>
      <c r="J172" s="8">
        <f t="shared" si="22"/>
        <v>17</v>
      </c>
      <c r="K172" s="8">
        <f t="shared" si="22"/>
        <v>15</v>
      </c>
      <c r="L172" s="8">
        <f t="shared" si="22"/>
        <v>14</v>
      </c>
      <c r="O172" s="89"/>
    </row>
    <row r="173" spans="3:15" ht="14.1" customHeight="1">
      <c r="C173" s="538" t="s">
        <v>277</v>
      </c>
      <c r="D173" s="538" t="s">
        <v>277</v>
      </c>
      <c r="E173" s="416"/>
      <c r="F173" s="8">
        <f t="shared" ref="F173:L173" si="23">COUNTIF(F7:F168,"*SWP*")</f>
        <v>0</v>
      </c>
      <c r="G173" s="8">
        <f t="shared" si="23"/>
        <v>0</v>
      </c>
      <c r="H173" s="8">
        <f t="shared" si="23"/>
        <v>1</v>
      </c>
      <c r="I173" s="8">
        <f t="shared" si="23"/>
        <v>1</v>
      </c>
      <c r="J173" s="8">
        <f t="shared" si="23"/>
        <v>1</v>
      </c>
      <c r="K173" s="8">
        <f t="shared" si="23"/>
        <v>0</v>
      </c>
      <c r="L173" s="8">
        <f t="shared" si="23"/>
        <v>0</v>
      </c>
      <c r="O173" s="89"/>
    </row>
    <row r="174" spans="3:15" ht="14.1" customHeight="1" thickBot="1">
      <c r="C174" s="845" t="s">
        <v>278</v>
      </c>
      <c r="D174" s="845" t="s">
        <v>278</v>
      </c>
      <c r="E174" s="416"/>
      <c r="F174" s="8">
        <f t="shared" ref="F174:L174" si="24">COUNTIF(F6:F168,"2300-*")</f>
        <v>9</v>
      </c>
      <c r="G174" s="8">
        <f t="shared" si="24"/>
        <v>8</v>
      </c>
      <c r="H174" s="8">
        <f t="shared" si="24"/>
        <v>9</v>
      </c>
      <c r="I174" s="8">
        <f t="shared" si="24"/>
        <v>9</v>
      </c>
      <c r="J174" s="8">
        <f t="shared" si="24"/>
        <v>9</v>
      </c>
      <c r="K174" s="8">
        <f t="shared" si="24"/>
        <v>8</v>
      </c>
      <c r="L174" s="8">
        <f t="shared" si="24"/>
        <v>8</v>
      </c>
      <c r="O174" s="89"/>
    </row>
    <row r="175" spans="3:15" ht="14.1" customHeight="1">
      <c r="C175" s="84"/>
      <c r="D175" s="556"/>
      <c r="E175" s="416"/>
      <c r="F175" s="8"/>
      <c r="G175" s="314"/>
      <c r="H175" s="314"/>
      <c r="I175" s="314"/>
      <c r="J175" s="314"/>
      <c r="K175" s="314"/>
      <c r="L175" s="314"/>
      <c r="O175" s="89"/>
    </row>
    <row r="176" spans="3:15" ht="14.1" customHeight="1">
      <c r="C176" s="50"/>
      <c r="D176" s="556" t="s">
        <v>489</v>
      </c>
      <c r="E176" s="416"/>
      <c r="F176" s="18"/>
      <c r="G176" s="326"/>
      <c r="H176" s="326"/>
      <c r="I176" s="326"/>
      <c r="J176" s="326"/>
      <c r="K176" s="326"/>
      <c r="L176" s="326"/>
      <c r="O176" s="89"/>
    </row>
    <row r="177" spans="3:15" ht="14.1" customHeight="1">
      <c r="C177" s="50"/>
      <c r="D177" s="139" t="s">
        <v>157</v>
      </c>
      <c r="E177" s="416"/>
      <c r="F177" s="828"/>
      <c r="G177" s="828"/>
      <c r="H177" s="829"/>
      <c r="I177" s="828"/>
      <c r="J177" s="828"/>
      <c r="K177" s="828"/>
      <c r="L177" s="828"/>
      <c r="O177" s="89"/>
    </row>
    <row r="178" spans="3:15" ht="14.1" customHeight="1">
      <c r="C178" s="50"/>
      <c r="D178" s="182" t="s">
        <v>159</v>
      </c>
      <c r="E178" s="416">
        <v>628440</v>
      </c>
      <c r="F178" s="828"/>
      <c r="G178" s="828"/>
      <c r="H178" s="830" t="s">
        <v>279</v>
      </c>
      <c r="I178" s="828"/>
      <c r="J178" s="828"/>
      <c r="K178" s="828"/>
      <c r="L178" s="828"/>
      <c r="O178" s="89"/>
    </row>
    <row r="179" spans="3:15" ht="14.1" customHeight="1">
      <c r="C179" s="50"/>
      <c r="D179" s="183" t="s">
        <v>164</v>
      </c>
      <c r="E179" s="416">
        <v>653976</v>
      </c>
      <c r="F179" s="828"/>
      <c r="G179" s="828"/>
      <c r="H179" s="830" t="s">
        <v>279</v>
      </c>
      <c r="I179" s="828"/>
      <c r="J179" s="828"/>
      <c r="K179" s="828"/>
      <c r="L179" s="828"/>
      <c r="O179" s="89"/>
    </row>
    <row r="180" spans="3:15" ht="14.1" customHeight="1">
      <c r="C180" s="50"/>
      <c r="D180" s="184" t="s">
        <v>166</v>
      </c>
      <c r="E180" s="416">
        <v>654362</v>
      </c>
      <c r="F180" s="828"/>
      <c r="G180" s="828"/>
      <c r="H180" s="830" t="s">
        <v>279</v>
      </c>
      <c r="I180" s="828"/>
      <c r="J180" s="828"/>
      <c r="K180" s="828"/>
      <c r="L180" s="828"/>
      <c r="O180" s="89"/>
    </row>
    <row r="181" spans="3:15" ht="14.1" customHeight="1">
      <c r="C181" s="50"/>
      <c r="D181" s="184" t="s">
        <v>168</v>
      </c>
      <c r="E181" s="416">
        <v>615829</v>
      </c>
      <c r="F181" s="828"/>
      <c r="G181" s="828"/>
      <c r="H181" s="830" t="s">
        <v>280</v>
      </c>
      <c r="I181" s="828"/>
      <c r="J181" s="828"/>
      <c r="K181" s="828"/>
      <c r="L181" s="828"/>
      <c r="O181" s="89"/>
    </row>
    <row r="182" spans="3:15" ht="14.1" customHeight="1">
      <c r="C182" s="50"/>
      <c r="D182" s="841" t="s">
        <v>170</v>
      </c>
      <c r="E182" s="416">
        <v>619567</v>
      </c>
      <c r="F182" s="828"/>
      <c r="G182" s="828"/>
      <c r="H182" s="830" t="s">
        <v>280</v>
      </c>
      <c r="I182" s="828"/>
      <c r="J182" s="828"/>
      <c r="K182" s="828"/>
      <c r="L182" s="828"/>
      <c r="O182" s="89"/>
    </row>
    <row r="183" spans="3:15" ht="14.1" customHeight="1">
      <c r="C183" s="50"/>
      <c r="D183" s="183" t="s">
        <v>171</v>
      </c>
      <c r="E183" s="416">
        <v>626157</v>
      </c>
      <c r="F183" s="828"/>
      <c r="G183" s="828"/>
      <c r="H183" s="830" t="s">
        <v>281</v>
      </c>
      <c r="I183" s="828"/>
      <c r="J183" s="828"/>
      <c r="K183" s="828"/>
      <c r="L183" s="828"/>
      <c r="O183" s="89"/>
    </row>
    <row r="184" spans="3:15" ht="14.1" customHeight="1">
      <c r="C184" s="50"/>
      <c r="D184" s="185" t="s">
        <v>173</v>
      </c>
      <c r="E184" s="416">
        <v>645122</v>
      </c>
      <c r="F184" s="828"/>
      <c r="G184" s="828"/>
      <c r="H184" s="830" t="s">
        <v>281</v>
      </c>
      <c r="I184" s="828"/>
      <c r="J184" s="828"/>
      <c r="K184" s="828"/>
      <c r="L184" s="828"/>
      <c r="O184" s="89"/>
    </row>
    <row r="185" spans="3:15" ht="14.1" customHeight="1">
      <c r="C185" s="50"/>
      <c r="D185" s="182" t="s">
        <v>174</v>
      </c>
      <c r="E185" s="481"/>
      <c r="F185" s="828"/>
      <c r="G185" s="828"/>
      <c r="H185" s="830" t="s">
        <v>282</v>
      </c>
      <c r="I185" s="828"/>
      <c r="J185" s="828"/>
      <c r="K185" s="828"/>
      <c r="L185" s="828"/>
      <c r="O185" s="89"/>
    </row>
    <row r="186" spans="3:15" ht="14.1" customHeight="1" thickBot="1">
      <c r="C186" s="50"/>
      <c r="D186" s="197" t="s">
        <v>175</v>
      </c>
      <c r="E186" s="416">
        <v>624174</v>
      </c>
      <c r="F186" s="828"/>
      <c r="G186" s="828"/>
      <c r="H186" s="831" t="s">
        <v>283</v>
      </c>
      <c r="I186" s="828"/>
      <c r="J186" s="828"/>
      <c r="K186" s="828"/>
      <c r="L186" s="828"/>
      <c r="O186" s="89"/>
    </row>
    <row r="187" spans="3:15" ht="14.1" customHeight="1">
      <c r="C187" s="50"/>
      <c r="D187" s="70" t="s">
        <v>176</v>
      </c>
      <c r="E187" s="416"/>
      <c r="F187" s="828"/>
      <c r="G187" s="828"/>
      <c r="H187" s="829"/>
      <c r="I187" s="828"/>
      <c r="J187" s="828"/>
      <c r="K187" s="828"/>
      <c r="L187" s="828"/>
      <c r="O187" s="89"/>
    </row>
    <row r="188" spans="3:15" ht="14.1" customHeight="1">
      <c r="C188" s="50"/>
      <c r="D188" s="546" t="s">
        <v>177</v>
      </c>
      <c r="E188" s="416">
        <v>637990</v>
      </c>
      <c r="F188" s="828"/>
      <c r="G188" s="828"/>
      <c r="H188" s="830" t="s">
        <v>279</v>
      </c>
      <c r="I188" s="828"/>
      <c r="J188" s="828"/>
      <c r="K188" s="828"/>
      <c r="L188" s="828"/>
      <c r="O188" s="89"/>
    </row>
    <row r="189" spans="3:15" ht="14.1" customHeight="1">
      <c r="C189" s="50"/>
      <c r="D189" s="184" t="s">
        <v>179</v>
      </c>
      <c r="E189" s="416">
        <v>652867</v>
      </c>
      <c r="F189" s="828"/>
      <c r="G189" s="828"/>
      <c r="H189" s="830" t="s">
        <v>279</v>
      </c>
      <c r="I189" s="828"/>
      <c r="J189" s="828"/>
      <c r="K189" s="828"/>
      <c r="L189" s="828"/>
      <c r="O189" s="89"/>
    </row>
    <row r="190" spans="3:15" ht="14.1" customHeight="1">
      <c r="C190" s="50"/>
      <c r="D190" s="547" t="s">
        <v>180</v>
      </c>
      <c r="E190" s="416">
        <v>638831</v>
      </c>
      <c r="F190" s="828"/>
      <c r="G190" s="828"/>
      <c r="H190" s="830" t="s">
        <v>279</v>
      </c>
      <c r="I190" s="828"/>
      <c r="J190" s="828"/>
      <c r="K190" s="828"/>
      <c r="L190" s="828"/>
      <c r="O190" s="89"/>
    </row>
    <row r="191" spans="3:15" ht="14.1" customHeight="1">
      <c r="C191" s="50"/>
      <c r="D191" s="548" t="s">
        <v>182</v>
      </c>
      <c r="E191" s="416">
        <v>631314</v>
      </c>
      <c r="F191" s="828"/>
      <c r="G191" s="828"/>
      <c r="H191" s="830" t="s">
        <v>281</v>
      </c>
      <c r="I191" s="828"/>
      <c r="J191" s="828"/>
      <c r="K191" s="828"/>
      <c r="L191" s="828"/>
      <c r="O191" s="89"/>
    </row>
    <row r="192" spans="3:15" ht="14.1" customHeight="1">
      <c r="C192" s="50"/>
      <c r="D192" s="548" t="s">
        <v>185</v>
      </c>
      <c r="E192" s="416">
        <v>631732</v>
      </c>
      <c r="F192" s="828"/>
      <c r="G192" s="828"/>
      <c r="H192" s="830" t="s">
        <v>281</v>
      </c>
      <c r="I192" s="828"/>
      <c r="J192" s="828"/>
      <c r="K192" s="828"/>
      <c r="L192" s="828"/>
      <c r="O192" s="89"/>
    </row>
    <row r="193" spans="3:15" ht="14.1" customHeight="1">
      <c r="C193" s="50"/>
      <c r="D193" s="549" t="s">
        <v>186</v>
      </c>
      <c r="E193" s="416">
        <v>634876</v>
      </c>
      <c r="F193" s="828"/>
      <c r="G193" s="828"/>
      <c r="H193" s="830" t="s">
        <v>281</v>
      </c>
      <c r="I193" s="828"/>
      <c r="J193" s="828"/>
      <c r="K193" s="828"/>
      <c r="L193" s="828"/>
      <c r="O193" s="89"/>
    </row>
    <row r="194" spans="3:15" ht="14.1" customHeight="1">
      <c r="C194" s="50"/>
      <c r="D194" s="846" t="s">
        <v>189</v>
      </c>
      <c r="E194" s="416"/>
      <c r="F194" s="828"/>
      <c r="G194" s="828"/>
      <c r="H194" s="829"/>
      <c r="I194" s="828"/>
      <c r="J194" s="828"/>
      <c r="K194" s="828"/>
      <c r="L194" s="828"/>
      <c r="O194" s="89"/>
    </row>
    <row r="195" spans="3:15" ht="14.1" customHeight="1">
      <c r="C195" s="50"/>
      <c r="D195" s="188" t="s">
        <v>190</v>
      </c>
      <c r="E195" s="416">
        <v>648620</v>
      </c>
      <c r="F195" s="828"/>
      <c r="G195" s="828"/>
      <c r="H195" s="830" t="s">
        <v>279</v>
      </c>
      <c r="I195" s="828"/>
      <c r="J195" s="828"/>
      <c r="K195" s="828"/>
      <c r="L195" s="828"/>
      <c r="O195" s="89"/>
    </row>
    <row r="196" spans="3:15" ht="14.1" customHeight="1">
      <c r="C196" s="50"/>
      <c r="D196" s="189" t="s">
        <v>193</v>
      </c>
      <c r="E196" s="416">
        <v>652357</v>
      </c>
      <c r="F196" s="828"/>
      <c r="G196" s="828"/>
      <c r="H196" s="830" t="s">
        <v>279</v>
      </c>
      <c r="I196" s="828"/>
      <c r="J196" s="828"/>
      <c r="K196" s="828"/>
      <c r="L196" s="828"/>
      <c r="O196" s="89"/>
    </row>
    <row r="197" spans="3:15" ht="14.1" customHeight="1">
      <c r="C197" s="50"/>
      <c r="D197" s="551" t="s">
        <v>196</v>
      </c>
      <c r="E197" s="481"/>
      <c r="F197" s="828"/>
      <c r="G197" s="828"/>
      <c r="H197" s="830" t="s">
        <v>279</v>
      </c>
      <c r="I197" s="828"/>
      <c r="J197" s="828"/>
      <c r="K197" s="828"/>
      <c r="L197" s="828"/>
      <c r="O197" s="89"/>
    </row>
    <row r="198" spans="3:15" ht="14.1" customHeight="1">
      <c r="C198" s="50"/>
      <c r="D198" s="189" t="s">
        <v>198</v>
      </c>
      <c r="E198" s="416">
        <v>655089</v>
      </c>
      <c r="F198" s="828"/>
      <c r="G198" s="828"/>
      <c r="H198" s="830" t="s">
        <v>279</v>
      </c>
      <c r="I198" s="828"/>
      <c r="J198" s="828"/>
      <c r="K198" s="828"/>
      <c r="L198" s="828"/>
      <c r="O198" s="89"/>
    </row>
    <row r="199" spans="3:15" ht="14.1" customHeight="1">
      <c r="C199" s="50"/>
      <c r="D199" s="190" t="s">
        <v>199</v>
      </c>
      <c r="E199" s="416">
        <v>649364</v>
      </c>
      <c r="F199" s="828"/>
      <c r="G199" s="828"/>
      <c r="H199" s="830" t="s">
        <v>279</v>
      </c>
      <c r="I199" s="828"/>
      <c r="J199" s="828"/>
      <c r="K199" s="828"/>
      <c r="L199" s="828"/>
      <c r="O199" s="89"/>
    </row>
    <row r="200" spans="3:15" ht="14.1" customHeight="1">
      <c r="C200" s="50"/>
      <c r="D200" s="191" t="s">
        <v>200</v>
      </c>
      <c r="E200" s="416">
        <v>700872</v>
      </c>
      <c r="F200" s="828"/>
      <c r="G200" s="828"/>
      <c r="H200" s="830" t="s">
        <v>279</v>
      </c>
      <c r="I200" s="828"/>
      <c r="J200" s="828"/>
      <c r="K200" s="828"/>
      <c r="L200" s="828"/>
      <c r="O200" s="89"/>
    </row>
    <row r="201" spans="3:15" ht="14.1" customHeight="1">
      <c r="C201" s="50"/>
      <c r="D201" s="552" t="s">
        <v>202</v>
      </c>
      <c r="E201" s="481"/>
      <c r="F201" s="828"/>
      <c r="G201" s="828"/>
      <c r="H201" s="830" t="s">
        <v>279</v>
      </c>
      <c r="I201" s="828"/>
      <c r="J201" s="828"/>
      <c r="K201" s="828"/>
      <c r="L201" s="828"/>
      <c r="O201" s="89"/>
    </row>
    <row r="202" spans="3:15" ht="14.1" customHeight="1">
      <c r="C202" s="50"/>
      <c r="D202" s="192" t="s">
        <v>204</v>
      </c>
      <c r="E202" s="416">
        <v>652868</v>
      </c>
      <c r="F202" s="828"/>
      <c r="G202" s="828"/>
      <c r="H202" s="830" t="s">
        <v>279</v>
      </c>
      <c r="I202" s="828"/>
      <c r="J202" s="828"/>
      <c r="K202" s="828"/>
      <c r="L202" s="828"/>
      <c r="O202" s="89"/>
    </row>
    <row r="203" spans="3:15" ht="14.1" customHeight="1">
      <c r="C203" s="50"/>
      <c r="D203" s="189" t="s">
        <v>205</v>
      </c>
      <c r="E203" s="416">
        <v>652998</v>
      </c>
      <c r="F203" s="828"/>
      <c r="G203" s="828"/>
      <c r="H203" s="830" t="s">
        <v>279</v>
      </c>
      <c r="I203" s="828"/>
      <c r="J203" s="828"/>
      <c r="K203" s="828"/>
      <c r="L203" s="828"/>
      <c r="O203" s="89"/>
    </row>
    <row r="204" spans="3:15" ht="14.1" customHeight="1">
      <c r="C204" s="50"/>
      <c r="D204" s="193" t="s">
        <v>206</v>
      </c>
      <c r="E204" s="481"/>
      <c r="F204" s="828"/>
      <c r="G204" s="828"/>
      <c r="H204" s="830" t="s">
        <v>279</v>
      </c>
      <c r="I204" s="828"/>
      <c r="J204" s="828"/>
      <c r="K204" s="828"/>
      <c r="L204" s="828"/>
      <c r="O204" s="89"/>
    </row>
    <row r="205" spans="3:15" ht="14.1" customHeight="1">
      <c r="C205" s="50"/>
      <c r="D205" s="551" t="s">
        <v>207</v>
      </c>
      <c r="E205" s="416">
        <v>654981</v>
      </c>
      <c r="F205" s="828"/>
      <c r="G205" s="828"/>
      <c r="H205" s="830" t="s">
        <v>279</v>
      </c>
      <c r="I205" s="828"/>
      <c r="J205" s="828"/>
      <c r="K205" s="828"/>
      <c r="L205" s="828"/>
      <c r="O205" s="89"/>
    </row>
    <row r="206" spans="3:15" ht="14.1" customHeight="1">
      <c r="C206" s="50"/>
      <c r="D206" s="553" t="s">
        <v>208</v>
      </c>
      <c r="E206" s="416">
        <v>703795</v>
      </c>
      <c r="F206" s="828"/>
      <c r="G206" s="828"/>
      <c r="H206" s="830" t="s">
        <v>284</v>
      </c>
      <c r="I206" s="828"/>
      <c r="J206" s="828"/>
      <c r="K206" s="828"/>
      <c r="L206" s="828"/>
      <c r="O206" s="89"/>
    </row>
    <row r="207" spans="3:15" ht="14.1" customHeight="1">
      <c r="C207" s="50"/>
      <c r="D207" s="551" t="s">
        <v>209</v>
      </c>
      <c r="E207" s="416">
        <v>652364</v>
      </c>
      <c r="F207" s="828"/>
      <c r="G207" s="828"/>
      <c r="H207" s="830" t="s">
        <v>280</v>
      </c>
      <c r="I207" s="828"/>
      <c r="J207" s="828"/>
      <c r="K207" s="828"/>
      <c r="L207" s="828"/>
      <c r="O207" s="89"/>
    </row>
    <row r="208" spans="3:15" ht="14.1" customHeight="1">
      <c r="C208" s="50"/>
      <c r="D208" s="551" t="s">
        <v>210</v>
      </c>
      <c r="E208" s="416">
        <v>644433</v>
      </c>
      <c r="F208" s="828"/>
      <c r="G208" s="828"/>
      <c r="H208" s="830" t="s">
        <v>280</v>
      </c>
      <c r="I208" s="828"/>
      <c r="J208" s="828"/>
      <c r="K208" s="828"/>
      <c r="L208" s="828"/>
      <c r="O208" s="89"/>
    </row>
    <row r="209" spans="3:15" ht="14.1" customHeight="1">
      <c r="C209" s="50"/>
      <c r="D209" s="551" t="s">
        <v>211</v>
      </c>
      <c r="E209" s="416">
        <v>650602</v>
      </c>
      <c r="F209" s="828"/>
      <c r="G209" s="828"/>
      <c r="H209" s="830" t="s">
        <v>280</v>
      </c>
      <c r="I209" s="828"/>
      <c r="J209" s="828"/>
      <c r="K209" s="828"/>
      <c r="L209" s="828"/>
      <c r="O209" s="89"/>
    </row>
    <row r="210" spans="3:15" ht="14.1" customHeight="1">
      <c r="C210" s="50"/>
      <c r="D210" s="552" t="s">
        <v>212</v>
      </c>
      <c r="E210" s="481"/>
      <c r="F210" s="828"/>
      <c r="G210" s="828"/>
      <c r="H210" s="830" t="s">
        <v>280</v>
      </c>
      <c r="I210" s="828"/>
      <c r="J210" s="828"/>
      <c r="K210" s="828"/>
      <c r="L210" s="828"/>
      <c r="O210" s="89"/>
    </row>
    <row r="211" spans="3:15" ht="14.1" customHeight="1">
      <c r="C211" s="50"/>
      <c r="D211" s="194" t="s">
        <v>214</v>
      </c>
      <c r="E211" s="416">
        <v>636733</v>
      </c>
      <c r="F211" s="828"/>
      <c r="G211" s="828"/>
      <c r="H211" s="830" t="s">
        <v>280</v>
      </c>
      <c r="I211" s="828"/>
      <c r="J211" s="828"/>
      <c r="K211" s="828"/>
      <c r="L211" s="828"/>
      <c r="O211" s="89"/>
    </row>
    <row r="212" spans="3:15" ht="14.1" customHeight="1">
      <c r="C212" s="50"/>
      <c r="D212" s="192" t="s">
        <v>216</v>
      </c>
      <c r="E212" s="416">
        <v>637770</v>
      </c>
      <c r="F212" s="828"/>
      <c r="G212" s="828"/>
      <c r="H212" s="830" t="s">
        <v>280</v>
      </c>
      <c r="I212" s="828"/>
      <c r="J212" s="828"/>
      <c r="K212" s="828"/>
      <c r="L212" s="828"/>
      <c r="O212" s="89"/>
    </row>
    <row r="213" spans="3:15" ht="14.1" customHeight="1">
      <c r="C213" s="50"/>
      <c r="D213" s="56"/>
      <c r="E213" s="82"/>
      <c r="F213" s="18"/>
      <c r="G213" s="326"/>
      <c r="H213" s="326"/>
      <c r="I213" s="326"/>
      <c r="J213" s="326"/>
      <c r="K213" s="326"/>
      <c r="L213" s="326"/>
      <c r="O213" s="89"/>
    </row>
    <row r="214" spans="3:15" ht="14.1" customHeight="1">
      <c r="C214" s="564"/>
      <c r="D214" s="564"/>
      <c r="E214" s="82"/>
      <c r="F214" s="18"/>
      <c r="G214" s="326"/>
      <c r="H214" s="326"/>
      <c r="I214" s="326"/>
      <c r="J214" s="326"/>
      <c r="K214" s="326"/>
      <c r="L214" s="326"/>
      <c r="O214" s="89"/>
    </row>
    <row r="215" spans="3:15" ht="14.1" customHeight="1">
      <c r="C215" s="564"/>
      <c r="D215" s="564"/>
      <c r="E215" s="82"/>
      <c r="F215" s="18"/>
      <c r="G215" s="326"/>
      <c r="H215" s="326"/>
      <c r="I215" s="326"/>
      <c r="J215" s="326"/>
      <c r="K215" s="326"/>
      <c r="L215" s="326"/>
      <c r="O215" s="89"/>
    </row>
    <row r="216" spans="3:15" ht="14.1" customHeight="1">
      <c r="D216" s="56"/>
      <c r="E216" s="82"/>
      <c r="F216" s="18"/>
      <c r="G216" s="326"/>
      <c r="H216" s="326"/>
      <c r="I216" s="326"/>
      <c r="J216" s="326"/>
      <c r="K216" s="326"/>
      <c r="L216" s="326"/>
      <c r="O216" s="89"/>
    </row>
    <row r="217" spans="3:15" ht="14.1" customHeight="1">
      <c r="C217" s="564"/>
      <c r="D217" s="564"/>
      <c r="E217" s="82"/>
      <c r="F217" s="18"/>
      <c r="G217" s="326"/>
      <c r="H217" s="326"/>
      <c r="I217" s="326"/>
      <c r="J217" s="326"/>
      <c r="K217" s="326"/>
      <c r="L217" s="326"/>
      <c r="O217" s="89"/>
    </row>
    <row r="218" spans="3:15" ht="14.1" customHeight="1">
      <c r="C218" s="564"/>
      <c r="D218" s="564"/>
      <c r="E218" s="82"/>
      <c r="F218" s="18"/>
      <c r="G218" s="326"/>
      <c r="H218" s="326"/>
      <c r="I218" s="326"/>
      <c r="J218" s="326"/>
      <c r="K218" s="326"/>
      <c r="L218" s="326"/>
      <c r="O218" s="89"/>
    </row>
    <row r="219" spans="3:15" ht="14.1" customHeight="1">
      <c r="D219" s="56"/>
      <c r="E219" s="82"/>
      <c r="F219" s="18"/>
      <c r="G219" s="326"/>
      <c r="H219" s="326"/>
      <c r="I219" s="326"/>
      <c r="J219" s="326"/>
      <c r="K219" s="326"/>
      <c r="L219" s="326"/>
      <c r="O219" s="89"/>
    </row>
    <row r="220" spans="3:15" ht="14.1" customHeight="1">
      <c r="C220" s="564"/>
      <c r="D220" s="564"/>
      <c r="E220" s="82"/>
      <c r="F220" s="18"/>
      <c r="G220" s="326"/>
      <c r="H220" s="326"/>
      <c r="I220" s="326"/>
      <c r="J220" s="326"/>
      <c r="K220" s="326"/>
      <c r="L220" s="326"/>
      <c r="O220" s="89"/>
    </row>
    <row r="221" spans="3:15" ht="14.1" customHeight="1">
      <c r="C221" s="564"/>
      <c r="D221" s="564"/>
      <c r="E221" s="82"/>
      <c r="F221" s="18"/>
      <c r="G221" s="326"/>
      <c r="H221" s="326"/>
      <c r="I221" s="326"/>
      <c r="J221" s="326"/>
      <c r="K221" s="326"/>
      <c r="L221" s="326"/>
      <c r="O221" s="89"/>
    </row>
    <row r="222" spans="3:15" ht="14.1" customHeight="1">
      <c r="D222" s="56"/>
      <c r="E222" s="82"/>
      <c r="F222" s="18"/>
      <c r="G222" s="326"/>
      <c r="H222" s="326"/>
      <c r="I222" s="326"/>
      <c r="J222" s="326"/>
      <c r="K222" s="326"/>
      <c r="L222" s="326"/>
      <c r="O222" s="89"/>
    </row>
    <row r="223" spans="3:15" ht="14.1" customHeight="1">
      <c r="C223" s="564"/>
      <c r="D223" s="564"/>
      <c r="E223" s="82"/>
      <c r="F223" s="18"/>
      <c r="G223" s="326"/>
      <c r="H223" s="326"/>
      <c r="I223" s="326"/>
      <c r="J223" s="326"/>
      <c r="K223" s="326"/>
      <c r="L223" s="326"/>
      <c r="O223" s="89"/>
    </row>
    <row r="224" spans="3:15" ht="14.1" customHeight="1">
      <c r="C224" s="564"/>
      <c r="D224" s="564"/>
      <c r="E224" s="82"/>
      <c r="F224" s="65"/>
      <c r="G224" s="65"/>
      <c r="H224" s="65"/>
      <c r="I224" s="65"/>
      <c r="J224" s="65"/>
      <c r="K224" s="65"/>
      <c r="L224" s="65"/>
      <c r="O224" s="89"/>
    </row>
    <row r="225" spans="3:15" ht="14.1" customHeight="1">
      <c r="D225" s="56"/>
      <c r="E225" s="82"/>
      <c r="F225" s="65"/>
      <c r="G225" s="65"/>
      <c r="H225" s="65"/>
      <c r="I225" s="65"/>
      <c r="J225" s="65"/>
      <c r="K225" s="65"/>
      <c r="L225" s="65"/>
      <c r="O225" s="89"/>
    </row>
    <row r="226" spans="3:15" ht="14.1" customHeight="1">
      <c r="C226" s="564"/>
      <c r="D226" s="564"/>
      <c r="E226" s="82"/>
      <c r="F226" s="65"/>
      <c r="G226" s="65"/>
      <c r="H226" s="65"/>
      <c r="I226" s="65"/>
      <c r="J226" s="65"/>
      <c r="K226" s="65"/>
      <c r="L226" s="65"/>
      <c r="O226" s="89"/>
    </row>
    <row r="227" spans="3:15" ht="14.1" customHeight="1">
      <c r="C227" s="564"/>
      <c r="D227" s="564"/>
      <c r="E227" s="82"/>
      <c r="F227" s="65"/>
      <c r="G227" s="65"/>
      <c r="H227" s="65"/>
      <c r="I227" s="65"/>
      <c r="J227" s="65"/>
      <c r="K227" s="65"/>
      <c r="L227" s="65"/>
      <c r="O227" s="89"/>
    </row>
    <row r="228" spans="3:15" ht="14.1" customHeight="1">
      <c r="D228" s="56"/>
      <c r="E228" s="82"/>
      <c r="F228" s="65"/>
      <c r="G228" s="65"/>
      <c r="H228" s="65"/>
      <c r="I228" s="65"/>
      <c r="J228" s="65"/>
      <c r="K228" s="65"/>
      <c r="L228" s="65"/>
      <c r="O228" s="89"/>
    </row>
    <row r="229" spans="3:15" ht="14.1" customHeight="1">
      <c r="C229" s="564"/>
      <c r="D229" s="564"/>
      <c r="E229" s="82"/>
      <c r="F229" s="65"/>
      <c r="G229" s="565"/>
      <c r="H229" s="565"/>
      <c r="I229" s="565"/>
      <c r="J229" s="565"/>
      <c r="K229" s="565"/>
      <c r="L229" s="565"/>
      <c r="O229" s="89"/>
    </row>
    <row r="230" spans="3:15" ht="14.1" customHeight="1">
      <c r="C230" s="564"/>
      <c r="D230" s="564"/>
      <c r="E230" s="82"/>
      <c r="G230" s="66"/>
      <c r="H230" s="66"/>
      <c r="I230" s="66"/>
      <c r="J230" s="66"/>
      <c r="K230" s="566"/>
      <c r="L230" s="566"/>
      <c r="O230" s="89"/>
    </row>
    <row r="231" spans="3:15" ht="14.1" customHeight="1">
      <c r="D231" s="56"/>
      <c r="E231" s="82"/>
      <c r="G231" s="66"/>
      <c r="H231" s="66"/>
      <c r="I231" s="66"/>
      <c r="J231" s="66"/>
      <c r="K231" s="66"/>
      <c r="L231" s="66"/>
      <c r="O231" s="89"/>
    </row>
    <row r="232" spans="3:15" ht="14.1" customHeight="1">
      <c r="C232" s="564"/>
      <c r="D232" s="564"/>
      <c r="E232" s="82"/>
      <c r="G232" s="66"/>
      <c r="H232" s="66"/>
      <c r="I232" s="66"/>
      <c r="J232" s="66"/>
      <c r="K232" s="66"/>
      <c r="L232" s="66"/>
      <c r="O232" s="89"/>
    </row>
    <row r="233" spans="3:15" ht="14.1" customHeight="1">
      <c r="C233" s="564"/>
      <c r="D233" s="564"/>
      <c r="E233" s="82"/>
      <c r="G233" s="66"/>
      <c r="H233" s="66"/>
      <c r="I233" s="66"/>
      <c r="J233" s="66"/>
      <c r="K233" s="66"/>
      <c r="L233" s="66"/>
      <c r="O233" s="89"/>
    </row>
    <row r="234" spans="3:15" ht="14.1" customHeight="1">
      <c r="D234" s="56"/>
      <c r="E234" s="82"/>
      <c r="G234" s="66"/>
      <c r="H234" s="66"/>
      <c r="I234" s="66"/>
      <c r="J234" s="66"/>
      <c r="K234" s="66"/>
      <c r="L234" s="66"/>
      <c r="O234" s="89"/>
    </row>
    <row r="235" spans="3:15" ht="14.1" customHeight="1">
      <c r="C235" s="564"/>
      <c r="D235" s="564"/>
      <c r="E235" s="82"/>
      <c r="G235" s="66"/>
      <c r="H235" s="66"/>
      <c r="I235" s="66"/>
      <c r="J235" s="66"/>
      <c r="K235" s="66"/>
      <c r="L235" s="66"/>
      <c r="O235" s="567"/>
    </row>
    <row r="236" spans="3:15" ht="14.1" customHeight="1">
      <c r="C236" s="564"/>
      <c r="D236" s="564"/>
      <c r="E236" s="82"/>
      <c r="G236" s="66"/>
      <c r="H236" s="66"/>
      <c r="I236" s="66"/>
      <c r="J236" s="66"/>
      <c r="K236" s="66"/>
      <c r="L236" s="66"/>
      <c r="O236" s="567"/>
    </row>
    <row r="237" spans="3:15" ht="14.1" customHeight="1">
      <c r="D237" s="56"/>
      <c r="E237" s="82"/>
      <c r="G237" s="66"/>
      <c r="H237" s="66"/>
      <c r="I237" s="66"/>
      <c r="J237" s="66"/>
      <c r="K237" s="66"/>
      <c r="L237" s="66"/>
      <c r="O237" s="567"/>
    </row>
    <row r="238" spans="3:15" ht="14.1" customHeight="1">
      <c r="C238" s="564"/>
      <c r="D238" s="564"/>
      <c r="E238" s="82"/>
      <c r="G238" s="73"/>
      <c r="H238" s="66"/>
      <c r="I238" s="66"/>
      <c r="J238" s="66"/>
      <c r="K238" s="66"/>
      <c r="L238" s="66"/>
      <c r="O238" s="567"/>
    </row>
    <row r="239" spans="3:15" ht="14.1" customHeight="1">
      <c r="C239" s="564"/>
      <c r="D239" s="564"/>
      <c r="E239" s="82"/>
      <c r="G239" s="66"/>
      <c r="H239" s="66"/>
      <c r="I239" s="66"/>
      <c r="J239" s="66"/>
      <c r="K239" s="66"/>
      <c r="L239" s="66"/>
      <c r="O239" s="567"/>
    </row>
    <row r="240" spans="3:15" ht="14.1" customHeight="1">
      <c r="D240" s="56"/>
      <c r="E240" s="82"/>
      <c r="G240" s="66"/>
      <c r="H240" s="66"/>
      <c r="I240" s="66"/>
      <c r="J240" s="66"/>
      <c r="K240" s="66"/>
      <c r="L240" s="66"/>
      <c r="O240" s="567"/>
    </row>
    <row r="241" spans="3:12" ht="14.1" customHeight="1">
      <c r="C241" s="564"/>
      <c r="D241" s="564"/>
      <c r="E241" s="82"/>
      <c r="G241" s="74"/>
      <c r="H241" s="66"/>
      <c r="I241" s="66"/>
      <c r="J241" s="66"/>
      <c r="K241" s="66"/>
      <c r="L241" s="66"/>
    </row>
    <row r="242" spans="3:12" ht="14.1" customHeight="1">
      <c r="C242" s="564"/>
      <c r="D242" s="564"/>
      <c r="E242" s="82"/>
      <c r="G242" s="66"/>
      <c r="H242" s="66"/>
      <c r="I242" s="66"/>
      <c r="J242" s="66"/>
      <c r="K242" s="66"/>
      <c r="L242" s="66"/>
    </row>
    <row r="243" spans="3:12" ht="14.1" customHeight="1">
      <c r="D243" s="56"/>
      <c r="E243" s="82"/>
      <c r="G243" s="66"/>
      <c r="H243" s="66"/>
      <c r="I243" s="66"/>
      <c r="J243" s="66"/>
      <c r="K243" s="66"/>
      <c r="L243" s="66"/>
    </row>
    <row r="244" spans="3:12" ht="14.1" customHeight="1">
      <c r="C244" s="564"/>
      <c r="D244" s="564"/>
      <c r="E244" s="82"/>
      <c r="G244" s="566"/>
      <c r="H244" s="566"/>
      <c r="I244" s="566"/>
      <c r="J244" s="566"/>
      <c r="K244" s="566"/>
      <c r="L244" s="566"/>
    </row>
    <row r="245" spans="3:12" ht="14.1" customHeight="1">
      <c r="C245" s="564"/>
      <c r="D245" s="564"/>
      <c r="E245" s="82"/>
      <c r="G245" s="566"/>
      <c r="H245" s="566"/>
      <c r="I245" s="566"/>
      <c r="J245" s="566"/>
      <c r="K245" s="566"/>
      <c r="L245" s="566"/>
    </row>
    <row r="246" spans="3:12" ht="14.1" customHeight="1">
      <c r="D246" s="56"/>
      <c r="E246" s="82"/>
      <c r="G246" s="566"/>
      <c r="H246" s="566"/>
      <c r="I246" s="566"/>
      <c r="J246" s="566"/>
      <c r="K246" s="566"/>
      <c r="L246" s="566"/>
    </row>
    <row r="247" spans="3:12" ht="14.1" customHeight="1">
      <c r="C247" s="564"/>
      <c r="D247" s="564"/>
      <c r="E247" s="82"/>
      <c r="G247" s="566"/>
      <c r="H247" s="566"/>
      <c r="I247" s="566"/>
      <c r="J247" s="566"/>
      <c r="K247" s="566"/>
      <c r="L247" s="566"/>
    </row>
    <row r="248" spans="3:12" ht="14.1" customHeight="1">
      <c r="C248" s="564"/>
      <c r="D248" s="564"/>
      <c r="E248" s="82"/>
      <c r="G248" s="566"/>
      <c r="H248" s="566"/>
      <c r="I248" s="566"/>
      <c r="J248" s="566"/>
      <c r="K248" s="566"/>
      <c r="L248" s="566"/>
    </row>
    <row r="249" spans="3:12" ht="14.1" customHeight="1">
      <c r="D249" s="56"/>
      <c r="E249" s="82"/>
      <c r="G249" s="566"/>
      <c r="H249" s="566"/>
      <c r="I249" s="566"/>
      <c r="J249" s="566"/>
      <c r="K249" s="566"/>
      <c r="L249" s="566"/>
    </row>
    <row r="250" spans="3:12" ht="14.1" customHeight="1">
      <c r="C250" s="564"/>
      <c r="D250" s="564"/>
      <c r="E250" s="82"/>
      <c r="G250" s="566"/>
      <c r="H250" s="566"/>
      <c r="I250" s="566"/>
      <c r="J250" s="566"/>
      <c r="K250" s="566"/>
      <c r="L250" s="566"/>
    </row>
    <row r="251" spans="3:12" ht="14.1" customHeight="1">
      <c r="C251" s="564"/>
      <c r="D251" s="564"/>
      <c r="E251" s="82"/>
      <c r="G251" s="566"/>
      <c r="H251" s="566"/>
      <c r="I251" s="566"/>
      <c r="J251" s="566"/>
      <c r="K251" s="566"/>
      <c r="L251" s="566"/>
    </row>
    <row r="252" spans="3:12" ht="14.1" customHeight="1">
      <c r="D252" s="56"/>
      <c r="E252" s="82"/>
      <c r="F252" s="65"/>
      <c r="G252" s="565"/>
      <c r="H252" s="565"/>
      <c r="I252" s="565"/>
      <c r="J252" s="565"/>
      <c r="K252" s="565"/>
      <c r="L252" s="565"/>
    </row>
    <row r="253" spans="3:12" ht="14.1" customHeight="1">
      <c r="C253" s="564"/>
      <c r="D253" s="564"/>
      <c r="E253" s="82"/>
      <c r="F253" s="65"/>
      <c r="G253" s="565"/>
      <c r="H253" s="565"/>
      <c r="I253" s="565"/>
      <c r="J253" s="565"/>
      <c r="K253" s="565"/>
      <c r="L253" s="565"/>
    </row>
    <row r="254" spans="3:12" ht="14.1" customHeight="1">
      <c r="C254" s="564"/>
      <c r="D254" s="564"/>
      <c r="E254" s="82"/>
      <c r="F254" s="65"/>
      <c r="G254" s="565"/>
      <c r="H254" s="565"/>
      <c r="I254" s="565"/>
      <c r="J254" s="565"/>
      <c r="K254" s="565"/>
      <c r="L254" s="565"/>
    </row>
    <row r="255" spans="3:12" ht="14.1" customHeight="1">
      <c r="D255" s="56"/>
      <c r="E255" s="82"/>
      <c r="F255" s="65"/>
      <c r="G255" s="565"/>
      <c r="H255" s="565"/>
      <c r="I255" s="565"/>
      <c r="J255" s="565"/>
      <c r="K255" s="565"/>
      <c r="L255" s="565"/>
    </row>
    <row r="256" spans="3:12" ht="14.1" customHeight="1">
      <c r="C256" s="564"/>
      <c r="D256" s="564"/>
      <c r="E256" s="82"/>
      <c r="F256" s="65"/>
      <c r="G256" s="565"/>
      <c r="H256" s="565"/>
      <c r="I256" s="565"/>
      <c r="J256" s="565"/>
      <c r="K256" s="565"/>
      <c r="L256" s="565"/>
    </row>
    <row r="257" spans="4:12" ht="14.1" customHeight="1">
      <c r="D257" s="564"/>
      <c r="E257" s="82"/>
      <c r="F257" s="65"/>
      <c r="G257" s="565"/>
      <c r="H257" s="565"/>
      <c r="I257" s="565"/>
      <c r="J257" s="565"/>
      <c r="K257" s="565"/>
      <c r="L257" s="565"/>
    </row>
    <row r="258" spans="4:12" ht="14.1" customHeight="1">
      <c r="D258" s="56"/>
      <c r="E258" s="82"/>
      <c r="F258" s="65"/>
      <c r="G258" s="565"/>
      <c r="H258" s="565"/>
      <c r="I258" s="565"/>
      <c r="J258" s="565"/>
      <c r="K258" s="565"/>
      <c r="L258" s="565"/>
    </row>
    <row r="259" spans="4:12" ht="14.1" customHeight="1">
      <c r="D259" s="564"/>
      <c r="E259" s="82"/>
      <c r="F259" s="65"/>
      <c r="G259" s="565"/>
      <c r="H259" s="565"/>
      <c r="I259" s="565"/>
      <c r="J259" s="565"/>
      <c r="K259" s="565"/>
      <c r="L259" s="565"/>
    </row>
    <row r="260" spans="4:12" ht="14.1" customHeight="1">
      <c r="D260" s="564"/>
      <c r="E260" s="82"/>
      <c r="F260" s="65"/>
      <c r="G260" s="565"/>
      <c r="H260" s="565"/>
      <c r="I260" s="565"/>
      <c r="J260" s="565"/>
      <c r="K260" s="565"/>
      <c r="L260" s="565"/>
    </row>
    <row r="261" spans="4:12" ht="14.1" customHeight="1">
      <c r="D261" s="56"/>
      <c r="E261" s="82"/>
      <c r="F261" s="65"/>
      <c r="G261" s="565"/>
      <c r="H261" s="565"/>
      <c r="I261" s="565"/>
      <c r="J261" s="565"/>
      <c r="K261" s="565"/>
      <c r="L261" s="565"/>
    </row>
    <row r="262" spans="4:12" ht="14.1" customHeight="1">
      <c r="D262" s="564"/>
      <c r="E262" s="82"/>
      <c r="F262" s="65"/>
      <c r="G262" s="565"/>
      <c r="H262" s="565"/>
      <c r="I262" s="565"/>
      <c r="J262" s="565"/>
      <c r="K262" s="565"/>
      <c r="L262" s="565"/>
    </row>
    <row r="263" spans="4:12" ht="14.1" customHeight="1">
      <c r="D263" s="564"/>
      <c r="E263" s="82"/>
      <c r="F263" s="65"/>
      <c r="G263" s="565"/>
      <c r="H263" s="565"/>
      <c r="I263" s="565"/>
      <c r="J263" s="565"/>
      <c r="K263" s="565"/>
      <c r="L263" s="565"/>
    </row>
    <row r="264" spans="4:12" ht="14.1" customHeight="1">
      <c r="D264" s="56"/>
      <c r="E264" s="82"/>
      <c r="F264" s="65"/>
      <c r="G264" s="565"/>
      <c r="H264" s="565"/>
      <c r="I264" s="565"/>
      <c r="J264" s="565"/>
      <c r="K264" s="565"/>
      <c r="L264" s="565"/>
    </row>
    <row r="265" spans="4:12" ht="14.1" customHeight="1">
      <c r="D265" s="564"/>
      <c r="E265" s="82"/>
      <c r="F265" s="65"/>
      <c r="G265" s="565"/>
      <c r="H265" s="565"/>
      <c r="I265" s="565"/>
      <c r="J265" s="565"/>
      <c r="K265" s="565"/>
      <c r="L265" s="565"/>
    </row>
    <row r="266" spans="4:12" ht="14.1" customHeight="1">
      <c r="D266" s="556"/>
      <c r="E266" s="82"/>
      <c r="F266" s="65"/>
      <c r="G266" s="565"/>
      <c r="H266" s="565"/>
      <c r="I266" s="565"/>
      <c r="J266" s="565"/>
      <c r="K266" s="565"/>
      <c r="L266" s="565"/>
    </row>
    <row r="267" spans="4:12" ht="14.1" customHeight="1">
      <c r="D267" s="556"/>
      <c r="E267" s="82"/>
      <c r="F267" s="65"/>
      <c r="G267" s="565"/>
      <c r="H267" s="565"/>
      <c r="I267" s="565"/>
      <c r="J267" s="565"/>
      <c r="K267" s="565"/>
      <c r="L267" s="565"/>
    </row>
    <row r="268" spans="4:12" ht="14.1" customHeight="1">
      <c r="D268" s="556"/>
      <c r="E268" s="82"/>
      <c r="F268" s="65"/>
      <c r="G268" s="565"/>
      <c r="H268" s="565"/>
      <c r="I268" s="565"/>
      <c r="J268" s="565"/>
      <c r="K268" s="565"/>
      <c r="L268" s="565"/>
    </row>
    <row r="269" spans="4:12" ht="14.1" customHeight="1">
      <c r="D269" s="556"/>
      <c r="E269" s="82"/>
      <c r="F269" s="65"/>
      <c r="G269" s="565"/>
      <c r="H269" s="565"/>
      <c r="I269" s="565"/>
      <c r="J269" s="565"/>
      <c r="K269" s="565"/>
      <c r="L269" s="565"/>
    </row>
    <row r="270" spans="4:12" ht="14.1" customHeight="1">
      <c r="D270" s="556"/>
      <c r="E270" s="82"/>
      <c r="F270" s="65"/>
      <c r="G270" s="565"/>
      <c r="H270" s="565"/>
      <c r="I270" s="565"/>
      <c r="J270" s="565"/>
      <c r="K270" s="565"/>
      <c r="L270" s="565"/>
    </row>
    <row r="271" spans="4:12" ht="14.1" customHeight="1">
      <c r="D271" s="556"/>
      <c r="E271" s="82"/>
      <c r="F271" s="65"/>
      <c r="G271" s="565"/>
      <c r="H271" s="565"/>
      <c r="I271" s="565"/>
      <c r="J271" s="565"/>
      <c r="K271" s="565"/>
      <c r="L271" s="565"/>
    </row>
    <row r="272" spans="4:12" ht="14.1" customHeight="1">
      <c r="D272" s="556"/>
      <c r="E272" s="82"/>
      <c r="F272" s="65"/>
      <c r="G272" s="565"/>
      <c r="H272" s="565"/>
      <c r="I272" s="565"/>
      <c r="J272" s="565"/>
      <c r="K272" s="565"/>
      <c r="L272" s="565"/>
    </row>
    <row r="273" spans="5:12" ht="14.1" customHeight="1">
      <c r="E273" s="82"/>
      <c r="F273" s="65"/>
      <c r="G273" s="565"/>
      <c r="H273" s="565"/>
      <c r="I273" s="565"/>
      <c r="J273" s="565"/>
      <c r="K273" s="565"/>
      <c r="L273" s="565"/>
    </row>
    <row r="274" spans="5:12" ht="14.1" customHeight="1">
      <c r="E274" s="82"/>
      <c r="F274" s="65"/>
      <c r="G274" s="565"/>
      <c r="H274" s="565"/>
      <c r="I274" s="565"/>
      <c r="J274" s="565"/>
      <c r="K274" s="565"/>
      <c r="L274" s="565"/>
    </row>
    <row r="275" spans="5:12" ht="14.1" customHeight="1">
      <c r="E275" s="82"/>
      <c r="F275" s="65"/>
      <c r="G275" s="565"/>
      <c r="H275" s="565"/>
      <c r="I275" s="565"/>
      <c r="J275" s="565"/>
      <c r="K275" s="565"/>
      <c r="L275" s="565"/>
    </row>
    <row r="276" spans="5:12" ht="14.1" customHeight="1">
      <c r="E276" s="82"/>
      <c r="F276" s="65"/>
      <c r="G276" s="565"/>
      <c r="H276" s="565"/>
      <c r="I276" s="565"/>
      <c r="J276" s="565"/>
      <c r="K276" s="565"/>
      <c r="L276" s="565"/>
    </row>
    <row r="277" spans="5:12" ht="14.1" customHeight="1">
      <c r="E277" s="82"/>
      <c r="F277" s="65"/>
      <c r="G277" s="565"/>
      <c r="H277" s="565"/>
      <c r="I277" s="565"/>
      <c r="J277" s="565"/>
      <c r="K277" s="565"/>
      <c r="L277" s="565"/>
    </row>
    <row r="278" spans="5:12" ht="14.1" customHeight="1">
      <c r="E278" s="82"/>
      <c r="F278" s="65"/>
      <c r="G278" s="565"/>
      <c r="H278" s="565"/>
      <c r="I278" s="565"/>
      <c r="J278" s="565"/>
      <c r="K278" s="565"/>
      <c r="L278" s="565"/>
    </row>
    <row r="279" spans="5:12" ht="14.1" customHeight="1">
      <c r="E279" s="568"/>
      <c r="F279" s="65"/>
      <c r="G279" s="565"/>
      <c r="H279" s="565"/>
      <c r="I279" s="565"/>
      <c r="J279" s="565"/>
      <c r="K279" s="565"/>
      <c r="L279" s="565"/>
    </row>
    <row r="280" spans="5:12" ht="14.1" customHeight="1">
      <c r="E280" s="568"/>
      <c r="F280" s="65"/>
      <c r="G280" s="565"/>
      <c r="H280" s="565"/>
      <c r="I280" s="565"/>
      <c r="J280" s="565"/>
      <c r="K280" s="565"/>
      <c r="L280" s="565"/>
    </row>
    <row r="281" spans="5:12">
      <c r="E281" s="568"/>
      <c r="F281" s="65"/>
      <c r="G281" s="565"/>
      <c r="H281" s="565"/>
      <c r="I281" s="565"/>
      <c r="J281" s="565"/>
      <c r="K281" s="565"/>
      <c r="L281" s="565"/>
    </row>
    <row r="282" spans="5:12">
      <c r="E282" s="568"/>
      <c r="F282" s="65"/>
      <c r="G282" s="565"/>
      <c r="H282" s="565"/>
      <c r="I282" s="565"/>
      <c r="J282" s="565"/>
      <c r="K282" s="565"/>
      <c r="L282" s="565"/>
    </row>
    <row r="283" spans="5:12">
      <c r="E283" s="568"/>
      <c r="F283" s="65"/>
      <c r="G283" s="565"/>
      <c r="H283" s="565"/>
      <c r="I283" s="565"/>
      <c r="J283" s="565"/>
      <c r="K283" s="565"/>
      <c r="L283" s="565"/>
    </row>
    <row r="284" spans="5:12">
      <c r="E284" s="568"/>
      <c r="F284" s="65"/>
      <c r="G284" s="565"/>
      <c r="H284" s="565"/>
      <c r="I284" s="565"/>
      <c r="J284" s="565"/>
      <c r="K284" s="565"/>
      <c r="L284" s="565"/>
    </row>
    <row r="285" spans="5:12">
      <c r="E285" s="568"/>
      <c r="F285" s="65"/>
      <c r="G285" s="565"/>
      <c r="H285" s="565"/>
      <c r="I285" s="565"/>
      <c r="J285" s="565"/>
      <c r="K285" s="565"/>
      <c r="L285" s="565"/>
    </row>
    <row r="286" spans="5:12">
      <c r="E286" s="568"/>
      <c r="F286" s="65"/>
      <c r="G286" s="565"/>
      <c r="H286" s="565"/>
      <c r="I286" s="565"/>
      <c r="J286" s="565"/>
      <c r="K286" s="565"/>
      <c r="L286" s="565"/>
    </row>
    <row r="287" spans="5:12">
      <c r="E287" s="568"/>
      <c r="F287" s="65"/>
      <c r="G287" s="565"/>
      <c r="H287" s="565"/>
      <c r="I287" s="565"/>
      <c r="J287" s="565"/>
      <c r="K287" s="565"/>
      <c r="L287" s="565"/>
    </row>
    <row r="288" spans="5:12">
      <c r="E288" s="568"/>
      <c r="F288" s="65"/>
      <c r="G288" s="565"/>
      <c r="H288" s="565"/>
      <c r="I288" s="565"/>
      <c r="J288" s="565"/>
      <c r="K288" s="565"/>
      <c r="L288" s="565"/>
    </row>
    <row r="289" spans="6:12">
      <c r="F289" s="65"/>
      <c r="G289" s="565"/>
      <c r="H289" s="565"/>
      <c r="I289" s="565"/>
      <c r="J289" s="565"/>
      <c r="K289" s="565"/>
      <c r="L289" s="565"/>
    </row>
    <row r="290" spans="6:12">
      <c r="F290" s="65"/>
      <c r="G290" s="565"/>
      <c r="H290" s="565"/>
      <c r="I290" s="565"/>
      <c r="J290" s="565"/>
      <c r="K290" s="565"/>
      <c r="L290" s="565"/>
    </row>
    <row r="291" spans="6:12">
      <c r="F291" s="65"/>
      <c r="G291" s="565"/>
      <c r="H291" s="565"/>
      <c r="I291" s="565"/>
      <c r="J291" s="565"/>
      <c r="K291" s="565"/>
      <c r="L291" s="565"/>
    </row>
    <row r="292" spans="6:12">
      <c r="F292" s="65"/>
      <c r="G292" s="565"/>
      <c r="H292" s="565"/>
      <c r="I292" s="565"/>
      <c r="J292" s="565"/>
      <c r="K292" s="565"/>
      <c r="L292" s="565"/>
    </row>
  </sheetData>
  <sheetProtection sheet="1" formatCells="0" formatColumns="0" formatRows="0" insertColumns="0" insertRows="0"/>
  <protectedRanges>
    <protectedRange sqref="C1:L213" name="Range1"/>
  </protectedRanges>
  <mergeCells count="95">
    <mergeCell ref="W49:W50"/>
    <mergeCell ref="W51:W58"/>
    <mergeCell ref="O77:O78"/>
    <mergeCell ref="P77:P78"/>
    <mergeCell ref="Q77:Q78"/>
    <mergeCell ref="R77:R78"/>
    <mergeCell ref="Q49:Q50"/>
    <mergeCell ref="R49:R50"/>
    <mergeCell ref="S49:S50"/>
    <mergeCell ref="T49:T50"/>
    <mergeCell ref="U49:U50"/>
    <mergeCell ref="U67:U75"/>
    <mergeCell ref="U77:U78"/>
    <mergeCell ref="W36:W40"/>
    <mergeCell ref="N41:N47"/>
    <mergeCell ref="O41:O47"/>
    <mergeCell ref="P41:P47"/>
    <mergeCell ref="Q41:Q47"/>
    <mergeCell ref="R41:R47"/>
    <mergeCell ref="S41:S47"/>
    <mergeCell ref="T41:T47"/>
    <mergeCell ref="U41:U47"/>
    <mergeCell ref="W41:W46"/>
    <mergeCell ref="W28:W30"/>
    <mergeCell ref="N21:N27"/>
    <mergeCell ref="O21:O27"/>
    <mergeCell ref="P21:P27"/>
    <mergeCell ref="Q21:Q27"/>
    <mergeCell ref="R21:R27"/>
    <mergeCell ref="S21:S27"/>
    <mergeCell ref="T21:T27"/>
    <mergeCell ref="U21:U27"/>
    <mergeCell ref="W21:W27"/>
    <mergeCell ref="N28:N30"/>
    <mergeCell ref="O28:O30"/>
    <mergeCell ref="P28:P30"/>
    <mergeCell ref="Q28:Q30"/>
    <mergeCell ref="R28:R30"/>
    <mergeCell ref="W19:W20"/>
    <mergeCell ref="N11:N17"/>
    <mergeCell ref="O11:O17"/>
    <mergeCell ref="P11:P17"/>
    <mergeCell ref="Q11:Q17"/>
    <mergeCell ref="R11:R17"/>
    <mergeCell ref="S11:S17"/>
    <mergeCell ref="T11:T17"/>
    <mergeCell ref="U11:U17"/>
    <mergeCell ref="W11:W17"/>
    <mergeCell ref="N19:N20"/>
    <mergeCell ref="O19:O20"/>
    <mergeCell ref="P19:P20"/>
    <mergeCell ref="Q19:Q20"/>
    <mergeCell ref="R19:R20"/>
    <mergeCell ref="O5:U5"/>
    <mergeCell ref="F2:L2"/>
    <mergeCell ref="O2:U2"/>
    <mergeCell ref="O35:U35"/>
    <mergeCell ref="S19:S20"/>
    <mergeCell ref="T19:T20"/>
    <mergeCell ref="U19:U20"/>
    <mergeCell ref="S28:S30"/>
    <mergeCell ref="T28:T30"/>
    <mergeCell ref="U28:U30"/>
    <mergeCell ref="N49:N50"/>
    <mergeCell ref="O49:O50"/>
    <mergeCell ref="P49:P50"/>
    <mergeCell ref="S77:S78"/>
    <mergeCell ref="T77:T78"/>
    <mergeCell ref="R51:R58"/>
    <mergeCell ref="S51:S58"/>
    <mergeCell ref="T51:T58"/>
    <mergeCell ref="R60:R63"/>
    <mergeCell ref="S60:S63"/>
    <mergeCell ref="T60:T63"/>
    <mergeCell ref="T67:T75"/>
    <mergeCell ref="N77:N78"/>
    <mergeCell ref="Q67:Q75"/>
    <mergeCell ref="R67:R75"/>
    <mergeCell ref="S67:S75"/>
    <mergeCell ref="F159:L159"/>
    <mergeCell ref="N51:N58"/>
    <mergeCell ref="O51:O58"/>
    <mergeCell ref="P51:P58"/>
    <mergeCell ref="Q51:Q58"/>
    <mergeCell ref="N60:N63"/>
    <mergeCell ref="O60:O63"/>
    <mergeCell ref="P60:P63"/>
    <mergeCell ref="Q60:Q63"/>
    <mergeCell ref="O65:U65"/>
    <mergeCell ref="N67:N75"/>
    <mergeCell ref="O67:O75"/>
    <mergeCell ref="P67:P75"/>
    <mergeCell ref="F111:L111"/>
    <mergeCell ref="U51:U58"/>
    <mergeCell ref="U60:U63"/>
  </mergeCells>
  <phoneticPr fontId="15" type="noConversion"/>
  <conditionalFormatting sqref="C257:C267">
    <cfRule type="containsText" dxfId="1592" priority="161" operator="containsText" text="FL">
      <formula>NOT(ISERROR(SEARCH("FL",C257)))</formula>
    </cfRule>
    <cfRule type="containsText" dxfId="1591" priority="162" operator="containsText" text="FT">
      <formula>NOT(ISERROR(SEARCH("FT",C257)))</formula>
    </cfRule>
    <cfRule type="containsText" dxfId="1590" priority="163" operator="containsText" text="SS">
      <formula>NOT(ISERROR(SEARCH("SS",C257)))</formula>
    </cfRule>
    <cfRule type="containsText" dxfId="1589" priority="164" operator="containsText" text="GR">
      <formula>NOT(ISERROR(SEARCH("GR",C257)))</formula>
    </cfRule>
    <cfRule type="containsText" dxfId="1588" priority="165" operator="containsText" text="GO">
      <formula>NOT(ISERROR(SEARCH("GO",C257)))</formula>
    </cfRule>
  </conditionalFormatting>
  <conditionalFormatting sqref="D72 D110:D111">
    <cfRule type="containsText" dxfId="1587" priority="152" operator="containsText" text="GR">
      <formula>NOT(ISERROR(SEARCH("GR",D72)))</formula>
    </cfRule>
  </conditionalFormatting>
  <conditionalFormatting sqref="D80:D81 D73:D78">
    <cfRule type="duplicateValues" dxfId="1586" priority="52"/>
  </conditionalFormatting>
  <conditionalFormatting sqref="D84:D88">
    <cfRule type="duplicateValues" dxfId="1585" priority="51"/>
  </conditionalFormatting>
  <conditionalFormatting sqref="D85:D86">
    <cfRule type="duplicateValues" dxfId="1584" priority="48"/>
    <cfRule type="duplicateValues" dxfId="1583" priority="49"/>
  </conditionalFormatting>
  <conditionalFormatting sqref="D89:D90">
    <cfRule type="duplicateValues" dxfId="1582" priority="50"/>
  </conditionalFormatting>
  <conditionalFormatting sqref="D104:D107 D92:D102">
    <cfRule type="duplicateValues" dxfId="1581" priority="46"/>
  </conditionalFormatting>
  <conditionalFormatting sqref="D107">
    <cfRule type="duplicateValues" dxfId="1580" priority="44"/>
    <cfRule type="duplicateValues" dxfId="1579" priority="45"/>
  </conditionalFormatting>
  <conditionalFormatting sqref="D109">
    <cfRule type="duplicateValues" dxfId="1578" priority="47"/>
  </conditionalFormatting>
  <conditionalFormatting sqref="D185:D186 D178:D183">
    <cfRule type="duplicateValues" dxfId="1577" priority="43"/>
  </conditionalFormatting>
  <conditionalFormatting sqref="D188:D192">
    <cfRule type="duplicateValues" dxfId="1576" priority="42"/>
  </conditionalFormatting>
  <conditionalFormatting sqref="D189:D190">
    <cfRule type="duplicateValues" dxfId="1575" priority="39"/>
    <cfRule type="duplicateValues" dxfId="1574" priority="40"/>
  </conditionalFormatting>
  <conditionalFormatting sqref="D193">
    <cfRule type="duplicateValues" dxfId="1573" priority="41"/>
  </conditionalFormatting>
  <conditionalFormatting sqref="D207:D210 D195:D205">
    <cfRule type="duplicateValues" dxfId="1572" priority="37"/>
  </conditionalFormatting>
  <conditionalFormatting sqref="D210">
    <cfRule type="duplicateValues" dxfId="1571" priority="35"/>
    <cfRule type="duplicateValues" dxfId="1570" priority="36"/>
  </conditionalFormatting>
  <conditionalFormatting sqref="D212">
    <cfRule type="duplicateValues" dxfId="1569" priority="38"/>
  </conditionalFormatting>
  <conditionalFormatting sqref="E8 E13">
    <cfRule type="containsText" dxfId="1568" priority="154" operator="containsText" text="FC">
      <formula>NOT(ISERROR(SEARCH("FC",E8)))</formula>
    </cfRule>
    <cfRule type="containsText" dxfId="1567" priority="155" operator="containsText" text="PAC">
      <formula>NOT(ISERROR(SEARCH("PAC",E8)))</formula>
    </cfRule>
    <cfRule type="containsText" dxfId="1566" priority="156" operator="containsText" text="AA">
      <formula>NOT(ISERROR(SEARCH("AA",E8)))</formula>
    </cfRule>
    <cfRule type="containsText" dxfId="1565" priority="157" operator="containsText" text="RC">
      <formula>NOT(ISERROR(SEARCH("RC",E8)))</formula>
    </cfRule>
    <cfRule type="containsText" dxfId="1564" priority="158" operator="containsText" text="GC">
      <formula>NOT(ISERROR(SEARCH("GC",E8)))</formula>
    </cfRule>
    <cfRule type="containsText" dxfId="1563" priority="159" operator="containsText" text="SSC">
      <formula>NOT(ISERROR(SEARCH("SSC",E8)))</formula>
    </cfRule>
    <cfRule type="containsText" dxfId="1562" priority="160" operator="containsText" text="CSO">
      <formula>NOT(ISERROR(SEARCH("CSO",E8)))</formula>
    </cfRule>
  </conditionalFormatting>
  <conditionalFormatting sqref="E20 E26 E30">
    <cfRule type="containsText" dxfId="1561" priority="166" operator="containsText" text="PAC">
      <formula>NOT(ISERROR(SEARCH("PAC",E20)))</formula>
    </cfRule>
    <cfRule type="containsText" dxfId="1560" priority="167" operator="containsText" text="GC">
      <formula>NOT(ISERROR(SEARCH("GC",E20)))</formula>
    </cfRule>
  </conditionalFormatting>
  <conditionalFormatting sqref="E20 E26 E30:E31 E50:E53">
    <cfRule type="containsText" dxfId="1559" priority="143" operator="containsText" text="PSSC">
      <formula>NOT(ISERROR(SEARCH("PSSC",E20)))</formula>
    </cfRule>
    <cfRule type="containsText" dxfId="1558" priority="144" operator="containsText" text="ASSC">
      <formula>NOT(ISERROR(SEARCH("ASSC",E20)))</formula>
    </cfRule>
    <cfRule type="containsText" dxfId="1557" priority="145" operator="containsText" text="CC">
      <formula>NOT(ISERROR(SEARCH("CC",E20)))</formula>
    </cfRule>
    <cfRule type="containsText" dxfId="1556" priority="146" operator="containsText" text="CSO">
      <formula>NOT(ISERROR(SEARCH("CSO",E20)))</formula>
    </cfRule>
    <cfRule type="containsText" dxfId="1555" priority="147" operator="containsText" text="FC">
      <formula>NOT(ISERROR(SEARCH("FC",E20)))</formula>
    </cfRule>
    <cfRule type="containsText" dxfId="1554" priority="148" operator="containsText" text="RC">
      <formula>NOT(ISERROR(SEARCH("RC",E20)))</formula>
    </cfRule>
    <cfRule type="containsText" dxfId="1553" priority="168" stopIfTrue="1" operator="containsText" text="AAC">
      <formula>NOT(ISERROR(SEARCH("AAC",E20)))</formula>
    </cfRule>
  </conditionalFormatting>
  <conditionalFormatting sqref="E20 E50:E53">
    <cfRule type="containsText" dxfId="1552" priority="150" operator="containsText" text="PAC">
      <formula>NOT(ISERROR(SEARCH("PAC",E20)))</formula>
    </cfRule>
    <cfRule type="containsText" dxfId="1551" priority="151" operator="containsText" text="GC">
      <formula>NOT(ISERROR(SEARCH("GC",E20)))</formula>
    </cfRule>
  </conditionalFormatting>
  <conditionalFormatting sqref="E20">
    <cfRule type="containsText" dxfId="1550" priority="149" stopIfTrue="1" operator="containsText" text="AAC">
      <formula>NOT(ISERROR(SEARCH("AAC",E20)))</formula>
    </cfRule>
  </conditionalFormatting>
  <conditionalFormatting sqref="F89:F90">
    <cfRule type="containsText" dxfId="1549" priority="9" operator="containsText" text="PL">
      <formula>NOT(ISERROR(SEARCH("PL",F89)))</formula>
    </cfRule>
    <cfRule type="containsText" dxfId="1548" priority="10" operator="containsText" text="SW">
      <formula>NOT(ISERROR(SEARCH("SW",F89)))</formula>
    </cfRule>
    <cfRule type="containsText" dxfId="1547" priority="11" operator="containsText" text="AT">
      <formula>NOT(ISERROR(SEARCH("AT",F89)))</formula>
    </cfRule>
    <cfRule type="containsText" dxfId="1546" priority="12" operator="containsText" text="SS">
      <formula>NOT(ISERROR(SEARCH("SS",F89)))</formula>
    </cfRule>
  </conditionalFormatting>
  <conditionalFormatting sqref="F230:F243 G231:L243 G230:J230">
    <cfRule type="colorScale" priority="424">
      <colorScale>
        <cfvo type="num" val="0"/>
        <cfvo type="num" val="1"/>
        <cfvo type="num" val="2"/>
        <color theme="0"/>
        <color rgb="FFAFFC06"/>
        <color rgb="FFFF0000"/>
      </colorScale>
    </cfRule>
  </conditionalFormatting>
  <conditionalFormatting sqref="F84:I84">
    <cfRule type="containsText" dxfId="1545" priority="1" operator="containsText" text="PL">
      <formula>NOT(ISERROR(SEARCH("PL",F84)))</formula>
    </cfRule>
    <cfRule type="containsText" dxfId="1544" priority="2" operator="containsText" text="SW">
      <formula>NOT(ISERROR(SEARCH("SW",F84)))</formula>
    </cfRule>
    <cfRule type="containsText" dxfId="1543" priority="3" operator="containsText" text="AT">
      <formula>NOT(ISERROR(SEARCH("AT",F84)))</formula>
    </cfRule>
    <cfRule type="containsText" dxfId="1542" priority="4" operator="containsText" text="SS">
      <formula>NOT(ISERROR(SEARCH("SS",F84)))</formula>
    </cfRule>
  </conditionalFormatting>
  <conditionalFormatting sqref="F62:J62">
    <cfRule type="containsText" dxfId="1541" priority="24" operator="containsText" text="CSO">
      <formula>NOT(ISERROR(SEARCH("CSO",F62)))</formula>
    </cfRule>
    <cfRule type="containsText" dxfId="1540" priority="25" operator="containsText" text="FC">
      <formula>NOT(ISERROR(SEARCH("FC",F62)))</formula>
    </cfRule>
    <cfRule type="containsText" dxfId="1539" priority="26" operator="containsText" text="SS">
      <formula>NOT(ISERROR(SEARCH("SS",F62)))</formula>
    </cfRule>
    <cfRule type="containsText" dxfId="1538" priority="27" operator="containsText" text="RC">
      <formula>NOT(ISERROR(SEARCH("RC",F62)))</formula>
    </cfRule>
    <cfRule type="containsText" dxfId="1537" priority="28" operator="containsText" text="PAC">
      <formula>NOT(ISERROR(SEARCH("PAC",F62)))</formula>
    </cfRule>
    <cfRule type="containsText" dxfId="1536" priority="29" operator="containsText" text="AAC">
      <formula>NOT(ISERROR(SEARCH("AAC",F62)))</formula>
    </cfRule>
    <cfRule type="containsText" dxfId="1535" priority="30" operator="containsText" text="GC">
      <formula>NOT(ISERROR(SEARCH("GC",F62)))</formula>
    </cfRule>
  </conditionalFormatting>
  <conditionalFormatting sqref="F64:J65">
    <cfRule type="cellIs" dxfId="1534" priority="33" operator="lessThan">
      <formula>5</formula>
    </cfRule>
  </conditionalFormatting>
  <conditionalFormatting sqref="F8:L59">
    <cfRule type="containsText" dxfId="1533" priority="15" operator="containsText" text="PAC">
      <formula>NOT(ISERROR(SEARCH("PAC",F8)))</formula>
    </cfRule>
    <cfRule type="containsText" dxfId="1532" priority="16" operator="containsText" text="AAC">
      <formula>NOT(ISERROR(SEARCH("AAC",F8)))</formula>
    </cfRule>
    <cfRule type="containsText" dxfId="1531" priority="17" operator="containsText" text="GC">
      <formula>NOT(ISERROR(SEARCH("GC",F8)))</formula>
    </cfRule>
    <cfRule type="containsText" dxfId="1530" priority="18" operator="containsText" text="FC">
      <formula>NOT(ISERROR(SEARCH("FC",F8)))</formula>
    </cfRule>
    <cfRule type="containsText" dxfId="1529" priority="19" operator="containsText" text="CC">
      <formula>NOT(ISERROR(SEARCH("CC",F8)))</formula>
    </cfRule>
    <cfRule type="containsText" dxfId="1528" priority="20" operator="containsText" text="RC">
      <formula>NOT(ISERROR(SEARCH("RC",F8)))</formula>
    </cfRule>
    <cfRule type="containsText" dxfId="1527" priority="21" operator="containsText" text="SSC">
      <formula>NOT(ISERROR(SEARCH("SSC",F8)))</formula>
    </cfRule>
    <cfRule type="containsText" dxfId="1526" priority="22" operator="containsText" text="CSO">
      <formula>NOT(ISERROR(SEARCH("CSO",F8)))</formula>
    </cfRule>
  </conditionalFormatting>
  <conditionalFormatting sqref="F64:L64 F65:J65">
    <cfRule type="cellIs" dxfId="1525" priority="34" operator="greaterThan">
      <formula>6</formula>
    </cfRule>
  </conditionalFormatting>
  <conditionalFormatting sqref="F67:L71">
    <cfRule type="containsText" dxfId="1524" priority="13" operator="containsText" text="RC">
      <formula>NOT(ISERROR(SEARCH("RC",F67)))</formula>
    </cfRule>
    <cfRule type="containsText" dxfId="1523" priority="14" operator="containsText" text="CC">
      <formula>NOT(ISERROR(SEARCH("CC",F67)))</formula>
    </cfRule>
  </conditionalFormatting>
  <conditionalFormatting sqref="F171:L171">
    <cfRule type="cellIs" dxfId="1522" priority="32" operator="greaterThan">
      <formula>3</formula>
    </cfRule>
  </conditionalFormatting>
  <conditionalFormatting sqref="F173:L173">
    <cfRule type="cellIs" dxfId="1521" priority="31" operator="greaterThan">
      <formula>4</formula>
    </cfRule>
  </conditionalFormatting>
  <conditionalFormatting sqref="J86:L86">
    <cfRule type="containsText" dxfId="1520" priority="5" operator="containsText" text="PL">
      <formula>NOT(ISERROR(SEARCH("PL",J86)))</formula>
    </cfRule>
    <cfRule type="containsText" dxfId="1519" priority="6" operator="containsText" text="SW">
      <formula>NOT(ISERROR(SEARCH("SW",J86)))</formula>
    </cfRule>
    <cfRule type="containsText" dxfId="1518" priority="7" operator="containsText" text="AT">
      <formula>NOT(ISERROR(SEARCH("AT",J86)))</formula>
    </cfRule>
    <cfRule type="containsText" dxfId="1517" priority="8" operator="containsText" text="SS">
      <formula>NOT(ISERROR(SEARCH("SS",J86)))</formula>
    </cfRule>
  </conditionalFormatting>
  <conditionalFormatting sqref="K64:L65">
    <cfRule type="cellIs" dxfId="1516" priority="23" operator="greaterThan">
      <formula>3</formula>
    </cfRule>
  </conditionalFormatting>
  <conditionalFormatting sqref="N38:N40">
    <cfRule type="containsText" dxfId="1515" priority="205" operator="containsText" text="NAMIT">
      <formula>NOT(ISERROR(SEARCH("NAMIT",N38)))</formula>
    </cfRule>
  </conditionalFormatting>
  <conditionalFormatting sqref="O6:U6">
    <cfRule type="notContainsErrors" dxfId="1514" priority="209">
      <formula>NOT(ISERROR(O6))</formula>
    </cfRule>
  </conditionalFormatting>
  <conditionalFormatting sqref="O7:U7 O37:U37">
    <cfRule type="notContainsErrors" dxfId="1513" priority="204">
      <formula>NOT(ISERROR(O7))</formula>
    </cfRule>
  </conditionalFormatting>
  <conditionalFormatting sqref="O8:U8">
    <cfRule type="notContainsErrors" dxfId="1512" priority="207">
      <formula>NOT(ISERROR(O8))</formula>
    </cfRule>
  </conditionalFormatting>
  <conditionalFormatting sqref="O9:U9">
    <cfRule type="notContainsErrors" dxfId="1511" priority="218">
      <formula>NOT(ISERROR(O9))</formula>
    </cfRule>
  </conditionalFormatting>
  <conditionalFormatting sqref="O10:U10">
    <cfRule type="notContainsErrors" dxfId="1510" priority="199">
      <formula>NOT(ISERROR(O10))</formula>
    </cfRule>
  </conditionalFormatting>
  <conditionalFormatting sqref="O18:U18">
    <cfRule type="notContainsErrors" dxfId="1509" priority="217">
      <formula>NOT(ISERROR(O18))</formula>
    </cfRule>
  </conditionalFormatting>
  <conditionalFormatting sqref="O36:U36">
    <cfRule type="notContainsErrors" dxfId="1508" priority="210">
      <formula>NOT(ISERROR(O36))</formula>
    </cfRule>
  </conditionalFormatting>
  <conditionalFormatting sqref="O38:U38">
    <cfRule type="notContainsErrors" dxfId="1507" priority="208">
      <formula>NOT(ISERROR(O38))</formula>
    </cfRule>
  </conditionalFormatting>
  <conditionalFormatting sqref="O39:U39">
    <cfRule type="notContainsErrors" dxfId="1506" priority="201">
      <formula>NOT(ISERROR(O39))</formula>
    </cfRule>
  </conditionalFormatting>
  <conditionalFormatting sqref="O40:U40">
    <cfRule type="notContainsErrors" dxfId="1505" priority="203">
      <formula>NOT(ISERROR(O40))</formula>
    </cfRule>
  </conditionalFormatting>
  <conditionalFormatting sqref="O48:U48">
    <cfRule type="notContainsErrors" dxfId="1504" priority="202">
      <formula>NOT(ISERROR(O48))</formula>
    </cfRule>
  </conditionalFormatting>
  <conditionalFormatting sqref="O66:U66">
    <cfRule type="notContainsErrors" dxfId="1503" priority="200">
      <formula>NOT(ISERROR(O66))</formula>
    </cfRule>
  </conditionalFormatting>
  <conditionalFormatting sqref="O76:U76">
    <cfRule type="notContainsErrors" dxfId="1502" priority="206">
      <formula>NOT(ISERROR(O76))</formula>
    </cfRule>
  </conditionalFormatting>
  <conditionalFormatting sqref="V132:V1048576 P235:U1048576">
    <cfRule type="containsText" dxfId="1501" priority="211" operator="containsText" text="SW">
      <formula>NOT(ISERROR(SEARCH("SW",P132)))</formula>
    </cfRule>
    <cfRule type="containsText" dxfId="1500" priority="212" operator="containsText" text="FL">
      <formula>NOT(ISERROR(SEARCH("FL",P132)))</formula>
    </cfRule>
    <cfRule type="containsText" dxfId="1499" priority="213" operator="containsText" text="FT">
      <formula>NOT(ISERROR(SEARCH("FT",P132)))</formula>
    </cfRule>
    <cfRule type="containsText" dxfId="1498" priority="214" operator="containsText" text="SS">
      <formula>NOT(ISERROR(SEARCH("SS",P132)))</formula>
    </cfRule>
    <cfRule type="containsText" dxfId="1497" priority="215" operator="containsText" text="GR">
      <formula>NOT(ISERROR(SEARCH("GR",P132)))</formula>
    </cfRule>
    <cfRule type="containsText" dxfId="1496" priority="216" operator="containsText" text="GO">
      <formula>NOT(ISERROR(SEARCH("GO",P132)))</formula>
    </cfRule>
  </conditionalFormatting>
  <dataValidations disablePrompts="1" count="1">
    <dataValidation type="list" allowBlank="1" showInputMessage="1" sqref="G134:L135 K136:L142 G113:H131 H136:I142 I114:I131 J113:K131 L114:L131" xr:uid="{AF546D2C-D0C6-3D40-9BB7-958E8E4F8D77}">
      <formula1>#REF!</formula1>
    </dataValidation>
  </dataValidations>
  <pageMargins left="0.7" right="0.7" top="0.75" bottom="0.75" header="0.3" footer="0.3"/>
  <pageSetup paperSize="9" scale="6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6AB48-14B4-6F47-8E11-0175F25DD529}">
  <sheetPr>
    <pageSetUpPr fitToPage="1"/>
  </sheetPr>
  <dimension ref="A1:W291"/>
  <sheetViews>
    <sheetView topLeftCell="M1" zoomScaleNormal="100" workbookViewId="0">
      <pane ySplit="4" topLeftCell="M81" activePane="bottomLeft" state="frozen"/>
      <selection pane="bottomLeft" activeCell="F1" sqref="F1"/>
      <selection activeCell="F1" sqref="F1"/>
    </sheetView>
  </sheetViews>
  <sheetFormatPr defaultColWidth="10.875" defaultRowHeight="14.25"/>
  <cols>
    <col min="1" max="2" width="10.875" style="56" hidden="1" customWidth="1"/>
    <col min="3" max="3" width="10.875" style="56" customWidth="1"/>
    <col min="4" max="4" width="10.875" style="72" customWidth="1"/>
    <col min="5" max="5" width="10.875" style="68" customWidth="1"/>
    <col min="6" max="6" width="10.875" style="66" customWidth="1"/>
    <col min="7" max="12" width="10.875" style="64" customWidth="1"/>
    <col min="13" max="13" width="10.875" style="56" customWidth="1"/>
    <col min="14" max="14" width="10.875" style="89" customWidth="1"/>
    <col min="15" max="15" width="10.875" style="112" customWidth="1"/>
    <col min="16" max="21" width="10.875" style="89" customWidth="1"/>
    <col min="22" max="23" width="10.875" style="34" customWidth="1"/>
    <col min="24" max="24" width="10.875" style="56" customWidth="1"/>
    <col min="25" max="16384" width="10.875" style="56"/>
  </cols>
  <sheetData>
    <row r="1" spans="1:23" ht="14.1" customHeight="1" thickBot="1">
      <c r="D1" s="57"/>
      <c r="E1" s="58"/>
      <c r="F1" s="59" t="str">
        <f t="shared" ref="F1:L1" si="0">CONCATENATE(F169,"-",F170,"-",F171,"-",F172,"-",F173)</f>
        <v>12-1-16-1-8</v>
      </c>
      <c r="G1" s="59" t="str">
        <f t="shared" si="0"/>
        <v>15-0-14-1-9</v>
      </c>
      <c r="H1" s="59" t="str">
        <f t="shared" si="0"/>
        <v>16-0-14-1-9</v>
      </c>
      <c r="I1" s="59" t="str">
        <f t="shared" si="0"/>
        <v>14-1-13-1-9</v>
      </c>
      <c r="J1" s="59" t="str">
        <f t="shared" si="0"/>
        <v>14-0-13-0-9</v>
      </c>
      <c r="K1" s="59" t="str">
        <f t="shared" si="0"/>
        <v>14-0-14-1-9</v>
      </c>
      <c r="L1" s="59" t="str">
        <f t="shared" si="0"/>
        <v>11-0-16-0-9</v>
      </c>
      <c r="O1" s="89" t="str">
        <f t="shared" ref="O1:U1" si="1">F1</f>
        <v>12-1-16-1-8</v>
      </c>
      <c r="P1" s="89" t="str">
        <f t="shared" si="1"/>
        <v>15-0-14-1-9</v>
      </c>
      <c r="Q1" s="89" t="str">
        <f t="shared" si="1"/>
        <v>16-0-14-1-9</v>
      </c>
      <c r="R1" s="89" t="str">
        <f t="shared" si="1"/>
        <v>14-1-13-1-9</v>
      </c>
      <c r="S1" s="89" t="str">
        <f t="shared" si="1"/>
        <v>14-0-13-0-9</v>
      </c>
      <c r="T1" s="89" t="str">
        <f t="shared" si="1"/>
        <v>14-0-14-1-9</v>
      </c>
      <c r="U1" s="89" t="str">
        <f t="shared" si="1"/>
        <v>11-0-16-0-9</v>
      </c>
    </row>
    <row r="2" spans="1:23" ht="14.1" customHeight="1" thickBot="1">
      <c r="C2" s="1" t="s">
        <v>0</v>
      </c>
      <c r="D2" s="1" t="s">
        <v>0</v>
      </c>
      <c r="E2" s="58"/>
      <c r="F2" s="802">
        <v>2</v>
      </c>
      <c r="G2" s="802"/>
      <c r="H2" s="802"/>
      <c r="I2" s="802"/>
      <c r="J2" s="802"/>
      <c r="K2" s="802"/>
      <c r="L2" s="802"/>
      <c r="O2" s="754">
        <f>F2</f>
        <v>2</v>
      </c>
      <c r="P2" s="755"/>
      <c r="Q2" s="755"/>
      <c r="R2" s="755"/>
      <c r="S2" s="755"/>
      <c r="T2" s="755"/>
      <c r="U2" s="756"/>
    </row>
    <row r="3" spans="1:23" ht="14.1" customHeight="1">
      <c r="A3" s="56" t="s">
        <v>297</v>
      </c>
      <c r="B3" s="56" t="s">
        <v>298</v>
      </c>
      <c r="C3" s="494" t="s">
        <v>299</v>
      </c>
      <c r="D3" s="494" t="s">
        <v>300</v>
      </c>
      <c r="E3" s="69" t="s">
        <v>5</v>
      </c>
      <c r="F3" s="22" t="s">
        <v>6</v>
      </c>
      <c r="G3" s="23" t="s">
        <v>7</v>
      </c>
      <c r="H3" s="23" t="s">
        <v>8</v>
      </c>
      <c r="I3" s="23" t="s">
        <v>9</v>
      </c>
      <c r="J3" s="23" t="s">
        <v>10</v>
      </c>
      <c r="K3" s="23" t="s">
        <v>11</v>
      </c>
      <c r="L3" s="24" t="s">
        <v>12</v>
      </c>
      <c r="O3" s="90" t="s">
        <v>6</v>
      </c>
      <c r="P3" s="91" t="s">
        <v>7</v>
      </c>
      <c r="Q3" s="91" t="s">
        <v>8</v>
      </c>
      <c r="R3" s="91" t="s">
        <v>9</v>
      </c>
      <c r="S3" s="91" t="s">
        <v>10</v>
      </c>
      <c r="T3" s="91" t="s">
        <v>11</v>
      </c>
      <c r="U3" s="92" t="s">
        <v>12</v>
      </c>
    </row>
    <row r="4" spans="1:23" ht="14.1" customHeight="1" thickBot="1">
      <c r="B4" s="56" t="s">
        <v>13</v>
      </c>
      <c r="C4" s="25"/>
      <c r="D4" s="25"/>
      <c r="E4" s="77"/>
      <c r="F4" s="26">
        <v>46062</v>
      </c>
      <c r="G4" s="27">
        <v>46063</v>
      </c>
      <c r="H4" s="27">
        <v>46064</v>
      </c>
      <c r="I4" s="27">
        <v>46065</v>
      </c>
      <c r="J4" s="27">
        <v>46066</v>
      </c>
      <c r="K4" s="27">
        <v>46067</v>
      </c>
      <c r="L4" s="27">
        <v>46068</v>
      </c>
      <c r="N4" s="93"/>
      <c r="O4" s="94">
        <f t="shared" ref="O4:U4" si="2">F4</f>
        <v>46062</v>
      </c>
      <c r="P4" s="95">
        <f t="shared" si="2"/>
        <v>46063</v>
      </c>
      <c r="Q4" s="95">
        <f t="shared" si="2"/>
        <v>46064</v>
      </c>
      <c r="R4" s="95">
        <f t="shared" si="2"/>
        <v>46065</v>
      </c>
      <c r="S4" s="95">
        <f t="shared" si="2"/>
        <v>46066</v>
      </c>
      <c r="T4" s="95">
        <f t="shared" si="2"/>
        <v>46067</v>
      </c>
      <c r="U4" s="96">
        <f t="shared" si="2"/>
        <v>46068</v>
      </c>
    </row>
    <row r="5" spans="1:23" ht="14.1" customHeight="1" thickBot="1">
      <c r="C5" s="2"/>
      <c r="D5" s="2"/>
      <c r="E5" s="81"/>
      <c r="F5" s="201"/>
      <c r="G5" s="60"/>
      <c r="H5" s="60"/>
      <c r="I5" s="60"/>
      <c r="J5" s="202" t="s">
        <v>15</v>
      </c>
      <c r="K5" s="60"/>
      <c r="L5" s="61"/>
      <c r="O5" s="757" t="s">
        <v>301</v>
      </c>
      <c r="P5" s="758"/>
      <c r="Q5" s="758"/>
      <c r="R5" s="758"/>
      <c r="S5" s="758"/>
      <c r="T5" s="758"/>
      <c r="U5" s="759"/>
      <c r="W5" s="34" t="s">
        <v>302</v>
      </c>
    </row>
    <row r="6" spans="1:23" ht="14.1" customHeight="1">
      <c r="C6" s="315" t="s">
        <v>26</v>
      </c>
      <c r="D6" s="315" t="s">
        <v>26</v>
      </c>
      <c r="E6" s="495"/>
      <c r="F6" s="317"/>
      <c r="G6" s="318"/>
      <c r="H6" s="318"/>
      <c r="I6" s="318"/>
      <c r="J6" s="318"/>
      <c r="K6" s="318"/>
      <c r="L6" s="319"/>
      <c r="N6" s="97" t="s">
        <v>303</v>
      </c>
      <c r="O6" s="98" t="str">
        <f t="shared" ref="O6:U6" si="3">INDEX($C7:$L188,MATCH("*AGC*",F7:F191,0),1)</f>
        <v>DAVID SMS</v>
      </c>
      <c r="P6" s="99" t="str">
        <f t="shared" si="3"/>
        <v>STEVE T SMS</v>
      </c>
      <c r="Q6" s="99" t="str">
        <f t="shared" si="3"/>
        <v>ANASTASIA SMS</v>
      </c>
      <c r="R6" s="99" t="str">
        <f t="shared" si="3"/>
        <v>BEN SMS</v>
      </c>
      <c r="S6" s="99" t="str">
        <f t="shared" si="3"/>
        <v>ERICA SMS</v>
      </c>
      <c r="T6" s="99" t="str">
        <f t="shared" si="3"/>
        <v>ABI SMS</v>
      </c>
      <c r="U6" s="100" t="str">
        <f t="shared" si="3"/>
        <v>NICOLA SMS</v>
      </c>
      <c r="V6" s="34" t="s">
        <v>287</v>
      </c>
      <c r="W6" s="101"/>
    </row>
    <row r="7" spans="1:23" ht="14.1" customHeight="1">
      <c r="C7" s="496" t="s">
        <v>304</v>
      </c>
      <c r="D7" s="497" t="s">
        <v>27</v>
      </c>
      <c r="E7" s="498">
        <v>625982</v>
      </c>
      <c r="F7" s="569" t="s">
        <v>28</v>
      </c>
      <c r="G7" s="570"/>
      <c r="H7" s="570"/>
      <c r="I7" s="570"/>
      <c r="J7" s="570"/>
      <c r="K7" s="570"/>
      <c r="L7" s="571"/>
      <c r="N7" s="499" t="s">
        <v>305</v>
      </c>
      <c r="O7" s="102" t="str">
        <f t="shared" ref="O7:U7" si="4">INDEX($C7:$L188,MATCH("*AAC",F7:F190,0),1)</f>
        <v>JACKIE SMS</v>
      </c>
      <c r="P7" s="500" t="str">
        <f t="shared" si="4"/>
        <v>PAT SMS</v>
      </c>
      <c r="Q7" s="500" t="str">
        <f t="shared" si="4"/>
        <v>HELEN SMS</v>
      </c>
      <c r="R7" s="500" t="str">
        <f t="shared" si="4"/>
        <v>MADDY SMS</v>
      </c>
      <c r="S7" s="500" t="str">
        <f t="shared" si="4"/>
        <v>PAIGE SMS</v>
      </c>
      <c r="T7" s="500" t="str">
        <f t="shared" si="4"/>
        <v>ANDREW H SMS</v>
      </c>
      <c r="U7" s="501" t="str">
        <f t="shared" si="4"/>
        <v>YAN SMS</v>
      </c>
      <c r="V7" s="34" t="s">
        <v>286</v>
      </c>
      <c r="W7" s="101"/>
    </row>
    <row r="8" spans="1:23" ht="14.1" customHeight="1">
      <c r="C8" s="497" t="s">
        <v>306</v>
      </c>
      <c r="D8" s="83" t="s">
        <v>29</v>
      </c>
      <c r="E8" s="502">
        <v>628936</v>
      </c>
      <c r="F8" s="572" t="s">
        <v>31</v>
      </c>
      <c r="G8" s="573"/>
      <c r="H8" s="573"/>
      <c r="I8" s="573"/>
      <c r="J8" s="573"/>
      <c r="K8" s="573"/>
      <c r="L8" s="574"/>
      <c r="N8" s="503" t="s">
        <v>307</v>
      </c>
      <c r="O8" s="102" t="str">
        <f t="shared" ref="O8:U8" si="5">INDEX($C7:$L188,MATCH("*ARC*",F7:F191,0),1)</f>
        <v>JACQUELINE SMS</v>
      </c>
      <c r="P8" s="500" t="str">
        <f t="shared" si="5"/>
        <v>BRAD SMS</v>
      </c>
      <c r="Q8" s="500" t="str">
        <f t="shared" si="5"/>
        <v>MAUREEN SMS</v>
      </c>
      <c r="R8" s="500" t="str">
        <f t="shared" si="5"/>
        <v>ABI SMS</v>
      </c>
      <c r="S8" s="500" t="str">
        <f t="shared" si="5"/>
        <v>DANIEL SMS</v>
      </c>
      <c r="T8" s="500" t="str">
        <f t="shared" si="5"/>
        <v>SUSAN SMS</v>
      </c>
      <c r="U8" s="501" t="str">
        <f t="shared" si="5"/>
        <v>TECWYN SMS</v>
      </c>
      <c r="V8" s="34" t="s">
        <v>285</v>
      </c>
      <c r="W8" s="101"/>
    </row>
    <row r="9" spans="1:23" ht="14.1" customHeight="1">
      <c r="C9" s="504" t="s">
        <v>308</v>
      </c>
      <c r="D9" s="723" t="s">
        <v>42</v>
      </c>
      <c r="E9" s="502">
        <v>628576</v>
      </c>
      <c r="F9" s="575" t="s">
        <v>33</v>
      </c>
      <c r="G9" s="565" t="s">
        <v>33</v>
      </c>
      <c r="H9" s="576"/>
      <c r="I9" s="565" t="s">
        <v>47</v>
      </c>
      <c r="J9" s="576" t="s">
        <v>33</v>
      </c>
      <c r="K9" s="576"/>
      <c r="L9" s="577"/>
      <c r="N9" s="505" t="s">
        <v>309</v>
      </c>
      <c r="O9" s="102" t="str">
        <f t="shared" ref="O9:U9" si="6">INDEX($C7:$L188,MATCH("*ASSC*",F7:F191,0),1)</f>
        <v>QING SMS</v>
      </c>
      <c r="P9" s="500" t="str">
        <f t="shared" si="6"/>
        <v>TARA J. SMS</v>
      </c>
      <c r="Q9" s="500" t="str">
        <f t="shared" si="6"/>
        <v>ANDY L  SMS</v>
      </c>
      <c r="R9" s="500" t="str">
        <f t="shared" si="6"/>
        <v xml:space="preserve">RACHEL SMS </v>
      </c>
      <c r="S9" s="500" t="str">
        <f t="shared" si="6"/>
        <v>STEPHEN G SMS</v>
      </c>
      <c r="T9" s="500" t="str">
        <f t="shared" si="6"/>
        <v>NICOLA SMS</v>
      </c>
      <c r="U9" s="501" t="str">
        <f t="shared" si="6"/>
        <v>MAUREEN SMS</v>
      </c>
      <c r="V9" s="34" t="s">
        <v>289</v>
      </c>
      <c r="W9" s="101"/>
    </row>
    <row r="10" spans="1:23" ht="14.1" customHeight="1">
      <c r="C10" s="504" t="s">
        <v>310</v>
      </c>
      <c r="D10" s="497" t="s">
        <v>45</v>
      </c>
      <c r="E10" s="506">
        <v>632647</v>
      </c>
      <c r="F10" s="575" t="s">
        <v>33</v>
      </c>
      <c r="G10" s="565" t="s">
        <v>33</v>
      </c>
      <c r="H10" s="565"/>
      <c r="I10" s="565"/>
      <c r="J10" s="565"/>
      <c r="K10" s="565" t="s">
        <v>40</v>
      </c>
      <c r="L10" s="577" t="s">
        <v>43</v>
      </c>
      <c r="N10" s="507" t="s">
        <v>311</v>
      </c>
      <c r="O10" s="102" t="e">
        <f t="shared" ref="O10:U10" si="7">INDEX($C6:$L187,MATCH("*ACC*",F6:F183,0),1)</f>
        <v>#N/A</v>
      </c>
      <c r="P10" s="500" t="str">
        <f t="shared" si="7"/>
        <v>PAIGE SMS</v>
      </c>
      <c r="Q10" s="500" t="str">
        <f t="shared" si="7"/>
        <v>SAM CMO</v>
      </c>
      <c r="R10" s="500" t="str">
        <f t="shared" si="7"/>
        <v>ERICA SMS</v>
      </c>
      <c r="S10" s="500" t="e">
        <f t="shared" si="7"/>
        <v>#N/A</v>
      </c>
      <c r="T10" s="500" t="str">
        <f t="shared" si="7"/>
        <v>WILLIAM SR</v>
      </c>
      <c r="U10" s="501" t="str">
        <f t="shared" si="7"/>
        <v>SAM CMO</v>
      </c>
      <c r="V10" s="34" t="s">
        <v>288</v>
      </c>
      <c r="W10" s="101"/>
    </row>
    <row r="11" spans="1:23" ht="14.1" customHeight="1">
      <c r="C11" s="497" t="s">
        <v>312</v>
      </c>
      <c r="D11" s="497" t="s">
        <v>48</v>
      </c>
      <c r="E11" s="502">
        <v>279110</v>
      </c>
      <c r="F11" s="575" t="s">
        <v>33</v>
      </c>
      <c r="G11" s="565"/>
      <c r="H11" s="565" t="s">
        <v>33</v>
      </c>
      <c r="I11" s="565" t="s">
        <v>46</v>
      </c>
      <c r="J11" s="565"/>
      <c r="K11" s="565"/>
      <c r="L11" s="577"/>
      <c r="N11" s="733" t="s">
        <v>313</v>
      </c>
      <c r="O11" s="774" t="str" cm="1">
        <f t="array" ref="O11">_xlfn.TEXTJOIN(CHAR(10),TRUE,IF(F7:F111="0800-1800 AFC",$C7:$C111,""),IF(F7:F111="0800-1730 AFC",$C7:$C111,""),IF(F7:F111="0800-1800",$C7:$C111,""),IF(F7:F111="0800-1730",$C7:$C111,""))</f>
        <v>MARK SR
DESLIN JR
CRAIG JR
JEROME JR</v>
      </c>
      <c r="P11" s="775" t="str" cm="1">
        <f t="array" ref="P11">_xlfn.TEXTJOIN(CHAR(10),TRUE,IF(G7:G111="0800-1800 AFC",$C7:$C111,""),IF(G7:G111="0800-1730 AFC",$C7:$C111,""),IF(G7:G111="0800-1800",$C7:$C111,""),IF(G7:G111="0800-1730",$C7:$C111,""))</f>
        <v>AMY SR
CLARE JR
DESLIN JR
CRAIG JR</v>
      </c>
      <c r="Q11" s="775" t="str" cm="1">
        <f t="array" ref="Q11">_xlfn.TEXTJOIN(CHAR(10),TRUE,IF(H7:H111="0800-1800 AFC",$C7:$C111,""),IF(H7:H111="0800-1730 AFC",$C7:$C111,""),IF(H7:H111="0800-1800",$C7:$C111,""),IF(H7:H111="0800-1730",$C7:$C111,""))</f>
        <v>QING SMS
TITUS CMO
SALEEM CMO</v>
      </c>
      <c r="R11" s="775" t="str" cm="1">
        <f t="array" ref="R11">_xlfn.TEXTJOIN(CHAR(10),TRUE,IF(I7:I111="0800-1800 AFC",$C7:$C111,""),IF(I7:I111="0800-1730 AFC",$C7:$C111,""),IF(I7:I111="0800-1800",$C7:$C111,""),IF(I7:I111="0800-1730",$C7:$C111,""))</f>
        <v>AMY SR
SHIV IR
RACHEL JR
PAUL JR</v>
      </c>
      <c r="S11" s="775" t="str" cm="1">
        <f t="array" ref="S11">_xlfn.TEXTJOIN(CHAR(10),TRUE,IF(J7:J111="0800-1800 AFC",$C7:$C111,""),IF(J7:J111="0800-1730 AFC",$C7:$C111,""),IF(J7:J111="0800-1800",$C7:$C111,""),IF(J7:J111="0800-1730",$C7:$C111,""))</f>
        <v>TECWYN SMS
SHIV IR
JEROME JR</v>
      </c>
      <c r="T11" s="775" t="str" cm="1">
        <f t="array" ref="T11">_xlfn.TEXTJOIN(CHAR(10),TRUE,IF(K7:K111="0800-1800 AFC",$C7:$C111,""),IF(K7:K111="0800-1730 AFC",$C7:$C111,""),IF(K7:K111="0800-1800",$C7:$C111,""),IF(K7:K111="0800-1730",$C7:$C111,""))</f>
        <v>PAUL JR
JEROME JR
KELLY JR</v>
      </c>
      <c r="U11" s="775" t="str" cm="1">
        <f t="array" ref="U11">_xlfn.TEXTJOIN(CHAR(10),TRUE,IF(L7:L111="0800-1800 AFC",$C7:$C111,""),IF(L7:L111="0800-1730 AFC",$C7:$C111,""),IF(L7:L111="0800-1800",$C7:$C111,""),IF(L7:L111="0800-1730",$C7:$C111,""))</f>
        <v>WILLIAM SR</v>
      </c>
      <c r="W11" s="772">
        <v>7</v>
      </c>
    </row>
    <row r="12" spans="1:23" ht="14.1" customHeight="1">
      <c r="C12" s="497" t="s">
        <v>314</v>
      </c>
      <c r="D12" s="497" t="s">
        <v>49</v>
      </c>
      <c r="E12" s="502">
        <v>213322</v>
      </c>
      <c r="F12" s="575" t="s">
        <v>33</v>
      </c>
      <c r="G12" s="565" t="s">
        <v>43</v>
      </c>
      <c r="H12" s="565" t="s">
        <v>35</v>
      </c>
      <c r="I12" s="565"/>
      <c r="J12" s="565" t="s">
        <v>38</v>
      </c>
      <c r="K12" s="565"/>
      <c r="L12" s="577"/>
      <c r="N12" s="734"/>
      <c r="O12" s="774"/>
      <c r="P12" s="775"/>
      <c r="Q12" s="775"/>
      <c r="R12" s="775"/>
      <c r="S12" s="775"/>
      <c r="T12" s="775"/>
      <c r="U12" s="775"/>
      <c r="W12" s="772"/>
    </row>
    <row r="13" spans="1:23" ht="14.1" customHeight="1">
      <c r="C13" s="497" t="s">
        <v>315</v>
      </c>
      <c r="D13" s="497" t="s">
        <v>51</v>
      </c>
      <c r="E13" s="502">
        <v>602997</v>
      </c>
      <c r="F13" s="575" t="s">
        <v>43</v>
      </c>
      <c r="G13" s="565" t="s">
        <v>52</v>
      </c>
      <c r="H13" s="565" t="s">
        <v>33</v>
      </c>
      <c r="I13" s="565"/>
      <c r="J13" s="578" t="s">
        <v>490</v>
      </c>
      <c r="K13" s="576"/>
      <c r="L13" s="579"/>
      <c r="N13" s="734"/>
      <c r="O13" s="774"/>
      <c r="P13" s="775"/>
      <c r="Q13" s="775"/>
      <c r="R13" s="775"/>
      <c r="S13" s="775"/>
      <c r="T13" s="775"/>
      <c r="U13" s="775"/>
      <c r="W13" s="772"/>
    </row>
    <row r="14" spans="1:23" ht="14.1" customHeight="1">
      <c r="C14" s="504" t="s">
        <v>316</v>
      </c>
      <c r="D14" s="504" t="s">
        <v>55</v>
      </c>
      <c r="E14" s="502">
        <v>646459</v>
      </c>
      <c r="F14" s="575" t="s">
        <v>40</v>
      </c>
      <c r="G14" s="566" t="s">
        <v>33</v>
      </c>
      <c r="H14" s="566" t="s">
        <v>41</v>
      </c>
      <c r="I14" s="566" t="s">
        <v>36</v>
      </c>
      <c r="J14" s="576"/>
      <c r="K14" s="576"/>
      <c r="L14" s="580"/>
      <c r="N14" s="734"/>
      <c r="O14" s="774"/>
      <c r="P14" s="775"/>
      <c r="Q14" s="775"/>
      <c r="R14" s="775"/>
      <c r="S14" s="775"/>
      <c r="T14" s="775"/>
      <c r="U14" s="775"/>
      <c r="W14" s="772"/>
    </row>
    <row r="15" spans="1:23" ht="14.1" customHeight="1">
      <c r="C15" s="497" t="s">
        <v>318</v>
      </c>
      <c r="D15" s="504" t="s">
        <v>56</v>
      </c>
      <c r="E15" s="502">
        <v>632594</v>
      </c>
      <c r="F15" s="581"/>
      <c r="G15" s="566" t="s">
        <v>33</v>
      </c>
      <c r="H15" s="566" t="s">
        <v>57</v>
      </c>
      <c r="I15" s="566" t="s">
        <v>37</v>
      </c>
      <c r="J15" s="565"/>
      <c r="K15" s="565" t="s">
        <v>43</v>
      </c>
      <c r="L15" s="577"/>
      <c r="N15" s="734"/>
      <c r="O15" s="774"/>
      <c r="P15" s="775"/>
      <c r="Q15" s="775"/>
      <c r="R15" s="775"/>
      <c r="S15" s="775"/>
      <c r="T15" s="775"/>
      <c r="U15" s="775"/>
      <c r="W15" s="772"/>
    </row>
    <row r="16" spans="1:23" ht="14.1" customHeight="1">
      <c r="C16" s="497" t="s">
        <v>319</v>
      </c>
      <c r="D16" s="497" t="s">
        <v>58</v>
      </c>
      <c r="E16" s="502">
        <v>541622</v>
      </c>
      <c r="F16" s="582"/>
      <c r="G16" s="565" t="s">
        <v>33</v>
      </c>
      <c r="H16" s="565" t="s">
        <v>43</v>
      </c>
      <c r="I16" s="565" t="s">
        <v>35</v>
      </c>
      <c r="J16" s="578" t="s">
        <v>490</v>
      </c>
      <c r="K16" s="583"/>
      <c r="L16" s="584"/>
      <c r="N16" s="734"/>
      <c r="O16" s="774"/>
      <c r="P16" s="775"/>
      <c r="Q16" s="775"/>
      <c r="R16" s="775"/>
      <c r="S16" s="775"/>
      <c r="T16" s="775"/>
      <c r="U16" s="775"/>
      <c r="W16" s="772"/>
    </row>
    <row r="17" spans="3:23" ht="14.1" customHeight="1">
      <c r="C17" s="504" t="s">
        <v>320</v>
      </c>
      <c r="D17" s="504" t="s">
        <v>59</v>
      </c>
      <c r="E17" s="508">
        <v>614941</v>
      </c>
      <c r="F17" s="572" t="s">
        <v>31</v>
      </c>
      <c r="G17" s="573"/>
      <c r="H17" s="573"/>
      <c r="I17" s="573"/>
      <c r="J17" s="573"/>
      <c r="K17" s="573"/>
      <c r="L17" s="574"/>
      <c r="N17" s="773"/>
      <c r="O17" s="774"/>
      <c r="P17" s="775"/>
      <c r="Q17" s="775"/>
      <c r="R17" s="775"/>
      <c r="S17" s="775"/>
      <c r="T17" s="775"/>
      <c r="U17" s="775"/>
      <c r="W17" s="772"/>
    </row>
    <row r="18" spans="3:23" ht="14.1" customHeight="1">
      <c r="C18" s="497" t="s">
        <v>321</v>
      </c>
      <c r="D18" s="497" t="s">
        <v>63</v>
      </c>
      <c r="E18" s="502">
        <v>600989</v>
      </c>
      <c r="F18" s="569" t="s">
        <v>28</v>
      </c>
      <c r="G18" s="570"/>
      <c r="H18" s="570"/>
      <c r="I18" s="570"/>
      <c r="J18" s="570"/>
      <c r="K18" s="570"/>
      <c r="L18" s="571"/>
      <c r="N18" s="510" t="s">
        <v>322</v>
      </c>
      <c r="O18" s="102" t="str">
        <f t="shared" ref="O18:U18" si="8">INDEX($C7:$L188,MATCH("*AHJ*",F7:F191,0),1)</f>
        <v>CHRIS HMO</v>
      </c>
      <c r="P18" s="102" t="str">
        <f t="shared" si="8"/>
        <v>HARRISON HMO</v>
      </c>
      <c r="Q18" s="102" t="str">
        <f t="shared" si="8"/>
        <v>PHILLIP HMO</v>
      </c>
      <c r="R18" s="102" t="str">
        <f t="shared" si="8"/>
        <v>PIN HMO</v>
      </c>
      <c r="S18" s="102" t="str">
        <f t="shared" si="8"/>
        <v>BRENDAN HMO</v>
      </c>
      <c r="T18" s="102" t="str">
        <f t="shared" si="8"/>
        <v>FADIA HMO</v>
      </c>
      <c r="U18" s="102" t="str">
        <f t="shared" si="8"/>
        <v>AREEBA HMO</v>
      </c>
      <c r="V18" s="34" t="s">
        <v>323</v>
      </c>
      <c r="W18" s="89">
        <v>1</v>
      </c>
    </row>
    <row r="19" spans="3:23" ht="14.1" customHeight="1">
      <c r="C19" s="511" t="s">
        <v>324</v>
      </c>
      <c r="D19" s="497" t="s">
        <v>64</v>
      </c>
      <c r="E19" s="502">
        <v>628578</v>
      </c>
      <c r="F19" s="582" t="s">
        <v>65</v>
      </c>
      <c r="G19" s="576"/>
      <c r="H19" s="583"/>
      <c r="I19" s="203"/>
      <c r="J19" s="576"/>
      <c r="K19" s="576"/>
      <c r="L19" s="580"/>
      <c r="N19" s="776" t="s">
        <v>325</v>
      </c>
      <c r="O19" s="777" t="str" cm="1">
        <f t="array" ref="O19">_xlfn.TEXTJOIN(CHAR(10),TRUE,_xlfn._xlws.FILTER($C7:$C184,RIGHT(F7:F184,LEN("ASSJ"))="ASSJ",""))</f>
        <v>ANKUSH HMO</v>
      </c>
      <c r="P19" s="750" t="str" cm="1">
        <f t="array" ref="P19">_xlfn.TEXTJOIN(CHAR(10),TRUE,_xlfn._xlws.FILTER($C7:$C184,RIGHT(G7:G184,LEN("ASSJ"))="ASSJ",""))</f>
        <v>AARON N. HMO</v>
      </c>
      <c r="Q19" s="750" t="str" cm="1">
        <f t="array" ref="Q19">_xlfn.TEXTJOIN(CHAR(10),TRUE,_xlfn._xlws.FILTER($C7:$C184,RIGHT(H7:H184,LEN("ASSJ"))="ASSJ",""))</f>
        <v>PIN HMO</v>
      </c>
      <c r="R19" s="750" t="str" cm="1">
        <f t="array" ref="R19">_xlfn.TEXTJOIN(CHAR(10),TRUE,_xlfn._xlws.FILTER($C7:$C184,RIGHT(I7:I184,LEN("ASSJ"))="ASSJ",""))</f>
        <v>HARRISON HMO</v>
      </c>
      <c r="S19" s="750" t="str" cm="1">
        <f t="array" ref="S19">_xlfn.TEXTJOIN(CHAR(10),TRUE,_xlfn._xlws.FILTER($C7:$C184,RIGHT(J7:J184,LEN("ASSJ"))="ASSJ",""))</f>
        <v>VISHNU HMO</v>
      </c>
      <c r="T19" s="750" t="str" cm="1">
        <f t="array" ref="T19">_xlfn.TEXTJOIN(CHAR(10),TRUE,_xlfn._xlws.FILTER($C7:$C184,RIGHT(K7:K184,LEN("ASSJ"))="ASSJ",""))</f>
        <v>AARON B. HMO</v>
      </c>
      <c r="U19" s="788" t="str" cm="1">
        <f t="array" ref="U19">_xlfn.TEXTJOIN(CHAR(10),TRUE,_xlfn._xlws.FILTER($C7:$C184,RIGHT(L7:L184,LEN("ASSJ"))="ASSJ",""))</f>
        <v>AARON G. HMO</v>
      </c>
      <c r="V19" s="34" t="s">
        <v>326</v>
      </c>
      <c r="W19" s="772">
        <v>2</v>
      </c>
    </row>
    <row r="20" spans="3:23" ht="14.1" customHeight="1">
      <c r="C20" s="497" t="s">
        <v>327</v>
      </c>
      <c r="D20" s="504" t="s">
        <v>68</v>
      </c>
      <c r="E20" s="512">
        <v>628603</v>
      </c>
      <c r="F20" s="582" t="s">
        <v>69</v>
      </c>
      <c r="G20" s="576"/>
      <c r="H20" s="576"/>
      <c r="I20" s="576"/>
      <c r="J20" s="576"/>
      <c r="K20" s="583"/>
      <c r="L20" s="584"/>
      <c r="N20" s="776"/>
      <c r="O20" s="777"/>
      <c r="P20" s="750"/>
      <c r="Q20" s="750"/>
      <c r="R20" s="750"/>
      <c r="S20" s="750"/>
      <c r="T20" s="750"/>
      <c r="U20" s="788"/>
      <c r="W20" s="772"/>
    </row>
    <row r="21" spans="3:23" ht="14.1" customHeight="1">
      <c r="C21" s="513" t="s">
        <v>329</v>
      </c>
      <c r="D21" s="504" t="s">
        <v>71</v>
      </c>
      <c r="E21" s="113">
        <v>631416</v>
      </c>
      <c r="F21" s="582" t="s">
        <v>69</v>
      </c>
      <c r="G21" s="576"/>
      <c r="H21" s="576"/>
      <c r="I21" s="576"/>
      <c r="J21" s="576"/>
      <c r="K21" s="583"/>
      <c r="L21" s="584"/>
      <c r="N21" s="733" t="s">
        <v>330</v>
      </c>
      <c r="O21" s="777" t="str" cm="1">
        <f t="array" ref="O21">_xlfn.TEXTJOIN(CHAR(10),TRUE,IF(F112:F184="0800-1730",$C112:$C184,""))</f>
        <v>LISA HMO
Filip INT</v>
      </c>
      <c r="P21" s="750" t="str" cm="1">
        <f t="array" ref="P21">_xlfn.TEXTJOIN(CHAR(10),TRUE,IF(G112:G184="0800-1730",$C112:$C184,""))</f>
        <v>PIN HMO
Arooj INT
Filip INT
Jayce INT</v>
      </c>
      <c r="Q21" s="750" t="str" cm="1">
        <f t="array" ref="Q21">_xlfn.TEXTJOIN(CHAR(10),TRUE,IF(H112:H184="0800-1730",$C112:$C184,""))</f>
        <v>ZOBIA HMO
HARRISON HMO
WILL HMO
Arooj INT
Roxana INT
Jayce INT</v>
      </c>
      <c r="R21" s="750" t="str" cm="1">
        <f t="array" ref="R21">_xlfn.TEXTJOIN(CHAR(10),TRUE,IF(I112:I184="0800-1730",$C112:$C184,""))</f>
        <v>PHILLIP HMO
CHRIS HMO
Roxana INT</v>
      </c>
      <c r="S21" s="750" t="str" cm="1">
        <f t="array" ref="S21">_xlfn.TEXTJOIN(CHAR(10),TRUE,IF(J112:J184="0800-1730",$C112:$C184,""))</f>
        <v>AARON N. HMO
FADIA HMO
Daniel INT
Roxana INT
Jayce INT</v>
      </c>
      <c r="T21" s="750" t="str" cm="1">
        <f t="array" ref="T21">_xlfn.TEXTJOIN(CHAR(10),TRUE,IF(K112:K184="0800-1730",$C112:$C184,""))</f>
        <v>ANKUSH HMO
VISHNU HMO
Arooj INT
Daniel INT</v>
      </c>
      <c r="U21" s="750" t="str" cm="1">
        <f t="array" ref="U21">_xlfn.TEXTJOIN(CHAR(10),TRUE,IF(L112:L184="0800-1730",$C112:$C184,""))</f>
        <v>VISHNU HMO
FADIA HMO
Arooj INT</v>
      </c>
      <c r="W21" s="772">
        <v>7</v>
      </c>
    </row>
    <row r="22" spans="3:23" ht="14.1" customHeight="1">
      <c r="C22" s="80" t="s">
        <v>331</v>
      </c>
      <c r="D22" s="514" t="s">
        <v>73</v>
      </c>
      <c r="E22" s="515">
        <v>613670</v>
      </c>
      <c r="F22" s="575" t="s">
        <v>38</v>
      </c>
      <c r="G22" s="565"/>
      <c r="H22" s="565" t="s">
        <v>33</v>
      </c>
      <c r="I22" s="565" t="s">
        <v>491</v>
      </c>
      <c r="J22" s="565" t="s">
        <v>43</v>
      </c>
      <c r="K22" s="576"/>
      <c r="L22" s="579"/>
      <c r="N22" s="734"/>
      <c r="O22" s="777"/>
      <c r="P22" s="750"/>
      <c r="Q22" s="750"/>
      <c r="R22" s="750"/>
      <c r="S22" s="750"/>
      <c r="T22" s="750"/>
      <c r="U22" s="750"/>
      <c r="W22" s="772"/>
    </row>
    <row r="23" spans="3:23" ht="14.1" customHeight="1">
      <c r="C23" s="511" t="s">
        <v>332</v>
      </c>
      <c r="D23" s="504" t="s">
        <v>76</v>
      </c>
      <c r="E23" s="516">
        <v>621988</v>
      </c>
      <c r="F23" s="582"/>
      <c r="G23" s="565" t="s">
        <v>47</v>
      </c>
      <c r="H23" s="565"/>
      <c r="I23" s="565" t="s">
        <v>50</v>
      </c>
      <c r="J23" s="576"/>
      <c r="K23" s="565" t="s">
        <v>35</v>
      </c>
      <c r="L23" s="577" t="s">
        <v>34</v>
      </c>
      <c r="N23" s="734"/>
      <c r="O23" s="777"/>
      <c r="P23" s="750"/>
      <c r="Q23" s="750"/>
      <c r="R23" s="750"/>
      <c r="S23" s="750"/>
      <c r="T23" s="750"/>
      <c r="U23" s="750"/>
      <c r="W23" s="772"/>
    </row>
    <row r="24" spans="3:23" ht="14.1" customHeight="1">
      <c r="C24" s="497" t="s">
        <v>333</v>
      </c>
      <c r="D24" s="497" t="s">
        <v>79</v>
      </c>
      <c r="E24" s="502">
        <v>609408</v>
      </c>
      <c r="F24" s="582" t="s">
        <v>77</v>
      </c>
      <c r="G24" s="576"/>
      <c r="H24" s="576"/>
      <c r="I24" s="576"/>
      <c r="J24" s="576"/>
      <c r="K24" s="576"/>
      <c r="L24" s="579"/>
      <c r="N24" s="734"/>
      <c r="O24" s="777"/>
      <c r="P24" s="750"/>
      <c r="Q24" s="750"/>
      <c r="R24" s="750"/>
      <c r="S24" s="750"/>
      <c r="T24" s="750"/>
      <c r="U24" s="750"/>
      <c r="W24" s="772"/>
    </row>
    <row r="25" spans="3:23" ht="14.1" customHeight="1">
      <c r="C25" s="511" t="s">
        <v>334</v>
      </c>
      <c r="D25" s="497" t="s">
        <v>81</v>
      </c>
      <c r="E25" s="516">
        <v>632646</v>
      </c>
      <c r="F25" s="585" t="s">
        <v>33</v>
      </c>
      <c r="G25" s="586"/>
      <c r="H25" s="586" t="s">
        <v>46</v>
      </c>
      <c r="I25" s="586"/>
      <c r="J25" s="586" t="s">
        <v>41</v>
      </c>
      <c r="K25" s="586"/>
      <c r="L25" s="577" t="s">
        <v>37</v>
      </c>
      <c r="N25" s="734"/>
      <c r="O25" s="777"/>
      <c r="P25" s="750"/>
      <c r="Q25" s="750"/>
      <c r="R25" s="750"/>
      <c r="S25" s="750"/>
      <c r="T25" s="750"/>
      <c r="U25" s="750"/>
      <c r="W25" s="772"/>
    </row>
    <row r="26" spans="3:23" ht="14.1" customHeight="1">
      <c r="C26" s="511" t="s">
        <v>335</v>
      </c>
      <c r="D26" s="497" t="s">
        <v>82</v>
      </c>
      <c r="E26" s="517">
        <v>634491</v>
      </c>
      <c r="F26" s="587" t="s">
        <v>77</v>
      </c>
      <c r="G26" s="588"/>
      <c r="H26" s="588"/>
      <c r="I26" s="588"/>
      <c r="J26" s="588"/>
      <c r="K26" s="588"/>
      <c r="L26" s="579"/>
      <c r="N26" s="734"/>
      <c r="O26" s="777"/>
      <c r="P26" s="750"/>
      <c r="Q26" s="750"/>
      <c r="R26" s="750"/>
      <c r="S26" s="750"/>
      <c r="T26" s="750"/>
      <c r="U26" s="750"/>
      <c r="W26" s="772"/>
    </row>
    <row r="27" spans="3:23" ht="14.1" customHeight="1" thickBot="1">
      <c r="C27" s="518" t="s">
        <v>83</v>
      </c>
      <c r="D27" s="518" t="s">
        <v>336</v>
      </c>
      <c r="E27" s="519"/>
      <c r="F27" s="316"/>
      <c r="G27" s="378"/>
      <c r="H27" s="378"/>
      <c r="I27" s="378"/>
      <c r="J27" s="378"/>
      <c r="K27" s="378"/>
      <c r="L27" s="319"/>
      <c r="N27" s="773"/>
      <c r="O27" s="777"/>
      <c r="P27" s="750"/>
      <c r="Q27" s="750"/>
      <c r="R27" s="750"/>
      <c r="S27" s="750"/>
      <c r="T27" s="750"/>
      <c r="U27" s="750"/>
      <c r="W27" s="772"/>
    </row>
    <row r="28" spans="3:23" ht="14.1" customHeight="1">
      <c r="C28" s="497" t="s">
        <v>337</v>
      </c>
      <c r="D28" s="497" t="s">
        <v>84</v>
      </c>
      <c r="E28" s="502">
        <v>502961</v>
      </c>
      <c r="F28" s="575" t="s">
        <v>134</v>
      </c>
      <c r="G28" s="565" t="s">
        <v>94</v>
      </c>
      <c r="H28" s="565"/>
      <c r="I28" s="565"/>
      <c r="J28" s="565"/>
      <c r="K28" s="565"/>
      <c r="L28" s="577"/>
      <c r="N28" s="778" t="s">
        <v>338</v>
      </c>
      <c r="O28" s="781" t="str" cm="1">
        <f t="array" ref="O28">_xlfn.TEXTJOIN(CHAR(10),TRUE,_xlfn._xlws.FILTER($C7:$C184,RIGHT(F7:F184,LEN("SWA"))="SWA",""))</f>
        <v>ANA CMO</v>
      </c>
      <c r="P28" s="770" t="str" cm="1">
        <f t="array" ref="P28">_xlfn.TEXTJOIN(CHAR(10),TRUE,_xlfn._xlws.FILTER($C7:$C184,RIGHT(G7:G184,LEN("SWA"))="SWA",""))</f>
        <v/>
      </c>
      <c r="Q28" s="770" t="str" cm="1">
        <f t="array" ref="Q28">_xlfn.TEXTJOIN(CHAR(10),TRUE,_xlfn._xlws.FILTER($C7:$C184,RIGHT(H7:H184,LEN("SWA"))="SWA",""))</f>
        <v/>
      </c>
      <c r="R28" s="770" t="str" cm="1">
        <f t="array" ref="R28">_xlfn.TEXTJOIN(CHAR(10),TRUE,_xlfn._xlws.FILTER($C7:$C184,RIGHT(I7:I184,LEN("SWA"))="SWA",""))</f>
        <v>ISOBEL JR</v>
      </c>
      <c r="S28" s="770" t="str" cm="1">
        <f t="array" ref="S28">_xlfn.TEXTJOIN(CHAR(10),TRUE,_xlfn._xlws.FILTER($C7:$C184,RIGHT(J7:J184,LEN("SWA"))="SWA",""))</f>
        <v/>
      </c>
      <c r="T28" s="770" t="str" cm="1">
        <f t="array" ref="T28">_xlfn.TEXTJOIN(CHAR(10),TRUE,_xlfn._xlws.FILTER($C7:$C184,RIGHT(K7:K184,LEN("SWA"))="SWA",""))</f>
        <v/>
      </c>
      <c r="U28" s="771" t="str" cm="1">
        <f t="array" ref="U28">_xlfn.TEXTJOIN(CHAR(10),TRUE,_xlfn._xlws.FILTER($C7:$C184,RIGHT(L7:L184,LEN("SWA"))="SWA",""))</f>
        <v/>
      </c>
      <c r="V28" s="34" t="s">
        <v>339</v>
      </c>
      <c r="W28" s="772">
        <v>3</v>
      </c>
    </row>
    <row r="29" spans="3:23" ht="14.1" customHeight="1">
      <c r="C29" s="497" t="s">
        <v>340</v>
      </c>
      <c r="D29" s="497" t="s">
        <v>96</v>
      </c>
      <c r="E29" s="502">
        <v>601096</v>
      </c>
      <c r="F29" s="589"/>
      <c r="G29" s="590" t="s">
        <v>40</v>
      </c>
      <c r="H29" s="578" t="s">
        <v>492</v>
      </c>
      <c r="I29" s="578" t="s">
        <v>359</v>
      </c>
      <c r="J29" s="590"/>
      <c r="K29" s="565"/>
      <c r="L29" s="577"/>
      <c r="N29" s="779"/>
      <c r="O29" s="782"/>
      <c r="P29" s="740"/>
      <c r="Q29" s="740"/>
      <c r="R29" s="740"/>
      <c r="S29" s="740"/>
      <c r="T29" s="740"/>
      <c r="U29" s="764"/>
      <c r="W29" s="772"/>
    </row>
    <row r="30" spans="3:23" ht="14.1" customHeight="1" thickBot="1">
      <c r="C30" s="497" t="s">
        <v>341</v>
      </c>
      <c r="D30" s="497" t="s">
        <v>97</v>
      </c>
      <c r="E30" s="502">
        <v>260509</v>
      </c>
      <c r="F30" s="575" t="s">
        <v>34</v>
      </c>
      <c r="G30" s="565"/>
      <c r="H30" s="565" t="s">
        <v>33</v>
      </c>
      <c r="I30" s="565"/>
      <c r="J30" s="565"/>
      <c r="K30" s="578" t="s">
        <v>342</v>
      </c>
      <c r="L30" s="577" t="s">
        <v>38</v>
      </c>
      <c r="N30" s="780"/>
      <c r="O30" s="783"/>
      <c r="P30" s="741"/>
      <c r="Q30" s="741"/>
      <c r="R30" s="741"/>
      <c r="S30" s="741"/>
      <c r="T30" s="741"/>
      <c r="U30" s="765"/>
      <c r="W30" s="772"/>
    </row>
    <row r="31" spans="3:23" ht="14.1" customHeight="1" thickBot="1">
      <c r="C31" s="504" t="s">
        <v>343</v>
      </c>
      <c r="D31" s="504" t="s">
        <v>99</v>
      </c>
      <c r="E31" s="502">
        <v>603237</v>
      </c>
      <c r="F31" s="576"/>
      <c r="G31" s="565" t="s">
        <v>37</v>
      </c>
      <c r="H31" s="576" t="s">
        <v>33</v>
      </c>
      <c r="I31" s="578" t="s">
        <v>317</v>
      </c>
      <c r="J31" s="565" t="s">
        <v>36</v>
      </c>
      <c r="K31" s="565"/>
      <c r="L31" s="565"/>
      <c r="N31" s="101"/>
      <c r="O31" s="101"/>
      <c r="P31" s="101"/>
      <c r="Q31" s="101"/>
      <c r="R31" s="101"/>
      <c r="S31" s="101"/>
      <c r="T31" s="101"/>
      <c r="U31" s="101"/>
      <c r="V31" s="101"/>
      <c r="W31" s="101"/>
    </row>
    <row r="32" spans="3:23" ht="14.1" customHeight="1">
      <c r="C32" s="520" t="s">
        <v>344</v>
      </c>
      <c r="D32" s="520" t="s">
        <v>101</v>
      </c>
      <c r="E32" s="502">
        <v>613781</v>
      </c>
      <c r="F32" s="582"/>
      <c r="G32" s="565" t="s">
        <v>50</v>
      </c>
      <c r="H32" s="565" t="s">
        <v>36</v>
      </c>
      <c r="I32" s="576"/>
      <c r="J32" s="565" t="s">
        <v>40</v>
      </c>
      <c r="K32" s="583"/>
      <c r="L32" s="584"/>
      <c r="N32" s="103" t="s">
        <v>345</v>
      </c>
      <c r="O32" s="98" t="str">
        <f>F62</f>
        <v>REZA</v>
      </c>
      <c r="P32" s="98" t="str">
        <f>G62</f>
        <v>REZA</v>
      </c>
      <c r="Q32" s="98" t="str">
        <f t="shared" ref="Q32:S32" si="9">H62</f>
        <v>ARRHCHIE</v>
      </c>
      <c r="R32" s="98" t="str">
        <f t="shared" si="9"/>
        <v>REZA</v>
      </c>
      <c r="S32" s="98" t="str">
        <f t="shared" si="9"/>
        <v>ALISHA</v>
      </c>
      <c r="T32" s="99"/>
      <c r="U32" s="100"/>
      <c r="W32" s="89"/>
    </row>
    <row r="33" spans="3:23" ht="14.1" customHeight="1" thickBot="1">
      <c r="C33" s="497" t="s">
        <v>346</v>
      </c>
      <c r="D33" s="497" t="s">
        <v>102</v>
      </c>
      <c r="E33" s="502">
        <v>611691</v>
      </c>
      <c r="F33" s="565" t="s">
        <v>35</v>
      </c>
      <c r="G33" s="565"/>
      <c r="H33" s="566" t="s">
        <v>40</v>
      </c>
      <c r="I33" s="565" t="s">
        <v>33</v>
      </c>
      <c r="J33" s="576" t="s">
        <v>2</v>
      </c>
      <c r="K33" s="565"/>
      <c r="L33" s="565"/>
      <c r="N33" s="834" t="s">
        <v>347</v>
      </c>
      <c r="O33" s="521" t="str" cm="1">
        <f t="array" ref="O33">_xlfn.TEXTJOIN(CHAR(10),TRUE,_xlfn._xlws.FILTER($C7:$C184,RIGHT(F7:F184,LEN("CSO"))="CSO",""))</f>
        <v>AFTAB SMS</v>
      </c>
      <c r="P33" s="835" t="str" cm="1">
        <f t="array" ref="P33">_xlfn.TEXTJOIN(CHAR(10),TRUE,_xlfn._xlws.FILTER($C7:$C184,RIGHT(G7:G184,LEN("CSO"))="CSO",""))</f>
        <v>STEPHEN G SMS</v>
      </c>
      <c r="Q33" s="835" t="str" cm="1">
        <f t="array" ref="Q33">_xlfn.TEXTJOIN(CHAR(10),TRUE,_xlfn._xlws.FILTER($C7:$C184,RIGHT(H7:H184,LEN("CSO"))="CSO",""))</f>
        <v/>
      </c>
      <c r="R33" s="835" t="str" cm="1">
        <f t="array" ref="R33">_xlfn.TEXTJOIN(CHAR(10),TRUE,_xlfn._xlws.FILTER($C7:$C184,RIGHT(I7:I184,LEN("CSO"))="CSO",""))</f>
        <v>PAT SMS</v>
      </c>
      <c r="S33" s="835" t="str" cm="1">
        <f t="array" ref="S33">_xlfn.TEXTJOIN(CHAR(10),TRUE,_xlfn._xlws.FILTER($C7:$C184,RIGHT(J7:J184,LEN("CSO"))="CSO",""))</f>
        <v>BEN SMS</v>
      </c>
      <c r="T33" s="835"/>
      <c r="U33" s="836"/>
      <c r="W33" s="89"/>
    </row>
    <row r="34" spans="3:23" ht="14.1" customHeight="1" thickBot="1">
      <c r="C34" s="497" t="s">
        <v>348</v>
      </c>
      <c r="D34" s="504" t="s">
        <v>103</v>
      </c>
      <c r="E34" s="502">
        <v>634258</v>
      </c>
      <c r="F34" s="591" t="s">
        <v>359</v>
      </c>
      <c r="G34" s="565"/>
      <c r="H34" s="578" t="s">
        <v>342</v>
      </c>
      <c r="I34" s="578" t="s">
        <v>342</v>
      </c>
      <c r="J34" s="565"/>
      <c r="K34" s="565"/>
      <c r="L34" s="577"/>
      <c r="O34" s="89"/>
      <c r="W34" s="89"/>
    </row>
    <row r="35" spans="3:23" ht="14.1" customHeight="1" thickBot="1">
      <c r="C35" s="504" t="s">
        <v>349</v>
      </c>
      <c r="D35" s="504" t="s">
        <v>104</v>
      </c>
      <c r="E35" s="506">
        <v>618946</v>
      </c>
      <c r="F35" s="572" t="s">
        <v>106</v>
      </c>
      <c r="G35" s="573"/>
      <c r="H35" s="573"/>
      <c r="I35" s="586" t="s">
        <v>38</v>
      </c>
      <c r="J35" s="588"/>
      <c r="K35" s="588"/>
      <c r="L35" s="579"/>
      <c r="O35" s="784" t="s">
        <v>350</v>
      </c>
      <c r="P35" s="785"/>
      <c r="Q35" s="785"/>
      <c r="R35" s="785"/>
      <c r="S35" s="785"/>
      <c r="T35" s="785"/>
      <c r="U35" s="786"/>
      <c r="W35" s="89" t="s">
        <v>351</v>
      </c>
    </row>
    <row r="36" spans="3:23" ht="14.1" customHeight="1">
      <c r="C36" s="504" t="s">
        <v>352</v>
      </c>
      <c r="D36" s="504" t="s">
        <v>109</v>
      </c>
      <c r="E36" s="502">
        <v>634702</v>
      </c>
      <c r="F36" s="592" t="s">
        <v>98</v>
      </c>
      <c r="G36" s="593"/>
      <c r="H36" s="593"/>
      <c r="I36" s="593"/>
      <c r="J36" s="593"/>
      <c r="K36" s="593"/>
      <c r="L36" s="594"/>
      <c r="N36" s="104" t="s">
        <v>303</v>
      </c>
      <c r="O36" s="105" t="str">
        <f t="shared" ref="O36:U36" si="10">INDEX($C7:$L188,MATCH("*Pgc",F7:F191,0),1)</f>
        <v>SUHAIL SMS</v>
      </c>
      <c r="P36" s="99" t="str">
        <f t="shared" si="10"/>
        <v>TARA K. SMS</v>
      </c>
      <c r="Q36" s="99" t="str">
        <f t="shared" si="10"/>
        <v>STEPHEN G SMS</v>
      </c>
      <c r="R36" s="99" t="str">
        <f t="shared" si="10"/>
        <v>QING SMS</v>
      </c>
      <c r="S36" s="99" t="str">
        <f t="shared" si="10"/>
        <v>BRAD SMS</v>
      </c>
      <c r="T36" s="99" t="str">
        <f t="shared" si="10"/>
        <v>DANIEL SMS</v>
      </c>
      <c r="U36" s="100" t="str">
        <f t="shared" si="10"/>
        <v>SINDY SMS</v>
      </c>
      <c r="V36" s="34" t="s">
        <v>293</v>
      </c>
      <c r="W36" s="772">
        <v>5</v>
      </c>
    </row>
    <row r="37" spans="3:23" ht="14.1" customHeight="1">
      <c r="C37" s="78" t="s">
        <v>353</v>
      </c>
      <c r="D37" s="504" t="s">
        <v>110</v>
      </c>
      <c r="E37" s="498">
        <v>648587</v>
      </c>
      <c r="F37" s="595" t="s">
        <v>30</v>
      </c>
      <c r="G37" s="596"/>
      <c r="H37" s="596"/>
      <c r="I37" s="596"/>
      <c r="J37" s="596"/>
      <c r="K37" s="596"/>
      <c r="L37" s="597"/>
      <c r="N37" s="522" t="s">
        <v>305</v>
      </c>
      <c r="O37" s="523" t="str">
        <f t="shared" ref="O37:U37" si="11">INDEX($C7:$L188,MATCH("*PAC",F7:F190,0),1)</f>
        <v>ERICA SMS</v>
      </c>
      <c r="P37" s="500" t="str">
        <f t="shared" si="11"/>
        <v>JACQUELINE SMS</v>
      </c>
      <c r="Q37" s="500" t="str">
        <f t="shared" si="11"/>
        <v>AFTAB SMS</v>
      </c>
      <c r="R37" s="500" t="str">
        <f t="shared" si="11"/>
        <v>SCOTT SMS</v>
      </c>
      <c r="S37" s="500" t="str">
        <f t="shared" si="11"/>
        <v>STEVE T SMS</v>
      </c>
      <c r="T37" s="500" t="str">
        <f t="shared" si="11"/>
        <v>SINDY SMS</v>
      </c>
      <c r="U37" s="501" t="str">
        <f t="shared" si="11"/>
        <v>ANDRE SMS</v>
      </c>
      <c r="V37" s="34" t="s">
        <v>292</v>
      </c>
      <c r="W37" s="772"/>
    </row>
    <row r="38" spans="3:23" ht="14.1" customHeight="1">
      <c r="C38" s="78" t="s">
        <v>354</v>
      </c>
      <c r="D38" s="504" t="s">
        <v>111</v>
      </c>
      <c r="E38" s="498">
        <v>637933</v>
      </c>
      <c r="F38" s="581"/>
      <c r="G38" s="576"/>
      <c r="H38" s="566"/>
      <c r="I38" s="565" t="s">
        <v>33</v>
      </c>
      <c r="J38" s="566" t="s">
        <v>37</v>
      </c>
      <c r="K38" s="566" t="s">
        <v>36</v>
      </c>
      <c r="L38" s="598"/>
      <c r="N38" s="524" t="s">
        <v>307</v>
      </c>
      <c r="O38" s="523" t="str">
        <f t="shared" ref="O38:U38" si="12">INDEX($C7:$L188,MATCH("*PRC",F7:F191,0),1)</f>
        <v>ANDY L  SMS</v>
      </c>
      <c r="P38" s="500" t="str">
        <f t="shared" si="12"/>
        <v>JACKIE SMS</v>
      </c>
      <c r="Q38" s="500" t="str">
        <f t="shared" si="12"/>
        <v>STEVE T SMS</v>
      </c>
      <c r="R38" s="500" t="str">
        <f t="shared" si="12"/>
        <v>ANASTASIA SMS</v>
      </c>
      <c r="S38" s="500" t="str">
        <f t="shared" si="12"/>
        <v>TITUS CMO</v>
      </c>
      <c r="T38" s="500" t="str">
        <f t="shared" si="12"/>
        <v>PAT SMS</v>
      </c>
      <c r="U38" s="501" t="str">
        <f t="shared" si="12"/>
        <v>JEREMY SMS</v>
      </c>
      <c r="V38" s="34" t="s">
        <v>291</v>
      </c>
      <c r="W38" s="772"/>
    </row>
    <row r="39" spans="3:23" ht="14.1" customHeight="1">
      <c r="C39" s="504" t="s">
        <v>355</v>
      </c>
      <c r="D39" s="504" t="s">
        <v>112</v>
      </c>
      <c r="E39" s="506">
        <v>634394</v>
      </c>
      <c r="F39" s="581"/>
      <c r="G39" s="66"/>
      <c r="H39" s="566" t="s">
        <v>34</v>
      </c>
      <c r="I39" s="576"/>
      <c r="J39" s="566" t="s">
        <v>34</v>
      </c>
      <c r="K39" s="576"/>
      <c r="L39" s="577" t="s">
        <v>47</v>
      </c>
      <c r="N39" s="525" t="s">
        <v>309</v>
      </c>
      <c r="O39" s="523" t="str">
        <f t="shared" ref="O39:U39" si="13">INDEX($C7:$L188,MATCH("*PSSC",F7:F191,0),1)</f>
        <v>ANDRE SMS</v>
      </c>
      <c r="P39" s="500" t="str">
        <f t="shared" si="13"/>
        <v>SUHAIL SMS</v>
      </c>
      <c r="Q39" s="500" t="str">
        <f t="shared" si="13"/>
        <v>YAN SMS</v>
      </c>
      <c r="R39" s="500" t="e">
        <f t="shared" si="13"/>
        <v>#N/A</v>
      </c>
      <c r="S39" s="500" t="str">
        <f t="shared" si="13"/>
        <v>YAN SMS</v>
      </c>
      <c r="T39" s="500" t="str">
        <f t="shared" si="13"/>
        <v>JEREMY SMS</v>
      </c>
      <c r="U39" s="501" t="str">
        <f t="shared" si="13"/>
        <v>PAT SMS</v>
      </c>
      <c r="V39" s="34" t="s">
        <v>295</v>
      </c>
      <c r="W39" s="772"/>
    </row>
    <row r="40" spans="3:23" ht="14.1" customHeight="1">
      <c r="C40" s="497" t="s">
        <v>356</v>
      </c>
      <c r="D40" s="526" t="s">
        <v>113</v>
      </c>
      <c r="E40" s="502">
        <v>605686</v>
      </c>
      <c r="F40" s="599" t="s">
        <v>342</v>
      </c>
      <c r="G40" s="600"/>
      <c r="H40" s="601" t="s">
        <v>33</v>
      </c>
      <c r="I40" s="602" t="s">
        <v>359</v>
      </c>
      <c r="J40" s="600"/>
      <c r="K40" s="600"/>
      <c r="L40" s="603"/>
      <c r="N40" s="527" t="s">
        <v>357</v>
      </c>
      <c r="O40" s="523" t="e">
        <f t="shared" ref="O40:U40" si="14">INDEX($C7:$L214,MATCH("*PCC*",F7:F202,0),1)</f>
        <v>#N/A</v>
      </c>
      <c r="P40" s="500" t="e">
        <f t="shared" si="14"/>
        <v>#N/A</v>
      </c>
      <c r="Q40" s="500" t="str">
        <f>INDEX($C7:$L214,MATCH("*PCC*",H7:H199,0),1)</f>
        <v>TECWYN SMS</v>
      </c>
      <c r="R40" s="500" t="str">
        <f t="shared" si="14"/>
        <v>DIANA SMS</v>
      </c>
      <c r="S40" s="500" t="e">
        <f t="shared" si="14"/>
        <v>#N/A</v>
      </c>
      <c r="T40" s="500" t="e">
        <f t="shared" si="14"/>
        <v>#N/A</v>
      </c>
      <c r="U40" s="501" t="e">
        <f t="shared" si="14"/>
        <v>#N/A</v>
      </c>
      <c r="V40" s="34" t="s">
        <v>294</v>
      </c>
      <c r="W40" s="772"/>
    </row>
    <row r="41" spans="3:23" ht="14.1" customHeight="1">
      <c r="C41" s="79" t="s">
        <v>358</v>
      </c>
      <c r="D41" s="497" t="s">
        <v>114</v>
      </c>
      <c r="E41" s="502">
        <v>119385</v>
      </c>
      <c r="F41" s="566"/>
      <c r="G41" s="566"/>
      <c r="H41" s="566"/>
      <c r="I41" s="565" t="s">
        <v>115</v>
      </c>
      <c r="J41" s="565"/>
      <c r="K41" s="565" t="s">
        <v>37</v>
      </c>
      <c r="L41" s="577"/>
      <c r="N41" s="789" t="s">
        <v>360</v>
      </c>
      <c r="O41" s="787" t="str" cm="1">
        <f t="array" ref="O41">_xlfn.TEXTJOIN(CHAR(10),TRUE,IF(F7:F111="1430-0000 PFC",$C7:$C111,""),IF(F7:F111="1400-0000 PFC",$C7:$C111,""),IF(F7:F111="1430-0000",$C7:$C111,""))</f>
        <v>TITUS CMO
HANNAH IR
ISOBEL JR
RACHEL JR</v>
      </c>
      <c r="P41" s="750" t="str" cm="1">
        <f t="array" ref="P41">_xlfn.TEXTJOIN(CHAR(10),TRUE,IF(G7:G111="1430-0000 PFC",$C7:$C111,""),IF(G7:G111="1400-0000 PFC",$C7:$C111,""),IF(G7:G111="1430-0000",$C7:$C111,""))</f>
        <v>MARK SR
HANNAH IR
ISOBEL JR
LAURA JR</v>
      </c>
      <c r="Q41" s="750" t="str" cm="1">
        <f t="array" ref="Q41">_xlfn.TEXTJOIN(CHAR(10),TRUE,IF(H7:H111="1430-0000 PFC",$C7:$C111,""),IF(H7:H111="1400-0000 PFC",$C7:$C111,""),IF(H7:H111="1430-0000",$C7:$C111,""))</f>
        <v>DENNIS SR
CLARE JR
KELLY JR</v>
      </c>
      <c r="R41" s="750" t="str" cm="1">
        <f t="array" ref="R41">_xlfn.TEXTJOIN(CHAR(10),TRUE,IF(I7:I111="1430-0000 PFC",$C7:$C111,""),IF(I7:I111="1400-0000 PFC",$C7:$C111,""),IF(I7:I111="1430-0000",$C7:$C111,""))</f>
        <v>DENNIS SR
CHRISTINA JR
CLARE JR</v>
      </c>
      <c r="S41" s="750" t="str" cm="1">
        <f t="array" ref="S41">_xlfn.TEXTJOIN(CHAR(10),TRUE,IF(J7:J111="1430-0000 PFC",$C7:$C111,""),IF(J7:J111="1400-0000 PFC",$C7:$C111,""),IF(J7:J111="1430-0000",$C7:$C111,""))</f>
        <v>DENNIS SR
CHRISTINA JR
CRAIG JR</v>
      </c>
      <c r="T41" s="750" t="str" cm="1">
        <f t="array" ref="T41">_xlfn.TEXTJOIN(CHAR(10),TRUE,IF(K7:K111="1430-0000 PFC",$C7:$C111,""),IF(K7:K111="1400-0000 PFC",$C7:$C111,""),IF(K7:K111="1430-0000",$C7:$C111,""))</f>
        <v>SALEEM CMO
AMY SR
SUBARNA JR</v>
      </c>
      <c r="U41" s="788" t="str" cm="1">
        <f t="array" ref="U41">_xlfn.TEXTJOIN(CHAR(10),TRUE,IF(L7:L111="1430-0000 PFC",$C7:$C111,""),IF(L7:L111="1400-0000 PFC",$C7:$C111,""),IF(L7:L111="1430-0000",$C7:$C111,""))</f>
        <v>SALEEM CMO
AMY SR
HANNAH IR
GIOVANA JR</v>
      </c>
      <c r="W41" s="772">
        <v>7</v>
      </c>
    </row>
    <row r="42" spans="3:23" ht="14.1" customHeight="1">
      <c r="C42" s="504" t="s">
        <v>361</v>
      </c>
      <c r="D42" s="504" t="s">
        <v>116</v>
      </c>
      <c r="E42" s="502">
        <v>623962</v>
      </c>
      <c r="F42" s="575"/>
      <c r="G42" s="210" t="s">
        <v>490</v>
      </c>
      <c r="H42" s="65"/>
      <c r="I42" s="210" t="s">
        <v>342</v>
      </c>
      <c r="J42" s="565"/>
      <c r="K42" s="565"/>
      <c r="L42" s="604"/>
      <c r="N42" s="790"/>
      <c r="O42" s="787"/>
      <c r="P42" s="750"/>
      <c r="Q42" s="750"/>
      <c r="R42" s="750"/>
      <c r="S42" s="750"/>
      <c r="T42" s="750"/>
      <c r="U42" s="788"/>
      <c r="W42" s="772"/>
    </row>
    <row r="43" spans="3:23" ht="14.1" customHeight="1">
      <c r="C43" s="497" t="s">
        <v>362</v>
      </c>
      <c r="D43" s="504" t="s">
        <v>117</v>
      </c>
      <c r="E43" s="508">
        <v>613725</v>
      </c>
      <c r="F43" s="575"/>
      <c r="G43" s="565" t="s">
        <v>32</v>
      </c>
      <c r="H43" s="565"/>
      <c r="I43" s="565"/>
      <c r="J43" s="565" t="s">
        <v>47</v>
      </c>
      <c r="K43" s="565"/>
      <c r="L43" s="577"/>
      <c r="N43" s="790"/>
      <c r="O43" s="787"/>
      <c r="P43" s="750"/>
      <c r="Q43" s="750"/>
      <c r="R43" s="750"/>
      <c r="S43" s="750"/>
      <c r="T43" s="750"/>
      <c r="U43" s="788"/>
      <c r="W43" s="772"/>
    </row>
    <row r="44" spans="3:23" ht="14.1" customHeight="1">
      <c r="C44" s="497" t="s">
        <v>363</v>
      </c>
      <c r="D44" s="504" t="s">
        <v>118</v>
      </c>
      <c r="E44" s="516">
        <v>612264</v>
      </c>
      <c r="F44" s="575"/>
      <c r="G44" s="565"/>
      <c r="H44" s="565"/>
      <c r="I44" s="565" t="s">
        <v>43</v>
      </c>
      <c r="J44" s="565" t="s">
        <v>50</v>
      </c>
      <c r="K44" s="565"/>
      <c r="L44" s="577"/>
      <c r="N44" s="790"/>
      <c r="O44" s="787"/>
      <c r="P44" s="750"/>
      <c r="Q44" s="750"/>
      <c r="R44" s="750"/>
      <c r="S44" s="750"/>
      <c r="T44" s="750"/>
      <c r="U44" s="788"/>
      <c r="W44" s="772"/>
    </row>
    <row r="45" spans="3:23" ht="14.1" customHeight="1">
      <c r="C45" s="497" t="s">
        <v>364</v>
      </c>
      <c r="D45" s="497" t="s">
        <v>119</v>
      </c>
      <c r="E45" s="502">
        <v>643950</v>
      </c>
      <c r="F45" s="575" t="s">
        <v>50</v>
      </c>
      <c r="G45" s="576"/>
      <c r="H45" s="565" t="s">
        <v>38</v>
      </c>
      <c r="I45" s="576"/>
      <c r="J45" s="576"/>
      <c r="K45" s="565"/>
      <c r="L45" s="577"/>
      <c r="N45" s="790"/>
      <c r="O45" s="787"/>
      <c r="P45" s="750"/>
      <c r="Q45" s="750"/>
      <c r="R45" s="750"/>
      <c r="S45" s="750"/>
      <c r="T45" s="750"/>
      <c r="U45" s="788"/>
      <c r="W45" s="772"/>
    </row>
    <row r="46" spans="3:23" ht="14.1" customHeight="1">
      <c r="C46" s="79" t="s">
        <v>365</v>
      </c>
      <c r="D46" s="723" t="s">
        <v>120</v>
      </c>
      <c r="E46" s="502">
        <v>618881</v>
      </c>
      <c r="F46" s="582"/>
      <c r="G46" s="576"/>
      <c r="H46" s="576"/>
      <c r="I46" s="576"/>
      <c r="J46" s="576"/>
      <c r="K46" s="565" t="s">
        <v>38</v>
      </c>
      <c r="L46" s="577" t="s">
        <v>36</v>
      </c>
      <c r="N46" s="790"/>
      <c r="O46" s="787"/>
      <c r="P46" s="750"/>
      <c r="Q46" s="750"/>
      <c r="R46" s="750"/>
      <c r="S46" s="750"/>
      <c r="T46" s="750"/>
      <c r="U46" s="788"/>
      <c r="W46" s="772"/>
    </row>
    <row r="47" spans="3:23" ht="14.1" customHeight="1">
      <c r="C47" s="497" t="s">
        <v>366</v>
      </c>
      <c r="D47" s="497" t="s">
        <v>122</v>
      </c>
      <c r="E47" s="508">
        <v>141658</v>
      </c>
      <c r="F47" s="592" t="s">
        <v>98</v>
      </c>
      <c r="G47" s="593"/>
      <c r="H47" s="593"/>
      <c r="I47" s="593"/>
      <c r="J47" s="593"/>
      <c r="K47" s="593"/>
      <c r="L47" s="594"/>
      <c r="N47" s="791"/>
      <c r="O47" s="787"/>
      <c r="P47" s="750"/>
      <c r="Q47" s="750"/>
      <c r="R47" s="750"/>
      <c r="S47" s="750"/>
      <c r="T47" s="750"/>
      <c r="U47" s="788"/>
      <c r="W47" s="101"/>
    </row>
    <row r="48" spans="3:23" ht="14.1" customHeight="1">
      <c r="C48" s="511" t="s">
        <v>367</v>
      </c>
      <c r="D48" s="504" t="s">
        <v>123</v>
      </c>
      <c r="E48" s="516">
        <v>654004</v>
      </c>
      <c r="F48" s="572" t="s">
        <v>31</v>
      </c>
      <c r="G48" s="573"/>
      <c r="H48" s="573"/>
      <c r="I48" s="573"/>
      <c r="J48" s="573"/>
      <c r="K48" s="573"/>
      <c r="L48" s="574"/>
      <c r="N48" s="528" t="s">
        <v>368</v>
      </c>
      <c r="O48" s="523" t="str">
        <f t="shared" ref="O48:U48" si="15">INDEX($C7:$L188,MATCH("*PHJ*",F7:F191,0),1)</f>
        <v>CHRISTINA JR</v>
      </c>
      <c r="P48" s="500" t="str">
        <f t="shared" si="15"/>
        <v>JEROME JR</v>
      </c>
      <c r="Q48" s="500" t="str">
        <f t="shared" si="15"/>
        <v>DESLIN JR</v>
      </c>
      <c r="R48" s="500" t="str">
        <f t="shared" si="15"/>
        <v>CRAIG JR</v>
      </c>
      <c r="S48" s="500" t="str">
        <f t="shared" si="15"/>
        <v>LAURA JR</v>
      </c>
      <c r="T48" s="500" t="str">
        <f t="shared" si="15"/>
        <v>GIOVANA JR</v>
      </c>
      <c r="U48" s="501" t="str">
        <f t="shared" si="15"/>
        <v>SUBARNA JR</v>
      </c>
      <c r="V48" s="34" t="s">
        <v>369</v>
      </c>
      <c r="W48" s="89">
        <v>1</v>
      </c>
    </row>
    <row r="49" spans="3:23" ht="14.1" customHeight="1">
      <c r="C49" s="511" t="s">
        <v>370</v>
      </c>
      <c r="D49" s="504" t="s">
        <v>124</v>
      </c>
      <c r="E49" s="516">
        <v>655191</v>
      </c>
      <c r="F49" s="605" t="s">
        <v>493</v>
      </c>
      <c r="G49" s="606"/>
      <c r="H49" s="606"/>
      <c r="I49" s="606"/>
      <c r="J49" s="606"/>
      <c r="K49" s="606"/>
      <c r="L49" s="607"/>
      <c r="N49" s="792" t="s">
        <v>325</v>
      </c>
      <c r="O49" s="787" t="str" cm="1">
        <f t="array" ref="O49">_xlfn.TEXTJOIN(CHAR(10),TRUE,_xlfn._xlws.FILTER($C7:$C184,RIGHT(F7:F184,LEN("pSSJ"))="pSSJ",""))</f>
        <v>DEVUNI HMO</v>
      </c>
      <c r="P49" s="750" t="str" cm="1">
        <f t="array" ref="P49">_xlfn.TEXTJOIN(CHAR(10),TRUE,_xlfn._xlws.FILTER($C7:$C184,RIGHT(G7:G184,LEN("pSSJ"))="pSSJ",""))</f>
        <v>MARYAM HMO</v>
      </c>
      <c r="Q49" s="750" t="str" cm="1">
        <f t="array" ref="Q49">_xlfn.TEXTJOIN(CHAR(10),TRUE,_xlfn._xlws.FILTER($C7:$C184,RIGHT(H7:H184,LEN("pSSJ"))="pSSJ",""))</f>
        <v/>
      </c>
      <c r="R49" s="750" t="str" cm="1">
        <f t="array" ref="R49">_xlfn.TEXTJOIN(CHAR(10),TRUE,_xlfn._xlws.FILTER($C7:$C184,RIGHT(I7:I184,LEN("pSSJ"))="pSSJ",""))</f>
        <v/>
      </c>
      <c r="S49" s="750" t="str" cm="1">
        <f t="array" ref="S49">_xlfn.TEXTJOIN(CHAR(10),TRUE,_xlfn._xlws.FILTER($C7:$C184,RIGHT(J7:J184,LEN("pSSJ"))="pSSJ",""))</f>
        <v>CHRIS HMO</v>
      </c>
      <c r="T49" s="750" t="str" cm="1">
        <f t="array" ref="T49">_xlfn.TEXTJOIN(CHAR(10),TRUE,_xlfn._xlws.FILTER($C7:$C184,RIGHT(K7:K184,LEN("pSSJ"))="pSSJ",""))</f>
        <v>BRENDAN HMO</v>
      </c>
      <c r="U49" s="788" t="str" cm="1">
        <f t="array" ref="U49">_xlfn.TEXTJOIN(CHAR(10),TRUE,_xlfn._xlws.FILTER($C7:$C184,RIGHT(L7:L184,LEN("pSSJ"))="pSSJ",""))</f>
        <v>MASON HMO</v>
      </c>
      <c r="V49" s="34" t="s">
        <v>372</v>
      </c>
      <c r="W49" s="772">
        <v>2</v>
      </c>
    </row>
    <row r="50" spans="3:23" ht="14.1" customHeight="1">
      <c r="C50" s="511" t="s">
        <v>373</v>
      </c>
      <c r="D50" s="504" t="s">
        <v>126</v>
      </c>
      <c r="E50" s="516">
        <v>653055</v>
      </c>
      <c r="F50" s="608"/>
      <c r="G50" s="75" t="s">
        <v>36</v>
      </c>
      <c r="H50" s="75" t="s">
        <v>33</v>
      </c>
      <c r="I50" s="75"/>
      <c r="J50" s="204"/>
      <c r="K50" s="576"/>
      <c r="L50" s="609"/>
      <c r="N50" s="792"/>
      <c r="O50" s="787"/>
      <c r="P50" s="750"/>
      <c r="Q50" s="750"/>
      <c r="R50" s="750"/>
      <c r="S50" s="750"/>
      <c r="T50" s="750"/>
      <c r="U50" s="788"/>
      <c r="W50" s="772"/>
    </row>
    <row r="51" spans="3:23" ht="14.1" customHeight="1">
      <c r="C51" s="497" t="s">
        <v>374</v>
      </c>
      <c r="D51" s="340" t="s">
        <v>128</v>
      </c>
      <c r="E51" s="502">
        <v>650059</v>
      </c>
      <c r="F51" s="576"/>
      <c r="G51" s="600"/>
      <c r="H51" s="576"/>
      <c r="I51" s="576"/>
      <c r="J51" s="610"/>
      <c r="K51" s="600" t="s">
        <v>34</v>
      </c>
      <c r="L51" s="603" t="s">
        <v>35</v>
      </c>
      <c r="N51" s="733" t="s">
        <v>330</v>
      </c>
      <c r="O51" s="736" t="str" cm="1">
        <f t="array" ref="O51">_xlfn.TEXTJOIN(CHAR(10),TRUE,IF(F112:F184="1430-0000",$C112:$C184,""))</f>
        <v>BRIANNA HMO
MASON HMO
MILOS HMO
VISHNU HMO
Ann INT
Roxana INT</v>
      </c>
      <c r="P51" s="739" t="str" cm="1">
        <f t="array" ref="P51">_xlfn.TEXTJOIN(CHAR(10),TRUE,IF(G112:G184="1430-0000",$C112:$C184,""))</f>
        <v>ANKUSH HMO
CHRIS HMO
FADIA HMO
Sarah C. INT</v>
      </c>
      <c r="Q51" s="739" t="str" cm="1">
        <f t="array" ref="Q51">_xlfn.TEXTJOIN(CHAR(10),TRUE,IF(H112:H184="1430-0000",$C112:$C184,""))</f>
        <v>AREEBA HMO
AARON N. HMO
MIKEY HMO
Sarah W. INT
Sarah C. INT</v>
      </c>
      <c r="R51" s="739" t="str" cm="1">
        <f t="array" ref="R51">_xlfn.TEXTJOIN(CHAR(10),TRUE,IF(I112:I184="1430-0000",$C112:$C184,""))</f>
        <v>AARON G. HMO
AREEBA HMO
WILL HMO
Ranusha INT
Sarah C. INT</v>
      </c>
      <c r="S51" s="739" t="str" cm="1">
        <f t="array" ref="S51">_xlfn.TEXTJOIN(CHAR(10),TRUE,IF(J112:J184="1430-0000",$C112:$C184,""))</f>
        <v>AREEBA HMO
PIN HMO
Ranusha INT
Sarah C. INT</v>
      </c>
      <c r="T51" s="739" t="str" cm="1">
        <f t="array" ref="T51">_xlfn.TEXTJOIN(CHAR(10),TRUE,IF(K112:K184="1430-0000",$C112:$C184,""))</f>
        <v>MASON HMO
AARON N. HMO
HARRISON HMO
Filip INT
Ranusha INT</v>
      </c>
      <c r="U51" s="763" t="str" cm="1">
        <f t="array" ref="U51">_xlfn.TEXTJOIN(CHAR(10),TRUE,IF(L112:L184="1430-0000",$C112:$C184,""))</f>
        <v>ANKUSH HMO
BRENDAN HMO
AARON B. HMO
AARON N. HMO
Filip INT
Ranusha INT</v>
      </c>
      <c r="W51" s="772">
        <v>8</v>
      </c>
    </row>
    <row r="52" spans="3:23" ht="14.1" customHeight="1">
      <c r="C52" s="497" t="s">
        <v>375</v>
      </c>
      <c r="D52" s="340" t="s">
        <v>129</v>
      </c>
      <c r="E52" s="502">
        <v>703067</v>
      </c>
      <c r="F52" s="611" t="s">
        <v>37</v>
      </c>
      <c r="G52" s="600" t="s">
        <v>38</v>
      </c>
      <c r="H52" s="612"/>
      <c r="I52" s="600"/>
      <c r="J52" s="600"/>
      <c r="K52" s="576"/>
      <c r="L52" s="576"/>
      <c r="N52" s="734"/>
      <c r="O52" s="737"/>
      <c r="P52" s="740"/>
      <c r="Q52" s="740"/>
      <c r="R52" s="740"/>
      <c r="S52" s="740"/>
      <c r="T52" s="740"/>
      <c r="U52" s="764"/>
      <c r="W52" s="772"/>
    </row>
    <row r="53" spans="3:23" ht="14.1" customHeight="1">
      <c r="C53" s="497" t="s">
        <v>376</v>
      </c>
      <c r="D53" s="340" t="s">
        <v>132</v>
      </c>
      <c r="E53" s="502">
        <v>703495</v>
      </c>
      <c r="F53" s="611" t="s">
        <v>36</v>
      </c>
      <c r="G53" s="600" t="s">
        <v>34</v>
      </c>
      <c r="H53" s="601"/>
      <c r="I53" s="610"/>
      <c r="J53" s="610"/>
      <c r="K53" s="610"/>
      <c r="L53" s="603"/>
      <c r="N53" s="734"/>
      <c r="O53" s="737"/>
      <c r="P53" s="740"/>
      <c r="Q53" s="740"/>
      <c r="R53" s="740"/>
      <c r="S53" s="740"/>
      <c r="T53" s="740"/>
      <c r="U53" s="764"/>
      <c r="W53" s="772"/>
    </row>
    <row r="54" spans="3:23" ht="14.1" customHeight="1">
      <c r="C54" s="504" t="s">
        <v>377</v>
      </c>
      <c r="D54" s="504" t="s">
        <v>133</v>
      </c>
      <c r="E54" s="502">
        <v>578275</v>
      </c>
      <c r="F54" s="581"/>
      <c r="G54" s="566"/>
      <c r="H54" s="566" t="s">
        <v>87</v>
      </c>
      <c r="I54" s="566"/>
      <c r="J54" s="566"/>
      <c r="K54" s="566"/>
      <c r="L54" s="577" t="s">
        <v>40</v>
      </c>
      <c r="N54" s="734"/>
      <c r="O54" s="737"/>
      <c r="P54" s="740"/>
      <c r="Q54" s="740"/>
      <c r="R54" s="740"/>
      <c r="S54" s="740"/>
      <c r="T54" s="740"/>
      <c r="U54" s="764"/>
      <c r="W54" s="772"/>
    </row>
    <row r="55" spans="3:23" ht="14.1" customHeight="1">
      <c r="C55" s="504" t="s">
        <v>378</v>
      </c>
      <c r="D55" s="497" t="s">
        <v>135</v>
      </c>
      <c r="E55" s="502">
        <v>644237</v>
      </c>
      <c r="F55" s="569" t="s">
        <v>28</v>
      </c>
      <c r="G55" s="570"/>
      <c r="H55" s="570"/>
      <c r="I55" s="570"/>
      <c r="J55" s="570"/>
      <c r="K55" s="570"/>
      <c r="L55" s="571"/>
      <c r="N55" s="734"/>
      <c r="O55" s="737"/>
      <c r="P55" s="740"/>
      <c r="Q55" s="740"/>
      <c r="R55" s="740"/>
      <c r="S55" s="740"/>
      <c r="T55" s="740"/>
      <c r="U55" s="764"/>
      <c r="W55" s="772"/>
    </row>
    <row r="56" spans="3:23" ht="14.1" customHeight="1">
      <c r="C56" s="497" t="s">
        <v>379</v>
      </c>
      <c r="D56" s="504" t="s">
        <v>136</v>
      </c>
      <c r="E56" s="502">
        <v>634259</v>
      </c>
      <c r="F56" s="575"/>
      <c r="G56" s="565"/>
      <c r="H56" s="565"/>
      <c r="I56" s="565"/>
      <c r="J56" s="565"/>
      <c r="K56" s="565" t="s">
        <v>47</v>
      </c>
      <c r="L56" s="577"/>
      <c r="N56" s="734"/>
      <c r="O56" s="737"/>
      <c r="P56" s="740"/>
      <c r="Q56" s="740"/>
      <c r="R56" s="740"/>
      <c r="S56" s="740"/>
      <c r="T56" s="740"/>
      <c r="U56" s="764"/>
      <c r="W56" s="772"/>
    </row>
    <row r="57" spans="3:23" ht="14.1" customHeight="1">
      <c r="C57" s="497" t="s">
        <v>380</v>
      </c>
      <c r="D57" s="526" t="s">
        <v>137</v>
      </c>
      <c r="E57" s="502">
        <v>418439</v>
      </c>
      <c r="F57" s="611"/>
      <c r="G57" s="75"/>
      <c r="H57" s="75" t="s">
        <v>47</v>
      </c>
      <c r="I57" s="75"/>
      <c r="J57" s="600"/>
      <c r="K57" s="600"/>
      <c r="L57" s="613"/>
      <c r="N57" s="734"/>
      <c r="O57" s="737"/>
      <c r="P57" s="740"/>
      <c r="Q57" s="740"/>
      <c r="R57" s="740"/>
      <c r="S57" s="740"/>
      <c r="T57" s="740"/>
      <c r="U57" s="764"/>
      <c r="W57" s="772"/>
    </row>
    <row r="58" spans="3:23" ht="14.1" customHeight="1" thickBot="1">
      <c r="C58" s="511" t="s">
        <v>381</v>
      </c>
      <c r="D58" s="526" t="s">
        <v>138</v>
      </c>
      <c r="E58" s="498">
        <v>650974</v>
      </c>
      <c r="F58" s="582" t="s">
        <v>62</v>
      </c>
      <c r="G58" s="576"/>
      <c r="H58" s="583"/>
      <c r="I58" s="203"/>
      <c r="J58" s="576"/>
      <c r="K58" s="576"/>
      <c r="L58" s="579"/>
      <c r="N58" s="735"/>
      <c r="O58" s="738"/>
      <c r="P58" s="741"/>
      <c r="Q58" s="741"/>
      <c r="R58" s="741"/>
      <c r="S58" s="741"/>
      <c r="T58" s="741"/>
      <c r="U58" s="765"/>
      <c r="W58" s="772"/>
    </row>
    <row r="59" spans="3:23" ht="14.1" customHeight="1">
      <c r="C59" s="511" t="s">
        <v>382</v>
      </c>
      <c r="D59" s="526" t="s">
        <v>383</v>
      </c>
      <c r="E59" s="498">
        <v>541888</v>
      </c>
      <c r="F59" s="582"/>
      <c r="G59" s="576"/>
      <c r="H59" s="583"/>
      <c r="I59" s="565" t="s">
        <v>40</v>
      </c>
      <c r="J59" s="576"/>
      <c r="K59" s="576"/>
      <c r="L59" s="579"/>
      <c r="N59" s="239"/>
      <c r="O59" s="241"/>
      <c r="P59" s="240"/>
      <c r="Q59" s="240"/>
      <c r="R59" s="240"/>
      <c r="S59" s="240"/>
      <c r="T59" s="240"/>
      <c r="U59" s="242"/>
      <c r="W59" s="89"/>
    </row>
    <row r="60" spans="3:23" ht="14.1" customHeight="1">
      <c r="C60" s="530"/>
      <c r="D60" s="514"/>
      <c r="E60" s="515"/>
      <c r="F60" s="575"/>
      <c r="G60" s="565"/>
      <c r="H60" s="565"/>
      <c r="I60" s="565"/>
      <c r="J60" s="565"/>
      <c r="K60" s="565"/>
      <c r="L60" s="577"/>
      <c r="N60" s="742" t="s">
        <v>384</v>
      </c>
      <c r="O60" s="745" t="str" cm="1">
        <f t="array" ref="O60">_xlfn.TEXTJOIN(CHAR(10),TRUE,_xlfn._xlws.FILTER($C7:$C184,RIGHT(F7:F184,LEN("SWP"))="SWP",""))</f>
        <v/>
      </c>
      <c r="P60" s="747" t="str" cm="1">
        <f t="array" ref="P60">_xlfn.TEXTJOIN(CHAR(10),TRUE,_xlfn._xlws.FILTER($C7:$C184,RIGHT(G7:G184,LEN("SWP"))="SWP",""))</f>
        <v>DEVUNI HMO</v>
      </c>
      <c r="Q60" s="747" t="str" cm="1">
        <f t="array" ref="Q60">_xlfn.TEXTJOIN(CHAR(10),TRUE,_xlfn._xlws.FILTER($C7:$C184,RIGHT(H7:H184,LEN("SWP"))="SWP",""))</f>
        <v>CHRISTINA JR</v>
      </c>
      <c r="R60" s="747" t="str" cm="1">
        <f t="array" ref="R60">_xlfn.TEXTJOIN(CHAR(10),TRUE,_xlfn._xlws.FILTER($C7:$C184,RIGHT(I7:I184,LEN("SWP"))="SWP",""))</f>
        <v>DESLIN JR</v>
      </c>
      <c r="S60" s="747" t="str" cm="1">
        <f t="array" ref="S60">_xlfn.TEXTJOIN(CHAR(10),TRUE,_xlfn._xlws.FILTER($C7:$C184,RIGHT(J7:J184,LEN("SWP"))="SWP",""))</f>
        <v/>
      </c>
      <c r="T60" s="747" t="str" cm="1">
        <f t="array" ref="T60">_xlfn.TEXTJOIN(CHAR(10),TRUE,_xlfn._xlws.FILTER($C7:$C184,RIGHT(K7:K184,LEN("SWP"))="SWP",""))</f>
        <v>HANNAH IR</v>
      </c>
      <c r="U60" s="766" t="str" cm="1">
        <f t="array" ref="U60">_xlfn.TEXTJOIN(CHAR(10),TRUE,_xlfn._xlws.FILTER($C7:$C184,RIGHT(L7:L184,LEN("SWP"))="SWP",""))</f>
        <v/>
      </c>
      <c r="V60" s="34" t="s">
        <v>385</v>
      </c>
      <c r="W60" s="89">
        <v>4</v>
      </c>
    </row>
    <row r="61" spans="3:23" ht="14.1" customHeight="1">
      <c r="C61" s="531"/>
      <c r="D61" s="532"/>
      <c r="E61" s="533"/>
      <c r="F61" s="575"/>
      <c r="G61" s="565"/>
      <c r="H61" s="565"/>
      <c r="I61" s="565"/>
      <c r="J61" s="565"/>
      <c r="K61" s="565"/>
      <c r="L61" s="577"/>
      <c r="N61" s="743"/>
      <c r="O61" s="746"/>
      <c r="P61" s="748"/>
      <c r="Q61" s="748"/>
      <c r="R61" s="748"/>
      <c r="S61" s="748"/>
      <c r="T61" s="748"/>
      <c r="U61" s="767"/>
      <c r="W61" s="89"/>
    </row>
    <row r="62" spans="3:23" ht="14.1" customHeight="1">
      <c r="C62" s="530" t="s">
        <v>345</v>
      </c>
      <c r="D62" s="530" t="s">
        <v>345</v>
      </c>
      <c r="E62" s="534"/>
      <c r="F62" s="205" t="s">
        <v>142</v>
      </c>
      <c r="G62" s="614" t="s">
        <v>142</v>
      </c>
      <c r="H62" s="614" t="s">
        <v>494</v>
      </c>
      <c r="I62" s="614" t="s">
        <v>142</v>
      </c>
      <c r="J62" s="614" t="s">
        <v>143</v>
      </c>
      <c r="K62" s="62"/>
      <c r="L62" s="67"/>
      <c r="N62" s="743"/>
      <c r="O62" s="746"/>
      <c r="P62" s="748"/>
      <c r="Q62" s="748"/>
      <c r="R62" s="748"/>
      <c r="S62" s="748"/>
      <c r="T62" s="748"/>
      <c r="U62" s="767"/>
      <c r="W62" s="89"/>
    </row>
    <row r="63" spans="3:23" ht="14.1" customHeight="1" thickBot="1">
      <c r="C63" s="31"/>
      <c r="D63" s="31"/>
      <c r="E63" s="534"/>
      <c r="F63" s="28"/>
      <c r="G63" s="29"/>
      <c r="H63" s="29"/>
      <c r="I63" s="29"/>
      <c r="J63" s="29"/>
      <c r="K63" s="29"/>
      <c r="L63" s="30"/>
      <c r="N63" s="744"/>
      <c r="O63" s="847"/>
      <c r="P63" s="848"/>
      <c r="Q63" s="848"/>
      <c r="R63" s="848"/>
      <c r="S63" s="848"/>
      <c r="T63" s="848"/>
      <c r="U63" s="849"/>
      <c r="W63" s="89"/>
    </row>
    <row r="64" spans="3:23" ht="14.1" customHeight="1" thickBot="1">
      <c r="C64" s="63"/>
      <c r="D64" s="411" t="s">
        <v>145</v>
      </c>
      <c r="E64" s="534"/>
      <c r="F64" s="565">
        <f>COUNTIF(F7:F61,"0800-*")+COUNTIF(F7:F61,"0730-*")-COUNTIF(F7:F61,"*0800-1730 CS*")-COUNTIF(F7:F61,"*0800-1730 PHNW*")-COUNTIF(F7:F61,"*0800-1730 DEMT*")-COUNTIF(F7:F61,"*0800-1730 EXAM*")-COUNTIF(F7:F61,"*0800-1800 CS*")-COUNTIF(F7:F61,"*0800-1800 PHNW*")</f>
        <v>4</v>
      </c>
      <c r="G64" s="565">
        <f>COUNTIF(G7:G61,"0800-*")+COUNTIF(G7:G61,"0730-*")-COUNTIF(G7:G61,"*0800-1730 CS*")-COUNTIF(G7:G61,"*0800-1730 PHNW*")-COUNTIF(G7:G61,"*0800-1730 DEMT*")-COUNTIF(G7:G61,"*0800-1730 EXAM*")-COUNTIF(G7:G61,"*0800-1800 CS*")-COUNTIF(G7:G61,"*0800-1800 PHNW*")</f>
        <v>5</v>
      </c>
      <c r="H64" s="565">
        <f>COUNTIF(H7:H61,"0800-*")+COUNTIF(H7:H61,"0730-*")-COUNTIF(H7:H61,"*0800-1730 CS*")-COUNTIF(H7:H61,"*0800-1730 PHNW*")-COUNTIF(H7:H61,"*0800-1730 DEMT*")-COUNTIF(H7:H61,"*0800-1730 EXAM*")-COUNTIF(H7:H61,"*0800-1800 CS*")-COUNTIF(H7:H61,"*0800-1800 PHNW*")</f>
        <v>5</v>
      </c>
      <c r="I64" s="565">
        <f>COUNTIF(I7:I61,"0800-*")+COUNTIF(I7:I61,"0730-*")-COUNTIF(I7:I61,"*0800-1730 CS*")-COUNTIF(I7:I61,"*0800-1730 PHNW*")-COUNTIF(I7:I61,"*0800-1730 DEMT*")-COUNTIF(I7:I61,"*0800-1730 EXAM*")-COUNTIF(I7:I61,"*0800-1800 CS*")-COUNTIF(I7:I61,"*0800-1800 PHNW*")</f>
        <v>5</v>
      </c>
      <c r="J64" s="565">
        <f>COUNTIF(J7:J61,"0800-*")+COUNTIF(J7:J61,"0730-*")-COUNTIF(J7:J61,"*0800-1730 CS*")-COUNTIF(J7:J61,"*0800-1730 PHNW*")-COUNTIF(J7:J61,"*0800-1730 DEMT*")-COUNTIF(J7:J61,"*0800-1730 EXAM*")-COUNTIF(J7:J61,"*0800-1800 CS*")-COUNTIF(J7:J61,"*0800-1800 PHNW*")</f>
        <v>5</v>
      </c>
      <c r="K64" s="565">
        <f>COUNTIF(K7:K61,"0800-*")+COUNTIF(K7:K61,"0730-*")</f>
        <v>4</v>
      </c>
      <c r="L64" s="577">
        <f>COUNTIF(L7:L61,"0800-*")+COUNTIF(L7:L61,"0730-*")</f>
        <v>4</v>
      </c>
      <c r="N64" s="106"/>
      <c r="O64" s="34"/>
      <c r="P64" s="34"/>
      <c r="Q64" s="34"/>
      <c r="R64" s="34"/>
      <c r="S64" s="34"/>
      <c r="T64" s="34"/>
      <c r="U64" s="34"/>
      <c r="W64" s="89"/>
    </row>
    <row r="65" spans="3:23" ht="14.1" customHeight="1" thickBot="1">
      <c r="C65" s="535"/>
      <c r="D65" s="411" t="s">
        <v>146</v>
      </c>
      <c r="E65" s="534"/>
      <c r="F65" s="575">
        <f t="shared" ref="F65:L65" si="16">COUNTIF(F7:F62,"*0000*")</f>
        <v>4</v>
      </c>
      <c r="G65" s="565">
        <f t="shared" si="16"/>
        <v>4</v>
      </c>
      <c r="H65" s="565">
        <f t="shared" si="16"/>
        <v>5</v>
      </c>
      <c r="I65" s="565">
        <f t="shared" si="16"/>
        <v>4</v>
      </c>
      <c r="J65" s="565">
        <f t="shared" si="16"/>
        <v>3</v>
      </c>
      <c r="K65" s="565">
        <f t="shared" si="16"/>
        <v>4</v>
      </c>
      <c r="L65" s="577">
        <f t="shared" si="16"/>
        <v>4</v>
      </c>
      <c r="N65" s="106"/>
      <c r="O65" s="796" t="s">
        <v>388</v>
      </c>
      <c r="P65" s="797"/>
      <c r="Q65" s="797"/>
      <c r="R65" s="797"/>
      <c r="S65" s="797"/>
      <c r="T65" s="797"/>
      <c r="U65" s="798"/>
      <c r="W65" s="89" t="s">
        <v>389</v>
      </c>
    </row>
    <row r="66" spans="3:23" ht="14.1" customHeight="1">
      <c r="C66" s="407" t="s">
        <v>147</v>
      </c>
      <c r="D66" s="407" t="s">
        <v>147</v>
      </c>
      <c r="E66" s="534"/>
      <c r="F66" s="408"/>
      <c r="G66" s="409"/>
      <c r="H66" s="409"/>
      <c r="I66" s="409"/>
      <c r="J66" s="409"/>
      <c r="K66" s="409"/>
      <c r="L66" s="410"/>
      <c r="N66" s="104" t="s">
        <v>390</v>
      </c>
      <c r="O66" s="107" t="str">
        <f t="shared" ref="O66:U66" si="17">INDEX($C7:$L188,MATCH("*N1*",F7:F191,0),1)</f>
        <v>MILES SR</v>
      </c>
      <c r="P66" s="108" t="str">
        <f t="shared" si="17"/>
        <v>MILES SR</v>
      </c>
      <c r="Q66" s="108" t="str">
        <f t="shared" si="17"/>
        <v>MILES SR</v>
      </c>
      <c r="R66" s="108" t="str">
        <f t="shared" si="17"/>
        <v>MILES SR</v>
      </c>
      <c r="S66" s="108" t="str">
        <f t="shared" si="17"/>
        <v>PATRICK SR</v>
      </c>
      <c r="T66" s="108" t="str">
        <f t="shared" si="17"/>
        <v>PATRICK SR</v>
      </c>
      <c r="U66" s="109" t="str">
        <f t="shared" si="17"/>
        <v>PATRICK SR</v>
      </c>
      <c r="V66" s="89"/>
      <c r="W66" s="106">
        <v>1</v>
      </c>
    </row>
    <row r="67" spans="3:23" ht="14.1" customHeight="1">
      <c r="C67" s="411" t="s">
        <v>391</v>
      </c>
      <c r="D67" s="411" t="s">
        <v>148</v>
      </c>
      <c r="E67" s="536">
        <v>609268</v>
      </c>
      <c r="F67" s="575" t="s">
        <v>150</v>
      </c>
      <c r="G67" s="576"/>
      <c r="H67" s="565" t="s">
        <v>149</v>
      </c>
      <c r="I67" s="565" t="s">
        <v>3</v>
      </c>
      <c r="J67" s="565" t="s">
        <v>35</v>
      </c>
      <c r="K67" s="565"/>
      <c r="L67" s="577"/>
      <c r="N67" s="749" t="s">
        <v>392</v>
      </c>
      <c r="O67" s="746" t="str" cm="1">
        <f t="array" ref="O67">_xlfn.TEXTJOIN(CHAR(10),TRUE,IF(F7:F184="2300-0900",$C7:$C184,""),IF(F7:F184="2300-0830",$C7:$C184,""))</f>
        <v>MIKHAR IR
SYLVIA JR
SUBARNA JR
BRENDAN HMO
AARON B. HMO
Daniel INT</v>
      </c>
      <c r="P67" s="748" t="str" cm="1">
        <f t="array" ref="P67">_xlfn.TEXTJOIN(CHAR(10),TRUE,IF(G7:G184="2300-0900",$C7:$C184,""),IF(G7:G184="2300-0830",$C7:$C184,""))</f>
        <v>MIKHAR IR
SYLVIA JR
SUBARNA JR
MASON HMO
MILOS HMO
Ann INT</v>
      </c>
      <c r="Q67" s="748" t="str" cm="1">
        <f t="array" ref="Q67">_xlfn.TEXTJOIN(CHAR(10),TRUE,IF(H7:H184="2300-0900",$C7:$C184,""),IF(H7:H184="2300-0830",$C7:$C184,""))</f>
        <v>MIKHAR IR
SYLVIA JR
SUBARNA JR
BRIANNA HMO
DEVUNI HMO
Ann INT</v>
      </c>
      <c r="R67" s="748" t="str" cm="1">
        <f t="array" ref="R67">_xlfn.TEXTJOIN(CHAR(10),TRUE,IF(I7:I184="2300-0900",$C7:$C184,""),IF(I7:I184="2300-0830",$C7:$C184,""))</f>
        <v>SYLVIA JR
MILOS HMO
TRAM HMO
Sarah W. INT
Ann INT</v>
      </c>
      <c r="S67" s="748" t="str" cm="1">
        <f t="array" ref="S67">_xlfn.TEXTJOIN(CHAR(10),TRUE,IF(J7:J184="2300-0900",$C7:$C184,""),IF(J7:J184="2300-0830",$C7:$C184,""))</f>
        <v>POH JR
ISOBEL JR
MIKEY HMO
MARYAM HMO
Sarah W. INT</v>
      </c>
      <c r="T67" s="748" t="str" cm="1">
        <f t="array" ref="T67">_xlfn.TEXTJOIN(CHAR(10),TRUE,IF(K7:K184="2300-0900",$C7:$C184,""),IF(K7:K184="2300-0830",$C7:$C184,""))</f>
        <v>POH JR
ISOBEL JR
ZOBIA HMO
PHILLIP HMO
WILL HMO
Sarah W. INT</v>
      </c>
      <c r="U67" s="767" t="str" cm="1">
        <f t="array" ref="U67">_xlfn.TEXTJOIN(CHAR(10),TRUE,IF(L7:L184="2300-0900",$C7:$C184,""),IF(L7:L184="2300-0830",$C7:$C184,""))</f>
        <v>POH JR
ISOBEL JR
LISA HMO
MIKEY HMO
MARYAM HMO
Daniel INT</v>
      </c>
      <c r="W67" s="89">
        <v>9</v>
      </c>
    </row>
    <row r="68" spans="3:23" ht="14.1" customHeight="1">
      <c r="C68" s="411" t="s">
        <v>393</v>
      </c>
      <c r="D68" s="411" t="s">
        <v>152</v>
      </c>
      <c r="E68" s="537">
        <v>517752</v>
      </c>
      <c r="F68" s="575"/>
      <c r="G68" s="565"/>
      <c r="H68" s="578" t="s">
        <v>342</v>
      </c>
      <c r="I68" s="565"/>
      <c r="J68" s="565"/>
      <c r="K68" s="565"/>
      <c r="L68" s="577"/>
      <c r="N68" s="749"/>
      <c r="O68" s="746"/>
      <c r="P68" s="748"/>
      <c r="Q68" s="748"/>
      <c r="R68" s="748"/>
      <c r="S68" s="748"/>
      <c r="T68" s="748"/>
      <c r="U68" s="767"/>
      <c r="W68" s="89"/>
    </row>
    <row r="69" spans="3:23" ht="14.1" customHeight="1">
      <c r="C69" s="411" t="s">
        <v>394</v>
      </c>
      <c r="D69" s="411" t="s">
        <v>154</v>
      </c>
      <c r="E69" s="537">
        <v>609129</v>
      </c>
      <c r="F69" s="589"/>
      <c r="G69" s="590"/>
      <c r="H69" s="565" t="s">
        <v>91</v>
      </c>
      <c r="I69" s="590"/>
      <c r="J69" s="590"/>
      <c r="K69" s="565"/>
      <c r="L69" s="577" t="s">
        <v>91</v>
      </c>
      <c r="N69" s="749"/>
      <c r="O69" s="746"/>
      <c r="P69" s="748"/>
      <c r="Q69" s="748"/>
      <c r="R69" s="748"/>
      <c r="S69" s="748"/>
      <c r="T69" s="748"/>
      <c r="U69" s="767"/>
      <c r="W69" s="89"/>
    </row>
    <row r="70" spans="3:23" ht="14.1" customHeight="1">
      <c r="C70" s="411" t="s">
        <v>395</v>
      </c>
      <c r="D70" s="538" t="s">
        <v>156</v>
      </c>
      <c r="E70" s="539">
        <v>636554</v>
      </c>
      <c r="F70" s="575"/>
      <c r="G70" s="565"/>
      <c r="H70" s="565" t="s">
        <v>149</v>
      </c>
      <c r="I70" s="565"/>
      <c r="J70" s="565"/>
      <c r="K70" s="565" t="s">
        <v>150</v>
      </c>
      <c r="L70" s="577" t="s">
        <v>150</v>
      </c>
      <c r="N70" s="749"/>
      <c r="O70" s="746"/>
      <c r="P70" s="748"/>
      <c r="Q70" s="748"/>
      <c r="R70" s="748"/>
      <c r="S70" s="748"/>
      <c r="T70" s="748"/>
      <c r="U70" s="767"/>
      <c r="W70" s="89"/>
    </row>
    <row r="71" spans="3:23" ht="14.1" customHeight="1" thickBot="1">
      <c r="C71" s="837"/>
      <c r="D71" s="49"/>
      <c r="E71" s="534"/>
      <c r="F71" s="575"/>
      <c r="G71" s="565"/>
      <c r="H71" s="565"/>
      <c r="I71" s="565"/>
      <c r="J71" s="565"/>
      <c r="K71" s="565"/>
      <c r="L71" s="577"/>
      <c r="N71" s="749"/>
      <c r="O71" s="746"/>
      <c r="P71" s="748"/>
      <c r="Q71" s="748"/>
      <c r="R71" s="748"/>
      <c r="S71" s="748"/>
      <c r="T71" s="748"/>
      <c r="U71" s="767"/>
      <c r="W71" s="89"/>
    </row>
    <row r="72" spans="3:23" ht="14.1" customHeight="1">
      <c r="C72" s="724" t="s">
        <v>157</v>
      </c>
      <c r="D72" s="540" t="s">
        <v>157</v>
      </c>
      <c r="E72" s="54"/>
      <c r="F72" s="413"/>
      <c r="G72" s="414"/>
      <c r="H72" s="414"/>
      <c r="I72" s="414"/>
      <c r="J72" s="414"/>
      <c r="K72" s="414"/>
      <c r="L72" s="415"/>
      <c r="N72" s="749"/>
      <c r="O72" s="746"/>
      <c r="P72" s="748"/>
      <c r="Q72" s="748"/>
      <c r="R72" s="748"/>
      <c r="S72" s="748"/>
      <c r="T72" s="748"/>
      <c r="U72" s="767"/>
      <c r="W72" s="89"/>
    </row>
    <row r="73" spans="3:23" ht="14.1" customHeight="1">
      <c r="C73" s="541" t="s">
        <v>396</v>
      </c>
      <c r="D73" s="182" t="s">
        <v>159</v>
      </c>
      <c r="E73" s="615">
        <v>628440</v>
      </c>
      <c r="F73" s="616" t="s">
        <v>359</v>
      </c>
      <c r="G73" s="617"/>
      <c r="H73" s="565"/>
      <c r="I73" s="565"/>
      <c r="J73" s="565" t="s">
        <v>161</v>
      </c>
      <c r="K73" s="565" t="s">
        <v>161</v>
      </c>
      <c r="L73" s="565" t="s">
        <v>161</v>
      </c>
      <c r="N73" s="749"/>
      <c r="O73" s="746"/>
      <c r="P73" s="748"/>
      <c r="Q73" s="748"/>
      <c r="R73" s="748"/>
      <c r="S73" s="748"/>
      <c r="T73" s="748"/>
      <c r="U73" s="767"/>
      <c r="W73" s="89"/>
    </row>
    <row r="74" spans="3:23" ht="14.1" customHeight="1">
      <c r="C74" s="541" t="s">
        <v>397</v>
      </c>
      <c r="D74" s="183" t="s">
        <v>164</v>
      </c>
      <c r="E74" s="615">
        <v>653976</v>
      </c>
      <c r="F74" s="618" t="s">
        <v>161</v>
      </c>
      <c r="G74" s="618" t="s">
        <v>161</v>
      </c>
      <c r="H74" s="618" t="s">
        <v>161</v>
      </c>
      <c r="I74" s="618" t="s">
        <v>161</v>
      </c>
      <c r="J74" s="619"/>
      <c r="K74" s="619"/>
      <c r="L74" s="619"/>
      <c r="N74" s="749"/>
      <c r="O74" s="746"/>
      <c r="P74" s="748"/>
      <c r="Q74" s="748"/>
      <c r="R74" s="748"/>
      <c r="S74" s="748"/>
      <c r="T74" s="748"/>
      <c r="U74" s="767"/>
      <c r="W74" s="89"/>
    </row>
    <row r="75" spans="3:23" ht="14.1" customHeight="1">
      <c r="C75" s="85" t="s">
        <v>398</v>
      </c>
      <c r="D75" s="184" t="s">
        <v>166</v>
      </c>
      <c r="E75" s="615">
        <v>654362</v>
      </c>
      <c r="F75" s="618" t="s">
        <v>495</v>
      </c>
      <c r="G75" s="618"/>
      <c r="H75" s="618" t="s">
        <v>150</v>
      </c>
      <c r="I75" s="618" t="s">
        <v>150</v>
      </c>
      <c r="J75" s="618" t="s">
        <v>150</v>
      </c>
      <c r="K75" s="617"/>
      <c r="L75" s="617"/>
      <c r="N75" s="749"/>
      <c r="O75" s="746"/>
      <c r="P75" s="748"/>
      <c r="Q75" s="748"/>
      <c r="R75" s="748"/>
      <c r="S75" s="748"/>
      <c r="T75" s="748"/>
      <c r="U75" s="767"/>
      <c r="W75" s="89"/>
    </row>
    <row r="76" spans="3:23" ht="14.1" customHeight="1">
      <c r="C76" s="69" t="s">
        <v>399</v>
      </c>
      <c r="D76" s="184" t="s">
        <v>168</v>
      </c>
      <c r="E76" s="615">
        <v>615829</v>
      </c>
      <c r="F76" s="618" t="s">
        <v>149</v>
      </c>
      <c r="G76" s="568" t="s">
        <v>150</v>
      </c>
      <c r="H76" s="568"/>
      <c r="I76" s="620"/>
      <c r="J76" s="617"/>
      <c r="K76" s="617"/>
      <c r="L76" s="617"/>
      <c r="N76" s="528" t="s">
        <v>368</v>
      </c>
      <c r="O76" s="523" t="str">
        <f t="shared" ref="O76:U76" si="18">INDEX($C10:$L190,MATCH("*NHJ*",F10:F193,0),1)</f>
        <v>AARON G. HMO</v>
      </c>
      <c r="P76" s="500" t="str">
        <f t="shared" si="18"/>
        <v>AARON B. HMO</v>
      </c>
      <c r="Q76" s="500" t="str">
        <f t="shared" si="18"/>
        <v>TRAM HMO</v>
      </c>
      <c r="R76" s="500" t="str">
        <f t="shared" si="18"/>
        <v>BRIANNA HMO</v>
      </c>
      <c r="S76" s="500" t="str">
        <f t="shared" si="18"/>
        <v>PHILLIP HMO</v>
      </c>
      <c r="T76" s="500" t="str">
        <f t="shared" si="18"/>
        <v>MARYAM HMO</v>
      </c>
      <c r="U76" s="501" t="str">
        <f t="shared" si="18"/>
        <v>ZOBIA HMO</v>
      </c>
      <c r="V76" s="34" t="s">
        <v>400</v>
      </c>
      <c r="W76" s="89">
        <v>1</v>
      </c>
    </row>
    <row r="77" spans="3:23" ht="14.1" customHeight="1">
      <c r="C77" s="541" t="s">
        <v>401</v>
      </c>
      <c r="D77" s="850" t="s">
        <v>170</v>
      </c>
      <c r="E77" s="615">
        <v>619567</v>
      </c>
      <c r="F77" s="619"/>
      <c r="G77" s="618" t="s">
        <v>149</v>
      </c>
      <c r="H77" s="619"/>
      <c r="I77" s="618" t="s">
        <v>149</v>
      </c>
      <c r="J77" s="616" t="s">
        <v>342</v>
      </c>
      <c r="K77" s="618" t="s">
        <v>150</v>
      </c>
      <c r="L77" s="618" t="s">
        <v>150</v>
      </c>
      <c r="N77" s="768" t="s">
        <v>325</v>
      </c>
      <c r="O77" s="787" t="str" cm="1">
        <f t="array" ref="O77">_xlfn.TEXTJOIN(CHAR(10),TRUE,_xlfn._xlws.FILTER($C7:$C184,RIGHT(F7:F184,LEN("nSSJ"))="nSSJ",""))</f>
        <v/>
      </c>
      <c r="P77" s="750" t="str" cm="1">
        <f t="array" ref="P77">_xlfn.TEXTJOIN(CHAR(10),TRUE,_xlfn._xlws.FILTER($C7:$C184,RIGHT(G7:G184,LEN("nSSJ"))="nSSJ",""))</f>
        <v>BRIANNA HMO</v>
      </c>
      <c r="Q77" s="750" t="str" cm="1">
        <f t="array" ref="Q77">_xlfn.TEXTJOIN(CHAR(10),TRUE,_xlfn._xlws.FILTER($C7:$C184,RIGHT(H7:H184,LEN("nSSJ"))="nSSJ",""))</f>
        <v>MILOS HMO</v>
      </c>
      <c r="R77" s="750" t="str" cm="1">
        <f t="array" ref="R77">_xlfn.TEXTJOIN(CHAR(10),TRUE,_xlfn._xlws.FILTER($C7:$C184,RIGHT(I7:I184,LEN("nSSJ"))="nSSJ",""))</f>
        <v>HARMEEN IR
DEVUNI HMO</v>
      </c>
      <c r="S77" s="750" t="str" cm="1">
        <f t="array" ref="S77">_xlfn.TEXTJOIN(CHAR(10),TRUE,_xlfn._xlws.FILTER($C7:$C184,RIGHT(J7:J184,LEN("nSSJ"))="nSSJ",""))</f>
        <v>HARMEEN IR
ZOBIA HMO</v>
      </c>
      <c r="T77" s="750" t="str" cm="1">
        <f t="array" ref="T77">_xlfn.TEXTJOIN(CHAR(10),TRUE,_xlfn._xlws.FILTER($C7:$C184,RIGHT(K7:K184,LEN("nSSJ"))="nSSJ",""))</f>
        <v>MIKEY HMO</v>
      </c>
      <c r="U77" s="788" t="str" cm="1">
        <f t="array" ref="U77">_xlfn.TEXTJOIN(CHAR(10),TRUE,_xlfn._xlws.FILTER($C7:$C184,RIGHT(L7:L184,LEN("nSSJ"))="nSSJ",""))</f>
        <v>WILL HMO</v>
      </c>
      <c r="V77" s="34" t="s">
        <v>402</v>
      </c>
      <c r="W77" s="89">
        <v>2</v>
      </c>
    </row>
    <row r="78" spans="3:23" ht="14.1" customHeight="1" thickBot="1">
      <c r="C78" s="543" t="s">
        <v>403</v>
      </c>
      <c r="D78" s="183" t="s">
        <v>171</v>
      </c>
      <c r="E78" s="615">
        <v>626157</v>
      </c>
      <c r="F78" s="621" t="s">
        <v>31</v>
      </c>
      <c r="G78" s="621"/>
      <c r="H78" s="621"/>
      <c r="I78" s="621"/>
      <c r="J78" s="621"/>
      <c r="K78" s="621"/>
      <c r="L78" s="621"/>
      <c r="N78" s="769"/>
      <c r="O78" s="851"/>
      <c r="P78" s="852"/>
      <c r="Q78" s="852"/>
      <c r="R78" s="852"/>
      <c r="S78" s="852"/>
      <c r="T78" s="852"/>
      <c r="U78" s="853"/>
      <c r="W78" s="89"/>
    </row>
    <row r="79" spans="3:23" ht="14.1" customHeight="1" thickBot="1">
      <c r="C79" s="69" t="s">
        <v>405</v>
      </c>
      <c r="D79" s="185" t="s">
        <v>173</v>
      </c>
      <c r="E79" s="615">
        <v>645122</v>
      </c>
      <c r="F79" s="617"/>
      <c r="G79" s="617"/>
      <c r="H79" s="622"/>
      <c r="I79" s="622"/>
      <c r="J79" s="617"/>
      <c r="K79" s="618" t="s">
        <v>32</v>
      </c>
      <c r="L79" s="618" t="s">
        <v>149</v>
      </c>
      <c r="N79" s="854" t="s">
        <v>406</v>
      </c>
      <c r="O79" s="110" t="str">
        <f t="shared" ref="O79:U79" si="19">INDEX($C7:$L188,MATCH("*PRC",F7:F191,0),1)</f>
        <v>ANDY L  SMS</v>
      </c>
      <c r="P79" s="111" t="str">
        <f t="shared" si="19"/>
        <v>JACKIE SMS</v>
      </c>
      <c r="Q79" s="111" t="str">
        <f t="shared" si="19"/>
        <v>STEVE T SMS</v>
      </c>
      <c r="R79" s="111" t="str">
        <f t="shared" si="19"/>
        <v>ANASTASIA SMS</v>
      </c>
      <c r="S79" s="111" t="str">
        <f t="shared" si="19"/>
        <v>TITUS CMO</v>
      </c>
      <c r="T79" s="111" t="str">
        <f t="shared" si="19"/>
        <v>PAT SMS</v>
      </c>
      <c r="U79" s="111" t="str">
        <f t="shared" si="19"/>
        <v>JEREMY SMS</v>
      </c>
      <c r="W79" s="89"/>
    </row>
    <row r="80" spans="3:23" ht="14.1" customHeight="1" thickBot="1">
      <c r="C80" s="543" t="s">
        <v>407</v>
      </c>
      <c r="D80" s="186" t="s">
        <v>174</v>
      </c>
      <c r="E80" s="615">
        <v>615820</v>
      </c>
      <c r="F80" s="623"/>
      <c r="G80" s="623"/>
      <c r="H80" s="623"/>
      <c r="I80" s="623"/>
      <c r="J80" s="623"/>
      <c r="K80" s="623"/>
      <c r="L80" s="623"/>
      <c r="N80" s="106"/>
      <c r="O80" s="89"/>
      <c r="T80" s="855" t="str">
        <f>INDEX($C7:$L189,MATCH("*PGC",K7:K192,0),1)</f>
        <v>DANIEL SMS</v>
      </c>
      <c r="U80" s="856" t="str">
        <f>INDEX($C8:$L189,MATCH("*PGC",L8:L192,0),1)</f>
        <v>SINDY SMS</v>
      </c>
    </row>
    <row r="81" spans="3:22" ht="14.1" customHeight="1">
      <c r="C81" s="541" t="s">
        <v>408</v>
      </c>
      <c r="D81" s="544" t="s">
        <v>175</v>
      </c>
      <c r="E81" s="615">
        <v>624174</v>
      </c>
      <c r="F81" s="624" t="s">
        <v>165</v>
      </c>
      <c r="G81" s="617"/>
      <c r="H81" s="622"/>
      <c r="I81" s="622"/>
      <c r="J81" s="622"/>
      <c r="K81" s="619"/>
      <c r="L81" s="619"/>
      <c r="O81" s="89"/>
      <c r="V81" s="89"/>
    </row>
    <row r="82" spans="3:22" ht="14.1" customHeight="1">
      <c r="C82" s="543"/>
      <c r="D82" s="545"/>
      <c r="E82" s="625"/>
      <c r="F82" s="618"/>
      <c r="G82" s="617"/>
      <c r="H82" s="617"/>
      <c r="I82" s="617"/>
      <c r="J82" s="617"/>
      <c r="K82" s="619"/>
      <c r="L82" s="619"/>
      <c r="O82" s="89"/>
      <c r="V82" s="89"/>
    </row>
    <row r="83" spans="3:22" ht="14.1" customHeight="1">
      <c r="C83" s="728" t="s">
        <v>176</v>
      </c>
      <c r="D83" s="728" t="s">
        <v>176</v>
      </c>
      <c r="E83" s="198"/>
      <c r="F83" s="732"/>
      <c r="G83" s="732"/>
      <c r="H83" s="732"/>
      <c r="I83" s="732"/>
      <c r="J83" s="732"/>
      <c r="K83" s="732"/>
      <c r="L83" s="732"/>
      <c r="O83" s="89"/>
      <c r="V83" s="89"/>
    </row>
    <row r="84" spans="3:22" ht="14.1" customHeight="1">
      <c r="C84" s="411" t="s">
        <v>409</v>
      </c>
      <c r="D84" s="546" t="s">
        <v>177</v>
      </c>
      <c r="E84" s="615">
        <v>637990</v>
      </c>
      <c r="F84" s="618" t="s">
        <v>150</v>
      </c>
      <c r="G84" s="618" t="s">
        <v>150</v>
      </c>
      <c r="H84" s="626"/>
      <c r="I84" s="626"/>
      <c r="J84" s="626"/>
      <c r="K84" s="624" t="s">
        <v>167</v>
      </c>
      <c r="L84" s="618" t="s">
        <v>150</v>
      </c>
      <c r="O84" s="89"/>
      <c r="V84" s="89"/>
    </row>
    <row r="85" spans="3:22" ht="14.1" customHeight="1">
      <c r="C85" s="86" t="s">
        <v>410</v>
      </c>
      <c r="D85" s="184" t="s">
        <v>179</v>
      </c>
      <c r="E85" s="615">
        <v>652867</v>
      </c>
      <c r="F85" s="627" t="s">
        <v>66</v>
      </c>
      <c r="G85" s="628"/>
      <c r="H85" s="627"/>
      <c r="I85" s="627"/>
      <c r="J85" s="628"/>
      <c r="K85" s="627"/>
      <c r="L85" s="628"/>
      <c r="O85" s="89"/>
      <c r="V85" s="89"/>
    </row>
    <row r="86" spans="3:22" ht="14.1" customHeight="1">
      <c r="C86" s="543" t="s">
        <v>411</v>
      </c>
      <c r="D86" s="547" t="s">
        <v>180</v>
      </c>
      <c r="E86" s="615">
        <v>638831</v>
      </c>
      <c r="F86" s="618" t="s">
        <v>192</v>
      </c>
      <c r="G86" s="618" t="s">
        <v>192</v>
      </c>
      <c r="H86" s="618" t="s">
        <v>192</v>
      </c>
      <c r="I86" s="618"/>
      <c r="J86" s="618"/>
      <c r="K86" s="618"/>
      <c r="L86" s="618"/>
      <c r="O86" s="89"/>
      <c r="V86" s="89"/>
    </row>
    <row r="87" spans="3:22" ht="14.1" customHeight="1">
      <c r="C87" s="411" t="s">
        <v>412</v>
      </c>
      <c r="D87" s="548" t="s">
        <v>182</v>
      </c>
      <c r="E87" s="615">
        <v>631314</v>
      </c>
      <c r="F87" s="620"/>
      <c r="G87" s="620"/>
      <c r="H87" s="620"/>
      <c r="I87" s="565" t="s">
        <v>178</v>
      </c>
      <c r="J87" s="565" t="s">
        <v>178</v>
      </c>
      <c r="K87" s="619"/>
      <c r="L87" s="619"/>
      <c r="O87" s="89"/>
      <c r="V87" s="89"/>
    </row>
    <row r="88" spans="3:22" ht="14.1" customHeight="1">
      <c r="C88" s="69" t="s">
        <v>414</v>
      </c>
      <c r="D88" s="548" t="s">
        <v>185</v>
      </c>
      <c r="E88" s="615">
        <v>631732</v>
      </c>
      <c r="F88" s="619"/>
      <c r="G88" s="622"/>
      <c r="H88" s="617"/>
      <c r="I88" s="618" t="s">
        <v>149</v>
      </c>
      <c r="J88" s="618" t="s">
        <v>149</v>
      </c>
      <c r="K88" s="626"/>
      <c r="L88" s="626"/>
      <c r="O88" s="89"/>
      <c r="V88" s="89"/>
    </row>
    <row r="89" spans="3:22" ht="14.1" customHeight="1">
      <c r="C89" s="541" t="s">
        <v>415</v>
      </c>
      <c r="D89" s="549" t="s">
        <v>186</v>
      </c>
      <c r="E89" s="615">
        <v>634876</v>
      </c>
      <c r="F89" s="621" t="s">
        <v>187</v>
      </c>
      <c r="G89" s="621"/>
      <c r="H89" s="621"/>
      <c r="I89" s="621"/>
      <c r="J89" s="621"/>
      <c r="K89" s="621"/>
      <c r="L89" s="621"/>
      <c r="O89" s="89"/>
      <c r="V89" s="89"/>
    </row>
    <row r="90" spans="3:22" ht="14.1" customHeight="1">
      <c r="C90" s="541"/>
      <c r="D90" s="187"/>
      <c r="E90" s="199"/>
      <c r="F90" s="617"/>
      <c r="G90" s="617"/>
      <c r="H90" s="617"/>
      <c r="I90" s="617"/>
      <c r="J90" s="617"/>
      <c r="K90" s="617"/>
      <c r="L90" s="617"/>
      <c r="O90" s="89"/>
      <c r="V90" s="89"/>
    </row>
    <row r="91" spans="3:22" ht="14.1" customHeight="1">
      <c r="C91" s="4" t="s">
        <v>189</v>
      </c>
      <c r="D91" s="4" t="s">
        <v>189</v>
      </c>
      <c r="E91" s="199"/>
      <c r="F91" s="444"/>
      <c r="G91" s="444"/>
      <c r="H91" s="444"/>
      <c r="I91" s="444"/>
      <c r="J91" s="444"/>
      <c r="K91" s="444"/>
      <c r="L91" s="444"/>
      <c r="O91" s="89"/>
    </row>
    <row r="92" spans="3:22" ht="14.1" customHeight="1">
      <c r="C92" s="69" t="s">
        <v>416</v>
      </c>
      <c r="D92" s="188" t="s">
        <v>190</v>
      </c>
      <c r="E92" s="615">
        <v>648620</v>
      </c>
      <c r="F92" s="618" t="s">
        <v>191</v>
      </c>
      <c r="G92" s="629"/>
      <c r="H92" s="624" t="s">
        <v>167</v>
      </c>
      <c r="I92" s="618" t="s">
        <v>150</v>
      </c>
      <c r="J92" s="618" t="s">
        <v>150</v>
      </c>
      <c r="K92" s="617"/>
      <c r="L92" s="622"/>
      <c r="O92" s="34"/>
      <c r="P92" s="34"/>
      <c r="Q92" s="34"/>
      <c r="R92" s="34"/>
      <c r="S92" s="34"/>
      <c r="T92" s="34"/>
      <c r="U92" s="34"/>
    </row>
    <row r="93" spans="3:22" ht="14.1" customHeight="1">
      <c r="C93" s="550" t="s">
        <v>417</v>
      </c>
      <c r="D93" s="189" t="s">
        <v>193</v>
      </c>
      <c r="E93" s="615">
        <v>652357</v>
      </c>
      <c r="F93" s="620"/>
      <c r="G93" s="568" t="s">
        <v>149</v>
      </c>
      <c r="H93" s="618" t="s">
        <v>150</v>
      </c>
      <c r="I93" s="618" t="s">
        <v>150</v>
      </c>
      <c r="J93" s="616" t="s">
        <v>359</v>
      </c>
      <c r="K93" s="630"/>
      <c r="L93" s="630"/>
      <c r="O93" s="34"/>
      <c r="P93" s="34"/>
      <c r="Q93" s="34"/>
      <c r="R93" s="34"/>
      <c r="S93" s="34"/>
      <c r="T93" s="34"/>
      <c r="U93" s="34"/>
    </row>
    <row r="94" spans="3:22" ht="14.1" customHeight="1">
      <c r="C94" s="69" t="s">
        <v>418</v>
      </c>
      <c r="D94" s="551" t="s">
        <v>196</v>
      </c>
      <c r="E94" s="631">
        <v>703714</v>
      </c>
      <c r="F94" s="621" t="s">
        <v>31</v>
      </c>
      <c r="G94" s="621"/>
      <c r="H94" s="621"/>
      <c r="I94" s="621"/>
      <c r="J94" s="621"/>
      <c r="K94" s="621"/>
      <c r="L94" s="621"/>
      <c r="O94" s="89"/>
    </row>
    <row r="95" spans="3:22" ht="14.1" customHeight="1">
      <c r="C95" s="87" t="s">
        <v>419</v>
      </c>
      <c r="D95" s="189" t="s">
        <v>198</v>
      </c>
      <c r="E95" s="615">
        <v>655089</v>
      </c>
      <c r="F95" s="568" t="s">
        <v>149</v>
      </c>
      <c r="G95" s="568" t="s">
        <v>149</v>
      </c>
      <c r="H95" s="618" t="s">
        <v>191</v>
      </c>
      <c r="I95" s="624" t="s">
        <v>167</v>
      </c>
      <c r="J95" s="622"/>
      <c r="K95" s="622"/>
      <c r="L95" s="622"/>
      <c r="O95" s="34"/>
      <c r="P95" s="34"/>
      <c r="Q95" s="34"/>
      <c r="R95" s="34"/>
      <c r="S95" s="34"/>
    </row>
    <row r="96" spans="3:22" ht="14.1" customHeight="1">
      <c r="C96" s="69" t="s">
        <v>420</v>
      </c>
      <c r="D96" s="190" t="s">
        <v>199</v>
      </c>
      <c r="E96" s="615">
        <v>649364</v>
      </c>
      <c r="F96" s="565"/>
      <c r="G96" s="618"/>
      <c r="H96" s="618"/>
      <c r="I96" s="618"/>
      <c r="J96" s="618" t="s">
        <v>192</v>
      </c>
      <c r="K96" s="618" t="s">
        <v>192</v>
      </c>
      <c r="L96" s="618" t="s">
        <v>192</v>
      </c>
      <c r="O96" s="89"/>
    </row>
    <row r="97" spans="3:15" ht="14.1" customHeight="1">
      <c r="C97" s="543" t="s">
        <v>421</v>
      </c>
      <c r="D97" s="191" t="s">
        <v>200</v>
      </c>
      <c r="E97" s="615">
        <v>700872</v>
      </c>
      <c r="F97" s="618"/>
      <c r="G97" s="618"/>
      <c r="H97" s="618"/>
      <c r="I97" s="632" t="s">
        <v>201</v>
      </c>
      <c r="J97" s="632" t="s">
        <v>201</v>
      </c>
      <c r="K97" s="618" t="s">
        <v>191</v>
      </c>
      <c r="L97" s="618" t="s">
        <v>150</v>
      </c>
      <c r="O97" s="89"/>
    </row>
    <row r="98" spans="3:15" ht="14.1" customHeight="1">
      <c r="C98" s="543" t="s">
        <v>422</v>
      </c>
      <c r="D98" s="552" t="s">
        <v>202</v>
      </c>
      <c r="E98" s="631">
        <v>703861</v>
      </c>
      <c r="F98" s="618" t="s">
        <v>150</v>
      </c>
      <c r="G98" s="618" t="s">
        <v>150</v>
      </c>
      <c r="H98" s="618"/>
      <c r="I98" s="624" t="s">
        <v>165</v>
      </c>
      <c r="J98" s="618" t="s">
        <v>192</v>
      </c>
      <c r="K98" s="618" t="s">
        <v>192</v>
      </c>
      <c r="L98" s="618" t="s">
        <v>192</v>
      </c>
      <c r="O98" s="89"/>
    </row>
    <row r="99" spans="3:15" ht="14.1" customHeight="1">
      <c r="C99" s="543" t="s">
        <v>423</v>
      </c>
      <c r="D99" s="192" t="s">
        <v>204</v>
      </c>
      <c r="E99" s="615">
        <v>652868</v>
      </c>
      <c r="F99" s="621" t="s">
        <v>187</v>
      </c>
      <c r="G99" s="621"/>
      <c r="H99" s="621"/>
      <c r="I99" s="621"/>
      <c r="J99" s="621"/>
      <c r="K99" s="621"/>
      <c r="L99" s="621"/>
      <c r="O99" s="89"/>
    </row>
    <row r="100" spans="3:15" ht="14.1" customHeight="1">
      <c r="C100" s="543" t="s">
        <v>424</v>
      </c>
      <c r="D100" s="189" t="s">
        <v>205</v>
      </c>
      <c r="E100" s="615">
        <v>652998</v>
      </c>
      <c r="F100" s="621" t="s">
        <v>187</v>
      </c>
      <c r="G100" s="621"/>
      <c r="H100" s="621"/>
      <c r="I100" s="621"/>
      <c r="J100" s="621"/>
      <c r="K100" s="621"/>
      <c r="L100" s="621"/>
      <c r="O100" s="89"/>
    </row>
    <row r="101" spans="3:15" ht="14.1" customHeight="1">
      <c r="C101" s="543" t="s">
        <v>425</v>
      </c>
      <c r="D101" s="193" t="s">
        <v>206</v>
      </c>
      <c r="E101" s="631">
        <v>654959</v>
      </c>
      <c r="F101" s="568" t="s">
        <v>149</v>
      </c>
      <c r="G101" s="568" t="s">
        <v>149</v>
      </c>
      <c r="H101" s="620"/>
      <c r="I101" s="618" t="s">
        <v>191</v>
      </c>
      <c r="J101" s="618" t="s">
        <v>150</v>
      </c>
      <c r="K101" s="622"/>
      <c r="L101" s="622"/>
      <c r="O101" s="89"/>
    </row>
    <row r="102" spans="3:15" ht="14.1" customHeight="1">
      <c r="C102" s="85" t="s">
        <v>426</v>
      </c>
      <c r="D102" s="551" t="s">
        <v>207</v>
      </c>
      <c r="E102" s="615">
        <v>654981</v>
      </c>
      <c r="F102" s="618" t="s">
        <v>192</v>
      </c>
      <c r="G102" s="618" t="s">
        <v>192</v>
      </c>
      <c r="H102" s="618" t="s">
        <v>192</v>
      </c>
      <c r="I102" s="618" t="s">
        <v>192</v>
      </c>
      <c r="J102" s="617"/>
      <c r="K102" s="622"/>
      <c r="L102" s="622"/>
      <c r="O102" s="89"/>
    </row>
    <row r="103" spans="3:15" ht="14.1" customHeight="1">
      <c r="C103" s="85" t="s">
        <v>427</v>
      </c>
      <c r="D103" s="553" t="s">
        <v>208</v>
      </c>
      <c r="E103" s="615">
        <v>703795</v>
      </c>
      <c r="F103" s="618" t="s">
        <v>150</v>
      </c>
      <c r="G103" s="620"/>
      <c r="H103" s="617"/>
      <c r="I103" s="568" t="s">
        <v>149</v>
      </c>
      <c r="J103" s="622"/>
      <c r="K103" s="622"/>
      <c r="L103" s="622"/>
      <c r="O103" s="89"/>
    </row>
    <row r="104" spans="3:15" ht="14.1" customHeight="1">
      <c r="C104" s="730" t="s">
        <v>428</v>
      </c>
      <c r="D104" s="551" t="s">
        <v>209</v>
      </c>
      <c r="E104" s="615">
        <v>652364</v>
      </c>
      <c r="F104" s="617"/>
      <c r="G104" s="617"/>
      <c r="H104" s="618"/>
      <c r="I104" s="568" t="s">
        <v>149</v>
      </c>
      <c r="J104" s="618"/>
      <c r="K104" s="618" t="s">
        <v>149</v>
      </c>
      <c r="L104" s="616" t="s">
        <v>342</v>
      </c>
      <c r="O104" s="89"/>
    </row>
    <row r="105" spans="3:15" ht="14.1" customHeight="1">
      <c r="C105" s="543" t="s">
        <v>429</v>
      </c>
      <c r="D105" s="551" t="s">
        <v>210</v>
      </c>
      <c r="E105" s="615">
        <v>644433</v>
      </c>
      <c r="F105" s="620"/>
      <c r="G105" s="618" t="s">
        <v>150</v>
      </c>
      <c r="H105" s="620"/>
      <c r="I105" s="620"/>
      <c r="J105" s="618" t="s">
        <v>191</v>
      </c>
      <c r="K105" s="622"/>
      <c r="L105" s="622"/>
      <c r="O105" s="89"/>
    </row>
    <row r="106" spans="3:15" ht="14.1" customHeight="1">
      <c r="C106" s="87" t="s">
        <v>430</v>
      </c>
      <c r="D106" s="551" t="s">
        <v>211</v>
      </c>
      <c r="E106" s="615">
        <v>650602</v>
      </c>
      <c r="F106" s="621" t="s">
        <v>187</v>
      </c>
      <c r="G106" s="621"/>
      <c r="H106" s="621"/>
      <c r="I106" s="621"/>
      <c r="J106" s="621"/>
      <c r="K106" s="621"/>
      <c r="L106" s="621"/>
      <c r="O106" s="89"/>
    </row>
    <row r="107" spans="3:15" ht="14.1" customHeight="1">
      <c r="C107" s="87" t="s">
        <v>431</v>
      </c>
      <c r="D107" s="552" t="s">
        <v>212</v>
      </c>
      <c r="E107" s="631">
        <v>704893</v>
      </c>
      <c r="F107" s="568" t="s">
        <v>149</v>
      </c>
      <c r="G107" s="618" t="s">
        <v>191</v>
      </c>
      <c r="H107" s="617"/>
      <c r="I107" s="617"/>
      <c r="J107" s="568" t="s">
        <v>149</v>
      </c>
      <c r="K107" s="568" t="s">
        <v>149</v>
      </c>
      <c r="L107" s="622"/>
      <c r="O107" s="89"/>
    </row>
    <row r="108" spans="3:15" ht="14.1" customHeight="1">
      <c r="C108" s="87" t="s">
        <v>432</v>
      </c>
      <c r="D108" s="194" t="s">
        <v>214</v>
      </c>
      <c r="E108" s="615">
        <v>636733</v>
      </c>
      <c r="F108" s="618" t="s">
        <v>192</v>
      </c>
      <c r="G108" s="618" t="s">
        <v>192</v>
      </c>
      <c r="H108" s="618" t="s">
        <v>192</v>
      </c>
      <c r="I108" s="617"/>
      <c r="J108" s="568"/>
      <c r="K108" s="618" t="s">
        <v>150</v>
      </c>
      <c r="L108" s="618" t="s">
        <v>191</v>
      </c>
      <c r="O108" s="89"/>
    </row>
    <row r="109" spans="3:15" ht="14.1" customHeight="1">
      <c r="C109" s="69" t="s">
        <v>433</v>
      </c>
      <c r="D109" s="195" t="s">
        <v>216</v>
      </c>
      <c r="E109" s="200">
        <v>637770</v>
      </c>
      <c r="F109" s="206"/>
      <c r="G109" s="206"/>
      <c r="H109" s="206" t="s">
        <v>150</v>
      </c>
      <c r="I109" s="206"/>
      <c r="J109" s="207" t="s">
        <v>496</v>
      </c>
      <c r="K109" s="208" t="s">
        <v>149</v>
      </c>
      <c r="L109" s="252" t="s">
        <v>342</v>
      </c>
      <c r="O109" s="89"/>
    </row>
    <row r="110" spans="3:15" ht="14.1" customHeight="1">
      <c r="C110" s="543"/>
      <c r="D110" s="554"/>
      <c r="E110" s="625"/>
      <c r="F110" s="618"/>
      <c r="G110" s="618"/>
      <c r="H110" s="618"/>
      <c r="I110" s="618"/>
      <c r="J110" s="619"/>
      <c r="K110" s="619"/>
      <c r="L110" s="617"/>
      <c r="O110" s="89"/>
    </row>
    <row r="111" spans="3:15" ht="14.1" customHeight="1" thickBot="1">
      <c r="C111" s="543"/>
      <c r="D111" s="554"/>
      <c r="E111" s="166"/>
      <c r="F111" s="760" t="s">
        <v>218</v>
      </c>
      <c r="G111" s="761"/>
      <c r="H111" s="761"/>
      <c r="I111" s="761"/>
      <c r="J111" s="761"/>
      <c r="K111" s="761"/>
      <c r="L111" s="762"/>
      <c r="O111" s="89"/>
    </row>
    <row r="112" spans="3:15" ht="14.1" customHeight="1">
      <c r="C112" s="555" t="s">
        <v>434</v>
      </c>
      <c r="D112" s="167" t="s">
        <v>219</v>
      </c>
      <c r="E112" s="114"/>
      <c r="F112" s="71">
        <f t="shared" ref="F112:L112" si="20">F4</f>
        <v>46062</v>
      </c>
      <c r="G112" s="71">
        <f t="shared" si="20"/>
        <v>46063</v>
      </c>
      <c r="H112" s="71">
        <f t="shared" si="20"/>
        <v>46064</v>
      </c>
      <c r="I112" s="71">
        <f t="shared" si="20"/>
        <v>46065</v>
      </c>
      <c r="J112" s="71">
        <f t="shared" si="20"/>
        <v>46066</v>
      </c>
      <c r="K112" s="71">
        <f t="shared" si="20"/>
        <v>46067</v>
      </c>
      <c r="L112" s="71">
        <f t="shared" si="20"/>
        <v>46068</v>
      </c>
      <c r="O112" s="89"/>
    </row>
    <row r="113" spans="3:15" ht="14.1" customHeight="1">
      <c r="C113" s="556" t="s">
        <v>435</v>
      </c>
      <c r="D113" s="557" t="s">
        <v>220</v>
      </c>
      <c r="E113" s="633">
        <v>654686</v>
      </c>
      <c r="F113" s="303" t="s">
        <v>150</v>
      </c>
      <c r="G113" s="565" t="s">
        <v>221</v>
      </c>
      <c r="H113" s="565" t="s">
        <v>222</v>
      </c>
      <c r="I113" s="565" t="s">
        <v>223</v>
      </c>
      <c r="J113" s="303"/>
      <c r="K113" s="303"/>
      <c r="L113" s="303"/>
      <c r="O113" s="89"/>
    </row>
    <row r="114" spans="3:15" ht="14.1" customHeight="1">
      <c r="C114" s="556" t="s">
        <v>436</v>
      </c>
      <c r="D114" s="557" t="s">
        <v>227</v>
      </c>
      <c r="E114" s="633">
        <v>700581</v>
      </c>
      <c r="F114" s="565" t="s">
        <v>224</v>
      </c>
      <c r="G114" s="565" t="s">
        <v>150</v>
      </c>
      <c r="H114" s="565"/>
      <c r="I114" s="565"/>
      <c r="J114" s="565"/>
      <c r="K114" s="565" t="s">
        <v>149</v>
      </c>
      <c r="L114" s="565" t="s">
        <v>150</v>
      </c>
      <c r="O114" s="89"/>
    </row>
    <row r="115" spans="3:15" ht="14.1" customHeight="1">
      <c r="C115" s="88" t="s">
        <v>437</v>
      </c>
      <c r="D115" s="557" t="s">
        <v>228</v>
      </c>
      <c r="E115" s="633">
        <v>700540</v>
      </c>
      <c r="F115" s="565" t="s">
        <v>223</v>
      </c>
      <c r="G115" s="565"/>
      <c r="H115" s="565"/>
      <c r="I115" s="565" t="s">
        <v>150</v>
      </c>
      <c r="J115" s="565"/>
      <c r="K115" s="565" t="s">
        <v>413</v>
      </c>
      <c r="L115" s="565" t="s">
        <v>224</v>
      </c>
      <c r="O115" s="89"/>
    </row>
    <row r="116" spans="3:15" ht="14.1" customHeight="1">
      <c r="C116" s="556" t="s">
        <v>438</v>
      </c>
      <c r="D116" s="557" t="s">
        <v>230</v>
      </c>
      <c r="E116" s="633">
        <v>646665</v>
      </c>
      <c r="F116" s="565" t="s">
        <v>222</v>
      </c>
      <c r="G116" s="565"/>
      <c r="H116" s="565"/>
      <c r="I116" s="565"/>
      <c r="J116" s="565" t="s">
        <v>225</v>
      </c>
      <c r="K116" s="565" t="s">
        <v>226</v>
      </c>
      <c r="L116" s="565" t="s">
        <v>150</v>
      </c>
      <c r="O116" s="89"/>
    </row>
    <row r="117" spans="3:15" ht="14.1" customHeight="1">
      <c r="C117" s="556" t="s">
        <v>439</v>
      </c>
      <c r="D117" s="557" t="s">
        <v>231</v>
      </c>
      <c r="E117" s="633">
        <v>654598</v>
      </c>
      <c r="F117" s="565" t="s">
        <v>222</v>
      </c>
      <c r="G117" s="565" t="s">
        <v>223</v>
      </c>
      <c r="H117" s="565"/>
      <c r="I117" s="565"/>
      <c r="J117" s="565"/>
      <c r="K117" s="565" t="s">
        <v>224</v>
      </c>
      <c r="L117" s="565" t="s">
        <v>150</v>
      </c>
      <c r="O117" s="89"/>
    </row>
    <row r="118" spans="3:15" ht="14.1" customHeight="1">
      <c r="C118" s="556" t="s">
        <v>440</v>
      </c>
      <c r="D118" s="557" t="s">
        <v>232</v>
      </c>
      <c r="E118" s="633">
        <v>700591</v>
      </c>
      <c r="F118" s="565"/>
      <c r="G118" s="565"/>
      <c r="H118" s="565" t="s">
        <v>150</v>
      </c>
      <c r="I118" s="565" t="s">
        <v>150</v>
      </c>
      <c r="J118" s="565" t="s">
        <v>150</v>
      </c>
      <c r="K118" s="565"/>
      <c r="L118" s="565" t="s">
        <v>225</v>
      </c>
      <c r="O118" s="89"/>
    </row>
    <row r="119" spans="3:15" ht="14.1" customHeight="1">
      <c r="C119" s="556" t="s">
        <v>441</v>
      </c>
      <c r="D119" s="557" t="s">
        <v>233</v>
      </c>
      <c r="E119" s="633">
        <v>700648</v>
      </c>
      <c r="F119" s="565" t="s">
        <v>150</v>
      </c>
      <c r="G119" s="565" t="s">
        <v>222</v>
      </c>
      <c r="H119" s="565"/>
      <c r="I119" s="565"/>
      <c r="J119" s="565"/>
      <c r="K119" s="565" t="s">
        <v>150</v>
      </c>
      <c r="L119" s="565" t="s">
        <v>226</v>
      </c>
      <c r="O119" s="89"/>
    </row>
    <row r="120" spans="3:15" ht="14.1" customHeight="1">
      <c r="C120" s="556" t="s">
        <v>443</v>
      </c>
      <c r="D120" s="557" t="s">
        <v>234</v>
      </c>
      <c r="E120" s="633">
        <v>700653</v>
      </c>
      <c r="F120" s="565" t="s">
        <v>150</v>
      </c>
      <c r="G120" s="565" t="s">
        <v>222</v>
      </c>
      <c r="H120" s="565" t="s">
        <v>221</v>
      </c>
      <c r="I120" s="565" t="s">
        <v>222</v>
      </c>
      <c r="J120" s="565"/>
      <c r="K120" s="565"/>
      <c r="L120" s="565"/>
      <c r="O120" s="89"/>
    </row>
    <row r="121" spans="3:15" ht="14.1" customHeight="1">
      <c r="C121" s="556" t="s">
        <v>444</v>
      </c>
      <c r="D121" s="557" t="s">
        <v>235</v>
      </c>
      <c r="E121" s="633">
        <v>700604</v>
      </c>
      <c r="F121" s="565"/>
      <c r="G121" s="565" t="s">
        <v>224</v>
      </c>
      <c r="H121" s="565" t="s">
        <v>150</v>
      </c>
      <c r="I121" s="565"/>
      <c r="J121" s="565" t="s">
        <v>149</v>
      </c>
      <c r="K121" s="565" t="s">
        <v>150</v>
      </c>
      <c r="L121" s="565" t="s">
        <v>150</v>
      </c>
      <c r="O121" s="89"/>
    </row>
    <row r="122" spans="3:15" ht="14.1" customHeight="1">
      <c r="C122" s="556" t="s">
        <v>445</v>
      </c>
      <c r="D122" s="557" t="s">
        <v>236</v>
      </c>
      <c r="E122" s="633">
        <v>655170</v>
      </c>
      <c r="F122" s="565" t="s">
        <v>150</v>
      </c>
      <c r="G122" s="565"/>
      <c r="H122" s="565"/>
      <c r="I122" s="565"/>
      <c r="J122" s="565" t="s">
        <v>224</v>
      </c>
      <c r="K122" s="565" t="s">
        <v>149</v>
      </c>
      <c r="L122" s="565" t="s">
        <v>149</v>
      </c>
      <c r="O122" s="89"/>
    </row>
    <row r="123" spans="3:15" ht="14.1" customHeight="1">
      <c r="C123" s="556" t="s">
        <v>446</v>
      </c>
      <c r="D123" s="557" t="s">
        <v>237</v>
      </c>
      <c r="E123" s="633">
        <v>703000</v>
      </c>
      <c r="F123" s="565" t="s">
        <v>149</v>
      </c>
      <c r="G123" s="565"/>
      <c r="H123" s="565"/>
      <c r="I123" s="565"/>
      <c r="J123" s="565"/>
      <c r="K123" s="565"/>
      <c r="L123" s="565" t="s">
        <v>222</v>
      </c>
      <c r="O123" s="89"/>
    </row>
    <row r="124" spans="3:15" ht="14.1" customHeight="1">
      <c r="C124" s="556" t="s">
        <v>447</v>
      </c>
      <c r="D124" s="557" t="s">
        <v>238</v>
      </c>
      <c r="E124" s="633">
        <v>702770</v>
      </c>
      <c r="F124" s="565"/>
      <c r="G124" s="565"/>
      <c r="H124" s="565" t="s">
        <v>149</v>
      </c>
      <c r="I124" s="565"/>
      <c r="J124" s="565" t="s">
        <v>221</v>
      </c>
      <c r="K124" s="565" t="s">
        <v>222</v>
      </c>
      <c r="L124" s="565" t="s">
        <v>223</v>
      </c>
      <c r="O124" s="89"/>
    </row>
    <row r="125" spans="3:15" ht="14.1" customHeight="1">
      <c r="C125" s="556" t="s">
        <v>448</v>
      </c>
      <c r="D125" s="557" t="s">
        <v>239</v>
      </c>
      <c r="E125" s="633">
        <v>704108</v>
      </c>
      <c r="F125" s="565"/>
      <c r="G125" s="565"/>
      <c r="H125" s="565" t="s">
        <v>225</v>
      </c>
      <c r="I125" s="565" t="s">
        <v>149</v>
      </c>
      <c r="J125" s="565" t="s">
        <v>223</v>
      </c>
      <c r="K125" s="565" t="s">
        <v>222</v>
      </c>
      <c r="L125" s="565"/>
      <c r="O125" s="89"/>
    </row>
    <row r="126" spans="3:15" ht="14.1" customHeight="1">
      <c r="C126" s="556" t="s">
        <v>449</v>
      </c>
      <c r="D126" s="557" t="s">
        <v>240</v>
      </c>
      <c r="E126" s="633">
        <v>700734</v>
      </c>
      <c r="F126" s="565" t="s">
        <v>225</v>
      </c>
      <c r="G126" s="565" t="s">
        <v>150</v>
      </c>
      <c r="H126" s="565"/>
      <c r="I126" s="565" t="s">
        <v>149</v>
      </c>
      <c r="J126" s="565" t="s">
        <v>226</v>
      </c>
      <c r="K126" s="565"/>
      <c r="L126" s="565"/>
      <c r="O126" s="89"/>
    </row>
    <row r="127" spans="3:15" ht="14.1" customHeight="1">
      <c r="C127" s="556" t="s">
        <v>450</v>
      </c>
      <c r="D127" s="557" t="s">
        <v>241</v>
      </c>
      <c r="E127" s="633">
        <v>702035</v>
      </c>
      <c r="F127" s="565"/>
      <c r="G127" s="565" t="s">
        <v>150</v>
      </c>
      <c r="H127" s="565"/>
      <c r="I127" s="565"/>
      <c r="J127" s="565" t="s">
        <v>149</v>
      </c>
      <c r="K127" s="565" t="s">
        <v>225</v>
      </c>
      <c r="L127" s="565" t="s">
        <v>149</v>
      </c>
      <c r="O127" s="89"/>
    </row>
    <row r="128" spans="3:15" ht="14.1" customHeight="1">
      <c r="C128" s="556" t="s">
        <v>451</v>
      </c>
      <c r="D128" s="557" t="s">
        <v>242</v>
      </c>
      <c r="E128" s="633">
        <v>702779</v>
      </c>
      <c r="F128" s="565" t="s">
        <v>226</v>
      </c>
      <c r="G128" s="565" t="s">
        <v>167</v>
      </c>
      <c r="H128" s="565" t="s">
        <v>222</v>
      </c>
      <c r="I128" s="565" t="s">
        <v>221</v>
      </c>
      <c r="J128" s="565"/>
      <c r="K128" s="565"/>
      <c r="L128" s="565"/>
      <c r="O128" s="89"/>
    </row>
    <row r="129" spans="3:15" ht="14.1" customHeight="1">
      <c r="C129" s="556" t="s">
        <v>452</v>
      </c>
      <c r="D129" s="557" t="s">
        <v>243</v>
      </c>
      <c r="E129" s="633">
        <v>641339</v>
      </c>
      <c r="F129" s="565"/>
      <c r="G129" s="565" t="s">
        <v>225</v>
      </c>
      <c r="H129" s="565" t="s">
        <v>149</v>
      </c>
      <c r="I129" s="565" t="s">
        <v>224</v>
      </c>
      <c r="J129" s="565"/>
      <c r="K129" s="565" t="s">
        <v>150</v>
      </c>
      <c r="L129" s="565"/>
      <c r="O129" s="89"/>
    </row>
    <row r="130" spans="3:15" ht="14.1" customHeight="1">
      <c r="C130" s="556" t="s">
        <v>453</v>
      </c>
      <c r="D130" s="557" t="s">
        <v>244</v>
      </c>
      <c r="E130" s="633">
        <v>703783</v>
      </c>
      <c r="F130" s="565"/>
      <c r="G130" s="565" t="s">
        <v>149</v>
      </c>
      <c r="H130" s="565" t="s">
        <v>224</v>
      </c>
      <c r="I130" s="565" t="s">
        <v>225</v>
      </c>
      <c r="J130" s="565" t="s">
        <v>150</v>
      </c>
      <c r="K130" s="565"/>
      <c r="L130" s="565"/>
      <c r="O130" s="89"/>
    </row>
    <row r="131" spans="3:15" ht="14.1" customHeight="1">
      <c r="C131" s="556" t="s">
        <v>454</v>
      </c>
      <c r="D131" s="557" t="s">
        <v>245</v>
      </c>
      <c r="E131" s="625">
        <v>702087</v>
      </c>
      <c r="F131" s="565"/>
      <c r="G131" s="565"/>
      <c r="H131" s="565" t="s">
        <v>223</v>
      </c>
      <c r="I131" s="565" t="s">
        <v>222</v>
      </c>
      <c r="J131" s="565"/>
      <c r="K131" s="565"/>
      <c r="L131" s="565"/>
      <c r="O131" s="89"/>
    </row>
    <row r="132" spans="3:15" ht="14.1" customHeight="1">
      <c r="C132" s="556" t="s">
        <v>455</v>
      </c>
      <c r="D132" s="558" t="s">
        <v>246</v>
      </c>
      <c r="E132" s="631"/>
      <c r="F132" s="578"/>
      <c r="G132" s="578"/>
      <c r="H132" s="578"/>
      <c r="I132" s="578"/>
      <c r="J132" s="578"/>
      <c r="K132" s="578"/>
      <c r="L132" s="578"/>
      <c r="O132" s="89"/>
    </row>
    <row r="133" spans="3:15" ht="14.1" customHeight="1">
      <c r="C133" s="556" t="s">
        <v>456</v>
      </c>
      <c r="D133" s="557" t="s">
        <v>247</v>
      </c>
      <c r="E133" s="625">
        <v>703186</v>
      </c>
      <c r="F133" s="606" t="s">
        <v>263</v>
      </c>
      <c r="G133" s="606"/>
      <c r="H133" s="606"/>
      <c r="I133" s="606"/>
      <c r="J133" s="606"/>
      <c r="K133" s="606"/>
      <c r="L133" s="606"/>
      <c r="O133" s="89"/>
    </row>
    <row r="134" spans="3:15" ht="14.1" customHeight="1">
      <c r="C134" s="556" t="s">
        <v>458</v>
      </c>
      <c r="D134" s="557" t="s">
        <v>248</v>
      </c>
      <c r="E134" s="625">
        <v>703168</v>
      </c>
      <c r="F134" s="565"/>
      <c r="G134" s="565"/>
      <c r="H134" s="565" t="s">
        <v>150</v>
      </c>
      <c r="I134" s="565"/>
      <c r="J134" s="565" t="s">
        <v>222</v>
      </c>
      <c r="K134" s="565" t="s">
        <v>221</v>
      </c>
      <c r="L134" s="565" t="s">
        <v>222</v>
      </c>
      <c r="O134" s="89"/>
    </row>
    <row r="135" spans="3:15" ht="14.1" customHeight="1">
      <c r="C135" s="556" t="s">
        <v>459</v>
      </c>
      <c r="D135" s="557" t="s">
        <v>249</v>
      </c>
      <c r="E135" s="625">
        <v>703270</v>
      </c>
      <c r="F135" s="565"/>
      <c r="G135" s="565"/>
      <c r="H135" s="565" t="s">
        <v>149</v>
      </c>
      <c r="I135" s="565" t="s">
        <v>150</v>
      </c>
      <c r="J135" s="565"/>
      <c r="K135" s="565" t="s">
        <v>222</v>
      </c>
      <c r="L135" s="565" t="s">
        <v>221</v>
      </c>
      <c r="O135" s="89"/>
    </row>
    <row r="136" spans="3:15" ht="14.1" customHeight="1">
      <c r="C136" s="556" t="s">
        <v>460</v>
      </c>
      <c r="D136" s="558" t="s">
        <v>251</v>
      </c>
      <c r="E136" s="625">
        <v>702481</v>
      </c>
      <c r="F136" s="565"/>
      <c r="G136" s="565" t="s">
        <v>226</v>
      </c>
      <c r="H136" s="565"/>
      <c r="I136" s="565"/>
      <c r="J136" s="565" t="s">
        <v>222</v>
      </c>
      <c r="K136" s="565" t="s">
        <v>223</v>
      </c>
      <c r="L136" s="565" t="s">
        <v>222</v>
      </c>
      <c r="O136" s="89"/>
    </row>
    <row r="137" spans="3:15" ht="14.1" customHeight="1">
      <c r="C137" s="556" t="s">
        <v>461</v>
      </c>
      <c r="D137" s="558" t="s">
        <v>252</v>
      </c>
      <c r="E137" s="625">
        <v>700682</v>
      </c>
      <c r="F137" s="634"/>
      <c r="G137" s="634"/>
      <c r="H137" s="634"/>
      <c r="I137" s="634"/>
      <c r="J137" s="634"/>
      <c r="K137" s="634"/>
      <c r="L137" s="634"/>
      <c r="O137" s="89"/>
    </row>
    <row r="138" spans="3:15" ht="14.1" customHeight="1">
      <c r="C138" s="556" t="s">
        <v>462</v>
      </c>
      <c r="D138" s="558" t="s">
        <v>253</v>
      </c>
      <c r="E138" s="625">
        <v>700721</v>
      </c>
      <c r="F138" s="634"/>
      <c r="G138" s="634"/>
      <c r="H138" s="634"/>
      <c r="I138" s="634"/>
      <c r="J138" s="634"/>
      <c r="K138" s="634"/>
      <c r="L138" s="634"/>
      <c r="O138" s="89"/>
    </row>
    <row r="139" spans="3:15" ht="14.1" customHeight="1">
      <c r="C139" s="556" t="s">
        <v>463</v>
      </c>
      <c r="D139" s="558" t="s">
        <v>254</v>
      </c>
      <c r="E139" s="625">
        <v>703820</v>
      </c>
      <c r="F139" s="634"/>
      <c r="G139" s="634"/>
      <c r="H139" s="634"/>
      <c r="I139" s="634"/>
      <c r="J139" s="634"/>
      <c r="K139" s="634"/>
      <c r="L139" s="634"/>
      <c r="O139" s="89"/>
    </row>
    <row r="140" spans="3:15" ht="14.1" customHeight="1">
      <c r="C140" s="556" t="s">
        <v>464</v>
      </c>
      <c r="D140" s="558" t="s">
        <v>255</v>
      </c>
      <c r="E140" s="625">
        <v>703788</v>
      </c>
      <c r="F140" s="634"/>
      <c r="G140" s="634"/>
      <c r="H140" s="634"/>
      <c r="I140" s="634"/>
      <c r="J140" s="634"/>
      <c r="K140" s="634"/>
      <c r="L140" s="634"/>
      <c r="O140" s="89"/>
    </row>
    <row r="141" spans="3:15" ht="14.1" customHeight="1">
      <c r="C141" s="556" t="s">
        <v>465</v>
      </c>
      <c r="D141" s="558" t="s">
        <v>256</v>
      </c>
      <c r="E141" s="625">
        <v>700646</v>
      </c>
      <c r="F141" s="634"/>
      <c r="G141" s="634"/>
      <c r="H141" s="634"/>
      <c r="I141" s="634"/>
      <c r="J141" s="634"/>
      <c r="K141" s="634"/>
      <c r="L141" s="634"/>
      <c r="O141" s="89"/>
    </row>
    <row r="142" spans="3:15" ht="14.1" customHeight="1">
      <c r="C142" s="556" t="s">
        <v>466</v>
      </c>
      <c r="D142" s="558" t="s">
        <v>257</v>
      </c>
      <c r="E142" s="633">
        <v>655539</v>
      </c>
      <c r="F142" s="634"/>
      <c r="G142" s="634"/>
      <c r="H142" s="634"/>
      <c r="I142" s="634"/>
      <c r="J142" s="634"/>
      <c r="K142" s="634"/>
      <c r="L142" s="634"/>
      <c r="O142" s="89"/>
    </row>
    <row r="143" spans="3:15" ht="14.1" customHeight="1">
      <c r="C143" s="556" t="s">
        <v>467</v>
      </c>
      <c r="D143" s="559" t="s">
        <v>258</v>
      </c>
      <c r="E143" s="633">
        <v>653933</v>
      </c>
      <c r="F143" s="635"/>
      <c r="G143" s="635"/>
      <c r="H143" s="635"/>
      <c r="I143" s="635"/>
      <c r="J143" s="635"/>
      <c r="K143" s="635"/>
      <c r="L143" s="635"/>
      <c r="O143" s="89"/>
    </row>
    <row r="144" spans="3:15" ht="14.1" customHeight="1">
      <c r="C144" s="556" t="s">
        <v>468</v>
      </c>
      <c r="D144" s="558" t="s">
        <v>259</v>
      </c>
      <c r="E144" s="636"/>
      <c r="F144" s="634"/>
      <c r="G144" s="634"/>
      <c r="H144" s="634"/>
      <c r="I144" s="634"/>
      <c r="J144" s="634"/>
      <c r="K144" s="634"/>
      <c r="L144" s="634"/>
      <c r="O144" s="89"/>
    </row>
    <row r="145" spans="3:15" ht="14.1" customHeight="1">
      <c r="C145" s="556"/>
      <c r="D145" s="286"/>
      <c r="E145" s="304"/>
      <c r="G145" s="566"/>
      <c r="H145" s="566"/>
      <c r="I145" s="566"/>
      <c r="J145" s="566"/>
      <c r="K145" s="566"/>
      <c r="L145" s="566"/>
      <c r="O145" s="89"/>
    </row>
    <row r="146" spans="3:15" ht="14.1" customHeight="1" thickBot="1">
      <c r="C146" s="560" t="s">
        <v>472</v>
      </c>
      <c r="D146" s="462" t="s">
        <v>260</v>
      </c>
      <c r="E146" s="463"/>
      <c r="F146" s="210"/>
      <c r="G146" s="578"/>
      <c r="H146" s="578"/>
      <c r="I146" s="578"/>
      <c r="J146" s="578"/>
      <c r="K146" s="578"/>
      <c r="L146" s="578"/>
      <c r="O146" s="89"/>
    </row>
    <row r="147" spans="3:15" ht="14.1" customHeight="1">
      <c r="C147" s="561" t="s">
        <v>473</v>
      </c>
      <c r="D147" s="196" t="s">
        <v>261</v>
      </c>
      <c r="E147" s="466">
        <v>703293</v>
      </c>
      <c r="F147" s="606" t="s">
        <v>263</v>
      </c>
      <c r="G147" s="606" t="s">
        <v>263</v>
      </c>
      <c r="H147" s="606" t="s">
        <v>263</v>
      </c>
      <c r="I147" s="606" t="s">
        <v>263</v>
      </c>
      <c r="J147" s="606" t="s">
        <v>263</v>
      </c>
      <c r="K147" s="637" t="s">
        <v>263</v>
      </c>
      <c r="L147" s="637" t="s">
        <v>263</v>
      </c>
      <c r="O147" s="89"/>
    </row>
    <row r="148" spans="3:15" ht="14.1" customHeight="1">
      <c r="C148" s="561" t="s">
        <v>474</v>
      </c>
      <c r="D148" s="562" t="s">
        <v>266</v>
      </c>
      <c r="E148" s="466">
        <v>703544</v>
      </c>
      <c r="F148" s="565"/>
      <c r="G148" s="565"/>
      <c r="H148" s="565" t="s">
        <v>150</v>
      </c>
      <c r="I148" s="638" t="s">
        <v>222</v>
      </c>
      <c r="J148" s="565" t="s">
        <v>222</v>
      </c>
      <c r="K148" s="639" t="s">
        <v>222</v>
      </c>
      <c r="L148" s="639"/>
      <c r="O148" s="89"/>
    </row>
    <row r="149" spans="3:15" ht="14.1" customHeight="1">
      <c r="C149" s="561" t="s">
        <v>475</v>
      </c>
      <c r="D149" s="562" t="s">
        <v>267</v>
      </c>
      <c r="E149" s="466">
        <v>703651</v>
      </c>
      <c r="F149" s="565"/>
      <c r="G149" s="565" t="s">
        <v>149</v>
      </c>
      <c r="H149" s="565" t="s">
        <v>149</v>
      </c>
      <c r="I149" s="565"/>
      <c r="J149" s="565"/>
      <c r="K149" s="639" t="s">
        <v>149</v>
      </c>
      <c r="L149" s="639" t="s">
        <v>149</v>
      </c>
      <c r="O149" s="89"/>
    </row>
    <row r="150" spans="3:15" ht="14.1" customHeight="1">
      <c r="C150" s="561" t="s">
        <v>477</v>
      </c>
      <c r="D150" s="562" t="s">
        <v>268</v>
      </c>
      <c r="E150" s="466">
        <v>703298</v>
      </c>
      <c r="F150" s="565" t="s">
        <v>150</v>
      </c>
      <c r="G150" s="565" t="s">
        <v>222</v>
      </c>
      <c r="H150" s="565" t="s">
        <v>222</v>
      </c>
      <c r="I150" s="565" t="s">
        <v>222</v>
      </c>
      <c r="J150" s="565"/>
      <c r="K150" s="639"/>
      <c r="L150" s="640" t="s">
        <v>264</v>
      </c>
      <c r="O150" s="89"/>
    </row>
    <row r="151" spans="3:15" ht="14.1" customHeight="1">
      <c r="C151" s="561" t="s">
        <v>478</v>
      </c>
      <c r="D151" s="562" t="s">
        <v>269</v>
      </c>
      <c r="E151" s="466">
        <v>703345</v>
      </c>
      <c r="F151" s="565" t="s">
        <v>149</v>
      </c>
      <c r="G151" s="565" t="s">
        <v>149</v>
      </c>
      <c r="H151" s="565"/>
      <c r="I151" s="565"/>
      <c r="J151" s="565"/>
      <c r="K151" s="639" t="s">
        <v>150</v>
      </c>
      <c r="L151" s="639" t="s">
        <v>150</v>
      </c>
      <c r="O151" s="89"/>
    </row>
    <row r="152" spans="3:15" ht="14.1" customHeight="1">
      <c r="C152" s="561" t="s">
        <v>479</v>
      </c>
      <c r="D152" s="562" t="s">
        <v>270</v>
      </c>
      <c r="E152" s="466">
        <v>703324</v>
      </c>
      <c r="F152" s="606" t="s">
        <v>263</v>
      </c>
      <c r="G152" s="606" t="s">
        <v>263</v>
      </c>
      <c r="H152" s="606" t="s">
        <v>263</v>
      </c>
      <c r="I152" s="606" t="s">
        <v>263</v>
      </c>
      <c r="J152" s="606" t="s">
        <v>263</v>
      </c>
      <c r="K152" s="637" t="s">
        <v>263</v>
      </c>
      <c r="L152" s="637" t="s">
        <v>263</v>
      </c>
      <c r="O152" s="89"/>
    </row>
    <row r="153" spans="3:15" ht="14.1" customHeight="1">
      <c r="C153" s="561" t="s">
        <v>480</v>
      </c>
      <c r="D153" s="562" t="s">
        <v>271</v>
      </c>
      <c r="E153" s="466">
        <v>703527</v>
      </c>
      <c r="F153" s="565"/>
      <c r="G153" s="565"/>
      <c r="H153" s="565"/>
      <c r="I153" s="565" t="s">
        <v>150</v>
      </c>
      <c r="J153" s="565" t="s">
        <v>150</v>
      </c>
      <c r="K153" s="639" t="s">
        <v>150</v>
      </c>
      <c r="L153" s="639" t="s">
        <v>150</v>
      </c>
      <c r="O153" s="89"/>
    </row>
    <row r="154" spans="3:15" ht="14.1" customHeight="1">
      <c r="C154" s="561" t="s">
        <v>481</v>
      </c>
      <c r="D154" s="562" t="s">
        <v>272</v>
      </c>
      <c r="E154" s="466">
        <v>703319</v>
      </c>
      <c r="F154" s="565" t="s">
        <v>222</v>
      </c>
      <c r="G154" s="565"/>
      <c r="H154" s="565"/>
      <c r="I154" s="565"/>
      <c r="J154" s="565" t="s">
        <v>149</v>
      </c>
      <c r="K154" s="639" t="s">
        <v>149</v>
      </c>
      <c r="L154" s="639" t="s">
        <v>222</v>
      </c>
      <c r="O154" s="89"/>
    </row>
    <row r="155" spans="3:15" ht="14.1" customHeight="1">
      <c r="C155" s="561" t="s">
        <v>482</v>
      </c>
      <c r="D155" s="562" t="s">
        <v>273</v>
      </c>
      <c r="E155" s="466">
        <v>703543</v>
      </c>
      <c r="F155" s="565"/>
      <c r="G155" s="565" t="s">
        <v>150</v>
      </c>
      <c r="H155" s="565" t="s">
        <v>150</v>
      </c>
      <c r="I155" s="565" t="s">
        <v>150</v>
      </c>
      <c r="J155" s="565" t="s">
        <v>150</v>
      </c>
      <c r="K155" s="639"/>
      <c r="L155" s="639"/>
      <c r="O155" s="89"/>
    </row>
    <row r="156" spans="3:15" ht="14.1" customHeight="1" thickBot="1">
      <c r="C156" s="561" t="s">
        <v>497</v>
      </c>
      <c r="D156" s="562" t="s">
        <v>274</v>
      </c>
      <c r="E156" s="466">
        <v>703530</v>
      </c>
      <c r="F156" s="565" t="s">
        <v>150</v>
      </c>
      <c r="G156" s="565"/>
      <c r="H156" s="565" t="s">
        <v>149</v>
      </c>
      <c r="I156" s="565" t="s">
        <v>149</v>
      </c>
      <c r="J156" s="565" t="s">
        <v>149</v>
      </c>
      <c r="K156" s="639"/>
      <c r="L156" s="639"/>
      <c r="O156" s="89"/>
    </row>
    <row r="157" spans="3:15" ht="14.1" customHeight="1">
      <c r="C157" s="561" t="s">
        <v>484</v>
      </c>
      <c r="D157" s="231" t="s">
        <v>485</v>
      </c>
      <c r="E157" s="466">
        <v>700626</v>
      </c>
      <c r="F157" s="59"/>
      <c r="G157" s="565" t="s">
        <v>149</v>
      </c>
      <c r="H157" s="565" t="s">
        <v>149</v>
      </c>
      <c r="I157" s="578" t="s">
        <v>342</v>
      </c>
      <c r="J157" s="565" t="s">
        <v>149</v>
      </c>
      <c r="K157" s="235"/>
      <c r="L157" s="236"/>
      <c r="O157" s="89"/>
    </row>
    <row r="158" spans="3:15" ht="14.1" customHeight="1">
      <c r="C158" s="561"/>
      <c r="D158" s="175"/>
      <c r="E158" s="114"/>
      <c r="F158" s="813" t="s">
        <v>275</v>
      </c>
      <c r="G158" s="814"/>
      <c r="H158" s="814"/>
      <c r="I158" s="814"/>
      <c r="J158" s="814"/>
      <c r="K158" s="814"/>
      <c r="L158" s="815"/>
      <c r="O158" s="89"/>
    </row>
    <row r="159" spans="3:15" ht="14.1" customHeight="1">
      <c r="D159" s="476"/>
      <c r="E159" s="477"/>
      <c r="F159" s="641"/>
      <c r="G159" s="641"/>
      <c r="H159" s="641"/>
      <c r="I159" s="641"/>
      <c r="J159" s="641"/>
      <c r="K159" s="641"/>
      <c r="L159" s="641"/>
      <c r="O159" s="89"/>
    </row>
    <row r="160" spans="3:15" ht="14.1" customHeight="1">
      <c r="D160" s="479"/>
      <c r="E160" s="477"/>
      <c r="F160" s="641"/>
      <c r="G160" s="641"/>
      <c r="H160" s="641"/>
      <c r="I160" s="641"/>
      <c r="J160" s="641"/>
      <c r="K160" s="641"/>
      <c r="L160" s="641"/>
      <c r="O160" s="89"/>
    </row>
    <row r="161" spans="3:15" ht="14.1" customHeight="1">
      <c r="C161" s="563" t="s">
        <v>488</v>
      </c>
      <c r="D161" s="479" t="s">
        <v>488</v>
      </c>
      <c r="E161" s="477"/>
      <c r="F161" s="641"/>
      <c r="G161" s="641"/>
      <c r="H161" s="641"/>
      <c r="I161" s="641"/>
      <c r="J161" s="641"/>
      <c r="K161" s="641"/>
      <c r="L161" s="641"/>
      <c r="O161" s="89"/>
    </row>
    <row r="162" spans="3:15" ht="14.1" customHeight="1">
      <c r="C162" s="563"/>
      <c r="D162" s="563"/>
      <c r="E162" s="477"/>
      <c r="F162" s="641"/>
      <c r="G162" s="641"/>
      <c r="H162" s="641"/>
      <c r="I162" s="641"/>
      <c r="J162" s="641"/>
      <c r="K162" s="641"/>
      <c r="L162" s="641"/>
      <c r="O162" s="89"/>
    </row>
    <row r="163" spans="3:15" ht="14.1" customHeight="1">
      <c r="C163" s="563"/>
      <c r="D163" s="563"/>
      <c r="E163" s="477"/>
      <c r="F163" s="641"/>
      <c r="G163" s="641"/>
      <c r="H163" s="641"/>
      <c r="I163" s="641"/>
      <c r="J163" s="641"/>
      <c r="K163" s="641"/>
      <c r="L163" s="641"/>
      <c r="O163" s="89"/>
    </row>
    <row r="164" spans="3:15" ht="14.1" customHeight="1">
      <c r="C164" s="563"/>
      <c r="D164" s="563"/>
      <c r="E164" s="477"/>
      <c r="F164" s="641"/>
      <c r="G164" s="641"/>
      <c r="H164" s="641"/>
      <c r="I164" s="641"/>
      <c r="J164" s="641"/>
      <c r="K164" s="641"/>
      <c r="L164" s="641"/>
      <c r="O164" s="89"/>
    </row>
    <row r="165" spans="3:15" ht="14.1" customHeight="1">
      <c r="C165" s="563"/>
      <c r="D165" s="563"/>
      <c r="E165" s="477"/>
      <c r="G165" s="566"/>
      <c r="H165" s="566"/>
      <c r="I165" s="566"/>
      <c r="J165" s="566"/>
      <c r="K165" s="566"/>
      <c r="L165" s="566"/>
      <c r="O165" s="89"/>
    </row>
    <row r="166" spans="3:15" ht="14.1" customHeight="1">
      <c r="C166" s="563"/>
      <c r="D166" s="563"/>
      <c r="E166" s="477"/>
      <c r="G166" s="566"/>
      <c r="H166" s="566"/>
      <c r="I166" s="566"/>
      <c r="J166" s="566"/>
      <c r="K166" s="566"/>
      <c r="L166" s="566"/>
      <c r="O166" s="89"/>
    </row>
    <row r="167" spans="3:15" ht="14.1" customHeight="1">
      <c r="C167" s="563"/>
      <c r="D167" s="563"/>
      <c r="E167" s="477"/>
      <c r="G167" s="566"/>
      <c r="H167" s="566"/>
      <c r="I167" s="566"/>
      <c r="J167" s="566"/>
      <c r="K167" s="566"/>
      <c r="L167" s="566"/>
      <c r="O167" s="89"/>
    </row>
    <row r="168" spans="3:15" ht="14.1" customHeight="1">
      <c r="C168" s="563"/>
      <c r="D168" s="563"/>
      <c r="E168" s="477"/>
      <c r="F168" s="210"/>
      <c r="G168" s="578"/>
      <c r="H168" s="578"/>
      <c r="I168" s="578"/>
      <c r="J168" s="578"/>
      <c r="K168" s="578"/>
      <c r="L168" s="578"/>
      <c r="O168" s="89"/>
    </row>
    <row r="169" spans="3:15" ht="14.1" customHeight="1">
      <c r="C169" s="538" t="s">
        <v>1</v>
      </c>
      <c r="D169" s="538" t="s">
        <v>1</v>
      </c>
      <c r="E169" s="615"/>
      <c r="F169" s="565">
        <f t="shared" ref="F169:L169" si="21">COUNTIF(F6:F167,"0800-1730*")+COUNTIF(F6:F167,"0800-1800*")+COUNTIF(F6:F167,"0730-*")-COUNTIF(F6:F167,"*0800-1730 CS*")-COUNTIF(F6:F167,"*0800-1800 CS*")-COUNTIF(F6:F167,"*0800-1730 PHNW*")-COUNTIF(F6:F167,"*0800-1730 DEMT*")-COUNTIF(F6:F167,"*0800-1730 DD*")</f>
        <v>12</v>
      </c>
      <c r="G169" s="565">
        <f t="shared" si="21"/>
        <v>15</v>
      </c>
      <c r="H169" s="565">
        <f t="shared" si="21"/>
        <v>16</v>
      </c>
      <c r="I169" s="565">
        <f t="shared" si="21"/>
        <v>14</v>
      </c>
      <c r="J169" s="565">
        <f t="shared" si="21"/>
        <v>14</v>
      </c>
      <c r="K169" s="565">
        <f t="shared" si="21"/>
        <v>14</v>
      </c>
      <c r="L169" s="565">
        <f t="shared" si="21"/>
        <v>11</v>
      </c>
      <c r="O169" s="89"/>
    </row>
    <row r="170" spans="3:15" ht="14.1" customHeight="1">
      <c r="C170" s="538" t="s">
        <v>276</v>
      </c>
      <c r="D170" s="538" t="s">
        <v>276</v>
      </c>
      <c r="E170" s="615"/>
      <c r="F170" s="65">
        <f t="shared" ref="F170:L170" si="22">COUNTIF(F6:F167,"*SWA*")</f>
        <v>1</v>
      </c>
      <c r="G170" s="65">
        <f t="shared" si="22"/>
        <v>0</v>
      </c>
      <c r="H170" s="65">
        <f t="shared" si="22"/>
        <v>0</v>
      </c>
      <c r="I170" s="65">
        <f t="shared" si="22"/>
        <v>1</v>
      </c>
      <c r="J170" s="65">
        <f t="shared" si="22"/>
        <v>0</v>
      </c>
      <c r="K170" s="65">
        <f t="shared" si="22"/>
        <v>0</v>
      </c>
      <c r="L170" s="65">
        <f t="shared" si="22"/>
        <v>0</v>
      </c>
      <c r="O170" s="89"/>
    </row>
    <row r="171" spans="3:15" ht="14.1" customHeight="1">
      <c r="C171" s="538" t="s">
        <v>2</v>
      </c>
      <c r="D171" s="538" t="s">
        <v>2</v>
      </c>
      <c r="E171" s="615"/>
      <c r="F171" s="65">
        <f t="shared" ref="F171:L171" si="23">COUNTIF(F6:F167,"*1400-*")+COUNTIF(F6:F167,"*1430-*")</f>
        <v>16</v>
      </c>
      <c r="G171" s="65">
        <f t="shared" si="23"/>
        <v>14</v>
      </c>
      <c r="H171" s="65">
        <f t="shared" si="23"/>
        <v>14</v>
      </c>
      <c r="I171" s="65">
        <f t="shared" si="23"/>
        <v>13</v>
      </c>
      <c r="J171" s="65">
        <f t="shared" si="23"/>
        <v>13</v>
      </c>
      <c r="K171" s="65">
        <f t="shared" si="23"/>
        <v>14</v>
      </c>
      <c r="L171" s="65">
        <f t="shared" si="23"/>
        <v>16</v>
      </c>
      <c r="O171" s="89"/>
    </row>
    <row r="172" spans="3:15" ht="14.1" customHeight="1">
      <c r="C172" s="538" t="s">
        <v>277</v>
      </c>
      <c r="D172" s="538" t="s">
        <v>277</v>
      </c>
      <c r="E172" s="615"/>
      <c r="F172" s="65">
        <f t="shared" ref="F172:L172" si="24">COUNTIF(F7:F167,"*SWP*")</f>
        <v>1</v>
      </c>
      <c r="G172" s="65">
        <f t="shared" si="24"/>
        <v>1</v>
      </c>
      <c r="H172" s="65">
        <f t="shared" si="24"/>
        <v>1</v>
      </c>
      <c r="I172" s="65">
        <f t="shared" si="24"/>
        <v>1</v>
      </c>
      <c r="J172" s="65">
        <f t="shared" si="24"/>
        <v>0</v>
      </c>
      <c r="K172" s="65">
        <f t="shared" si="24"/>
        <v>1</v>
      </c>
      <c r="L172" s="65">
        <f t="shared" si="24"/>
        <v>0</v>
      </c>
      <c r="O172" s="89"/>
    </row>
    <row r="173" spans="3:15" ht="14.1" customHeight="1" thickBot="1">
      <c r="C173" s="845" t="s">
        <v>278</v>
      </c>
      <c r="D173" s="845" t="s">
        <v>278</v>
      </c>
      <c r="E173" s="615"/>
      <c r="F173" s="65">
        <f t="shared" ref="F173:L173" si="25">COUNTIF(F6:F167,"2300-*")</f>
        <v>8</v>
      </c>
      <c r="G173" s="65">
        <f t="shared" si="25"/>
        <v>9</v>
      </c>
      <c r="H173" s="65">
        <f t="shared" si="25"/>
        <v>9</v>
      </c>
      <c r="I173" s="65">
        <f t="shared" si="25"/>
        <v>9</v>
      </c>
      <c r="J173" s="65">
        <f t="shared" si="25"/>
        <v>9</v>
      </c>
      <c r="K173" s="65">
        <f t="shared" si="25"/>
        <v>9</v>
      </c>
      <c r="L173" s="65">
        <f t="shared" si="25"/>
        <v>9</v>
      </c>
      <c r="O173" s="89"/>
    </row>
    <row r="174" spans="3:15" ht="14.1" customHeight="1">
      <c r="C174" s="84"/>
      <c r="D174" s="556"/>
      <c r="E174" s="615"/>
      <c r="F174" s="65"/>
      <c r="G174" s="565"/>
      <c r="H174" s="565"/>
      <c r="I174" s="565"/>
      <c r="J174" s="565"/>
      <c r="K174" s="565"/>
      <c r="L174" s="565"/>
      <c r="O174" s="89"/>
    </row>
    <row r="175" spans="3:15" ht="14.1" customHeight="1">
      <c r="C175" s="50"/>
      <c r="D175" s="556" t="s">
        <v>489</v>
      </c>
      <c r="E175" s="615"/>
      <c r="G175" s="566"/>
      <c r="H175" s="566"/>
      <c r="I175" s="566"/>
      <c r="J175" s="566"/>
      <c r="K175" s="566"/>
      <c r="L175" s="566"/>
      <c r="O175" s="89"/>
    </row>
    <row r="176" spans="3:15" ht="14.1" customHeight="1">
      <c r="C176" s="50"/>
      <c r="D176" s="139" t="s">
        <v>157</v>
      </c>
      <c r="E176" s="615"/>
      <c r="F176" s="857"/>
      <c r="G176" s="857"/>
      <c r="H176" s="858"/>
      <c r="I176" s="857"/>
      <c r="J176" s="857"/>
      <c r="K176" s="857"/>
      <c r="L176" s="857"/>
      <c r="O176" s="89"/>
    </row>
    <row r="177" spans="3:15" ht="14.1" customHeight="1">
      <c r="C177" s="50"/>
      <c r="D177" s="182" t="s">
        <v>159</v>
      </c>
      <c r="E177" s="615">
        <v>628440</v>
      </c>
      <c r="F177" s="857"/>
      <c r="G177" s="857"/>
      <c r="H177" s="859" t="s">
        <v>279</v>
      </c>
      <c r="I177" s="857"/>
      <c r="J177" s="857"/>
      <c r="K177" s="857"/>
      <c r="L177" s="857"/>
      <c r="O177" s="89"/>
    </row>
    <row r="178" spans="3:15" ht="14.1" customHeight="1">
      <c r="C178" s="50"/>
      <c r="D178" s="183" t="s">
        <v>164</v>
      </c>
      <c r="E178" s="615">
        <v>653976</v>
      </c>
      <c r="F178" s="857"/>
      <c r="G178" s="857"/>
      <c r="H178" s="859" t="s">
        <v>279</v>
      </c>
      <c r="I178" s="857"/>
      <c r="J178" s="857"/>
      <c r="K178" s="857"/>
      <c r="L178" s="857"/>
      <c r="O178" s="89"/>
    </row>
    <row r="179" spans="3:15" ht="14.1" customHeight="1">
      <c r="C179" s="50"/>
      <c r="D179" s="184" t="s">
        <v>166</v>
      </c>
      <c r="E179" s="615">
        <v>654362</v>
      </c>
      <c r="F179" s="857"/>
      <c r="G179" s="857"/>
      <c r="H179" s="859" t="s">
        <v>279</v>
      </c>
      <c r="I179" s="857"/>
      <c r="J179" s="857"/>
      <c r="K179" s="857"/>
      <c r="L179" s="857"/>
      <c r="O179" s="89"/>
    </row>
    <row r="180" spans="3:15" ht="14.1" customHeight="1">
      <c r="C180" s="50"/>
      <c r="D180" s="184" t="s">
        <v>168</v>
      </c>
      <c r="E180" s="615">
        <v>615829</v>
      </c>
      <c r="F180" s="857"/>
      <c r="G180" s="857"/>
      <c r="H180" s="859" t="s">
        <v>280</v>
      </c>
      <c r="I180" s="857"/>
      <c r="J180" s="857"/>
      <c r="K180" s="857"/>
      <c r="L180" s="857"/>
      <c r="O180" s="89"/>
    </row>
    <row r="181" spans="3:15" ht="14.1" customHeight="1">
      <c r="C181" s="50"/>
      <c r="D181" s="850" t="s">
        <v>170</v>
      </c>
      <c r="E181" s="615">
        <v>619567</v>
      </c>
      <c r="F181" s="857"/>
      <c r="G181" s="857"/>
      <c r="H181" s="859" t="s">
        <v>280</v>
      </c>
      <c r="I181" s="857"/>
      <c r="J181" s="857"/>
      <c r="K181" s="857"/>
      <c r="L181" s="857"/>
      <c r="O181" s="89"/>
    </row>
    <row r="182" spans="3:15" ht="14.1" customHeight="1">
      <c r="C182" s="50"/>
      <c r="D182" s="183" t="s">
        <v>171</v>
      </c>
      <c r="E182" s="615">
        <v>626157</v>
      </c>
      <c r="F182" s="857"/>
      <c r="G182" s="857"/>
      <c r="H182" s="859" t="s">
        <v>281</v>
      </c>
      <c r="I182" s="857"/>
      <c r="J182" s="857"/>
      <c r="K182" s="857"/>
      <c r="L182" s="857"/>
      <c r="O182" s="89"/>
    </row>
    <row r="183" spans="3:15" ht="14.1" customHeight="1">
      <c r="C183" s="50"/>
      <c r="D183" s="185" t="s">
        <v>173</v>
      </c>
      <c r="E183" s="615">
        <v>645122</v>
      </c>
      <c r="F183" s="857"/>
      <c r="G183" s="857"/>
      <c r="H183" s="859" t="s">
        <v>281</v>
      </c>
      <c r="I183" s="857"/>
      <c r="J183" s="857"/>
      <c r="K183" s="857"/>
      <c r="L183" s="857"/>
      <c r="O183" s="89"/>
    </row>
    <row r="184" spans="3:15" ht="14.1" customHeight="1">
      <c r="C184" s="50"/>
      <c r="D184" s="182" t="s">
        <v>174</v>
      </c>
      <c r="E184" s="642"/>
      <c r="F184" s="857"/>
      <c r="G184" s="857"/>
      <c r="H184" s="859" t="s">
        <v>282</v>
      </c>
      <c r="I184" s="857"/>
      <c r="J184" s="857"/>
      <c r="K184" s="857"/>
      <c r="L184" s="857"/>
      <c r="O184" s="89"/>
    </row>
    <row r="185" spans="3:15" ht="14.1" customHeight="1" thickBot="1">
      <c r="C185" s="50"/>
      <c r="D185" s="197" t="s">
        <v>175</v>
      </c>
      <c r="E185" s="615">
        <v>624174</v>
      </c>
      <c r="F185" s="857"/>
      <c r="G185" s="857"/>
      <c r="H185" s="860" t="s">
        <v>283</v>
      </c>
      <c r="I185" s="857"/>
      <c r="J185" s="857"/>
      <c r="K185" s="857"/>
      <c r="L185" s="857"/>
      <c r="O185" s="89"/>
    </row>
    <row r="186" spans="3:15" ht="14.1" customHeight="1">
      <c r="C186" s="50"/>
      <c r="D186" s="70" t="s">
        <v>176</v>
      </c>
      <c r="E186" s="615"/>
      <c r="F186" s="857"/>
      <c r="G186" s="857"/>
      <c r="H186" s="858"/>
      <c r="I186" s="857"/>
      <c r="J186" s="857"/>
      <c r="K186" s="857"/>
      <c r="L186" s="857"/>
      <c r="O186" s="89"/>
    </row>
    <row r="187" spans="3:15" ht="14.1" customHeight="1">
      <c r="C187" s="50"/>
      <c r="D187" s="546" t="s">
        <v>177</v>
      </c>
      <c r="E187" s="615">
        <v>637990</v>
      </c>
      <c r="F187" s="857"/>
      <c r="G187" s="857"/>
      <c r="H187" s="859" t="s">
        <v>279</v>
      </c>
      <c r="I187" s="857"/>
      <c r="J187" s="857"/>
      <c r="K187" s="857"/>
      <c r="L187" s="857"/>
      <c r="O187" s="89"/>
    </row>
    <row r="188" spans="3:15" ht="14.1" customHeight="1">
      <c r="C188" s="50"/>
      <c r="D188" s="184" t="s">
        <v>179</v>
      </c>
      <c r="E188" s="615">
        <v>652867</v>
      </c>
      <c r="F188" s="857"/>
      <c r="G188" s="857"/>
      <c r="H188" s="859" t="s">
        <v>279</v>
      </c>
      <c r="I188" s="857"/>
      <c r="J188" s="857"/>
      <c r="K188" s="857"/>
      <c r="L188" s="857"/>
      <c r="O188" s="89"/>
    </row>
    <row r="189" spans="3:15" ht="14.1" customHeight="1">
      <c r="C189" s="50"/>
      <c r="D189" s="547" t="s">
        <v>180</v>
      </c>
      <c r="E189" s="615">
        <v>638831</v>
      </c>
      <c r="F189" s="857"/>
      <c r="G189" s="857"/>
      <c r="H189" s="859" t="s">
        <v>279</v>
      </c>
      <c r="I189" s="857"/>
      <c r="J189" s="857"/>
      <c r="K189" s="857"/>
      <c r="L189" s="857"/>
      <c r="O189" s="89"/>
    </row>
    <row r="190" spans="3:15" ht="14.1" customHeight="1">
      <c r="C190" s="50"/>
      <c r="D190" s="548" t="s">
        <v>182</v>
      </c>
      <c r="E190" s="615">
        <v>631314</v>
      </c>
      <c r="F190" s="857"/>
      <c r="G190" s="857"/>
      <c r="H190" s="859" t="s">
        <v>281</v>
      </c>
      <c r="I190" s="857"/>
      <c r="J190" s="857"/>
      <c r="K190" s="857"/>
      <c r="L190" s="857"/>
      <c r="O190" s="89"/>
    </row>
    <row r="191" spans="3:15" ht="14.1" customHeight="1">
      <c r="C191" s="50"/>
      <c r="D191" s="548" t="s">
        <v>185</v>
      </c>
      <c r="E191" s="615">
        <v>631732</v>
      </c>
      <c r="F191" s="857"/>
      <c r="G191" s="857"/>
      <c r="H191" s="859" t="s">
        <v>281</v>
      </c>
      <c r="I191" s="857"/>
      <c r="J191" s="857"/>
      <c r="K191" s="857"/>
      <c r="L191" s="857"/>
      <c r="O191" s="89"/>
    </row>
    <row r="192" spans="3:15" ht="14.1" customHeight="1">
      <c r="C192" s="50"/>
      <c r="D192" s="549" t="s">
        <v>186</v>
      </c>
      <c r="E192" s="615">
        <v>634876</v>
      </c>
      <c r="F192" s="857"/>
      <c r="G192" s="857"/>
      <c r="H192" s="859" t="s">
        <v>281</v>
      </c>
      <c r="I192" s="857"/>
      <c r="J192" s="857"/>
      <c r="K192" s="857"/>
      <c r="L192" s="857"/>
      <c r="O192" s="89"/>
    </row>
    <row r="193" spans="3:15" ht="14.1" customHeight="1">
      <c r="C193" s="50"/>
      <c r="D193" s="846" t="s">
        <v>189</v>
      </c>
      <c r="E193" s="615"/>
      <c r="F193" s="857"/>
      <c r="G193" s="857"/>
      <c r="H193" s="858"/>
      <c r="I193" s="857"/>
      <c r="J193" s="857"/>
      <c r="K193" s="857"/>
      <c r="L193" s="857"/>
      <c r="O193" s="89"/>
    </row>
    <row r="194" spans="3:15" ht="14.1" customHeight="1">
      <c r="C194" s="50"/>
      <c r="D194" s="188" t="s">
        <v>190</v>
      </c>
      <c r="E194" s="615">
        <v>648620</v>
      </c>
      <c r="F194" s="857"/>
      <c r="G194" s="857"/>
      <c r="H194" s="859" t="s">
        <v>279</v>
      </c>
      <c r="I194" s="857"/>
      <c r="J194" s="857"/>
      <c r="K194" s="857"/>
      <c r="L194" s="857"/>
      <c r="O194" s="89"/>
    </row>
    <row r="195" spans="3:15" ht="14.1" customHeight="1">
      <c r="C195" s="50"/>
      <c r="D195" s="189" t="s">
        <v>193</v>
      </c>
      <c r="E195" s="615">
        <v>652357</v>
      </c>
      <c r="F195" s="857"/>
      <c r="G195" s="857"/>
      <c r="H195" s="859" t="s">
        <v>279</v>
      </c>
      <c r="I195" s="857"/>
      <c r="J195" s="857"/>
      <c r="K195" s="857"/>
      <c r="L195" s="857"/>
      <c r="O195" s="89"/>
    </row>
    <row r="196" spans="3:15" ht="14.1" customHeight="1">
      <c r="C196" s="50"/>
      <c r="D196" s="551" t="s">
        <v>196</v>
      </c>
      <c r="E196" s="642"/>
      <c r="F196" s="857"/>
      <c r="G196" s="857"/>
      <c r="H196" s="859" t="s">
        <v>279</v>
      </c>
      <c r="I196" s="857"/>
      <c r="J196" s="857"/>
      <c r="K196" s="857"/>
      <c r="L196" s="857"/>
      <c r="O196" s="89"/>
    </row>
    <row r="197" spans="3:15" ht="14.1" customHeight="1">
      <c r="C197" s="50"/>
      <c r="D197" s="189" t="s">
        <v>198</v>
      </c>
      <c r="E197" s="615">
        <v>655089</v>
      </c>
      <c r="F197" s="857"/>
      <c r="G197" s="857"/>
      <c r="H197" s="859" t="s">
        <v>279</v>
      </c>
      <c r="I197" s="857"/>
      <c r="J197" s="857"/>
      <c r="K197" s="857"/>
      <c r="L197" s="857"/>
      <c r="O197" s="89"/>
    </row>
    <row r="198" spans="3:15" ht="14.1" customHeight="1">
      <c r="C198" s="50"/>
      <c r="D198" s="190" t="s">
        <v>199</v>
      </c>
      <c r="E198" s="615">
        <v>649364</v>
      </c>
      <c r="F198" s="857"/>
      <c r="G198" s="857"/>
      <c r="H198" s="859" t="s">
        <v>279</v>
      </c>
      <c r="I198" s="857"/>
      <c r="J198" s="857"/>
      <c r="K198" s="857"/>
      <c r="L198" s="857"/>
      <c r="O198" s="89"/>
    </row>
    <row r="199" spans="3:15" ht="14.1" customHeight="1">
      <c r="C199" s="50"/>
      <c r="D199" s="191" t="s">
        <v>200</v>
      </c>
      <c r="E199" s="615">
        <v>700872</v>
      </c>
      <c r="F199" s="857"/>
      <c r="G199" s="857"/>
      <c r="H199" s="859" t="s">
        <v>279</v>
      </c>
      <c r="I199" s="857"/>
      <c r="J199" s="857"/>
      <c r="K199" s="857"/>
      <c r="L199" s="857"/>
      <c r="O199" s="89"/>
    </row>
    <row r="200" spans="3:15" ht="14.1" customHeight="1">
      <c r="C200" s="50"/>
      <c r="D200" s="552" t="s">
        <v>202</v>
      </c>
      <c r="E200" s="642"/>
      <c r="F200" s="857"/>
      <c r="G200" s="857"/>
      <c r="H200" s="859" t="s">
        <v>279</v>
      </c>
      <c r="I200" s="857"/>
      <c r="J200" s="857"/>
      <c r="K200" s="857"/>
      <c r="L200" s="857"/>
      <c r="O200" s="89"/>
    </row>
    <row r="201" spans="3:15" ht="14.1" customHeight="1">
      <c r="C201" s="50"/>
      <c r="D201" s="192" t="s">
        <v>204</v>
      </c>
      <c r="E201" s="615">
        <v>652868</v>
      </c>
      <c r="F201" s="857"/>
      <c r="G201" s="857"/>
      <c r="H201" s="859" t="s">
        <v>279</v>
      </c>
      <c r="I201" s="857"/>
      <c r="J201" s="857"/>
      <c r="K201" s="857"/>
      <c r="L201" s="857"/>
      <c r="O201" s="89"/>
    </row>
    <row r="202" spans="3:15" ht="14.1" customHeight="1">
      <c r="C202" s="50"/>
      <c r="D202" s="189" t="s">
        <v>205</v>
      </c>
      <c r="E202" s="615">
        <v>652998</v>
      </c>
      <c r="F202" s="857"/>
      <c r="G202" s="857"/>
      <c r="H202" s="859" t="s">
        <v>279</v>
      </c>
      <c r="I202" s="857"/>
      <c r="J202" s="857"/>
      <c r="K202" s="857"/>
      <c r="L202" s="857"/>
      <c r="O202" s="89"/>
    </row>
    <row r="203" spans="3:15" ht="14.1" customHeight="1">
      <c r="C203" s="50"/>
      <c r="D203" s="193" t="s">
        <v>206</v>
      </c>
      <c r="E203" s="642"/>
      <c r="F203" s="857"/>
      <c r="G203" s="857"/>
      <c r="H203" s="859" t="s">
        <v>279</v>
      </c>
      <c r="I203" s="857"/>
      <c r="J203" s="857"/>
      <c r="K203" s="857"/>
      <c r="L203" s="857"/>
      <c r="O203" s="89"/>
    </row>
    <row r="204" spans="3:15" ht="14.1" customHeight="1">
      <c r="C204" s="50"/>
      <c r="D204" s="551" t="s">
        <v>207</v>
      </c>
      <c r="E204" s="615">
        <v>654981</v>
      </c>
      <c r="F204" s="857"/>
      <c r="G204" s="857"/>
      <c r="H204" s="859" t="s">
        <v>279</v>
      </c>
      <c r="I204" s="857"/>
      <c r="J204" s="857"/>
      <c r="K204" s="857"/>
      <c r="L204" s="857"/>
      <c r="O204" s="89"/>
    </row>
    <row r="205" spans="3:15" ht="14.1" customHeight="1">
      <c r="C205" s="50"/>
      <c r="D205" s="553" t="s">
        <v>208</v>
      </c>
      <c r="E205" s="615">
        <v>703795</v>
      </c>
      <c r="F205" s="857"/>
      <c r="G205" s="857"/>
      <c r="H205" s="859" t="s">
        <v>284</v>
      </c>
      <c r="I205" s="857"/>
      <c r="J205" s="857"/>
      <c r="K205" s="857"/>
      <c r="L205" s="857"/>
      <c r="O205" s="89"/>
    </row>
    <row r="206" spans="3:15" ht="14.1" customHeight="1">
      <c r="C206" s="50"/>
      <c r="D206" s="551" t="s">
        <v>209</v>
      </c>
      <c r="E206" s="615">
        <v>652364</v>
      </c>
      <c r="F206" s="857"/>
      <c r="G206" s="857"/>
      <c r="H206" s="859" t="s">
        <v>280</v>
      </c>
      <c r="I206" s="857"/>
      <c r="J206" s="857"/>
      <c r="K206" s="857"/>
      <c r="L206" s="857"/>
      <c r="O206" s="89"/>
    </row>
    <row r="207" spans="3:15" ht="14.1" customHeight="1">
      <c r="C207" s="50"/>
      <c r="D207" s="551" t="s">
        <v>210</v>
      </c>
      <c r="E207" s="615">
        <v>644433</v>
      </c>
      <c r="F207" s="857"/>
      <c r="G207" s="857"/>
      <c r="H207" s="859" t="s">
        <v>280</v>
      </c>
      <c r="I207" s="857"/>
      <c r="J207" s="857"/>
      <c r="K207" s="857"/>
      <c r="L207" s="857"/>
      <c r="O207" s="89"/>
    </row>
    <row r="208" spans="3:15" ht="14.1" customHeight="1">
      <c r="C208" s="50"/>
      <c r="D208" s="551" t="s">
        <v>211</v>
      </c>
      <c r="E208" s="615">
        <v>650602</v>
      </c>
      <c r="F208" s="857"/>
      <c r="G208" s="857"/>
      <c r="H208" s="859" t="s">
        <v>280</v>
      </c>
      <c r="I208" s="857"/>
      <c r="J208" s="857"/>
      <c r="K208" s="857"/>
      <c r="L208" s="857"/>
      <c r="O208" s="89"/>
    </row>
    <row r="209" spans="3:15" ht="14.1" customHeight="1">
      <c r="C209" s="50"/>
      <c r="D209" s="552" t="s">
        <v>212</v>
      </c>
      <c r="E209" s="642"/>
      <c r="F209" s="857"/>
      <c r="G209" s="857"/>
      <c r="H209" s="859" t="s">
        <v>280</v>
      </c>
      <c r="I209" s="857"/>
      <c r="J209" s="857"/>
      <c r="K209" s="857"/>
      <c r="L209" s="857"/>
      <c r="O209" s="89"/>
    </row>
    <row r="210" spans="3:15" ht="14.1" customHeight="1">
      <c r="C210" s="50"/>
      <c r="D210" s="194" t="s">
        <v>214</v>
      </c>
      <c r="E210" s="615">
        <v>636733</v>
      </c>
      <c r="F210" s="857"/>
      <c r="G210" s="857"/>
      <c r="H210" s="859" t="s">
        <v>280</v>
      </c>
      <c r="I210" s="857"/>
      <c r="J210" s="857"/>
      <c r="K210" s="857"/>
      <c r="L210" s="857"/>
      <c r="O210" s="89"/>
    </row>
    <row r="211" spans="3:15" ht="14.1" customHeight="1">
      <c r="C211" s="50"/>
      <c r="D211" s="192" t="s">
        <v>216</v>
      </c>
      <c r="E211" s="615">
        <v>637770</v>
      </c>
      <c r="F211" s="857"/>
      <c r="G211" s="857"/>
      <c r="H211" s="859" t="s">
        <v>280</v>
      </c>
      <c r="I211" s="857"/>
      <c r="J211" s="857"/>
      <c r="K211" s="857"/>
      <c r="L211" s="857"/>
      <c r="O211" s="89"/>
    </row>
    <row r="212" spans="3:15" ht="14.1" customHeight="1">
      <c r="C212" s="50"/>
      <c r="D212" s="56"/>
      <c r="E212" s="82"/>
      <c r="G212" s="566"/>
      <c r="H212" s="566"/>
      <c r="I212" s="566"/>
      <c r="J212" s="566"/>
      <c r="K212" s="566"/>
      <c r="L212" s="566"/>
      <c r="O212" s="89"/>
    </row>
    <row r="213" spans="3:15" ht="14.1" customHeight="1">
      <c r="C213" s="564"/>
      <c r="D213" s="564"/>
      <c r="E213" s="82"/>
      <c r="G213" s="566"/>
      <c r="H213" s="566"/>
      <c r="I213" s="566"/>
      <c r="J213" s="566"/>
      <c r="K213" s="566"/>
      <c r="L213" s="566"/>
      <c r="O213" s="89"/>
    </row>
    <row r="214" spans="3:15" ht="14.1" customHeight="1">
      <c r="C214" s="564"/>
      <c r="D214" s="564"/>
      <c r="E214" s="82"/>
      <c r="G214" s="566"/>
      <c r="H214" s="566"/>
      <c r="I214" s="566"/>
      <c r="J214" s="566"/>
      <c r="K214" s="566"/>
      <c r="L214" s="566"/>
      <c r="O214" s="89"/>
    </row>
    <row r="215" spans="3:15" ht="14.1" customHeight="1">
      <c r="D215" s="56"/>
      <c r="E215" s="82"/>
      <c r="G215" s="566"/>
      <c r="H215" s="566"/>
      <c r="I215" s="566"/>
      <c r="J215" s="566"/>
      <c r="K215" s="566"/>
      <c r="L215" s="566"/>
      <c r="O215" s="89"/>
    </row>
    <row r="216" spans="3:15" ht="14.1" customHeight="1">
      <c r="C216" s="564"/>
      <c r="D216" s="564"/>
      <c r="E216" s="82"/>
      <c r="G216" s="566"/>
      <c r="H216" s="566"/>
      <c r="I216" s="566"/>
      <c r="J216" s="566"/>
      <c r="K216" s="566"/>
      <c r="L216" s="566"/>
      <c r="O216" s="89"/>
    </row>
    <row r="217" spans="3:15" ht="14.1" customHeight="1">
      <c r="C217" s="564"/>
      <c r="D217" s="564"/>
      <c r="E217" s="82"/>
      <c r="G217" s="566"/>
      <c r="H217" s="566"/>
      <c r="I217" s="566"/>
      <c r="J217" s="566"/>
      <c r="K217" s="566"/>
      <c r="L217" s="566"/>
      <c r="O217" s="89"/>
    </row>
    <row r="218" spans="3:15" ht="14.1" customHeight="1">
      <c r="D218" s="56"/>
      <c r="E218" s="82"/>
      <c r="G218" s="566"/>
      <c r="H218" s="566"/>
      <c r="I218" s="566"/>
      <c r="J218" s="566"/>
      <c r="K218" s="566"/>
      <c r="L218" s="566"/>
      <c r="O218" s="89"/>
    </row>
    <row r="219" spans="3:15" ht="14.1" customHeight="1">
      <c r="C219" s="564"/>
      <c r="D219" s="564"/>
      <c r="E219" s="82"/>
      <c r="G219" s="566"/>
      <c r="H219" s="566"/>
      <c r="I219" s="566"/>
      <c r="J219" s="566"/>
      <c r="K219" s="566"/>
      <c r="L219" s="566"/>
      <c r="O219" s="89"/>
    </row>
    <row r="220" spans="3:15" ht="14.1" customHeight="1">
      <c r="C220" s="564"/>
      <c r="D220" s="564"/>
      <c r="E220" s="82"/>
      <c r="G220" s="566"/>
      <c r="H220" s="566"/>
      <c r="I220" s="566"/>
      <c r="J220" s="566"/>
      <c r="K220" s="566"/>
      <c r="L220" s="566"/>
      <c r="O220" s="89"/>
    </row>
    <row r="221" spans="3:15" ht="14.1" customHeight="1">
      <c r="D221" s="56"/>
      <c r="E221" s="82"/>
      <c r="G221" s="566"/>
      <c r="H221" s="566"/>
      <c r="I221" s="566"/>
      <c r="J221" s="566"/>
      <c r="K221" s="566"/>
      <c r="L221" s="566"/>
      <c r="O221" s="89"/>
    </row>
    <row r="222" spans="3:15" ht="14.1" customHeight="1">
      <c r="C222" s="564"/>
      <c r="D222" s="564"/>
      <c r="E222" s="82"/>
      <c r="G222" s="566"/>
      <c r="H222" s="566"/>
      <c r="I222" s="566"/>
      <c r="J222" s="566"/>
      <c r="K222" s="566"/>
      <c r="L222" s="566"/>
      <c r="O222" s="89"/>
    </row>
    <row r="223" spans="3:15" ht="14.1" customHeight="1">
      <c r="C223" s="564"/>
      <c r="D223" s="564"/>
      <c r="E223" s="82"/>
      <c r="F223" s="65"/>
      <c r="G223" s="65"/>
      <c r="H223" s="65"/>
      <c r="I223" s="65"/>
      <c r="J223" s="65"/>
      <c r="K223" s="65"/>
      <c r="L223" s="65"/>
      <c r="O223" s="89"/>
    </row>
    <row r="224" spans="3:15" ht="14.1" customHeight="1">
      <c r="D224" s="56"/>
      <c r="E224" s="82"/>
      <c r="F224" s="65"/>
      <c r="G224" s="65"/>
      <c r="H224" s="65"/>
      <c r="I224" s="65"/>
      <c r="J224" s="65"/>
      <c r="K224" s="65"/>
      <c r="L224" s="65"/>
      <c r="O224" s="89"/>
    </row>
    <row r="225" spans="3:15" ht="14.1" customHeight="1">
      <c r="C225" s="564"/>
      <c r="D225" s="564"/>
      <c r="E225" s="82"/>
      <c r="F225" s="65"/>
      <c r="G225" s="65"/>
      <c r="H225" s="65"/>
      <c r="I225" s="65"/>
      <c r="J225" s="65"/>
      <c r="K225" s="65"/>
      <c r="L225" s="65"/>
      <c r="O225" s="89"/>
    </row>
    <row r="226" spans="3:15" ht="14.1" customHeight="1">
      <c r="C226" s="564"/>
      <c r="D226" s="564"/>
      <c r="E226" s="82"/>
      <c r="F226" s="65"/>
      <c r="G226" s="65"/>
      <c r="H226" s="65"/>
      <c r="I226" s="65"/>
      <c r="J226" s="65"/>
      <c r="K226" s="65"/>
      <c r="L226" s="65"/>
      <c r="O226" s="89"/>
    </row>
    <row r="227" spans="3:15" ht="14.1" customHeight="1">
      <c r="D227" s="56"/>
      <c r="E227" s="82"/>
      <c r="F227" s="65"/>
      <c r="G227" s="65"/>
      <c r="H227" s="65"/>
      <c r="I227" s="65"/>
      <c r="J227" s="65"/>
      <c r="K227" s="65"/>
      <c r="L227" s="65"/>
      <c r="O227" s="89"/>
    </row>
    <row r="228" spans="3:15" ht="14.1" customHeight="1">
      <c r="C228" s="564"/>
      <c r="D228" s="564"/>
      <c r="E228" s="82"/>
      <c r="F228" s="65"/>
      <c r="G228" s="565"/>
      <c r="H228" s="565"/>
      <c r="I228" s="565"/>
      <c r="J228" s="565"/>
      <c r="K228" s="565"/>
      <c r="L228" s="565"/>
      <c r="O228" s="89"/>
    </row>
    <row r="229" spans="3:15" ht="14.1" customHeight="1">
      <c r="C229" s="564"/>
      <c r="D229" s="564"/>
      <c r="E229" s="82"/>
      <c r="G229" s="66"/>
      <c r="H229" s="66"/>
      <c r="I229" s="66"/>
      <c r="J229" s="66"/>
      <c r="K229" s="566"/>
      <c r="L229" s="566"/>
      <c r="O229" s="89"/>
    </row>
    <row r="230" spans="3:15" ht="14.1" customHeight="1">
      <c r="D230" s="56"/>
      <c r="E230" s="82"/>
      <c r="G230" s="66"/>
      <c r="H230" s="66"/>
      <c r="I230" s="66"/>
      <c r="J230" s="66"/>
      <c r="K230" s="66"/>
      <c r="L230" s="66"/>
      <c r="O230" s="89"/>
    </row>
    <row r="231" spans="3:15" ht="14.1" customHeight="1">
      <c r="C231" s="564"/>
      <c r="D231" s="564"/>
      <c r="E231" s="82"/>
      <c r="G231" s="66"/>
      <c r="H231" s="66"/>
      <c r="I231" s="66"/>
      <c r="J231" s="66"/>
      <c r="K231" s="66"/>
      <c r="L231" s="66"/>
      <c r="O231" s="89"/>
    </row>
    <row r="232" spans="3:15" ht="14.1" customHeight="1">
      <c r="C232" s="564"/>
      <c r="D232" s="564"/>
      <c r="E232" s="82"/>
      <c r="G232" s="66"/>
      <c r="H232" s="66"/>
      <c r="I232" s="66"/>
      <c r="J232" s="66"/>
      <c r="K232" s="66"/>
      <c r="L232" s="66"/>
      <c r="O232" s="89"/>
    </row>
    <row r="233" spans="3:15" ht="14.1" customHeight="1">
      <c r="D233" s="56"/>
      <c r="E233" s="82"/>
      <c r="G233" s="66"/>
      <c r="H233" s="66"/>
      <c r="I233" s="66"/>
      <c r="J233" s="66"/>
      <c r="K233" s="66"/>
      <c r="L233" s="66"/>
      <c r="O233" s="89"/>
    </row>
    <row r="234" spans="3:15" ht="14.1" customHeight="1">
      <c r="C234" s="564"/>
      <c r="D234" s="564"/>
      <c r="E234" s="82"/>
      <c r="G234" s="66"/>
      <c r="H234" s="66"/>
      <c r="I234" s="66"/>
      <c r="J234" s="66"/>
      <c r="K234" s="66"/>
      <c r="L234" s="66"/>
      <c r="O234" s="567"/>
    </row>
    <row r="235" spans="3:15" ht="14.1" customHeight="1">
      <c r="C235" s="564"/>
      <c r="D235" s="564"/>
      <c r="E235" s="82"/>
      <c r="G235" s="66"/>
      <c r="H235" s="66"/>
      <c r="I235" s="66"/>
      <c r="J235" s="66"/>
      <c r="K235" s="66"/>
      <c r="L235" s="66"/>
      <c r="O235" s="567"/>
    </row>
    <row r="236" spans="3:15" ht="14.1" customHeight="1">
      <c r="D236" s="56"/>
      <c r="E236" s="82"/>
      <c r="G236" s="66"/>
      <c r="H236" s="66"/>
      <c r="I236" s="66"/>
      <c r="J236" s="66"/>
      <c r="K236" s="66"/>
      <c r="L236" s="66"/>
      <c r="O236" s="567"/>
    </row>
    <row r="237" spans="3:15" ht="14.1" customHeight="1">
      <c r="C237" s="564"/>
      <c r="D237" s="564"/>
      <c r="E237" s="82"/>
      <c r="G237" s="73"/>
      <c r="H237" s="66"/>
      <c r="I237" s="66"/>
      <c r="J237" s="66"/>
      <c r="K237" s="66"/>
      <c r="L237" s="66"/>
      <c r="O237" s="567"/>
    </row>
    <row r="238" spans="3:15" ht="14.1" customHeight="1">
      <c r="C238" s="564"/>
      <c r="D238" s="564"/>
      <c r="E238" s="82"/>
      <c r="G238" s="66"/>
      <c r="H238" s="66"/>
      <c r="I238" s="66"/>
      <c r="J238" s="66"/>
      <c r="K238" s="66"/>
      <c r="L238" s="66"/>
      <c r="O238" s="567"/>
    </row>
    <row r="239" spans="3:15" ht="14.1" customHeight="1">
      <c r="D239" s="56"/>
      <c r="E239" s="82"/>
      <c r="G239" s="66"/>
      <c r="H239" s="66"/>
      <c r="I239" s="66"/>
      <c r="J239" s="66"/>
      <c r="K239" s="66"/>
      <c r="L239" s="66"/>
      <c r="O239" s="567"/>
    </row>
    <row r="240" spans="3:15" ht="14.1" customHeight="1">
      <c r="C240" s="564"/>
      <c r="D240" s="564"/>
      <c r="E240" s="82"/>
      <c r="G240" s="74"/>
      <c r="H240" s="66"/>
      <c r="I240" s="66"/>
      <c r="J240" s="66"/>
      <c r="K240" s="66"/>
      <c r="L240" s="66"/>
      <c r="O240" s="567"/>
    </row>
    <row r="241" spans="3:12" ht="14.1" customHeight="1">
      <c r="C241" s="564"/>
      <c r="D241" s="564"/>
      <c r="E241" s="82"/>
      <c r="G241" s="66"/>
      <c r="H241" s="66"/>
      <c r="I241" s="66"/>
      <c r="J241" s="66"/>
      <c r="K241" s="66"/>
      <c r="L241" s="66"/>
    </row>
    <row r="242" spans="3:12" ht="14.1" customHeight="1">
      <c r="D242" s="56"/>
      <c r="E242" s="82"/>
      <c r="G242" s="66"/>
      <c r="H242" s="66"/>
      <c r="I242" s="66"/>
      <c r="J242" s="66"/>
      <c r="K242" s="66"/>
      <c r="L242" s="66"/>
    </row>
    <row r="243" spans="3:12" ht="14.1" customHeight="1">
      <c r="C243" s="564"/>
      <c r="D243" s="564"/>
      <c r="E243" s="82"/>
      <c r="G243" s="566"/>
      <c r="H243" s="566"/>
      <c r="I243" s="566"/>
      <c r="J243" s="566"/>
      <c r="K243" s="566"/>
      <c r="L243" s="566"/>
    </row>
    <row r="244" spans="3:12" ht="14.1" customHeight="1">
      <c r="C244" s="564"/>
      <c r="D244" s="564"/>
      <c r="E244" s="82"/>
      <c r="G244" s="566"/>
      <c r="H244" s="566"/>
      <c r="I244" s="566"/>
      <c r="J244" s="566"/>
      <c r="K244" s="566"/>
      <c r="L244" s="566"/>
    </row>
    <row r="245" spans="3:12" ht="14.1" customHeight="1">
      <c r="D245" s="56"/>
      <c r="E245" s="82"/>
      <c r="G245" s="566"/>
      <c r="H245" s="566"/>
      <c r="I245" s="566"/>
      <c r="J245" s="566"/>
      <c r="K245" s="566"/>
      <c r="L245" s="566"/>
    </row>
    <row r="246" spans="3:12" ht="14.1" customHeight="1">
      <c r="C246" s="564"/>
      <c r="D246" s="564"/>
      <c r="E246" s="82"/>
      <c r="G246" s="566"/>
      <c r="H246" s="566"/>
      <c r="I246" s="566"/>
      <c r="J246" s="566"/>
      <c r="K246" s="566"/>
      <c r="L246" s="566"/>
    </row>
    <row r="247" spans="3:12" ht="14.1" customHeight="1">
      <c r="C247" s="564"/>
      <c r="D247" s="564"/>
      <c r="E247" s="82"/>
      <c r="G247" s="566"/>
      <c r="H247" s="566"/>
      <c r="I247" s="566"/>
      <c r="J247" s="566"/>
      <c r="K247" s="566"/>
      <c r="L247" s="566"/>
    </row>
    <row r="248" spans="3:12" ht="14.1" customHeight="1">
      <c r="D248" s="56"/>
      <c r="E248" s="82"/>
      <c r="G248" s="566"/>
      <c r="H248" s="566"/>
      <c r="I248" s="566"/>
      <c r="J248" s="566"/>
      <c r="K248" s="566"/>
      <c r="L248" s="566"/>
    </row>
    <row r="249" spans="3:12" ht="14.1" customHeight="1">
      <c r="C249" s="564"/>
      <c r="D249" s="564"/>
      <c r="E249" s="82"/>
      <c r="G249" s="566"/>
      <c r="H249" s="566"/>
      <c r="I249" s="566"/>
      <c r="J249" s="566"/>
      <c r="K249" s="566"/>
      <c r="L249" s="566"/>
    </row>
    <row r="250" spans="3:12" ht="14.1" customHeight="1">
      <c r="C250" s="564"/>
      <c r="D250" s="564"/>
      <c r="E250" s="82"/>
      <c r="G250" s="566"/>
      <c r="H250" s="566"/>
      <c r="I250" s="566"/>
      <c r="J250" s="566"/>
      <c r="K250" s="566"/>
      <c r="L250" s="566"/>
    </row>
    <row r="251" spans="3:12" ht="14.1" customHeight="1">
      <c r="D251" s="56"/>
      <c r="E251" s="82"/>
      <c r="F251" s="65"/>
      <c r="G251" s="565"/>
      <c r="H251" s="565"/>
      <c r="I251" s="565"/>
      <c r="J251" s="565"/>
      <c r="K251" s="565"/>
      <c r="L251" s="565"/>
    </row>
    <row r="252" spans="3:12" ht="14.1" customHeight="1">
      <c r="C252" s="564"/>
      <c r="D252" s="564"/>
      <c r="E252" s="82"/>
      <c r="F252" s="65"/>
      <c r="G252" s="565"/>
      <c r="H252" s="565"/>
      <c r="I252" s="565"/>
      <c r="J252" s="565"/>
      <c r="K252" s="565"/>
      <c r="L252" s="565"/>
    </row>
    <row r="253" spans="3:12" ht="14.1" customHeight="1">
      <c r="C253" s="564"/>
      <c r="D253" s="564"/>
      <c r="E253" s="82"/>
      <c r="F253" s="65"/>
      <c r="G253" s="565"/>
      <c r="H253" s="565"/>
      <c r="I253" s="565"/>
      <c r="J253" s="565"/>
      <c r="K253" s="565"/>
      <c r="L253" s="565"/>
    </row>
    <row r="254" spans="3:12" ht="14.1" customHeight="1">
      <c r="D254" s="56"/>
      <c r="E254" s="82"/>
      <c r="F254" s="65"/>
      <c r="G254" s="565"/>
      <c r="H254" s="565"/>
      <c r="I254" s="565"/>
      <c r="J254" s="565"/>
      <c r="K254" s="565"/>
      <c r="L254" s="565"/>
    </row>
    <row r="255" spans="3:12" ht="14.1" customHeight="1">
      <c r="C255" s="564"/>
      <c r="D255" s="564"/>
      <c r="E255" s="82"/>
      <c r="F255" s="65"/>
      <c r="G255" s="565"/>
      <c r="H255" s="565"/>
      <c r="I255" s="565"/>
      <c r="J255" s="565"/>
      <c r="K255" s="565"/>
      <c r="L255" s="565"/>
    </row>
    <row r="256" spans="3:12" ht="14.1" customHeight="1">
      <c r="D256" s="564"/>
      <c r="E256" s="82"/>
      <c r="F256" s="65"/>
      <c r="G256" s="565"/>
      <c r="H256" s="565"/>
      <c r="I256" s="565"/>
      <c r="J256" s="565"/>
      <c r="K256" s="565"/>
      <c r="L256" s="565"/>
    </row>
    <row r="257" spans="4:12" ht="14.1" customHeight="1">
      <c r="D257" s="56"/>
      <c r="E257" s="82"/>
      <c r="F257" s="65"/>
      <c r="G257" s="565"/>
      <c r="H257" s="565"/>
      <c r="I257" s="565"/>
      <c r="J257" s="565"/>
      <c r="K257" s="565"/>
      <c r="L257" s="565"/>
    </row>
    <row r="258" spans="4:12" ht="14.1" customHeight="1">
      <c r="D258" s="564"/>
      <c r="E258" s="82"/>
      <c r="F258" s="65"/>
      <c r="G258" s="565"/>
      <c r="H258" s="565"/>
      <c r="I258" s="565"/>
      <c r="J258" s="565"/>
      <c r="K258" s="565"/>
      <c r="L258" s="565"/>
    </row>
    <row r="259" spans="4:12" ht="14.1" customHeight="1">
      <c r="D259" s="564"/>
      <c r="E259" s="82"/>
      <c r="F259" s="65"/>
      <c r="G259" s="565"/>
      <c r="H259" s="565"/>
      <c r="I259" s="565"/>
      <c r="J259" s="565"/>
      <c r="K259" s="565"/>
      <c r="L259" s="565"/>
    </row>
    <row r="260" spans="4:12" ht="14.1" customHeight="1">
      <c r="D260" s="56"/>
      <c r="E260" s="82"/>
      <c r="F260" s="65"/>
      <c r="G260" s="565"/>
      <c r="H260" s="565"/>
      <c r="I260" s="565"/>
      <c r="J260" s="565"/>
      <c r="K260" s="565"/>
      <c r="L260" s="565"/>
    </row>
    <row r="261" spans="4:12" ht="14.1" customHeight="1">
      <c r="D261" s="564"/>
      <c r="E261" s="82"/>
      <c r="F261" s="65"/>
      <c r="G261" s="565"/>
      <c r="H261" s="565"/>
      <c r="I261" s="565"/>
      <c r="J261" s="565"/>
      <c r="K261" s="565"/>
      <c r="L261" s="565"/>
    </row>
    <row r="262" spans="4:12" ht="14.1" customHeight="1">
      <c r="D262" s="564"/>
      <c r="E262" s="82"/>
      <c r="F262" s="65"/>
      <c r="G262" s="565"/>
      <c r="H262" s="565"/>
      <c r="I262" s="565"/>
      <c r="J262" s="565"/>
      <c r="K262" s="565"/>
      <c r="L262" s="565"/>
    </row>
    <row r="263" spans="4:12" ht="14.1" customHeight="1">
      <c r="D263" s="56"/>
      <c r="E263" s="82"/>
      <c r="F263" s="65"/>
      <c r="G263" s="565"/>
      <c r="H263" s="565"/>
      <c r="I263" s="565"/>
      <c r="J263" s="565"/>
      <c r="K263" s="565"/>
      <c r="L263" s="565"/>
    </row>
    <row r="264" spans="4:12" ht="14.1" customHeight="1">
      <c r="D264" s="564"/>
      <c r="E264" s="82"/>
      <c r="F264" s="65"/>
      <c r="G264" s="565"/>
      <c r="H264" s="565"/>
      <c r="I264" s="565"/>
      <c r="J264" s="565"/>
      <c r="K264" s="565"/>
      <c r="L264" s="565"/>
    </row>
    <row r="265" spans="4:12" ht="14.1" customHeight="1">
      <c r="D265" s="556"/>
      <c r="E265" s="82"/>
      <c r="F265" s="65"/>
      <c r="G265" s="565"/>
      <c r="H265" s="565"/>
      <c r="I265" s="565"/>
      <c r="J265" s="565"/>
      <c r="K265" s="565"/>
      <c r="L265" s="565"/>
    </row>
    <row r="266" spans="4:12" ht="14.1" customHeight="1">
      <c r="D266" s="556"/>
      <c r="E266" s="82"/>
      <c r="F266" s="65"/>
      <c r="G266" s="565"/>
      <c r="H266" s="565"/>
      <c r="I266" s="565"/>
      <c r="J266" s="565"/>
      <c r="K266" s="565"/>
      <c r="L266" s="565"/>
    </row>
    <row r="267" spans="4:12" ht="14.1" customHeight="1">
      <c r="D267" s="556"/>
      <c r="E267" s="82"/>
      <c r="F267" s="65"/>
      <c r="G267" s="565"/>
      <c r="H267" s="565"/>
      <c r="I267" s="565"/>
      <c r="J267" s="565"/>
      <c r="K267" s="565"/>
      <c r="L267" s="565"/>
    </row>
    <row r="268" spans="4:12" ht="14.1" customHeight="1">
      <c r="D268" s="556"/>
      <c r="E268" s="82"/>
      <c r="F268" s="65"/>
      <c r="G268" s="565"/>
      <c r="H268" s="565"/>
      <c r="I268" s="565"/>
      <c r="J268" s="565"/>
      <c r="K268" s="565"/>
      <c r="L268" s="565"/>
    </row>
    <row r="269" spans="4:12" ht="14.1" customHeight="1">
      <c r="D269" s="556"/>
      <c r="E269" s="82"/>
      <c r="F269" s="65"/>
      <c r="G269" s="565"/>
      <c r="H269" s="565"/>
      <c r="I269" s="565"/>
      <c r="J269" s="565"/>
      <c r="K269" s="565"/>
      <c r="L269" s="565"/>
    </row>
    <row r="270" spans="4:12" ht="14.1" customHeight="1">
      <c r="D270" s="556"/>
      <c r="E270" s="82"/>
      <c r="F270" s="65"/>
      <c r="G270" s="565"/>
      <c r="H270" s="565"/>
      <c r="I270" s="565"/>
      <c r="J270" s="565"/>
      <c r="K270" s="565"/>
      <c r="L270" s="565"/>
    </row>
    <row r="271" spans="4:12" ht="14.1" customHeight="1">
      <c r="D271" s="556"/>
      <c r="E271" s="82"/>
      <c r="F271" s="65"/>
      <c r="G271" s="565"/>
      <c r="H271" s="565"/>
      <c r="I271" s="565"/>
      <c r="J271" s="565"/>
      <c r="K271" s="565"/>
      <c r="L271" s="565"/>
    </row>
    <row r="272" spans="4:12" ht="14.1" customHeight="1">
      <c r="D272" s="556"/>
      <c r="E272" s="82"/>
      <c r="F272" s="65"/>
      <c r="G272" s="565"/>
      <c r="H272" s="565"/>
      <c r="I272" s="565"/>
      <c r="J272" s="565"/>
      <c r="K272" s="565"/>
      <c r="L272" s="565"/>
    </row>
    <row r="273" spans="5:12" ht="14.1" customHeight="1">
      <c r="E273" s="82"/>
      <c r="F273" s="65"/>
      <c r="G273" s="565"/>
      <c r="H273" s="565"/>
      <c r="I273" s="565"/>
      <c r="J273" s="565"/>
      <c r="K273" s="565"/>
      <c r="L273" s="565"/>
    </row>
    <row r="274" spans="5:12" ht="14.1" customHeight="1">
      <c r="E274" s="82"/>
      <c r="F274" s="65"/>
      <c r="G274" s="565"/>
      <c r="H274" s="565"/>
      <c r="I274" s="565"/>
      <c r="J274" s="565"/>
      <c r="K274" s="565"/>
      <c r="L274" s="565"/>
    </row>
    <row r="275" spans="5:12" ht="14.1" customHeight="1">
      <c r="E275" s="82"/>
      <c r="F275" s="65"/>
      <c r="G275" s="565"/>
      <c r="H275" s="565"/>
      <c r="I275" s="565"/>
      <c r="J275" s="565"/>
      <c r="K275" s="565"/>
      <c r="L275" s="565"/>
    </row>
    <row r="276" spans="5:12" ht="14.1" customHeight="1">
      <c r="E276" s="82"/>
      <c r="F276" s="65"/>
      <c r="G276" s="565"/>
      <c r="H276" s="565"/>
      <c r="I276" s="565"/>
      <c r="J276" s="565"/>
      <c r="K276" s="565"/>
      <c r="L276" s="565"/>
    </row>
    <row r="277" spans="5:12" ht="14.1" customHeight="1">
      <c r="E277" s="82"/>
      <c r="F277" s="65"/>
      <c r="G277" s="565"/>
      <c r="H277" s="565"/>
      <c r="I277" s="565"/>
      <c r="J277" s="565"/>
      <c r="K277" s="565"/>
      <c r="L277" s="565"/>
    </row>
    <row r="278" spans="5:12" ht="14.1" customHeight="1">
      <c r="E278" s="568"/>
      <c r="F278" s="65"/>
      <c r="G278" s="565"/>
      <c r="H278" s="565"/>
      <c r="I278" s="565"/>
      <c r="J278" s="565"/>
      <c r="K278" s="565"/>
      <c r="L278" s="565"/>
    </row>
    <row r="279" spans="5:12" ht="14.1" customHeight="1">
      <c r="E279" s="568"/>
      <c r="F279" s="65"/>
      <c r="G279" s="565"/>
      <c r="H279" s="565"/>
      <c r="I279" s="565"/>
      <c r="J279" s="565"/>
      <c r="K279" s="565"/>
      <c r="L279" s="565"/>
    </row>
    <row r="280" spans="5:12">
      <c r="E280" s="568"/>
      <c r="F280" s="65"/>
      <c r="G280" s="565"/>
      <c r="H280" s="565"/>
      <c r="I280" s="565"/>
      <c r="J280" s="565"/>
      <c r="K280" s="565"/>
      <c r="L280" s="565"/>
    </row>
    <row r="281" spans="5:12">
      <c r="E281" s="568"/>
      <c r="F281" s="65"/>
      <c r="G281" s="565"/>
      <c r="H281" s="565"/>
      <c r="I281" s="565"/>
      <c r="J281" s="565"/>
      <c r="K281" s="565"/>
      <c r="L281" s="565"/>
    </row>
    <row r="282" spans="5:12">
      <c r="E282" s="568"/>
      <c r="F282" s="65"/>
      <c r="G282" s="565"/>
      <c r="H282" s="565"/>
      <c r="I282" s="565"/>
      <c r="J282" s="565"/>
      <c r="K282" s="565"/>
      <c r="L282" s="565"/>
    </row>
    <row r="283" spans="5:12">
      <c r="E283" s="568"/>
      <c r="F283" s="65"/>
      <c r="G283" s="565"/>
      <c r="H283" s="565"/>
      <c r="I283" s="565"/>
      <c r="J283" s="565"/>
      <c r="K283" s="565"/>
      <c r="L283" s="565"/>
    </row>
    <row r="284" spans="5:12">
      <c r="E284" s="568"/>
      <c r="F284" s="65"/>
      <c r="G284" s="565"/>
      <c r="H284" s="565"/>
      <c r="I284" s="565"/>
      <c r="J284" s="565"/>
      <c r="K284" s="565"/>
      <c r="L284" s="565"/>
    </row>
    <row r="285" spans="5:12">
      <c r="E285" s="568"/>
      <c r="F285" s="65"/>
      <c r="G285" s="565"/>
      <c r="H285" s="565"/>
      <c r="I285" s="565"/>
      <c r="J285" s="565"/>
      <c r="K285" s="565"/>
      <c r="L285" s="565"/>
    </row>
    <row r="286" spans="5:12">
      <c r="E286" s="568"/>
      <c r="F286" s="65"/>
      <c r="G286" s="565"/>
      <c r="H286" s="565"/>
      <c r="I286" s="565"/>
      <c r="J286" s="565"/>
      <c r="K286" s="565"/>
      <c r="L286" s="565"/>
    </row>
    <row r="287" spans="5:12">
      <c r="E287" s="568"/>
      <c r="F287" s="65"/>
      <c r="G287" s="565"/>
      <c r="H287" s="565"/>
      <c r="I287" s="565"/>
      <c r="J287" s="565"/>
      <c r="K287" s="565"/>
      <c r="L287" s="565"/>
    </row>
    <row r="288" spans="5:12">
      <c r="E288" s="568"/>
      <c r="F288" s="65"/>
      <c r="G288" s="565"/>
      <c r="H288" s="565"/>
      <c r="I288" s="565"/>
      <c r="J288" s="565"/>
      <c r="K288" s="565"/>
      <c r="L288" s="565"/>
    </row>
    <row r="289" spans="6:12">
      <c r="F289" s="65"/>
      <c r="G289" s="565"/>
      <c r="H289" s="565"/>
      <c r="I289" s="565"/>
      <c r="J289" s="565"/>
      <c r="K289" s="565"/>
      <c r="L289" s="565"/>
    </row>
    <row r="290" spans="6:12">
      <c r="F290" s="65"/>
      <c r="G290" s="565"/>
      <c r="H290" s="565"/>
      <c r="I290" s="565"/>
      <c r="J290" s="565"/>
      <c r="K290" s="565"/>
      <c r="L290" s="565"/>
    </row>
    <row r="291" spans="6:12">
      <c r="F291" s="65"/>
      <c r="G291" s="565"/>
      <c r="H291" s="565"/>
      <c r="I291" s="565"/>
      <c r="J291" s="565"/>
      <c r="K291" s="565"/>
      <c r="L291" s="565"/>
    </row>
  </sheetData>
  <sheetProtection sheet="1" formatCells="0" formatColumns="0" formatRows="0" insertColumns="0" insertRows="0"/>
  <protectedRanges>
    <protectedRange sqref="C157:E157" name="Range1"/>
  </protectedRanges>
  <mergeCells count="95">
    <mergeCell ref="O35:U35"/>
    <mergeCell ref="N67:N75"/>
    <mergeCell ref="O67:O75"/>
    <mergeCell ref="P67:P75"/>
    <mergeCell ref="Q67:Q75"/>
    <mergeCell ref="O65:U65"/>
    <mergeCell ref="Q60:Q63"/>
    <mergeCell ref="R60:R63"/>
    <mergeCell ref="S60:S63"/>
    <mergeCell ref="T60:T63"/>
    <mergeCell ref="U60:U63"/>
    <mergeCell ref="S49:S50"/>
    <mergeCell ref="T49:T50"/>
    <mergeCell ref="N60:N63"/>
    <mergeCell ref="O60:O63"/>
    <mergeCell ref="U49:U50"/>
    <mergeCell ref="W36:W40"/>
    <mergeCell ref="N41:N47"/>
    <mergeCell ref="O41:O47"/>
    <mergeCell ref="P41:P47"/>
    <mergeCell ref="Q41:Q47"/>
    <mergeCell ref="R41:R47"/>
    <mergeCell ref="S41:S47"/>
    <mergeCell ref="W41:W46"/>
    <mergeCell ref="T41:T47"/>
    <mergeCell ref="U41:U47"/>
    <mergeCell ref="W49:W50"/>
    <mergeCell ref="W51:W58"/>
    <mergeCell ref="N49:N50"/>
    <mergeCell ref="O49:O50"/>
    <mergeCell ref="P49:P50"/>
    <mergeCell ref="Q49:Q50"/>
    <mergeCell ref="R49:R50"/>
    <mergeCell ref="U19:U20"/>
    <mergeCell ref="W21:W27"/>
    <mergeCell ref="N28:N30"/>
    <mergeCell ref="O28:O30"/>
    <mergeCell ref="P28:P30"/>
    <mergeCell ref="Q28:Q30"/>
    <mergeCell ref="R28:R30"/>
    <mergeCell ref="N21:N27"/>
    <mergeCell ref="O21:O27"/>
    <mergeCell ref="P21:P27"/>
    <mergeCell ref="Q21:Q27"/>
    <mergeCell ref="R21:R27"/>
    <mergeCell ref="S28:S30"/>
    <mergeCell ref="T28:T30"/>
    <mergeCell ref="U28:U30"/>
    <mergeCell ref="W28:W30"/>
    <mergeCell ref="P60:P63"/>
    <mergeCell ref="W19:W20"/>
    <mergeCell ref="N11:N17"/>
    <mergeCell ref="O11:O17"/>
    <mergeCell ref="P11:P17"/>
    <mergeCell ref="Q11:Q17"/>
    <mergeCell ref="R11:R17"/>
    <mergeCell ref="S11:S17"/>
    <mergeCell ref="T11:T17"/>
    <mergeCell ref="U11:U17"/>
    <mergeCell ref="W11:W17"/>
    <mergeCell ref="N19:N20"/>
    <mergeCell ref="O19:O20"/>
    <mergeCell ref="P19:P20"/>
    <mergeCell ref="S19:S20"/>
    <mergeCell ref="T19:T20"/>
    <mergeCell ref="O2:U2"/>
    <mergeCell ref="F2:L2"/>
    <mergeCell ref="O5:U5"/>
    <mergeCell ref="N51:N58"/>
    <mergeCell ref="O51:O58"/>
    <mergeCell ref="P51:P58"/>
    <mergeCell ref="Q51:Q58"/>
    <mergeCell ref="R51:R58"/>
    <mergeCell ref="S51:S58"/>
    <mergeCell ref="T51:T58"/>
    <mergeCell ref="U51:U58"/>
    <mergeCell ref="Q19:Q20"/>
    <mergeCell ref="R19:R20"/>
    <mergeCell ref="S21:S27"/>
    <mergeCell ref="T21:T27"/>
    <mergeCell ref="U21:U27"/>
    <mergeCell ref="F158:L158"/>
    <mergeCell ref="T67:T75"/>
    <mergeCell ref="U67:U75"/>
    <mergeCell ref="N77:N78"/>
    <mergeCell ref="O77:O78"/>
    <mergeCell ref="P77:P78"/>
    <mergeCell ref="Q77:Q78"/>
    <mergeCell ref="R77:R78"/>
    <mergeCell ref="S77:S78"/>
    <mergeCell ref="T77:T78"/>
    <mergeCell ref="U77:U78"/>
    <mergeCell ref="F111:L111"/>
    <mergeCell ref="R67:R75"/>
    <mergeCell ref="S67:S75"/>
  </mergeCells>
  <phoneticPr fontId="15" type="noConversion"/>
  <conditionalFormatting sqref="C256:C266">
    <cfRule type="containsText" dxfId="1495" priority="71" operator="containsText" text="FL">
      <formula>NOT(ISERROR(SEARCH("FL",C256)))</formula>
    </cfRule>
    <cfRule type="containsText" dxfId="1494" priority="72" operator="containsText" text="FT">
      <formula>NOT(ISERROR(SEARCH("FT",C256)))</formula>
    </cfRule>
    <cfRule type="containsText" dxfId="1493" priority="73" operator="containsText" text="SS">
      <formula>NOT(ISERROR(SEARCH("SS",C256)))</formula>
    </cfRule>
    <cfRule type="containsText" dxfId="1492" priority="74" operator="containsText" text="GR">
      <formula>NOT(ISERROR(SEARCH("GR",C256)))</formula>
    </cfRule>
    <cfRule type="containsText" dxfId="1491" priority="75" operator="containsText" text="GO">
      <formula>NOT(ISERROR(SEARCH("GO",C256)))</formula>
    </cfRule>
  </conditionalFormatting>
  <conditionalFormatting sqref="D72 D110:D111">
    <cfRule type="containsText" dxfId="1490" priority="63" operator="containsText" text="GR">
      <formula>NOT(ISERROR(SEARCH("GR",D72)))</formula>
    </cfRule>
  </conditionalFormatting>
  <conditionalFormatting sqref="D80:D81 D73:D78">
    <cfRule type="duplicateValues" dxfId="1489" priority="53"/>
  </conditionalFormatting>
  <conditionalFormatting sqref="D84:D88">
    <cfRule type="duplicateValues" dxfId="1488" priority="52"/>
  </conditionalFormatting>
  <conditionalFormatting sqref="D85:D86">
    <cfRule type="duplicateValues" dxfId="1487" priority="49"/>
    <cfRule type="duplicateValues" dxfId="1486" priority="50"/>
  </conditionalFormatting>
  <conditionalFormatting sqref="D89:D90">
    <cfRule type="duplicateValues" dxfId="1485" priority="51"/>
  </conditionalFormatting>
  <conditionalFormatting sqref="D104:D107 D92:D102">
    <cfRule type="duplicateValues" dxfId="1484" priority="47"/>
  </conditionalFormatting>
  <conditionalFormatting sqref="D107">
    <cfRule type="duplicateValues" dxfId="1483" priority="45"/>
    <cfRule type="duplicateValues" dxfId="1482" priority="46"/>
  </conditionalFormatting>
  <conditionalFormatting sqref="D109">
    <cfRule type="duplicateValues" dxfId="1481" priority="48"/>
  </conditionalFormatting>
  <conditionalFormatting sqref="D184:D185 D177:D182">
    <cfRule type="duplicateValues" dxfId="1480" priority="44"/>
  </conditionalFormatting>
  <conditionalFormatting sqref="D187:D191">
    <cfRule type="duplicateValues" dxfId="1479" priority="43"/>
  </conditionalFormatting>
  <conditionalFormatting sqref="D188:D189">
    <cfRule type="duplicateValues" dxfId="1478" priority="40"/>
    <cfRule type="duplicateValues" dxfId="1477" priority="41"/>
  </conditionalFormatting>
  <conditionalFormatting sqref="D192">
    <cfRule type="duplicateValues" dxfId="1476" priority="42"/>
  </conditionalFormatting>
  <conditionalFormatting sqref="D206:D209 D194:D204">
    <cfRule type="duplicateValues" dxfId="1475" priority="38"/>
  </conditionalFormatting>
  <conditionalFormatting sqref="D209">
    <cfRule type="duplicateValues" dxfId="1474" priority="36"/>
    <cfRule type="duplicateValues" dxfId="1473" priority="37"/>
  </conditionalFormatting>
  <conditionalFormatting sqref="D211">
    <cfRule type="duplicateValues" dxfId="1472" priority="39"/>
  </conditionalFormatting>
  <conditionalFormatting sqref="E8 E13">
    <cfRule type="containsText" dxfId="1471" priority="64" operator="containsText" text="FC">
      <formula>NOT(ISERROR(SEARCH("FC",E8)))</formula>
    </cfRule>
    <cfRule type="containsText" dxfId="1470" priority="65" operator="containsText" text="PAC">
      <formula>NOT(ISERROR(SEARCH("PAC",E8)))</formula>
    </cfRule>
    <cfRule type="containsText" dxfId="1469" priority="66" operator="containsText" text="AA">
      <formula>NOT(ISERROR(SEARCH("AA",E8)))</formula>
    </cfRule>
    <cfRule type="containsText" dxfId="1468" priority="67" operator="containsText" text="RC">
      <formula>NOT(ISERROR(SEARCH("RC",E8)))</formula>
    </cfRule>
    <cfRule type="containsText" dxfId="1467" priority="68" operator="containsText" text="GC">
      <formula>NOT(ISERROR(SEARCH("GC",E8)))</formula>
    </cfRule>
    <cfRule type="containsText" dxfId="1466" priority="69" operator="containsText" text="SSC">
      <formula>NOT(ISERROR(SEARCH("SSC",E8)))</formula>
    </cfRule>
    <cfRule type="containsText" dxfId="1465" priority="70" operator="containsText" text="CSO">
      <formula>NOT(ISERROR(SEARCH("CSO",E8)))</formula>
    </cfRule>
  </conditionalFormatting>
  <conditionalFormatting sqref="E20 E26 E30">
    <cfRule type="containsText" dxfId="1464" priority="76" operator="containsText" text="PAC">
      <formula>NOT(ISERROR(SEARCH("PAC",E20)))</formula>
    </cfRule>
    <cfRule type="containsText" dxfId="1463" priority="77" operator="containsText" text="GC">
      <formula>NOT(ISERROR(SEARCH("GC",E20)))</formula>
    </cfRule>
  </conditionalFormatting>
  <conditionalFormatting sqref="E20 E26 E30:E31">
    <cfRule type="containsText" dxfId="1462" priority="54" operator="containsText" text="PSSC">
      <formula>NOT(ISERROR(SEARCH("PSSC",E20)))</formula>
    </cfRule>
    <cfRule type="containsText" dxfId="1461" priority="55" operator="containsText" text="ASSC">
      <formula>NOT(ISERROR(SEARCH("ASSC",E20)))</formula>
    </cfRule>
    <cfRule type="containsText" dxfId="1460" priority="56" operator="containsText" text="CC">
      <formula>NOT(ISERROR(SEARCH("CC",E20)))</formula>
    </cfRule>
    <cfRule type="containsText" dxfId="1459" priority="57" operator="containsText" text="CSO">
      <formula>NOT(ISERROR(SEARCH("CSO",E20)))</formula>
    </cfRule>
    <cfRule type="containsText" dxfId="1458" priority="58" operator="containsText" text="FC">
      <formula>NOT(ISERROR(SEARCH("FC",E20)))</formula>
    </cfRule>
    <cfRule type="containsText" dxfId="1457" priority="59" operator="containsText" text="RC">
      <formula>NOT(ISERROR(SEARCH("RC",E20)))</formula>
    </cfRule>
    <cfRule type="containsText" dxfId="1456" priority="78" stopIfTrue="1" operator="containsText" text="AAC">
      <formula>NOT(ISERROR(SEARCH("AAC",E20)))</formula>
    </cfRule>
  </conditionalFormatting>
  <conditionalFormatting sqref="E20">
    <cfRule type="containsText" dxfId="1455" priority="60" stopIfTrue="1" operator="containsText" text="AAC">
      <formula>NOT(ISERROR(SEARCH("AAC",E20)))</formula>
    </cfRule>
    <cfRule type="containsText" dxfId="1454" priority="61" operator="containsText" text="PAC">
      <formula>NOT(ISERROR(SEARCH("PAC",E20)))</formula>
    </cfRule>
    <cfRule type="containsText" dxfId="1453" priority="62" operator="containsText" text="GC">
      <formula>NOT(ISERROR(SEARCH("GC",E20)))</formula>
    </cfRule>
  </conditionalFormatting>
  <conditionalFormatting sqref="E50:E53">
    <cfRule type="containsText" dxfId="1452" priority="1" operator="containsText" text="PSSC">
      <formula>NOT(ISERROR(SEARCH("PSSC",E50)))</formula>
    </cfRule>
    <cfRule type="containsText" dxfId="1451" priority="2" operator="containsText" text="ASSC">
      <formula>NOT(ISERROR(SEARCH("ASSC",E50)))</formula>
    </cfRule>
    <cfRule type="containsText" dxfId="1450" priority="3" operator="containsText" text="CC">
      <formula>NOT(ISERROR(SEARCH("CC",E50)))</formula>
    </cfRule>
    <cfRule type="containsText" dxfId="1449" priority="4" operator="containsText" text="CSO">
      <formula>NOT(ISERROR(SEARCH("CSO",E50)))</formula>
    </cfRule>
    <cfRule type="containsText" dxfId="1448" priority="5" operator="containsText" text="FC">
      <formula>NOT(ISERROR(SEARCH("FC",E50)))</formula>
    </cfRule>
    <cfRule type="containsText" dxfId="1447" priority="6" operator="containsText" text="RC">
      <formula>NOT(ISERROR(SEARCH("RC",E50)))</formula>
    </cfRule>
    <cfRule type="containsText" dxfId="1446" priority="7" operator="containsText" text="PAC">
      <formula>NOT(ISERROR(SEARCH("PAC",E50)))</formula>
    </cfRule>
    <cfRule type="containsText" dxfId="1445" priority="8" operator="containsText" text="GC">
      <formula>NOT(ISERROR(SEARCH("GC",E50)))</formula>
    </cfRule>
    <cfRule type="containsText" dxfId="1444" priority="9" stopIfTrue="1" operator="containsText" text="AAC">
      <formula>NOT(ISERROR(SEARCH("AAC",E50)))</formula>
    </cfRule>
  </conditionalFormatting>
  <conditionalFormatting sqref="F229:F242 G230:L242 G229:J229">
    <cfRule type="colorScale" priority="165">
      <colorScale>
        <cfvo type="num" val="0"/>
        <cfvo type="num" val="1"/>
        <cfvo type="num" val="2"/>
        <color theme="0"/>
        <color rgb="FFAFFC06"/>
        <color rgb="FFFF0000"/>
      </colorScale>
    </cfRule>
  </conditionalFormatting>
  <conditionalFormatting sqref="F62:J62">
    <cfRule type="containsText" dxfId="1443" priority="25" operator="containsText" text="CSO">
      <formula>NOT(ISERROR(SEARCH("CSO",F62)))</formula>
    </cfRule>
    <cfRule type="containsText" dxfId="1442" priority="26" operator="containsText" text="FC">
      <formula>NOT(ISERROR(SEARCH("FC",F62)))</formula>
    </cfRule>
    <cfRule type="containsText" dxfId="1441" priority="27" operator="containsText" text="SS">
      <formula>NOT(ISERROR(SEARCH("SS",F62)))</formula>
    </cfRule>
    <cfRule type="containsText" dxfId="1440" priority="28" operator="containsText" text="RC">
      <formula>NOT(ISERROR(SEARCH("RC",F62)))</formula>
    </cfRule>
    <cfRule type="containsText" dxfId="1439" priority="29" operator="containsText" text="PAC">
      <formula>NOT(ISERROR(SEARCH("PAC",F62)))</formula>
    </cfRule>
    <cfRule type="containsText" dxfId="1438" priority="30" operator="containsText" text="AAC">
      <formula>NOT(ISERROR(SEARCH("AAC",F62)))</formula>
    </cfRule>
    <cfRule type="containsText" dxfId="1437" priority="31" operator="containsText" text="GC">
      <formula>NOT(ISERROR(SEARCH("GC",F62)))</formula>
    </cfRule>
  </conditionalFormatting>
  <conditionalFormatting sqref="F64:J65">
    <cfRule type="cellIs" dxfId="1436" priority="34" operator="lessThan">
      <formula>5</formula>
    </cfRule>
  </conditionalFormatting>
  <conditionalFormatting sqref="F8:L59">
    <cfRule type="containsText" dxfId="1435" priority="16" operator="containsText" text="PAC">
      <formula>NOT(ISERROR(SEARCH("PAC",F8)))</formula>
    </cfRule>
    <cfRule type="containsText" dxfId="1434" priority="17" operator="containsText" text="AAC">
      <formula>NOT(ISERROR(SEARCH("AAC",F8)))</formula>
    </cfRule>
    <cfRule type="containsText" dxfId="1433" priority="18" operator="containsText" text="GC">
      <formula>NOT(ISERROR(SEARCH("GC",F8)))</formula>
    </cfRule>
    <cfRule type="containsText" dxfId="1432" priority="19" operator="containsText" text="FC">
      <formula>NOT(ISERROR(SEARCH("FC",F8)))</formula>
    </cfRule>
    <cfRule type="containsText" dxfId="1431" priority="20" operator="containsText" text="CC">
      <formula>NOT(ISERROR(SEARCH("CC",F8)))</formula>
    </cfRule>
    <cfRule type="containsText" dxfId="1430" priority="21" operator="containsText" text="RC">
      <formula>NOT(ISERROR(SEARCH("RC",F8)))</formula>
    </cfRule>
    <cfRule type="containsText" dxfId="1429" priority="22" operator="containsText" text="SSC">
      <formula>NOT(ISERROR(SEARCH("SSC",F8)))</formula>
    </cfRule>
    <cfRule type="containsText" dxfId="1428" priority="23" operator="containsText" text="CSO">
      <formula>NOT(ISERROR(SEARCH("CSO",F8)))</formula>
    </cfRule>
  </conditionalFormatting>
  <conditionalFormatting sqref="F64:L64 F65:J65">
    <cfRule type="cellIs" dxfId="1427" priority="35" operator="greaterThan">
      <formula>6</formula>
    </cfRule>
  </conditionalFormatting>
  <conditionalFormatting sqref="F67:L71">
    <cfRule type="containsText" dxfId="1426" priority="14" operator="containsText" text="RC">
      <formula>NOT(ISERROR(SEARCH("RC",F67)))</formula>
    </cfRule>
    <cfRule type="containsText" dxfId="1425" priority="15" operator="containsText" text="CC">
      <formula>NOT(ISERROR(SEARCH("CC",F67)))</formula>
    </cfRule>
  </conditionalFormatting>
  <conditionalFormatting sqref="F170:L170">
    <cfRule type="cellIs" dxfId="1424" priority="33" operator="greaterThan">
      <formula>3</formula>
    </cfRule>
  </conditionalFormatting>
  <conditionalFormatting sqref="F172:L172">
    <cfRule type="cellIs" dxfId="1423" priority="32" operator="greaterThan">
      <formula>4</formula>
    </cfRule>
  </conditionalFormatting>
  <conditionalFormatting sqref="I87:J87">
    <cfRule type="containsText" dxfId="1422" priority="10" operator="containsText" text="PL">
      <formula>NOT(ISERROR(SEARCH("PL",I87)))</formula>
    </cfRule>
    <cfRule type="containsText" dxfId="1421" priority="11" operator="containsText" text="SW">
      <formula>NOT(ISERROR(SEARCH("SW",I87)))</formula>
    </cfRule>
    <cfRule type="containsText" dxfId="1420" priority="12" operator="containsText" text="AT">
      <formula>NOT(ISERROR(SEARCH("AT",I87)))</formula>
    </cfRule>
    <cfRule type="containsText" dxfId="1419" priority="13" operator="containsText" text="SS">
      <formula>NOT(ISERROR(SEARCH("SS",I87)))</formula>
    </cfRule>
  </conditionalFormatting>
  <conditionalFormatting sqref="K64:L65">
    <cfRule type="cellIs" dxfId="1418" priority="24" operator="greaterThan">
      <formula>3</formula>
    </cfRule>
  </conditionalFormatting>
  <conditionalFormatting sqref="N38:N40">
    <cfRule type="containsText" dxfId="1417" priority="115" operator="containsText" text="NAMIT">
      <formula>NOT(ISERROR(SEARCH("NAMIT",N38)))</formula>
    </cfRule>
  </conditionalFormatting>
  <conditionalFormatting sqref="O6:U6">
    <cfRule type="notContainsErrors" dxfId="1416" priority="119">
      <formula>NOT(ISERROR(O6))</formula>
    </cfRule>
  </conditionalFormatting>
  <conditionalFormatting sqref="O7:U7 O37:U37">
    <cfRule type="notContainsErrors" dxfId="1415" priority="114">
      <formula>NOT(ISERROR(O7))</formula>
    </cfRule>
  </conditionalFormatting>
  <conditionalFormatting sqref="O8:U8">
    <cfRule type="notContainsErrors" dxfId="1414" priority="117">
      <formula>NOT(ISERROR(O8))</formula>
    </cfRule>
  </conditionalFormatting>
  <conditionalFormatting sqref="O9:U9">
    <cfRule type="notContainsErrors" dxfId="1413" priority="128">
      <formula>NOT(ISERROR(O9))</formula>
    </cfRule>
  </conditionalFormatting>
  <conditionalFormatting sqref="O10:U10">
    <cfRule type="notContainsErrors" dxfId="1412" priority="109">
      <formula>NOT(ISERROR(O10))</formula>
    </cfRule>
  </conditionalFormatting>
  <conditionalFormatting sqref="O18:U18">
    <cfRule type="notContainsErrors" dxfId="1411" priority="127">
      <formula>NOT(ISERROR(O18))</formula>
    </cfRule>
  </conditionalFormatting>
  <conditionalFormatting sqref="O36:U36">
    <cfRule type="notContainsErrors" dxfId="1410" priority="120">
      <formula>NOT(ISERROR(O36))</formula>
    </cfRule>
  </conditionalFormatting>
  <conditionalFormatting sqref="O38:U38">
    <cfRule type="notContainsErrors" dxfId="1409" priority="118">
      <formula>NOT(ISERROR(O38))</formula>
    </cfRule>
  </conditionalFormatting>
  <conditionalFormatting sqref="O39:U39">
    <cfRule type="notContainsErrors" dxfId="1408" priority="111">
      <formula>NOT(ISERROR(O39))</formula>
    </cfRule>
  </conditionalFormatting>
  <conditionalFormatting sqref="O40:U40">
    <cfRule type="notContainsErrors" dxfId="1407" priority="113">
      <formula>NOT(ISERROR(O40))</formula>
    </cfRule>
  </conditionalFormatting>
  <conditionalFormatting sqref="O48:U48">
    <cfRule type="notContainsErrors" dxfId="1406" priority="112">
      <formula>NOT(ISERROR(O48))</formula>
    </cfRule>
  </conditionalFormatting>
  <conditionalFormatting sqref="O66:U66">
    <cfRule type="notContainsErrors" dxfId="1405" priority="110">
      <formula>NOT(ISERROR(O66))</formula>
    </cfRule>
  </conditionalFormatting>
  <conditionalFormatting sqref="O76:U76">
    <cfRule type="notContainsErrors" dxfId="1404" priority="116">
      <formula>NOT(ISERROR(O76))</formula>
    </cfRule>
  </conditionalFormatting>
  <conditionalFormatting sqref="V132:V1048576 P234:U1048576">
    <cfRule type="containsText" dxfId="1403" priority="121" operator="containsText" text="SW">
      <formula>NOT(ISERROR(SEARCH("SW",P132)))</formula>
    </cfRule>
    <cfRule type="containsText" dxfId="1402" priority="122" operator="containsText" text="FL">
      <formula>NOT(ISERROR(SEARCH("FL",P132)))</formula>
    </cfRule>
    <cfRule type="containsText" dxfId="1401" priority="123" operator="containsText" text="FT">
      <formula>NOT(ISERROR(SEARCH("FT",P132)))</formula>
    </cfRule>
    <cfRule type="containsText" dxfId="1400" priority="124" operator="containsText" text="SS">
      <formula>NOT(ISERROR(SEARCH("SS",P132)))</formula>
    </cfRule>
    <cfRule type="containsText" dxfId="1399" priority="125" operator="containsText" text="GR">
      <formula>NOT(ISERROR(SEARCH("GR",P132)))</formula>
    </cfRule>
    <cfRule type="containsText" dxfId="1398" priority="126" operator="containsText" text="GO">
      <formula>NOT(ISERROR(SEARCH("GO",P132)))</formula>
    </cfRule>
  </conditionalFormatting>
  <dataValidations count="1">
    <dataValidation type="list" allowBlank="1" showInputMessage="1" sqref="F134:L135 J136:L141 F113:G131 G136:H141 H114:H131 I113:J131 K114:L131" xr:uid="{8D1538F0-DD60-5C48-BA3C-4DEB18A8D556}">
      <formula1>#REF!</formula1>
    </dataValidation>
  </dataValidations>
  <pageMargins left="0.7" right="0.7" top="0.75" bottom="0.75" header="0.3" footer="0.3"/>
  <pageSetup paperSize="9" scale="6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B33C-1CBA-FB46-ABF0-1478D7D71EC2}">
  <sheetPr>
    <pageSetUpPr fitToPage="1"/>
  </sheetPr>
  <dimension ref="A1:W291"/>
  <sheetViews>
    <sheetView workbookViewId="0">
      <pane ySplit="4" topLeftCell="A86" activePane="bottomLeft" state="frozen"/>
      <selection pane="bottomLeft" activeCell="O127" sqref="O127"/>
    </sheetView>
  </sheetViews>
  <sheetFormatPr defaultColWidth="10.875" defaultRowHeight="14.25"/>
  <cols>
    <col min="1" max="2" width="10.875" style="56" hidden="1" customWidth="1"/>
    <col min="3" max="3" width="10.875" style="56" customWidth="1"/>
    <col min="4" max="4" width="13.375" style="72" customWidth="1"/>
    <col min="5" max="5" width="10.875" style="68" customWidth="1"/>
    <col min="6" max="6" width="10.875" style="66" customWidth="1"/>
    <col min="7" max="12" width="10.875" style="64" customWidth="1"/>
    <col min="13" max="13" width="10.875" style="56" customWidth="1"/>
    <col min="14" max="14" width="10.875" style="89" customWidth="1"/>
    <col min="15" max="15" width="10.875" style="112" customWidth="1"/>
    <col min="16" max="21" width="10.875" style="89" customWidth="1"/>
    <col min="22" max="23" width="10.875" style="34" customWidth="1"/>
    <col min="24" max="24" width="10.875" style="56" customWidth="1"/>
    <col min="25" max="16384" width="10.875" style="56"/>
  </cols>
  <sheetData>
    <row r="1" spans="1:23" ht="14.1" customHeight="1" thickBot="1">
      <c r="D1" s="57"/>
      <c r="E1" s="58"/>
      <c r="F1" s="59" t="str">
        <f t="shared" ref="F1:L1" si="0">CONCATENATE(F169,"-",F170,"-",F171,"-",F172,"-",F173)</f>
        <v>14-1-15-0-9</v>
      </c>
      <c r="G1" s="59" t="str">
        <f t="shared" si="0"/>
        <v>13-1-15-1-9</v>
      </c>
      <c r="H1" s="59" t="str">
        <f t="shared" si="0"/>
        <v>12-1-15-1-9</v>
      </c>
      <c r="I1" s="59" t="str">
        <f t="shared" si="0"/>
        <v>16-0-13-1-9</v>
      </c>
      <c r="J1" s="59" t="str">
        <f t="shared" si="0"/>
        <v>14-0-14-0-9</v>
      </c>
      <c r="K1" s="59" t="str">
        <f t="shared" si="0"/>
        <v>13-0-10-0-9</v>
      </c>
      <c r="L1" s="59" t="str">
        <f t="shared" si="0"/>
        <v>11-0-12-1-9</v>
      </c>
      <c r="O1" s="89" t="str">
        <f t="shared" ref="O1:U1" si="1">F1</f>
        <v>14-1-15-0-9</v>
      </c>
      <c r="P1" s="89" t="str">
        <f t="shared" si="1"/>
        <v>13-1-15-1-9</v>
      </c>
      <c r="Q1" s="89" t="str">
        <f t="shared" si="1"/>
        <v>12-1-15-1-9</v>
      </c>
      <c r="R1" s="89" t="str">
        <f t="shared" si="1"/>
        <v>16-0-13-1-9</v>
      </c>
      <c r="S1" s="89" t="str">
        <f t="shared" si="1"/>
        <v>14-0-14-0-9</v>
      </c>
      <c r="T1" s="89" t="str">
        <f t="shared" si="1"/>
        <v>13-0-10-0-9</v>
      </c>
      <c r="U1" s="89" t="str">
        <f t="shared" si="1"/>
        <v>11-0-12-1-9</v>
      </c>
    </row>
    <row r="2" spans="1:23" ht="14.1" customHeight="1" thickBot="1">
      <c r="C2" s="1" t="s">
        <v>0</v>
      </c>
      <c r="D2" s="1" t="s">
        <v>0</v>
      </c>
      <c r="E2" s="58"/>
      <c r="F2" s="802">
        <v>3</v>
      </c>
      <c r="G2" s="802"/>
      <c r="H2" s="802"/>
      <c r="I2" s="802"/>
      <c r="J2" s="802"/>
      <c r="K2" s="802"/>
      <c r="L2" s="802"/>
      <c r="O2" s="754">
        <f>F2</f>
        <v>3</v>
      </c>
      <c r="P2" s="755"/>
      <c r="Q2" s="755"/>
      <c r="R2" s="755"/>
      <c r="S2" s="755"/>
      <c r="T2" s="755"/>
      <c r="U2" s="756"/>
    </row>
    <row r="3" spans="1:23" ht="14.1" customHeight="1">
      <c r="A3" s="56" t="s">
        <v>297</v>
      </c>
      <c r="B3" s="56" t="s">
        <v>298</v>
      </c>
      <c r="C3" s="494" t="s">
        <v>299</v>
      </c>
      <c r="D3" s="494" t="s">
        <v>300</v>
      </c>
      <c r="E3" s="69" t="s">
        <v>5</v>
      </c>
      <c r="F3" s="22" t="s">
        <v>6</v>
      </c>
      <c r="G3" s="23" t="s">
        <v>7</v>
      </c>
      <c r="H3" s="23" t="s">
        <v>8</v>
      </c>
      <c r="I3" s="23" t="s">
        <v>9</v>
      </c>
      <c r="J3" s="23" t="s">
        <v>10</v>
      </c>
      <c r="K3" s="23" t="s">
        <v>11</v>
      </c>
      <c r="L3" s="24" t="s">
        <v>12</v>
      </c>
      <c r="O3" s="90" t="s">
        <v>6</v>
      </c>
      <c r="P3" s="91" t="s">
        <v>7</v>
      </c>
      <c r="Q3" s="91" t="s">
        <v>8</v>
      </c>
      <c r="R3" s="91" t="s">
        <v>9</v>
      </c>
      <c r="S3" s="91" t="s">
        <v>10</v>
      </c>
      <c r="T3" s="91" t="s">
        <v>11</v>
      </c>
      <c r="U3" s="92" t="s">
        <v>12</v>
      </c>
    </row>
    <row r="4" spans="1:23" ht="14.1" customHeight="1" thickBot="1">
      <c r="B4" s="56" t="s">
        <v>13</v>
      </c>
      <c r="C4" s="25"/>
      <c r="D4" s="25"/>
      <c r="E4" s="77"/>
      <c r="F4" s="26">
        <v>46069</v>
      </c>
      <c r="G4" s="27">
        <v>46070</v>
      </c>
      <c r="H4" s="27">
        <v>46071</v>
      </c>
      <c r="I4" s="27">
        <v>46072</v>
      </c>
      <c r="J4" s="27">
        <v>46073</v>
      </c>
      <c r="K4" s="27">
        <v>46074</v>
      </c>
      <c r="L4" s="27">
        <v>46075</v>
      </c>
      <c r="N4" s="93"/>
      <c r="O4" s="94">
        <f t="shared" ref="O4:U4" si="2">F4</f>
        <v>46069</v>
      </c>
      <c r="P4" s="95">
        <f t="shared" si="2"/>
        <v>46070</v>
      </c>
      <c r="Q4" s="95">
        <f t="shared" si="2"/>
        <v>46071</v>
      </c>
      <c r="R4" s="95">
        <f t="shared" si="2"/>
        <v>46072</v>
      </c>
      <c r="S4" s="95">
        <f t="shared" si="2"/>
        <v>46073</v>
      </c>
      <c r="T4" s="95">
        <f t="shared" si="2"/>
        <v>46074</v>
      </c>
      <c r="U4" s="96">
        <f t="shared" si="2"/>
        <v>46075</v>
      </c>
    </row>
    <row r="5" spans="1:23" ht="14.1" customHeight="1" thickBot="1">
      <c r="C5" s="2"/>
      <c r="D5" s="2"/>
      <c r="E5" s="81"/>
      <c r="F5" s="201" t="s">
        <v>16</v>
      </c>
      <c r="G5" s="60"/>
      <c r="H5" s="60" t="s">
        <v>17</v>
      </c>
      <c r="I5" s="60"/>
      <c r="J5" s="60"/>
      <c r="K5" s="60"/>
      <c r="L5" s="61"/>
      <c r="O5" s="757" t="s">
        <v>301</v>
      </c>
      <c r="P5" s="758"/>
      <c r="Q5" s="758"/>
      <c r="R5" s="758"/>
      <c r="S5" s="758"/>
      <c r="T5" s="758"/>
      <c r="U5" s="759"/>
      <c r="W5" s="34" t="s">
        <v>302</v>
      </c>
    </row>
    <row r="6" spans="1:23" ht="14.1" customHeight="1">
      <c r="C6" s="315" t="s">
        <v>26</v>
      </c>
      <c r="D6" s="315" t="s">
        <v>26</v>
      </c>
      <c r="E6" s="495"/>
      <c r="F6" s="317"/>
      <c r="G6" s="318"/>
      <c r="H6" s="318"/>
      <c r="I6" s="318"/>
      <c r="J6" s="318"/>
      <c r="K6" s="318"/>
      <c r="L6" s="319"/>
      <c r="N6" s="97" t="s">
        <v>303</v>
      </c>
      <c r="O6" s="98" t="str">
        <f t="shared" ref="O6:U6" si="3">INDEX($C7:$L188,MATCH("*AGC*",F7:F191,0),1)</f>
        <v>HELEN SMS</v>
      </c>
      <c r="P6" s="99" t="str">
        <f t="shared" si="3"/>
        <v>STEPHEN G SMS</v>
      </c>
      <c r="Q6" s="99" t="str">
        <f t="shared" si="3"/>
        <v>QING SMS</v>
      </c>
      <c r="R6" s="99" t="str">
        <f t="shared" si="3"/>
        <v>SUSAN SMS</v>
      </c>
      <c r="S6" s="99" t="str">
        <f t="shared" si="3"/>
        <v>NICOLA SMS</v>
      </c>
      <c r="T6" s="99" t="str">
        <f t="shared" si="3"/>
        <v>SUSAN SMS</v>
      </c>
      <c r="U6" s="100" t="str">
        <f t="shared" si="3"/>
        <v>ABI SMS</v>
      </c>
      <c r="V6" s="34" t="s">
        <v>287</v>
      </c>
      <c r="W6" s="101"/>
    </row>
    <row r="7" spans="1:23" ht="14.1" customHeight="1">
      <c r="C7" s="496" t="s">
        <v>304</v>
      </c>
      <c r="D7" s="497" t="s">
        <v>27</v>
      </c>
      <c r="E7" s="498">
        <v>625982</v>
      </c>
      <c r="F7" s="569" t="s">
        <v>28</v>
      </c>
      <c r="G7" s="570"/>
      <c r="H7" s="570"/>
      <c r="I7" s="570"/>
      <c r="J7" s="570"/>
      <c r="K7" s="570"/>
      <c r="L7" s="571"/>
      <c r="N7" s="499" t="s">
        <v>305</v>
      </c>
      <c r="O7" s="102" t="str">
        <f t="shared" ref="O7:U7" si="4">INDEX($C7:$L188,MATCH("*AAC",F7:F190,0),1)</f>
        <v>STEVE T SMS</v>
      </c>
      <c r="P7" s="500" t="str">
        <f t="shared" si="4"/>
        <v>ANDY L  SMS</v>
      </c>
      <c r="Q7" s="500" t="str">
        <f t="shared" si="4"/>
        <v>DANIEL SMS</v>
      </c>
      <c r="R7" s="500" t="str">
        <f t="shared" si="4"/>
        <v>MINA SMS</v>
      </c>
      <c r="S7" s="500" t="str">
        <f t="shared" si="4"/>
        <v>DAVID SMS</v>
      </c>
      <c r="T7" s="500" t="str">
        <f t="shared" si="4"/>
        <v>ABI SMS</v>
      </c>
      <c r="U7" s="501" t="e">
        <f t="shared" si="4"/>
        <v>#N/A</v>
      </c>
      <c r="V7" s="34" t="s">
        <v>286</v>
      </c>
      <c r="W7" s="101"/>
    </row>
    <row r="8" spans="1:23" ht="14.1" customHeight="1">
      <c r="C8" s="497" t="s">
        <v>306</v>
      </c>
      <c r="D8" s="83" t="s">
        <v>29</v>
      </c>
      <c r="E8" s="502">
        <v>628936</v>
      </c>
      <c r="F8" s="211" t="s">
        <v>32</v>
      </c>
      <c r="G8" s="62" t="s">
        <v>33</v>
      </c>
      <c r="H8" s="62" t="s">
        <v>33</v>
      </c>
      <c r="I8" s="62"/>
      <c r="J8" s="62" t="s">
        <v>33</v>
      </c>
      <c r="K8" s="576"/>
      <c r="L8" s="579"/>
      <c r="N8" s="503" t="s">
        <v>307</v>
      </c>
      <c r="O8" s="102" t="str">
        <f t="shared" ref="O8:U8" si="5">INDEX($C7:$L188,MATCH("*ARC*",F7:F191,0),1)</f>
        <v>AFTAB SMS</v>
      </c>
      <c r="P8" s="500" t="str">
        <f t="shared" si="5"/>
        <v>MICHAEL SMS</v>
      </c>
      <c r="Q8" s="500" t="str">
        <f t="shared" si="5"/>
        <v>SUHAIL SMS</v>
      </c>
      <c r="R8" s="500" t="str">
        <f t="shared" si="5"/>
        <v>MADDY SMS</v>
      </c>
      <c r="S8" s="500" t="str">
        <f t="shared" si="5"/>
        <v>ANDRE SMS</v>
      </c>
      <c r="T8" s="500" t="str">
        <f t="shared" si="5"/>
        <v>AMY SMS</v>
      </c>
      <c r="U8" s="501" t="str">
        <f t="shared" si="5"/>
        <v>JACQUELINE SMS</v>
      </c>
      <c r="V8" s="34" t="s">
        <v>285</v>
      </c>
      <c r="W8" s="101"/>
    </row>
    <row r="9" spans="1:23" ht="14.1" customHeight="1">
      <c r="C9" s="504" t="s">
        <v>308</v>
      </c>
      <c r="D9" s="723" t="s">
        <v>42</v>
      </c>
      <c r="E9" s="502">
        <v>628576</v>
      </c>
      <c r="F9" s="575" t="s">
        <v>33</v>
      </c>
      <c r="G9" s="565" t="s">
        <v>33</v>
      </c>
      <c r="H9" s="576"/>
      <c r="I9" s="565" t="s">
        <v>37</v>
      </c>
      <c r="J9" s="566"/>
      <c r="K9" s="565"/>
      <c r="L9" s="577" t="s">
        <v>34</v>
      </c>
      <c r="N9" s="505" t="s">
        <v>309</v>
      </c>
      <c r="O9" s="102" t="str">
        <f t="shared" ref="O9:U9" si="6">INDEX($C7:$L188,MATCH("*ASSC*",F7:F191,0),1)</f>
        <v>JACKIE SMS</v>
      </c>
      <c r="P9" s="500" t="str">
        <f t="shared" si="6"/>
        <v>VARUNA SMS</v>
      </c>
      <c r="Q9" s="500" t="str">
        <f t="shared" si="6"/>
        <v>MAUREEN SMS</v>
      </c>
      <c r="R9" s="500" t="str">
        <f t="shared" si="6"/>
        <v xml:space="preserve">RACHEL SMS </v>
      </c>
      <c r="S9" s="500" t="str">
        <f t="shared" si="6"/>
        <v>DANIEL SMS</v>
      </c>
      <c r="T9" s="500" t="str">
        <f t="shared" si="6"/>
        <v>DIANA SMS</v>
      </c>
      <c r="U9" s="501" t="str">
        <f t="shared" si="6"/>
        <v>AMY SMS</v>
      </c>
      <c r="V9" s="34" t="s">
        <v>289</v>
      </c>
      <c r="W9" s="101"/>
    </row>
    <row r="10" spans="1:23" ht="14.1" customHeight="1">
      <c r="C10" s="504" t="s">
        <v>310</v>
      </c>
      <c r="D10" s="497" t="s">
        <v>45</v>
      </c>
      <c r="E10" s="506">
        <v>632647</v>
      </c>
      <c r="F10" s="575" t="s">
        <v>33</v>
      </c>
      <c r="G10" s="565" t="s">
        <v>33</v>
      </c>
      <c r="H10" s="565" t="s">
        <v>46</v>
      </c>
      <c r="I10" s="565"/>
      <c r="J10" s="565" t="s">
        <v>43</v>
      </c>
      <c r="K10" s="565"/>
      <c r="L10" s="577"/>
      <c r="N10" s="507" t="s">
        <v>311</v>
      </c>
      <c r="O10" s="102" t="str">
        <f t="shared" ref="O10:U10" si="7">INDEX($C6:$L187,MATCH("*ACC*",F6:F183,0),1)</f>
        <v>JAMES SMS</v>
      </c>
      <c r="P10" s="500" t="str">
        <f t="shared" si="7"/>
        <v>SCOTT SMS</v>
      </c>
      <c r="Q10" s="500" t="str">
        <f t="shared" si="7"/>
        <v>AFTAB SMS</v>
      </c>
      <c r="R10" s="500" t="str">
        <f t="shared" si="7"/>
        <v>ANDRE SMS</v>
      </c>
      <c r="S10" s="500" t="str">
        <f t="shared" si="7"/>
        <v>MINA SMS</v>
      </c>
      <c r="T10" s="500" t="e">
        <f t="shared" si="7"/>
        <v>#N/A</v>
      </c>
      <c r="U10" s="501" t="str">
        <f t="shared" si="7"/>
        <v>SAM CMO</v>
      </c>
      <c r="V10" s="34" t="s">
        <v>288</v>
      </c>
      <c r="W10" s="101"/>
    </row>
    <row r="11" spans="1:23" ht="14.1" customHeight="1">
      <c r="C11" s="497" t="s">
        <v>312</v>
      </c>
      <c r="D11" s="497" t="s">
        <v>48</v>
      </c>
      <c r="E11" s="502">
        <v>279110</v>
      </c>
      <c r="F11" s="575" t="s">
        <v>33</v>
      </c>
      <c r="G11" s="565" t="s">
        <v>33</v>
      </c>
      <c r="H11" s="578" t="s">
        <v>317</v>
      </c>
      <c r="I11" s="578" t="s">
        <v>359</v>
      </c>
      <c r="J11" s="565"/>
      <c r="K11" s="565" t="s">
        <v>40</v>
      </c>
      <c r="L11" s="577"/>
      <c r="N11" s="733" t="s">
        <v>313</v>
      </c>
      <c r="O11" s="774" t="str" cm="1">
        <f t="array" ref="O11">_xlfn.TEXTJOIN(CHAR(10),TRUE,IF(F7:F111="0800-1800 AFC",$C7:$C111,""),IF(F7:F111="0800-1730 AFC",$C7:$C111,""),IF(F7:F111="0800-1800",$C7:$C111,""),IF(F7:F111="0800-1730",$C7:$C111,""))</f>
        <v>PAUL JR
KELLY JR</v>
      </c>
      <c r="P11" s="775" t="str" cm="1">
        <f t="array" ref="P11">_xlfn.TEXTJOIN(CHAR(10),TRUE,IF(G7:G111="0800-1800 AFC",$C7:$C111,""),IF(G7:G111="0800-1730 AFC",$C7:$C111,""),IF(G7:G111="0800-1800",$C7:$C111,""),IF(G7:G111="0800-1730",$C7:$C111,""))</f>
        <v>AMY SR
KELLY JR</v>
      </c>
      <c r="Q11" s="775" t="str" cm="1">
        <f t="array" ref="Q11">_xlfn.TEXTJOIN(CHAR(10),TRUE,IF(H7:H111="0800-1800 AFC",$C7:$C111,""),IF(H7:H111="0800-1730 AFC",$C7:$C111,""),IF(H7:H111="0800-1800",$C7:$C111,""),IF(H7:H111="0800-1730",$C7:$C111,""))</f>
        <v>SAM CMO</v>
      </c>
      <c r="R11" s="775" t="str" cm="1">
        <f t="array" ref="R11">_xlfn.TEXTJOIN(CHAR(10),TRUE,IF(I7:I111="0800-1800 AFC",$C7:$C111,""),IF(I7:I111="0800-1730 AFC",$C7:$C111,""),IF(I7:I111="0800-1800",$C7:$C111,""),IF(I7:I111="0800-1730",$C7:$C111,""))</f>
        <v>JULIA SMS
PATRICK SR
MIKHAR IR
ISOBEL JR
JESSICA JR</v>
      </c>
      <c r="S11" s="775" t="str" cm="1">
        <f t="array" ref="S11">_xlfn.TEXTJOIN(CHAR(10),TRUE,IF(J7:J111="0800-1800 AFC",$C7:$C111,""),IF(J7:J111="0800-1730 AFC",$C7:$C111,""),IF(J7:J111="0800-1800",$C7:$C111,""),IF(J7:J111="0800-1730",$C7:$C111,""))</f>
        <v>PATRICK SR
MIKHAR IR
RACHEL JR</v>
      </c>
      <c r="T11" s="775" t="str" cm="1">
        <f t="array" ref="T11">_xlfn.TEXTJOIN(CHAR(10),TRUE,IF(K7:K111="0800-1800 AFC",$C7:$C111,""),IF(K7:K111="0800-1730 AFC",$C7:$C111,""),IF(K7:K111="0800-1800",$C7:$C111,""),IF(K7:K111="0800-1730",$C7:$C111,""))</f>
        <v>MILES SR
CLARE IR
RACHEL JR
CLARA JR</v>
      </c>
      <c r="U11" s="775" t="str" cm="1">
        <f t="array" ref="U11">_xlfn.TEXTJOIN(CHAR(10),TRUE,IF(L7:L111="0800-1800 AFC",$C7:$C111,""),IF(L7:L111="0800-1730 AFC",$C7:$C111,""),IF(L7:L111="0800-1800",$C7:$C111,""),IF(L7:L111="0800-1730",$C7:$C111,""))</f>
        <v>MILES SR
CLARE IR
RACHEL JR</v>
      </c>
      <c r="W11" s="772">
        <v>7</v>
      </c>
    </row>
    <row r="12" spans="1:23" ht="14.1" customHeight="1">
      <c r="C12" s="497" t="s">
        <v>314</v>
      </c>
      <c r="D12" s="497" t="s">
        <v>49</v>
      </c>
      <c r="E12" s="502">
        <v>213322</v>
      </c>
      <c r="F12" s="575" t="s">
        <v>47</v>
      </c>
      <c r="G12" s="565" t="s">
        <v>33</v>
      </c>
      <c r="H12" s="565" t="s">
        <v>34</v>
      </c>
      <c r="I12" s="565"/>
      <c r="J12" s="565"/>
      <c r="K12" s="565" t="s">
        <v>35</v>
      </c>
      <c r="L12" s="577" t="s">
        <v>36</v>
      </c>
      <c r="N12" s="734"/>
      <c r="O12" s="774"/>
      <c r="P12" s="775"/>
      <c r="Q12" s="775"/>
      <c r="R12" s="775"/>
      <c r="S12" s="775"/>
      <c r="T12" s="775"/>
      <c r="U12" s="775"/>
      <c r="W12" s="772"/>
    </row>
    <row r="13" spans="1:23" ht="14.1" customHeight="1">
      <c r="C13" s="497" t="s">
        <v>315</v>
      </c>
      <c r="D13" s="497" t="s">
        <v>51</v>
      </c>
      <c r="E13" s="502">
        <v>602997</v>
      </c>
      <c r="F13" s="575" t="s">
        <v>33</v>
      </c>
      <c r="G13" s="565" t="s">
        <v>52</v>
      </c>
      <c r="H13" s="576"/>
      <c r="I13" s="565" t="s">
        <v>53</v>
      </c>
      <c r="J13" s="565" t="s">
        <v>47</v>
      </c>
      <c r="K13" s="565"/>
      <c r="L13" s="577"/>
      <c r="N13" s="734"/>
      <c r="O13" s="774"/>
      <c r="P13" s="775"/>
      <c r="Q13" s="775"/>
      <c r="R13" s="775"/>
      <c r="S13" s="775"/>
      <c r="T13" s="775"/>
      <c r="U13" s="775"/>
      <c r="W13" s="772"/>
    </row>
    <row r="14" spans="1:23" ht="14.1" customHeight="1">
      <c r="C14" s="504" t="s">
        <v>316</v>
      </c>
      <c r="D14" s="504" t="s">
        <v>55</v>
      </c>
      <c r="E14" s="502">
        <v>646459</v>
      </c>
      <c r="F14" s="575" t="s">
        <v>35</v>
      </c>
      <c r="G14" s="566" t="s">
        <v>33</v>
      </c>
      <c r="H14" s="566" t="s">
        <v>43</v>
      </c>
      <c r="I14" s="566" t="s">
        <v>34</v>
      </c>
      <c r="J14" s="576"/>
      <c r="K14" s="565"/>
      <c r="L14" s="577"/>
      <c r="N14" s="734"/>
      <c r="O14" s="774"/>
      <c r="P14" s="775"/>
      <c r="Q14" s="775"/>
      <c r="R14" s="775"/>
      <c r="S14" s="775"/>
      <c r="T14" s="775"/>
      <c r="U14" s="775"/>
      <c r="W14" s="772"/>
    </row>
    <row r="15" spans="1:23" ht="14.1" customHeight="1">
      <c r="C15" s="497" t="s">
        <v>318</v>
      </c>
      <c r="D15" s="504" t="s">
        <v>56</v>
      </c>
      <c r="E15" s="502">
        <v>632594</v>
      </c>
      <c r="F15" s="575"/>
      <c r="G15" s="565" t="s">
        <v>36</v>
      </c>
      <c r="H15" s="565" t="s">
        <v>33</v>
      </c>
      <c r="I15" s="565"/>
      <c r="J15" s="565"/>
      <c r="K15" s="565" t="s">
        <v>47</v>
      </c>
      <c r="L15" s="577" t="s">
        <v>43</v>
      </c>
      <c r="N15" s="734"/>
      <c r="O15" s="774"/>
      <c r="P15" s="775"/>
      <c r="Q15" s="775"/>
      <c r="R15" s="775"/>
      <c r="S15" s="775"/>
      <c r="T15" s="775"/>
      <c r="U15" s="775"/>
      <c r="W15" s="772"/>
    </row>
    <row r="16" spans="1:23" ht="14.1" customHeight="1">
      <c r="C16" s="497" t="s">
        <v>319</v>
      </c>
      <c r="D16" s="497" t="s">
        <v>58</v>
      </c>
      <c r="E16" s="502">
        <v>541622</v>
      </c>
      <c r="F16" s="582"/>
      <c r="G16" s="576"/>
      <c r="H16" s="576"/>
      <c r="I16" s="565" t="s">
        <v>33</v>
      </c>
      <c r="J16" s="578" t="s">
        <v>317</v>
      </c>
      <c r="K16" s="578" t="s">
        <v>317</v>
      </c>
      <c r="L16" s="578" t="s">
        <v>317</v>
      </c>
      <c r="N16" s="734"/>
      <c r="O16" s="774"/>
      <c r="P16" s="775"/>
      <c r="Q16" s="775"/>
      <c r="R16" s="775"/>
      <c r="S16" s="775"/>
      <c r="T16" s="775"/>
      <c r="U16" s="775"/>
      <c r="W16" s="772"/>
    </row>
    <row r="17" spans="3:23" ht="14.1" customHeight="1">
      <c r="C17" s="504" t="s">
        <v>320</v>
      </c>
      <c r="D17" s="504" t="s">
        <v>59</v>
      </c>
      <c r="E17" s="508">
        <v>614941</v>
      </c>
      <c r="F17" s="592" t="s">
        <v>61</v>
      </c>
      <c r="G17" s="593"/>
      <c r="H17" s="643"/>
      <c r="I17" s="212"/>
      <c r="J17" s="593"/>
      <c r="K17" s="593"/>
      <c r="L17" s="574"/>
      <c r="N17" s="773"/>
      <c r="O17" s="774"/>
      <c r="P17" s="775"/>
      <c r="Q17" s="775"/>
      <c r="R17" s="775"/>
      <c r="S17" s="775"/>
      <c r="T17" s="775"/>
      <c r="U17" s="775"/>
      <c r="W17" s="772"/>
    </row>
    <row r="18" spans="3:23" ht="14.1" customHeight="1">
      <c r="C18" s="497" t="s">
        <v>321</v>
      </c>
      <c r="D18" s="497" t="s">
        <v>63</v>
      </c>
      <c r="E18" s="502">
        <v>600989</v>
      </c>
      <c r="F18" s="582" t="s">
        <v>62</v>
      </c>
      <c r="G18" s="576"/>
      <c r="H18" s="583"/>
      <c r="I18" s="203"/>
      <c r="J18" s="576"/>
      <c r="K18" s="576"/>
      <c r="L18" s="579"/>
      <c r="N18" s="510" t="s">
        <v>322</v>
      </c>
      <c r="O18" s="102" t="str">
        <f t="shared" ref="O18:U18" si="8">INDEX($C7:$L188,MATCH("*AHJ*",F7:F191,0),1)</f>
        <v>CHRIS HMO</v>
      </c>
      <c r="P18" s="102" t="str">
        <f t="shared" si="8"/>
        <v>AARON N. HMO</v>
      </c>
      <c r="Q18" s="102" t="str">
        <f t="shared" si="8"/>
        <v>MILOS HMO</v>
      </c>
      <c r="R18" s="102" t="str">
        <f t="shared" si="8"/>
        <v>AARON G. HMO</v>
      </c>
      <c r="S18" s="102" t="str">
        <f t="shared" si="8"/>
        <v>ZOBIA HMO</v>
      </c>
      <c r="T18" s="102" t="e">
        <f t="shared" si="8"/>
        <v>#N/A</v>
      </c>
      <c r="U18" s="102" t="e">
        <f t="shared" si="8"/>
        <v>#N/A</v>
      </c>
      <c r="V18" s="34" t="s">
        <v>323</v>
      </c>
      <c r="W18" s="89">
        <v>1</v>
      </c>
    </row>
    <row r="19" spans="3:23" ht="14.1" customHeight="1">
      <c r="C19" s="511" t="s">
        <v>324</v>
      </c>
      <c r="D19" s="497" t="s">
        <v>64</v>
      </c>
      <c r="E19" s="502">
        <v>628578</v>
      </c>
      <c r="F19" s="575" t="s">
        <v>34</v>
      </c>
      <c r="G19" s="590"/>
      <c r="H19" s="76" t="s">
        <v>50</v>
      </c>
      <c r="I19" s="76" t="s">
        <v>47</v>
      </c>
      <c r="J19" s="565" t="s">
        <v>32</v>
      </c>
      <c r="K19" s="576"/>
      <c r="L19" s="604"/>
      <c r="N19" s="776" t="s">
        <v>325</v>
      </c>
      <c r="O19" s="777" t="str" cm="1">
        <f t="array" ref="O19">_xlfn.TEXTJOIN(CHAR(10),TRUE,_xlfn._xlws.FILTER($C7:$C184,RIGHT(F7:F184,LEN("ASSJ"))="ASSJ",""))</f>
        <v>BRIANNA HMO</v>
      </c>
      <c r="P19" s="750" t="str" cm="1">
        <f t="array" ref="P19">_xlfn.TEXTJOIN(CHAR(10),TRUE,_xlfn._xlws.FILTER($C7:$C184,RIGHT(G7:G184,LEN("ASSJ"))="ASSJ",""))</f>
        <v>MASON HMO</v>
      </c>
      <c r="Q19" s="750" t="str" cm="1">
        <f t="array" ref="Q19">_xlfn.TEXTJOIN(CHAR(10),TRUE,_xlfn._xlws.FILTER($C7:$C184,RIGHT(H7:H184,LEN("ASSJ"))="ASSJ",""))</f>
        <v>AARON N. HMO</v>
      </c>
      <c r="R19" s="750" t="str" cm="1">
        <f t="array" ref="R19">_xlfn.TEXTJOIN(CHAR(10),TRUE,_xlfn._xlws.FILTER($C7:$C184,RIGHT(I7:I184,LEN("ASSJ"))="ASSJ",""))</f>
        <v>VISHNU HMO</v>
      </c>
      <c r="S19" s="750" t="str" cm="1">
        <f t="array" ref="S19">_xlfn.TEXTJOIN(CHAR(10),TRUE,_xlfn._xlws.FILTER($C7:$C184,RIGHT(J7:J184,LEN("ASSJ"))="ASSJ",""))</f>
        <v>DEVUNI HMO</v>
      </c>
      <c r="T19" s="750" t="str" cm="1">
        <f t="array" ref="T19">_xlfn.TEXTJOIN(CHAR(10),TRUE,_xlfn._xlws.FILTER($C7:$C184,RIGHT(K7:K184,LEN("ASSJ"))="ASSJ",""))</f>
        <v>MIKEY HMO</v>
      </c>
      <c r="U19" s="788" t="str" cm="1">
        <f t="array" ref="U19">_xlfn.TEXTJOIN(CHAR(10),TRUE,_xlfn._xlws.FILTER($C7:$C184,RIGHT(L7:L184,LEN("ASSJ"))="ASSJ",""))</f>
        <v>WILL HMO</v>
      </c>
      <c r="V19" s="34" t="s">
        <v>326</v>
      </c>
      <c r="W19" s="772">
        <v>2</v>
      </c>
    </row>
    <row r="20" spans="3:23" ht="14.1" customHeight="1">
      <c r="C20" s="497" t="s">
        <v>327</v>
      </c>
      <c r="D20" s="504" t="s">
        <v>68</v>
      </c>
      <c r="E20" s="512">
        <v>628603</v>
      </c>
      <c r="F20" s="582"/>
      <c r="G20" s="565" t="s">
        <v>46</v>
      </c>
      <c r="H20" s="565" t="s">
        <v>33</v>
      </c>
      <c r="I20" s="565" t="s">
        <v>38</v>
      </c>
      <c r="J20" s="565" t="s">
        <v>36</v>
      </c>
      <c r="K20" s="565"/>
      <c r="L20" s="577"/>
      <c r="N20" s="776"/>
      <c r="O20" s="777"/>
      <c r="P20" s="750"/>
      <c r="Q20" s="750"/>
      <c r="R20" s="750"/>
      <c r="S20" s="750"/>
      <c r="T20" s="750"/>
      <c r="U20" s="788"/>
      <c r="W20" s="772"/>
    </row>
    <row r="21" spans="3:23" ht="14.1" customHeight="1">
      <c r="C21" s="513" t="s">
        <v>329</v>
      </c>
      <c r="D21" s="504" t="s">
        <v>71</v>
      </c>
      <c r="E21" s="113">
        <v>631416</v>
      </c>
      <c r="F21" s="592" t="s">
        <v>72</v>
      </c>
      <c r="G21" s="593"/>
      <c r="H21" s="593"/>
      <c r="I21" s="593"/>
      <c r="J21" s="593"/>
      <c r="K21" s="593"/>
      <c r="L21" s="574"/>
      <c r="N21" s="733" t="s">
        <v>330</v>
      </c>
      <c r="O21" s="777" t="str" cm="1">
        <f t="array" ref="O21">_xlfn.TEXTJOIN(CHAR(10),TRUE,IF(F112:F184="0800-1730",$C112:$C184,""))</f>
        <v>AREEBA HMO
FADIA HMO
Ann INT
Roxana INT</v>
      </c>
      <c r="P21" s="750" t="str" cm="1">
        <f t="array" ref="P21">_xlfn.TEXTJOIN(CHAR(10),TRUE,IF(G112:G184="0800-1730",$C112:$C184,""))</f>
        <v>HARRISON HMO
Sarah W. INT
Ann INT
Filip INT</v>
      </c>
      <c r="Q21" s="750" t="str" cm="1">
        <f t="array" ref="Q21">_xlfn.TEXTJOIN(CHAR(10),TRUE,IF(H112:H184="0800-1730",$C112:$C184,""))</f>
        <v>WILL HMO
Filip INT
Sarah C. INT
Jayce INT</v>
      </c>
      <c r="R21" s="750" t="str" cm="1">
        <f t="array" ref="R21">_xlfn.TEXTJOIN(CHAR(10),TRUE,IF(I112:I184="0800-1730",$C112:$C184,""))</f>
        <v>BRENDAN HMO
HARRISON HMO
Sarah C. INT
Jayce INT</v>
      </c>
      <c r="S21" s="750" t="str" cm="1">
        <f t="array" ref="S21">_xlfn.TEXTJOIN(CHAR(10),TRUE,IF(J112:J184="0800-1730",$C112:$C184,""))</f>
        <v>VISHNU HMO
MIKEY HMO
Sarah C. INT
Jayce INT</v>
      </c>
      <c r="T21" s="750" t="str" cm="1">
        <f t="array" ref="T21">_xlfn.TEXTJOIN(CHAR(10),TRUE,IF(K112:K184="0800-1730",$C112:$C184,""))</f>
        <v>BRIANNA HMO
MARYAM HMO
Daniel INT
Roxana INT</v>
      </c>
      <c r="U21" s="750" t="str" cm="1">
        <f t="array" ref="U21">_xlfn.TEXTJOIN(CHAR(10),TRUE,IF(L112:L184="0800-1730",$C112:$C184,""))</f>
        <v>BRIANNA HMO
MARYAM HMO
Daniel INT</v>
      </c>
      <c r="W21" s="772">
        <v>7</v>
      </c>
    </row>
    <row r="22" spans="3:23" ht="14.1" customHeight="1">
      <c r="C22" s="80" t="s">
        <v>331</v>
      </c>
      <c r="D22" s="514" t="s">
        <v>73</v>
      </c>
      <c r="E22" s="515">
        <v>613670</v>
      </c>
      <c r="F22" s="582" t="s">
        <v>74</v>
      </c>
      <c r="G22" s="576"/>
      <c r="H22" s="576"/>
      <c r="I22" s="576"/>
      <c r="J22" s="576"/>
      <c r="K22" s="576"/>
      <c r="L22" s="579"/>
      <c r="N22" s="734"/>
      <c r="O22" s="777"/>
      <c r="P22" s="750"/>
      <c r="Q22" s="750"/>
      <c r="R22" s="750"/>
      <c r="S22" s="750"/>
      <c r="T22" s="750"/>
      <c r="U22" s="750"/>
      <c r="W22" s="772"/>
    </row>
    <row r="23" spans="3:23" ht="14.1" customHeight="1">
      <c r="C23" s="511" t="s">
        <v>332</v>
      </c>
      <c r="D23" s="504" t="s">
        <v>76</v>
      </c>
      <c r="E23" s="516">
        <v>621988</v>
      </c>
      <c r="F23" s="587" t="s">
        <v>77</v>
      </c>
      <c r="G23" s="588"/>
      <c r="H23" s="588"/>
      <c r="I23" s="588"/>
      <c r="J23" s="588"/>
      <c r="K23" s="588"/>
      <c r="L23" s="579"/>
      <c r="N23" s="734"/>
      <c r="O23" s="777"/>
      <c r="P23" s="750"/>
      <c r="Q23" s="750"/>
      <c r="R23" s="750"/>
      <c r="S23" s="750"/>
      <c r="T23" s="750"/>
      <c r="U23" s="750"/>
      <c r="W23" s="772"/>
    </row>
    <row r="24" spans="3:23" ht="14.1" customHeight="1">
      <c r="C24" s="497" t="s">
        <v>333</v>
      </c>
      <c r="D24" s="497" t="s">
        <v>79</v>
      </c>
      <c r="E24" s="502">
        <v>609408</v>
      </c>
      <c r="F24" s="575" t="s">
        <v>33</v>
      </c>
      <c r="G24" s="565" t="s">
        <v>37</v>
      </c>
      <c r="H24" s="565"/>
      <c r="I24" s="565" t="s">
        <v>57</v>
      </c>
      <c r="J24" s="565" t="s">
        <v>34</v>
      </c>
      <c r="K24" s="565"/>
      <c r="L24" s="577"/>
      <c r="N24" s="734"/>
      <c r="O24" s="777"/>
      <c r="P24" s="750"/>
      <c r="Q24" s="750"/>
      <c r="R24" s="750"/>
      <c r="S24" s="750"/>
      <c r="T24" s="750"/>
      <c r="U24" s="750"/>
      <c r="W24" s="772"/>
    </row>
    <row r="25" spans="3:23" ht="14.1" customHeight="1">
      <c r="C25" s="511" t="s">
        <v>334</v>
      </c>
      <c r="D25" s="497" t="s">
        <v>81</v>
      </c>
      <c r="E25" s="516">
        <v>632646</v>
      </c>
      <c r="F25" s="587" t="s">
        <v>77</v>
      </c>
      <c r="G25" s="588"/>
      <c r="H25" s="588"/>
      <c r="I25" s="588"/>
      <c r="J25" s="588"/>
      <c r="K25" s="588"/>
      <c r="L25" s="579"/>
      <c r="N25" s="734"/>
      <c r="O25" s="777"/>
      <c r="P25" s="750"/>
      <c r="Q25" s="750"/>
      <c r="R25" s="750"/>
      <c r="S25" s="750"/>
      <c r="T25" s="750"/>
      <c r="U25" s="750"/>
      <c r="W25" s="772"/>
    </row>
    <row r="26" spans="3:23" ht="14.1" customHeight="1">
      <c r="C26" s="511" t="s">
        <v>335</v>
      </c>
      <c r="D26" s="497" t="s">
        <v>82</v>
      </c>
      <c r="E26" s="517">
        <v>634491</v>
      </c>
      <c r="F26" s="585" t="s">
        <v>36</v>
      </c>
      <c r="G26" s="586"/>
      <c r="H26" s="586"/>
      <c r="I26" s="586"/>
      <c r="J26" s="586" t="s">
        <v>50</v>
      </c>
      <c r="K26" s="586"/>
      <c r="L26" s="577"/>
      <c r="N26" s="734"/>
      <c r="O26" s="777"/>
      <c r="P26" s="750"/>
      <c r="Q26" s="750"/>
      <c r="R26" s="750"/>
      <c r="S26" s="750"/>
      <c r="T26" s="750"/>
      <c r="U26" s="750"/>
      <c r="W26" s="772"/>
    </row>
    <row r="27" spans="3:23" ht="14.1" customHeight="1" thickBot="1">
      <c r="C27" s="518" t="s">
        <v>83</v>
      </c>
      <c r="D27" s="518" t="s">
        <v>336</v>
      </c>
      <c r="E27" s="519"/>
      <c r="F27" s="316"/>
      <c r="G27" s="378"/>
      <c r="H27" s="378"/>
      <c r="I27" s="378"/>
      <c r="J27" s="378"/>
      <c r="K27" s="378"/>
      <c r="L27" s="319"/>
      <c r="N27" s="773"/>
      <c r="O27" s="777"/>
      <c r="P27" s="750"/>
      <c r="Q27" s="750"/>
      <c r="R27" s="750"/>
      <c r="S27" s="750"/>
      <c r="T27" s="750"/>
      <c r="U27" s="750"/>
      <c r="W27" s="772"/>
    </row>
    <row r="28" spans="3:23" ht="14.1" customHeight="1">
      <c r="C28" s="497" t="s">
        <v>337</v>
      </c>
      <c r="D28" s="497" t="s">
        <v>84</v>
      </c>
      <c r="E28" s="502">
        <v>502961</v>
      </c>
      <c r="F28" s="575" t="s">
        <v>89</v>
      </c>
      <c r="G28" s="565" t="s">
        <v>90</v>
      </c>
      <c r="H28" s="565"/>
      <c r="I28" s="565"/>
      <c r="J28" s="565"/>
      <c r="K28" s="565"/>
      <c r="L28" s="577"/>
      <c r="N28" s="778" t="s">
        <v>338</v>
      </c>
      <c r="O28" s="781" t="str" cm="1">
        <f t="array" ref="O28">_xlfn.TEXTJOIN(CHAR(10),TRUE,_xlfn._xlws.FILTER($C7:$C184,RIGHT(F7:F184,LEN("SWA"))="SWA",""))</f>
        <v>MILES SR</v>
      </c>
      <c r="P28" s="770" t="str" cm="1">
        <f t="array" ref="P28">_xlfn.TEXTJOIN(CHAR(10),TRUE,_xlfn._xlws.FILTER($C7:$C184,RIGHT(G7:G184,LEN("SWA"))="SWA",""))</f>
        <v>LAURA JR</v>
      </c>
      <c r="Q28" s="770" t="str" cm="1">
        <f t="array" ref="Q28">_xlfn.TEXTJOIN(CHAR(10),TRUE,_xlfn._xlws.FILTER($C7:$C184,RIGHT(H7:H184,LEN("SWA"))="SWA",""))</f>
        <v>HEATHER CMO</v>
      </c>
      <c r="R28" s="770" t="str" cm="1">
        <f t="array" ref="R28">_xlfn.TEXTJOIN(CHAR(10),TRUE,_xlfn._xlws.FILTER($C7:$C184,RIGHT(I7:I184,LEN("SWA"))="SWA",""))</f>
        <v/>
      </c>
      <c r="S28" s="770" t="str" cm="1">
        <f t="array" ref="S28">_xlfn.TEXTJOIN(CHAR(10),TRUE,_xlfn._xlws.FILTER($C7:$C184,RIGHT(J7:J184,LEN("SWA"))="SWA",""))</f>
        <v/>
      </c>
      <c r="T28" s="770" t="str" cm="1">
        <f t="array" ref="T28">_xlfn.TEXTJOIN(CHAR(10),TRUE,_xlfn._xlws.FILTER($C7:$C184,RIGHT(K7:K184,LEN("SWA"))="SWA",""))</f>
        <v/>
      </c>
      <c r="U28" s="771" t="str" cm="1">
        <f t="array" ref="U28">_xlfn.TEXTJOIN(CHAR(10),TRUE,_xlfn._xlws.FILTER($C7:$C184,RIGHT(L7:L184,LEN("SWA"))="SWA",""))</f>
        <v/>
      </c>
      <c r="V28" s="34" t="s">
        <v>339</v>
      </c>
      <c r="W28" s="772">
        <v>3</v>
      </c>
    </row>
    <row r="29" spans="3:23" ht="14.1" customHeight="1">
      <c r="C29" s="497" t="s">
        <v>340</v>
      </c>
      <c r="D29" s="497" t="s">
        <v>96</v>
      </c>
      <c r="E29" s="502">
        <v>601096</v>
      </c>
      <c r="F29" s="591" t="s">
        <v>359</v>
      </c>
      <c r="G29" s="590"/>
      <c r="H29" s="590"/>
      <c r="I29" s="578" t="s">
        <v>342</v>
      </c>
      <c r="J29" s="583"/>
      <c r="K29" s="578" t="s">
        <v>342</v>
      </c>
      <c r="L29" s="591" t="s">
        <v>359</v>
      </c>
      <c r="N29" s="779"/>
      <c r="O29" s="782"/>
      <c r="P29" s="740"/>
      <c r="Q29" s="740"/>
      <c r="R29" s="740"/>
      <c r="S29" s="740"/>
      <c r="T29" s="740"/>
      <c r="U29" s="764"/>
      <c r="W29" s="772"/>
    </row>
    <row r="30" spans="3:23" ht="14.1" customHeight="1" thickBot="1">
      <c r="C30" s="497" t="s">
        <v>341</v>
      </c>
      <c r="D30" s="497" t="s">
        <v>97</v>
      </c>
      <c r="E30" s="502">
        <v>260509</v>
      </c>
      <c r="F30" s="582"/>
      <c r="G30" s="576"/>
      <c r="H30" s="565" t="s">
        <v>33</v>
      </c>
      <c r="I30" s="565" t="s">
        <v>32</v>
      </c>
      <c r="J30" s="565" t="s">
        <v>37</v>
      </c>
      <c r="K30" s="576"/>
      <c r="L30" s="579"/>
      <c r="N30" s="780"/>
      <c r="O30" s="783"/>
      <c r="P30" s="741"/>
      <c r="Q30" s="741"/>
      <c r="R30" s="741"/>
      <c r="S30" s="741"/>
      <c r="T30" s="741"/>
      <c r="U30" s="765"/>
      <c r="W30" s="772"/>
    </row>
    <row r="31" spans="3:23" ht="14.1" customHeight="1" thickBot="1">
      <c r="C31" s="504" t="s">
        <v>343</v>
      </c>
      <c r="D31" s="504" t="s">
        <v>99</v>
      </c>
      <c r="E31" s="502">
        <v>603237</v>
      </c>
      <c r="F31" s="593" t="s">
        <v>98</v>
      </c>
      <c r="G31" s="593"/>
      <c r="H31" s="593"/>
      <c r="I31" s="593"/>
      <c r="J31" s="593"/>
      <c r="K31" s="593"/>
      <c r="L31" s="593"/>
      <c r="N31" s="101"/>
      <c r="O31" s="101"/>
      <c r="P31" s="101"/>
      <c r="Q31" s="101"/>
      <c r="R31" s="101"/>
      <c r="S31" s="101"/>
      <c r="T31" s="101"/>
      <c r="U31" s="101"/>
      <c r="V31" s="101"/>
      <c r="W31" s="101"/>
    </row>
    <row r="32" spans="3:23" ht="14.1" customHeight="1">
      <c r="C32" s="520" t="s">
        <v>344</v>
      </c>
      <c r="D32" s="520" t="s">
        <v>101</v>
      </c>
      <c r="E32" s="502">
        <v>613781</v>
      </c>
      <c r="F32" s="582"/>
      <c r="G32" s="565" t="s">
        <v>43</v>
      </c>
      <c r="H32" s="565" t="s">
        <v>38</v>
      </c>
      <c r="I32" s="576"/>
      <c r="J32" s="565" t="s">
        <v>33</v>
      </c>
      <c r="K32" s="583"/>
      <c r="L32" s="584"/>
      <c r="N32" s="103" t="s">
        <v>345</v>
      </c>
      <c r="O32" s="98" t="str">
        <f>F62</f>
        <v>REZA</v>
      </c>
      <c r="P32" s="98" t="str">
        <f>G62</f>
        <v>REZA</v>
      </c>
      <c r="Q32" s="98" t="str">
        <f t="shared" ref="Q32:S32" si="9">H62</f>
        <v>ARRHCHIE</v>
      </c>
      <c r="R32" s="98" t="str">
        <f t="shared" si="9"/>
        <v>REZA</v>
      </c>
      <c r="S32" s="98" t="str">
        <f t="shared" si="9"/>
        <v>ARRHCHIE</v>
      </c>
      <c r="T32" s="99"/>
      <c r="U32" s="100"/>
      <c r="W32" s="89"/>
    </row>
    <row r="33" spans="3:23" ht="14.1" customHeight="1" thickBot="1">
      <c r="C33" s="497" t="s">
        <v>346</v>
      </c>
      <c r="D33" s="497" t="s">
        <v>102</v>
      </c>
      <c r="E33" s="502">
        <v>611691</v>
      </c>
      <c r="F33" s="583" t="s">
        <v>1</v>
      </c>
      <c r="G33" s="565" t="s">
        <v>47</v>
      </c>
      <c r="H33" s="565"/>
      <c r="I33" s="565"/>
      <c r="J33" s="583" t="s">
        <v>1</v>
      </c>
      <c r="K33" s="565" t="s">
        <v>36</v>
      </c>
      <c r="L33" s="565" t="s">
        <v>38</v>
      </c>
      <c r="N33" s="834" t="s">
        <v>347</v>
      </c>
      <c r="O33" s="521" t="str" cm="1">
        <f t="array" ref="O33">_xlfn.TEXTJOIN(CHAR(10),TRUE,_xlfn._xlws.FILTER($C7:$C184,RIGHT(F7:F184,LEN("CSO"))="CSO",""))</f>
        <v>YAN SMS</v>
      </c>
      <c r="P33" s="835" t="str" cm="1">
        <f t="array" ref="P33">_xlfn.TEXTJOIN(CHAR(10),TRUE,_xlfn._xlws.FILTER($C7:$C184,RIGHT(G7:G184,LEN("CSO"))="CSO",""))</f>
        <v/>
      </c>
      <c r="Q33" s="835" t="str" cm="1">
        <f t="array" ref="Q33">_xlfn.TEXTJOIN(CHAR(10),TRUE,_xlfn._xlws.FILTER($C7:$C184,RIGHT(H7:H184,LEN("CSO"))="CSO",""))</f>
        <v>MINA SMS</v>
      </c>
      <c r="R33" s="835" t="str" cm="1">
        <f t="array" ref="R33">_xlfn.TEXTJOIN(CHAR(10),TRUE,_xlfn._xlws.FILTER($C7:$C184,RIGHT(I7:I184,LEN("CSO"))="CSO",""))</f>
        <v>DANIEL SMS</v>
      </c>
      <c r="S33" s="835" t="str" cm="1">
        <f t="array" ref="S33">_xlfn.TEXTJOIN(CHAR(10),TRUE,_xlfn._xlws.FILTER($C7:$C184,RIGHT(J7:J184,LEN("CSO"))="CSO",""))</f>
        <v>GARGI SMS</v>
      </c>
      <c r="T33" s="835"/>
      <c r="U33" s="836"/>
      <c r="W33" s="89"/>
    </row>
    <row r="34" spans="3:23" ht="14.1" customHeight="1" thickBot="1">
      <c r="C34" s="497" t="s">
        <v>348</v>
      </c>
      <c r="D34" s="504" t="s">
        <v>103</v>
      </c>
      <c r="E34" s="502">
        <v>634258</v>
      </c>
      <c r="F34" s="572" t="s">
        <v>31</v>
      </c>
      <c r="G34" s="573"/>
      <c r="H34" s="573"/>
      <c r="I34" s="573"/>
      <c r="J34" s="573"/>
      <c r="K34" s="573"/>
      <c r="L34" s="574"/>
      <c r="O34" s="89"/>
      <c r="W34" s="89"/>
    </row>
    <row r="35" spans="3:23" ht="14.1" customHeight="1" thickBot="1">
      <c r="C35" s="504" t="s">
        <v>349</v>
      </c>
      <c r="D35" s="504" t="s">
        <v>104</v>
      </c>
      <c r="E35" s="506">
        <v>618946</v>
      </c>
      <c r="F35" s="575" t="s">
        <v>33</v>
      </c>
      <c r="G35" s="565" t="s">
        <v>32</v>
      </c>
      <c r="H35" s="565" t="s">
        <v>35</v>
      </c>
      <c r="I35" s="565"/>
      <c r="J35" s="576"/>
      <c r="K35" s="565"/>
      <c r="L35" s="576"/>
      <c r="O35" s="784" t="s">
        <v>350</v>
      </c>
      <c r="P35" s="785"/>
      <c r="Q35" s="785"/>
      <c r="R35" s="785"/>
      <c r="S35" s="785"/>
      <c r="T35" s="785"/>
      <c r="U35" s="786"/>
      <c r="W35" s="89" t="s">
        <v>351</v>
      </c>
    </row>
    <row r="36" spans="3:23" ht="14.1" customHeight="1">
      <c r="C36" s="504" t="s">
        <v>352</v>
      </c>
      <c r="D36" s="504" t="s">
        <v>109</v>
      </c>
      <c r="E36" s="502">
        <v>634702</v>
      </c>
      <c r="F36" s="592" t="s">
        <v>98</v>
      </c>
      <c r="G36" s="593"/>
      <c r="H36" s="593"/>
      <c r="I36" s="593"/>
      <c r="J36" s="593"/>
      <c r="K36" s="593"/>
      <c r="L36" s="594"/>
      <c r="N36" s="104" t="s">
        <v>303</v>
      </c>
      <c r="O36" s="105" t="str">
        <f t="shared" ref="O36:U36" si="10">INDEX($C7:$L188,MATCH("*Pgc",F7:F191,0),1)</f>
        <v>GARGI SMS</v>
      </c>
      <c r="P36" s="99" t="str">
        <f t="shared" si="10"/>
        <v>ABI SMS</v>
      </c>
      <c r="Q36" s="99" t="str">
        <f t="shared" si="10"/>
        <v>YAN SMS</v>
      </c>
      <c r="R36" s="99" t="e">
        <f t="shared" si="10"/>
        <v>#N/A</v>
      </c>
      <c r="S36" s="99" t="str">
        <f t="shared" si="10"/>
        <v>CHAMARA SMS</v>
      </c>
      <c r="T36" s="99" t="str">
        <f t="shared" si="10"/>
        <v>ANDY L  SMS</v>
      </c>
      <c r="U36" s="100" t="str">
        <f t="shared" si="10"/>
        <v>STEVE T SMS</v>
      </c>
      <c r="V36" s="34" t="s">
        <v>293</v>
      </c>
      <c r="W36" s="772">
        <v>5</v>
      </c>
    </row>
    <row r="37" spans="3:23" ht="14.1" customHeight="1">
      <c r="C37" s="78" t="s">
        <v>353</v>
      </c>
      <c r="D37" s="504" t="s">
        <v>110</v>
      </c>
      <c r="E37" s="498">
        <v>648587</v>
      </c>
      <c r="F37" s="572" t="s">
        <v>31</v>
      </c>
      <c r="G37" s="573"/>
      <c r="H37" s="573"/>
      <c r="I37" s="573"/>
      <c r="J37" s="573"/>
      <c r="K37" s="573"/>
      <c r="L37" s="574"/>
      <c r="N37" s="522" t="s">
        <v>305</v>
      </c>
      <c r="O37" s="523" t="e">
        <f t="shared" ref="O37:U37" si="11">INDEX($C7:$L188,MATCH("*PAC",F7:F190,0),1)</f>
        <v>#N/A</v>
      </c>
      <c r="P37" s="500" t="str">
        <f t="shared" si="11"/>
        <v>SUSAN SMS</v>
      </c>
      <c r="Q37" s="500" t="str">
        <f t="shared" si="11"/>
        <v>STEPHEN G SMS</v>
      </c>
      <c r="R37" s="500" t="str">
        <f t="shared" si="11"/>
        <v>CHAMARA SMS</v>
      </c>
      <c r="S37" s="500" t="str">
        <f t="shared" si="11"/>
        <v>JULIA SMS</v>
      </c>
      <c r="T37" s="500" t="str">
        <f t="shared" si="11"/>
        <v>RAMI SMS</v>
      </c>
      <c r="U37" s="501" t="str">
        <f t="shared" si="11"/>
        <v>ANDY L  SMS</v>
      </c>
      <c r="V37" s="34" t="s">
        <v>292</v>
      </c>
      <c r="W37" s="772"/>
    </row>
    <row r="38" spans="3:23" ht="14.1" customHeight="1">
      <c r="C38" s="78" t="s">
        <v>354</v>
      </c>
      <c r="D38" s="504" t="s">
        <v>111</v>
      </c>
      <c r="E38" s="498">
        <v>637933</v>
      </c>
      <c r="F38" s="204"/>
      <c r="G38" s="566"/>
      <c r="H38" s="566" t="s">
        <v>47</v>
      </c>
      <c r="I38" s="576" t="s">
        <v>50</v>
      </c>
      <c r="J38" s="566" t="s">
        <v>40</v>
      </c>
      <c r="K38" s="566"/>
      <c r="L38" s="598"/>
      <c r="N38" s="524" t="s">
        <v>307</v>
      </c>
      <c r="O38" s="523" t="str">
        <f t="shared" ref="O38:U38" si="12">INDEX($C7:$L188,MATCH("*PRC",F7:F191,0),1)</f>
        <v>QING SMS</v>
      </c>
      <c r="P38" s="500" t="str">
        <f t="shared" si="12"/>
        <v>PAIGE SMS</v>
      </c>
      <c r="Q38" s="500" t="str">
        <f t="shared" si="12"/>
        <v>SCOTT SMS</v>
      </c>
      <c r="R38" s="500" t="str">
        <f t="shared" si="12"/>
        <v>YAN SMS</v>
      </c>
      <c r="S38" s="500" t="str">
        <f t="shared" si="12"/>
        <v>BEN SMS</v>
      </c>
      <c r="T38" s="500" t="str">
        <f t="shared" si="12"/>
        <v>STEVE T SMS</v>
      </c>
      <c r="U38" s="501" t="str">
        <f t="shared" si="12"/>
        <v>RAMI SMS</v>
      </c>
      <c r="V38" s="34" t="s">
        <v>291</v>
      </c>
      <c r="W38" s="772"/>
    </row>
    <row r="39" spans="3:23" ht="14.1" customHeight="1">
      <c r="C39" s="504" t="s">
        <v>355</v>
      </c>
      <c r="D39" s="504" t="s">
        <v>112</v>
      </c>
      <c r="E39" s="506">
        <v>634394</v>
      </c>
      <c r="F39" s="581" t="s">
        <v>50</v>
      </c>
      <c r="G39" s="66"/>
      <c r="H39" s="566" t="s">
        <v>36</v>
      </c>
      <c r="I39" s="566" t="s">
        <v>35</v>
      </c>
      <c r="J39" s="576"/>
      <c r="K39" s="566"/>
      <c r="L39" s="598"/>
      <c r="N39" s="525" t="s">
        <v>309</v>
      </c>
      <c r="O39" s="523" t="str">
        <f t="shared" ref="O39:U39" si="13">INDEX($C7:$L188,MATCH("*PSSC",F7:F191,0),1)</f>
        <v>MINA SMS</v>
      </c>
      <c r="P39" s="500" t="e">
        <f t="shared" si="13"/>
        <v>#N/A</v>
      </c>
      <c r="Q39" s="500" t="str">
        <f t="shared" si="13"/>
        <v>STEVE T SMS</v>
      </c>
      <c r="R39" s="500" t="str">
        <f t="shared" si="13"/>
        <v>QING SMS</v>
      </c>
      <c r="S39" s="500" t="str">
        <f t="shared" si="13"/>
        <v>MICHAEL SMS</v>
      </c>
      <c r="T39" s="500" t="str">
        <f t="shared" si="13"/>
        <v>PAIGE SMS</v>
      </c>
      <c r="U39" s="501" t="str">
        <f t="shared" si="13"/>
        <v>MADDY SMS</v>
      </c>
      <c r="V39" s="34" t="s">
        <v>295</v>
      </c>
      <c r="W39" s="772"/>
    </row>
    <row r="40" spans="3:23" ht="14.1" customHeight="1">
      <c r="C40" s="497" t="s">
        <v>356</v>
      </c>
      <c r="D40" s="526" t="s">
        <v>113</v>
      </c>
      <c r="E40" s="502">
        <v>605686</v>
      </c>
      <c r="F40" s="611" t="s">
        <v>33</v>
      </c>
      <c r="G40" s="600"/>
      <c r="H40" s="601"/>
      <c r="I40" s="600" t="s">
        <v>41</v>
      </c>
      <c r="J40" s="600" t="s">
        <v>38</v>
      </c>
      <c r="K40" s="600"/>
      <c r="L40" s="603"/>
      <c r="N40" s="527" t="s">
        <v>357</v>
      </c>
      <c r="O40" s="523" t="e">
        <f t="shared" ref="O40:U40" si="14">INDEX($C7:$L214,MATCH("*PCC*",F7:F202,0),1)</f>
        <v>#N/A</v>
      </c>
      <c r="P40" s="500" t="str">
        <f t="shared" si="14"/>
        <v>CHAMARA SMS</v>
      </c>
      <c r="Q40" s="500" t="str">
        <f>INDEX($C7:$L214,MATCH("*PCC*",H7:H199,0),1)</f>
        <v>NICOLA SMS</v>
      </c>
      <c r="R40" s="500" t="str">
        <f t="shared" si="14"/>
        <v>BEN SMS</v>
      </c>
      <c r="S40" s="500" t="str">
        <f t="shared" si="14"/>
        <v>JEREMY SMS</v>
      </c>
      <c r="T40" s="500" t="e">
        <f t="shared" si="14"/>
        <v>#N/A</v>
      </c>
      <c r="U40" s="501" t="e">
        <f t="shared" si="14"/>
        <v>#N/A</v>
      </c>
      <c r="V40" s="34" t="s">
        <v>294</v>
      </c>
      <c r="W40" s="772"/>
    </row>
    <row r="41" spans="3:23" ht="14.1" customHeight="1">
      <c r="C41" s="79" t="s">
        <v>358</v>
      </c>
      <c r="D41" s="497" t="s">
        <v>114</v>
      </c>
      <c r="E41" s="502">
        <v>119385</v>
      </c>
      <c r="F41" s="566"/>
      <c r="G41" s="566" t="s">
        <v>38</v>
      </c>
      <c r="H41" s="566"/>
      <c r="I41" s="565" t="s">
        <v>43</v>
      </c>
      <c r="J41" s="565"/>
      <c r="K41" s="565" t="s">
        <v>498</v>
      </c>
      <c r="L41" s="577"/>
      <c r="N41" s="789" t="s">
        <v>360</v>
      </c>
      <c r="O41" s="787" t="str" cm="1">
        <f t="array" ref="O41">_xlfn.TEXTJOIN(CHAR(10),TRUE,IF(F7:F111="1430-0000 PFC",$C7:$C111,""),IF(F7:F111="1400-0000 PFC",$C7:$C111,""),IF(F7:F111="1430-0000",$C7:$C111,""))</f>
        <v>SALEEM CMO
MARK SR
WILLIAM SR
MIKHAR IR
SHIV IR</v>
      </c>
      <c r="P41" s="750" t="str" cm="1">
        <f t="array" ref="P41">_xlfn.TEXTJOIN(CHAR(10),TRUE,IF(G7:G111="1430-0000 PFC",$C7:$C111,""),IF(G7:G111="1400-0000 PFC",$C7:$C111,""),IF(G7:G111="1430-0000",$C7:$C111,""))</f>
        <v>MILES SR
MARK SR
MIKHAR IR
JESSICA JR</v>
      </c>
      <c r="Q41" s="750" t="str" cm="1">
        <f t="array" ref="Q41">_xlfn.TEXTJOIN(CHAR(10),TRUE,IF(H7:H111="1430-0000 PFC",$C7:$C111,""),IF(H7:H111="1400-0000 PFC",$C7:$C111,""),IF(H7:H111="1430-0000",$C7:$C111,""))</f>
        <v>SINDY SMS
WILLIAM SR
SHIV IR</v>
      </c>
      <c r="R41" s="750" t="str" cm="1">
        <f t="array" ref="R41">_xlfn.TEXTJOIN(CHAR(10),TRUE,IF(I7:I111="1430-0000 PFC",$C7:$C111,""),IF(I7:I111="1400-0000 PFC",$C7:$C111,""),IF(I7:I111="1430-0000",$C7:$C111,""))</f>
        <v>KELLY JR</v>
      </c>
      <c r="S41" s="750" t="str" cm="1">
        <f t="array" ref="S41">_xlfn.TEXTJOIN(CHAR(10),TRUE,IF(J7:J111="1430-0000 PFC",$C7:$C111,""),IF(J7:J111="1400-0000 PFC",$C7:$C111,""),IF(J7:J111="1430-0000",$C7:$C111,""))</f>
        <v>MARK SR
POH JR
PAUL JR</v>
      </c>
      <c r="T41" s="750" t="str" cm="1">
        <f t="array" ref="T41">_xlfn.TEXTJOIN(CHAR(10),TRUE,IF(K7:K111="1430-0000 PFC",$C7:$C111,""),IF(K7:K111="1400-0000 PFC",$C7:$C111,""),IF(K7:K111="1430-0000",$C7:$C111,""))</f>
        <v>PATRICK SR</v>
      </c>
      <c r="U41" s="788" t="str" cm="1">
        <f t="array" ref="U41">_xlfn.TEXTJOIN(CHAR(10),TRUE,IF(L7:L111="1430-0000 PFC",$C7:$C111,""),IF(L7:L111="1400-0000 PFC",$C7:$C111,""),IF(L7:L111="1430-0000",$C7:$C111,""))</f>
        <v>PATRICK SR
MIKHAR IR</v>
      </c>
      <c r="W41" s="772">
        <v>7</v>
      </c>
    </row>
    <row r="42" spans="3:23" ht="14.1" customHeight="1">
      <c r="C42" s="504" t="s">
        <v>361</v>
      </c>
      <c r="D42" s="504" t="s">
        <v>116</v>
      </c>
      <c r="E42" s="502">
        <v>623962</v>
      </c>
      <c r="F42" s="575"/>
      <c r="G42" s="65" t="s">
        <v>40</v>
      </c>
      <c r="H42" s="65"/>
      <c r="I42" s="65" t="s">
        <v>33</v>
      </c>
      <c r="J42" s="565"/>
      <c r="K42" s="565"/>
      <c r="L42" s="604"/>
      <c r="N42" s="790"/>
      <c r="O42" s="787"/>
      <c r="P42" s="750"/>
      <c r="Q42" s="750"/>
      <c r="R42" s="750"/>
      <c r="S42" s="750"/>
      <c r="T42" s="750"/>
      <c r="U42" s="788"/>
      <c r="W42" s="772"/>
    </row>
    <row r="43" spans="3:23" ht="14.1" customHeight="1">
      <c r="C43" s="497" t="s">
        <v>362</v>
      </c>
      <c r="D43" s="504" t="s">
        <v>117</v>
      </c>
      <c r="E43" s="508">
        <v>613725</v>
      </c>
      <c r="F43" s="582"/>
      <c r="G43" s="565" t="s">
        <v>35</v>
      </c>
      <c r="H43" s="565" t="s">
        <v>33</v>
      </c>
      <c r="I43" s="565"/>
      <c r="J43" s="565"/>
      <c r="K43" s="644" t="s">
        <v>34</v>
      </c>
      <c r="L43" s="576"/>
      <c r="N43" s="790"/>
      <c r="O43" s="787"/>
      <c r="P43" s="750"/>
      <c r="Q43" s="750"/>
      <c r="R43" s="750"/>
      <c r="S43" s="750"/>
      <c r="T43" s="750"/>
      <c r="U43" s="788"/>
      <c r="W43" s="772"/>
    </row>
    <row r="44" spans="3:23" ht="14.1" customHeight="1">
      <c r="C44" s="497" t="s">
        <v>363</v>
      </c>
      <c r="D44" s="504" t="s">
        <v>118</v>
      </c>
      <c r="E44" s="516">
        <v>612264</v>
      </c>
      <c r="F44" s="575"/>
      <c r="G44" s="565"/>
      <c r="H44" s="565"/>
      <c r="I44" s="565" t="s">
        <v>46</v>
      </c>
      <c r="J44" s="565" t="s">
        <v>35</v>
      </c>
      <c r="K44" s="565"/>
      <c r="L44" s="577"/>
      <c r="N44" s="790"/>
      <c r="O44" s="787"/>
      <c r="P44" s="750"/>
      <c r="Q44" s="750"/>
      <c r="R44" s="750"/>
      <c r="S44" s="750"/>
      <c r="T44" s="750"/>
      <c r="U44" s="788"/>
      <c r="W44" s="772"/>
    </row>
    <row r="45" spans="3:23" ht="14.1" customHeight="1">
      <c r="C45" s="497" t="s">
        <v>364</v>
      </c>
      <c r="D45" s="497" t="s">
        <v>119</v>
      </c>
      <c r="E45" s="502">
        <v>643950</v>
      </c>
      <c r="F45" s="575" t="s">
        <v>37</v>
      </c>
      <c r="G45" s="576"/>
      <c r="H45" s="565" t="s">
        <v>32</v>
      </c>
      <c r="I45" s="576"/>
      <c r="J45" s="576"/>
      <c r="K45" s="565"/>
      <c r="L45" s="577"/>
      <c r="N45" s="790"/>
      <c r="O45" s="787"/>
      <c r="P45" s="750"/>
      <c r="Q45" s="750"/>
      <c r="R45" s="750"/>
      <c r="S45" s="750"/>
      <c r="T45" s="750"/>
      <c r="U45" s="788"/>
      <c r="W45" s="772"/>
    </row>
    <row r="46" spans="3:23" ht="14.1" customHeight="1">
      <c r="C46" s="79" t="s">
        <v>365</v>
      </c>
      <c r="D46" s="723" t="s">
        <v>120</v>
      </c>
      <c r="E46" s="502">
        <v>618881</v>
      </c>
      <c r="F46" s="575" t="s">
        <v>33</v>
      </c>
      <c r="G46" s="565"/>
      <c r="H46" s="565" t="s">
        <v>150</v>
      </c>
      <c r="I46" s="565"/>
      <c r="J46" s="565"/>
      <c r="K46" s="565"/>
      <c r="L46" s="577"/>
      <c r="N46" s="790"/>
      <c r="O46" s="787"/>
      <c r="P46" s="750"/>
      <c r="Q46" s="750"/>
      <c r="R46" s="750"/>
      <c r="S46" s="750"/>
      <c r="T46" s="750"/>
      <c r="U46" s="788"/>
      <c r="W46" s="772"/>
    </row>
    <row r="47" spans="3:23" ht="14.1" customHeight="1">
      <c r="C47" s="497" t="s">
        <v>366</v>
      </c>
      <c r="D47" s="497" t="s">
        <v>122</v>
      </c>
      <c r="E47" s="508">
        <v>141658</v>
      </c>
      <c r="F47" s="592" t="s">
        <v>98</v>
      </c>
      <c r="G47" s="593"/>
      <c r="H47" s="593"/>
      <c r="I47" s="593"/>
      <c r="J47" s="593"/>
      <c r="K47" s="593"/>
      <c r="L47" s="594"/>
      <c r="N47" s="791"/>
      <c r="O47" s="787"/>
      <c r="P47" s="750"/>
      <c r="Q47" s="750"/>
      <c r="R47" s="750"/>
      <c r="S47" s="750"/>
      <c r="T47" s="750"/>
      <c r="U47" s="788"/>
      <c r="W47" s="101"/>
    </row>
    <row r="48" spans="3:23" ht="14.1" customHeight="1">
      <c r="C48" s="511" t="s">
        <v>367</v>
      </c>
      <c r="D48" s="504" t="s">
        <v>123</v>
      </c>
      <c r="E48" s="516">
        <v>654004</v>
      </c>
      <c r="F48" s="582"/>
      <c r="G48" s="576"/>
      <c r="H48" s="576"/>
      <c r="I48" s="576"/>
      <c r="J48" s="576"/>
      <c r="K48" s="565" t="s">
        <v>38</v>
      </c>
      <c r="L48" s="577" t="s">
        <v>35</v>
      </c>
      <c r="N48" s="528" t="s">
        <v>368</v>
      </c>
      <c r="O48" s="523" t="str">
        <f t="shared" ref="O48:U48" si="15">INDEX($C7:$L188,MATCH("*PHJ*",F7:F191,0),1)</f>
        <v>JESSICA JR</v>
      </c>
      <c r="P48" s="500" t="str">
        <f t="shared" si="15"/>
        <v>RACHEL JR</v>
      </c>
      <c r="Q48" s="500" t="str">
        <f t="shared" si="15"/>
        <v>LAURA JR</v>
      </c>
      <c r="R48" s="500" t="str">
        <f t="shared" si="15"/>
        <v>PAUL JR</v>
      </c>
      <c r="S48" s="500" t="str">
        <f t="shared" si="15"/>
        <v>ISOBEL JR</v>
      </c>
      <c r="T48" s="500" t="e">
        <f t="shared" si="15"/>
        <v>#N/A</v>
      </c>
      <c r="U48" s="501" t="e">
        <f t="shared" si="15"/>
        <v>#N/A</v>
      </c>
      <c r="V48" s="34" t="s">
        <v>369</v>
      </c>
      <c r="W48" s="89">
        <v>1</v>
      </c>
    </row>
    <row r="49" spans="3:23" ht="14.1" customHeight="1">
      <c r="C49" s="511" t="s">
        <v>370</v>
      </c>
      <c r="D49" s="504" t="s">
        <v>124</v>
      </c>
      <c r="E49" s="516">
        <v>655191</v>
      </c>
      <c r="F49" s="250" t="s">
        <v>493</v>
      </c>
      <c r="G49" s="606"/>
      <c r="H49" s="606"/>
      <c r="I49" s="606"/>
      <c r="J49" s="606"/>
      <c r="K49" s="606"/>
      <c r="L49" s="607"/>
      <c r="N49" s="792" t="s">
        <v>325</v>
      </c>
      <c r="O49" s="787" t="str" cm="1">
        <f t="array" ref="O49">_xlfn.TEXTJOIN(CHAR(10),TRUE,_xlfn._xlws.FILTER($C7:$C184,RIGHT(F7:F184,LEN("pSSJ"))="pSSJ",""))</f>
        <v>AARON G. HMO</v>
      </c>
      <c r="P49" s="750" t="str" cm="1">
        <f t="array" ref="P49">_xlfn.TEXTJOIN(CHAR(10),TRUE,_xlfn._xlws.FILTER($C7:$C184,RIGHT(G7:G184,LEN("pSSJ"))="pSSJ",""))</f>
        <v>PHILLIP HMO</v>
      </c>
      <c r="Q49" s="750" t="str" cm="1">
        <f t="array" ref="Q49">_xlfn.TEXTJOIN(CHAR(10),TRUE,_xlfn._xlws.FILTER($C7:$C184,RIGHT(H7:H184,LEN("pSSJ"))="pSSJ",""))</f>
        <v/>
      </c>
      <c r="R49" s="750" t="str" cm="1">
        <f t="array" ref="R49">_xlfn.TEXTJOIN(CHAR(10),TRUE,_xlfn._xlws.FILTER($C7:$C184,RIGHT(I7:I184,LEN("pSSJ"))="pSSJ",""))</f>
        <v>ANKUSH HMO</v>
      </c>
      <c r="S49" s="750" t="str" cm="1">
        <f t="array" ref="S49">_xlfn.TEXTJOIN(CHAR(10),TRUE,_xlfn._xlws.FILTER($C7:$C184,RIGHT(J7:J184,LEN("pSSJ"))="pSSJ",""))</f>
        <v/>
      </c>
      <c r="T49" s="750" t="str" cm="1">
        <f t="array" ref="T49">_xlfn.TEXTJOIN(CHAR(10),TRUE,_xlfn._xlws.FILTER($C7:$C184,RIGHT(K7:K184,LEN("pSSJ"))="pSSJ",""))</f>
        <v>ZOBIA HMO</v>
      </c>
      <c r="U49" s="788" t="str" cm="1">
        <f t="array" ref="U49">_xlfn.TEXTJOIN(CHAR(10),TRUE,_xlfn._xlws.FILTER($C7:$C184,RIGHT(L7:L184,LEN("pSSJ"))="pSSJ",""))</f>
        <v>HARRISON HMO</v>
      </c>
      <c r="V49" s="34" t="s">
        <v>372</v>
      </c>
      <c r="W49" s="772">
        <v>2</v>
      </c>
    </row>
    <row r="50" spans="3:23" ht="14.1" customHeight="1">
      <c r="C50" s="511" t="s">
        <v>373</v>
      </c>
      <c r="D50" s="504" t="s">
        <v>126</v>
      </c>
      <c r="E50" s="516">
        <v>653055</v>
      </c>
      <c r="F50" s="595" t="s">
        <v>30</v>
      </c>
      <c r="G50" s="596"/>
      <c r="H50" s="596"/>
      <c r="I50" s="596"/>
      <c r="J50" s="596"/>
      <c r="K50" s="596"/>
      <c r="L50" s="597"/>
      <c r="N50" s="792"/>
      <c r="O50" s="787"/>
      <c r="P50" s="750"/>
      <c r="Q50" s="750"/>
      <c r="R50" s="750"/>
      <c r="S50" s="750"/>
      <c r="T50" s="750"/>
      <c r="U50" s="788"/>
      <c r="W50" s="772"/>
    </row>
    <row r="51" spans="3:23" ht="14.1" customHeight="1">
      <c r="C51" s="497" t="s">
        <v>374</v>
      </c>
      <c r="D51" s="340" t="s">
        <v>128</v>
      </c>
      <c r="E51" s="502">
        <v>650059</v>
      </c>
      <c r="F51" s="610"/>
      <c r="G51" s="576"/>
      <c r="H51" s="576"/>
      <c r="I51" s="600" t="s">
        <v>33</v>
      </c>
      <c r="J51" s="600" t="s">
        <v>46</v>
      </c>
      <c r="K51" s="600"/>
      <c r="L51" s="603"/>
      <c r="N51" s="733" t="s">
        <v>330</v>
      </c>
      <c r="O51" s="736" t="str" cm="1">
        <f t="array" ref="O51">_xlfn.TEXTJOIN(CHAR(10),TRUE,IF(F112:F184="1430-0000",$C112:$C184,""))</f>
        <v>VISHNU HMO
PIN HMO
TRAM HMO
Ranusha INT
Sarah C. INT</v>
      </c>
      <c r="P51" s="739" t="str" cm="1">
        <f t="array" ref="P51">_xlfn.TEXTJOIN(CHAR(10),TRUE,IF(G112:G184="1430-0000",$C112:$C184,""))</f>
        <v>AARON G. HMO
VISHNU HMO
CHRIS HMO
DEVUNI HMO
Arooj INT</v>
      </c>
      <c r="Q51" s="739" t="str" cm="1">
        <f t="array" ref="Q51">_xlfn.TEXTJOIN(CHAR(10),TRUE,IF(H112:H184="1430-0000",$C112:$C184,""))</f>
        <v>PHILLIP HMO
DEVUNI HMO
MIKEY HMO
MARYAM HMO
Arooj INT
Roxana INT</v>
      </c>
      <c r="R51" s="739" t="str" cm="1">
        <f t="array" ref="R51">_xlfn.TEXTJOIN(CHAR(10),TRUE,IF(I112:I184="1430-0000",$C112:$C184,""))</f>
        <v>BRIANNA HMO
CHRIS HMO
MARYAM HMO
Sarah W. INT
Arooj INT
Roxana INT</v>
      </c>
      <c r="S51" s="739" t="str" cm="1">
        <f t="array" ref="S51">_xlfn.TEXTJOIN(CHAR(10),TRUE,IF(J112:J184="1430-0000",$C112:$C184,""))</f>
        <v>AARON G. HMO
MASON HMO
CHRIS HMO
Sarah W. INT
Arooj INT</v>
      </c>
      <c r="T51" s="739" t="str" cm="1">
        <f t="array" ref="T51">_xlfn.TEXTJOIN(CHAR(10),TRUE,IF(K112:K184="1430-0000",$C112:$C184,""))</f>
        <v>AARON N. HMO
LISA HMO
HARRISON HMO
Ann INT</v>
      </c>
      <c r="U51" s="763" t="str" cm="1">
        <f t="array" ref="U51">_xlfn.TEXTJOIN(CHAR(10),TRUE,IF(L112:L184="1430-0000",$C112:$C184,""))</f>
        <v>AARON N. HMO
LISA HMO
ZOBIA HMO
FADIA HMO
Ann INT</v>
      </c>
      <c r="W51" s="772">
        <v>8</v>
      </c>
    </row>
    <row r="52" spans="3:23" ht="14.1" customHeight="1">
      <c r="C52" s="497" t="s">
        <v>375</v>
      </c>
      <c r="D52" s="340" t="s">
        <v>129</v>
      </c>
      <c r="E52" s="502">
        <v>703067</v>
      </c>
      <c r="F52" s="611" t="s">
        <v>33</v>
      </c>
      <c r="G52" s="600"/>
      <c r="H52" s="610"/>
      <c r="I52" s="576"/>
      <c r="J52" s="600"/>
      <c r="K52" s="600"/>
      <c r="L52" s="603" t="s">
        <v>37</v>
      </c>
      <c r="N52" s="734"/>
      <c r="O52" s="737"/>
      <c r="P52" s="740"/>
      <c r="Q52" s="740"/>
      <c r="R52" s="740"/>
      <c r="S52" s="740"/>
      <c r="T52" s="740"/>
      <c r="U52" s="764"/>
      <c r="W52" s="772"/>
    </row>
    <row r="53" spans="3:23" ht="14.1" customHeight="1">
      <c r="C53" s="497" t="s">
        <v>376</v>
      </c>
      <c r="D53" s="340" t="s">
        <v>132</v>
      </c>
      <c r="E53" s="502">
        <v>703495</v>
      </c>
      <c r="F53" s="608"/>
      <c r="G53" s="610"/>
      <c r="H53" s="565" t="s">
        <v>37</v>
      </c>
      <c r="I53" s="610" t="s">
        <v>33</v>
      </c>
      <c r="J53" s="610"/>
      <c r="K53" s="600"/>
      <c r="L53" s="603"/>
      <c r="N53" s="734"/>
      <c r="O53" s="737"/>
      <c r="P53" s="740"/>
      <c r="Q53" s="740"/>
      <c r="R53" s="740"/>
      <c r="S53" s="740"/>
      <c r="T53" s="740"/>
      <c r="U53" s="764"/>
      <c r="W53" s="772"/>
    </row>
    <row r="54" spans="3:23" ht="14.1" customHeight="1">
      <c r="C54" s="504" t="s">
        <v>377</v>
      </c>
      <c r="D54" s="504" t="s">
        <v>133</v>
      </c>
      <c r="E54" s="502">
        <v>578275</v>
      </c>
      <c r="F54" s="581"/>
      <c r="G54" s="566"/>
      <c r="H54" s="601" t="s">
        <v>89</v>
      </c>
      <c r="I54" s="566"/>
      <c r="J54" s="566"/>
      <c r="K54" s="566"/>
      <c r="L54" s="598"/>
      <c r="N54" s="734"/>
      <c r="O54" s="737"/>
      <c r="P54" s="740"/>
      <c r="Q54" s="740"/>
      <c r="R54" s="740"/>
      <c r="S54" s="740"/>
      <c r="T54" s="740"/>
      <c r="U54" s="764"/>
      <c r="W54" s="772"/>
    </row>
    <row r="55" spans="3:23" ht="14.1" customHeight="1">
      <c r="C55" s="504" t="s">
        <v>378</v>
      </c>
      <c r="D55" s="497" t="s">
        <v>135</v>
      </c>
      <c r="E55" s="502">
        <v>644237</v>
      </c>
      <c r="F55" s="569" t="s">
        <v>28</v>
      </c>
      <c r="G55" s="570"/>
      <c r="H55" s="570"/>
      <c r="I55" s="570"/>
      <c r="J55" s="570"/>
      <c r="K55" s="570"/>
      <c r="L55" s="571"/>
      <c r="N55" s="734"/>
      <c r="O55" s="737"/>
      <c r="P55" s="740"/>
      <c r="Q55" s="740"/>
      <c r="R55" s="740"/>
      <c r="S55" s="740"/>
      <c r="T55" s="740"/>
      <c r="U55" s="764"/>
      <c r="W55" s="772"/>
    </row>
    <row r="56" spans="3:23" ht="14.1" customHeight="1">
      <c r="C56" s="497" t="s">
        <v>379</v>
      </c>
      <c r="D56" s="504" t="s">
        <v>136</v>
      </c>
      <c r="E56" s="502">
        <v>634259</v>
      </c>
      <c r="F56" s="592" t="s">
        <v>31</v>
      </c>
      <c r="G56" s="593"/>
      <c r="H56" s="593"/>
      <c r="I56" s="593"/>
      <c r="J56" s="593"/>
      <c r="K56" s="593"/>
      <c r="L56" s="574"/>
      <c r="N56" s="734"/>
      <c r="O56" s="737"/>
      <c r="P56" s="740"/>
      <c r="Q56" s="740"/>
      <c r="R56" s="740"/>
      <c r="S56" s="740"/>
      <c r="T56" s="740"/>
      <c r="U56" s="764"/>
      <c r="W56" s="772"/>
    </row>
    <row r="57" spans="3:23" ht="14.1" customHeight="1">
      <c r="C57" s="497" t="s">
        <v>380</v>
      </c>
      <c r="D57" s="526" t="s">
        <v>137</v>
      </c>
      <c r="E57" s="502">
        <v>418439</v>
      </c>
      <c r="F57" s="611" t="s">
        <v>43</v>
      </c>
      <c r="G57" s="75"/>
      <c r="H57" s="75"/>
      <c r="I57" s="75"/>
      <c r="J57" s="600"/>
      <c r="K57" s="600"/>
      <c r="L57" s="613"/>
      <c r="N57" s="734"/>
      <c r="O57" s="737"/>
      <c r="P57" s="740"/>
      <c r="Q57" s="740"/>
      <c r="R57" s="740"/>
      <c r="S57" s="740"/>
      <c r="T57" s="740"/>
      <c r="U57" s="764"/>
      <c r="W57" s="772"/>
    </row>
    <row r="58" spans="3:23" ht="14.1" customHeight="1" thickBot="1">
      <c r="C58" s="511" t="s">
        <v>381</v>
      </c>
      <c r="D58" s="526" t="s">
        <v>138</v>
      </c>
      <c r="E58" s="498">
        <v>650974</v>
      </c>
      <c r="F58" s="575"/>
      <c r="G58" s="65"/>
      <c r="H58" s="65"/>
      <c r="I58" s="65"/>
      <c r="J58" s="565"/>
      <c r="K58" s="565" t="s">
        <v>37</v>
      </c>
      <c r="L58" s="600" t="s">
        <v>40</v>
      </c>
      <c r="N58" s="735"/>
      <c r="O58" s="738"/>
      <c r="P58" s="741"/>
      <c r="Q58" s="741"/>
      <c r="R58" s="741"/>
      <c r="S58" s="741"/>
      <c r="T58" s="741"/>
      <c r="U58" s="765"/>
      <c r="W58" s="772"/>
    </row>
    <row r="59" spans="3:23" ht="14.1" customHeight="1">
      <c r="C59" s="511" t="s">
        <v>382</v>
      </c>
      <c r="D59" s="526" t="s">
        <v>383</v>
      </c>
      <c r="E59" s="498">
        <v>541888</v>
      </c>
      <c r="F59" s="575"/>
      <c r="G59" s="65"/>
      <c r="H59" s="65"/>
      <c r="I59" s="600" t="s">
        <v>40</v>
      </c>
      <c r="J59" s="565"/>
      <c r="K59" s="565"/>
      <c r="L59" s="604"/>
      <c r="N59" s="239"/>
      <c r="O59" s="241"/>
      <c r="P59" s="240"/>
      <c r="Q59" s="240"/>
      <c r="R59" s="240"/>
      <c r="S59" s="240"/>
      <c r="T59" s="240"/>
      <c r="U59" s="242"/>
      <c r="W59" s="89"/>
    </row>
    <row r="60" spans="3:23" ht="14.1" customHeight="1">
      <c r="C60" s="530"/>
      <c r="D60" s="514"/>
      <c r="E60" s="515"/>
      <c r="F60" s="575"/>
      <c r="G60" s="565"/>
      <c r="H60" s="565"/>
      <c r="I60" s="565"/>
      <c r="J60" s="565"/>
      <c r="K60" s="565"/>
      <c r="L60" s="577"/>
      <c r="N60" s="742" t="s">
        <v>384</v>
      </c>
      <c r="O60" s="745" t="str" cm="1">
        <f t="array" ref="O60">_xlfn.TEXTJOIN(CHAR(10),TRUE,_xlfn._xlws.FILTER($C7:$C184,RIGHT(F7:F184,LEN("SWP"))="SWP",""))</f>
        <v/>
      </c>
      <c r="P60" s="747" t="str" cm="1">
        <f t="array" ref="P60">_xlfn.TEXTJOIN(CHAR(10),TRUE,_xlfn._xlws.FILTER($C7:$C184,RIGHT(G7:G184,LEN("SWP"))="SWP",""))</f>
        <v>GIOVANA JR</v>
      </c>
      <c r="Q60" s="747" t="str" cm="1">
        <f t="array" ref="Q60">_xlfn.TEXTJOIN(CHAR(10),TRUE,_xlfn._xlws.FILTER($C7:$C184,RIGHT(H7:H184,LEN("SWP"))="SWP",""))</f>
        <v>POH JR</v>
      </c>
      <c r="R60" s="747" t="str" cm="1">
        <f t="array" ref="R60">_xlfn.TEXTJOIN(CHAR(10),TRUE,_xlfn._xlws.FILTER($C7:$C184,RIGHT(I7:I184,LEN("SWP"))="SWP",""))</f>
        <v>SUBARNA JR</v>
      </c>
      <c r="S60" s="747" t="str" cm="1">
        <f t="array" ref="S60">_xlfn.TEXTJOIN(CHAR(10),TRUE,_xlfn._xlws.FILTER($C7:$C184,RIGHT(J7:J184,LEN("SWP"))="SWP",""))</f>
        <v/>
      </c>
      <c r="T60" s="747" t="str" cm="1">
        <f t="array" ref="T60">_xlfn.TEXTJOIN(CHAR(10),TRUE,_xlfn._xlws.FILTER($C7:$C184,RIGHT(K7:K184,LEN("SWP"))="SWP",""))</f>
        <v/>
      </c>
      <c r="U60" s="766" t="str" cm="1">
        <f t="array" ref="U60">_xlfn.TEXTJOIN(CHAR(10),TRUE,_xlfn._xlws.FILTER($C7:$C184,RIGHT(L7:L184,LEN("SWP"))="SWP",""))</f>
        <v>SYLVIA JR</v>
      </c>
      <c r="V60" s="34" t="s">
        <v>385</v>
      </c>
      <c r="W60" s="89">
        <v>4</v>
      </c>
    </row>
    <row r="61" spans="3:23" ht="14.1" customHeight="1">
      <c r="C61" s="531"/>
      <c r="D61" s="532"/>
      <c r="E61" s="533"/>
      <c r="F61" s="575"/>
      <c r="G61" s="565"/>
      <c r="H61" s="565"/>
      <c r="I61" s="565"/>
      <c r="J61" s="565"/>
      <c r="K61" s="565"/>
      <c r="L61" s="577"/>
      <c r="N61" s="743"/>
      <c r="O61" s="746"/>
      <c r="P61" s="748"/>
      <c r="Q61" s="748"/>
      <c r="R61" s="748"/>
      <c r="S61" s="748"/>
      <c r="T61" s="748"/>
      <c r="U61" s="767"/>
      <c r="W61" s="89"/>
    </row>
    <row r="62" spans="3:23" ht="14.1" customHeight="1">
      <c r="C62" s="530" t="s">
        <v>345</v>
      </c>
      <c r="D62" s="530" t="s">
        <v>345</v>
      </c>
      <c r="E62" s="534"/>
      <c r="F62" s="205" t="s">
        <v>142</v>
      </c>
      <c r="G62" s="614" t="s">
        <v>142</v>
      </c>
      <c r="H62" s="614" t="s">
        <v>494</v>
      </c>
      <c r="I62" s="614" t="s">
        <v>142</v>
      </c>
      <c r="J62" s="614" t="s">
        <v>494</v>
      </c>
      <c r="K62" s="62"/>
      <c r="L62" s="67"/>
      <c r="N62" s="743"/>
      <c r="O62" s="746"/>
      <c r="P62" s="748"/>
      <c r="Q62" s="748"/>
      <c r="R62" s="748"/>
      <c r="S62" s="748"/>
      <c r="T62" s="748"/>
      <c r="U62" s="767"/>
      <c r="W62" s="89"/>
    </row>
    <row r="63" spans="3:23" ht="14.1" customHeight="1" thickBot="1">
      <c r="C63" s="31"/>
      <c r="D63" s="31"/>
      <c r="E63" s="534"/>
      <c r="F63" s="28"/>
      <c r="G63" s="29"/>
      <c r="H63" s="29"/>
      <c r="I63" s="29"/>
      <c r="J63" s="29"/>
      <c r="K63" s="29"/>
      <c r="L63" s="30"/>
      <c r="N63" s="744"/>
      <c r="O63" s="847"/>
      <c r="P63" s="848"/>
      <c r="Q63" s="848"/>
      <c r="R63" s="848"/>
      <c r="S63" s="848"/>
      <c r="T63" s="848"/>
      <c r="U63" s="849"/>
      <c r="W63" s="89"/>
    </row>
    <row r="64" spans="3:23" ht="14.1" customHeight="1" thickBot="1">
      <c r="C64" s="63"/>
      <c r="D64" s="411" t="s">
        <v>145</v>
      </c>
      <c r="E64" s="534"/>
      <c r="F64" s="565">
        <f>COUNTIF(F7:F61,"0800-*")+COUNTIF(F7:F61,"0730-*")-COUNTIF(F7:F61,"*0800-1730 CS*")-COUNTIF(F7:F61,"*0800-1730 PHNW*")-COUNTIF(F7:F61,"*0800-1730 DEMT*")-COUNTIF(F7:F61,"*0800-1730 EXAM*")-COUNTIF(F7:F61,"*0800-1800 CS*")-COUNTIF(F7:F61,"*0800-1800 PHNW*")</f>
        <v>5</v>
      </c>
      <c r="G64" s="565">
        <f>COUNTIF(G7:G61,"0800-*")+COUNTIF(G7:G61,"0730-*")-COUNTIF(G7:G61,"*0800-1730 CS*")-COUNTIF(G7:G61,"*0800-1730 PHNW*")-COUNTIF(G7:G61,"*0800-1730 DEMT*")-COUNTIF(G7:G61,"*0800-1730 EXAM*")-COUNTIF(G7:G61,"*0800-1800 CS*")-COUNTIF(G7:G61,"*0800-1800 PHNW*")</f>
        <v>5</v>
      </c>
      <c r="H64" s="565">
        <f>COUNTIF(H7:H61,"0800-*")+COUNTIF(H7:H61,"0730-*")-COUNTIF(H7:H61,"*0800-1730 CS*")-COUNTIF(H7:H61,"*0800-1730 PHNW*")-COUNTIF(H7:H61,"*0800-1730 DEMT*")-COUNTIF(H7:H61,"*0800-1730 EXAM*")-COUNTIF(H7:H61,"*0800-1800 CS*")-COUNTIF(H7:H61,"*0800-1800 PHNW*")</f>
        <v>5</v>
      </c>
      <c r="I64" s="565">
        <f>COUNTIF(I7:I61,"0800-*")+COUNTIF(I7:I61,"0730-*")-COUNTIF(I7:I61,"*0800-1730 CS*")-COUNTIF(I7:I61,"*0800-1730 PHNW*")-COUNTIF(I7:I61,"*0800-1730 DEMT*")-COUNTIF(I7:I61,"*0800-1730 EXAM*")-COUNTIF(I7:I61,"*0800-1800 CS*")-COUNTIF(I7:I61,"*0800-1800 PHNW*")</f>
        <v>6</v>
      </c>
      <c r="J64" s="565">
        <f>COUNTIF(J7:J61,"0800-*")+COUNTIF(J7:J61,"0730-*")-COUNTIF(J7:J61,"*0800-1730 CS*")-COUNTIF(J7:J61,"*0800-1730 PHNW*")-COUNTIF(J7:J61,"*0800-1730 DEMT*")-COUNTIF(J7:J61,"*0800-1730 EXAM*")-COUNTIF(J7:J61,"*0800-1800 CS*")-COUNTIF(J7:J61,"*0800-1800 PHNW*")</f>
        <v>5</v>
      </c>
      <c r="K64" s="565">
        <f>COUNTIF(K7:K61,"0800-*")+COUNTIF(K7:K61,"0730-*")</f>
        <v>4</v>
      </c>
      <c r="L64" s="577">
        <f>COUNTIF(L7:L61,"0800-*")+COUNTIF(L7:L61,"0730-*")</f>
        <v>3</v>
      </c>
      <c r="N64" s="106"/>
      <c r="O64" s="34"/>
      <c r="P64" s="34"/>
      <c r="Q64" s="34"/>
      <c r="R64" s="34"/>
      <c r="S64" s="34"/>
      <c r="T64" s="34"/>
      <c r="U64" s="34"/>
      <c r="W64" s="89"/>
    </row>
    <row r="65" spans="3:23" ht="14.1" customHeight="1" thickBot="1">
      <c r="C65" s="535"/>
      <c r="D65" s="411" t="s">
        <v>146</v>
      </c>
      <c r="E65" s="534"/>
      <c r="F65" s="575">
        <f t="shared" ref="F65:L65" si="16">COUNTIF(F7:F62,"*0000*")</f>
        <v>3</v>
      </c>
      <c r="G65" s="565">
        <f t="shared" si="16"/>
        <v>4</v>
      </c>
      <c r="H65" s="565">
        <f t="shared" si="16"/>
        <v>6</v>
      </c>
      <c r="I65" s="565">
        <f t="shared" si="16"/>
        <v>4</v>
      </c>
      <c r="J65" s="565">
        <f t="shared" si="16"/>
        <v>5</v>
      </c>
      <c r="K65" s="565">
        <f t="shared" si="16"/>
        <v>4</v>
      </c>
      <c r="L65" s="577">
        <f t="shared" si="16"/>
        <v>4</v>
      </c>
      <c r="N65" s="106"/>
      <c r="O65" s="796" t="s">
        <v>388</v>
      </c>
      <c r="P65" s="797"/>
      <c r="Q65" s="797"/>
      <c r="R65" s="797"/>
      <c r="S65" s="797"/>
      <c r="T65" s="797"/>
      <c r="U65" s="798"/>
      <c r="W65" s="89" t="s">
        <v>389</v>
      </c>
    </row>
    <row r="66" spans="3:23" ht="14.1" customHeight="1">
      <c r="C66" s="407" t="s">
        <v>147</v>
      </c>
      <c r="D66" s="407" t="s">
        <v>147</v>
      </c>
      <c r="E66" s="534"/>
      <c r="F66" s="408"/>
      <c r="G66" s="409"/>
      <c r="H66" s="409"/>
      <c r="I66" s="409"/>
      <c r="J66" s="409"/>
      <c r="K66" s="409"/>
      <c r="L66" s="410"/>
      <c r="N66" s="104" t="s">
        <v>390</v>
      </c>
      <c r="O66" s="107" t="str">
        <f t="shared" ref="O66:U66" si="17">INDEX($C7:$L188,MATCH("*N1*",F7:F191,0),1)</f>
        <v>ANA CMO</v>
      </c>
      <c r="P66" s="108" t="str">
        <f t="shared" si="17"/>
        <v>ANA CMO</v>
      </c>
      <c r="Q66" s="108" t="str">
        <f t="shared" si="17"/>
        <v>DENNIS SR</v>
      </c>
      <c r="R66" s="108" t="str">
        <f t="shared" si="17"/>
        <v>DENNIS SR</v>
      </c>
      <c r="S66" s="108" t="str">
        <f t="shared" si="17"/>
        <v>DENNIS SR</v>
      </c>
      <c r="T66" s="108" t="str">
        <f t="shared" si="17"/>
        <v>DENNIS SR</v>
      </c>
      <c r="U66" s="109" t="str">
        <f t="shared" si="17"/>
        <v>ANA CMO</v>
      </c>
      <c r="V66" s="89"/>
      <c r="W66" s="106">
        <v>1</v>
      </c>
    </row>
    <row r="67" spans="3:23" ht="14.1" customHeight="1">
      <c r="C67" s="411" t="s">
        <v>391</v>
      </c>
      <c r="D67" s="411" t="s">
        <v>148</v>
      </c>
      <c r="E67" s="536">
        <v>609268</v>
      </c>
      <c r="F67" s="592" t="s">
        <v>31</v>
      </c>
      <c r="G67" s="593"/>
      <c r="H67" s="593"/>
      <c r="I67" s="593"/>
      <c r="J67" s="593"/>
      <c r="K67" s="593"/>
      <c r="L67" s="574"/>
      <c r="N67" s="749" t="s">
        <v>392</v>
      </c>
      <c r="O67" s="746" t="str" cm="1">
        <f t="array" ref="O67">_xlfn.TEXTJOIN(CHAR(10),TRUE,IF(F7:F184="2300-0900",$C7:$C184,""),IF(F7:F184="2300-0830",$C7:$C184,""))</f>
        <v>CHRISTINA JR
CLARE JR
DESLIN JR
ZOBIA HMO
WILL HMO
Daniel INT</v>
      </c>
      <c r="P67" s="748" t="str" cm="1">
        <f t="array" ref="P67">_xlfn.TEXTJOIN(CHAR(10),TRUE,IF(G7:G184="2300-0900",$C7:$C184,""),IF(G7:G184="2300-0830",$C7:$C184,""))</f>
        <v>CHRISTINA JR
CLARE JR
DESLIN JR
AARON B. HMO
LISA HMO
Daniel INT</v>
      </c>
      <c r="Q67" s="748" t="str" cm="1">
        <f t="array" ref="Q67">_xlfn.TEXTJOIN(CHAR(10),TRUE,IF(H7:H184="2300-0900",$C7:$C184,""),IF(H7:H184="2300-0830",$C7:$C184,""))</f>
        <v>CHRISTINA JR
CLARE JR
DESLIN JR
FADIA HMO
PIN HMO
Ranusha INT</v>
      </c>
      <c r="R67" s="748" t="str" cm="1">
        <f t="array" ref="R67">_xlfn.TEXTJOIN(CHAR(10),TRUE,IF(I7:I184="2300-0900",$C7:$C184,""),IF(I7:I184="2300-0830",$C7:$C184,""))</f>
        <v>CHRISTINA JR
CLARE JR
DESLIN JR
AARON B. HMO
Ranusha INT</v>
      </c>
      <c r="S67" s="748" t="str" cm="1">
        <f t="array" ref="S67">_xlfn.TEXTJOIN(CHAR(10),TRUE,IF(J7:J184="2300-0900",$C7:$C184,""),IF(J7:J184="2300-0830",$C7:$C184,""))</f>
        <v>GIOVANA JR
ADI JR
BRENDAN HMO
PHILLIP HMO
Ranusha INT</v>
      </c>
      <c r="T67" s="748" t="str" cm="1">
        <f t="array" ref="T67">_xlfn.TEXTJOIN(CHAR(10),TRUE,IF(K7:K184="2300-0900",$C7:$C184,""),IF(K7:K184="2300-0830",$C7:$C184,""))</f>
        <v>GIOVANA JR
ADI JR
ANKUSH HMO
MILOS HMO
Filip INT</v>
      </c>
      <c r="U67" s="767" t="str" cm="1">
        <f t="array" ref="U67">_xlfn.TEXTJOIN(CHAR(10),TRUE,IF(L7:L184="2300-0900",$C7:$C184,""),IF(L7:L184="2300-0830",$C7:$C184,""))</f>
        <v>GIOVANA JR
ADI JR
BRENDAN HMO
MASON HMO
Filip INT</v>
      </c>
      <c r="W67" s="89">
        <v>9</v>
      </c>
    </row>
    <row r="68" spans="3:23" ht="14.1" customHeight="1">
      <c r="C68" s="411" t="s">
        <v>393</v>
      </c>
      <c r="D68" s="411" t="s">
        <v>152</v>
      </c>
      <c r="E68" s="537">
        <v>517752</v>
      </c>
      <c r="F68" s="575"/>
      <c r="G68" s="565"/>
      <c r="H68" s="565" t="s">
        <v>153</v>
      </c>
      <c r="I68" s="565"/>
      <c r="J68" s="565"/>
      <c r="K68" s="565"/>
      <c r="L68" s="577"/>
      <c r="N68" s="749"/>
      <c r="O68" s="746"/>
      <c r="P68" s="748"/>
      <c r="Q68" s="748"/>
      <c r="R68" s="748"/>
      <c r="S68" s="748"/>
      <c r="T68" s="748"/>
      <c r="U68" s="767"/>
      <c r="W68" s="89"/>
    </row>
    <row r="69" spans="3:23" ht="14.1" customHeight="1">
      <c r="C69" s="411" t="s">
        <v>394</v>
      </c>
      <c r="D69" s="411" t="s">
        <v>154</v>
      </c>
      <c r="E69" s="537">
        <v>609129</v>
      </c>
      <c r="F69" s="589"/>
      <c r="G69" s="590"/>
      <c r="H69" s="565" t="s">
        <v>155</v>
      </c>
      <c r="I69" s="590"/>
      <c r="J69" s="590"/>
      <c r="K69" s="565"/>
      <c r="L69" s="577" t="s">
        <v>91</v>
      </c>
      <c r="N69" s="749"/>
      <c r="O69" s="746"/>
      <c r="P69" s="748"/>
      <c r="Q69" s="748"/>
      <c r="R69" s="748"/>
      <c r="S69" s="748"/>
      <c r="T69" s="748"/>
      <c r="U69" s="767"/>
      <c r="W69" s="89"/>
    </row>
    <row r="70" spans="3:23" ht="14.1" customHeight="1">
      <c r="C70" s="411" t="s">
        <v>395</v>
      </c>
      <c r="D70" s="538" t="s">
        <v>156</v>
      </c>
      <c r="E70" s="539">
        <v>636554</v>
      </c>
      <c r="F70" s="575" t="s">
        <v>150</v>
      </c>
      <c r="G70" s="565"/>
      <c r="H70" s="578" t="s">
        <v>317</v>
      </c>
      <c r="I70" s="565"/>
      <c r="J70" s="565"/>
      <c r="K70" s="565"/>
      <c r="L70" s="577"/>
      <c r="N70" s="749"/>
      <c r="O70" s="746"/>
      <c r="P70" s="748"/>
      <c r="Q70" s="748"/>
      <c r="R70" s="748"/>
      <c r="S70" s="748"/>
      <c r="T70" s="748"/>
      <c r="U70" s="767"/>
      <c r="W70" s="89"/>
    </row>
    <row r="71" spans="3:23" ht="14.1" customHeight="1" thickBot="1">
      <c r="C71" s="837"/>
      <c r="D71" s="49"/>
      <c r="E71" s="534"/>
      <c r="F71" s="861"/>
      <c r="G71" s="862"/>
      <c r="H71" s="862"/>
      <c r="I71" s="862"/>
      <c r="J71" s="862"/>
      <c r="K71" s="862"/>
      <c r="L71" s="863"/>
      <c r="N71" s="749"/>
      <c r="O71" s="746"/>
      <c r="P71" s="748"/>
      <c r="Q71" s="748"/>
      <c r="R71" s="748"/>
      <c r="S71" s="748"/>
      <c r="T71" s="748"/>
      <c r="U71" s="767"/>
      <c r="W71" s="89"/>
    </row>
    <row r="72" spans="3:23" ht="14.1" customHeight="1">
      <c r="C72" s="724" t="s">
        <v>157</v>
      </c>
      <c r="D72" s="540" t="s">
        <v>157</v>
      </c>
      <c r="E72" s="54"/>
      <c r="F72" s="413"/>
      <c r="G72" s="414"/>
      <c r="H72" s="414"/>
      <c r="I72" s="414"/>
      <c r="J72" s="414"/>
      <c r="K72" s="414"/>
      <c r="L72" s="415"/>
      <c r="N72" s="749"/>
      <c r="O72" s="746"/>
      <c r="P72" s="748"/>
      <c r="Q72" s="748"/>
      <c r="R72" s="748"/>
      <c r="S72" s="748"/>
      <c r="T72" s="748"/>
      <c r="U72" s="767"/>
      <c r="W72" s="89"/>
    </row>
    <row r="73" spans="3:23" ht="14.1" customHeight="1">
      <c r="C73" s="541" t="s">
        <v>396</v>
      </c>
      <c r="D73" s="182" t="s">
        <v>159</v>
      </c>
      <c r="E73" s="615">
        <v>628440</v>
      </c>
      <c r="F73" s="618"/>
      <c r="G73" s="618"/>
      <c r="H73" s="618"/>
      <c r="I73" s="618" t="s">
        <v>149</v>
      </c>
      <c r="J73" s="618" t="s">
        <v>149</v>
      </c>
      <c r="K73" s="618" t="s">
        <v>150</v>
      </c>
      <c r="L73" s="618" t="s">
        <v>150</v>
      </c>
      <c r="N73" s="749"/>
      <c r="O73" s="746"/>
      <c r="P73" s="748"/>
      <c r="Q73" s="748"/>
      <c r="R73" s="748"/>
      <c r="S73" s="748"/>
      <c r="T73" s="748"/>
      <c r="U73" s="767"/>
      <c r="W73" s="89"/>
    </row>
    <row r="74" spans="3:23" ht="14.1" customHeight="1">
      <c r="C74" s="541" t="s">
        <v>397</v>
      </c>
      <c r="D74" s="183" t="s">
        <v>164</v>
      </c>
      <c r="E74" s="615">
        <v>653976</v>
      </c>
      <c r="F74" s="624" t="s">
        <v>163</v>
      </c>
      <c r="G74" s="618" t="s">
        <v>150</v>
      </c>
      <c r="H74" s="618"/>
      <c r="I74" s="618"/>
      <c r="J74" s="618"/>
      <c r="K74" s="618" t="s">
        <v>149</v>
      </c>
      <c r="L74" s="618" t="s">
        <v>149</v>
      </c>
      <c r="N74" s="749"/>
      <c r="O74" s="746"/>
      <c r="P74" s="748"/>
      <c r="Q74" s="748"/>
      <c r="R74" s="748"/>
      <c r="S74" s="748"/>
      <c r="T74" s="748"/>
      <c r="U74" s="767"/>
      <c r="W74" s="89"/>
    </row>
    <row r="75" spans="3:23" ht="14.1" customHeight="1">
      <c r="C75" s="85" t="s">
        <v>398</v>
      </c>
      <c r="D75" s="184" t="s">
        <v>166</v>
      </c>
      <c r="E75" s="615">
        <v>654362</v>
      </c>
      <c r="F75" s="619"/>
      <c r="G75" s="617"/>
      <c r="H75" s="565" t="s">
        <v>161</v>
      </c>
      <c r="I75" s="565" t="s">
        <v>161</v>
      </c>
      <c r="J75" s="565" t="s">
        <v>161</v>
      </c>
      <c r="K75" s="565" t="s">
        <v>161</v>
      </c>
      <c r="L75" s="620"/>
      <c r="N75" s="749"/>
      <c r="O75" s="746"/>
      <c r="P75" s="748"/>
      <c r="Q75" s="748"/>
      <c r="R75" s="748"/>
      <c r="S75" s="748"/>
      <c r="T75" s="748"/>
      <c r="U75" s="767"/>
      <c r="W75" s="89"/>
    </row>
    <row r="76" spans="3:23" ht="14.1" customHeight="1">
      <c r="C76" s="69" t="s">
        <v>399</v>
      </c>
      <c r="D76" s="184" t="s">
        <v>168</v>
      </c>
      <c r="E76" s="615">
        <v>615829</v>
      </c>
      <c r="F76" s="618" t="s">
        <v>150</v>
      </c>
      <c r="G76" s="618" t="s">
        <v>150</v>
      </c>
      <c r="H76" s="620"/>
      <c r="I76" s="618"/>
      <c r="J76" s="618" t="s">
        <v>150</v>
      </c>
      <c r="K76" s="622"/>
      <c r="L76" s="622"/>
      <c r="N76" s="528" t="s">
        <v>368</v>
      </c>
      <c r="O76" s="523" t="str">
        <f t="shared" ref="O76:U76" si="18">INDEX($C10:$L190,MATCH("*NHJ*",F10:F193,0),1)</f>
        <v>AARON B. HMO</v>
      </c>
      <c r="P76" s="500" t="str">
        <f t="shared" si="18"/>
        <v>PIN HMO</v>
      </c>
      <c r="Q76" s="500" t="str">
        <f t="shared" si="18"/>
        <v>LISA HMO</v>
      </c>
      <c r="R76" s="500" t="str">
        <f t="shared" si="18"/>
        <v>PHILLIP HMO</v>
      </c>
      <c r="S76" s="500" t="str">
        <f t="shared" si="18"/>
        <v>MILOS HMO</v>
      </c>
      <c r="T76" s="500" t="str">
        <f t="shared" si="18"/>
        <v>MASON HMO</v>
      </c>
      <c r="U76" s="501" t="str">
        <f t="shared" si="18"/>
        <v>ANKUSH HMO</v>
      </c>
      <c r="V76" s="34" t="s">
        <v>400</v>
      </c>
      <c r="W76" s="89">
        <v>1</v>
      </c>
    </row>
    <row r="77" spans="3:23" ht="14.1" customHeight="1">
      <c r="C77" s="541" t="s">
        <v>401</v>
      </c>
      <c r="D77" s="841" t="s">
        <v>170</v>
      </c>
      <c r="E77" s="615">
        <v>619567</v>
      </c>
      <c r="F77" s="619"/>
      <c r="G77" s="618" t="s">
        <v>149</v>
      </c>
      <c r="H77" s="619"/>
      <c r="I77" s="622"/>
      <c r="J77" s="617"/>
      <c r="K77" s="617"/>
      <c r="L77" s="617"/>
      <c r="N77" s="768" t="s">
        <v>325</v>
      </c>
      <c r="O77" s="787" t="str" cm="1">
        <f t="array" ref="O77">_xlfn.TEXTJOIN(CHAR(10),TRUE,_xlfn._xlws.FILTER($C7:$C184,RIGHT(F7:F184,LEN("nSSJ"))="nSSJ",""))</f>
        <v>LISA HMO</v>
      </c>
      <c r="P77" s="750" t="str" cm="1">
        <f t="array" ref="P77">_xlfn.TEXTJOIN(CHAR(10),TRUE,_xlfn._xlws.FILTER($C7:$C184,RIGHT(G7:G184,LEN("nSSJ"))="nSSJ",""))</f>
        <v>FADIA HMO</v>
      </c>
      <c r="Q77" s="750" t="str" cm="1">
        <f t="array" ref="Q77">_xlfn.TEXTJOIN(CHAR(10),TRUE,_xlfn._xlws.FILTER($C7:$C184,RIGHT(H7:H184,LEN("nSSJ"))="nSSJ",""))</f>
        <v>AARON B. HMO</v>
      </c>
      <c r="R77" s="750" t="str" cm="1">
        <f t="array" ref="R77">_xlfn.TEXTJOIN(CHAR(10),TRUE,_xlfn._xlws.FILTER($C7:$C184,RIGHT(I7:I184,LEN("nSSJ"))="nSSJ",""))</f>
        <v>HANNAH IR
PIN HMO</v>
      </c>
      <c r="S77" s="750" t="str" cm="1">
        <f t="array" ref="S77">_xlfn.TEXTJOIN(CHAR(10),TRUE,_xlfn._xlws.FILTER($C7:$C184,RIGHT(J7:J184,LEN("nSSJ"))="nSSJ",""))</f>
        <v>HANNAH IR
ANKUSH HMO</v>
      </c>
      <c r="T77" s="750" t="str" cm="1">
        <f t="array" ref="T77">_xlfn.TEXTJOIN(CHAR(10),TRUE,_xlfn._xlws.FILTER($C7:$C184,RIGHT(K7:K184,LEN("nSSJ"))="nSSJ",""))</f>
        <v>HANNAH IR
BRENDAN HMO</v>
      </c>
      <c r="U77" s="788" t="str" cm="1">
        <f t="array" ref="U77">_xlfn.TEXTJOIN(CHAR(10),TRUE,_xlfn._xlws.FILTER($C7:$C184,RIGHT(L7:L184,LEN("nSSJ"))="nSSJ",""))</f>
        <v>HANNAH IR
MILOS HMO</v>
      </c>
      <c r="V77" s="34" t="s">
        <v>402</v>
      </c>
      <c r="W77" s="89">
        <v>2</v>
      </c>
    </row>
    <row r="78" spans="3:23" ht="14.1" customHeight="1" thickBot="1">
      <c r="C78" s="543" t="s">
        <v>403</v>
      </c>
      <c r="D78" s="183" t="s">
        <v>171</v>
      </c>
      <c r="E78" s="615">
        <v>626157</v>
      </c>
      <c r="F78" s="621" t="s">
        <v>31</v>
      </c>
      <c r="G78" s="621" t="s">
        <v>201</v>
      </c>
      <c r="H78" s="620"/>
      <c r="I78" s="620"/>
      <c r="J78" s="620"/>
      <c r="K78" s="620"/>
      <c r="L78" s="620"/>
      <c r="N78" s="769"/>
      <c r="O78" s="864"/>
      <c r="P78" s="865"/>
      <c r="Q78" s="865"/>
      <c r="R78" s="865"/>
      <c r="S78" s="865"/>
      <c r="T78" s="865"/>
      <c r="U78" s="866"/>
      <c r="W78" s="89"/>
    </row>
    <row r="79" spans="3:23" ht="14.1" customHeight="1" thickBot="1">
      <c r="C79" s="69" t="s">
        <v>405</v>
      </c>
      <c r="D79" s="185" t="s">
        <v>173</v>
      </c>
      <c r="E79" s="615">
        <v>645122</v>
      </c>
      <c r="F79" s="618" t="s">
        <v>150</v>
      </c>
      <c r="G79" s="617"/>
      <c r="H79" s="618" t="s">
        <v>150</v>
      </c>
      <c r="I79" s="619"/>
      <c r="J79" s="619"/>
      <c r="K79" s="617"/>
      <c r="L79" s="617"/>
      <c r="N79" s="867" t="s">
        <v>406</v>
      </c>
      <c r="O79" s="110" t="str">
        <f t="shared" ref="O79:U79" si="19">INDEX($C7:$L188,MATCH("*PRC",F7:F191,0),1)</f>
        <v>QING SMS</v>
      </c>
      <c r="P79" s="111" t="str">
        <f t="shared" si="19"/>
        <v>PAIGE SMS</v>
      </c>
      <c r="Q79" s="111" t="str">
        <f t="shared" si="19"/>
        <v>SCOTT SMS</v>
      </c>
      <c r="R79" s="111" t="str">
        <f t="shared" si="19"/>
        <v>YAN SMS</v>
      </c>
      <c r="S79" s="111" t="str">
        <f t="shared" si="19"/>
        <v>BEN SMS</v>
      </c>
      <c r="T79" s="111" t="str">
        <f t="shared" si="19"/>
        <v>STEVE T SMS</v>
      </c>
      <c r="U79" s="111" t="str">
        <f t="shared" si="19"/>
        <v>RAMI SMS</v>
      </c>
      <c r="W79" s="89"/>
    </row>
    <row r="80" spans="3:23" ht="14.1" customHeight="1" thickBot="1">
      <c r="C80" s="543" t="s">
        <v>407</v>
      </c>
      <c r="D80" s="186" t="s">
        <v>174</v>
      </c>
      <c r="E80" s="615">
        <v>615820</v>
      </c>
      <c r="F80" s="623"/>
      <c r="G80" s="623"/>
      <c r="H80" s="623"/>
      <c r="I80" s="623"/>
      <c r="J80" s="623"/>
      <c r="K80" s="623"/>
      <c r="L80" s="623"/>
      <c r="N80" s="106"/>
      <c r="O80" s="89"/>
      <c r="T80" s="843" t="str">
        <f>INDEX($C7:$L189,MATCH("*PGC",K7:K192,0),1)</f>
        <v>ANDY L  SMS</v>
      </c>
      <c r="U80" s="844" t="str">
        <f>INDEX($C8:$L189,MATCH("*PGC",L8:L192,0),1)</f>
        <v>STEVE T SMS</v>
      </c>
    </row>
    <row r="81" spans="3:22" ht="14.1" customHeight="1">
      <c r="C81" s="541" t="s">
        <v>408</v>
      </c>
      <c r="D81" s="544" t="s">
        <v>175</v>
      </c>
      <c r="E81" s="615">
        <v>624174</v>
      </c>
      <c r="F81" s="565" t="s">
        <v>161</v>
      </c>
      <c r="G81" s="565" t="s">
        <v>161</v>
      </c>
      <c r="H81" s="622"/>
      <c r="I81" s="626"/>
      <c r="J81" s="626"/>
      <c r="K81" s="617"/>
      <c r="L81" s="565" t="s">
        <v>161</v>
      </c>
      <c r="O81" s="89"/>
      <c r="V81" s="89"/>
    </row>
    <row r="82" spans="3:22" ht="14.1" customHeight="1">
      <c r="C82" s="543"/>
      <c r="D82" s="545"/>
      <c r="E82" s="625"/>
      <c r="F82" s="565"/>
      <c r="G82" s="565"/>
      <c r="H82" s="617"/>
      <c r="I82" s="619"/>
      <c r="J82" s="619"/>
      <c r="K82" s="617"/>
      <c r="L82" s="565"/>
      <c r="O82" s="89"/>
      <c r="V82" s="89"/>
    </row>
    <row r="83" spans="3:22" ht="14.1" customHeight="1">
      <c r="C83" s="728" t="s">
        <v>176</v>
      </c>
      <c r="D83" s="728" t="s">
        <v>176</v>
      </c>
      <c r="E83" s="198"/>
      <c r="F83" s="305"/>
      <c r="G83" s="305"/>
      <c r="H83" s="305"/>
      <c r="I83" s="305"/>
      <c r="J83" s="305"/>
      <c r="K83" s="305"/>
      <c r="L83" s="305"/>
      <c r="O83" s="89"/>
      <c r="V83" s="89"/>
    </row>
    <row r="84" spans="3:22" ht="14.1" customHeight="1">
      <c r="C84" s="411" t="s">
        <v>409</v>
      </c>
      <c r="D84" s="546" t="s">
        <v>177</v>
      </c>
      <c r="E84" s="615">
        <v>637990</v>
      </c>
      <c r="F84" s="617"/>
      <c r="G84" s="617"/>
      <c r="H84" s="617"/>
      <c r="I84" s="565" t="s">
        <v>178</v>
      </c>
      <c r="J84" s="565" t="s">
        <v>178</v>
      </c>
      <c r="K84" s="565" t="s">
        <v>178</v>
      </c>
      <c r="L84" s="565" t="s">
        <v>178</v>
      </c>
      <c r="O84" s="89"/>
      <c r="V84" s="89"/>
    </row>
    <row r="85" spans="3:22" ht="14.1" customHeight="1">
      <c r="C85" s="86" t="s">
        <v>410</v>
      </c>
      <c r="D85" s="184" t="s">
        <v>179</v>
      </c>
      <c r="E85" s="615">
        <v>652867</v>
      </c>
      <c r="F85" s="627" t="s">
        <v>66</v>
      </c>
      <c r="G85" s="628"/>
      <c r="H85" s="627"/>
      <c r="I85" s="627"/>
      <c r="J85" s="628"/>
      <c r="K85" s="627"/>
      <c r="L85" s="628"/>
      <c r="O85" s="89"/>
      <c r="V85" s="89"/>
    </row>
    <row r="86" spans="3:22" ht="14.1" customHeight="1">
      <c r="C86" s="543" t="s">
        <v>411</v>
      </c>
      <c r="D86" s="547" t="s">
        <v>180</v>
      </c>
      <c r="E86" s="615">
        <v>638831</v>
      </c>
      <c r="F86" s="618" t="s">
        <v>150</v>
      </c>
      <c r="G86" s="618" t="s">
        <v>150</v>
      </c>
      <c r="H86" s="618"/>
      <c r="I86" s="565" t="s">
        <v>149</v>
      </c>
      <c r="J86" s="618" t="s">
        <v>149</v>
      </c>
      <c r="K86" s="617"/>
      <c r="L86" s="617" t="s">
        <v>150</v>
      </c>
      <c r="O86" s="89"/>
      <c r="V86" s="89"/>
    </row>
    <row r="87" spans="3:22" ht="14.1" customHeight="1">
      <c r="C87" s="411" t="s">
        <v>412</v>
      </c>
      <c r="D87" s="548" t="s">
        <v>182</v>
      </c>
      <c r="E87" s="615">
        <v>631314</v>
      </c>
      <c r="F87" s="618"/>
      <c r="G87" s="617"/>
      <c r="H87" s="617"/>
      <c r="I87" s="617"/>
      <c r="J87" s="617"/>
      <c r="K87" s="616" t="s">
        <v>499</v>
      </c>
      <c r="L87" s="616" t="s">
        <v>500</v>
      </c>
      <c r="O87" s="89"/>
      <c r="V87" s="89"/>
    </row>
    <row r="88" spans="3:22" ht="14.1" customHeight="1">
      <c r="C88" s="69" t="s">
        <v>414</v>
      </c>
      <c r="D88" s="548" t="s">
        <v>185</v>
      </c>
      <c r="E88" s="615">
        <v>631732</v>
      </c>
      <c r="F88" s="618" t="s">
        <v>150</v>
      </c>
      <c r="G88" s="622"/>
      <c r="H88" s="618" t="s">
        <v>150</v>
      </c>
      <c r="I88" s="617"/>
      <c r="J88" s="618"/>
      <c r="K88" s="617"/>
      <c r="L88" s="617"/>
      <c r="O88" s="89"/>
      <c r="V88" s="89"/>
    </row>
    <row r="89" spans="3:22" ht="14.1" customHeight="1">
      <c r="C89" s="541" t="s">
        <v>415</v>
      </c>
      <c r="D89" s="549" t="s">
        <v>186</v>
      </c>
      <c r="E89" s="615">
        <v>634876</v>
      </c>
      <c r="F89" s="619"/>
      <c r="G89" s="620"/>
      <c r="H89" s="617"/>
      <c r="I89" s="622"/>
      <c r="J89" s="617"/>
      <c r="K89" s="618" t="s">
        <v>149</v>
      </c>
      <c r="L89" s="618" t="s">
        <v>149</v>
      </c>
      <c r="O89" s="89"/>
      <c r="V89" s="89"/>
    </row>
    <row r="90" spans="3:22" ht="14.1" customHeight="1">
      <c r="C90" s="541"/>
      <c r="D90" s="187"/>
      <c r="E90" s="199"/>
      <c r="F90" s="619"/>
      <c r="G90" s="617"/>
      <c r="H90" s="617"/>
      <c r="I90" s="617"/>
      <c r="J90" s="617"/>
      <c r="K90" s="618"/>
      <c r="L90" s="618"/>
      <c r="O90" s="89"/>
      <c r="V90" s="89"/>
    </row>
    <row r="91" spans="3:22" ht="14.1" customHeight="1">
      <c r="C91" s="4" t="s">
        <v>189</v>
      </c>
      <c r="D91" s="4" t="s">
        <v>189</v>
      </c>
      <c r="E91" s="199"/>
      <c r="F91" s="444"/>
      <c r="G91" s="444"/>
      <c r="H91" s="444"/>
      <c r="I91" s="444"/>
      <c r="J91" s="444"/>
      <c r="K91" s="444"/>
      <c r="L91" s="444"/>
      <c r="O91" s="89"/>
    </row>
    <row r="92" spans="3:22" ht="14.1" customHeight="1">
      <c r="C92" s="69" t="s">
        <v>416</v>
      </c>
      <c r="D92" s="188" t="s">
        <v>190</v>
      </c>
      <c r="E92" s="615">
        <v>648620</v>
      </c>
      <c r="F92" s="618" t="s">
        <v>192</v>
      </c>
      <c r="G92" s="618" t="s">
        <v>192</v>
      </c>
      <c r="H92" s="618" t="s">
        <v>192</v>
      </c>
      <c r="I92" s="618" t="s">
        <v>192</v>
      </c>
      <c r="J92" s="630"/>
      <c r="K92" s="630"/>
      <c r="L92" s="630"/>
      <c r="O92" s="34"/>
      <c r="P92" s="34"/>
      <c r="Q92" s="34"/>
      <c r="R92" s="34"/>
      <c r="S92" s="34"/>
      <c r="T92" s="34"/>
      <c r="U92" s="34"/>
    </row>
    <row r="93" spans="3:22" ht="14.1" customHeight="1">
      <c r="C93" s="550" t="s">
        <v>417</v>
      </c>
      <c r="D93" s="189" t="s">
        <v>193</v>
      </c>
      <c r="E93" s="615">
        <v>652357</v>
      </c>
      <c r="F93" s="618" t="s">
        <v>192</v>
      </c>
      <c r="G93" s="618" t="s">
        <v>192</v>
      </c>
      <c r="H93" s="618" t="s">
        <v>192</v>
      </c>
      <c r="I93" s="618" t="s">
        <v>192</v>
      </c>
      <c r="J93" s="617"/>
      <c r="K93" s="630"/>
      <c r="L93" s="630"/>
      <c r="O93" s="34"/>
      <c r="P93" s="34"/>
      <c r="Q93" s="34"/>
      <c r="R93" s="34"/>
      <c r="S93" s="34"/>
      <c r="T93" s="34"/>
      <c r="U93" s="34"/>
    </row>
    <row r="94" spans="3:22" ht="14.1" customHeight="1">
      <c r="C94" s="69" t="s">
        <v>418</v>
      </c>
      <c r="D94" s="551" t="s">
        <v>196</v>
      </c>
      <c r="E94" s="615">
        <v>703714</v>
      </c>
      <c r="F94" s="621" t="s">
        <v>31</v>
      </c>
      <c r="G94" s="621"/>
      <c r="H94" s="621"/>
      <c r="I94" s="621"/>
      <c r="J94" s="621"/>
      <c r="K94" s="621"/>
      <c r="L94" s="621"/>
      <c r="O94" s="89"/>
    </row>
    <row r="95" spans="3:22" ht="14.1" customHeight="1">
      <c r="C95" s="87" t="s">
        <v>419</v>
      </c>
      <c r="D95" s="189" t="s">
        <v>198</v>
      </c>
      <c r="E95" s="615">
        <v>655089</v>
      </c>
      <c r="F95" s="618" t="s">
        <v>192</v>
      </c>
      <c r="G95" s="618" t="s">
        <v>192</v>
      </c>
      <c r="H95" s="618" t="s">
        <v>192</v>
      </c>
      <c r="I95" s="618" t="s">
        <v>192</v>
      </c>
      <c r="J95" s="617"/>
      <c r="K95" s="617"/>
      <c r="L95" s="617"/>
      <c r="O95" s="34"/>
      <c r="P95" s="34"/>
      <c r="Q95" s="34"/>
      <c r="R95" s="34"/>
      <c r="S95" s="34"/>
    </row>
    <row r="96" spans="3:22" ht="14.1" customHeight="1">
      <c r="C96" s="69" t="s">
        <v>420</v>
      </c>
      <c r="D96" s="190" t="s">
        <v>199</v>
      </c>
      <c r="E96" s="615">
        <v>649364</v>
      </c>
      <c r="F96" s="618"/>
      <c r="G96" s="618"/>
      <c r="H96" s="624" t="s">
        <v>160</v>
      </c>
      <c r="I96" s="618"/>
      <c r="J96" s="618" t="s">
        <v>150</v>
      </c>
      <c r="K96" s="616" t="s">
        <v>490</v>
      </c>
      <c r="L96" s="618"/>
      <c r="O96" s="89"/>
    </row>
    <row r="97" spans="3:15" ht="14.1" customHeight="1">
      <c r="C97" s="543" t="s">
        <v>421</v>
      </c>
      <c r="D97" s="191" t="s">
        <v>200</v>
      </c>
      <c r="E97" s="615">
        <v>700872</v>
      </c>
      <c r="F97" s="618"/>
      <c r="G97" s="618" t="s">
        <v>160</v>
      </c>
      <c r="H97" s="618"/>
      <c r="I97" s="618"/>
      <c r="J97" s="618" t="s">
        <v>192</v>
      </c>
      <c r="K97" s="618" t="s">
        <v>192</v>
      </c>
      <c r="L97" s="618" t="s">
        <v>192</v>
      </c>
      <c r="O97" s="89"/>
    </row>
    <row r="98" spans="3:15" ht="14.1" customHeight="1">
      <c r="C98" s="543" t="s">
        <v>422</v>
      </c>
      <c r="D98" s="552" t="s">
        <v>202</v>
      </c>
      <c r="E98" s="615">
        <v>703861</v>
      </c>
      <c r="F98" s="618"/>
      <c r="G98" s="618"/>
      <c r="H98" s="618"/>
      <c r="I98" s="568" t="s">
        <v>149</v>
      </c>
      <c r="J98" s="618" t="s">
        <v>191</v>
      </c>
      <c r="K98" s="645"/>
      <c r="L98" s="645"/>
      <c r="O98" s="89"/>
    </row>
    <row r="99" spans="3:15" ht="14.1" customHeight="1">
      <c r="C99" s="543" t="s">
        <v>423</v>
      </c>
      <c r="D99" s="192" t="s">
        <v>204</v>
      </c>
      <c r="E99" s="615">
        <v>652868</v>
      </c>
      <c r="F99" s="618"/>
      <c r="G99" s="618"/>
      <c r="H99" s="618"/>
      <c r="I99" s="618"/>
      <c r="J99" s="618" t="s">
        <v>192</v>
      </c>
      <c r="K99" s="618" t="s">
        <v>192</v>
      </c>
      <c r="L99" s="618" t="s">
        <v>192</v>
      </c>
      <c r="O99" s="89"/>
    </row>
    <row r="100" spans="3:15" ht="14.1" customHeight="1">
      <c r="C100" s="543" t="s">
        <v>424</v>
      </c>
      <c r="D100" s="189" t="s">
        <v>205</v>
      </c>
      <c r="E100" s="615">
        <v>652998</v>
      </c>
      <c r="F100" s="618" t="s">
        <v>191</v>
      </c>
      <c r="G100" s="618" t="s">
        <v>150</v>
      </c>
      <c r="H100" s="617"/>
      <c r="I100" s="568" t="s">
        <v>149</v>
      </c>
      <c r="J100" s="617"/>
      <c r="K100" s="617"/>
      <c r="L100" s="617"/>
      <c r="O100" s="89"/>
    </row>
    <row r="101" spans="3:15" ht="14.1" customHeight="1">
      <c r="C101" s="543" t="s">
        <v>425</v>
      </c>
      <c r="D101" s="193" t="s">
        <v>206</v>
      </c>
      <c r="E101" s="615">
        <v>654959</v>
      </c>
      <c r="F101" s="621" t="s">
        <v>31</v>
      </c>
      <c r="G101" s="621"/>
      <c r="H101" s="621"/>
      <c r="I101" s="621"/>
      <c r="J101" s="621"/>
      <c r="K101" s="621"/>
      <c r="L101" s="621"/>
      <c r="O101" s="89"/>
    </row>
    <row r="102" spans="3:15" ht="14.1" customHeight="1">
      <c r="C102" s="85" t="s">
        <v>426</v>
      </c>
      <c r="D102" s="551" t="s">
        <v>207</v>
      </c>
      <c r="E102" s="615">
        <v>654981</v>
      </c>
      <c r="F102" s="617"/>
      <c r="G102" s="617"/>
      <c r="H102" s="617"/>
      <c r="I102" s="617"/>
      <c r="J102" s="617"/>
      <c r="K102" s="616" t="s">
        <v>500</v>
      </c>
      <c r="L102" s="624" t="s">
        <v>167</v>
      </c>
      <c r="O102" s="89"/>
    </row>
    <row r="103" spans="3:15" ht="14.1" customHeight="1">
      <c r="C103" s="85" t="s">
        <v>427</v>
      </c>
      <c r="D103" s="553" t="s">
        <v>208</v>
      </c>
      <c r="E103" s="615">
        <v>703795</v>
      </c>
      <c r="F103" s="617"/>
      <c r="G103" s="618" t="s">
        <v>191</v>
      </c>
      <c r="H103" s="617"/>
      <c r="I103" s="617"/>
      <c r="J103" s="568" t="s">
        <v>149</v>
      </c>
      <c r="K103" s="568" t="s">
        <v>149</v>
      </c>
      <c r="L103" s="568" t="s">
        <v>149</v>
      </c>
      <c r="O103" s="89"/>
    </row>
    <row r="104" spans="3:15" ht="14.1" customHeight="1">
      <c r="C104" s="730" t="s">
        <v>428</v>
      </c>
      <c r="D104" s="551" t="s">
        <v>209</v>
      </c>
      <c r="E104" s="615">
        <v>652364</v>
      </c>
      <c r="F104" s="568" t="s">
        <v>149</v>
      </c>
      <c r="G104" s="618"/>
      <c r="H104" s="618"/>
      <c r="I104" s="618" t="s">
        <v>191</v>
      </c>
      <c r="J104" s="618" t="s">
        <v>150</v>
      </c>
      <c r="K104" s="617"/>
      <c r="L104" s="617"/>
      <c r="O104" s="89"/>
    </row>
    <row r="105" spans="3:15" ht="14.1" customHeight="1">
      <c r="C105" s="543" t="s">
        <v>429</v>
      </c>
      <c r="D105" s="551" t="s">
        <v>210</v>
      </c>
      <c r="E105" s="615">
        <v>644433</v>
      </c>
      <c r="F105" s="617"/>
      <c r="G105" s="568" t="s">
        <v>501</v>
      </c>
      <c r="H105" s="618" t="s">
        <v>191</v>
      </c>
      <c r="I105" s="622"/>
      <c r="J105" s="622"/>
      <c r="K105" s="617"/>
      <c r="L105" s="617"/>
      <c r="O105" s="89"/>
    </row>
    <row r="106" spans="3:15" ht="14.1" customHeight="1">
      <c r="C106" s="87" t="s">
        <v>430</v>
      </c>
      <c r="D106" s="551" t="s">
        <v>211</v>
      </c>
      <c r="E106" s="615">
        <v>650602</v>
      </c>
      <c r="F106" s="617"/>
      <c r="G106" s="617"/>
      <c r="H106" s="617"/>
      <c r="I106" s="617"/>
      <c r="J106" s="617"/>
      <c r="K106" s="568" t="s">
        <v>149</v>
      </c>
      <c r="L106" s="616" t="s">
        <v>317</v>
      </c>
      <c r="O106" s="89"/>
    </row>
    <row r="107" spans="3:15" ht="14.1" customHeight="1">
      <c r="C107" s="87" t="s">
        <v>431</v>
      </c>
      <c r="D107" s="552" t="s">
        <v>212</v>
      </c>
      <c r="E107" s="615">
        <v>704893</v>
      </c>
      <c r="F107" s="621" t="s">
        <v>31</v>
      </c>
      <c r="G107" s="621"/>
      <c r="H107" s="621"/>
      <c r="I107" s="621"/>
      <c r="J107" s="621"/>
      <c r="K107" s="621"/>
      <c r="L107" s="621"/>
      <c r="O107" s="89"/>
    </row>
    <row r="108" spans="3:15" ht="14.1" customHeight="1">
      <c r="C108" s="87" t="s">
        <v>432</v>
      </c>
      <c r="D108" s="194" t="s">
        <v>214</v>
      </c>
      <c r="E108" s="615">
        <v>636733</v>
      </c>
      <c r="F108" s="617"/>
      <c r="G108" s="617"/>
      <c r="H108" s="617"/>
      <c r="I108" s="624" t="s">
        <v>160</v>
      </c>
      <c r="J108" s="620"/>
      <c r="K108" s="620"/>
      <c r="L108" s="620"/>
      <c r="O108" s="89"/>
    </row>
    <row r="109" spans="3:15" ht="14.1" customHeight="1">
      <c r="C109" s="69" t="s">
        <v>433</v>
      </c>
      <c r="D109" s="195" t="s">
        <v>216</v>
      </c>
      <c r="E109" s="200">
        <v>637770</v>
      </c>
      <c r="F109" s="206" t="s">
        <v>149</v>
      </c>
      <c r="G109" s="251" t="s">
        <v>149</v>
      </c>
      <c r="H109" s="206"/>
      <c r="I109" s="206" t="s">
        <v>150</v>
      </c>
      <c r="J109" s="206"/>
      <c r="K109" s="206"/>
      <c r="L109" s="253" t="s">
        <v>359</v>
      </c>
      <c r="O109" s="89"/>
    </row>
    <row r="110" spans="3:15" ht="14.1" customHeight="1">
      <c r="C110" s="543"/>
      <c r="D110" s="554"/>
      <c r="E110" s="625"/>
      <c r="F110" s="618"/>
      <c r="G110" s="618"/>
      <c r="H110" s="618"/>
      <c r="I110" s="617"/>
      <c r="J110" s="618"/>
      <c r="K110" s="618"/>
      <c r="L110" s="618"/>
      <c r="O110" s="89"/>
    </row>
    <row r="111" spans="3:15" ht="14.1" customHeight="1" thickBot="1">
      <c r="C111" s="543"/>
      <c r="D111" s="554"/>
      <c r="E111" s="166"/>
      <c r="F111" s="760" t="s">
        <v>218</v>
      </c>
      <c r="G111" s="761"/>
      <c r="H111" s="761"/>
      <c r="I111" s="761"/>
      <c r="J111" s="761"/>
      <c r="K111" s="761"/>
      <c r="L111" s="762"/>
      <c r="O111" s="89"/>
    </row>
    <row r="112" spans="3:15" ht="14.1" customHeight="1">
      <c r="C112" s="555" t="s">
        <v>434</v>
      </c>
      <c r="D112" s="167" t="s">
        <v>219</v>
      </c>
      <c r="E112" s="114"/>
      <c r="F112" s="71">
        <f t="shared" ref="F112:L112" si="20">F4</f>
        <v>46069</v>
      </c>
      <c r="G112" s="71">
        <f t="shared" si="20"/>
        <v>46070</v>
      </c>
      <c r="H112" s="71">
        <f t="shared" si="20"/>
        <v>46071</v>
      </c>
      <c r="I112" s="71">
        <f t="shared" si="20"/>
        <v>46072</v>
      </c>
      <c r="J112" s="71">
        <f t="shared" si="20"/>
        <v>46073</v>
      </c>
      <c r="K112" s="71">
        <f t="shared" si="20"/>
        <v>46074</v>
      </c>
      <c r="L112" s="71">
        <f t="shared" si="20"/>
        <v>46075</v>
      </c>
      <c r="O112" s="89"/>
    </row>
    <row r="113" spans="3:15" ht="14.1" customHeight="1">
      <c r="C113" s="556" t="s">
        <v>435</v>
      </c>
      <c r="D113" s="557" t="s">
        <v>220</v>
      </c>
      <c r="E113" s="633">
        <v>654686</v>
      </c>
      <c r="F113" s="303" t="s">
        <v>224</v>
      </c>
      <c r="G113" s="303"/>
      <c r="H113" s="303"/>
      <c r="I113" s="303" t="s">
        <v>150</v>
      </c>
      <c r="J113" s="303"/>
      <c r="K113" s="565" t="s">
        <v>149</v>
      </c>
      <c r="L113" s="565" t="s">
        <v>149</v>
      </c>
      <c r="O113" s="89"/>
    </row>
    <row r="114" spans="3:15" ht="14.1" customHeight="1">
      <c r="C114" s="556" t="s">
        <v>436</v>
      </c>
      <c r="D114" s="557" t="s">
        <v>227</v>
      </c>
      <c r="E114" s="633">
        <v>700581</v>
      </c>
      <c r="F114" s="565"/>
      <c r="G114" s="565"/>
      <c r="H114" s="565"/>
      <c r="I114" s="565" t="s">
        <v>226</v>
      </c>
      <c r="J114" s="565" t="s">
        <v>221</v>
      </c>
      <c r="K114" s="565" t="s">
        <v>222</v>
      </c>
      <c r="L114" s="565" t="s">
        <v>223</v>
      </c>
      <c r="O114" s="89"/>
    </row>
    <row r="115" spans="3:15" ht="14.1" customHeight="1">
      <c r="C115" s="88" t="s">
        <v>437</v>
      </c>
      <c r="D115" s="557" t="s">
        <v>228</v>
      </c>
      <c r="E115" s="633">
        <v>700540</v>
      </c>
      <c r="F115" s="565" t="s">
        <v>226</v>
      </c>
      <c r="G115" s="565" t="s">
        <v>150</v>
      </c>
      <c r="H115" s="565"/>
      <c r="I115" s="565" t="s">
        <v>225</v>
      </c>
      <c r="J115" s="565" t="s">
        <v>150</v>
      </c>
      <c r="K115" s="565"/>
      <c r="L115" s="565"/>
      <c r="O115" s="89"/>
    </row>
    <row r="116" spans="3:15" ht="14.1" customHeight="1">
      <c r="C116" s="556" t="s">
        <v>438</v>
      </c>
      <c r="D116" s="557" t="s">
        <v>230</v>
      </c>
      <c r="E116" s="633">
        <v>646665</v>
      </c>
      <c r="F116" s="565"/>
      <c r="G116" s="565"/>
      <c r="H116" s="565"/>
      <c r="I116" s="565" t="s">
        <v>149</v>
      </c>
      <c r="J116" s="565" t="s">
        <v>222</v>
      </c>
      <c r="K116" s="565" t="s">
        <v>221</v>
      </c>
      <c r="L116" s="565" t="s">
        <v>222</v>
      </c>
      <c r="O116" s="89"/>
    </row>
    <row r="117" spans="3:15" ht="14.1" customHeight="1">
      <c r="C117" s="556" t="s">
        <v>439</v>
      </c>
      <c r="D117" s="557" t="s">
        <v>231</v>
      </c>
      <c r="E117" s="633">
        <v>654598</v>
      </c>
      <c r="F117" s="565" t="s">
        <v>223</v>
      </c>
      <c r="G117" s="565" t="s">
        <v>222</v>
      </c>
      <c r="H117" s="565" t="s">
        <v>221</v>
      </c>
      <c r="I117" s="565" t="s">
        <v>222</v>
      </c>
      <c r="J117" s="565"/>
      <c r="K117" s="565"/>
      <c r="L117" s="565"/>
      <c r="O117" s="89"/>
    </row>
    <row r="118" spans="3:15" ht="14.1" customHeight="1">
      <c r="C118" s="556" t="s">
        <v>440</v>
      </c>
      <c r="D118" s="557" t="s">
        <v>232</v>
      </c>
      <c r="E118" s="633">
        <v>700591</v>
      </c>
      <c r="F118" s="565" t="s">
        <v>149</v>
      </c>
      <c r="G118" s="565"/>
      <c r="H118" s="578" t="s">
        <v>317</v>
      </c>
      <c r="I118" s="578" t="s">
        <v>490</v>
      </c>
      <c r="J118" s="578" t="s">
        <v>490</v>
      </c>
      <c r="K118" s="565"/>
      <c r="L118" s="565"/>
      <c r="O118" s="89"/>
    </row>
    <row r="119" spans="3:15" ht="14.1" customHeight="1">
      <c r="C119" s="556" t="s">
        <v>441</v>
      </c>
      <c r="D119" s="557" t="s">
        <v>233</v>
      </c>
      <c r="E119" s="633">
        <v>700648</v>
      </c>
      <c r="F119" s="565"/>
      <c r="G119" s="565" t="s">
        <v>224</v>
      </c>
      <c r="H119" s="565"/>
      <c r="I119" s="565"/>
      <c r="J119" s="565" t="s">
        <v>150</v>
      </c>
      <c r="K119" s="565" t="s">
        <v>223</v>
      </c>
      <c r="L119" s="565" t="s">
        <v>222</v>
      </c>
      <c r="O119" s="89"/>
    </row>
    <row r="120" spans="3:15" ht="14.1" customHeight="1">
      <c r="C120" s="556" t="s">
        <v>443</v>
      </c>
      <c r="D120" s="557" t="s">
        <v>234</v>
      </c>
      <c r="E120" s="633">
        <v>700653</v>
      </c>
      <c r="F120" s="565"/>
      <c r="G120" s="565"/>
      <c r="H120" s="565" t="s">
        <v>225</v>
      </c>
      <c r="I120" s="565"/>
      <c r="J120" s="565" t="s">
        <v>223</v>
      </c>
      <c r="K120" s="565" t="s">
        <v>222</v>
      </c>
      <c r="L120" s="565" t="s">
        <v>221</v>
      </c>
      <c r="O120" s="89"/>
    </row>
    <row r="121" spans="3:15" ht="14.1" customHeight="1">
      <c r="C121" s="556" t="s">
        <v>444</v>
      </c>
      <c r="D121" s="557" t="s">
        <v>235</v>
      </c>
      <c r="E121" s="633">
        <v>700604</v>
      </c>
      <c r="F121" s="565"/>
      <c r="G121" s="565" t="s">
        <v>225</v>
      </c>
      <c r="H121" s="565" t="s">
        <v>224</v>
      </c>
      <c r="I121" s="565"/>
      <c r="J121" s="565"/>
      <c r="K121" s="565" t="s">
        <v>150</v>
      </c>
      <c r="L121" s="565" t="s">
        <v>150</v>
      </c>
      <c r="O121" s="89"/>
    </row>
    <row r="122" spans="3:15" ht="14.1" customHeight="1">
      <c r="C122" s="556" t="s">
        <v>445</v>
      </c>
      <c r="D122" s="557" t="s">
        <v>236</v>
      </c>
      <c r="E122" s="633">
        <v>655170</v>
      </c>
      <c r="F122" s="565" t="s">
        <v>150</v>
      </c>
      <c r="G122" s="565" t="s">
        <v>150</v>
      </c>
      <c r="H122" s="565"/>
      <c r="I122" s="565" t="s">
        <v>224</v>
      </c>
      <c r="J122" s="565" t="s">
        <v>149</v>
      </c>
      <c r="K122" s="565"/>
      <c r="L122" s="565"/>
      <c r="O122" s="89"/>
    </row>
    <row r="123" spans="3:15" ht="14.1" customHeight="1">
      <c r="C123" s="556" t="s">
        <v>446</v>
      </c>
      <c r="D123" s="557" t="s">
        <v>237</v>
      </c>
      <c r="E123" s="633">
        <v>703000</v>
      </c>
      <c r="F123" s="565" t="s">
        <v>221</v>
      </c>
      <c r="G123" s="565" t="s">
        <v>222</v>
      </c>
      <c r="H123" s="565" t="s">
        <v>223</v>
      </c>
      <c r="I123" s="565"/>
      <c r="J123" s="565"/>
      <c r="K123" s="565" t="s">
        <v>150</v>
      </c>
      <c r="L123" s="565" t="s">
        <v>150</v>
      </c>
      <c r="O123" s="89"/>
    </row>
    <row r="124" spans="3:15" ht="14.1" customHeight="1">
      <c r="C124" s="556" t="s">
        <v>447</v>
      </c>
      <c r="D124" s="557" t="s">
        <v>238</v>
      </c>
      <c r="E124" s="633">
        <v>702770</v>
      </c>
      <c r="F124" s="565" t="s">
        <v>222</v>
      </c>
      <c r="G124" s="565"/>
      <c r="H124" s="565"/>
      <c r="I124" s="565"/>
      <c r="J124" s="565" t="s">
        <v>225</v>
      </c>
      <c r="K124" s="565" t="s">
        <v>226</v>
      </c>
      <c r="L124" s="565" t="s">
        <v>150</v>
      </c>
      <c r="O124" s="89"/>
    </row>
    <row r="125" spans="3:15" ht="14.1" customHeight="1">
      <c r="C125" s="556" t="s">
        <v>448</v>
      </c>
      <c r="D125" s="557" t="s">
        <v>239</v>
      </c>
      <c r="E125" s="633">
        <v>704108</v>
      </c>
      <c r="F125" s="565"/>
      <c r="G125" s="565" t="s">
        <v>226</v>
      </c>
      <c r="H125" s="565" t="s">
        <v>150</v>
      </c>
      <c r="I125" s="565" t="s">
        <v>223</v>
      </c>
      <c r="J125" s="565" t="s">
        <v>222</v>
      </c>
      <c r="K125" s="565"/>
      <c r="L125" s="565"/>
      <c r="O125" s="89"/>
    </row>
    <row r="126" spans="3:15" ht="14.1" customHeight="1">
      <c r="C126" s="556" t="s">
        <v>449</v>
      </c>
      <c r="D126" s="557" t="s">
        <v>240</v>
      </c>
      <c r="E126" s="633">
        <v>700734</v>
      </c>
      <c r="F126" s="565" t="s">
        <v>225</v>
      </c>
      <c r="G126" s="565" t="s">
        <v>150</v>
      </c>
      <c r="H126" s="565"/>
      <c r="I126" s="565" t="s">
        <v>150</v>
      </c>
      <c r="J126" s="565" t="s">
        <v>150</v>
      </c>
      <c r="K126" s="565"/>
      <c r="L126" s="565"/>
      <c r="O126" s="89"/>
    </row>
    <row r="127" spans="3:15" ht="14.1" customHeight="1">
      <c r="C127" s="556" t="s">
        <v>450</v>
      </c>
      <c r="D127" s="557" t="s">
        <v>241</v>
      </c>
      <c r="E127" s="633">
        <v>702035</v>
      </c>
      <c r="F127" s="565" t="s">
        <v>149</v>
      </c>
      <c r="G127" s="565" t="s">
        <v>221</v>
      </c>
      <c r="H127" s="565" t="s">
        <v>222</v>
      </c>
      <c r="I127" s="565"/>
      <c r="J127" s="565"/>
      <c r="K127" s="565"/>
      <c r="L127" s="565" t="s">
        <v>150</v>
      </c>
      <c r="O127" s="89"/>
    </row>
    <row r="128" spans="3:15" ht="14.1" customHeight="1">
      <c r="C128" s="556" t="s">
        <v>451</v>
      </c>
      <c r="D128" s="557" t="s">
        <v>242</v>
      </c>
      <c r="E128" s="633">
        <v>702779</v>
      </c>
      <c r="F128" s="578" t="s">
        <v>359</v>
      </c>
      <c r="G128" s="565" t="s">
        <v>150</v>
      </c>
      <c r="H128" s="565" t="s">
        <v>150</v>
      </c>
      <c r="I128" s="565"/>
      <c r="J128" s="565" t="s">
        <v>224</v>
      </c>
      <c r="K128" s="565"/>
      <c r="L128" s="565"/>
      <c r="O128" s="89"/>
    </row>
    <row r="129" spans="3:15" ht="14.1" customHeight="1">
      <c r="C129" s="556" t="s">
        <v>452</v>
      </c>
      <c r="D129" s="557" t="s">
        <v>243</v>
      </c>
      <c r="E129" s="633">
        <v>641339</v>
      </c>
      <c r="F129" s="565"/>
      <c r="G129" s="565" t="s">
        <v>149</v>
      </c>
      <c r="H129" s="565"/>
      <c r="I129" s="565" t="s">
        <v>149</v>
      </c>
      <c r="J129" s="565"/>
      <c r="K129" s="565" t="s">
        <v>150</v>
      </c>
      <c r="L129" s="565" t="s">
        <v>226</v>
      </c>
      <c r="O129" s="89"/>
    </row>
    <row r="130" spans="3:15" ht="14.1" customHeight="1">
      <c r="C130" s="556" t="s">
        <v>453</v>
      </c>
      <c r="D130" s="557" t="s">
        <v>244</v>
      </c>
      <c r="E130" s="633">
        <v>703783</v>
      </c>
      <c r="F130" s="565" t="s">
        <v>150</v>
      </c>
      <c r="G130" s="565" t="s">
        <v>223</v>
      </c>
      <c r="H130" s="565" t="s">
        <v>222</v>
      </c>
      <c r="I130" s="565" t="s">
        <v>221</v>
      </c>
      <c r="J130" s="565"/>
      <c r="K130" s="565"/>
      <c r="L130" s="565"/>
      <c r="O130" s="89"/>
    </row>
    <row r="131" spans="3:15" ht="14.1" customHeight="1">
      <c r="C131" s="556" t="s">
        <v>454</v>
      </c>
      <c r="D131" s="557" t="s">
        <v>245</v>
      </c>
      <c r="E131" s="625">
        <v>702087</v>
      </c>
      <c r="F131" s="565" t="s">
        <v>150</v>
      </c>
      <c r="G131" s="565"/>
      <c r="H131" s="578" t="s">
        <v>490</v>
      </c>
      <c r="I131" s="565"/>
      <c r="J131" s="565"/>
      <c r="K131" s="565"/>
      <c r="L131" s="565"/>
      <c r="O131" s="89"/>
    </row>
    <row r="132" spans="3:15" ht="14.1" customHeight="1">
      <c r="C132" s="556" t="s">
        <v>455</v>
      </c>
      <c r="D132" s="558" t="s">
        <v>246</v>
      </c>
      <c r="E132" s="631"/>
      <c r="F132" s="578"/>
      <c r="G132" s="578" t="s">
        <v>1</v>
      </c>
      <c r="H132" s="578" t="s">
        <v>1</v>
      </c>
      <c r="I132" s="578"/>
      <c r="J132" s="578" t="s">
        <v>2</v>
      </c>
      <c r="K132" s="578" t="s">
        <v>502</v>
      </c>
      <c r="L132" s="578"/>
      <c r="O132" s="89"/>
    </row>
    <row r="133" spans="3:15" ht="14.1" customHeight="1">
      <c r="C133" s="556" t="s">
        <v>456</v>
      </c>
      <c r="D133" s="557" t="s">
        <v>247</v>
      </c>
      <c r="E133" s="625">
        <v>703186</v>
      </c>
      <c r="F133" s="606" t="s">
        <v>503</v>
      </c>
      <c r="G133" s="606"/>
      <c r="H133" s="606"/>
      <c r="I133" s="606"/>
      <c r="J133" s="606"/>
      <c r="K133" s="606"/>
      <c r="L133" s="606"/>
      <c r="O133" s="89"/>
    </row>
    <row r="134" spans="3:15" ht="14.1" customHeight="1">
      <c r="C134" s="556" t="s">
        <v>458</v>
      </c>
      <c r="D134" s="557" t="s">
        <v>248</v>
      </c>
      <c r="E134" s="625">
        <v>703168</v>
      </c>
      <c r="F134" s="565"/>
      <c r="G134" s="565"/>
      <c r="H134" s="565" t="s">
        <v>150</v>
      </c>
      <c r="I134" s="565"/>
      <c r="J134" s="565" t="s">
        <v>149</v>
      </c>
      <c r="K134" s="565" t="s">
        <v>224</v>
      </c>
      <c r="L134" s="578" t="s">
        <v>317</v>
      </c>
      <c r="O134" s="89"/>
    </row>
    <row r="135" spans="3:15" ht="14.1" customHeight="1">
      <c r="C135" s="556" t="s">
        <v>459</v>
      </c>
      <c r="D135" s="557" t="s">
        <v>249</v>
      </c>
      <c r="E135" s="625">
        <v>703270</v>
      </c>
      <c r="F135" s="565" t="s">
        <v>222</v>
      </c>
      <c r="G135" s="565"/>
      <c r="H135" s="565" t="s">
        <v>149</v>
      </c>
      <c r="I135" s="565"/>
      <c r="J135" s="565"/>
      <c r="K135" s="578" t="s">
        <v>1</v>
      </c>
      <c r="L135" s="565" t="s">
        <v>224</v>
      </c>
      <c r="O135" s="89"/>
    </row>
    <row r="136" spans="3:15" ht="14.1" customHeight="1">
      <c r="C136" s="556" t="s">
        <v>460</v>
      </c>
      <c r="D136" s="558" t="s">
        <v>251</v>
      </c>
      <c r="E136" s="625">
        <v>702481</v>
      </c>
      <c r="F136" s="565"/>
      <c r="G136" s="565"/>
      <c r="H136" s="565" t="s">
        <v>150</v>
      </c>
      <c r="I136" s="565" t="s">
        <v>150</v>
      </c>
      <c r="J136" s="565"/>
      <c r="K136" s="565" t="s">
        <v>149</v>
      </c>
      <c r="L136" s="565" t="s">
        <v>149</v>
      </c>
      <c r="O136" s="89"/>
    </row>
    <row r="137" spans="3:15" ht="14.1" customHeight="1">
      <c r="C137" s="556" t="s">
        <v>461</v>
      </c>
      <c r="D137" s="558" t="s">
        <v>252</v>
      </c>
      <c r="E137" s="625">
        <v>700682</v>
      </c>
      <c r="F137" s="634"/>
      <c r="G137" s="634"/>
      <c r="H137" s="634"/>
      <c r="I137" s="634"/>
      <c r="J137" s="634"/>
      <c r="K137" s="634"/>
      <c r="L137" s="634"/>
      <c r="O137" s="89"/>
    </row>
    <row r="138" spans="3:15" ht="14.1" customHeight="1">
      <c r="C138" s="556" t="s">
        <v>462</v>
      </c>
      <c r="D138" s="558" t="s">
        <v>253</v>
      </c>
      <c r="E138" s="625">
        <v>700721</v>
      </c>
      <c r="F138" s="634"/>
      <c r="G138" s="634"/>
      <c r="H138" s="634"/>
      <c r="I138" s="634"/>
      <c r="J138" s="634"/>
      <c r="K138" s="634"/>
      <c r="L138" s="634"/>
      <c r="O138" s="89"/>
    </row>
    <row r="139" spans="3:15" ht="14.1" customHeight="1">
      <c r="C139" s="556" t="s">
        <v>463</v>
      </c>
      <c r="D139" s="558" t="s">
        <v>254</v>
      </c>
      <c r="E139" s="625">
        <v>703820</v>
      </c>
      <c r="F139" s="634"/>
      <c r="G139" s="634"/>
      <c r="H139" s="634"/>
      <c r="I139" s="634"/>
      <c r="J139" s="634"/>
      <c r="K139" s="634"/>
      <c r="L139" s="634"/>
      <c r="O139" s="89"/>
    </row>
    <row r="140" spans="3:15" ht="14.1" customHeight="1">
      <c r="C140" s="556" t="s">
        <v>464</v>
      </c>
      <c r="D140" s="558" t="s">
        <v>255</v>
      </c>
      <c r="E140" s="625">
        <v>703788</v>
      </c>
      <c r="F140" s="634"/>
      <c r="G140" s="634"/>
      <c r="H140" s="634"/>
      <c r="I140" s="634"/>
      <c r="J140" s="634"/>
      <c r="K140" s="634"/>
      <c r="L140" s="634"/>
      <c r="O140" s="89"/>
    </row>
    <row r="141" spans="3:15" ht="14.1" customHeight="1">
      <c r="C141" s="556" t="s">
        <v>465</v>
      </c>
      <c r="D141" s="558" t="s">
        <v>256</v>
      </c>
      <c r="E141" s="625">
        <v>700646</v>
      </c>
      <c r="F141" s="634"/>
      <c r="G141" s="634"/>
      <c r="H141" s="634"/>
      <c r="I141" s="634"/>
      <c r="J141" s="634"/>
      <c r="K141" s="634"/>
      <c r="L141" s="634"/>
      <c r="O141" s="89"/>
    </row>
    <row r="142" spans="3:15" ht="14.1" customHeight="1">
      <c r="C142" s="556" t="s">
        <v>466</v>
      </c>
      <c r="D142" s="558" t="s">
        <v>257</v>
      </c>
      <c r="E142" s="633">
        <v>655539</v>
      </c>
      <c r="F142" s="634"/>
      <c r="G142" s="634"/>
      <c r="H142" s="634"/>
      <c r="I142" s="634"/>
      <c r="J142" s="634"/>
      <c r="K142" s="634"/>
      <c r="L142" s="634"/>
      <c r="O142" s="89"/>
    </row>
    <row r="143" spans="3:15" ht="14.1" customHeight="1">
      <c r="C143" s="556" t="s">
        <v>467</v>
      </c>
      <c r="D143" s="559" t="s">
        <v>258</v>
      </c>
      <c r="E143" s="633">
        <v>653933</v>
      </c>
      <c r="F143" s="635"/>
      <c r="G143" s="635"/>
      <c r="H143" s="635"/>
      <c r="I143" s="635"/>
      <c r="J143" s="635"/>
      <c r="K143" s="635"/>
      <c r="L143" s="635"/>
      <c r="O143" s="89"/>
    </row>
    <row r="144" spans="3:15" ht="14.1" customHeight="1">
      <c r="C144" s="556" t="s">
        <v>468</v>
      </c>
      <c r="D144" s="558" t="s">
        <v>259</v>
      </c>
      <c r="E144" s="636"/>
      <c r="F144" s="634"/>
      <c r="G144" s="634"/>
      <c r="H144" s="634"/>
      <c r="I144" s="634"/>
      <c r="J144" s="634"/>
      <c r="K144" s="634"/>
      <c r="L144" s="634"/>
      <c r="O144" s="89"/>
    </row>
    <row r="145" spans="3:15" ht="14.1" customHeight="1">
      <c r="C145" s="556"/>
      <c r="D145" s="286"/>
      <c r="E145" s="304"/>
      <c r="G145" s="566"/>
      <c r="H145" s="566"/>
      <c r="I145" s="566"/>
      <c r="J145" s="566"/>
      <c r="K145" s="566"/>
      <c r="L145" s="566"/>
      <c r="O145" s="89"/>
    </row>
    <row r="146" spans="3:15" ht="14.1" customHeight="1" thickBot="1">
      <c r="C146" s="560" t="s">
        <v>472</v>
      </c>
      <c r="D146" s="462" t="s">
        <v>260</v>
      </c>
      <c r="E146" s="463"/>
      <c r="F146" s="210"/>
      <c r="G146" s="578"/>
      <c r="H146" s="578"/>
      <c r="I146" s="578"/>
      <c r="J146" s="578"/>
      <c r="K146" s="578"/>
      <c r="L146" s="578"/>
      <c r="O146" s="89"/>
    </row>
    <row r="147" spans="3:15" ht="14.1" customHeight="1">
      <c r="C147" s="561" t="s">
        <v>473</v>
      </c>
      <c r="D147" s="196" t="s">
        <v>261</v>
      </c>
      <c r="E147" s="466">
        <v>703293</v>
      </c>
      <c r="F147" s="637" t="s">
        <v>263</v>
      </c>
      <c r="G147" s="637" t="s">
        <v>263</v>
      </c>
      <c r="H147" s="637" t="s">
        <v>263</v>
      </c>
      <c r="I147" s="637" t="s">
        <v>263</v>
      </c>
      <c r="J147" s="637" t="s">
        <v>263</v>
      </c>
      <c r="K147" s="637" t="s">
        <v>263</v>
      </c>
      <c r="L147" s="637" t="s">
        <v>263</v>
      </c>
      <c r="O147" s="89"/>
    </row>
    <row r="148" spans="3:15" ht="14.1" customHeight="1">
      <c r="C148" s="561" t="s">
        <v>474</v>
      </c>
      <c r="D148" s="562" t="s">
        <v>266</v>
      </c>
      <c r="E148" s="466">
        <v>703544</v>
      </c>
      <c r="F148" s="639"/>
      <c r="G148" s="639" t="s">
        <v>149</v>
      </c>
      <c r="H148" s="646" t="s">
        <v>262</v>
      </c>
      <c r="I148" s="639" t="s">
        <v>150</v>
      </c>
      <c r="J148" s="639" t="s">
        <v>150</v>
      </c>
      <c r="K148" s="640"/>
      <c r="L148" s="640"/>
      <c r="O148" s="89"/>
    </row>
    <row r="149" spans="3:15" ht="14.1" customHeight="1">
      <c r="C149" s="561" t="s">
        <v>475</v>
      </c>
      <c r="D149" s="562" t="s">
        <v>267</v>
      </c>
      <c r="E149" s="466">
        <v>703651</v>
      </c>
      <c r="F149" s="639"/>
      <c r="G149" s="639" t="s">
        <v>150</v>
      </c>
      <c r="H149" s="639" t="s">
        <v>150</v>
      </c>
      <c r="I149" s="639" t="s">
        <v>150</v>
      </c>
      <c r="J149" s="639" t="s">
        <v>150</v>
      </c>
      <c r="K149" s="639"/>
      <c r="L149" s="639"/>
      <c r="O149" s="89"/>
    </row>
    <row r="150" spans="3:15" ht="14.1" customHeight="1">
      <c r="C150" s="561" t="s">
        <v>477</v>
      </c>
      <c r="D150" s="562" t="s">
        <v>268</v>
      </c>
      <c r="E150" s="466">
        <v>703298</v>
      </c>
      <c r="F150" s="639" t="s">
        <v>149</v>
      </c>
      <c r="G150" s="639" t="s">
        <v>149</v>
      </c>
      <c r="H150" s="639"/>
      <c r="I150" s="639"/>
      <c r="J150" s="639"/>
      <c r="K150" s="639" t="s">
        <v>150</v>
      </c>
      <c r="L150" s="639" t="s">
        <v>150</v>
      </c>
      <c r="O150" s="89"/>
    </row>
    <row r="151" spans="3:15" ht="14.1" customHeight="1">
      <c r="C151" s="561" t="s">
        <v>478</v>
      </c>
      <c r="D151" s="562" t="s">
        <v>269</v>
      </c>
      <c r="E151" s="466">
        <v>703345</v>
      </c>
      <c r="F151" s="639"/>
      <c r="G151" s="639" t="s">
        <v>149</v>
      </c>
      <c r="H151" s="639" t="s">
        <v>149</v>
      </c>
      <c r="I151" s="639"/>
      <c r="J151" s="639"/>
      <c r="K151" s="639" t="s">
        <v>222</v>
      </c>
      <c r="L151" s="639" t="s">
        <v>222</v>
      </c>
      <c r="O151" s="89"/>
    </row>
    <row r="152" spans="3:15" ht="14.1" customHeight="1">
      <c r="C152" s="561" t="s">
        <v>479</v>
      </c>
      <c r="D152" s="562" t="s">
        <v>270</v>
      </c>
      <c r="E152" s="466">
        <v>703324</v>
      </c>
      <c r="F152" s="637" t="s">
        <v>263</v>
      </c>
      <c r="G152" s="637" t="s">
        <v>263</v>
      </c>
      <c r="H152" s="637" t="s">
        <v>263</v>
      </c>
      <c r="I152" s="637" t="s">
        <v>263</v>
      </c>
      <c r="J152" s="637" t="s">
        <v>263</v>
      </c>
      <c r="K152" s="637" t="s">
        <v>263</v>
      </c>
      <c r="L152" s="637" t="s">
        <v>263</v>
      </c>
      <c r="O152" s="89"/>
    </row>
    <row r="153" spans="3:15" ht="14.1" customHeight="1">
      <c r="C153" s="561" t="s">
        <v>480</v>
      </c>
      <c r="D153" s="562" t="s">
        <v>271</v>
      </c>
      <c r="E153" s="466">
        <v>703527</v>
      </c>
      <c r="F153" s="639" t="s">
        <v>150</v>
      </c>
      <c r="G153" s="639"/>
      <c r="H153" s="639" t="s">
        <v>222</v>
      </c>
      <c r="I153" s="639" t="s">
        <v>222</v>
      </c>
      <c r="J153" s="639" t="s">
        <v>222</v>
      </c>
      <c r="K153" s="640"/>
      <c r="L153" s="640"/>
      <c r="O153" s="89"/>
    </row>
    <row r="154" spans="3:15" ht="14.1" customHeight="1">
      <c r="C154" s="561" t="s">
        <v>481</v>
      </c>
      <c r="D154" s="562" t="s">
        <v>272</v>
      </c>
      <c r="E154" s="466">
        <v>703319</v>
      </c>
      <c r="F154" s="639" t="s">
        <v>222</v>
      </c>
      <c r="G154" s="639" t="s">
        <v>222</v>
      </c>
      <c r="H154" s="639"/>
      <c r="I154" s="639"/>
      <c r="J154" s="639"/>
      <c r="K154" s="639" t="s">
        <v>149</v>
      </c>
      <c r="L154" s="639" t="s">
        <v>149</v>
      </c>
      <c r="O154" s="89"/>
    </row>
    <row r="155" spans="3:15" ht="14.1" customHeight="1">
      <c r="C155" s="561" t="s">
        <v>482</v>
      </c>
      <c r="D155" s="562" t="s">
        <v>273</v>
      </c>
      <c r="E155" s="466">
        <v>703543</v>
      </c>
      <c r="F155" s="639" t="s">
        <v>150</v>
      </c>
      <c r="G155" s="639"/>
      <c r="H155" s="639" t="s">
        <v>149</v>
      </c>
      <c r="I155" s="639" t="s">
        <v>149</v>
      </c>
      <c r="J155" s="639" t="s">
        <v>149</v>
      </c>
      <c r="K155" s="639"/>
      <c r="L155" s="639"/>
      <c r="O155" s="89"/>
    </row>
    <row r="156" spans="3:15" ht="14.1" customHeight="1" thickBot="1">
      <c r="C156" s="561" t="s">
        <v>497</v>
      </c>
      <c r="D156" s="562" t="s">
        <v>274</v>
      </c>
      <c r="E156" s="466">
        <v>703530</v>
      </c>
      <c r="F156" s="639" t="s">
        <v>149</v>
      </c>
      <c r="G156" s="647" t="s">
        <v>264</v>
      </c>
      <c r="H156" s="639" t="s">
        <v>150</v>
      </c>
      <c r="I156" s="639" t="s">
        <v>150</v>
      </c>
      <c r="J156" s="639"/>
      <c r="K156" s="639" t="s">
        <v>149</v>
      </c>
      <c r="L156" s="639"/>
      <c r="O156" s="89"/>
    </row>
    <row r="157" spans="3:15" ht="14.1" customHeight="1">
      <c r="C157" s="561" t="s">
        <v>484</v>
      </c>
      <c r="D157" s="231" t="s">
        <v>485</v>
      </c>
      <c r="E157" s="466">
        <v>700626</v>
      </c>
      <c r="F157" s="237" t="s">
        <v>487</v>
      </c>
      <c r="G157" s="238"/>
      <c r="H157" s="235" t="s">
        <v>149</v>
      </c>
      <c r="I157" s="235" t="s">
        <v>149</v>
      </c>
      <c r="J157" s="565" t="s">
        <v>149</v>
      </c>
      <c r="K157" s="235"/>
      <c r="L157" s="236"/>
      <c r="O157" s="89"/>
    </row>
    <row r="158" spans="3:15" ht="14.1" customHeight="1">
      <c r="C158" s="561"/>
      <c r="D158" s="175"/>
      <c r="E158" s="114"/>
      <c r="F158" s="813" t="s">
        <v>275</v>
      </c>
      <c r="G158" s="814"/>
      <c r="H158" s="814"/>
      <c r="I158" s="814"/>
      <c r="J158" s="814"/>
      <c r="K158" s="814"/>
      <c r="L158" s="815"/>
      <c r="O158" s="89"/>
    </row>
    <row r="159" spans="3:15" ht="14.1" customHeight="1">
      <c r="D159" s="476"/>
      <c r="E159" s="477"/>
      <c r="F159" s="641"/>
      <c r="G159" s="641"/>
      <c r="H159" s="641"/>
      <c r="I159" s="641"/>
      <c r="J159" s="641"/>
      <c r="K159" s="641"/>
      <c r="L159" s="641"/>
      <c r="O159" s="89"/>
    </row>
    <row r="160" spans="3:15" ht="14.1" customHeight="1">
      <c r="D160" s="479"/>
      <c r="E160" s="477"/>
      <c r="F160" s="641"/>
      <c r="G160" s="641"/>
      <c r="H160" s="641"/>
      <c r="I160" s="641"/>
      <c r="J160" s="641"/>
      <c r="K160" s="641"/>
      <c r="L160" s="641"/>
      <c r="O160" s="89"/>
    </row>
    <row r="161" spans="3:15" ht="14.1" customHeight="1">
      <c r="C161" s="563" t="s">
        <v>488</v>
      </c>
      <c r="D161" s="479" t="s">
        <v>488</v>
      </c>
      <c r="E161" s="477"/>
      <c r="F161" s="641"/>
      <c r="G161" s="641"/>
      <c r="H161" s="641"/>
      <c r="I161" s="641"/>
      <c r="J161" s="641"/>
      <c r="K161" s="641"/>
      <c r="L161" s="641"/>
      <c r="O161" s="89"/>
    </row>
    <row r="162" spans="3:15" ht="14.1" customHeight="1">
      <c r="C162" s="563"/>
      <c r="D162" s="563"/>
      <c r="E162" s="477"/>
      <c r="F162" s="641"/>
      <c r="G162" s="641"/>
      <c r="H162" s="641"/>
      <c r="I162" s="641"/>
      <c r="J162" s="641"/>
      <c r="K162" s="641"/>
      <c r="L162" s="641"/>
      <c r="O162" s="89"/>
    </row>
    <row r="163" spans="3:15" ht="14.1" customHeight="1">
      <c r="C163" s="563"/>
      <c r="D163" s="563"/>
      <c r="E163" s="477"/>
      <c r="F163" s="641"/>
      <c r="G163" s="641"/>
      <c r="H163" s="641"/>
      <c r="I163" s="641"/>
      <c r="J163" s="641"/>
      <c r="K163" s="641"/>
      <c r="L163" s="641"/>
      <c r="O163" s="89"/>
    </row>
    <row r="164" spans="3:15" ht="14.1" customHeight="1">
      <c r="C164" s="563"/>
      <c r="D164" s="563"/>
      <c r="E164" s="477"/>
      <c r="F164" s="641"/>
      <c r="G164" s="641"/>
      <c r="H164" s="641"/>
      <c r="I164" s="641"/>
      <c r="J164" s="641"/>
      <c r="K164" s="641"/>
      <c r="L164" s="641"/>
      <c r="O164" s="89"/>
    </row>
    <row r="165" spans="3:15" ht="14.1" customHeight="1">
      <c r="C165" s="563"/>
      <c r="D165" s="563"/>
      <c r="E165" s="477"/>
      <c r="G165" s="566"/>
      <c r="H165" s="566"/>
      <c r="I165" s="566"/>
      <c r="J165" s="566"/>
      <c r="K165" s="566"/>
      <c r="L165" s="566"/>
      <c r="O165" s="89"/>
    </row>
    <row r="166" spans="3:15" ht="14.1" customHeight="1">
      <c r="C166" s="563"/>
      <c r="D166" s="563"/>
      <c r="E166" s="477"/>
      <c r="G166" s="566"/>
      <c r="H166" s="566"/>
      <c r="I166" s="566"/>
      <c r="J166" s="566"/>
      <c r="K166" s="566"/>
      <c r="L166" s="566"/>
      <c r="O166" s="89"/>
    </row>
    <row r="167" spans="3:15" ht="14.1" customHeight="1">
      <c r="C167" s="563"/>
      <c r="D167" s="563"/>
      <c r="E167" s="477"/>
      <c r="G167" s="566"/>
      <c r="H167" s="566"/>
      <c r="I167" s="566"/>
      <c r="J167" s="566"/>
      <c r="K167" s="566"/>
      <c r="L167" s="566"/>
      <c r="O167" s="89"/>
    </row>
    <row r="168" spans="3:15" ht="14.1" customHeight="1">
      <c r="C168" s="563"/>
      <c r="D168" s="563"/>
      <c r="E168" s="477"/>
      <c r="F168" s="210"/>
      <c r="G168" s="578"/>
      <c r="H168" s="578"/>
      <c r="I168" s="578"/>
      <c r="J168" s="578"/>
      <c r="K168" s="578"/>
      <c r="L168" s="578"/>
      <c r="O168" s="89"/>
    </row>
    <row r="169" spans="3:15" ht="14.1" customHeight="1">
      <c r="C169" s="538" t="s">
        <v>1</v>
      </c>
      <c r="D169" s="538" t="s">
        <v>1</v>
      </c>
      <c r="E169" s="615"/>
      <c r="F169" s="565">
        <f t="shared" ref="F169:L169" si="21">COUNTIF(F6:F167,"0800-1730*")+COUNTIF(F6:F167,"0800-1800*")+COUNTIF(F6:F167,"0730-*")-COUNTIF(F6:F167,"*0800-1730 CS*")-COUNTIF(F6:F167,"*0800-1800 CS*")-COUNTIF(F6:F167,"*0800-1730 PHNW*")-COUNTIF(F6:F167,"*0800-1730 DEMT*")-COUNTIF(F6:F167,"*0800-1730 DD*")</f>
        <v>14</v>
      </c>
      <c r="G169" s="565">
        <f t="shared" si="21"/>
        <v>13</v>
      </c>
      <c r="H169" s="565">
        <f t="shared" si="21"/>
        <v>12</v>
      </c>
      <c r="I169" s="565">
        <f t="shared" si="21"/>
        <v>16</v>
      </c>
      <c r="J169" s="565">
        <f t="shared" si="21"/>
        <v>14</v>
      </c>
      <c r="K169" s="565">
        <f t="shared" si="21"/>
        <v>13</v>
      </c>
      <c r="L169" s="565">
        <f t="shared" si="21"/>
        <v>11</v>
      </c>
      <c r="O169" s="89"/>
    </row>
    <row r="170" spans="3:15" ht="14.1" customHeight="1">
      <c r="C170" s="538" t="s">
        <v>276</v>
      </c>
      <c r="D170" s="538" t="s">
        <v>276</v>
      </c>
      <c r="E170" s="615"/>
      <c r="F170" s="65">
        <f t="shared" ref="F170:L170" si="22">COUNTIF(F6:F167,"*SWA*")</f>
        <v>1</v>
      </c>
      <c r="G170" s="65">
        <f t="shared" si="22"/>
        <v>1</v>
      </c>
      <c r="H170" s="65">
        <f t="shared" si="22"/>
        <v>1</v>
      </c>
      <c r="I170" s="65">
        <f t="shared" si="22"/>
        <v>0</v>
      </c>
      <c r="J170" s="65">
        <f t="shared" si="22"/>
        <v>0</v>
      </c>
      <c r="K170" s="65">
        <f t="shared" si="22"/>
        <v>0</v>
      </c>
      <c r="L170" s="65">
        <f t="shared" si="22"/>
        <v>0</v>
      </c>
      <c r="O170" s="89"/>
    </row>
    <row r="171" spans="3:15" ht="14.1" customHeight="1">
      <c r="C171" s="538" t="s">
        <v>2</v>
      </c>
      <c r="D171" s="538" t="s">
        <v>2</v>
      </c>
      <c r="E171" s="615"/>
      <c r="F171" s="65">
        <f t="shared" ref="F171:L171" si="23">COUNTIF(F6:F167,"*1400-*")+COUNTIF(F6:F167,"*1430-*")</f>
        <v>15</v>
      </c>
      <c r="G171" s="65">
        <f t="shared" si="23"/>
        <v>15</v>
      </c>
      <c r="H171" s="65">
        <f t="shared" si="23"/>
        <v>15</v>
      </c>
      <c r="I171" s="65">
        <f t="shared" si="23"/>
        <v>13</v>
      </c>
      <c r="J171" s="65">
        <f t="shared" si="23"/>
        <v>14</v>
      </c>
      <c r="K171" s="65">
        <f t="shared" si="23"/>
        <v>10</v>
      </c>
      <c r="L171" s="65">
        <f t="shared" si="23"/>
        <v>12</v>
      </c>
      <c r="O171" s="89"/>
    </row>
    <row r="172" spans="3:15" ht="14.1" customHeight="1">
      <c r="C172" s="538" t="s">
        <v>277</v>
      </c>
      <c r="D172" s="538" t="s">
        <v>277</v>
      </c>
      <c r="E172" s="615"/>
      <c r="F172" s="65">
        <f t="shared" ref="F172:L172" si="24">COUNTIF(F7:F167,"*SWP*")</f>
        <v>0</v>
      </c>
      <c r="G172" s="65">
        <f t="shared" si="24"/>
        <v>1</v>
      </c>
      <c r="H172" s="65">
        <f t="shared" si="24"/>
        <v>1</v>
      </c>
      <c r="I172" s="65">
        <f t="shared" si="24"/>
        <v>1</v>
      </c>
      <c r="J172" s="65">
        <f t="shared" si="24"/>
        <v>0</v>
      </c>
      <c r="K172" s="65">
        <f t="shared" si="24"/>
        <v>0</v>
      </c>
      <c r="L172" s="65">
        <f t="shared" si="24"/>
        <v>1</v>
      </c>
      <c r="O172" s="89"/>
    </row>
    <row r="173" spans="3:15" ht="14.1" customHeight="1" thickBot="1">
      <c r="C173" s="868" t="s">
        <v>278</v>
      </c>
      <c r="D173" s="868" t="s">
        <v>278</v>
      </c>
      <c r="E173" s="615"/>
      <c r="F173" s="65">
        <f t="shared" ref="F173:L173" si="25">COUNTIF(F6:F167,"2300-*")</f>
        <v>9</v>
      </c>
      <c r="G173" s="65">
        <f t="shared" si="25"/>
        <v>9</v>
      </c>
      <c r="H173" s="65">
        <f t="shared" si="25"/>
        <v>9</v>
      </c>
      <c r="I173" s="65">
        <f t="shared" si="25"/>
        <v>9</v>
      </c>
      <c r="J173" s="65">
        <f t="shared" si="25"/>
        <v>9</v>
      </c>
      <c r="K173" s="65">
        <f t="shared" si="25"/>
        <v>9</v>
      </c>
      <c r="L173" s="65">
        <f t="shared" si="25"/>
        <v>9</v>
      </c>
      <c r="O173" s="89"/>
    </row>
    <row r="174" spans="3:15" ht="14.1" customHeight="1">
      <c r="C174" s="84"/>
      <c r="D174" s="556"/>
      <c r="E174" s="615"/>
      <c r="F174" s="65"/>
      <c r="G174" s="565"/>
      <c r="H174" s="565"/>
      <c r="I174" s="565"/>
      <c r="J174" s="565"/>
      <c r="K174" s="565"/>
      <c r="L174" s="565"/>
      <c r="O174" s="89"/>
    </row>
    <row r="175" spans="3:15" ht="14.1" customHeight="1">
      <c r="C175" s="50"/>
      <c r="D175" s="556" t="s">
        <v>489</v>
      </c>
      <c r="E175" s="615"/>
      <c r="G175" s="566"/>
      <c r="H175" s="566"/>
      <c r="I175" s="566"/>
      <c r="J175" s="566"/>
      <c r="K175" s="566"/>
      <c r="L175" s="566"/>
      <c r="O175" s="89"/>
    </row>
    <row r="176" spans="3:15" ht="14.1" customHeight="1">
      <c r="C176" s="50"/>
      <c r="D176" s="139" t="s">
        <v>157</v>
      </c>
      <c r="E176" s="615"/>
      <c r="F176" s="869"/>
      <c r="G176" s="869"/>
      <c r="H176" s="870"/>
      <c r="I176" s="869"/>
      <c r="J176" s="869"/>
      <c r="K176" s="869"/>
      <c r="L176" s="869"/>
      <c r="O176" s="89"/>
    </row>
    <row r="177" spans="3:15" ht="14.1" customHeight="1">
      <c r="C177" s="50"/>
      <c r="D177" s="182" t="s">
        <v>159</v>
      </c>
      <c r="E177" s="615">
        <v>628440</v>
      </c>
      <c r="F177" s="869"/>
      <c r="G177" s="869"/>
      <c r="H177" s="871" t="s">
        <v>279</v>
      </c>
      <c r="I177" s="869"/>
      <c r="J177" s="869"/>
      <c r="K177" s="869"/>
      <c r="L177" s="869"/>
      <c r="O177" s="89"/>
    </row>
    <row r="178" spans="3:15" ht="14.1" customHeight="1">
      <c r="C178" s="50"/>
      <c r="D178" s="183" t="s">
        <v>164</v>
      </c>
      <c r="E178" s="615">
        <v>653976</v>
      </c>
      <c r="F178" s="869"/>
      <c r="G178" s="869"/>
      <c r="H178" s="871" t="s">
        <v>279</v>
      </c>
      <c r="I178" s="869"/>
      <c r="J178" s="869"/>
      <c r="K178" s="869"/>
      <c r="L178" s="869"/>
      <c r="O178" s="89"/>
    </row>
    <row r="179" spans="3:15" ht="14.1" customHeight="1">
      <c r="C179" s="50"/>
      <c r="D179" s="184" t="s">
        <v>166</v>
      </c>
      <c r="E179" s="615">
        <v>654362</v>
      </c>
      <c r="F179" s="869"/>
      <c r="G179" s="869"/>
      <c r="H179" s="871" t="s">
        <v>279</v>
      </c>
      <c r="I179" s="869"/>
      <c r="J179" s="869"/>
      <c r="K179" s="869"/>
      <c r="L179" s="869"/>
      <c r="O179" s="89"/>
    </row>
    <row r="180" spans="3:15" ht="14.1" customHeight="1">
      <c r="C180" s="50"/>
      <c r="D180" s="184" t="s">
        <v>168</v>
      </c>
      <c r="E180" s="615">
        <v>615829</v>
      </c>
      <c r="F180" s="869"/>
      <c r="G180" s="869"/>
      <c r="H180" s="871" t="s">
        <v>280</v>
      </c>
      <c r="I180" s="869"/>
      <c r="J180" s="869"/>
      <c r="K180" s="869"/>
      <c r="L180" s="869"/>
      <c r="O180" s="89"/>
    </row>
    <row r="181" spans="3:15" ht="14.1" customHeight="1">
      <c r="C181" s="50"/>
      <c r="D181" s="841" t="s">
        <v>170</v>
      </c>
      <c r="E181" s="615">
        <v>619567</v>
      </c>
      <c r="F181" s="869"/>
      <c r="G181" s="869"/>
      <c r="H181" s="871" t="s">
        <v>280</v>
      </c>
      <c r="I181" s="869"/>
      <c r="J181" s="869"/>
      <c r="K181" s="869"/>
      <c r="L181" s="869"/>
      <c r="O181" s="89"/>
    </row>
    <row r="182" spans="3:15" ht="14.1" customHeight="1">
      <c r="C182" s="50"/>
      <c r="D182" s="183" t="s">
        <v>171</v>
      </c>
      <c r="E182" s="615">
        <v>626157</v>
      </c>
      <c r="F182" s="869"/>
      <c r="G182" s="869"/>
      <c r="H182" s="871" t="s">
        <v>281</v>
      </c>
      <c r="I182" s="869"/>
      <c r="J182" s="869"/>
      <c r="K182" s="869"/>
      <c r="L182" s="869"/>
      <c r="O182" s="89"/>
    </row>
    <row r="183" spans="3:15" ht="14.1" customHeight="1">
      <c r="C183" s="50"/>
      <c r="D183" s="185" t="s">
        <v>173</v>
      </c>
      <c r="E183" s="615">
        <v>645122</v>
      </c>
      <c r="F183" s="869"/>
      <c r="G183" s="869"/>
      <c r="H183" s="871" t="s">
        <v>281</v>
      </c>
      <c r="I183" s="869"/>
      <c r="J183" s="869"/>
      <c r="K183" s="869"/>
      <c r="L183" s="869"/>
      <c r="O183" s="89"/>
    </row>
    <row r="184" spans="3:15" ht="14.1" customHeight="1">
      <c r="C184" s="50"/>
      <c r="D184" s="182" t="s">
        <v>174</v>
      </c>
      <c r="E184" s="615">
        <v>615820</v>
      </c>
      <c r="F184" s="869"/>
      <c r="G184" s="869"/>
      <c r="H184" s="871" t="s">
        <v>282</v>
      </c>
      <c r="I184" s="869"/>
      <c r="J184" s="869"/>
      <c r="K184" s="869"/>
      <c r="L184" s="869"/>
      <c r="O184" s="89"/>
    </row>
    <row r="185" spans="3:15" ht="14.1" customHeight="1" thickBot="1">
      <c r="C185" s="50"/>
      <c r="D185" s="197" t="s">
        <v>175</v>
      </c>
      <c r="E185" s="615">
        <v>624174</v>
      </c>
      <c r="F185" s="869"/>
      <c r="G185" s="869"/>
      <c r="H185" s="872" t="s">
        <v>283</v>
      </c>
      <c r="I185" s="869"/>
      <c r="J185" s="869"/>
      <c r="K185" s="869"/>
      <c r="L185" s="869"/>
      <c r="O185" s="89"/>
    </row>
    <row r="186" spans="3:15" ht="14.1" customHeight="1">
      <c r="C186" s="50"/>
      <c r="D186" s="70" t="s">
        <v>176</v>
      </c>
      <c r="E186" s="625"/>
      <c r="F186" s="869"/>
      <c r="G186" s="869"/>
      <c r="H186" s="870"/>
      <c r="I186" s="869"/>
      <c r="J186" s="869"/>
      <c r="K186" s="869"/>
      <c r="L186" s="869"/>
      <c r="O186" s="89"/>
    </row>
    <row r="187" spans="3:15" ht="14.1" customHeight="1">
      <c r="C187" s="50"/>
      <c r="D187" s="546" t="s">
        <v>177</v>
      </c>
      <c r="E187" s="615">
        <v>637990</v>
      </c>
      <c r="F187" s="869"/>
      <c r="G187" s="869"/>
      <c r="H187" s="871" t="s">
        <v>279</v>
      </c>
      <c r="I187" s="869"/>
      <c r="J187" s="869"/>
      <c r="K187" s="869"/>
      <c r="L187" s="869"/>
      <c r="O187" s="89"/>
    </row>
    <row r="188" spans="3:15" ht="14.1" customHeight="1">
      <c r="C188" s="50"/>
      <c r="D188" s="184" t="s">
        <v>179</v>
      </c>
      <c r="E188" s="615">
        <v>652867</v>
      </c>
      <c r="F188" s="869"/>
      <c r="G188" s="869"/>
      <c r="H188" s="871" t="s">
        <v>279</v>
      </c>
      <c r="I188" s="869"/>
      <c r="J188" s="869"/>
      <c r="K188" s="869"/>
      <c r="L188" s="869"/>
      <c r="O188" s="89"/>
    </row>
    <row r="189" spans="3:15" ht="14.1" customHeight="1">
      <c r="C189" s="50"/>
      <c r="D189" s="547" t="s">
        <v>180</v>
      </c>
      <c r="E189" s="615">
        <v>638831</v>
      </c>
      <c r="F189" s="869"/>
      <c r="G189" s="869"/>
      <c r="H189" s="871" t="s">
        <v>279</v>
      </c>
      <c r="I189" s="869"/>
      <c r="J189" s="869"/>
      <c r="K189" s="869"/>
      <c r="L189" s="869"/>
      <c r="O189" s="89"/>
    </row>
    <row r="190" spans="3:15" ht="14.1" customHeight="1">
      <c r="C190" s="50"/>
      <c r="D190" s="548" t="s">
        <v>182</v>
      </c>
      <c r="E190" s="615">
        <v>631314</v>
      </c>
      <c r="F190" s="869"/>
      <c r="G190" s="869"/>
      <c r="H190" s="871" t="s">
        <v>281</v>
      </c>
      <c r="I190" s="869"/>
      <c r="J190" s="869"/>
      <c r="K190" s="869"/>
      <c r="L190" s="869"/>
      <c r="O190" s="89"/>
    </row>
    <row r="191" spans="3:15" ht="14.1" customHeight="1">
      <c r="C191" s="50"/>
      <c r="D191" s="548" t="s">
        <v>185</v>
      </c>
      <c r="E191" s="615">
        <v>631732</v>
      </c>
      <c r="F191" s="869"/>
      <c r="G191" s="869"/>
      <c r="H191" s="871" t="s">
        <v>281</v>
      </c>
      <c r="I191" s="869"/>
      <c r="J191" s="869"/>
      <c r="K191" s="869"/>
      <c r="L191" s="869"/>
      <c r="O191" s="89"/>
    </row>
    <row r="192" spans="3:15" ht="14.1" customHeight="1">
      <c r="C192" s="50"/>
      <c r="D192" s="549" t="s">
        <v>186</v>
      </c>
      <c r="E192" s="615">
        <v>634876</v>
      </c>
      <c r="F192" s="869"/>
      <c r="G192" s="869"/>
      <c r="H192" s="871" t="s">
        <v>281</v>
      </c>
      <c r="I192" s="869"/>
      <c r="J192" s="869"/>
      <c r="K192" s="869"/>
      <c r="L192" s="869"/>
      <c r="O192" s="89"/>
    </row>
    <row r="193" spans="3:15" ht="14.1" customHeight="1">
      <c r="C193" s="50"/>
      <c r="D193" s="873" t="s">
        <v>189</v>
      </c>
      <c r="E193" s="615"/>
      <c r="F193" s="869"/>
      <c r="G193" s="869"/>
      <c r="H193" s="870"/>
      <c r="I193" s="869"/>
      <c r="J193" s="869"/>
      <c r="K193" s="869"/>
      <c r="L193" s="869"/>
      <c r="O193" s="89"/>
    </row>
    <row r="194" spans="3:15" ht="14.1" customHeight="1">
      <c r="C194" s="50"/>
      <c r="D194" s="188" t="s">
        <v>190</v>
      </c>
      <c r="E194" s="615">
        <v>648620</v>
      </c>
      <c r="F194" s="869"/>
      <c r="G194" s="869"/>
      <c r="H194" s="871" t="s">
        <v>279</v>
      </c>
      <c r="I194" s="869"/>
      <c r="J194" s="869"/>
      <c r="K194" s="869"/>
      <c r="L194" s="869"/>
      <c r="O194" s="89"/>
    </row>
    <row r="195" spans="3:15" ht="14.1" customHeight="1">
      <c r="C195" s="50"/>
      <c r="D195" s="189" t="s">
        <v>193</v>
      </c>
      <c r="E195" s="615">
        <v>652357</v>
      </c>
      <c r="F195" s="869"/>
      <c r="G195" s="869"/>
      <c r="H195" s="871" t="s">
        <v>279</v>
      </c>
      <c r="I195" s="869"/>
      <c r="J195" s="869"/>
      <c r="K195" s="869"/>
      <c r="L195" s="869"/>
      <c r="O195" s="89"/>
    </row>
    <row r="196" spans="3:15" ht="14.1" customHeight="1">
      <c r="C196" s="50"/>
      <c r="D196" s="551" t="s">
        <v>196</v>
      </c>
      <c r="E196" s="631">
        <v>703714</v>
      </c>
      <c r="F196" s="869"/>
      <c r="G196" s="869"/>
      <c r="H196" s="871" t="s">
        <v>279</v>
      </c>
      <c r="I196" s="869"/>
      <c r="J196" s="869"/>
      <c r="K196" s="869"/>
      <c r="L196" s="869"/>
      <c r="O196" s="89"/>
    </row>
    <row r="197" spans="3:15" ht="14.1" customHeight="1">
      <c r="C197" s="50"/>
      <c r="D197" s="189" t="s">
        <v>198</v>
      </c>
      <c r="E197" s="615">
        <v>655089</v>
      </c>
      <c r="F197" s="869"/>
      <c r="G197" s="869"/>
      <c r="H197" s="871" t="s">
        <v>279</v>
      </c>
      <c r="I197" s="869"/>
      <c r="J197" s="869"/>
      <c r="K197" s="869"/>
      <c r="L197" s="869"/>
      <c r="O197" s="89"/>
    </row>
    <row r="198" spans="3:15" ht="14.1" customHeight="1">
      <c r="C198" s="50"/>
      <c r="D198" s="190" t="s">
        <v>199</v>
      </c>
      <c r="E198" s="615">
        <v>649364</v>
      </c>
      <c r="F198" s="869"/>
      <c r="G198" s="869"/>
      <c r="H198" s="871" t="s">
        <v>279</v>
      </c>
      <c r="I198" s="869"/>
      <c r="J198" s="869"/>
      <c r="K198" s="869"/>
      <c r="L198" s="869"/>
      <c r="O198" s="89"/>
    </row>
    <row r="199" spans="3:15" ht="14.1" customHeight="1">
      <c r="C199" s="50"/>
      <c r="D199" s="191" t="s">
        <v>200</v>
      </c>
      <c r="E199" s="615">
        <v>700872</v>
      </c>
      <c r="F199" s="869"/>
      <c r="G199" s="869"/>
      <c r="H199" s="871" t="s">
        <v>279</v>
      </c>
      <c r="I199" s="869"/>
      <c r="J199" s="869"/>
      <c r="K199" s="869"/>
      <c r="L199" s="869"/>
      <c r="O199" s="89"/>
    </row>
    <row r="200" spans="3:15" ht="14.1" customHeight="1">
      <c r="C200" s="50"/>
      <c r="D200" s="552" t="s">
        <v>202</v>
      </c>
      <c r="E200" s="631">
        <v>703861</v>
      </c>
      <c r="F200" s="869"/>
      <c r="G200" s="869"/>
      <c r="H200" s="871" t="s">
        <v>279</v>
      </c>
      <c r="I200" s="869"/>
      <c r="J200" s="869"/>
      <c r="K200" s="869"/>
      <c r="L200" s="869"/>
      <c r="O200" s="89"/>
    </row>
    <row r="201" spans="3:15" ht="14.1" customHeight="1">
      <c r="C201" s="50"/>
      <c r="D201" s="192" t="s">
        <v>204</v>
      </c>
      <c r="E201" s="615">
        <v>652868</v>
      </c>
      <c r="F201" s="869"/>
      <c r="G201" s="869"/>
      <c r="H201" s="871" t="s">
        <v>279</v>
      </c>
      <c r="I201" s="869"/>
      <c r="J201" s="869"/>
      <c r="K201" s="869"/>
      <c r="L201" s="869"/>
      <c r="O201" s="89"/>
    </row>
    <row r="202" spans="3:15" ht="14.1" customHeight="1">
      <c r="C202" s="50"/>
      <c r="D202" s="189" t="s">
        <v>205</v>
      </c>
      <c r="E202" s="615">
        <v>652998</v>
      </c>
      <c r="F202" s="869"/>
      <c r="G202" s="869"/>
      <c r="H202" s="871" t="s">
        <v>279</v>
      </c>
      <c r="I202" s="869"/>
      <c r="J202" s="869"/>
      <c r="K202" s="869"/>
      <c r="L202" s="869"/>
      <c r="O202" s="89"/>
    </row>
    <row r="203" spans="3:15" ht="14.1" customHeight="1">
      <c r="C203" s="50"/>
      <c r="D203" s="193" t="s">
        <v>206</v>
      </c>
      <c r="E203" s="631">
        <v>654959</v>
      </c>
      <c r="F203" s="869"/>
      <c r="G203" s="869"/>
      <c r="H203" s="871" t="s">
        <v>279</v>
      </c>
      <c r="I203" s="869"/>
      <c r="J203" s="869"/>
      <c r="K203" s="869"/>
      <c r="L203" s="869"/>
      <c r="O203" s="89"/>
    </row>
    <row r="204" spans="3:15" ht="14.1" customHeight="1">
      <c r="C204" s="50"/>
      <c r="D204" s="551" t="s">
        <v>207</v>
      </c>
      <c r="E204" s="615">
        <v>654981</v>
      </c>
      <c r="F204" s="869"/>
      <c r="G204" s="869"/>
      <c r="H204" s="871" t="s">
        <v>279</v>
      </c>
      <c r="I204" s="869"/>
      <c r="J204" s="869"/>
      <c r="K204" s="869"/>
      <c r="L204" s="869"/>
      <c r="O204" s="89"/>
    </row>
    <row r="205" spans="3:15" ht="14.1" customHeight="1">
      <c r="C205" s="50"/>
      <c r="D205" s="553" t="s">
        <v>208</v>
      </c>
      <c r="E205" s="615">
        <v>703795</v>
      </c>
      <c r="F205" s="869"/>
      <c r="G205" s="869"/>
      <c r="H205" s="871" t="s">
        <v>284</v>
      </c>
      <c r="I205" s="869"/>
      <c r="J205" s="869"/>
      <c r="K205" s="869"/>
      <c r="L205" s="869"/>
      <c r="O205" s="89"/>
    </row>
    <row r="206" spans="3:15" ht="14.1" customHeight="1">
      <c r="C206" s="50"/>
      <c r="D206" s="551" t="s">
        <v>209</v>
      </c>
      <c r="E206" s="615">
        <v>652364</v>
      </c>
      <c r="F206" s="869"/>
      <c r="G206" s="869"/>
      <c r="H206" s="871" t="s">
        <v>280</v>
      </c>
      <c r="I206" s="869"/>
      <c r="J206" s="869"/>
      <c r="K206" s="869"/>
      <c r="L206" s="869"/>
      <c r="O206" s="89"/>
    </row>
    <row r="207" spans="3:15" ht="14.1" customHeight="1">
      <c r="C207" s="50"/>
      <c r="D207" s="551" t="s">
        <v>210</v>
      </c>
      <c r="E207" s="615">
        <v>644433</v>
      </c>
      <c r="F207" s="869"/>
      <c r="G207" s="869"/>
      <c r="H207" s="871" t="s">
        <v>280</v>
      </c>
      <c r="I207" s="869"/>
      <c r="J207" s="869"/>
      <c r="K207" s="869"/>
      <c r="L207" s="869"/>
      <c r="O207" s="89"/>
    </row>
    <row r="208" spans="3:15" ht="14.1" customHeight="1">
      <c r="C208" s="50"/>
      <c r="D208" s="551" t="s">
        <v>211</v>
      </c>
      <c r="E208" s="615">
        <v>650602</v>
      </c>
      <c r="F208" s="869"/>
      <c r="G208" s="869"/>
      <c r="H208" s="871" t="s">
        <v>280</v>
      </c>
      <c r="I208" s="869"/>
      <c r="J208" s="869"/>
      <c r="K208" s="869"/>
      <c r="L208" s="869"/>
      <c r="O208" s="89"/>
    </row>
    <row r="209" spans="3:15" ht="14.1" customHeight="1">
      <c r="C209" s="50"/>
      <c r="D209" s="552" t="s">
        <v>212</v>
      </c>
      <c r="E209" s="631">
        <v>704893</v>
      </c>
      <c r="F209" s="869"/>
      <c r="G209" s="869"/>
      <c r="H209" s="871" t="s">
        <v>280</v>
      </c>
      <c r="I209" s="869"/>
      <c r="J209" s="869"/>
      <c r="K209" s="869"/>
      <c r="L209" s="869"/>
      <c r="O209" s="89"/>
    </row>
    <row r="210" spans="3:15" ht="14.1" customHeight="1">
      <c r="C210" s="50"/>
      <c r="D210" s="194" t="s">
        <v>214</v>
      </c>
      <c r="E210" s="615">
        <v>636733</v>
      </c>
      <c r="F210" s="869"/>
      <c r="G210" s="869"/>
      <c r="H210" s="871" t="s">
        <v>280</v>
      </c>
      <c r="I210" s="869"/>
      <c r="J210" s="869"/>
      <c r="K210" s="869"/>
      <c r="L210" s="869"/>
      <c r="O210" s="89"/>
    </row>
    <row r="211" spans="3:15" ht="14.1" customHeight="1">
      <c r="C211" s="50"/>
      <c r="D211" s="192" t="s">
        <v>216</v>
      </c>
      <c r="E211" s="200">
        <v>637770</v>
      </c>
      <c r="F211" s="869"/>
      <c r="G211" s="869"/>
      <c r="H211" s="871" t="s">
        <v>280</v>
      </c>
      <c r="I211" s="869"/>
      <c r="J211" s="869"/>
      <c r="K211" s="869"/>
      <c r="L211" s="869"/>
      <c r="O211" s="89"/>
    </row>
    <row r="212" spans="3:15" ht="14.1" customHeight="1">
      <c r="C212" s="50"/>
      <c r="D212" s="56"/>
      <c r="E212" s="615"/>
      <c r="G212" s="566"/>
      <c r="H212" s="566"/>
      <c r="I212" s="566"/>
      <c r="J212" s="566"/>
      <c r="K212" s="566"/>
      <c r="L212" s="566"/>
      <c r="O212" s="89"/>
    </row>
    <row r="213" spans="3:15" ht="14.1" customHeight="1">
      <c r="C213" s="564"/>
      <c r="D213" s="564"/>
      <c r="E213" s="200"/>
      <c r="G213" s="566"/>
      <c r="H213" s="566"/>
      <c r="I213" s="566"/>
      <c r="J213" s="566"/>
      <c r="K213" s="566"/>
      <c r="L213" s="566"/>
      <c r="O213" s="89"/>
    </row>
    <row r="214" spans="3:15" ht="14.1" customHeight="1">
      <c r="C214" s="564"/>
      <c r="D214" s="564"/>
      <c r="E214" s="82"/>
      <c r="G214" s="566"/>
      <c r="H214" s="566"/>
      <c r="I214" s="566"/>
      <c r="J214" s="566"/>
      <c r="K214" s="566"/>
      <c r="L214" s="566"/>
      <c r="O214" s="89"/>
    </row>
    <row r="215" spans="3:15" ht="14.1" customHeight="1">
      <c r="D215" s="56"/>
      <c r="E215" s="82"/>
      <c r="G215" s="566"/>
      <c r="H215" s="566"/>
      <c r="I215" s="566"/>
      <c r="J215" s="566"/>
      <c r="K215" s="566"/>
      <c r="L215" s="566"/>
      <c r="O215" s="89"/>
    </row>
    <row r="216" spans="3:15" ht="14.1" customHeight="1">
      <c r="C216" s="564"/>
      <c r="D216" s="564"/>
      <c r="E216" s="82"/>
      <c r="G216" s="566"/>
      <c r="H216" s="566"/>
      <c r="I216" s="566"/>
      <c r="J216" s="566"/>
      <c r="K216" s="566"/>
      <c r="L216" s="566"/>
      <c r="O216" s="89"/>
    </row>
    <row r="217" spans="3:15" ht="14.1" customHeight="1">
      <c r="C217" s="564"/>
      <c r="D217" s="564"/>
      <c r="E217" s="82"/>
      <c r="G217" s="566"/>
      <c r="H217" s="566"/>
      <c r="I217" s="566"/>
      <c r="J217" s="566"/>
      <c r="K217" s="566"/>
      <c r="L217" s="566"/>
      <c r="O217" s="89"/>
    </row>
    <row r="218" spans="3:15" ht="14.1" customHeight="1">
      <c r="D218" s="56"/>
      <c r="E218" s="82"/>
      <c r="G218" s="566"/>
      <c r="H218" s="566"/>
      <c r="I218" s="566"/>
      <c r="J218" s="566"/>
      <c r="K218" s="566"/>
      <c r="L218" s="566"/>
      <c r="O218" s="89"/>
    </row>
    <row r="219" spans="3:15" ht="14.1" customHeight="1">
      <c r="C219" s="564"/>
      <c r="D219" s="564"/>
      <c r="E219" s="82"/>
      <c r="G219" s="566"/>
      <c r="H219" s="566"/>
      <c r="I219" s="566"/>
      <c r="J219" s="566"/>
      <c r="K219" s="566"/>
      <c r="L219" s="566"/>
      <c r="O219" s="89"/>
    </row>
    <row r="220" spans="3:15" ht="14.1" customHeight="1">
      <c r="C220" s="564"/>
      <c r="D220" s="564"/>
      <c r="E220" s="82"/>
      <c r="G220" s="566"/>
      <c r="H220" s="566"/>
      <c r="I220" s="566"/>
      <c r="J220" s="566"/>
      <c r="K220" s="566"/>
      <c r="L220" s="566"/>
      <c r="O220" s="89"/>
    </row>
    <row r="221" spans="3:15" ht="14.1" customHeight="1">
      <c r="D221" s="56"/>
      <c r="E221" s="82"/>
      <c r="G221" s="566"/>
      <c r="H221" s="566"/>
      <c r="I221" s="566"/>
      <c r="J221" s="566"/>
      <c r="K221" s="566"/>
      <c r="L221" s="566"/>
      <c r="O221" s="89"/>
    </row>
    <row r="222" spans="3:15" ht="14.1" customHeight="1">
      <c r="C222" s="564"/>
      <c r="D222" s="564"/>
      <c r="E222" s="82"/>
      <c r="G222" s="566"/>
      <c r="H222" s="566"/>
      <c r="I222" s="566"/>
      <c r="J222" s="566"/>
      <c r="K222" s="566"/>
      <c r="L222" s="566"/>
      <c r="O222" s="89"/>
    </row>
    <row r="223" spans="3:15" ht="14.1" customHeight="1">
      <c r="C223" s="564"/>
      <c r="D223" s="564"/>
      <c r="E223" s="82"/>
      <c r="F223" s="65"/>
      <c r="G223" s="65"/>
      <c r="H223" s="65"/>
      <c r="I223" s="65"/>
      <c r="J223" s="65"/>
      <c r="K223" s="65"/>
      <c r="L223" s="65"/>
      <c r="O223" s="89"/>
    </row>
    <row r="224" spans="3:15" ht="14.1" customHeight="1">
      <c r="D224" s="56"/>
      <c r="E224" s="82"/>
      <c r="F224" s="65"/>
      <c r="G224" s="65"/>
      <c r="H224" s="65"/>
      <c r="I224" s="65"/>
      <c r="J224" s="65"/>
      <c r="K224" s="65"/>
      <c r="L224" s="65"/>
      <c r="O224" s="89"/>
    </row>
    <row r="225" spans="3:15" ht="14.1" customHeight="1">
      <c r="C225" s="564"/>
      <c r="D225" s="564"/>
      <c r="E225" s="82"/>
      <c r="F225" s="65"/>
      <c r="G225" s="65"/>
      <c r="H225" s="65"/>
      <c r="I225" s="65"/>
      <c r="J225" s="65"/>
      <c r="K225" s="65"/>
      <c r="L225" s="65"/>
      <c r="O225" s="89"/>
    </row>
    <row r="226" spans="3:15" ht="14.1" customHeight="1">
      <c r="C226" s="564"/>
      <c r="D226" s="564"/>
      <c r="E226" s="82"/>
      <c r="F226" s="65"/>
      <c r="G226" s="65"/>
      <c r="H226" s="65"/>
      <c r="I226" s="65"/>
      <c r="J226" s="65"/>
      <c r="K226" s="65"/>
      <c r="L226" s="65"/>
      <c r="O226" s="89"/>
    </row>
    <row r="227" spans="3:15" ht="14.1" customHeight="1">
      <c r="D227" s="56"/>
      <c r="E227" s="82"/>
      <c r="F227" s="65"/>
      <c r="G227" s="65"/>
      <c r="H227" s="65"/>
      <c r="I227" s="65"/>
      <c r="J227" s="65"/>
      <c r="K227" s="65"/>
      <c r="L227" s="65"/>
      <c r="O227" s="89"/>
    </row>
    <row r="228" spans="3:15" ht="14.1" customHeight="1">
      <c r="C228" s="564"/>
      <c r="D228" s="564"/>
      <c r="E228" s="82"/>
      <c r="F228" s="65"/>
      <c r="G228" s="565"/>
      <c r="H228" s="565"/>
      <c r="I228" s="565"/>
      <c r="J228" s="565"/>
      <c r="K228" s="565"/>
      <c r="L228" s="565"/>
      <c r="O228" s="89"/>
    </row>
    <row r="229" spans="3:15" ht="14.1" customHeight="1">
      <c r="C229" s="564"/>
      <c r="D229" s="564"/>
      <c r="E229" s="82"/>
      <c r="G229" s="66"/>
      <c r="H229" s="66"/>
      <c r="I229" s="66"/>
      <c r="J229" s="66"/>
      <c r="K229" s="566"/>
      <c r="L229" s="566"/>
      <c r="O229" s="89"/>
    </row>
    <row r="230" spans="3:15" ht="14.1" customHeight="1">
      <c r="D230" s="56"/>
      <c r="E230" s="82"/>
      <c r="G230" s="66"/>
      <c r="H230" s="66"/>
      <c r="I230" s="66"/>
      <c r="J230" s="66"/>
      <c r="K230" s="66"/>
      <c r="L230" s="66"/>
      <c r="O230" s="89"/>
    </row>
    <row r="231" spans="3:15" ht="14.1" customHeight="1">
      <c r="C231" s="564"/>
      <c r="D231" s="564"/>
      <c r="E231" s="82"/>
      <c r="G231" s="66"/>
      <c r="H231" s="66"/>
      <c r="I231" s="66"/>
      <c r="J231" s="66"/>
      <c r="K231" s="66"/>
      <c r="L231" s="66"/>
      <c r="O231" s="89"/>
    </row>
    <row r="232" spans="3:15" ht="14.1" customHeight="1">
      <c r="C232" s="564"/>
      <c r="D232" s="564"/>
      <c r="E232" s="82"/>
      <c r="G232" s="66"/>
      <c r="H232" s="66"/>
      <c r="I232" s="66"/>
      <c r="J232" s="66"/>
      <c r="K232" s="66"/>
      <c r="L232" s="66"/>
      <c r="O232" s="89"/>
    </row>
    <row r="233" spans="3:15" ht="14.1" customHeight="1">
      <c r="D233" s="56"/>
      <c r="E233" s="82"/>
      <c r="G233" s="66"/>
      <c r="H233" s="66"/>
      <c r="I233" s="66"/>
      <c r="J233" s="66"/>
      <c r="K233" s="66"/>
      <c r="L233" s="66"/>
      <c r="O233" s="89"/>
    </row>
    <row r="234" spans="3:15" ht="14.1" customHeight="1">
      <c r="C234" s="564"/>
      <c r="D234" s="564"/>
      <c r="E234" s="82"/>
      <c r="G234" s="66"/>
      <c r="H234" s="66"/>
      <c r="I234" s="66"/>
      <c r="J234" s="66"/>
      <c r="K234" s="66"/>
      <c r="L234" s="66"/>
      <c r="O234" s="567"/>
    </row>
    <row r="235" spans="3:15" ht="14.1" customHeight="1">
      <c r="C235" s="564"/>
      <c r="D235" s="564"/>
      <c r="E235" s="82"/>
      <c r="G235" s="66"/>
      <c r="H235" s="66"/>
      <c r="I235" s="66"/>
      <c r="J235" s="66"/>
      <c r="K235" s="66"/>
      <c r="L235" s="66"/>
      <c r="O235" s="567"/>
    </row>
    <row r="236" spans="3:15" ht="14.1" customHeight="1">
      <c r="D236" s="56"/>
      <c r="E236" s="82"/>
      <c r="G236" s="66"/>
      <c r="H236" s="66"/>
      <c r="I236" s="66"/>
      <c r="J236" s="66"/>
      <c r="K236" s="66"/>
      <c r="L236" s="66"/>
      <c r="O236" s="567"/>
    </row>
    <row r="237" spans="3:15" ht="14.1" customHeight="1">
      <c r="C237" s="564"/>
      <c r="D237" s="564"/>
      <c r="E237" s="82"/>
      <c r="G237" s="73"/>
      <c r="H237" s="66"/>
      <c r="I237" s="66"/>
      <c r="J237" s="66"/>
      <c r="K237" s="66"/>
      <c r="L237" s="66"/>
      <c r="O237" s="567"/>
    </row>
    <row r="238" spans="3:15" ht="14.1" customHeight="1">
      <c r="C238" s="564"/>
      <c r="D238" s="564"/>
      <c r="E238" s="82"/>
      <c r="G238" s="66"/>
      <c r="H238" s="66"/>
      <c r="I238" s="66"/>
      <c r="J238" s="66"/>
      <c r="K238" s="66"/>
      <c r="L238" s="66"/>
      <c r="O238" s="567"/>
    </row>
    <row r="239" spans="3:15" ht="14.1" customHeight="1">
      <c r="D239" s="56"/>
      <c r="E239" s="82"/>
      <c r="G239" s="66"/>
      <c r="H239" s="66"/>
      <c r="I239" s="66"/>
      <c r="J239" s="66"/>
      <c r="K239" s="66"/>
      <c r="L239" s="66"/>
      <c r="O239" s="567"/>
    </row>
    <row r="240" spans="3:15" ht="14.1" customHeight="1">
      <c r="C240" s="564"/>
      <c r="D240" s="564"/>
      <c r="E240" s="82"/>
      <c r="G240" s="74"/>
      <c r="H240" s="66"/>
      <c r="I240" s="66"/>
      <c r="J240" s="66"/>
      <c r="K240" s="66"/>
      <c r="L240" s="66"/>
      <c r="O240" s="567"/>
    </row>
    <row r="241" spans="3:12" ht="14.1" customHeight="1">
      <c r="C241" s="564"/>
      <c r="D241" s="564"/>
      <c r="E241" s="82"/>
      <c r="G241" s="66"/>
      <c r="H241" s="66"/>
      <c r="I241" s="66"/>
      <c r="J241" s="66"/>
      <c r="K241" s="66"/>
      <c r="L241" s="66"/>
    </row>
    <row r="242" spans="3:12" ht="14.1" customHeight="1">
      <c r="D242" s="56"/>
      <c r="E242" s="82"/>
      <c r="G242" s="66"/>
      <c r="H242" s="66"/>
      <c r="I242" s="66"/>
      <c r="J242" s="66"/>
      <c r="K242" s="66"/>
      <c r="L242" s="66"/>
    </row>
    <row r="243" spans="3:12" ht="14.1" customHeight="1">
      <c r="C243" s="564"/>
      <c r="D243" s="564"/>
      <c r="E243" s="82"/>
      <c r="G243" s="566"/>
      <c r="H243" s="566"/>
      <c r="I243" s="566"/>
      <c r="J243" s="566"/>
      <c r="K243" s="566"/>
      <c r="L243" s="566"/>
    </row>
    <row r="244" spans="3:12" ht="14.1" customHeight="1">
      <c r="C244" s="564"/>
      <c r="D244" s="564"/>
      <c r="E244" s="82"/>
      <c r="G244" s="566"/>
      <c r="H244" s="566"/>
      <c r="I244" s="566"/>
      <c r="J244" s="566"/>
      <c r="K244" s="566"/>
      <c r="L244" s="566"/>
    </row>
    <row r="245" spans="3:12" ht="14.1" customHeight="1">
      <c r="D245" s="56"/>
      <c r="E245" s="82"/>
      <c r="G245" s="566"/>
      <c r="H245" s="566"/>
      <c r="I245" s="566"/>
      <c r="J245" s="566"/>
      <c r="K245" s="566"/>
      <c r="L245" s="566"/>
    </row>
    <row r="246" spans="3:12" ht="14.1" customHeight="1">
      <c r="C246" s="564"/>
      <c r="D246" s="564"/>
      <c r="E246" s="82"/>
      <c r="G246" s="566"/>
      <c r="H246" s="566"/>
      <c r="I246" s="566"/>
      <c r="J246" s="566"/>
      <c r="K246" s="566"/>
      <c r="L246" s="566"/>
    </row>
    <row r="247" spans="3:12" ht="14.1" customHeight="1">
      <c r="C247" s="564"/>
      <c r="D247" s="564"/>
      <c r="E247" s="82"/>
      <c r="G247" s="566"/>
      <c r="H247" s="566"/>
      <c r="I247" s="566"/>
      <c r="J247" s="566"/>
      <c r="K247" s="566"/>
      <c r="L247" s="566"/>
    </row>
    <row r="248" spans="3:12" ht="14.1" customHeight="1">
      <c r="D248" s="56"/>
      <c r="E248" s="82"/>
      <c r="G248" s="566"/>
      <c r="H248" s="566"/>
      <c r="I248" s="566"/>
      <c r="J248" s="566"/>
      <c r="K248" s="566"/>
      <c r="L248" s="566"/>
    </row>
    <row r="249" spans="3:12" ht="14.1" customHeight="1">
      <c r="C249" s="564"/>
      <c r="D249" s="564"/>
      <c r="E249" s="82"/>
      <c r="G249" s="566"/>
      <c r="H249" s="566"/>
      <c r="I249" s="566"/>
      <c r="J249" s="566"/>
      <c r="K249" s="566"/>
      <c r="L249" s="566"/>
    </row>
    <row r="250" spans="3:12" ht="14.1" customHeight="1">
      <c r="C250" s="564"/>
      <c r="D250" s="564"/>
      <c r="E250" s="82"/>
      <c r="G250" s="566"/>
      <c r="H250" s="566"/>
      <c r="I250" s="566"/>
      <c r="J250" s="566"/>
      <c r="K250" s="566"/>
      <c r="L250" s="566"/>
    </row>
    <row r="251" spans="3:12" ht="14.1" customHeight="1">
      <c r="D251" s="56"/>
      <c r="E251" s="82"/>
      <c r="F251" s="65"/>
      <c r="G251" s="565"/>
      <c r="H251" s="565"/>
      <c r="I251" s="565"/>
      <c r="J251" s="565"/>
      <c r="K251" s="565"/>
      <c r="L251" s="565"/>
    </row>
    <row r="252" spans="3:12" ht="14.1" customHeight="1">
      <c r="C252" s="564"/>
      <c r="D252" s="564"/>
      <c r="E252" s="82"/>
      <c r="F252" s="65"/>
      <c r="G252" s="565"/>
      <c r="H252" s="565"/>
      <c r="I252" s="565"/>
      <c r="J252" s="565"/>
      <c r="K252" s="565"/>
      <c r="L252" s="565"/>
    </row>
    <row r="253" spans="3:12" ht="14.1" customHeight="1">
      <c r="C253" s="564"/>
      <c r="D253" s="564"/>
      <c r="E253" s="82"/>
      <c r="F253" s="65"/>
      <c r="G253" s="565"/>
      <c r="H253" s="565"/>
      <c r="I253" s="565"/>
      <c r="J253" s="565"/>
      <c r="K253" s="565"/>
      <c r="L253" s="565"/>
    </row>
    <row r="254" spans="3:12" ht="14.1" customHeight="1">
      <c r="D254" s="56"/>
      <c r="E254" s="82"/>
      <c r="F254" s="65"/>
      <c r="G254" s="565"/>
      <c r="H254" s="565"/>
      <c r="I254" s="565"/>
      <c r="J254" s="565"/>
      <c r="K254" s="565"/>
      <c r="L254" s="565"/>
    </row>
    <row r="255" spans="3:12" ht="14.1" customHeight="1">
      <c r="C255" s="564"/>
      <c r="D255" s="564"/>
      <c r="E255" s="82"/>
      <c r="F255" s="65"/>
      <c r="G255" s="565"/>
      <c r="H255" s="565"/>
      <c r="I255" s="565"/>
      <c r="J255" s="565"/>
      <c r="K255" s="565"/>
      <c r="L255" s="565"/>
    </row>
    <row r="256" spans="3:12" ht="14.1" customHeight="1">
      <c r="D256" s="564"/>
      <c r="E256" s="82"/>
      <c r="F256" s="65"/>
      <c r="G256" s="565"/>
      <c r="H256" s="565"/>
      <c r="I256" s="565"/>
      <c r="J256" s="565"/>
      <c r="K256" s="565"/>
      <c r="L256" s="565"/>
    </row>
    <row r="257" spans="4:12" ht="14.1" customHeight="1">
      <c r="D257" s="56"/>
      <c r="E257" s="82"/>
      <c r="F257" s="65"/>
      <c r="G257" s="565"/>
      <c r="H257" s="565"/>
      <c r="I257" s="565"/>
      <c r="J257" s="565"/>
      <c r="K257" s="565"/>
      <c r="L257" s="565"/>
    </row>
    <row r="258" spans="4:12" ht="14.1" customHeight="1">
      <c r="D258" s="564"/>
      <c r="E258" s="82"/>
      <c r="F258" s="65"/>
      <c r="G258" s="565"/>
      <c r="H258" s="565"/>
      <c r="I258" s="565"/>
      <c r="J258" s="565"/>
      <c r="K258" s="565"/>
      <c r="L258" s="565"/>
    </row>
    <row r="259" spans="4:12" ht="14.1" customHeight="1">
      <c r="D259" s="564"/>
      <c r="E259" s="82"/>
      <c r="F259" s="65"/>
      <c r="G259" s="565"/>
      <c r="H259" s="565"/>
      <c r="I259" s="565"/>
      <c r="J259" s="565"/>
      <c r="K259" s="565"/>
      <c r="L259" s="565"/>
    </row>
    <row r="260" spans="4:12" ht="14.1" customHeight="1">
      <c r="D260" s="56"/>
      <c r="E260" s="82"/>
      <c r="F260" s="65"/>
      <c r="G260" s="565"/>
      <c r="H260" s="565"/>
      <c r="I260" s="565"/>
      <c r="J260" s="565"/>
      <c r="K260" s="565"/>
      <c r="L260" s="565"/>
    </row>
    <row r="261" spans="4:12" ht="14.1" customHeight="1">
      <c r="D261" s="564"/>
      <c r="E261" s="82"/>
      <c r="F261" s="65"/>
      <c r="G261" s="565"/>
      <c r="H261" s="565"/>
      <c r="I261" s="565"/>
      <c r="J261" s="565"/>
      <c r="K261" s="565"/>
      <c r="L261" s="565"/>
    </row>
    <row r="262" spans="4:12" ht="14.1" customHeight="1">
      <c r="D262" s="564"/>
      <c r="E262" s="82"/>
      <c r="F262" s="65"/>
      <c r="G262" s="565"/>
      <c r="H262" s="565"/>
      <c r="I262" s="565"/>
      <c r="J262" s="565"/>
      <c r="K262" s="565"/>
      <c r="L262" s="565"/>
    </row>
    <row r="263" spans="4:12" ht="14.1" customHeight="1">
      <c r="D263" s="56"/>
      <c r="E263" s="82"/>
      <c r="F263" s="65"/>
      <c r="G263" s="565"/>
      <c r="H263" s="565"/>
      <c r="I263" s="565"/>
      <c r="J263" s="565"/>
      <c r="K263" s="565"/>
      <c r="L263" s="565"/>
    </row>
    <row r="264" spans="4:12" ht="14.1" customHeight="1">
      <c r="D264" s="564"/>
      <c r="E264" s="82"/>
      <c r="F264" s="65"/>
      <c r="G264" s="565"/>
      <c r="H264" s="565"/>
      <c r="I264" s="565"/>
      <c r="J264" s="565"/>
      <c r="K264" s="565"/>
      <c r="L264" s="565"/>
    </row>
    <row r="265" spans="4:12" ht="14.1" customHeight="1">
      <c r="D265" s="556"/>
      <c r="E265" s="82"/>
      <c r="F265" s="65"/>
      <c r="G265" s="565"/>
      <c r="H265" s="565"/>
      <c r="I265" s="565"/>
      <c r="J265" s="565"/>
      <c r="K265" s="565"/>
      <c r="L265" s="565"/>
    </row>
    <row r="266" spans="4:12" ht="14.1" customHeight="1">
      <c r="D266" s="556"/>
      <c r="E266" s="82"/>
      <c r="F266" s="65"/>
      <c r="G266" s="565"/>
      <c r="H266" s="565"/>
      <c r="I266" s="565"/>
      <c r="J266" s="565"/>
      <c r="K266" s="565"/>
      <c r="L266" s="565"/>
    </row>
    <row r="267" spans="4:12" ht="14.1" customHeight="1">
      <c r="D267" s="556"/>
      <c r="E267" s="82"/>
      <c r="F267" s="65"/>
      <c r="G267" s="565"/>
      <c r="H267" s="565"/>
      <c r="I267" s="565"/>
      <c r="J267" s="565"/>
      <c r="K267" s="565"/>
      <c r="L267" s="565"/>
    </row>
    <row r="268" spans="4:12" ht="14.1" customHeight="1">
      <c r="D268" s="556"/>
      <c r="E268" s="82"/>
      <c r="F268" s="65"/>
      <c r="G268" s="565"/>
      <c r="H268" s="565"/>
      <c r="I268" s="565"/>
      <c r="J268" s="565"/>
      <c r="K268" s="565"/>
      <c r="L268" s="565"/>
    </row>
    <row r="269" spans="4:12" ht="14.1" customHeight="1">
      <c r="D269" s="556"/>
      <c r="E269" s="82"/>
      <c r="F269" s="65"/>
      <c r="G269" s="565"/>
      <c r="H269" s="565"/>
      <c r="I269" s="565"/>
      <c r="J269" s="565"/>
      <c r="K269" s="565"/>
      <c r="L269" s="565"/>
    </row>
    <row r="270" spans="4:12" ht="14.1" customHeight="1">
      <c r="D270" s="556"/>
      <c r="E270" s="82"/>
      <c r="F270" s="65"/>
      <c r="G270" s="565"/>
      <c r="H270" s="565"/>
      <c r="I270" s="565"/>
      <c r="J270" s="565"/>
      <c r="K270" s="565"/>
      <c r="L270" s="565"/>
    </row>
    <row r="271" spans="4:12" ht="14.1" customHeight="1">
      <c r="D271" s="556"/>
      <c r="E271" s="82"/>
      <c r="F271" s="65"/>
      <c r="G271" s="565"/>
      <c r="H271" s="565"/>
      <c r="I271" s="565"/>
      <c r="J271" s="565"/>
      <c r="K271" s="565"/>
      <c r="L271" s="565"/>
    </row>
    <row r="272" spans="4:12" ht="14.1" customHeight="1">
      <c r="D272" s="556"/>
      <c r="E272" s="82"/>
      <c r="F272" s="65"/>
      <c r="G272" s="565"/>
      <c r="H272" s="565"/>
      <c r="I272" s="565"/>
      <c r="J272" s="565"/>
      <c r="K272" s="565"/>
      <c r="L272" s="565"/>
    </row>
    <row r="273" spans="5:12" ht="14.1" customHeight="1">
      <c r="E273" s="82"/>
      <c r="F273" s="65"/>
      <c r="G273" s="565"/>
      <c r="H273" s="565"/>
      <c r="I273" s="565"/>
      <c r="J273" s="565"/>
      <c r="K273" s="565"/>
      <c r="L273" s="565"/>
    </row>
    <row r="274" spans="5:12" ht="14.1" customHeight="1">
      <c r="E274" s="82"/>
      <c r="F274" s="65"/>
      <c r="G274" s="565"/>
      <c r="H274" s="565"/>
      <c r="I274" s="565"/>
      <c r="J274" s="565"/>
      <c r="K274" s="565"/>
      <c r="L274" s="565"/>
    </row>
    <row r="275" spans="5:12" ht="14.1" customHeight="1">
      <c r="E275" s="82"/>
      <c r="F275" s="65"/>
      <c r="G275" s="565"/>
      <c r="H275" s="565"/>
      <c r="I275" s="565"/>
      <c r="J275" s="565"/>
      <c r="K275" s="565"/>
      <c r="L275" s="565"/>
    </row>
    <row r="276" spans="5:12" ht="14.1" customHeight="1">
      <c r="E276" s="82"/>
      <c r="F276" s="65"/>
      <c r="G276" s="565"/>
      <c r="H276" s="565"/>
      <c r="I276" s="565"/>
      <c r="J276" s="565"/>
      <c r="K276" s="565"/>
      <c r="L276" s="565"/>
    </row>
    <row r="277" spans="5:12" ht="14.1" customHeight="1">
      <c r="E277" s="82"/>
      <c r="F277" s="65"/>
      <c r="G277" s="565"/>
      <c r="H277" s="565"/>
      <c r="I277" s="565"/>
      <c r="J277" s="565"/>
      <c r="K277" s="565"/>
      <c r="L277" s="565"/>
    </row>
    <row r="278" spans="5:12" ht="14.1" customHeight="1">
      <c r="E278" s="568"/>
      <c r="F278" s="65"/>
      <c r="G278" s="565"/>
      <c r="H278" s="565"/>
      <c r="I278" s="565"/>
      <c r="J278" s="565"/>
      <c r="K278" s="565"/>
      <c r="L278" s="565"/>
    </row>
    <row r="279" spans="5:12" ht="14.1" customHeight="1">
      <c r="E279" s="568"/>
      <c r="F279" s="65"/>
      <c r="G279" s="565"/>
      <c r="H279" s="565"/>
      <c r="I279" s="565"/>
      <c r="J279" s="565"/>
      <c r="K279" s="565"/>
      <c r="L279" s="565"/>
    </row>
    <row r="280" spans="5:12">
      <c r="E280" s="568"/>
      <c r="F280" s="65"/>
      <c r="G280" s="565"/>
      <c r="H280" s="565"/>
      <c r="I280" s="565"/>
      <c r="J280" s="565"/>
      <c r="K280" s="565"/>
      <c r="L280" s="565"/>
    </row>
    <row r="281" spans="5:12">
      <c r="E281" s="568"/>
      <c r="F281" s="65"/>
      <c r="G281" s="565"/>
      <c r="H281" s="565"/>
      <c r="I281" s="565"/>
      <c r="J281" s="565"/>
      <c r="K281" s="565"/>
      <c r="L281" s="565"/>
    </row>
    <row r="282" spans="5:12">
      <c r="E282" s="568"/>
      <c r="F282" s="65"/>
      <c r="G282" s="565"/>
      <c r="H282" s="565"/>
      <c r="I282" s="565"/>
      <c r="J282" s="565"/>
      <c r="K282" s="565"/>
      <c r="L282" s="565"/>
    </row>
    <row r="283" spans="5:12">
      <c r="E283" s="568"/>
      <c r="F283" s="65"/>
      <c r="G283" s="565"/>
      <c r="H283" s="565"/>
      <c r="I283" s="565"/>
      <c r="J283" s="565"/>
      <c r="K283" s="565"/>
      <c r="L283" s="565"/>
    </row>
    <row r="284" spans="5:12">
      <c r="E284" s="568"/>
      <c r="F284" s="65"/>
      <c r="G284" s="565"/>
      <c r="H284" s="565"/>
      <c r="I284" s="565"/>
      <c r="J284" s="565"/>
      <c r="K284" s="565"/>
      <c r="L284" s="565"/>
    </row>
    <row r="285" spans="5:12">
      <c r="E285" s="568"/>
      <c r="F285" s="65"/>
      <c r="G285" s="565"/>
      <c r="H285" s="565"/>
      <c r="I285" s="565"/>
      <c r="J285" s="565"/>
      <c r="K285" s="565"/>
      <c r="L285" s="565"/>
    </row>
    <row r="286" spans="5:12">
      <c r="E286" s="568"/>
      <c r="F286" s="65"/>
      <c r="G286" s="565"/>
      <c r="H286" s="565"/>
      <c r="I286" s="565"/>
      <c r="J286" s="565"/>
      <c r="K286" s="565"/>
      <c r="L286" s="565"/>
    </row>
    <row r="287" spans="5:12">
      <c r="E287" s="568"/>
      <c r="F287" s="65"/>
      <c r="G287" s="565"/>
      <c r="H287" s="565"/>
      <c r="I287" s="565"/>
      <c r="J287" s="565"/>
      <c r="K287" s="565"/>
      <c r="L287" s="565"/>
    </row>
    <row r="288" spans="5:12">
      <c r="E288" s="568"/>
      <c r="F288" s="65"/>
      <c r="G288" s="565"/>
      <c r="H288" s="565"/>
      <c r="I288" s="565"/>
      <c r="J288" s="565"/>
      <c r="K288" s="565"/>
      <c r="L288" s="565"/>
    </row>
    <row r="289" spans="6:12">
      <c r="F289" s="65"/>
      <c r="G289" s="565"/>
      <c r="H289" s="565"/>
      <c r="I289" s="565"/>
      <c r="J289" s="565"/>
      <c r="K289" s="565"/>
      <c r="L289" s="565"/>
    </row>
    <row r="290" spans="6:12">
      <c r="F290" s="65"/>
      <c r="G290" s="565"/>
      <c r="H290" s="565"/>
      <c r="I290" s="565"/>
      <c r="J290" s="565"/>
      <c r="K290" s="565"/>
      <c r="L290" s="565"/>
    </row>
    <row r="291" spans="6:12">
      <c r="F291" s="65"/>
      <c r="G291" s="565"/>
      <c r="H291" s="565"/>
      <c r="I291" s="565"/>
      <c r="J291" s="565"/>
      <c r="K291" s="565"/>
      <c r="L291" s="565"/>
    </row>
  </sheetData>
  <sheetProtection sheet="1" formatCells="0" formatColumns="0" formatRows="0" insertColumns="0" insertRows="0"/>
  <mergeCells count="95">
    <mergeCell ref="T28:T30"/>
    <mergeCell ref="U28:U30"/>
    <mergeCell ref="W28:W30"/>
    <mergeCell ref="O35:U35"/>
    <mergeCell ref="N41:N47"/>
    <mergeCell ref="O41:O47"/>
    <mergeCell ref="P41:P47"/>
    <mergeCell ref="Q41:Q47"/>
    <mergeCell ref="R41:R47"/>
    <mergeCell ref="N19:N20"/>
    <mergeCell ref="O19:O20"/>
    <mergeCell ref="P19:P20"/>
    <mergeCell ref="Q19:Q20"/>
    <mergeCell ref="R19:R20"/>
    <mergeCell ref="N21:N27"/>
    <mergeCell ref="O21:O27"/>
    <mergeCell ref="P21:P27"/>
    <mergeCell ref="Q21:Q27"/>
    <mergeCell ref="R21:R27"/>
    <mergeCell ref="O65:U65"/>
    <mergeCell ref="S67:S75"/>
    <mergeCell ref="T67:T75"/>
    <mergeCell ref="U67:U75"/>
    <mergeCell ref="W19:W20"/>
    <mergeCell ref="S21:S27"/>
    <mergeCell ref="T21:T27"/>
    <mergeCell ref="U21:U27"/>
    <mergeCell ref="W21:W27"/>
    <mergeCell ref="S19:S20"/>
    <mergeCell ref="W36:W40"/>
    <mergeCell ref="S41:S47"/>
    <mergeCell ref="T41:T47"/>
    <mergeCell ref="U41:U47"/>
    <mergeCell ref="W41:W46"/>
    <mergeCell ref="S28:S30"/>
    <mergeCell ref="U49:U50"/>
    <mergeCell ref="W49:W50"/>
    <mergeCell ref="W51:W58"/>
    <mergeCell ref="Q60:Q63"/>
    <mergeCell ref="R60:R63"/>
    <mergeCell ref="S60:S63"/>
    <mergeCell ref="T60:T63"/>
    <mergeCell ref="U60:U63"/>
    <mergeCell ref="P49:P50"/>
    <mergeCell ref="Q49:Q50"/>
    <mergeCell ref="R49:R50"/>
    <mergeCell ref="S49:S50"/>
    <mergeCell ref="T49:T50"/>
    <mergeCell ref="N60:N63"/>
    <mergeCell ref="O60:O63"/>
    <mergeCell ref="P60:P63"/>
    <mergeCell ref="W11:W17"/>
    <mergeCell ref="N28:N30"/>
    <mergeCell ref="O28:O30"/>
    <mergeCell ref="P28:P30"/>
    <mergeCell ref="Q28:Q30"/>
    <mergeCell ref="R28:R30"/>
    <mergeCell ref="T19:T20"/>
    <mergeCell ref="U19:U20"/>
    <mergeCell ref="N11:N17"/>
    <mergeCell ref="O11:O17"/>
    <mergeCell ref="P11:P17"/>
    <mergeCell ref="Q11:Q17"/>
    <mergeCell ref="R11:R17"/>
    <mergeCell ref="F2:L2"/>
    <mergeCell ref="O2:U2"/>
    <mergeCell ref="O5:U5"/>
    <mergeCell ref="N51:N58"/>
    <mergeCell ref="O51:O58"/>
    <mergeCell ref="P51:P58"/>
    <mergeCell ref="Q51:Q58"/>
    <mergeCell ref="R51:R58"/>
    <mergeCell ref="S51:S58"/>
    <mergeCell ref="T51:T58"/>
    <mergeCell ref="U51:U58"/>
    <mergeCell ref="S11:S17"/>
    <mergeCell ref="T11:T17"/>
    <mergeCell ref="U11:U17"/>
    <mergeCell ref="N49:N50"/>
    <mergeCell ref="O49:O50"/>
    <mergeCell ref="N67:N75"/>
    <mergeCell ref="O67:O75"/>
    <mergeCell ref="P67:P75"/>
    <mergeCell ref="Q67:Q75"/>
    <mergeCell ref="R67:R75"/>
    <mergeCell ref="F158:L158"/>
    <mergeCell ref="S77:S78"/>
    <mergeCell ref="T77:T78"/>
    <mergeCell ref="U77:U78"/>
    <mergeCell ref="N77:N78"/>
    <mergeCell ref="O77:O78"/>
    <mergeCell ref="P77:P78"/>
    <mergeCell ref="Q77:Q78"/>
    <mergeCell ref="R77:R78"/>
    <mergeCell ref="F111:L111"/>
  </mergeCells>
  <phoneticPr fontId="15" type="noConversion"/>
  <conditionalFormatting sqref="C256:C266">
    <cfRule type="containsText" dxfId="1397" priority="91" operator="containsText" text="FL">
      <formula>NOT(ISERROR(SEARCH("FL",C256)))</formula>
    </cfRule>
    <cfRule type="containsText" dxfId="1396" priority="92" operator="containsText" text="FT">
      <formula>NOT(ISERROR(SEARCH("FT",C256)))</formula>
    </cfRule>
    <cfRule type="containsText" dxfId="1395" priority="93" operator="containsText" text="SS">
      <formula>NOT(ISERROR(SEARCH("SS",C256)))</formula>
    </cfRule>
    <cfRule type="containsText" dxfId="1394" priority="94" operator="containsText" text="GR">
      <formula>NOT(ISERROR(SEARCH("GR",C256)))</formula>
    </cfRule>
    <cfRule type="containsText" dxfId="1393" priority="95" operator="containsText" text="GO">
      <formula>NOT(ISERROR(SEARCH("GO",C256)))</formula>
    </cfRule>
  </conditionalFormatting>
  <conditionalFormatting sqref="D72 D110:D111">
    <cfRule type="containsText" dxfId="1392" priority="83" operator="containsText" text="GR">
      <formula>NOT(ISERROR(SEARCH("GR",D72)))</formula>
    </cfRule>
  </conditionalFormatting>
  <conditionalFormatting sqref="D80:D81 D73:D78">
    <cfRule type="duplicateValues" dxfId="1391" priority="73"/>
  </conditionalFormatting>
  <conditionalFormatting sqref="D84:D88">
    <cfRule type="duplicateValues" dxfId="1390" priority="72"/>
  </conditionalFormatting>
  <conditionalFormatting sqref="D85:D86">
    <cfRule type="duplicateValues" dxfId="1389" priority="69"/>
    <cfRule type="duplicateValues" dxfId="1388" priority="70"/>
  </conditionalFormatting>
  <conditionalFormatting sqref="D89:D90">
    <cfRule type="duplicateValues" dxfId="1387" priority="71"/>
  </conditionalFormatting>
  <conditionalFormatting sqref="D104:D107 D92:D102">
    <cfRule type="duplicateValues" dxfId="1386" priority="67"/>
  </conditionalFormatting>
  <conditionalFormatting sqref="D107">
    <cfRule type="duplicateValues" dxfId="1385" priority="65"/>
    <cfRule type="duplicateValues" dxfId="1384" priority="66"/>
  </conditionalFormatting>
  <conditionalFormatting sqref="D109">
    <cfRule type="duplicateValues" dxfId="1383" priority="68"/>
  </conditionalFormatting>
  <conditionalFormatting sqref="D184:D185 D177:D182">
    <cfRule type="duplicateValues" dxfId="1382" priority="64"/>
  </conditionalFormatting>
  <conditionalFormatting sqref="D187:D191">
    <cfRule type="duplicateValues" dxfId="1381" priority="63"/>
  </conditionalFormatting>
  <conditionalFormatting sqref="D188:D189">
    <cfRule type="duplicateValues" dxfId="1380" priority="60"/>
    <cfRule type="duplicateValues" dxfId="1379" priority="61"/>
  </conditionalFormatting>
  <conditionalFormatting sqref="D192">
    <cfRule type="duplicateValues" dxfId="1378" priority="62"/>
  </conditionalFormatting>
  <conditionalFormatting sqref="D206:D209 D194:D204">
    <cfRule type="duplicateValues" dxfId="1377" priority="58"/>
  </conditionalFormatting>
  <conditionalFormatting sqref="D209">
    <cfRule type="duplicateValues" dxfId="1376" priority="56"/>
    <cfRule type="duplicateValues" dxfId="1375" priority="57"/>
  </conditionalFormatting>
  <conditionalFormatting sqref="D211">
    <cfRule type="duplicateValues" dxfId="1374" priority="59"/>
  </conditionalFormatting>
  <conditionalFormatting sqref="E8 E13">
    <cfRule type="containsText" dxfId="1373" priority="84" operator="containsText" text="FC">
      <formula>NOT(ISERROR(SEARCH("FC",E8)))</formula>
    </cfRule>
    <cfRule type="containsText" dxfId="1372" priority="85" operator="containsText" text="PAC">
      <formula>NOT(ISERROR(SEARCH("PAC",E8)))</formula>
    </cfRule>
    <cfRule type="containsText" dxfId="1371" priority="86" operator="containsText" text="AA">
      <formula>NOT(ISERROR(SEARCH("AA",E8)))</formula>
    </cfRule>
    <cfRule type="containsText" dxfId="1370" priority="87" operator="containsText" text="RC">
      <formula>NOT(ISERROR(SEARCH("RC",E8)))</formula>
    </cfRule>
    <cfRule type="containsText" dxfId="1369" priority="88" operator="containsText" text="GC">
      <formula>NOT(ISERROR(SEARCH("GC",E8)))</formula>
    </cfRule>
    <cfRule type="containsText" dxfId="1368" priority="89" operator="containsText" text="SSC">
      <formula>NOT(ISERROR(SEARCH("SSC",E8)))</formula>
    </cfRule>
    <cfRule type="containsText" dxfId="1367" priority="90" operator="containsText" text="CSO">
      <formula>NOT(ISERROR(SEARCH("CSO",E8)))</formula>
    </cfRule>
  </conditionalFormatting>
  <conditionalFormatting sqref="E20 E26 E30">
    <cfRule type="containsText" dxfId="1366" priority="96" operator="containsText" text="PAC">
      <formula>NOT(ISERROR(SEARCH("PAC",E20)))</formula>
    </cfRule>
    <cfRule type="containsText" dxfId="1365" priority="97" operator="containsText" text="GC">
      <formula>NOT(ISERROR(SEARCH("GC",E20)))</formula>
    </cfRule>
  </conditionalFormatting>
  <conditionalFormatting sqref="E20 E26 E30:E31">
    <cfRule type="containsText" dxfId="1364" priority="74" operator="containsText" text="PSSC">
      <formula>NOT(ISERROR(SEARCH("PSSC",E20)))</formula>
    </cfRule>
    <cfRule type="containsText" dxfId="1363" priority="75" operator="containsText" text="ASSC">
      <formula>NOT(ISERROR(SEARCH("ASSC",E20)))</formula>
    </cfRule>
    <cfRule type="containsText" dxfId="1362" priority="76" operator="containsText" text="CC">
      <formula>NOT(ISERROR(SEARCH("CC",E20)))</formula>
    </cfRule>
    <cfRule type="containsText" dxfId="1361" priority="77" operator="containsText" text="CSO">
      <formula>NOT(ISERROR(SEARCH("CSO",E20)))</formula>
    </cfRule>
    <cfRule type="containsText" dxfId="1360" priority="78" operator="containsText" text="FC">
      <formula>NOT(ISERROR(SEARCH("FC",E20)))</formula>
    </cfRule>
    <cfRule type="containsText" dxfId="1359" priority="79" operator="containsText" text="RC">
      <formula>NOT(ISERROR(SEARCH("RC",E20)))</formula>
    </cfRule>
    <cfRule type="containsText" dxfId="1358" priority="98" stopIfTrue="1" operator="containsText" text="AAC">
      <formula>NOT(ISERROR(SEARCH("AAC",E20)))</formula>
    </cfRule>
  </conditionalFormatting>
  <conditionalFormatting sqref="E20">
    <cfRule type="containsText" dxfId="1357" priority="80" stopIfTrue="1" operator="containsText" text="AAC">
      <formula>NOT(ISERROR(SEARCH("AAC",E20)))</formula>
    </cfRule>
    <cfRule type="containsText" dxfId="1356" priority="81" operator="containsText" text="PAC">
      <formula>NOT(ISERROR(SEARCH("PAC",E20)))</formula>
    </cfRule>
    <cfRule type="containsText" dxfId="1355" priority="82" operator="containsText" text="GC">
      <formula>NOT(ISERROR(SEARCH("GC",E20)))</formula>
    </cfRule>
  </conditionalFormatting>
  <conditionalFormatting sqref="E50:E53">
    <cfRule type="containsText" dxfId="1354" priority="1" operator="containsText" text="PSSC">
      <formula>NOT(ISERROR(SEARCH("PSSC",E50)))</formula>
    </cfRule>
    <cfRule type="containsText" dxfId="1353" priority="2" operator="containsText" text="ASSC">
      <formula>NOT(ISERROR(SEARCH("ASSC",E50)))</formula>
    </cfRule>
    <cfRule type="containsText" dxfId="1352" priority="3" operator="containsText" text="CC">
      <formula>NOT(ISERROR(SEARCH("CC",E50)))</formula>
    </cfRule>
    <cfRule type="containsText" dxfId="1351" priority="4" operator="containsText" text="CSO">
      <formula>NOT(ISERROR(SEARCH("CSO",E50)))</formula>
    </cfRule>
    <cfRule type="containsText" dxfId="1350" priority="5" operator="containsText" text="FC">
      <formula>NOT(ISERROR(SEARCH("FC",E50)))</formula>
    </cfRule>
    <cfRule type="containsText" dxfId="1349" priority="6" operator="containsText" text="RC">
      <formula>NOT(ISERROR(SEARCH("RC",E50)))</formula>
    </cfRule>
    <cfRule type="containsText" dxfId="1348" priority="7" operator="containsText" text="PAC">
      <formula>NOT(ISERROR(SEARCH("PAC",E50)))</formula>
    </cfRule>
    <cfRule type="containsText" dxfId="1347" priority="8" operator="containsText" text="GC">
      <formula>NOT(ISERROR(SEARCH("GC",E50)))</formula>
    </cfRule>
    <cfRule type="containsText" dxfId="1346" priority="9" stopIfTrue="1" operator="containsText" text="AAC">
      <formula>NOT(ISERROR(SEARCH("AAC",E50)))</formula>
    </cfRule>
  </conditionalFormatting>
  <conditionalFormatting sqref="F229:F242 G230:L242 G229:J229">
    <cfRule type="colorScale" priority="185">
      <colorScale>
        <cfvo type="num" val="0"/>
        <cfvo type="num" val="1"/>
        <cfvo type="num" val="2"/>
        <color theme="0"/>
        <color rgb="FFAFFC06"/>
        <color rgb="FFFF0000"/>
      </colorScale>
    </cfRule>
  </conditionalFormatting>
  <conditionalFormatting sqref="F62:J62">
    <cfRule type="containsText" dxfId="1345" priority="10" operator="containsText" text="CSO">
      <formula>NOT(ISERROR(SEARCH("CSO",F62)))</formula>
    </cfRule>
    <cfRule type="containsText" dxfId="1344" priority="11" operator="containsText" text="FC">
      <formula>NOT(ISERROR(SEARCH("FC",F62)))</formula>
    </cfRule>
    <cfRule type="containsText" dxfId="1343" priority="12" operator="containsText" text="SS">
      <formula>NOT(ISERROR(SEARCH("SS",F62)))</formula>
    </cfRule>
    <cfRule type="containsText" dxfId="1342" priority="13" operator="containsText" text="RC">
      <formula>NOT(ISERROR(SEARCH("RC",F62)))</formula>
    </cfRule>
    <cfRule type="containsText" dxfId="1341" priority="14" operator="containsText" text="PAC">
      <formula>NOT(ISERROR(SEARCH("PAC",F62)))</formula>
    </cfRule>
    <cfRule type="containsText" dxfId="1340" priority="15" operator="containsText" text="AAC">
      <formula>NOT(ISERROR(SEARCH("AAC",F62)))</formula>
    </cfRule>
    <cfRule type="containsText" dxfId="1339" priority="16" operator="containsText" text="GC">
      <formula>NOT(ISERROR(SEARCH("GC",F62)))</formula>
    </cfRule>
  </conditionalFormatting>
  <conditionalFormatting sqref="F64:J65">
    <cfRule type="cellIs" dxfId="1338" priority="54" operator="lessThan">
      <formula>5</formula>
    </cfRule>
  </conditionalFormatting>
  <conditionalFormatting sqref="F86:J86">
    <cfRule type="containsText" dxfId="1337" priority="25" operator="containsText" text="PL">
      <formula>NOT(ISERROR(SEARCH("PL",F86)))</formula>
    </cfRule>
    <cfRule type="containsText" dxfId="1336" priority="26" operator="containsText" text="SW">
      <formula>NOT(ISERROR(SEARCH("SW",F86)))</formula>
    </cfRule>
    <cfRule type="containsText" dxfId="1335" priority="27" operator="containsText" text="AT">
      <formula>NOT(ISERROR(SEARCH("AT",F86)))</formula>
    </cfRule>
    <cfRule type="containsText" dxfId="1334" priority="28" operator="containsText" text="SS">
      <formula>NOT(ISERROR(SEARCH("SS",F86)))</formula>
    </cfRule>
  </conditionalFormatting>
  <conditionalFormatting sqref="F8:L59">
    <cfRule type="containsText" dxfId="1333" priority="35" operator="containsText" text="PAC">
      <formula>NOT(ISERROR(SEARCH("PAC",F8)))</formula>
    </cfRule>
    <cfRule type="containsText" dxfId="1332" priority="36" operator="containsText" text="AAC">
      <formula>NOT(ISERROR(SEARCH("AAC",F8)))</formula>
    </cfRule>
    <cfRule type="containsText" dxfId="1331" priority="37" operator="containsText" text="GC">
      <formula>NOT(ISERROR(SEARCH("GC",F8)))</formula>
    </cfRule>
    <cfRule type="containsText" dxfId="1330" priority="38" operator="containsText" text="FC">
      <formula>NOT(ISERROR(SEARCH("FC",F8)))</formula>
    </cfRule>
    <cfRule type="containsText" dxfId="1329" priority="39" operator="containsText" text="CC">
      <formula>NOT(ISERROR(SEARCH("CC",F8)))</formula>
    </cfRule>
    <cfRule type="containsText" dxfId="1328" priority="40" operator="containsText" text="RC">
      <formula>NOT(ISERROR(SEARCH("RC",F8)))</formula>
    </cfRule>
    <cfRule type="containsText" dxfId="1327" priority="41" operator="containsText" text="SSC">
      <formula>NOT(ISERROR(SEARCH("SSC",F8)))</formula>
    </cfRule>
    <cfRule type="containsText" dxfId="1326" priority="43" operator="containsText" text="CSO">
      <formula>NOT(ISERROR(SEARCH("CSO",F8)))</formula>
    </cfRule>
  </conditionalFormatting>
  <conditionalFormatting sqref="F64:L64 F65:J65">
    <cfRule type="cellIs" dxfId="1325" priority="55" operator="greaterThan">
      <formula>6</formula>
    </cfRule>
  </conditionalFormatting>
  <conditionalFormatting sqref="F67:L67">
    <cfRule type="containsText" dxfId="1324" priority="42" operator="containsText" text="CSO">
      <formula>NOT(ISERROR(SEARCH("CSO",F67)))</formula>
    </cfRule>
  </conditionalFormatting>
  <conditionalFormatting sqref="F67:L71">
    <cfRule type="containsText" dxfId="1323" priority="33" operator="containsText" text="RC">
      <formula>NOT(ISERROR(SEARCH("RC",F67)))</formula>
    </cfRule>
    <cfRule type="containsText" dxfId="1322" priority="34" operator="containsText" text="CC">
      <formula>NOT(ISERROR(SEARCH("CC",F67)))</formula>
    </cfRule>
  </conditionalFormatting>
  <conditionalFormatting sqref="F170:L170">
    <cfRule type="cellIs" dxfId="1321" priority="53" operator="greaterThan">
      <formula>3</formula>
    </cfRule>
  </conditionalFormatting>
  <conditionalFormatting sqref="F172:L172">
    <cfRule type="cellIs" dxfId="1320" priority="52" operator="greaterThan">
      <formula>4</formula>
    </cfRule>
  </conditionalFormatting>
  <conditionalFormatting sqref="I84:L84">
    <cfRule type="containsText" dxfId="1319" priority="29" operator="containsText" text="PL">
      <formula>NOT(ISERROR(SEARCH("PL",I84)))</formula>
    </cfRule>
    <cfRule type="containsText" dxfId="1318" priority="30" operator="containsText" text="SW">
      <formula>NOT(ISERROR(SEARCH("SW",I84)))</formula>
    </cfRule>
    <cfRule type="containsText" dxfId="1317" priority="31" operator="containsText" text="AT">
      <formula>NOT(ISERROR(SEARCH("AT",I84)))</formula>
    </cfRule>
    <cfRule type="containsText" dxfId="1316" priority="32" operator="containsText" text="SS">
      <formula>NOT(ISERROR(SEARCH("SS",I84)))</formula>
    </cfRule>
  </conditionalFormatting>
  <conditionalFormatting sqref="J88">
    <cfRule type="containsText" dxfId="1315" priority="17" operator="containsText" text="PL">
      <formula>NOT(ISERROR(SEARCH("PL",J88)))</formula>
    </cfRule>
    <cfRule type="containsText" dxfId="1314" priority="18" operator="containsText" text="SW">
      <formula>NOT(ISERROR(SEARCH("SW",J88)))</formula>
    </cfRule>
    <cfRule type="containsText" dxfId="1313" priority="19" operator="containsText" text="AT">
      <formula>NOT(ISERROR(SEARCH("AT",J88)))</formula>
    </cfRule>
    <cfRule type="containsText" dxfId="1312" priority="20" operator="containsText" text="SS">
      <formula>NOT(ISERROR(SEARCH("SS",J88)))</formula>
    </cfRule>
  </conditionalFormatting>
  <conditionalFormatting sqref="K64:L65">
    <cfRule type="cellIs" dxfId="1311" priority="44" operator="greaterThan">
      <formula>3</formula>
    </cfRule>
  </conditionalFormatting>
  <conditionalFormatting sqref="K89:L90">
    <cfRule type="containsText" dxfId="1310" priority="21" operator="containsText" text="PL">
      <formula>NOT(ISERROR(SEARCH("PL",K89)))</formula>
    </cfRule>
    <cfRule type="containsText" dxfId="1309" priority="22" operator="containsText" text="SW">
      <formula>NOT(ISERROR(SEARCH("SW",K89)))</formula>
    </cfRule>
    <cfRule type="containsText" dxfId="1308" priority="23" operator="containsText" text="AT">
      <formula>NOT(ISERROR(SEARCH("AT",K89)))</formula>
    </cfRule>
    <cfRule type="containsText" dxfId="1307" priority="24" operator="containsText" text="SS">
      <formula>NOT(ISERROR(SEARCH("SS",K89)))</formula>
    </cfRule>
  </conditionalFormatting>
  <conditionalFormatting sqref="N38:N40">
    <cfRule type="containsText" dxfId="1306" priority="135" operator="containsText" text="NAMIT">
      <formula>NOT(ISERROR(SEARCH("NAMIT",N38)))</formula>
    </cfRule>
  </conditionalFormatting>
  <conditionalFormatting sqref="O6:U6">
    <cfRule type="notContainsErrors" dxfId="1305" priority="139">
      <formula>NOT(ISERROR(O6))</formula>
    </cfRule>
  </conditionalFormatting>
  <conditionalFormatting sqref="O7:U7 O37:U37">
    <cfRule type="notContainsErrors" dxfId="1304" priority="134">
      <formula>NOT(ISERROR(O7))</formula>
    </cfRule>
  </conditionalFormatting>
  <conditionalFormatting sqref="O8:U8">
    <cfRule type="notContainsErrors" dxfId="1303" priority="137">
      <formula>NOT(ISERROR(O8))</formula>
    </cfRule>
  </conditionalFormatting>
  <conditionalFormatting sqref="O9:U9">
    <cfRule type="notContainsErrors" dxfId="1302" priority="148">
      <formula>NOT(ISERROR(O9))</formula>
    </cfRule>
  </conditionalFormatting>
  <conditionalFormatting sqref="O10:U10">
    <cfRule type="notContainsErrors" dxfId="1301" priority="129">
      <formula>NOT(ISERROR(O10))</formula>
    </cfRule>
  </conditionalFormatting>
  <conditionalFormatting sqref="O18:U18">
    <cfRule type="notContainsErrors" dxfId="1300" priority="147">
      <formula>NOT(ISERROR(O18))</formula>
    </cfRule>
  </conditionalFormatting>
  <conditionalFormatting sqref="O36:U36">
    <cfRule type="notContainsErrors" dxfId="1299" priority="140">
      <formula>NOT(ISERROR(O36))</formula>
    </cfRule>
  </conditionalFormatting>
  <conditionalFormatting sqref="O38:U38">
    <cfRule type="notContainsErrors" dxfId="1298" priority="138">
      <formula>NOT(ISERROR(O38))</formula>
    </cfRule>
  </conditionalFormatting>
  <conditionalFormatting sqref="O39:U39">
    <cfRule type="notContainsErrors" dxfId="1297" priority="131">
      <formula>NOT(ISERROR(O39))</formula>
    </cfRule>
  </conditionalFormatting>
  <conditionalFormatting sqref="O40:U40">
    <cfRule type="notContainsErrors" dxfId="1296" priority="133">
      <formula>NOT(ISERROR(O40))</formula>
    </cfRule>
  </conditionalFormatting>
  <conditionalFormatting sqref="O48:U48">
    <cfRule type="notContainsErrors" dxfId="1295" priority="132">
      <formula>NOT(ISERROR(O48))</formula>
    </cfRule>
  </conditionalFormatting>
  <conditionalFormatting sqref="O66:U66">
    <cfRule type="notContainsErrors" dxfId="1294" priority="130">
      <formula>NOT(ISERROR(O66))</formula>
    </cfRule>
  </conditionalFormatting>
  <conditionalFormatting sqref="O76:U76">
    <cfRule type="notContainsErrors" dxfId="1293" priority="136">
      <formula>NOT(ISERROR(O76))</formula>
    </cfRule>
  </conditionalFormatting>
  <conditionalFormatting sqref="V132:V1048576 P234:U1048576">
    <cfRule type="containsText" dxfId="1292" priority="141" operator="containsText" text="SW">
      <formula>NOT(ISERROR(SEARCH("SW",P132)))</formula>
    </cfRule>
    <cfRule type="containsText" dxfId="1291" priority="142" operator="containsText" text="FL">
      <formula>NOT(ISERROR(SEARCH("FL",P132)))</formula>
    </cfRule>
    <cfRule type="containsText" dxfId="1290" priority="143" operator="containsText" text="FT">
      <formula>NOT(ISERROR(SEARCH("FT",P132)))</formula>
    </cfRule>
    <cfRule type="containsText" dxfId="1289" priority="144" operator="containsText" text="SS">
      <formula>NOT(ISERROR(SEARCH("SS",P132)))</formula>
    </cfRule>
    <cfRule type="containsText" dxfId="1288" priority="145" operator="containsText" text="GR">
      <formula>NOT(ISERROR(SEARCH("GR",P132)))</formula>
    </cfRule>
    <cfRule type="containsText" dxfId="1287" priority="146" operator="containsText" text="GO">
      <formula>NOT(ISERROR(SEARCH("GO",P132)))</formula>
    </cfRule>
  </conditionalFormatting>
  <dataValidations count="1">
    <dataValidation type="list" allowBlank="1" showInputMessage="1" sqref="F134:L135 J136:L141 F113:G131 G136:H141 H114:H131 I113:J131 K114:L131" xr:uid="{18E7FBC5-A01F-DD4D-BFEC-03D38A6F1A70}">
      <formula1>#REF!</formula1>
    </dataValidation>
  </dataValidations>
  <pageMargins left="0.7" right="0.7" top="0.75" bottom="0.75" header="0.3" footer="0.3"/>
  <pageSetup paperSize="9" scale="6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E50B6-DA3A-EE4B-83B2-158ADD2FD7AB}">
  <sheetPr>
    <pageSetUpPr fitToPage="1"/>
  </sheetPr>
  <dimension ref="A1:W292"/>
  <sheetViews>
    <sheetView topLeftCell="G1" workbookViewId="0">
      <pane ySplit="4" topLeftCell="G82" activePane="bottomLeft" state="frozen"/>
      <selection pane="bottomLeft" activeCell="N1" sqref="N1"/>
      <selection activeCell="N1" sqref="N1"/>
    </sheetView>
  </sheetViews>
  <sheetFormatPr defaultColWidth="10.875" defaultRowHeight="14.25"/>
  <cols>
    <col min="1" max="2" width="10.875" style="56" hidden="1" customWidth="1"/>
    <col min="3" max="3" width="10.875" style="56" customWidth="1"/>
    <col min="4" max="4" width="26" style="72" customWidth="1"/>
    <col min="5" max="5" width="10.875" style="68" customWidth="1"/>
    <col min="6" max="6" width="10.875" style="66" customWidth="1"/>
    <col min="7" max="12" width="10.875" style="64" customWidth="1"/>
    <col min="13" max="13" width="10.875" style="56" customWidth="1"/>
    <col min="14" max="14" width="10.875" style="89" customWidth="1"/>
    <col min="15" max="15" width="10.875" style="112" customWidth="1"/>
    <col min="16" max="21" width="10.875" style="89" customWidth="1"/>
    <col min="22" max="23" width="10.875" style="34" customWidth="1"/>
    <col min="24" max="24" width="10.875" style="56" customWidth="1"/>
    <col min="25" max="16384" width="10.875" style="56"/>
  </cols>
  <sheetData>
    <row r="1" spans="1:23" ht="14.1" customHeight="1" thickBot="1">
      <c r="D1" s="57"/>
      <c r="E1" s="58"/>
      <c r="F1" s="59" t="str">
        <f t="shared" ref="F1:L1" si="0">CONCATENATE(F170,"-",F171,"-",F172,"-",F173,"-",F174)</f>
        <v>14-0-14-0-9</v>
      </c>
      <c r="G1" s="59" t="str">
        <f t="shared" si="0"/>
        <v>13-1-18-0-8</v>
      </c>
      <c r="H1" s="59" t="str">
        <f t="shared" si="0"/>
        <v>14-1-16-0-9</v>
      </c>
      <c r="I1" s="59" t="str">
        <f t="shared" si="0"/>
        <v>17-0-14-1-9</v>
      </c>
      <c r="J1" s="59" t="str">
        <f t="shared" si="0"/>
        <v>14-2-12-2-9</v>
      </c>
      <c r="K1" s="59" t="str">
        <f t="shared" si="0"/>
        <v>12-0-13-0-9</v>
      </c>
      <c r="L1" s="59" t="str">
        <f t="shared" si="0"/>
        <v>13-0-13-0-8</v>
      </c>
      <c r="O1" s="89" t="str">
        <f t="shared" ref="O1:U1" si="1">F1</f>
        <v>14-0-14-0-9</v>
      </c>
      <c r="P1" s="89" t="str">
        <f t="shared" si="1"/>
        <v>13-1-18-0-8</v>
      </c>
      <c r="Q1" s="89" t="str">
        <f t="shared" si="1"/>
        <v>14-1-16-0-9</v>
      </c>
      <c r="R1" s="89" t="str">
        <f t="shared" si="1"/>
        <v>17-0-14-1-9</v>
      </c>
      <c r="S1" s="89" t="str">
        <f t="shared" si="1"/>
        <v>14-2-12-2-9</v>
      </c>
      <c r="T1" s="89" t="str">
        <f t="shared" si="1"/>
        <v>12-0-13-0-9</v>
      </c>
      <c r="U1" s="89" t="str">
        <f t="shared" si="1"/>
        <v>13-0-13-0-8</v>
      </c>
    </row>
    <row r="2" spans="1:23" ht="14.1" customHeight="1" thickBot="1">
      <c r="C2" s="1" t="s">
        <v>0</v>
      </c>
      <c r="D2" s="1" t="s">
        <v>0</v>
      </c>
      <c r="E2" s="58"/>
      <c r="F2" s="802">
        <v>4</v>
      </c>
      <c r="G2" s="802"/>
      <c r="H2" s="802"/>
      <c r="I2" s="802"/>
      <c r="J2" s="802"/>
      <c r="K2" s="802"/>
      <c r="L2" s="802"/>
      <c r="O2" s="754">
        <f>F2</f>
        <v>4</v>
      </c>
      <c r="P2" s="755"/>
      <c r="Q2" s="755"/>
      <c r="R2" s="755"/>
      <c r="S2" s="755"/>
      <c r="T2" s="755"/>
      <c r="U2" s="756"/>
    </row>
    <row r="3" spans="1:23" ht="14.1" customHeight="1">
      <c r="A3" s="56" t="s">
        <v>297</v>
      </c>
      <c r="B3" s="56" t="s">
        <v>298</v>
      </c>
      <c r="C3" s="494" t="s">
        <v>299</v>
      </c>
      <c r="D3" s="494" t="s">
        <v>300</v>
      </c>
      <c r="E3" s="69" t="s">
        <v>5</v>
      </c>
      <c r="F3" s="22" t="s">
        <v>6</v>
      </c>
      <c r="G3" s="23" t="s">
        <v>7</v>
      </c>
      <c r="H3" s="23" t="s">
        <v>8</v>
      </c>
      <c r="I3" s="23" t="s">
        <v>9</v>
      </c>
      <c r="J3" s="23" t="s">
        <v>10</v>
      </c>
      <c r="K3" s="23" t="s">
        <v>11</v>
      </c>
      <c r="L3" s="24" t="s">
        <v>12</v>
      </c>
      <c r="O3" s="90" t="s">
        <v>6</v>
      </c>
      <c r="P3" s="91" t="s">
        <v>7</v>
      </c>
      <c r="Q3" s="91" t="s">
        <v>8</v>
      </c>
      <c r="R3" s="91" t="s">
        <v>9</v>
      </c>
      <c r="S3" s="91" t="s">
        <v>10</v>
      </c>
      <c r="T3" s="91" t="s">
        <v>11</v>
      </c>
      <c r="U3" s="92" t="s">
        <v>12</v>
      </c>
    </row>
    <row r="4" spans="1:23" ht="14.1" customHeight="1" thickBot="1">
      <c r="B4" s="56" t="s">
        <v>13</v>
      </c>
      <c r="C4" s="25"/>
      <c r="D4" s="25"/>
      <c r="E4" s="77"/>
      <c r="F4" s="26">
        <v>46076</v>
      </c>
      <c r="G4" s="27">
        <v>46077</v>
      </c>
      <c r="H4" s="27">
        <v>46078</v>
      </c>
      <c r="I4" s="27">
        <v>46079</v>
      </c>
      <c r="J4" s="27">
        <v>46080</v>
      </c>
      <c r="K4" s="27">
        <v>46081</v>
      </c>
      <c r="L4" s="27">
        <v>46082</v>
      </c>
      <c r="N4" s="93"/>
      <c r="O4" s="94">
        <f t="shared" ref="O4:U4" si="2">F4</f>
        <v>46076</v>
      </c>
      <c r="P4" s="95">
        <f t="shared" si="2"/>
        <v>46077</v>
      </c>
      <c r="Q4" s="95">
        <f t="shared" si="2"/>
        <v>46078</v>
      </c>
      <c r="R4" s="95">
        <f t="shared" si="2"/>
        <v>46079</v>
      </c>
      <c r="S4" s="95">
        <f t="shared" si="2"/>
        <v>46080</v>
      </c>
      <c r="T4" s="95">
        <f t="shared" si="2"/>
        <v>46081</v>
      </c>
      <c r="U4" s="96">
        <f t="shared" si="2"/>
        <v>46082</v>
      </c>
    </row>
    <row r="5" spans="1:23" ht="14.1" customHeight="1" thickBot="1">
      <c r="C5" s="2"/>
      <c r="D5" s="2"/>
      <c r="E5" s="81"/>
      <c r="F5" s="201"/>
      <c r="G5" s="60"/>
      <c r="H5" s="60"/>
      <c r="I5" s="60"/>
      <c r="J5" s="60"/>
      <c r="K5" s="60"/>
      <c r="L5" s="61"/>
      <c r="O5" s="757" t="s">
        <v>301</v>
      </c>
      <c r="P5" s="758"/>
      <c r="Q5" s="758"/>
      <c r="R5" s="758"/>
      <c r="S5" s="758"/>
      <c r="T5" s="758"/>
      <c r="U5" s="759"/>
      <c r="W5" s="34" t="s">
        <v>302</v>
      </c>
    </row>
    <row r="6" spans="1:23" ht="14.1" customHeight="1">
      <c r="C6" s="315" t="s">
        <v>26</v>
      </c>
      <c r="D6" s="315" t="s">
        <v>26</v>
      </c>
      <c r="E6" s="495"/>
      <c r="F6" s="317"/>
      <c r="G6" s="318"/>
      <c r="H6" s="318"/>
      <c r="I6" s="318"/>
      <c r="J6" s="318"/>
      <c r="K6" s="318"/>
      <c r="L6" s="319"/>
      <c r="N6" s="97" t="s">
        <v>303</v>
      </c>
      <c r="O6" s="98" t="str">
        <f t="shared" ref="O6:U6" si="3">INDEX($C7:$L189,MATCH("*AGC*",F7:F192,0),1)</f>
        <v>ERICA SMS</v>
      </c>
      <c r="P6" s="99" t="str">
        <f t="shared" si="3"/>
        <v>ABI SMS</v>
      </c>
      <c r="Q6" s="99" t="str">
        <f t="shared" si="3"/>
        <v>AFTAB SMS</v>
      </c>
      <c r="R6" s="99" t="e">
        <f t="shared" si="3"/>
        <v>#N/A</v>
      </c>
      <c r="S6" s="99" t="str">
        <f t="shared" si="3"/>
        <v>DANIEL SMS</v>
      </c>
      <c r="T6" s="99" t="str">
        <f t="shared" si="3"/>
        <v>ANDREW H SMS</v>
      </c>
      <c r="U6" s="100" t="str">
        <f t="shared" si="3"/>
        <v>BEN SMS</v>
      </c>
      <c r="V6" s="34" t="s">
        <v>287</v>
      </c>
      <c r="W6" s="101"/>
    </row>
    <row r="7" spans="1:23" ht="14.1" customHeight="1">
      <c r="C7" s="496" t="s">
        <v>304</v>
      </c>
      <c r="D7" s="497" t="s">
        <v>27</v>
      </c>
      <c r="E7" s="498">
        <v>625982</v>
      </c>
      <c r="F7" s="569" t="s">
        <v>28</v>
      </c>
      <c r="G7" s="570"/>
      <c r="H7" s="570"/>
      <c r="I7" s="570"/>
      <c r="J7" s="570"/>
      <c r="K7" s="570"/>
      <c r="L7" s="571"/>
      <c r="N7" s="499" t="s">
        <v>305</v>
      </c>
      <c r="O7" s="102" t="str">
        <f t="shared" ref="O7:U7" si="4">INDEX($C7:$L189,MATCH("*AAC",F7:F191,0),1)</f>
        <v>PAT SMS</v>
      </c>
      <c r="P7" s="500" t="str">
        <f t="shared" si="4"/>
        <v>SCOTT SMS</v>
      </c>
      <c r="Q7" s="500" t="str">
        <f t="shared" si="4"/>
        <v>MAUREEN SMS</v>
      </c>
      <c r="R7" s="500" t="str">
        <f t="shared" si="4"/>
        <v>JULIA SMS</v>
      </c>
      <c r="S7" s="500" t="str">
        <f t="shared" si="4"/>
        <v>RICHARD SMS</v>
      </c>
      <c r="T7" s="500" t="str">
        <f t="shared" si="4"/>
        <v>QING SMS</v>
      </c>
      <c r="U7" s="501" t="str">
        <f t="shared" si="4"/>
        <v>DIANA SMS</v>
      </c>
      <c r="V7" s="34" t="s">
        <v>286</v>
      </c>
      <c r="W7" s="101"/>
    </row>
    <row r="8" spans="1:23" ht="14.1" customHeight="1">
      <c r="C8" s="497" t="s">
        <v>306</v>
      </c>
      <c r="D8" s="83" t="s">
        <v>29</v>
      </c>
      <c r="E8" s="502">
        <v>628936</v>
      </c>
      <c r="F8" s="211"/>
      <c r="G8" s="62" t="s">
        <v>33</v>
      </c>
      <c r="H8" s="62" t="s">
        <v>33</v>
      </c>
      <c r="I8" s="62" t="s">
        <v>33</v>
      </c>
      <c r="J8" s="62"/>
      <c r="K8" s="565"/>
      <c r="L8" s="577" t="s">
        <v>34</v>
      </c>
      <c r="N8" s="503" t="s">
        <v>307</v>
      </c>
      <c r="O8" s="102" t="str">
        <f t="shared" ref="O8:U8" si="5">INDEX($C7:$L189,MATCH("*ARC*",F7:F192,0),1)</f>
        <v>JACQUELINE SMS</v>
      </c>
      <c r="P8" s="500" t="e">
        <f t="shared" si="5"/>
        <v>#N/A</v>
      </c>
      <c r="Q8" s="500" t="e">
        <f t="shared" si="5"/>
        <v>#N/A</v>
      </c>
      <c r="R8" s="500" t="str">
        <f t="shared" si="5"/>
        <v>PAT SMS</v>
      </c>
      <c r="S8" s="500" t="str">
        <f t="shared" si="5"/>
        <v>SUHAIL SMS</v>
      </c>
      <c r="T8" s="500" t="str">
        <f t="shared" si="5"/>
        <v>DIANA SMS</v>
      </c>
      <c r="U8" s="501" t="str">
        <f t="shared" si="5"/>
        <v>JACKIE SMS</v>
      </c>
      <c r="V8" s="34" t="s">
        <v>285</v>
      </c>
      <c r="W8" s="101"/>
    </row>
    <row r="9" spans="1:23" ht="14.1" customHeight="1">
      <c r="C9" s="504" t="s">
        <v>308</v>
      </c>
      <c r="D9" s="723" t="s">
        <v>42</v>
      </c>
      <c r="E9" s="502">
        <v>628576</v>
      </c>
      <c r="F9" s="575" t="s">
        <v>33</v>
      </c>
      <c r="G9" s="565" t="s">
        <v>41</v>
      </c>
      <c r="H9" s="576"/>
      <c r="I9" s="565" t="s">
        <v>33</v>
      </c>
      <c r="J9" s="566" t="s">
        <v>36</v>
      </c>
      <c r="K9" s="565"/>
      <c r="L9" s="577"/>
      <c r="N9" s="505" t="s">
        <v>309</v>
      </c>
      <c r="O9" s="102" t="str">
        <f t="shared" ref="O9:U9" si="6">INDEX($C7:$L189,MATCH("*ASSC*",F7:F192,0),1)</f>
        <v>BARRY SMS</v>
      </c>
      <c r="P9" s="500" t="str">
        <f t="shared" si="6"/>
        <v>STEVE T SMS</v>
      </c>
      <c r="Q9" s="500" t="str">
        <f t="shared" si="6"/>
        <v>YAN SMS</v>
      </c>
      <c r="R9" s="500" t="str">
        <f t="shared" si="6"/>
        <v>VARUNA SMS</v>
      </c>
      <c r="S9" s="500" t="str">
        <f t="shared" si="6"/>
        <v>STEPHEN G SMS</v>
      </c>
      <c r="T9" s="500" t="str">
        <f t="shared" si="6"/>
        <v>BEN SMS</v>
      </c>
      <c r="U9" s="501" t="str">
        <f t="shared" si="6"/>
        <v>VARUNA SMS</v>
      </c>
      <c r="V9" s="34" t="s">
        <v>289</v>
      </c>
      <c r="W9" s="101"/>
    </row>
    <row r="10" spans="1:23" ht="14.1" customHeight="1">
      <c r="C10" s="504" t="s">
        <v>310</v>
      </c>
      <c r="D10" s="497" t="s">
        <v>45</v>
      </c>
      <c r="E10" s="506">
        <v>632647</v>
      </c>
      <c r="F10" s="575" t="s">
        <v>33</v>
      </c>
      <c r="G10" s="565" t="s">
        <v>33</v>
      </c>
      <c r="H10" s="565" t="s">
        <v>41</v>
      </c>
      <c r="I10" s="565"/>
      <c r="J10" s="565" t="s">
        <v>35</v>
      </c>
      <c r="K10" s="565"/>
      <c r="L10" s="577"/>
      <c r="N10" s="507" t="s">
        <v>311</v>
      </c>
      <c r="O10" s="102" t="str">
        <f t="shared" ref="O10:U10" si="7">INDEX($C6:$L188,MATCH("*ACC*",F6:F184,0),1)</f>
        <v>JACKIE SMS</v>
      </c>
      <c r="P10" s="500" t="e">
        <f t="shared" si="7"/>
        <v>#N/A</v>
      </c>
      <c r="Q10" s="500" t="str">
        <f t="shared" si="7"/>
        <v>HELEN SMS</v>
      </c>
      <c r="R10" s="500" t="str">
        <f t="shared" si="7"/>
        <v>JON SMS</v>
      </c>
      <c r="S10" s="500" t="str">
        <f t="shared" si="7"/>
        <v>PAIGE SMS</v>
      </c>
      <c r="T10" s="500" t="str">
        <f t="shared" si="7"/>
        <v>HEATHER CMO</v>
      </c>
      <c r="U10" s="501" t="str">
        <f t="shared" si="7"/>
        <v>SAM CMO</v>
      </c>
      <c r="V10" s="34" t="s">
        <v>288</v>
      </c>
      <c r="W10" s="101"/>
    </row>
    <row r="11" spans="1:23" ht="14.1" customHeight="1">
      <c r="C11" s="497" t="s">
        <v>312</v>
      </c>
      <c r="D11" s="497" t="s">
        <v>48</v>
      </c>
      <c r="E11" s="502">
        <v>279110</v>
      </c>
      <c r="F11" s="575" t="s">
        <v>33</v>
      </c>
      <c r="G11" s="565" t="s">
        <v>33</v>
      </c>
      <c r="H11" s="565"/>
      <c r="I11" s="565" t="s">
        <v>46</v>
      </c>
      <c r="J11" s="565"/>
      <c r="K11" s="565" t="s">
        <v>37</v>
      </c>
      <c r="L11" s="577" t="s">
        <v>47</v>
      </c>
      <c r="N11" s="733" t="s">
        <v>313</v>
      </c>
      <c r="O11" s="774" t="str" cm="1">
        <f t="array" ref="O11">_xlfn.TEXTJOIN(CHAR(10),TRUE,IF(F7:F111="0800-1800 AFC",$C7:$C111,""),IF(F7:F111="0800-1730 AFC",$C7:$C111,""),IF(F7:F111="0800-1800",$C7:$C111,""),IF(F7:F111="0800-1730",$C7:$C111,""))</f>
        <v>JOSEPH SR
CHRISTINA JR
DESLIN JR
POH JR</v>
      </c>
      <c r="P11" s="775" t="str" cm="1">
        <f t="array" ref="P11">_xlfn.TEXTJOIN(CHAR(10),TRUE,IF(G7:G111="0800-1800 AFC",$C7:$C111,""),IF(G7:G111="0800-1730 AFC",$C7:$C111,""),IF(G7:G111="0800-1800",$C7:$C111,""),IF(G7:G111="0800-1730",$C7:$C111,""))</f>
        <v>MADDY SMS
JOSEPH SR
CHRISTINA JR
DESLIN JR
SUBARNA JR</v>
      </c>
      <c r="Q11" s="775" t="str" cm="1">
        <f t="array" ref="Q11">_xlfn.TEXTJOIN(CHAR(10),TRUE,IF(H7:H111="0800-1800 AFC",$C7:$C111,""),IF(H7:H111="0800-1730 AFC",$C7:$C111,""),IF(H7:H111="0800-1800",$C7:$C111,""),IF(H7:H111="0800-1730",$C7:$C111,""))</f>
        <v>NICOLA SMS
QING SMS
SALEEM CMO</v>
      </c>
      <c r="R11" s="775" t="str" cm="1">
        <f t="array" ref="R11">_xlfn.TEXTJOIN(CHAR(10),TRUE,IF(I7:I111="0800-1800 AFC",$C7:$C111,""),IF(I7:I111="0800-1730 AFC",$C7:$C111,""),IF(I7:I111="0800-1800",$C7:$C111,""),IF(I7:I111="0800-1730",$C7:$C111,""))</f>
        <v>JEREMY SMS
RACHEL SMS 
MILES SR
DENNIS SR
ADI JR
RACHEL JR
KELLY JR</v>
      </c>
      <c r="S11" s="775" t="str" cm="1">
        <f t="array" ref="S11">_xlfn.TEXTJOIN(CHAR(10),TRUE,IF(J7:J111="0800-1800 AFC",$C7:$C111,""),IF(J7:J111="0800-1730 AFC",$C7:$C111,""),IF(J7:J111="0800-1800",$C7:$C111,""),IF(J7:J111="0800-1730",$C7:$C111,""))</f>
        <v>ERICA SMS
DENNIS SR
HANNAH IR
KELLY JR</v>
      </c>
      <c r="T11" s="775" t="str" cm="1">
        <f t="array" ref="T11">_xlfn.TEXTJOIN(CHAR(10),TRUE,IF(K7:K111="0800-1800 AFC",$C7:$C111,""),IF(K7:K111="0800-1730 AFC",$C7:$C111,""),IF(K7:K111="0800-1800",$C7:$C111,""),IF(K7:K111="0800-1730",$C7:$C111,""))</f>
        <v>HANNAH IR
DESLIN JR
SUBARNA JR</v>
      </c>
      <c r="U11" s="775" t="str" cm="1">
        <f t="array" ref="U11">_xlfn.TEXTJOIN(CHAR(10),TRUE,IF(L7:L111="0800-1800 AFC",$C7:$C111,""),IF(L7:L111="0800-1730 AFC",$C7:$C111,""),IF(L7:L111="0800-1800",$C7:$C111,""),IF(L7:L111="0800-1730",$C7:$C111,""))</f>
        <v>HANNAH IR
DESLIN JR</v>
      </c>
      <c r="W11" s="772">
        <v>7</v>
      </c>
    </row>
    <row r="12" spans="1:23" ht="14.1" customHeight="1">
      <c r="C12" s="497" t="s">
        <v>314</v>
      </c>
      <c r="D12" s="497" t="s">
        <v>49</v>
      </c>
      <c r="E12" s="502">
        <v>213322</v>
      </c>
      <c r="F12" s="575" t="s">
        <v>33</v>
      </c>
      <c r="G12" s="565" t="s">
        <v>40</v>
      </c>
      <c r="H12" s="565" t="s">
        <v>46</v>
      </c>
      <c r="I12" s="565"/>
      <c r="J12" s="576"/>
      <c r="K12" s="576"/>
      <c r="L12" s="579"/>
      <c r="N12" s="734"/>
      <c r="O12" s="774"/>
      <c r="P12" s="775"/>
      <c r="Q12" s="775"/>
      <c r="R12" s="775"/>
      <c r="S12" s="775"/>
      <c r="T12" s="775"/>
      <c r="U12" s="775"/>
      <c r="W12" s="772"/>
    </row>
    <row r="13" spans="1:23" ht="14.1" customHeight="1">
      <c r="C13" s="497" t="s">
        <v>315</v>
      </c>
      <c r="D13" s="497" t="s">
        <v>51</v>
      </c>
      <c r="E13" s="502">
        <v>602997</v>
      </c>
      <c r="F13" s="575"/>
      <c r="G13" s="565" t="s">
        <v>52</v>
      </c>
      <c r="H13" s="565" t="s">
        <v>53</v>
      </c>
      <c r="I13" s="565"/>
      <c r="J13" s="565"/>
      <c r="K13" s="565" t="s">
        <v>36</v>
      </c>
      <c r="L13" s="577" t="s">
        <v>38</v>
      </c>
      <c r="N13" s="734"/>
      <c r="O13" s="774"/>
      <c r="P13" s="775"/>
      <c r="Q13" s="775"/>
      <c r="R13" s="775"/>
      <c r="S13" s="775"/>
      <c r="T13" s="775"/>
      <c r="U13" s="775"/>
      <c r="W13" s="772"/>
    </row>
    <row r="14" spans="1:23" ht="14.1" customHeight="1">
      <c r="C14" s="504" t="s">
        <v>316</v>
      </c>
      <c r="D14" s="504" t="s">
        <v>55</v>
      </c>
      <c r="E14" s="502">
        <v>646459</v>
      </c>
      <c r="F14" s="575"/>
      <c r="G14" s="566"/>
      <c r="H14" s="566" t="s">
        <v>41</v>
      </c>
      <c r="I14" s="566" t="s">
        <v>50</v>
      </c>
      <c r="J14" s="576"/>
      <c r="K14" s="565" t="s">
        <v>47</v>
      </c>
      <c r="L14" s="604" t="s">
        <v>36</v>
      </c>
      <c r="N14" s="734"/>
      <c r="O14" s="774"/>
      <c r="P14" s="775"/>
      <c r="Q14" s="775"/>
      <c r="R14" s="775"/>
      <c r="S14" s="775"/>
      <c r="T14" s="775"/>
      <c r="U14" s="775"/>
      <c r="W14" s="772"/>
    </row>
    <row r="15" spans="1:23" ht="14.1" customHeight="1">
      <c r="C15" s="497" t="s">
        <v>318</v>
      </c>
      <c r="D15" s="504" t="s">
        <v>56</v>
      </c>
      <c r="E15" s="502">
        <v>632594</v>
      </c>
      <c r="F15" s="581" t="s">
        <v>33</v>
      </c>
      <c r="G15" s="566" t="s">
        <v>43</v>
      </c>
      <c r="H15" s="566" t="s">
        <v>57</v>
      </c>
      <c r="I15" s="566" t="s">
        <v>35</v>
      </c>
      <c r="J15" s="565"/>
      <c r="K15" s="565"/>
      <c r="L15" s="577"/>
      <c r="N15" s="734"/>
      <c r="O15" s="774"/>
      <c r="P15" s="775"/>
      <c r="Q15" s="775"/>
      <c r="R15" s="775"/>
      <c r="S15" s="775"/>
      <c r="T15" s="775"/>
      <c r="U15" s="775"/>
      <c r="W15" s="772"/>
    </row>
    <row r="16" spans="1:23" ht="14.1" customHeight="1">
      <c r="C16" s="497" t="s">
        <v>319</v>
      </c>
      <c r="D16" s="497" t="s">
        <v>58</v>
      </c>
      <c r="E16" s="502">
        <v>541622</v>
      </c>
      <c r="F16" s="582"/>
      <c r="G16" s="565" t="s">
        <v>33</v>
      </c>
      <c r="H16" s="578" t="s">
        <v>342</v>
      </c>
      <c r="I16" s="565" t="s">
        <v>36</v>
      </c>
      <c r="J16" s="578" t="s">
        <v>359</v>
      </c>
      <c r="K16" s="583"/>
      <c r="L16" s="584"/>
      <c r="N16" s="734"/>
      <c r="O16" s="774"/>
      <c r="P16" s="775"/>
      <c r="Q16" s="775"/>
      <c r="R16" s="775"/>
      <c r="S16" s="775"/>
      <c r="T16" s="775"/>
      <c r="U16" s="775"/>
      <c r="W16" s="772"/>
    </row>
    <row r="17" spans="3:23" ht="14.1" customHeight="1">
      <c r="C17" s="504" t="s">
        <v>320</v>
      </c>
      <c r="D17" s="504" t="s">
        <v>59</v>
      </c>
      <c r="E17" s="508">
        <v>614941</v>
      </c>
      <c r="F17" s="582"/>
      <c r="G17" s="576"/>
      <c r="H17" s="583"/>
      <c r="I17" s="76" t="s">
        <v>33</v>
      </c>
      <c r="J17" s="565" t="s">
        <v>47</v>
      </c>
      <c r="K17" s="577" t="s">
        <v>35</v>
      </c>
      <c r="L17" s="577" t="s">
        <v>35</v>
      </c>
      <c r="N17" s="773"/>
      <c r="O17" s="774"/>
      <c r="P17" s="775"/>
      <c r="Q17" s="775"/>
      <c r="R17" s="775"/>
      <c r="S17" s="775"/>
      <c r="T17" s="775"/>
      <c r="U17" s="775"/>
      <c r="W17" s="772"/>
    </row>
    <row r="18" spans="3:23" ht="14.1" customHeight="1">
      <c r="C18" s="497" t="s">
        <v>321</v>
      </c>
      <c r="D18" s="497" t="s">
        <v>63</v>
      </c>
      <c r="E18" s="502">
        <v>600989</v>
      </c>
      <c r="F18" s="569" t="s">
        <v>28</v>
      </c>
      <c r="G18" s="570"/>
      <c r="H18" s="570"/>
      <c r="I18" s="570"/>
      <c r="J18" s="570"/>
      <c r="K18" s="570"/>
      <c r="L18" s="571"/>
      <c r="N18" s="510" t="s">
        <v>322</v>
      </c>
      <c r="O18" s="102" t="str">
        <f t="shared" ref="O18:U18" si="8">INDEX($C7:$L189,MATCH("*AHJ*",F7:F192,0),1)</f>
        <v>MARYAM HMO</v>
      </c>
      <c r="P18" s="102" t="e">
        <f t="shared" si="8"/>
        <v>#N/A</v>
      </c>
      <c r="Q18" s="102" t="str">
        <f t="shared" si="8"/>
        <v>AARON G. HMO</v>
      </c>
      <c r="R18" s="102" t="str">
        <f t="shared" si="8"/>
        <v>BRENDAN HMO</v>
      </c>
      <c r="S18" s="102" t="str">
        <f t="shared" si="8"/>
        <v>ZOBIA HMO</v>
      </c>
      <c r="T18" s="102" t="e">
        <f t="shared" si="8"/>
        <v>#N/A</v>
      </c>
      <c r="U18" s="102" t="str">
        <f t="shared" si="8"/>
        <v>AARON B. HMO</v>
      </c>
      <c r="V18" s="34" t="s">
        <v>323</v>
      </c>
      <c r="W18" s="89">
        <v>1</v>
      </c>
    </row>
    <row r="19" spans="3:23" ht="14.1" customHeight="1">
      <c r="C19" s="511" t="s">
        <v>324</v>
      </c>
      <c r="D19" s="497" t="s">
        <v>64</v>
      </c>
      <c r="E19" s="502">
        <v>628578</v>
      </c>
      <c r="F19" s="582" t="s">
        <v>65</v>
      </c>
      <c r="G19" s="576"/>
      <c r="H19" s="583"/>
      <c r="I19" s="203"/>
      <c r="J19" s="576"/>
      <c r="K19" s="576"/>
      <c r="L19" s="580"/>
      <c r="N19" s="776" t="s">
        <v>325</v>
      </c>
      <c r="O19" s="777" t="str" cm="1">
        <f t="array" ref="O19">_xlfn.TEXTJOIN(CHAR(10),TRUE,_xlfn._xlws.FILTER($C7:$C185,RIGHT(F7:F185,LEN("ASSJ"))="ASSJ",""))</f>
        <v>BRIANNA HMO</v>
      </c>
      <c r="P19" s="750" t="str" cm="1">
        <f t="array" ref="P19">_xlfn.TEXTJOIN(CHAR(10),TRUE,_xlfn._xlws.FILTER($C7:$C185,RIGHT(G7:G185,LEN("ASSJ"))="ASSJ",""))</f>
        <v>CHRIS HMO</v>
      </c>
      <c r="Q19" s="750" t="str" cm="1">
        <f t="array" ref="Q19">_xlfn.TEXTJOIN(CHAR(10),TRUE,_xlfn._xlws.FILTER($C7:$C185,RIGHT(H7:H185,LEN("ASSJ"))="ASSJ",""))</f>
        <v>PIN HMO</v>
      </c>
      <c r="R19" s="750" t="str" cm="1">
        <f t="array" ref="R19">_xlfn.TEXTJOIN(CHAR(10),TRUE,_xlfn._xlws.FILTER($C7:$C185,RIGHT(I7:I185,LEN("ASSJ"))="ASSJ",""))</f>
        <v>AARON N. HMO</v>
      </c>
      <c r="S19" s="750" t="str" cm="1">
        <f t="array" ref="S19">_xlfn.TEXTJOIN(CHAR(10),TRUE,_xlfn._xlws.FILTER($C7:$C185,RIGHT(J7:J185,LEN("ASSJ"))="ASSJ",""))</f>
        <v>NATHAN HMO</v>
      </c>
      <c r="T19" s="750" t="str" cm="1">
        <f t="array" ref="T19">_xlfn.TEXTJOIN(CHAR(10),TRUE,_xlfn._xlws.FILTER($C7:$C185,RIGHT(K7:K185,LEN("ASSJ"))="ASSJ",""))</f>
        <v>AARON B. HMO</v>
      </c>
      <c r="U19" s="788" t="str" cm="1">
        <f t="array" ref="U19">_xlfn.TEXTJOIN(CHAR(10),TRUE,_xlfn._xlws.FILTER($C7:$C185,RIGHT(L7:L185,LEN("ASSJ"))="ASSJ",""))</f>
        <v>ZOBIA HMO</v>
      </c>
      <c r="V19" s="34" t="s">
        <v>326</v>
      </c>
      <c r="W19" s="772">
        <v>2</v>
      </c>
    </row>
    <row r="20" spans="3:23" ht="14.1" customHeight="1">
      <c r="C20" s="497" t="s">
        <v>327</v>
      </c>
      <c r="D20" s="504" t="s">
        <v>68</v>
      </c>
      <c r="E20" s="512">
        <v>628603</v>
      </c>
      <c r="F20" s="582" t="s">
        <v>69</v>
      </c>
      <c r="G20" s="576"/>
      <c r="H20" s="576"/>
      <c r="I20" s="576"/>
      <c r="J20" s="576"/>
      <c r="K20" s="583"/>
      <c r="L20" s="584"/>
      <c r="N20" s="776"/>
      <c r="O20" s="777"/>
      <c r="P20" s="750"/>
      <c r="Q20" s="750"/>
      <c r="R20" s="750"/>
      <c r="S20" s="750"/>
      <c r="T20" s="750"/>
      <c r="U20" s="788"/>
      <c r="W20" s="772"/>
    </row>
    <row r="21" spans="3:23" ht="14.1" customHeight="1">
      <c r="C21" s="513" t="s">
        <v>329</v>
      </c>
      <c r="D21" s="504" t="s">
        <v>71</v>
      </c>
      <c r="E21" s="113">
        <v>631416</v>
      </c>
      <c r="F21" s="582" t="s">
        <v>69</v>
      </c>
      <c r="G21" s="576"/>
      <c r="H21" s="576"/>
      <c r="I21" s="576"/>
      <c r="J21" s="576"/>
      <c r="K21" s="583"/>
      <c r="L21" s="584"/>
      <c r="N21" s="733" t="s">
        <v>330</v>
      </c>
      <c r="O21" s="777" t="str" cm="1">
        <f t="array" ref="O21">_xlfn.TEXTJOIN(CHAR(10),TRUE,IF(F112:F185="0800-1730",$C112:$C185,""))</f>
        <v>CHRIS HMO
WATHSALA HMO
Arushi INT</v>
      </c>
      <c r="P21" s="750" t="str" cm="1">
        <f t="array" ref="P21">_xlfn.TEXTJOIN(CHAR(10),TRUE,IF(G112:G185="0800-1730",$C112:$C185,""))</f>
        <v>MIKEY HMO
Elliott INT
Roxana INT
Jayce INT</v>
      </c>
      <c r="Q21" s="750" t="str" cm="1">
        <f t="array" ref="Q21">_xlfn.TEXTJOIN(CHAR(10),TRUE,IF(H112:H185="0800-1730",$C112:$C185,""))</f>
        <v>CHRIS HMO
NATHAN HMO
Elliott INT
Roxana INT
Jayce INT</v>
      </c>
      <c r="R21" s="750" t="str" cm="1">
        <f t="array" ref="R21">_xlfn.TEXTJOIN(CHAR(10),TRUE,IF(I112:I185="0800-1730",$C112:$C185,""))</f>
        <v>AREEBA HMO
LISA HMO
Daniel INT
Jayce INT</v>
      </c>
      <c r="S21" s="750" t="str" cm="1">
        <f t="array" ref="S21">_xlfn.TEXTJOIN(CHAR(10),TRUE,IF(J112:J185="0800-1730",$C112:$C185,""))</f>
        <v>PIN HMO
Filip INT
Elliott INT</v>
      </c>
      <c r="T21" s="750" t="str" cm="1">
        <f t="array" ref="T21">_xlfn.TEXTJOIN(CHAR(10),TRUE,IF(K112:K185="0800-1730",$C112:$C185,""))</f>
        <v>PIN HMO
NATHAN HMO
Filip INT</v>
      </c>
      <c r="U21" s="750" t="str" cm="1">
        <f t="array" ref="U21">_xlfn.TEXTJOIN(CHAR(10),TRUE,IF(L112:L185="0800-1730",$C112:$C185,""))</f>
        <v>PIN HMO
NATHAN HMO
Filip INT
Roxana INT</v>
      </c>
      <c r="W21" s="772">
        <v>7</v>
      </c>
    </row>
    <row r="22" spans="3:23" ht="14.1" customHeight="1">
      <c r="C22" s="80" t="s">
        <v>331</v>
      </c>
      <c r="D22" s="514" t="s">
        <v>73</v>
      </c>
      <c r="E22" s="515">
        <v>613670</v>
      </c>
      <c r="F22" s="575" t="s">
        <v>43</v>
      </c>
      <c r="G22" s="565" t="s">
        <v>46</v>
      </c>
      <c r="H22" s="565" t="s">
        <v>33</v>
      </c>
      <c r="I22" s="565"/>
      <c r="J22" s="565" t="s">
        <v>41</v>
      </c>
      <c r="K22" s="565"/>
      <c r="L22" s="577"/>
      <c r="N22" s="734"/>
      <c r="O22" s="777"/>
      <c r="P22" s="750"/>
      <c r="Q22" s="750"/>
      <c r="R22" s="750"/>
      <c r="S22" s="750"/>
      <c r="T22" s="750"/>
      <c r="U22" s="750"/>
      <c r="W22" s="772"/>
    </row>
    <row r="23" spans="3:23" ht="14.1" customHeight="1">
      <c r="C23" s="511" t="s">
        <v>332</v>
      </c>
      <c r="D23" s="504" t="s">
        <v>76</v>
      </c>
      <c r="E23" s="516">
        <v>621988</v>
      </c>
      <c r="F23" s="575" t="s">
        <v>47</v>
      </c>
      <c r="G23" s="565"/>
      <c r="H23" s="565" t="s">
        <v>33</v>
      </c>
      <c r="I23" s="565" t="s">
        <v>37</v>
      </c>
      <c r="J23" s="648" t="s">
        <v>504</v>
      </c>
      <c r="K23" s="565"/>
      <c r="L23" s="577"/>
      <c r="N23" s="734"/>
      <c r="O23" s="777"/>
      <c r="P23" s="750"/>
      <c r="Q23" s="750"/>
      <c r="R23" s="750"/>
      <c r="S23" s="750"/>
      <c r="T23" s="750"/>
      <c r="U23" s="750"/>
      <c r="W23" s="772"/>
    </row>
    <row r="24" spans="3:23" ht="14.1" customHeight="1">
      <c r="C24" s="497" t="s">
        <v>333</v>
      </c>
      <c r="D24" s="497" t="s">
        <v>79</v>
      </c>
      <c r="E24" s="502">
        <v>609408</v>
      </c>
      <c r="F24" s="582" t="s">
        <v>77</v>
      </c>
      <c r="G24" s="576"/>
      <c r="H24" s="576"/>
      <c r="I24" s="576"/>
      <c r="J24" s="576"/>
      <c r="K24" s="649"/>
      <c r="L24" s="650"/>
      <c r="N24" s="734"/>
      <c r="O24" s="777"/>
      <c r="P24" s="750"/>
      <c r="Q24" s="750"/>
      <c r="R24" s="750"/>
      <c r="S24" s="750"/>
      <c r="T24" s="750"/>
      <c r="U24" s="750"/>
      <c r="W24" s="772"/>
    </row>
    <row r="25" spans="3:23" ht="14.1" customHeight="1">
      <c r="C25" s="511" t="s">
        <v>334</v>
      </c>
      <c r="D25" s="497" t="s">
        <v>81</v>
      </c>
      <c r="E25" s="516">
        <v>632646</v>
      </c>
      <c r="F25" s="585" t="s">
        <v>46</v>
      </c>
      <c r="G25" s="586"/>
      <c r="H25" s="586" t="s">
        <v>38</v>
      </c>
      <c r="I25" s="586"/>
      <c r="J25" s="586" t="s">
        <v>50</v>
      </c>
      <c r="K25" s="565" t="s">
        <v>34</v>
      </c>
      <c r="L25" s="577"/>
      <c r="N25" s="734"/>
      <c r="O25" s="777"/>
      <c r="P25" s="750"/>
      <c r="Q25" s="750"/>
      <c r="R25" s="750"/>
      <c r="S25" s="750"/>
      <c r="T25" s="750"/>
      <c r="U25" s="750"/>
      <c r="W25" s="772"/>
    </row>
    <row r="26" spans="3:23" ht="14.1" customHeight="1">
      <c r="C26" s="511" t="s">
        <v>335</v>
      </c>
      <c r="D26" s="497" t="s">
        <v>82</v>
      </c>
      <c r="E26" s="517">
        <v>634491</v>
      </c>
      <c r="F26" s="587" t="s">
        <v>77</v>
      </c>
      <c r="G26" s="588"/>
      <c r="H26" s="588"/>
      <c r="I26" s="588"/>
      <c r="J26" s="588"/>
      <c r="K26" s="588"/>
      <c r="L26" s="579"/>
      <c r="N26" s="734"/>
      <c r="O26" s="777"/>
      <c r="P26" s="750"/>
      <c r="Q26" s="750"/>
      <c r="R26" s="750"/>
      <c r="S26" s="750"/>
      <c r="T26" s="750"/>
      <c r="U26" s="750"/>
      <c r="W26" s="772"/>
    </row>
    <row r="27" spans="3:23" ht="14.1" customHeight="1" thickBot="1">
      <c r="C27" s="518" t="s">
        <v>83</v>
      </c>
      <c r="D27" s="518" t="s">
        <v>336</v>
      </c>
      <c r="E27" s="519"/>
      <c r="F27" s="316"/>
      <c r="G27" s="378"/>
      <c r="H27" s="378"/>
      <c r="I27" s="378"/>
      <c r="J27" s="378"/>
      <c r="K27" s="378"/>
      <c r="L27" s="319"/>
      <c r="N27" s="773"/>
      <c r="O27" s="777"/>
      <c r="P27" s="750"/>
      <c r="Q27" s="750"/>
      <c r="R27" s="750"/>
      <c r="S27" s="750"/>
      <c r="T27" s="750"/>
      <c r="U27" s="750"/>
      <c r="W27" s="772"/>
    </row>
    <row r="28" spans="3:23" ht="14.1" customHeight="1">
      <c r="C28" s="497" t="s">
        <v>337</v>
      </c>
      <c r="D28" s="497" t="s">
        <v>84</v>
      </c>
      <c r="E28" s="502">
        <v>502961</v>
      </c>
      <c r="F28" s="575" t="s">
        <v>91</v>
      </c>
      <c r="G28" s="565" t="s">
        <v>92</v>
      </c>
      <c r="H28" s="565"/>
      <c r="I28" s="565"/>
      <c r="J28" s="565"/>
      <c r="K28" s="565"/>
      <c r="L28" s="577" t="s">
        <v>87</v>
      </c>
      <c r="N28" s="778" t="s">
        <v>338</v>
      </c>
      <c r="O28" s="781" t="str" cm="1">
        <f t="array" ref="O28">_xlfn.TEXTJOIN(CHAR(10),TRUE,_xlfn._xlws.FILTER($C7:$C185,RIGHT(F7:F185,LEN("SWA"))="SWA",""))</f>
        <v/>
      </c>
      <c r="P28" s="770" t="str" cm="1">
        <f t="array" ref="P28">_xlfn.TEXTJOIN(CHAR(10),TRUE,_xlfn._xlws.FILTER($C7:$C185,RIGHT(G7:G185,LEN("SWA"))="SWA",""))</f>
        <v>PATRICK SR</v>
      </c>
      <c r="Q28" s="770" t="str" cm="1">
        <f t="array" ref="Q28">_xlfn.TEXTJOIN(CHAR(10),TRUE,_xlfn._xlws.FILTER($C7:$C185,RIGHT(H7:H185,LEN("SWA"))="SWA",""))</f>
        <v>HEATHER CMO</v>
      </c>
      <c r="R28" s="770" t="str" cm="1">
        <f t="array" ref="R28">_xlfn.TEXTJOIN(CHAR(10),TRUE,_xlfn._xlws.FILTER($C7:$C185,RIGHT(I7:I185,LEN("SWA"))="SWA",""))</f>
        <v/>
      </c>
      <c r="S28" s="770" t="str" cm="1">
        <f t="array" ref="S28">_xlfn.TEXTJOIN(CHAR(10),TRUE,_xlfn._xlws.FILTER($C7:$C185,RIGHT(J7:J185,LEN("SWA"))="SWA",""))</f>
        <v>GIOVANA JR
SYLVIA JR</v>
      </c>
      <c r="T28" s="770" t="str" cm="1">
        <f t="array" ref="T28">_xlfn.TEXTJOIN(CHAR(10),TRUE,_xlfn._xlws.FILTER($C7:$C185,RIGHT(K7:K185,LEN("SWA"))="SWA",""))</f>
        <v/>
      </c>
      <c r="U28" s="771" t="str" cm="1">
        <f t="array" ref="U28">_xlfn.TEXTJOIN(CHAR(10),TRUE,_xlfn._xlws.FILTER($C7:$C185,RIGHT(L7:L185,LEN("SWA"))="SWA",""))</f>
        <v/>
      </c>
      <c r="V28" s="34" t="s">
        <v>339</v>
      </c>
      <c r="W28" s="772">
        <v>3</v>
      </c>
    </row>
    <row r="29" spans="3:23" ht="14.1" customHeight="1">
      <c r="C29" s="497" t="s">
        <v>340</v>
      </c>
      <c r="D29" s="497" t="s">
        <v>96</v>
      </c>
      <c r="E29" s="502">
        <v>601096</v>
      </c>
      <c r="F29" s="591" t="s">
        <v>492</v>
      </c>
      <c r="G29" s="578" t="s">
        <v>317</v>
      </c>
      <c r="H29" s="578" t="s">
        <v>492</v>
      </c>
      <c r="I29" s="578" t="s">
        <v>359</v>
      </c>
      <c r="J29" s="583"/>
      <c r="K29" s="565"/>
      <c r="L29" s="577"/>
      <c r="N29" s="779"/>
      <c r="O29" s="782"/>
      <c r="P29" s="740"/>
      <c r="Q29" s="740"/>
      <c r="R29" s="740"/>
      <c r="S29" s="740"/>
      <c r="T29" s="740"/>
      <c r="U29" s="764"/>
      <c r="W29" s="772"/>
    </row>
    <row r="30" spans="3:23" ht="14.1" customHeight="1" thickBot="1">
      <c r="C30" s="497" t="s">
        <v>341</v>
      </c>
      <c r="D30" s="497" t="s">
        <v>97</v>
      </c>
      <c r="E30" s="502">
        <v>260509</v>
      </c>
      <c r="F30" s="591" t="s">
        <v>342</v>
      </c>
      <c r="G30" s="565" t="s">
        <v>34</v>
      </c>
      <c r="H30" s="565" t="s">
        <v>50</v>
      </c>
      <c r="I30" s="565" t="s">
        <v>38</v>
      </c>
      <c r="J30" s="576"/>
      <c r="K30" s="576"/>
      <c r="L30" s="579"/>
      <c r="N30" s="780"/>
      <c r="O30" s="783"/>
      <c r="P30" s="741"/>
      <c r="Q30" s="741"/>
      <c r="R30" s="741"/>
      <c r="S30" s="741"/>
      <c r="T30" s="741"/>
      <c r="U30" s="765"/>
      <c r="W30" s="772"/>
    </row>
    <row r="31" spans="3:23" ht="14.1" customHeight="1" thickBot="1">
      <c r="C31" s="504" t="s">
        <v>343</v>
      </c>
      <c r="D31" s="504" t="s">
        <v>99</v>
      </c>
      <c r="E31" s="502">
        <v>603237</v>
      </c>
      <c r="F31" s="593" t="s">
        <v>98</v>
      </c>
      <c r="G31" s="593"/>
      <c r="H31" s="593"/>
      <c r="I31" s="593"/>
      <c r="J31" s="593"/>
      <c r="K31" s="593"/>
      <c r="L31" s="593"/>
      <c r="N31" s="101"/>
      <c r="O31" s="101"/>
      <c r="P31" s="101"/>
      <c r="Q31" s="101"/>
      <c r="R31" s="101"/>
      <c r="S31" s="101"/>
      <c r="T31" s="101"/>
      <c r="U31" s="101"/>
      <c r="V31" s="101"/>
      <c r="W31" s="101"/>
    </row>
    <row r="32" spans="3:23" ht="14.1" customHeight="1">
      <c r="C32" s="520" t="s">
        <v>344</v>
      </c>
      <c r="D32" s="520" t="s">
        <v>101</v>
      </c>
      <c r="E32" s="502">
        <v>613781</v>
      </c>
      <c r="F32" s="582"/>
      <c r="G32" s="565" t="s">
        <v>33</v>
      </c>
      <c r="H32" s="565" t="s">
        <v>35</v>
      </c>
      <c r="I32" s="576"/>
      <c r="J32" s="565" t="s">
        <v>40</v>
      </c>
      <c r="K32" s="590"/>
      <c r="L32" s="651"/>
      <c r="N32" s="103" t="s">
        <v>345</v>
      </c>
      <c r="O32" s="98" t="str">
        <f>F62</f>
        <v>REZA</v>
      </c>
      <c r="P32" s="98" t="str">
        <f>G62</f>
        <v>REZA</v>
      </c>
      <c r="Q32" s="98" t="str">
        <f t="shared" ref="Q32:S32" si="9">H62</f>
        <v>ARRHCHIE</v>
      </c>
      <c r="R32" s="98" t="str">
        <f t="shared" si="9"/>
        <v>REZA</v>
      </c>
      <c r="S32" s="98" t="str">
        <f t="shared" si="9"/>
        <v>ARRHCHIE</v>
      </c>
      <c r="T32" s="99"/>
      <c r="U32" s="100"/>
      <c r="W32" s="89"/>
    </row>
    <row r="33" spans="3:23" ht="14.1" customHeight="1" thickBot="1">
      <c r="C33" s="497" t="s">
        <v>346</v>
      </c>
      <c r="D33" s="497" t="s">
        <v>102</v>
      </c>
      <c r="E33" s="502">
        <v>611691</v>
      </c>
      <c r="F33" s="565"/>
      <c r="G33" s="578" t="s">
        <v>317</v>
      </c>
      <c r="H33" s="578" t="s">
        <v>359</v>
      </c>
      <c r="I33" s="565" t="s">
        <v>3</v>
      </c>
      <c r="J33" s="576" t="s">
        <v>2</v>
      </c>
      <c r="K33" s="565"/>
      <c r="L33" s="583" t="s">
        <v>1</v>
      </c>
      <c r="N33" s="874" t="s">
        <v>347</v>
      </c>
      <c r="O33" s="521" t="str" cm="1">
        <f t="array" ref="O33">_xlfn.TEXTJOIN(CHAR(10),TRUE,_xlfn._xlws.FILTER($C7:$C185,RIGHT(F7:F185,LEN("CSO"))="CSO",""))</f>
        <v>TARA K. SMS</v>
      </c>
      <c r="P33" s="875" t="str" cm="1">
        <f t="array" ref="P33">_xlfn.TEXTJOIN(CHAR(10),TRUE,_xlfn._xlws.FILTER($C7:$C185,RIGHT(G7:G185,LEN("CSO"))="CSO",""))</f>
        <v>PAIGE SMS</v>
      </c>
      <c r="Q33" s="875" t="str" cm="1">
        <f t="array" ref="Q33">_xlfn.TEXTJOIN(CHAR(10),TRUE,_xlfn._xlws.FILTER($C7:$C185,RIGHT(H7:H185,LEN("CSO"))="CSO",""))</f>
        <v>ANDRE SMS</v>
      </c>
      <c r="R33" s="875" t="str" cm="1">
        <f t="array" ref="R33">_xlfn.TEXTJOIN(CHAR(10),TRUE,_xlfn._xlws.FILTER($C7:$C185,RIGHT(I7:I185,LEN("CSO"))="CSO",""))</f>
        <v>QING SMS</v>
      </c>
      <c r="S33" s="875" t="str" cm="1">
        <f t="array" ref="S33">_xlfn.TEXTJOIN(CHAR(10),TRUE,_xlfn._xlws.FILTER($C7:$C185,RIGHT(J7:J185,LEN("CSO"))="CSO",""))</f>
        <v>TECWYN SMS</v>
      </c>
      <c r="T33" s="875"/>
      <c r="U33" s="876"/>
      <c r="W33" s="89"/>
    </row>
    <row r="34" spans="3:23" ht="14.1" customHeight="1" thickBot="1">
      <c r="C34" s="497" t="s">
        <v>348</v>
      </c>
      <c r="D34" s="504" t="s">
        <v>103</v>
      </c>
      <c r="E34" s="502">
        <v>634258</v>
      </c>
      <c r="F34" s="591" t="s">
        <v>490</v>
      </c>
      <c r="G34" s="565"/>
      <c r="H34" s="565" t="s">
        <v>33</v>
      </c>
      <c r="I34" s="565" t="s">
        <v>32</v>
      </c>
      <c r="J34" s="565"/>
      <c r="K34" s="565"/>
      <c r="L34" s="577"/>
      <c r="O34" s="89"/>
      <c r="W34" s="89"/>
    </row>
    <row r="35" spans="3:23" ht="14.1" customHeight="1" thickBot="1">
      <c r="C35" s="504" t="s">
        <v>349</v>
      </c>
      <c r="D35" s="504" t="s">
        <v>104</v>
      </c>
      <c r="E35" s="506">
        <v>618946</v>
      </c>
      <c r="F35" s="575" t="s">
        <v>33</v>
      </c>
      <c r="G35" s="565" t="s">
        <v>47</v>
      </c>
      <c r="H35" s="576"/>
      <c r="I35" s="565" t="s">
        <v>34</v>
      </c>
      <c r="J35" s="576"/>
      <c r="K35" s="565"/>
      <c r="L35" s="577"/>
      <c r="O35" s="784" t="s">
        <v>350</v>
      </c>
      <c r="P35" s="785"/>
      <c r="Q35" s="785"/>
      <c r="R35" s="785"/>
      <c r="S35" s="785"/>
      <c r="T35" s="785"/>
      <c r="U35" s="786"/>
      <c r="W35" s="89" t="s">
        <v>351</v>
      </c>
    </row>
    <row r="36" spans="3:23" ht="14.1" customHeight="1">
      <c r="C36" s="504" t="s">
        <v>352</v>
      </c>
      <c r="D36" s="504" t="s">
        <v>109</v>
      </c>
      <c r="E36" s="502">
        <v>634702</v>
      </c>
      <c r="F36" s="592" t="s">
        <v>98</v>
      </c>
      <c r="G36" s="593"/>
      <c r="H36" s="593"/>
      <c r="I36" s="593"/>
      <c r="J36" s="593"/>
      <c r="K36" s="593"/>
      <c r="L36" s="594"/>
      <c r="N36" s="104" t="s">
        <v>303</v>
      </c>
      <c r="O36" s="105" t="str">
        <f t="shared" ref="O36:U36" si="10">INDEX($C7:$L189,MATCH("*Pgc",F7:F192,0),1)</f>
        <v>AMY SMS</v>
      </c>
      <c r="P36" s="99" t="str">
        <f t="shared" si="10"/>
        <v>JACQUELINE SMS</v>
      </c>
      <c r="Q36" s="99" t="str">
        <f t="shared" si="10"/>
        <v>BARRY SMS</v>
      </c>
      <c r="R36" s="99" t="str">
        <f t="shared" si="10"/>
        <v>ANASTASIA SMS</v>
      </c>
      <c r="S36" s="99" t="str">
        <f t="shared" si="10"/>
        <v>MADDY SMS</v>
      </c>
      <c r="T36" s="99" t="str">
        <f t="shared" si="10"/>
        <v>DAVID SMS</v>
      </c>
      <c r="U36" s="100" t="str">
        <f t="shared" si="10"/>
        <v>QING SMS</v>
      </c>
      <c r="V36" s="34" t="s">
        <v>293</v>
      </c>
      <c r="W36" s="772">
        <v>5</v>
      </c>
    </row>
    <row r="37" spans="3:23" ht="14.1" customHeight="1">
      <c r="C37" s="78" t="s">
        <v>353</v>
      </c>
      <c r="D37" s="504" t="s">
        <v>110</v>
      </c>
      <c r="E37" s="498">
        <v>648587</v>
      </c>
      <c r="F37" s="572" t="s">
        <v>31</v>
      </c>
      <c r="G37" s="573"/>
      <c r="H37" s="573"/>
      <c r="I37" s="573"/>
      <c r="J37" s="573"/>
      <c r="K37" s="573"/>
      <c r="L37" s="574"/>
      <c r="N37" s="522" t="s">
        <v>305</v>
      </c>
      <c r="O37" s="523" t="str">
        <f t="shared" ref="O37:U37" si="11">INDEX($C7:$L189,MATCH("*PAC",F7:F191,0),1)</f>
        <v>JEREMY SMS</v>
      </c>
      <c r="P37" s="500" t="str">
        <f t="shared" si="11"/>
        <v>JACKIE SMS</v>
      </c>
      <c r="Q37" s="500" t="str">
        <f t="shared" si="11"/>
        <v>TECWYN SMS</v>
      </c>
      <c r="R37" s="500" t="str">
        <f t="shared" si="11"/>
        <v>ANDRE SMS</v>
      </c>
      <c r="S37" s="500" t="e">
        <f t="shared" si="11"/>
        <v>#N/A</v>
      </c>
      <c r="T37" s="500" t="str">
        <f t="shared" si="11"/>
        <v>SUHAIL SMS</v>
      </c>
      <c r="U37" s="501" t="str">
        <f t="shared" si="11"/>
        <v>DAVID SMS</v>
      </c>
      <c r="V37" s="34" t="s">
        <v>292</v>
      </c>
      <c r="W37" s="772"/>
    </row>
    <row r="38" spans="3:23" ht="14.1" customHeight="1">
      <c r="C38" s="78" t="s">
        <v>354</v>
      </c>
      <c r="D38" s="504" t="s">
        <v>111</v>
      </c>
      <c r="E38" s="498">
        <v>637933</v>
      </c>
      <c r="F38" s="581"/>
      <c r="G38" s="566" t="s">
        <v>33</v>
      </c>
      <c r="H38" s="566" t="s">
        <v>34</v>
      </c>
      <c r="I38" s="576"/>
      <c r="J38" s="566" t="s">
        <v>43</v>
      </c>
      <c r="K38" s="204"/>
      <c r="L38" s="598"/>
      <c r="N38" s="524" t="s">
        <v>307</v>
      </c>
      <c r="O38" s="523" t="str">
        <f t="shared" ref="O38:U38" si="12">INDEX($C7:$L189,MATCH("*PRC",F7:F192,0),1)</f>
        <v>PATRICK SR</v>
      </c>
      <c r="P38" s="500" t="str">
        <f t="shared" si="12"/>
        <v>TARA K. SMS</v>
      </c>
      <c r="Q38" s="500" t="str">
        <f t="shared" si="12"/>
        <v>STEPHEN G SMS</v>
      </c>
      <c r="R38" s="500" t="str">
        <f t="shared" si="12"/>
        <v>ABI SMS</v>
      </c>
      <c r="S38" s="500" t="str">
        <f t="shared" si="12"/>
        <v>NICOLA SMS</v>
      </c>
      <c r="T38" s="500" t="str">
        <f t="shared" si="12"/>
        <v>RICHARD SMS</v>
      </c>
      <c r="U38" s="501" t="str">
        <f t="shared" si="12"/>
        <v>RICHARD SMS</v>
      </c>
      <c r="V38" s="34" t="s">
        <v>291</v>
      </c>
      <c r="W38" s="772"/>
    </row>
    <row r="39" spans="3:23" ht="14.1" customHeight="1">
      <c r="C39" s="504" t="s">
        <v>355</v>
      </c>
      <c r="D39" s="504" t="s">
        <v>112</v>
      </c>
      <c r="E39" s="506">
        <v>634394</v>
      </c>
      <c r="F39" s="581" t="s">
        <v>33</v>
      </c>
      <c r="G39" s="66"/>
      <c r="H39" s="566" t="s">
        <v>40</v>
      </c>
      <c r="I39" s="576"/>
      <c r="J39" s="566" t="s">
        <v>46</v>
      </c>
      <c r="K39" s="576"/>
      <c r="L39" s="579"/>
      <c r="N39" s="525" t="s">
        <v>309</v>
      </c>
      <c r="O39" s="523" t="str">
        <f t="shared" ref="O39:U39" si="13">INDEX($C7:$L189,MATCH("*PSSC",F7:F192,0),1)</f>
        <v>RAMI SMS</v>
      </c>
      <c r="P39" s="500" t="str">
        <f t="shared" si="13"/>
        <v>ANDRE SMS</v>
      </c>
      <c r="Q39" s="500" t="str">
        <f t="shared" si="13"/>
        <v>DANIEL SMS</v>
      </c>
      <c r="R39" s="500" t="str">
        <f t="shared" si="13"/>
        <v>SCOTT SMS</v>
      </c>
      <c r="S39" s="500" t="e">
        <f t="shared" si="13"/>
        <v>#N/A</v>
      </c>
      <c r="T39" s="500" t="str">
        <f t="shared" si="13"/>
        <v>TECWYN SMS</v>
      </c>
      <c r="U39" s="501" t="str">
        <f t="shared" si="13"/>
        <v>JAMES SMS</v>
      </c>
      <c r="V39" s="34" t="s">
        <v>295</v>
      </c>
      <c r="W39" s="772"/>
    </row>
    <row r="40" spans="3:23" ht="14.1" customHeight="1">
      <c r="C40" s="497" t="s">
        <v>356</v>
      </c>
      <c r="D40" s="526" t="s">
        <v>113</v>
      </c>
      <c r="E40" s="502">
        <v>605686</v>
      </c>
      <c r="F40" s="599" t="s">
        <v>490</v>
      </c>
      <c r="G40" s="600"/>
      <c r="H40" s="601" t="s">
        <v>33</v>
      </c>
      <c r="I40" s="600" t="s">
        <v>47</v>
      </c>
      <c r="J40" s="610"/>
      <c r="K40" s="610"/>
      <c r="L40" s="652"/>
      <c r="N40" s="527" t="s">
        <v>357</v>
      </c>
      <c r="O40" s="523" t="str">
        <f t="shared" ref="O40:U40" si="14">INDEX($C7:$L215,MATCH("*PCC*",F7:F203,0),1)</f>
        <v>TECWYN SMS</v>
      </c>
      <c r="P40" s="500" t="str">
        <f t="shared" si="14"/>
        <v>ERICA SMS</v>
      </c>
      <c r="Q40" s="500" t="str">
        <f>INDEX($C7:$L215,MATCH("*PCC*",H7:H200,0),1)</f>
        <v>STEVE T SMS</v>
      </c>
      <c r="R40" s="500" t="str">
        <f t="shared" si="14"/>
        <v>DIANA SMS</v>
      </c>
      <c r="S40" s="500" t="str">
        <f t="shared" si="14"/>
        <v>YAN SMS</v>
      </c>
      <c r="T40" s="500" t="e">
        <f t="shared" si="14"/>
        <v>#N/A</v>
      </c>
      <c r="U40" s="501" t="e">
        <f t="shared" si="14"/>
        <v>#N/A</v>
      </c>
      <c r="V40" s="34" t="s">
        <v>294</v>
      </c>
      <c r="W40" s="772"/>
    </row>
    <row r="41" spans="3:23" ht="14.1" customHeight="1">
      <c r="C41" s="79" t="s">
        <v>358</v>
      </c>
      <c r="D41" s="497" t="s">
        <v>114</v>
      </c>
      <c r="E41" s="502">
        <v>119385</v>
      </c>
      <c r="F41" s="595" t="s">
        <v>30</v>
      </c>
      <c r="G41" s="596"/>
      <c r="H41" s="596"/>
      <c r="I41" s="596"/>
      <c r="J41" s="596"/>
      <c r="K41" s="596"/>
      <c r="L41" s="597"/>
      <c r="N41" s="789" t="s">
        <v>360</v>
      </c>
      <c r="O41" s="787" t="str" cm="1">
        <f t="array" ref="O41">_xlfn.TEXTJOIN(CHAR(10),TRUE,IF(F7:F111="1430-0000 PFC",$C7:$C111,""),IF(F7:F111="1400-0000 PFC",$C7:$C111,""),IF(F7:F111="1430-0000",$C7:$C111,""))</f>
        <v>MILES SR
ISOBEL JR
SYLVIA JR
KELLY JR</v>
      </c>
      <c r="P41" s="750" t="str" cm="1">
        <f t="array" ref="P41">_xlfn.TEXTJOIN(CHAR(10),TRUE,IF(G7:G111="1430-0000 PFC",$C7:$C111,""),IF(G7:G111="1400-0000 PFC",$C7:$C111,""),IF(G7:G111="1430-0000",$C7:$C111,""))</f>
        <v>MILES SR
RACHEL JR
KELLY JR</v>
      </c>
      <c r="Q41" s="750" t="str" cm="1">
        <f t="array" ref="Q41">_xlfn.TEXTJOIN(CHAR(10),TRUE,IF(H7:H111="1430-0000 PFC",$C7:$C111,""),IF(H7:H111="1400-0000 PFC",$C7:$C111,""),IF(H7:H111="1430-0000",$C7:$C111,""))</f>
        <v>MIKHAR IR
ISOBEL JR</v>
      </c>
      <c r="R41" s="750" t="str" cm="1">
        <f t="array" ref="R41">_xlfn.TEXTJOIN(CHAR(10),TRUE,IF(I7:I111="1430-0000 PFC",$C7:$C111,""),IF(I7:I111="1400-0000 PFC",$C7:$C111,""),IF(I7:I111="1430-0000",$C7:$C111,""))</f>
        <v>PATRICK SR
MIKHAR IR
GIOVANA JR
ISOBEL JR</v>
      </c>
      <c r="S41" s="750" t="str" cm="1">
        <f t="array" ref="S41">_xlfn.TEXTJOIN(CHAR(10),TRUE,IF(J7:J111="1430-0000 PFC",$C7:$C111,""),IF(J7:J111="1400-0000 PFC",$C7:$C111,""),IF(J7:J111="1430-0000",$C7:$C111,""))</f>
        <v>PATRICK SR
MILES SR</v>
      </c>
      <c r="T41" s="750" t="str" cm="1">
        <f t="array" ref="T41">_xlfn.TEXTJOIN(CHAR(10),TRUE,IF(K7:K111="1430-0000 PFC",$C7:$C111,""),IF(K7:K111="1400-0000 PFC",$C7:$C111,""),IF(K7:K111="1430-0000",$C7:$C111,""))</f>
        <v>DENNIS SR
GIOVANA JR</v>
      </c>
      <c r="U41" s="788" t="str" cm="1">
        <f t="array" ref="U41">_xlfn.TEXTJOIN(CHAR(10),TRUE,IF(L7:L111="1430-0000 PFC",$C7:$C111,""),IF(L7:L111="1400-0000 PFC",$C7:$C111,""),IF(L7:L111="1430-0000",$C7:$C111,""))</f>
        <v>DENNIS SR
CHRISTINA JR</v>
      </c>
      <c r="W41" s="772">
        <v>7</v>
      </c>
    </row>
    <row r="42" spans="3:23" ht="14.1" customHeight="1">
      <c r="C42" s="504" t="s">
        <v>361</v>
      </c>
      <c r="D42" s="504" t="s">
        <v>116</v>
      </c>
      <c r="E42" s="502">
        <v>623962</v>
      </c>
      <c r="F42" s="575"/>
      <c r="G42" s="65"/>
      <c r="H42" s="65"/>
      <c r="I42" s="575" t="s">
        <v>40</v>
      </c>
      <c r="J42" s="565"/>
      <c r="K42" s="565"/>
      <c r="L42" s="565" t="s">
        <v>40</v>
      </c>
      <c r="N42" s="790"/>
      <c r="O42" s="787"/>
      <c r="P42" s="750"/>
      <c r="Q42" s="750"/>
      <c r="R42" s="750"/>
      <c r="S42" s="750"/>
      <c r="T42" s="750"/>
      <c r="U42" s="788"/>
      <c r="W42" s="772"/>
    </row>
    <row r="43" spans="3:23" ht="14.1" customHeight="1">
      <c r="C43" s="497" t="s">
        <v>362</v>
      </c>
      <c r="D43" s="504" t="s">
        <v>117</v>
      </c>
      <c r="E43" s="508">
        <v>613725</v>
      </c>
      <c r="F43" s="576"/>
      <c r="G43" s="565" t="s">
        <v>50</v>
      </c>
      <c r="H43" s="565"/>
      <c r="I43" s="565"/>
      <c r="J43" s="565" t="s">
        <v>32</v>
      </c>
      <c r="K43" s="565"/>
      <c r="L43" s="577"/>
      <c r="N43" s="790"/>
      <c r="O43" s="787"/>
      <c r="P43" s="750"/>
      <c r="Q43" s="750"/>
      <c r="R43" s="750"/>
      <c r="S43" s="750"/>
      <c r="T43" s="750"/>
      <c r="U43" s="788"/>
      <c r="W43" s="772"/>
    </row>
    <row r="44" spans="3:23" ht="14.1" customHeight="1">
      <c r="C44" s="497" t="s">
        <v>363</v>
      </c>
      <c r="D44" s="504" t="s">
        <v>118</v>
      </c>
      <c r="E44" s="516">
        <v>612264</v>
      </c>
      <c r="F44" s="575"/>
      <c r="G44" s="565"/>
      <c r="H44" s="565"/>
      <c r="I44" s="565"/>
      <c r="J44" s="565"/>
      <c r="K44" s="565" t="s">
        <v>40</v>
      </c>
      <c r="L44" s="577" t="s">
        <v>43</v>
      </c>
      <c r="N44" s="790"/>
      <c r="O44" s="787"/>
      <c r="P44" s="750"/>
      <c r="Q44" s="750"/>
      <c r="R44" s="750"/>
      <c r="S44" s="750"/>
      <c r="T44" s="750"/>
      <c r="U44" s="788"/>
      <c r="W44" s="772"/>
    </row>
    <row r="45" spans="3:23" ht="14.1" customHeight="1">
      <c r="C45" s="497" t="s">
        <v>364</v>
      </c>
      <c r="D45" s="497" t="s">
        <v>119</v>
      </c>
      <c r="E45" s="502">
        <v>643950</v>
      </c>
      <c r="F45" s="575" t="s">
        <v>33</v>
      </c>
      <c r="G45" s="576"/>
      <c r="H45" s="565" t="s">
        <v>43</v>
      </c>
      <c r="I45" s="576"/>
      <c r="J45" s="576"/>
      <c r="K45" s="565"/>
      <c r="L45" s="577"/>
      <c r="N45" s="790"/>
      <c r="O45" s="787"/>
      <c r="P45" s="750"/>
      <c r="Q45" s="750"/>
      <c r="R45" s="750"/>
      <c r="S45" s="750"/>
      <c r="T45" s="750"/>
      <c r="U45" s="788"/>
      <c r="W45" s="772"/>
    </row>
    <row r="46" spans="3:23" ht="14.1" customHeight="1">
      <c r="C46" s="79" t="s">
        <v>365</v>
      </c>
      <c r="D46" s="723" t="s">
        <v>120</v>
      </c>
      <c r="E46" s="502">
        <v>618881</v>
      </c>
      <c r="F46" s="592" t="s">
        <v>121</v>
      </c>
      <c r="G46" s="593"/>
      <c r="H46" s="593"/>
      <c r="I46" s="593"/>
      <c r="J46" s="593"/>
      <c r="K46" s="593"/>
      <c r="L46" s="574"/>
      <c r="N46" s="790"/>
      <c r="O46" s="787"/>
      <c r="P46" s="750"/>
      <c r="Q46" s="750"/>
      <c r="R46" s="750"/>
      <c r="S46" s="750"/>
      <c r="T46" s="750"/>
      <c r="U46" s="788"/>
      <c r="W46" s="772"/>
    </row>
    <row r="47" spans="3:23" ht="14.1" customHeight="1">
      <c r="C47" s="497" t="s">
        <v>366</v>
      </c>
      <c r="D47" s="497" t="s">
        <v>122</v>
      </c>
      <c r="E47" s="508">
        <v>141658</v>
      </c>
      <c r="F47" s="572" t="s">
        <v>31</v>
      </c>
      <c r="G47" s="573"/>
      <c r="H47" s="573"/>
      <c r="I47" s="573"/>
      <c r="J47" s="573"/>
      <c r="K47" s="573"/>
      <c r="L47" s="574"/>
      <c r="N47" s="791"/>
      <c r="O47" s="787"/>
      <c r="P47" s="750"/>
      <c r="Q47" s="750"/>
      <c r="R47" s="750"/>
      <c r="S47" s="750"/>
      <c r="T47" s="750"/>
      <c r="U47" s="788"/>
      <c r="W47" s="101"/>
    </row>
    <row r="48" spans="3:23" ht="14.1" customHeight="1">
      <c r="C48" s="511" t="s">
        <v>367</v>
      </c>
      <c r="D48" s="504" t="s">
        <v>123</v>
      </c>
      <c r="E48" s="516">
        <v>654004</v>
      </c>
      <c r="F48" s="565" t="s">
        <v>34</v>
      </c>
      <c r="G48" s="565"/>
      <c r="H48" s="565"/>
      <c r="I48" s="565" t="s">
        <v>33</v>
      </c>
      <c r="J48" s="576"/>
      <c r="K48" s="565"/>
      <c r="L48" s="577"/>
      <c r="N48" s="528" t="s">
        <v>368</v>
      </c>
      <c r="O48" s="523" t="e">
        <f t="shared" ref="O48:U48" si="15">INDEX($C7:$L189,MATCH("*PHJ*",F7:F192,0),1)</f>
        <v>#N/A</v>
      </c>
      <c r="P48" s="500" t="str">
        <f t="shared" si="15"/>
        <v>SYLVIA JR</v>
      </c>
      <c r="Q48" s="500" t="str">
        <f t="shared" si="15"/>
        <v>POH JR</v>
      </c>
      <c r="R48" s="500" t="str">
        <f t="shared" si="15"/>
        <v>SUBARNA JR</v>
      </c>
      <c r="S48" s="500" t="e">
        <f t="shared" si="15"/>
        <v>#N/A</v>
      </c>
      <c r="T48" s="500" t="str">
        <f t="shared" si="15"/>
        <v>CHRISTINA JR</v>
      </c>
      <c r="U48" s="501" t="e">
        <f t="shared" si="15"/>
        <v>#N/A</v>
      </c>
      <c r="V48" s="34" t="s">
        <v>369</v>
      </c>
      <c r="W48" s="89">
        <v>1</v>
      </c>
    </row>
    <row r="49" spans="3:23" ht="14.1" customHeight="1">
      <c r="C49" s="511" t="s">
        <v>370</v>
      </c>
      <c r="D49" s="504" t="s">
        <v>124</v>
      </c>
      <c r="E49" s="516">
        <v>655191</v>
      </c>
      <c r="F49" s="575" t="s">
        <v>40</v>
      </c>
      <c r="G49" s="565"/>
      <c r="H49" s="565" t="s">
        <v>36</v>
      </c>
      <c r="I49" s="565"/>
      <c r="J49" s="576"/>
      <c r="K49" s="565"/>
      <c r="L49" s="577"/>
      <c r="N49" s="792" t="s">
        <v>325</v>
      </c>
      <c r="O49" s="787" t="str" cm="1">
        <f t="array" ref="O49">_xlfn.TEXTJOIN(CHAR(10),TRUE,_xlfn._xlws.FILTER($C7:$C185,RIGHT(F7:F185,LEN("pSSJ"))="pSSJ",""))</f>
        <v>PHILLIP HMO</v>
      </c>
      <c r="P49" s="750" t="str" cm="1">
        <f t="array" ref="P49">_xlfn.TEXTJOIN(CHAR(10),TRUE,_xlfn._xlws.FILTER($C7:$C185,RIGHT(G7:G185,LEN("pSSJ"))="pSSJ",""))</f>
        <v>FADIA HMO</v>
      </c>
      <c r="Q49" s="750" t="str" cm="1">
        <f t="array" ref="Q49">_xlfn.TEXTJOIN(CHAR(10),TRUE,_xlfn._xlws.FILTER($C7:$C185,RIGHT(H7:H185,LEN("pSSJ"))="pSSJ",""))</f>
        <v>WILL HMO</v>
      </c>
      <c r="R49" s="750" t="str" cm="1">
        <f t="array" ref="R49">_xlfn.TEXTJOIN(CHAR(10),TRUE,_xlfn._xlws.FILTER($C7:$C185,RIGHT(I7:I185,LEN("pSSJ"))="pSSJ",""))</f>
        <v/>
      </c>
      <c r="S49" s="750" t="str" cm="1">
        <f t="array" ref="S49">_xlfn.TEXTJOIN(CHAR(10),TRUE,_xlfn._xlws.FILTER($C7:$C185,RIGHT(J7:J185,LEN("pSSJ"))="pSSJ",""))</f>
        <v>BRENDAN HMO</v>
      </c>
      <c r="T49" s="750" t="str" cm="1">
        <f t="array" ref="T49">_xlfn.TEXTJOIN(CHAR(10),TRUE,_xlfn._xlws.FILTER($C7:$C185,RIGHT(K7:K185,LEN("pSSJ"))="pSSJ",""))</f>
        <v>MILOS HMO</v>
      </c>
      <c r="U49" s="788" t="str" cm="1">
        <f t="array" ref="U49">_xlfn.TEXTJOIN(CHAR(10),TRUE,_xlfn._xlws.FILTER($C7:$C185,RIGHT(L7:L185,LEN("pSSJ"))="pSSJ",""))</f>
        <v>MASON HMO</v>
      </c>
      <c r="V49" s="34" t="s">
        <v>372</v>
      </c>
      <c r="W49" s="772">
        <v>2</v>
      </c>
    </row>
    <row r="50" spans="3:23" ht="14.1" customHeight="1">
      <c r="C50" s="511" t="s">
        <v>373</v>
      </c>
      <c r="D50" s="504" t="s">
        <v>126</v>
      </c>
      <c r="E50" s="516">
        <v>653055</v>
      </c>
      <c r="F50" s="611" t="s">
        <v>50</v>
      </c>
      <c r="G50" s="75" t="s">
        <v>35</v>
      </c>
      <c r="H50" s="75"/>
      <c r="I50" s="576"/>
      <c r="J50" s="600"/>
      <c r="K50" s="204"/>
      <c r="L50" s="613"/>
      <c r="N50" s="792"/>
      <c r="O50" s="787"/>
      <c r="P50" s="750"/>
      <c r="Q50" s="750"/>
      <c r="R50" s="750"/>
      <c r="S50" s="750"/>
      <c r="T50" s="750"/>
      <c r="U50" s="788"/>
      <c r="W50" s="772"/>
    </row>
    <row r="51" spans="3:23" ht="14.1" customHeight="1">
      <c r="C51" s="497" t="s">
        <v>374</v>
      </c>
      <c r="D51" s="340" t="s">
        <v>128</v>
      </c>
      <c r="E51" s="502">
        <v>650059</v>
      </c>
      <c r="F51" s="611" t="s">
        <v>38</v>
      </c>
      <c r="G51" s="610"/>
      <c r="H51" s="610"/>
      <c r="I51" s="600" t="s">
        <v>41</v>
      </c>
      <c r="J51" s="600"/>
      <c r="K51" s="600"/>
      <c r="L51" s="603"/>
      <c r="N51" s="733" t="s">
        <v>330</v>
      </c>
      <c r="O51" s="736" t="str" cm="1">
        <f t="array" ref="O51">_xlfn.TEXTJOIN(CHAR(10),TRUE,IF(F112:F185="1430-0000",$C112:$C185,""))</f>
        <v>AARON N. HMO
FADIA HMO
HARRISON HMO
Daniel INT</v>
      </c>
      <c r="P51" s="739" t="str" cm="1">
        <f t="array" ref="P51">_xlfn.TEXTJOIN(CHAR(10),TRUE,IF(G112:G185="1430-0000",$C112:$C185,""))</f>
        <v>BRIANNA HMO
AARON B. HMO
AARON N. HMO
PHILLIP HMO
WILL HMO
Arushi INT
Arooj INT
Daniel INT</v>
      </c>
      <c r="Q51" s="739" t="str" cm="1">
        <f t="array" ref="Q51">_xlfn.TEXTJOIN(CHAR(10),TRUE,IF(H112:H185="1430-0000",$C112:$C185,""))</f>
        <v>BRIANNA HMO
ZOBIA HMO
PHILLIP HMO
MIKEY HMO
MARYAM HMO
Arooj INT
Sarah C. INT</v>
      </c>
      <c r="R51" s="739" t="str" cm="1">
        <f t="array" ref="R51">_xlfn.TEXTJOIN(CHAR(10),TRUE,IF(I112:I185="1430-0000",$C112:$C185,""))</f>
        <v>CHRIS HMO
MARYAM HMO
Arooj INT
Roxana INT</v>
      </c>
      <c r="S51" s="739" t="str" cm="1">
        <f t="array" ref="S51">_xlfn.TEXTJOIN(CHAR(10),TRUE,IF(J112:J185="1430-0000",$C112:$C185,""))</f>
        <v>MILOS HMO
AARON N. HMO
LISA HMO
MIKEY HMO
Arooj INT
Roxana INT</v>
      </c>
      <c r="T51" s="739" t="str" cm="1">
        <f t="array" ref="T51">_xlfn.TEXTJOIN(CHAR(10),TRUE,IF(K112:K185="1430-0000",$C112:$C185,""))</f>
        <v>MASON HMO
TRAM HMO
WATHSALA HMO
Arushi INT
Daniel INT</v>
      </c>
      <c r="U51" s="763" t="str" cm="1">
        <f t="array" ref="U51">_xlfn.TEXTJOIN(CHAR(10),TRUE,IF(L112:L185="1430-0000",$C112:$C185,""))</f>
        <v>BRIANNA HMO
MILOS HMO
TRAM HMO
MIKEY HMO
Arushi INT
Elliott INT</v>
      </c>
      <c r="W51" s="772">
        <v>8</v>
      </c>
    </row>
    <row r="52" spans="3:23" ht="14.1" customHeight="1">
      <c r="C52" s="497" t="s">
        <v>375</v>
      </c>
      <c r="D52" s="340" t="s">
        <v>129</v>
      </c>
      <c r="E52" s="502">
        <v>703067</v>
      </c>
      <c r="F52" s="611" t="s">
        <v>37</v>
      </c>
      <c r="G52" s="600" t="s">
        <v>36</v>
      </c>
      <c r="H52" s="612"/>
      <c r="I52" s="600"/>
      <c r="J52" s="610"/>
      <c r="K52" s="610"/>
      <c r="L52" s="652"/>
      <c r="N52" s="734"/>
      <c r="O52" s="737"/>
      <c r="P52" s="740"/>
      <c r="Q52" s="740"/>
      <c r="R52" s="740"/>
      <c r="S52" s="740"/>
      <c r="T52" s="740"/>
      <c r="U52" s="764"/>
      <c r="W52" s="772"/>
    </row>
    <row r="53" spans="3:23" ht="14.1" customHeight="1">
      <c r="C53" s="497" t="s">
        <v>376</v>
      </c>
      <c r="D53" s="340" t="s">
        <v>132</v>
      </c>
      <c r="E53" s="502">
        <v>703495</v>
      </c>
      <c r="F53" s="611"/>
      <c r="G53" s="600"/>
      <c r="H53" s="601"/>
      <c r="I53" s="610"/>
      <c r="J53" s="600" t="s">
        <v>37</v>
      </c>
      <c r="K53" s="600" t="s">
        <v>38</v>
      </c>
      <c r="L53" s="603"/>
      <c r="N53" s="734"/>
      <c r="O53" s="737"/>
      <c r="P53" s="740"/>
      <c r="Q53" s="740"/>
      <c r="R53" s="740"/>
      <c r="S53" s="740"/>
      <c r="T53" s="740"/>
      <c r="U53" s="764"/>
      <c r="W53" s="772"/>
    </row>
    <row r="54" spans="3:23" ht="14.1" customHeight="1">
      <c r="C54" s="504" t="s">
        <v>377</v>
      </c>
      <c r="D54" s="504" t="s">
        <v>133</v>
      </c>
      <c r="E54" s="502">
        <v>578275</v>
      </c>
      <c r="F54" s="581"/>
      <c r="G54" s="566"/>
      <c r="H54" s="566" t="s">
        <v>134</v>
      </c>
      <c r="I54" s="566"/>
      <c r="J54" s="566"/>
      <c r="K54" s="566"/>
      <c r="L54" s="598"/>
      <c r="N54" s="734"/>
      <c r="O54" s="737"/>
      <c r="P54" s="740"/>
      <c r="Q54" s="740"/>
      <c r="R54" s="740"/>
      <c r="S54" s="740"/>
      <c r="T54" s="740"/>
      <c r="U54" s="764"/>
      <c r="W54" s="772"/>
    </row>
    <row r="55" spans="3:23" ht="14.1" customHeight="1">
      <c r="C55" s="504" t="s">
        <v>378</v>
      </c>
      <c r="D55" s="497" t="s">
        <v>135</v>
      </c>
      <c r="E55" s="502">
        <v>644237</v>
      </c>
      <c r="F55" s="569" t="s">
        <v>28</v>
      </c>
      <c r="G55" s="570"/>
      <c r="H55" s="570"/>
      <c r="I55" s="570"/>
      <c r="J55" s="570"/>
      <c r="K55" s="570"/>
      <c r="L55" s="571"/>
      <c r="N55" s="734"/>
      <c r="O55" s="737"/>
      <c r="P55" s="740"/>
      <c r="Q55" s="740"/>
      <c r="R55" s="740"/>
      <c r="S55" s="740"/>
      <c r="T55" s="740"/>
      <c r="U55" s="764"/>
      <c r="W55" s="772"/>
    </row>
    <row r="56" spans="3:23" ht="14.1" customHeight="1">
      <c r="C56" s="497" t="s">
        <v>379</v>
      </c>
      <c r="D56" s="504" t="s">
        <v>136</v>
      </c>
      <c r="E56" s="502">
        <v>634259</v>
      </c>
      <c r="F56" s="575"/>
      <c r="G56" s="565"/>
      <c r="H56" s="565"/>
      <c r="I56" s="565"/>
      <c r="J56" s="565"/>
      <c r="K56" s="565" t="s">
        <v>43</v>
      </c>
      <c r="L56" s="577"/>
      <c r="N56" s="734"/>
      <c r="O56" s="737"/>
      <c r="P56" s="740"/>
      <c r="Q56" s="740"/>
      <c r="R56" s="740"/>
      <c r="S56" s="740"/>
      <c r="T56" s="740"/>
      <c r="U56" s="764"/>
      <c r="W56" s="772"/>
    </row>
    <row r="57" spans="3:23" ht="14.1" customHeight="1">
      <c r="C57" s="497" t="s">
        <v>380</v>
      </c>
      <c r="D57" s="526" t="s">
        <v>137</v>
      </c>
      <c r="E57" s="502">
        <v>418439</v>
      </c>
      <c r="F57" s="611"/>
      <c r="G57" s="75"/>
      <c r="H57" s="75" t="s">
        <v>32</v>
      </c>
      <c r="I57" s="75"/>
      <c r="J57" s="600"/>
      <c r="K57" s="610"/>
      <c r="L57" s="609"/>
      <c r="N57" s="734"/>
      <c r="O57" s="737"/>
      <c r="P57" s="740"/>
      <c r="Q57" s="740"/>
      <c r="R57" s="740"/>
      <c r="S57" s="740"/>
      <c r="T57" s="740"/>
      <c r="U57" s="764"/>
      <c r="W57" s="772"/>
    </row>
    <row r="58" spans="3:23" ht="14.1" customHeight="1" thickBot="1">
      <c r="C58" s="511" t="s">
        <v>381</v>
      </c>
      <c r="D58" s="526" t="s">
        <v>138</v>
      </c>
      <c r="E58" s="498">
        <v>650974</v>
      </c>
      <c r="F58" s="575" t="s">
        <v>36</v>
      </c>
      <c r="G58" s="576"/>
      <c r="H58" s="583" t="s">
        <v>65</v>
      </c>
      <c r="I58" s="203"/>
      <c r="J58" s="576"/>
      <c r="K58" s="576"/>
      <c r="L58" s="579"/>
      <c r="N58" s="735"/>
      <c r="O58" s="738"/>
      <c r="P58" s="741"/>
      <c r="Q58" s="741"/>
      <c r="R58" s="741"/>
      <c r="S58" s="741"/>
      <c r="T58" s="741"/>
      <c r="U58" s="765"/>
      <c r="W58" s="772"/>
    </row>
    <row r="59" spans="3:23" ht="14.1" customHeight="1">
      <c r="C59" s="511" t="s">
        <v>382</v>
      </c>
      <c r="D59" s="526" t="s">
        <v>383</v>
      </c>
      <c r="E59" s="498">
        <v>541888</v>
      </c>
      <c r="F59" s="211"/>
      <c r="G59" s="225"/>
      <c r="H59" s="244"/>
      <c r="I59" s="245" t="s">
        <v>41</v>
      </c>
      <c r="J59" s="225"/>
      <c r="K59" s="576"/>
      <c r="L59" s="579"/>
      <c r="N59" s="239"/>
      <c r="O59" s="241"/>
      <c r="P59" s="240"/>
      <c r="Q59" s="240"/>
      <c r="R59" s="240"/>
      <c r="S59" s="240"/>
      <c r="T59" s="240"/>
      <c r="U59" s="242"/>
      <c r="W59" s="89"/>
    </row>
    <row r="60" spans="3:23" ht="14.1" customHeight="1">
      <c r="C60" s="530"/>
      <c r="D60" s="514"/>
      <c r="E60" s="515"/>
      <c r="F60" s="211"/>
      <c r="G60" s="62"/>
      <c r="H60" s="62"/>
      <c r="I60" s="62"/>
      <c r="J60" s="62"/>
      <c r="K60" s="565"/>
      <c r="L60" s="577"/>
      <c r="N60" s="742" t="s">
        <v>384</v>
      </c>
      <c r="O60" s="745" t="str" cm="1">
        <f t="array" ref="O60">_xlfn.TEXTJOIN(CHAR(10),TRUE,_xlfn._xlws.FILTER($C7:$C185,RIGHT(F7:F185,LEN("SWP"))="SWP",""))</f>
        <v/>
      </c>
      <c r="P60" s="747" t="str" cm="1">
        <f t="array" ref="P60">_xlfn.TEXTJOIN(CHAR(10),TRUE,_xlfn._xlws.FILTER($C7:$C185,RIGHT(G7:G185,LEN("SWP"))="SWP",""))</f>
        <v/>
      </c>
      <c r="Q60" s="747" t="str" cm="1">
        <f t="array" ref="Q60">_xlfn.TEXTJOIN(CHAR(10),TRUE,_xlfn._xlws.FILTER($C7:$C185,RIGHT(H7:H185,LEN("SWP"))="SWP",""))</f>
        <v/>
      </c>
      <c r="R60" s="747" t="str" cm="1">
        <f t="array" ref="R60">_xlfn.TEXTJOIN(CHAR(10),TRUE,_xlfn._xlws.FILTER($C7:$C185,RIGHT(I7:I185,LEN("SWP"))="SWP",""))</f>
        <v>POH JR</v>
      </c>
      <c r="S60" s="747" t="str" cm="1">
        <f t="array" ref="S60">_xlfn.TEXTJOIN(CHAR(10),TRUE,_xlfn._xlws.FILTER($C7:$C185,RIGHT(J7:J185,LEN("SWP"))="SWP",""))</f>
        <v>CHRISTOPHER JR
ISOBEL JR</v>
      </c>
      <c r="T60" s="747" t="str" cm="1">
        <f t="array" ref="T60">_xlfn.TEXTJOIN(CHAR(10),TRUE,_xlfn._xlws.FILTER($C7:$C185,RIGHT(K7:K185,LEN("SWP"))="SWP",""))</f>
        <v/>
      </c>
      <c r="U60" s="766" t="str" cm="1">
        <f t="array" ref="U60">_xlfn.TEXTJOIN(CHAR(10),TRUE,_xlfn._xlws.FILTER($C7:$C185,RIGHT(L7:L185,LEN("SWP"))="SWP",""))</f>
        <v/>
      </c>
      <c r="V60" s="34" t="s">
        <v>385</v>
      </c>
      <c r="W60" s="89">
        <v>4</v>
      </c>
    </row>
    <row r="61" spans="3:23" ht="14.1" customHeight="1">
      <c r="C61" s="531"/>
      <c r="D61" s="532"/>
      <c r="E61" s="533"/>
      <c r="F61" s="211"/>
      <c r="G61" s="62"/>
      <c r="H61" s="62"/>
      <c r="I61" s="62"/>
      <c r="J61" s="62"/>
      <c r="K61" s="565"/>
      <c r="L61" s="577"/>
      <c r="N61" s="743"/>
      <c r="O61" s="746"/>
      <c r="P61" s="748"/>
      <c r="Q61" s="748"/>
      <c r="R61" s="748"/>
      <c r="S61" s="748"/>
      <c r="T61" s="748"/>
      <c r="U61" s="767"/>
      <c r="W61" s="89"/>
    </row>
    <row r="62" spans="3:23" ht="14.1" customHeight="1">
      <c r="C62" s="530" t="s">
        <v>345</v>
      </c>
      <c r="D62" s="530" t="s">
        <v>345</v>
      </c>
      <c r="E62" s="534"/>
      <c r="F62" s="205" t="s">
        <v>142</v>
      </c>
      <c r="G62" s="614" t="s">
        <v>142</v>
      </c>
      <c r="H62" s="614" t="s">
        <v>494</v>
      </c>
      <c r="I62" s="614" t="s">
        <v>142</v>
      </c>
      <c r="J62" s="614" t="s">
        <v>494</v>
      </c>
      <c r="K62" s="62"/>
      <c r="L62" s="67"/>
      <c r="N62" s="743"/>
      <c r="O62" s="746"/>
      <c r="P62" s="748"/>
      <c r="Q62" s="748"/>
      <c r="R62" s="748"/>
      <c r="S62" s="748"/>
      <c r="T62" s="748"/>
      <c r="U62" s="767"/>
      <c r="W62" s="89"/>
    </row>
    <row r="63" spans="3:23" ht="14.1" customHeight="1" thickBot="1">
      <c r="C63" s="31"/>
      <c r="D63" s="31"/>
      <c r="E63" s="534"/>
      <c r="F63" s="28"/>
      <c r="G63" s="29"/>
      <c r="H63" s="29"/>
      <c r="I63" s="29"/>
      <c r="J63" s="29"/>
      <c r="K63" s="29"/>
      <c r="L63" s="30"/>
      <c r="N63" s="744"/>
      <c r="O63" s="877"/>
      <c r="P63" s="878"/>
      <c r="Q63" s="878"/>
      <c r="R63" s="878"/>
      <c r="S63" s="878"/>
      <c r="T63" s="878"/>
      <c r="U63" s="879"/>
      <c r="W63" s="89"/>
    </row>
    <row r="64" spans="3:23" ht="14.1" customHeight="1" thickBot="1">
      <c r="C64" s="63"/>
      <c r="D64" s="411" t="s">
        <v>145</v>
      </c>
      <c r="E64" s="534"/>
      <c r="F64" s="565">
        <f>COUNTIF(F7:F61,"0800-*")+COUNTIF(F7:F61,"0730-*")-COUNTIF(F7:F61,"*0800-1730 CS*")-COUNTIF(F7:F61,"*0800-1730 PHNW*")-COUNTIF(F7:F61,"*0800-1730 DEMT*")-COUNTIF(F7:F61,"*0800-1730 EXAM*")-COUNTIF(F7:F61,"*0800-1800 CS*")-COUNTIF(F7:F61,"*0800-1800 PHNW*")</f>
        <v>5</v>
      </c>
      <c r="G64" s="565">
        <f>COUNTIF(G7:G61,"0800-*")+COUNTIF(G7:G61,"0730-*")-COUNTIF(G7:G61,"*0800-1730 CS*")-COUNTIF(G7:G61,"*0800-1730 PHNW*")-COUNTIF(G7:G61,"*0800-1730 DEMT*")-COUNTIF(G7:G61,"*0800-1730 EXAM*")-COUNTIF(G7:G61,"*0800-1800 CS*")-COUNTIF(G7:G61,"*0800-1800 PHNW*")</f>
        <v>4</v>
      </c>
      <c r="H64" s="565">
        <f>COUNTIF(H7:H61,"0800-*")+COUNTIF(H7:H61,"0730-*")-COUNTIF(H7:H61,"*0800-1730 CS*")-COUNTIF(H7:H61,"*0800-1730 PHNW*")-COUNTIF(H7:H61,"*0800-1730 DEMT*")-COUNTIF(H7:H61,"*0800-1730 EXAM*")-COUNTIF(H7:H61,"*0800-1800 CS*")-COUNTIF(H7:H61,"*0800-1800 PHNW*")</f>
        <v>6</v>
      </c>
      <c r="I64" s="565">
        <f>COUNTIF(I7:I61,"0800-*")+COUNTIF(I7:I61,"0730-*")-COUNTIF(I7:I61,"*0800-1730 CS*")-COUNTIF(I7:I61,"*0800-1730 PHNW*")-COUNTIF(I7:I61,"*0800-1730 DEMT*")-COUNTIF(I7:I61,"*0800-1730 EXAM*")-COUNTIF(I7:I61,"*0800-1800 CS*")-COUNTIF(I7:I61,"*0800-1800 PHNW*")</f>
        <v>6</v>
      </c>
      <c r="J64" s="565">
        <f>COUNTIF(J7:J61,"0800-*")+COUNTIF(J7:J61,"0730-*")-COUNTIF(J7:J61,"*0800-1730 CS*")-COUNTIF(J7:J61,"*0800-1730 PHNW*")-COUNTIF(J7:J61,"*0800-1730 DEMT*")-COUNTIF(J7:J61,"*0800-1730 EXAM*")-COUNTIF(J7:J61,"*0800-1800 CS*")-COUNTIF(J7:J61,"*0800-1800 PHNW*")</f>
        <v>6</v>
      </c>
      <c r="K64" s="565">
        <f>COUNTIF(K7:K61,"0800-*")+COUNTIF(K7:K61,"0730-*")</f>
        <v>4</v>
      </c>
      <c r="L64" s="577">
        <f>COUNTIF(L7:L61,"0800-*")+COUNTIF(L7:L61,"0730-*")</f>
        <v>4</v>
      </c>
      <c r="N64" s="106"/>
      <c r="O64" s="34"/>
      <c r="P64" s="34"/>
      <c r="Q64" s="34"/>
      <c r="R64" s="34"/>
      <c r="S64" s="34"/>
      <c r="T64" s="34"/>
      <c r="U64" s="34"/>
      <c r="W64" s="89"/>
    </row>
    <row r="65" spans="3:23" ht="14.1" customHeight="1" thickBot="1">
      <c r="C65" s="535"/>
      <c r="D65" s="411" t="s">
        <v>146</v>
      </c>
      <c r="E65" s="534"/>
      <c r="F65" s="575">
        <f t="shared" ref="F65:L65" si="16">COUNTIF(F7:F62,"*0000*")</f>
        <v>4</v>
      </c>
      <c r="G65" s="565">
        <f t="shared" si="16"/>
        <v>5</v>
      </c>
      <c r="H65" s="565">
        <f t="shared" si="16"/>
        <v>5</v>
      </c>
      <c r="I65" s="565">
        <f t="shared" si="16"/>
        <v>5</v>
      </c>
      <c r="J65" s="565">
        <f t="shared" si="16"/>
        <v>3</v>
      </c>
      <c r="K65" s="565">
        <f t="shared" si="16"/>
        <v>4</v>
      </c>
      <c r="L65" s="577">
        <f t="shared" si="16"/>
        <v>4</v>
      </c>
      <c r="N65" s="106"/>
      <c r="O65" s="796" t="s">
        <v>388</v>
      </c>
      <c r="P65" s="797"/>
      <c r="Q65" s="797"/>
      <c r="R65" s="797"/>
      <c r="S65" s="797"/>
      <c r="T65" s="797"/>
      <c r="U65" s="798"/>
      <c r="W65" s="89" t="s">
        <v>389</v>
      </c>
    </row>
    <row r="66" spans="3:23" ht="14.1" customHeight="1">
      <c r="C66" s="407" t="s">
        <v>147</v>
      </c>
      <c r="D66" s="407" t="s">
        <v>147</v>
      </c>
      <c r="E66" s="534"/>
      <c r="F66" s="408"/>
      <c r="G66" s="409"/>
      <c r="H66" s="409"/>
      <c r="I66" s="409"/>
      <c r="J66" s="409"/>
      <c r="K66" s="409"/>
      <c r="L66" s="410"/>
      <c r="N66" s="104" t="s">
        <v>390</v>
      </c>
      <c r="O66" s="107" t="str">
        <f t="shared" ref="O66:U66" si="17">INDEX($C7:$L189,MATCH("*N1*",F7:F192,0),1)</f>
        <v>ANA CMO</v>
      </c>
      <c r="P66" s="108" t="str">
        <f t="shared" si="17"/>
        <v>ANA CMO</v>
      </c>
      <c r="Q66" s="108" t="str">
        <f t="shared" si="17"/>
        <v>MARK SR</v>
      </c>
      <c r="R66" s="108" t="str">
        <f t="shared" si="17"/>
        <v>MARK SR</v>
      </c>
      <c r="S66" s="108" t="str">
        <f t="shared" si="17"/>
        <v>MARK SR</v>
      </c>
      <c r="T66" s="108" t="str">
        <f t="shared" si="17"/>
        <v>ANA CMO</v>
      </c>
      <c r="U66" s="109" t="str">
        <f t="shared" si="17"/>
        <v>ANA CMO</v>
      </c>
      <c r="V66" s="89"/>
      <c r="W66" s="106">
        <v>1</v>
      </c>
    </row>
    <row r="67" spans="3:23" ht="14.1" customHeight="1">
      <c r="C67" s="411" t="s">
        <v>391</v>
      </c>
      <c r="D67" s="411" t="s">
        <v>148</v>
      </c>
      <c r="E67" s="536">
        <v>609268</v>
      </c>
      <c r="F67" s="592" t="s">
        <v>31</v>
      </c>
      <c r="G67" s="593"/>
      <c r="H67" s="593"/>
      <c r="I67" s="593"/>
      <c r="J67" s="593"/>
      <c r="K67" s="593"/>
      <c r="L67" s="574"/>
      <c r="N67" s="749" t="s">
        <v>392</v>
      </c>
      <c r="O67" s="746" t="str" cm="1">
        <f t="array" ref="O67">_xlfn.TEXTJOIN(CHAR(10),TRUE,IF(F7:F185="2300-0900",$C7:$C185,""),IF(F7:F185="2300-0830",$C7:$C185,""))</f>
        <v>GIOVANA JR
JESSICA JR
ANKUSH HMO
MILOS HMO
Filip INT</v>
      </c>
      <c r="P67" s="748" t="str" cm="1">
        <f t="array" ref="P67">_xlfn.TEXTJOIN(CHAR(10),TRUE,IF(G7:G185="2300-0900",$C7:$C185,""),IF(G7:G185="2300-0830",$C7:$C185,""))</f>
        <v>JESSICA JR
PAUL JR
TRAM HMO
Ann INT</v>
      </c>
      <c r="Q67" s="748" t="str" cm="1">
        <f t="array" ref="Q67">_xlfn.TEXTJOIN(CHAR(10),TRUE,IF(H7:H185="2300-0900",$C7:$C185,""),IF(H7:H185="2300-0830",$C7:$C185,""))</f>
        <v>JESSICA JR
PAUL JR
HARRISON HMO
NATALIE HMO
Ann INT</v>
      </c>
      <c r="R67" s="748" t="str" cm="1">
        <f t="array" ref="R67">_xlfn.TEXTJOIN(CHAR(10),TRUE,IF(I7:I185="2300-0900",$C7:$C185,""),IF(I7:I185="2300-0830",$C7:$C185,""))</f>
        <v>PAUL JR
JEROME JR
WILL HMO
NATALIE HMO
Ann INT</v>
      </c>
      <c r="S67" s="748" t="str" cm="1">
        <f t="array" ref="S67">_xlfn.TEXTJOIN(CHAR(10),TRUE,IF(J7:J185="2300-0900",$C7:$C185,""),IF(J7:J185="2300-0830",$C7:$C185,""))</f>
        <v>CLARA JR
JEROME JR
WILL HMO
SHARON HMO
Sarah C. INT</v>
      </c>
      <c r="T67" s="748" t="str" cm="1">
        <f t="array" ref="T67">_xlfn.TEXTJOIN(CHAR(10),TRUE,IF(K7:K185="2300-0900",$C7:$C185,""),IF(K7:K185="2300-0830",$C7:$C185,""))</f>
        <v>CLARA JR
JEROME JR
AARON G. HMO
AREEBA HMO
SHARON HMO
Sarah C. INT</v>
      </c>
      <c r="U67" s="767" t="str" cm="1">
        <f t="array" ref="U67">_xlfn.TEXTJOIN(CHAR(10),TRUE,IF(L7:L185="2300-0900",$C7:$C185,""),IF(L7:L185="2300-0830",$C7:$C185,""))</f>
        <v>CLARA JR
JEROME JR
ANKUSH HMO
Sarah C. INT</v>
      </c>
      <c r="W67" s="89">
        <v>9</v>
      </c>
    </row>
    <row r="68" spans="3:23" ht="14.1" customHeight="1">
      <c r="C68" s="411" t="s">
        <v>393</v>
      </c>
      <c r="D68" s="411" t="s">
        <v>152</v>
      </c>
      <c r="E68" s="537">
        <v>517752</v>
      </c>
      <c r="F68" s="575"/>
      <c r="G68" s="565"/>
      <c r="H68" s="565" t="s">
        <v>153</v>
      </c>
      <c r="I68" s="565"/>
      <c r="J68" s="565"/>
      <c r="K68" s="565" t="s">
        <v>91</v>
      </c>
      <c r="L68" s="577"/>
      <c r="N68" s="749"/>
      <c r="O68" s="746"/>
      <c r="P68" s="748"/>
      <c r="Q68" s="748"/>
      <c r="R68" s="748"/>
      <c r="S68" s="748"/>
      <c r="T68" s="748"/>
      <c r="U68" s="767"/>
      <c r="W68" s="89"/>
    </row>
    <row r="69" spans="3:23" ht="14.1" customHeight="1">
      <c r="C69" s="411" t="s">
        <v>394</v>
      </c>
      <c r="D69" s="411" t="s">
        <v>154</v>
      </c>
      <c r="E69" s="537">
        <v>609129</v>
      </c>
      <c r="F69" s="589"/>
      <c r="G69" s="590"/>
      <c r="H69" s="578" t="s">
        <v>317</v>
      </c>
      <c r="I69" s="590"/>
      <c r="J69" s="590"/>
      <c r="K69" s="565"/>
      <c r="L69" s="577" t="s">
        <v>91</v>
      </c>
      <c r="N69" s="749"/>
      <c r="O69" s="746"/>
      <c r="P69" s="748"/>
      <c r="Q69" s="748"/>
      <c r="R69" s="748"/>
      <c r="S69" s="748"/>
      <c r="T69" s="748"/>
      <c r="U69" s="767"/>
      <c r="W69" s="89"/>
    </row>
    <row r="70" spans="3:23" ht="14.1" customHeight="1">
      <c r="C70" s="411" t="s">
        <v>395</v>
      </c>
      <c r="D70" s="538" t="s">
        <v>156</v>
      </c>
      <c r="E70" s="539">
        <v>636554</v>
      </c>
      <c r="F70" s="575"/>
      <c r="G70" s="565"/>
      <c r="H70" s="565" t="s">
        <v>149</v>
      </c>
      <c r="I70" s="565"/>
      <c r="J70" s="565"/>
      <c r="K70" s="565"/>
      <c r="L70" s="577"/>
      <c r="N70" s="749"/>
      <c r="O70" s="746"/>
      <c r="P70" s="748"/>
      <c r="Q70" s="748"/>
      <c r="R70" s="748"/>
      <c r="S70" s="748"/>
      <c r="T70" s="748"/>
      <c r="U70" s="767"/>
      <c r="W70" s="89"/>
    </row>
    <row r="71" spans="3:23" ht="14.1" customHeight="1" thickBot="1">
      <c r="C71" s="880"/>
      <c r="D71" s="49"/>
      <c r="E71" s="534"/>
      <c r="F71" s="575"/>
      <c r="G71" s="565"/>
      <c r="H71" s="565"/>
      <c r="I71" s="565"/>
      <c r="J71" s="565"/>
      <c r="K71" s="565"/>
      <c r="L71" s="577"/>
      <c r="N71" s="749"/>
      <c r="O71" s="746"/>
      <c r="P71" s="748"/>
      <c r="Q71" s="748"/>
      <c r="R71" s="748"/>
      <c r="S71" s="748"/>
      <c r="T71" s="748"/>
      <c r="U71" s="767"/>
      <c r="W71" s="89"/>
    </row>
    <row r="72" spans="3:23" ht="14.1" customHeight="1">
      <c r="C72" s="724" t="s">
        <v>157</v>
      </c>
      <c r="D72" s="540" t="s">
        <v>157</v>
      </c>
      <c r="E72" s="54"/>
      <c r="F72" s="413"/>
      <c r="G72" s="414"/>
      <c r="H72" s="414"/>
      <c r="I72" s="414"/>
      <c r="J72" s="414"/>
      <c r="K72" s="414"/>
      <c r="L72" s="415"/>
      <c r="N72" s="749"/>
      <c r="O72" s="746"/>
      <c r="P72" s="748"/>
      <c r="Q72" s="748"/>
      <c r="R72" s="748"/>
      <c r="S72" s="748"/>
      <c r="T72" s="748"/>
      <c r="U72" s="767"/>
      <c r="W72" s="89"/>
    </row>
    <row r="73" spans="3:23" ht="14.1" customHeight="1">
      <c r="C73" s="541" t="s">
        <v>396</v>
      </c>
      <c r="D73" s="182" t="s">
        <v>159</v>
      </c>
      <c r="E73" s="615">
        <v>628440</v>
      </c>
      <c r="F73" s="618" t="s">
        <v>35</v>
      </c>
      <c r="G73" s="624" t="s">
        <v>163</v>
      </c>
      <c r="H73" s="618"/>
      <c r="I73" s="618" t="s">
        <v>150</v>
      </c>
      <c r="J73" s="618" t="s">
        <v>150</v>
      </c>
      <c r="K73" s="619"/>
      <c r="L73" s="617"/>
      <c r="N73" s="749"/>
      <c r="O73" s="746"/>
      <c r="P73" s="748"/>
      <c r="Q73" s="748"/>
      <c r="R73" s="748"/>
      <c r="S73" s="748"/>
      <c r="T73" s="748"/>
      <c r="U73" s="767"/>
      <c r="W73" s="89"/>
    </row>
    <row r="74" spans="3:23" ht="14.1" customHeight="1">
      <c r="C74" s="541" t="s">
        <v>397</v>
      </c>
      <c r="D74" s="183" t="s">
        <v>164</v>
      </c>
      <c r="E74" s="615">
        <v>653976</v>
      </c>
      <c r="F74" s="618" t="s">
        <v>150</v>
      </c>
      <c r="G74" s="618" t="s">
        <v>150</v>
      </c>
      <c r="H74" s="618"/>
      <c r="I74" s="618" t="s">
        <v>149</v>
      </c>
      <c r="J74" s="618" t="s">
        <v>150</v>
      </c>
      <c r="K74" s="617"/>
      <c r="L74" s="617"/>
      <c r="N74" s="749"/>
      <c r="O74" s="746"/>
      <c r="P74" s="748"/>
      <c r="Q74" s="748"/>
      <c r="R74" s="748"/>
      <c r="S74" s="748"/>
      <c r="T74" s="748"/>
      <c r="U74" s="767"/>
      <c r="W74" s="89"/>
    </row>
    <row r="75" spans="3:23" ht="14.1" customHeight="1">
      <c r="C75" s="85" t="s">
        <v>398</v>
      </c>
      <c r="D75" s="184" t="s">
        <v>166</v>
      </c>
      <c r="E75" s="615">
        <v>654362</v>
      </c>
      <c r="F75" s="618"/>
      <c r="G75" s="618"/>
      <c r="H75" s="618"/>
      <c r="I75" s="618" t="s">
        <v>149</v>
      </c>
      <c r="J75" s="618" t="s">
        <v>149</v>
      </c>
      <c r="K75" s="618" t="s">
        <v>150</v>
      </c>
      <c r="L75" s="618" t="s">
        <v>150</v>
      </c>
      <c r="N75" s="749"/>
      <c r="O75" s="746"/>
      <c r="P75" s="748"/>
      <c r="Q75" s="748"/>
      <c r="R75" s="748"/>
      <c r="S75" s="748"/>
      <c r="T75" s="748"/>
      <c r="U75" s="767"/>
      <c r="W75" s="89"/>
    </row>
    <row r="76" spans="3:23" ht="14.1" customHeight="1">
      <c r="C76" s="69" t="s">
        <v>399</v>
      </c>
      <c r="D76" s="184" t="s">
        <v>168</v>
      </c>
      <c r="E76" s="615">
        <v>615829</v>
      </c>
      <c r="F76" s="619"/>
      <c r="G76" s="617"/>
      <c r="H76" s="618" t="s">
        <v>161</v>
      </c>
      <c r="I76" s="618" t="s">
        <v>161</v>
      </c>
      <c r="J76" s="618" t="s">
        <v>161</v>
      </c>
      <c r="K76" s="620"/>
      <c r="L76" s="617"/>
      <c r="N76" s="528" t="s">
        <v>368</v>
      </c>
      <c r="O76" s="523" t="str">
        <f t="shared" ref="O76:U76" si="18">INDEX($C10:$L191,MATCH("*NHJ*",F10:F194,0),1)</f>
        <v>BRENDAN HMO</v>
      </c>
      <c r="P76" s="500" t="str">
        <f t="shared" si="18"/>
        <v>HARRISON HMO</v>
      </c>
      <c r="Q76" s="500" t="str">
        <f t="shared" si="18"/>
        <v>WATHSALA HMO</v>
      </c>
      <c r="R76" s="500" t="str">
        <f t="shared" si="18"/>
        <v>FADIA HMO</v>
      </c>
      <c r="S76" s="500" t="str">
        <f t="shared" si="18"/>
        <v>AREEBA HMO</v>
      </c>
      <c r="T76" s="500" t="str">
        <f t="shared" si="18"/>
        <v>ANKUSH HMO</v>
      </c>
      <c r="U76" s="501" t="str">
        <f t="shared" si="18"/>
        <v>AARON G. HMO</v>
      </c>
      <c r="V76" s="34" t="s">
        <v>400</v>
      </c>
      <c r="W76" s="89">
        <v>1</v>
      </c>
    </row>
    <row r="77" spans="3:23" ht="14.1" customHeight="1">
      <c r="C77" s="541" t="s">
        <v>401</v>
      </c>
      <c r="D77" s="841" t="s">
        <v>170</v>
      </c>
      <c r="E77" s="615">
        <v>619567</v>
      </c>
      <c r="F77" s="621" t="s">
        <v>31</v>
      </c>
      <c r="G77" s="621"/>
      <c r="H77" s="621"/>
      <c r="I77" s="621"/>
      <c r="J77" s="621"/>
      <c r="K77" s="621"/>
      <c r="L77" s="621"/>
      <c r="N77" s="768" t="s">
        <v>325</v>
      </c>
      <c r="O77" s="787" t="str" cm="1">
        <f t="array" ref="O77">_xlfn.TEXTJOIN(CHAR(10),TRUE,_xlfn._xlws.FILTER($C7:$C185,RIGHT(F7:F185,LEN("nSSJ"))="nSSJ",""))</f>
        <v>JOSHUA IR
MASON HMO</v>
      </c>
      <c r="P77" s="750" t="str" cm="1">
        <f t="array" ref="P77">_xlfn.TEXTJOIN(CHAR(10),TRUE,_xlfn._xlws.FILTER($C7:$C185,RIGHT(G7:G185,LEN("nSSJ"))="nSSJ",""))</f>
        <v>JOSHUA IR
WATHSALA HMO</v>
      </c>
      <c r="Q77" s="750" t="str" cm="1">
        <f t="array" ref="Q77">_xlfn.TEXTJOIN(CHAR(10),TRUE,_xlfn._xlws.FILTER($C7:$C185,RIGHT(H7:H185,LEN("nSSJ"))="nSSJ",""))</f>
        <v>JOSHUA IR
FADIA HMO</v>
      </c>
      <c r="R77" s="750" t="str" cm="1">
        <f t="array" ref="R77">_xlfn.TEXTJOIN(CHAR(10),TRUE,_xlfn._xlws.FILTER($C7:$C185,RIGHT(I7:I185,LEN("nSSJ"))="nSSJ",""))</f>
        <v>JOSHUA IR
HARRISON HMO</v>
      </c>
      <c r="S77" s="750" t="str" cm="1">
        <f t="array" ref="S77">_xlfn.TEXTJOIN(CHAR(10),TRUE,_xlfn._xlws.FILTER($C7:$C185,RIGHT(J7:J185,LEN("nSSJ"))="nSSJ",""))</f>
        <v>SHIV IR
AARON G. HMO</v>
      </c>
      <c r="T77" s="750" t="str" cm="1">
        <f t="array" ref="T77">_xlfn.TEXTJOIN(CHAR(10),TRUE,_xlfn._xlws.FILTER($C7:$C185,RIGHT(K7:K185,LEN("nSSJ"))="nSSJ",""))</f>
        <v>SHIV IR</v>
      </c>
      <c r="U77" s="788" t="str" cm="1">
        <f t="array" ref="U77">_xlfn.TEXTJOIN(CHAR(10),TRUE,_xlfn._xlws.FILTER($C7:$C185,RIGHT(L7:L185,LEN("nSSJ"))="nSSJ",""))</f>
        <v>SHIV IR
AREEBA HMO</v>
      </c>
      <c r="V77" s="34" t="s">
        <v>402</v>
      </c>
      <c r="W77" s="89">
        <v>2</v>
      </c>
    </row>
    <row r="78" spans="3:23" ht="14.1" customHeight="1" thickBot="1">
      <c r="C78" s="543" t="s">
        <v>403</v>
      </c>
      <c r="D78" s="183" t="s">
        <v>171</v>
      </c>
      <c r="E78" s="615">
        <v>626157</v>
      </c>
      <c r="F78" s="618" t="s">
        <v>149</v>
      </c>
      <c r="G78" s="618" t="s">
        <v>149</v>
      </c>
      <c r="H78" s="617"/>
      <c r="I78" s="617"/>
      <c r="J78" s="618"/>
      <c r="K78" s="617"/>
      <c r="L78" s="619"/>
      <c r="N78" s="769"/>
      <c r="O78" s="864"/>
      <c r="P78" s="865"/>
      <c r="Q78" s="865"/>
      <c r="R78" s="865"/>
      <c r="S78" s="865"/>
      <c r="T78" s="865"/>
      <c r="U78" s="866"/>
      <c r="W78" s="89"/>
    </row>
    <row r="79" spans="3:23" ht="14.1" customHeight="1" thickBot="1">
      <c r="C79" s="69" t="s">
        <v>405</v>
      </c>
      <c r="D79" s="185" t="s">
        <v>173</v>
      </c>
      <c r="E79" s="615">
        <v>645122</v>
      </c>
      <c r="F79" s="619"/>
      <c r="G79" s="617"/>
      <c r="H79" s="622"/>
      <c r="I79" s="619"/>
      <c r="J79" s="619"/>
      <c r="K79" s="616" t="s">
        <v>317</v>
      </c>
      <c r="L79" s="616" t="s">
        <v>317</v>
      </c>
      <c r="N79" s="867" t="s">
        <v>406</v>
      </c>
      <c r="O79" s="110" t="str">
        <f t="shared" ref="O79:U79" si="19">INDEX($C7:$L189,MATCH("*PRC",F7:F192,0),1)</f>
        <v>PATRICK SR</v>
      </c>
      <c r="P79" s="111" t="str">
        <f t="shared" si="19"/>
        <v>TARA K. SMS</v>
      </c>
      <c r="Q79" s="111" t="str">
        <f t="shared" si="19"/>
        <v>STEPHEN G SMS</v>
      </c>
      <c r="R79" s="111" t="str">
        <f t="shared" si="19"/>
        <v>ABI SMS</v>
      </c>
      <c r="S79" s="111" t="str">
        <f t="shared" si="19"/>
        <v>NICOLA SMS</v>
      </c>
      <c r="T79" s="111" t="str">
        <f t="shared" si="19"/>
        <v>RICHARD SMS</v>
      </c>
      <c r="U79" s="111" t="str">
        <f t="shared" si="19"/>
        <v>RICHARD SMS</v>
      </c>
      <c r="W79" s="89"/>
    </row>
    <row r="80" spans="3:23" ht="14.1" customHeight="1" thickBot="1">
      <c r="C80" s="543" t="s">
        <v>407</v>
      </c>
      <c r="D80" s="186" t="s">
        <v>174</v>
      </c>
      <c r="E80" s="615">
        <v>615820</v>
      </c>
      <c r="F80" s="623"/>
      <c r="G80" s="623"/>
      <c r="H80" s="623"/>
      <c r="I80" s="623"/>
      <c r="J80" s="623"/>
      <c r="K80" s="623"/>
      <c r="L80" s="623"/>
      <c r="N80" s="106"/>
      <c r="O80" s="89"/>
      <c r="T80" s="843" t="str">
        <f>INDEX($C7:$L190,MATCH("*PGC",K7:K193,0),1)</f>
        <v>DAVID SMS</v>
      </c>
      <c r="U80" s="844" t="str">
        <f>INDEX($C8:$L190,MATCH("*PGC",L8:L193,0),1)</f>
        <v>QING SMS</v>
      </c>
    </row>
    <row r="81" spans="3:22" ht="14.1" customHeight="1">
      <c r="C81" s="541" t="s">
        <v>408</v>
      </c>
      <c r="D81" s="544" t="s">
        <v>175</v>
      </c>
      <c r="E81" s="615">
        <v>624174</v>
      </c>
      <c r="F81" s="618" t="s">
        <v>161</v>
      </c>
      <c r="G81" s="618" t="s">
        <v>161</v>
      </c>
      <c r="H81" s="622"/>
      <c r="I81" s="626"/>
      <c r="J81" s="626"/>
      <c r="K81" s="618" t="s">
        <v>161</v>
      </c>
      <c r="L81" s="618" t="s">
        <v>161</v>
      </c>
      <c r="O81" s="89"/>
      <c r="V81" s="89"/>
    </row>
    <row r="82" spans="3:22" ht="14.1" customHeight="1">
      <c r="C82" s="543"/>
      <c r="D82" s="545"/>
      <c r="E82" s="625"/>
      <c r="F82" s="618"/>
      <c r="G82" s="618"/>
      <c r="H82" s="617"/>
      <c r="I82" s="619"/>
      <c r="J82" s="619"/>
      <c r="K82" s="618"/>
      <c r="L82" s="618"/>
      <c r="O82" s="89"/>
      <c r="V82" s="89"/>
    </row>
    <row r="83" spans="3:22" ht="14.1" customHeight="1">
      <c r="C83" s="728" t="s">
        <v>176</v>
      </c>
      <c r="D83" s="728" t="s">
        <v>176</v>
      </c>
      <c r="E83" s="198"/>
      <c r="F83" s="305"/>
      <c r="G83" s="305"/>
      <c r="H83" s="305"/>
      <c r="I83" s="305"/>
      <c r="J83" s="305"/>
      <c r="K83" s="305"/>
      <c r="L83" s="305"/>
      <c r="O83" s="89"/>
      <c r="V83" s="89"/>
    </row>
    <row r="84" spans="3:22" ht="14.1" customHeight="1">
      <c r="C84" s="411" t="s">
        <v>409</v>
      </c>
      <c r="D84" s="546" t="s">
        <v>177</v>
      </c>
      <c r="E84" s="615">
        <v>637990</v>
      </c>
      <c r="F84" s="618"/>
      <c r="G84" s="565"/>
      <c r="H84" s="616" t="s">
        <v>115</v>
      </c>
      <c r="I84" s="618"/>
      <c r="J84" s="618" t="s">
        <v>149</v>
      </c>
      <c r="K84" s="618" t="s">
        <v>149</v>
      </c>
      <c r="L84" s="618" t="s">
        <v>149</v>
      </c>
      <c r="O84" s="89"/>
      <c r="V84" s="89"/>
    </row>
    <row r="85" spans="3:22" ht="14.1" customHeight="1">
      <c r="C85" s="86" t="s">
        <v>410</v>
      </c>
      <c r="D85" s="184" t="s">
        <v>179</v>
      </c>
      <c r="E85" s="615">
        <v>652867</v>
      </c>
      <c r="F85" s="618" t="s">
        <v>178</v>
      </c>
      <c r="G85" s="565" t="s">
        <v>178</v>
      </c>
      <c r="H85" s="565" t="s">
        <v>178</v>
      </c>
      <c r="I85" s="565" t="s">
        <v>178</v>
      </c>
      <c r="J85" s="617"/>
      <c r="K85" s="617"/>
      <c r="L85" s="617"/>
      <c r="O85" s="89"/>
      <c r="V85" s="89"/>
    </row>
    <row r="86" spans="3:22" ht="14.1" customHeight="1">
      <c r="C86" s="543" t="s">
        <v>411</v>
      </c>
      <c r="D86" s="547" t="s">
        <v>180</v>
      </c>
      <c r="E86" s="615">
        <v>638831</v>
      </c>
      <c r="F86" s="618"/>
      <c r="G86" s="618"/>
      <c r="H86" s="618" t="s">
        <v>150</v>
      </c>
      <c r="I86" s="618" t="s">
        <v>150</v>
      </c>
      <c r="J86" s="622"/>
      <c r="K86" s="626"/>
      <c r="L86" s="626"/>
      <c r="O86" s="89"/>
      <c r="V86" s="89"/>
    </row>
    <row r="87" spans="3:22" ht="14.1" customHeight="1">
      <c r="C87" s="411" t="s">
        <v>412</v>
      </c>
      <c r="D87" s="548" t="s">
        <v>182</v>
      </c>
      <c r="E87" s="615">
        <v>631314</v>
      </c>
      <c r="F87" s="619"/>
      <c r="G87" s="619"/>
      <c r="H87" s="620"/>
      <c r="I87" s="620"/>
      <c r="J87" s="620"/>
      <c r="K87" s="616" t="s">
        <v>490</v>
      </c>
      <c r="L87" s="616" t="s">
        <v>490</v>
      </c>
      <c r="O87" s="89"/>
      <c r="V87" s="89"/>
    </row>
    <row r="88" spans="3:22" ht="14.1" customHeight="1">
      <c r="C88" s="69" t="s">
        <v>414</v>
      </c>
      <c r="D88" s="548" t="s">
        <v>185</v>
      </c>
      <c r="E88" s="615">
        <v>631732</v>
      </c>
      <c r="F88" s="619"/>
      <c r="G88" s="626"/>
      <c r="H88" s="619"/>
      <c r="I88" s="619"/>
      <c r="J88" s="565" t="s">
        <v>178</v>
      </c>
      <c r="K88" s="565" t="s">
        <v>178</v>
      </c>
      <c r="L88" s="565" t="s">
        <v>178</v>
      </c>
      <c r="O88" s="89"/>
      <c r="V88" s="89"/>
    </row>
    <row r="89" spans="3:22" ht="14.1" customHeight="1">
      <c r="C89" s="541" t="s">
        <v>415</v>
      </c>
      <c r="D89" s="549" t="s">
        <v>186</v>
      </c>
      <c r="E89" s="615">
        <v>634876</v>
      </c>
      <c r="F89" s="620"/>
      <c r="G89" s="620"/>
      <c r="H89" s="617"/>
      <c r="I89" s="622"/>
      <c r="J89" s="619"/>
      <c r="K89" s="620"/>
      <c r="L89" s="620"/>
      <c r="O89" s="89"/>
      <c r="V89" s="89"/>
    </row>
    <row r="90" spans="3:22" ht="14.1" customHeight="1">
      <c r="C90" s="541"/>
      <c r="D90" s="187"/>
      <c r="E90" s="199"/>
      <c r="F90" s="617"/>
      <c r="G90" s="617"/>
      <c r="H90" s="617"/>
      <c r="I90" s="617"/>
      <c r="J90" s="619"/>
      <c r="K90" s="617"/>
      <c r="L90" s="617"/>
      <c r="O90" s="89"/>
      <c r="V90" s="89"/>
    </row>
    <row r="91" spans="3:22" ht="14.1" customHeight="1">
      <c r="C91" s="4" t="s">
        <v>189</v>
      </c>
      <c r="D91" s="4" t="s">
        <v>189</v>
      </c>
      <c r="E91" s="199"/>
      <c r="F91" s="444"/>
      <c r="G91" s="444"/>
      <c r="H91" s="444"/>
      <c r="I91" s="444"/>
      <c r="J91" s="444"/>
      <c r="K91" s="444"/>
      <c r="L91" s="444"/>
      <c r="O91" s="89"/>
    </row>
    <row r="92" spans="3:22" ht="14.1" customHeight="1">
      <c r="C92" s="69" t="s">
        <v>416</v>
      </c>
      <c r="D92" s="188" t="s">
        <v>190</v>
      </c>
      <c r="E92" s="615">
        <v>648620</v>
      </c>
      <c r="F92" s="618" t="s">
        <v>149</v>
      </c>
      <c r="G92" s="618" t="s">
        <v>149</v>
      </c>
      <c r="H92" s="618"/>
      <c r="I92" s="617"/>
      <c r="J92" s="618"/>
      <c r="K92" s="618" t="s">
        <v>191</v>
      </c>
      <c r="L92" s="618" t="s">
        <v>150</v>
      </c>
      <c r="O92" s="34"/>
      <c r="P92" s="34"/>
      <c r="Q92" s="34"/>
      <c r="R92" s="34"/>
      <c r="S92" s="34"/>
      <c r="T92" s="34"/>
      <c r="U92" s="34"/>
    </row>
    <row r="93" spans="3:22" ht="14.1" customHeight="1">
      <c r="C93" s="550" t="s">
        <v>417</v>
      </c>
      <c r="D93" s="189" t="s">
        <v>193</v>
      </c>
      <c r="E93" s="615">
        <v>652357</v>
      </c>
      <c r="F93" s="620"/>
      <c r="G93" s="616" t="s">
        <v>317</v>
      </c>
      <c r="H93" s="618"/>
      <c r="I93" s="616" t="s">
        <v>317</v>
      </c>
      <c r="J93" s="616" t="s">
        <v>490</v>
      </c>
      <c r="K93" s="616" t="s">
        <v>490</v>
      </c>
      <c r="L93" s="616" t="s">
        <v>490</v>
      </c>
      <c r="O93" s="34"/>
      <c r="P93" s="34"/>
      <c r="Q93" s="34"/>
      <c r="R93" s="34"/>
      <c r="S93" s="34"/>
      <c r="T93" s="34"/>
      <c r="U93" s="34"/>
    </row>
    <row r="94" spans="3:22" ht="14.1" customHeight="1">
      <c r="C94" s="69" t="s">
        <v>418</v>
      </c>
      <c r="D94" s="551" t="s">
        <v>196</v>
      </c>
      <c r="E94" s="631">
        <v>703714</v>
      </c>
      <c r="F94" s="621" t="s">
        <v>31</v>
      </c>
      <c r="G94" s="621"/>
      <c r="H94" s="621"/>
      <c r="I94" s="621"/>
      <c r="J94" s="624" t="s">
        <v>505</v>
      </c>
      <c r="K94" s="621"/>
      <c r="L94" s="621"/>
      <c r="O94" s="89"/>
    </row>
    <row r="95" spans="3:22" ht="14.1" customHeight="1">
      <c r="C95" s="87" t="s">
        <v>419</v>
      </c>
      <c r="D95" s="189" t="s">
        <v>198</v>
      </c>
      <c r="E95" s="615">
        <v>655089</v>
      </c>
      <c r="F95" s="618" t="s">
        <v>149</v>
      </c>
      <c r="G95" s="618" t="s">
        <v>149</v>
      </c>
      <c r="H95" s="618"/>
      <c r="I95" s="617"/>
      <c r="J95" s="618"/>
      <c r="K95" s="618" t="s">
        <v>149</v>
      </c>
      <c r="L95" s="618" t="s">
        <v>149</v>
      </c>
      <c r="O95" s="34"/>
      <c r="P95" s="34"/>
      <c r="Q95" s="34"/>
      <c r="R95" s="34"/>
      <c r="S95" s="34"/>
    </row>
    <row r="96" spans="3:22" ht="14.1" customHeight="1">
      <c r="C96" s="69" t="s">
        <v>420</v>
      </c>
      <c r="D96" s="190" t="s">
        <v>199</v>
      </c>
      <c r="E96" s="615">
        <v>649364</v>
      </c>
      <c r="F96" s="568" t="s">
        <v>149</v>
      </c>
      <c r="G96" s="618"/>
      <c r="H96" s="618" t="s">
        <v>191</v>
      </c>
      <c r="I96" s="624" t="s">
        <v>160</v>
      </c>
      <c r="J96" s="618"/>
      <c r="K96" s="618"/>
      <c r="L96" s="618"/>
      <c r="O96" s="89"/>
    </row>
    <row r="97" spans="3:15" ht="14.1" customHeight="1">
      <c r="C97" s="543" t="s">
        <v>421</v>
      </c>
      <c r="D97" s="191" t="s">
        <v>200</v>
      </c>
      <c r="E97" s="615">
        <v>700872</v>
      </c>
      <c r="F97" s="618" t="s">
        <v>192</v>
      </c>
      <c r="G97" s="618"/>
      <c r="H97" s="620"/>
      <c r="I97" s="618" t="s">
        <v>150</v>
      </c>
      <c r="J97" s="618" t="s">
        <v>506</v>
      </c>
      <c r="K97" s="618" t="s">
        <v>150</v>
      </c>
      <c r="L97" s="620"/>
      <c r="O97" s="89"/>
    </row>
    <row r="98" spans="3:15" ht="14.1" customHeight="1">
      <c r="C98" s="543" t="s">
        <v>422</v>
      </c>
      <c r="D98" s="552" t="s">
        <v>202</v>
      </c>
      <c r="E98" s="631">
        <v>703861</v>
      </c>
      <c r="F98" s="618" t="s">
        <v>150</v>
      </c>
      <c r="G98" s="618"/>
      <c r="H98" s="618" t="s">
        <v>150</v>
      </c>
      <c r="I98" s="618" t="s">
        <v>150</v>
      </c>
      <c r="J98" s="624" t="s">
        <v>167</v>
      </c>
      <c r="K98" s="618"/>
      <c r="L98" s="618"/>
      <c r="O98" s="89"/>
    </row>
    <row r="99" spans="3:15" ht="14.1" customHeight="1">
      <c r="C99" s="543" t="s">
        <v>423</v>
      </c>
      <c r="D99" s="192" t="s">
        <v>204</v>
      </c>
      <c r="E99" s="615">
        <v>652868</v>
      </c>
      <c r="F99" s="619"/>
      <c r="G99" s="618"/>
      <c r="H99" s="619"/>
      <c r="I99" s="618" t="s">
        <v>149</v>
      </c>
      <c r="J99" s="616" t="s">
        <v>507</v>
      </c>
      <c r="K99" s="619"/>
      <c r="L99" s="619"/>
      <c r="O99" s="89"/>
    </row>
    <row r="100" spans="3:15" ht="14.1" customHeight="1">
      <c r="C100" s="543" t="s">
        <v>424</v>
      </c>
      <c r="D100" s="189" t="s">
        <v>205</v>
      </c>
      <c r="E100" s="615">
        <v>652998</v>
      </c>
      <c r="F100" s="618" t="s">
        <v>192</v>
      </c>
      <c r="G100" s="618" t="s">
        <v>192</v>
      </c>
      <c r="H100" s="618" t="s">
        <v>192</v>
      </c>
      <c r="I100" s="618"/>
      <c r="J100" s="619"/>
      <c r="K100" s="619"/>
      <c r="L100" s="619"/>
      <c r="O100" s="89"/>
    </row>
    <row r="101" spans="3:15" ht="14.1" customHeight="1">
      <c r="C101" s="543" t="s">
        <v>425</v>
      </c>
      <c r="D101" s="193" t="s">
        <v>206</v>
      </c>
      <c r="E101" s="631">
        <v>654959</v>
      </c>
      <c r="F101" s="621" t="s">
        <v>31</v>
      </c>
      <c r="G101" s="621"/>
      <c r="H101" s="621"/>
      <c r="I101" s="621"/>
      <c r="J101" s="621"/>
      <c r="K101" s="621"/>
      <c r="L101" s="621"/>
      <c r="O101" s="89"/>
    </row>
    <row r="102" spans="3:15" ht="14.1" customHeight="1">
      <c r="C102" s="85" t="s">
        <v>426</v>
      </c>
      <c r="D102" s="551" t="s">
        <v>207</v>
      </c>
      <c r="E102" s="615">
        <v>654981</v>
      </c>
      <c r="F102" s="618" t="s">
        <v>150</v>
      </c>
      <c r="G102" s="618" t="s">
        <v>191</v>
      </c>
      <c r="H102" s="618"/>
      <c r="I102" s="620"/>
      <c r="J102" s="624" t="s">
        <v>165</v>
      </c>
      <c r="K102" s="622"/>
      <c r="L102" s="622"/>
      <c r="O102" s="89"/>
    </row>
    <row r="103" spans="3:15" ht="14.1" customHeight="1">
      <c r="C103" s="85" t="s">
        <v>427</v>
      </c>
      <c r="D103" s="553" t="s">
        <v>208</v>
      </c>
      <c r="E103" s="615">
        <v>703795</v>
      </c>
      <c r="F103" s="616" t="s">
        <v>490</v>
      </c>
      <c r="G103" s="618" t="s">
        <v>150</v>
      </c>
      <c r="H103" s="617"/>
      <c r="I103" s="618" t="s">
        <v>149</v>
      </c>
      <c r="J103" s="620"/>
      <c r="K103" s="617"/>
      <c r="L103" s="617"/>
      <c r="O103" s="89"/>
    </row>
    <row r="104" spans="3:15" ht="14.1" customHeight="1">
      <c r="C104" s="730" t="s">
        <v>428</v>
      </c>
      <c r="D104" s="551" t="s">
        <v>209</v>
      </c>
      <c r="E104" s="615">
        <v>652364</v>
      </c>
      <c r="F104" s="618"/>
      <c r="G104" s="618" t="s">
        <v>192</v>
      </c>
      <c r="H104" s="618" t="s">
        <v>192</v>
      </c>
      <c r="I104" s="618" t="s">
        <v>192</v>
      </c>
      <c r="J104" s="617"/>
      <c r="K104" s="617"/>
      <c r="L104" s="617"/>
      <c r="O104" s="89"/>
    </row>
    <row r="105" spans="3:15" ht="14.1" customHeight="1">
      <c r="C105" s="543" t="s">
        <v>429</v>
      </c>
      <c r="D105" s="551" t="s">
        <v>210</v>
      </c>
      <c r="E105" s="615">
        <v>644433</v>
      </c>
      <c r="F105" s="617"/>
      <c r="G105" s="617"/>
      <c r="H105" s="617"/>
      <c r="I105" s="617"/>
      <c r="J105" s="617"/>
      <c r="K105" s="617"/>
      <c r="L105" s="617"/>
      <c r="O105" s="89"/>
    </row>
    <row r="106" spans="3:15" ht="14.1" customHeight="1">
      <c r="C106" s="87" t="s">
        <v>430</v>
      </c>
      <c r="D106" s="551" t="s">
        <v>211</v>
      </c>
      <c r="E106" s="615">
        <v>650602</v>
      </c>
      <c r="F106" s="616" t="s">
        <v>508</v>
      </c>
      <c r="G106" s="617"/>
      <c r="H106" s="617"/>
      <c r="I106" s="617"/>
      <c r="J106" s="618" t="s">
        <v>192</v>
      </c>
      <c r="K106" s="618" t="s">
        <v>192</v>
      </c>
      <c r="L106" s="618" t="s">
        <v>192</v>
      </c>
      <c r="O106" s="89"/>
    </row>
    <row r="107" spans="3:15" ht="14.1" customHeight="1">
      <c r="C107" s="87" t="s">
        <v>431</v>
      </c>
      <c r="D107" s="552" t="s">
        <v>212</v>
      </c>
      <c r="E107" s="631">
        <v>704893</v>
      </c>
      <c r="F107" s="626"/>
      <c r="G107" s="626"/>
      <c r="H107" s="617"/>
      <c r="I107" s="618" t="s">
        <v>192</v>
      </c>
      <c r="J107" s="618" t="s">
        <v>192</v>
      </c>
      <c r="K107" s="618" t="s">
        <v>192</v>
      </c>
      <c r="L107" s="618" t="s">
        <v>192</v>
      </c>
      <c r="O107" s="89"/>
    </row>
    <row r="108" spans="3:15" ht="14.1" customHeight="1">
      <c r="C108" s="87" t="s">
        <v>432</v>
      </c>
      <c r="D108" s="194" t="s">
        <v>214</v>
      </c>
      <c r="E108" s="615">
        <v>636733</v>
      </c>
      <c r="F108" s="619"/>
      <c r="G108" s="618" t="s">
        <v>149</v>
      </c>
      <c r="H108" s="617"/>
      <c r="I108" s="618" t="s">
        <v>191</v>
      </c>
      <c r="J108" s="620"/>
      <c r="K108" s="618" t="s">
        <v>149</v>
      </c>
      <c r="L108" s="616" t="s">
        <v>342</v>
      </c>
      <c r="O108" s="89"/>
    </row>
    <row r="109" spans="3:15" ht="14.1" customHeight="1">
      <c r="C109" s="69" t="s">
        <v>433</v>
      </c>
      <c r="D109" s="195" t="s">
        <v>216</v>
      </c>
      <c r="E109" s="200">
        <v>637770</v>
      </c>
      <c r="F109" s="206" t="s">
        <v>150</v>
      </c>
      <c r="G109" s="206" t="s">
        <v>150</v>
      </c>
      <c r="H109" s="206"/>
      <c r="I109" s="251" t="s">
        <v>149</v>
      </c>
      <c r="J109" s="206" t="s">
        <v>149</v>
      </c>
      <c r="K109" s="209"/>
      <c r="L109" s="209"/>
      <c r="O109" s="89"/>
    </row>
    <row r="110" spans="3:15" ht="14.1" customHeight="1">
      <c r="C110" s="543"/>
      <c r="D110" s="554"/>
      <c r="E110" s="625"/>
      <c r="F110" s="618"/>
      <c r="G110" s="618"/>
      <c r="H110" s="618"/>
      <c r="I110" s="618"/>
      <c r="J110" s="618"/>
      <c r="K110" s="617"/>
      <c r="L110" s="617"/>
      <c r="O110" s="89"/>
    </row>
    <row r="111" spans="3:15" ht="14.1" customHeight="1" thickBot="1">
      <c r="C111" s="543"/>
      <c r="D111" s="554"/>
      <c r="E111" s="166"/>
      <c r="F111" s="760" t="s">
        <v>218</v>
      </c>
      <c r="G111" s="761"/>
      <c r="H111" s="761"/>
      <c r="I111" s="761"/>
      <c r="J111" s="761"/>
      <c r="K111" s="761"/>
      <c r="L111" s="762"/>
      <c r="O111" s="89"/>
    </row>
    <row r="112" spans="3:15" ht="14.1" customHeight="1">
      <c r="C112" s="555" t="s">
        <v>434</v>
      </c>
      <c r="D112" s="167" t="s">
        <v>219</v>
      </c>
      <c r="E112" s="114"/>
      <c r="F112" s="71">
        <f t="shared" ref="F112:L112" si="20">F4</f>
        <v>46076</v>
      </c>
      <c r="G112" s="71">
        <f t="shared" si="20"/>
        <v>46077</v>
      </c>
      <c r="H112" s="71">
        <f t="shared" si="20"/>
        <v>46078</v>
      </c>
      <c r="I112" s="71">
        <f t="shared" si="20"/>
        <v>46079</v>
      </c>
      <c r="J112" s="71">
        <f t="shared" si="20"/>
        <v>46080</v>
      </c>
      <c r="K112" s="71">
        <f t="shared" si="20"/>
        <v>46081</v>
      </c>
      <c r="L112" s="71">
        <f t="shared" si="20"/>
        <v>46082</v>
      </c>
      <c r="O112" s="89"/>
    </row>
    <row r="113" spans="3:15" ht="14.1" customHeight="1">
      <c r="C113" s="556" t="s">
        <v>435</v>
      </c>
      <c r="D113" s="557" t="s">
        <v>220</v>
      </c>
      <c r="E113" s="633">
        <v>654686</v>
      </c>
      <c r="F113" s="303" t="s">
        <v>224</v>
      </c>
      <c r="G113" s="303" t="s">
        <v>150</v>
      </c>
      <c r="H113" s="303" t="s">
        <v>150</v>
      </c>
      <c r="I113" s="303"/>
      <c r="J113" s="565"/>
      <c r="K113" s="565"/>
      <c r="L113" s="565" t="s">
        <v>150</v>
      </c>
      <c r="O113" s="89"/>
    </row>
    <row r="114" spans="3:15" ht="14.1" customHeight="1">
      <c r="C114" s="556" t="s">
        <v>436</v>
      </c>
      <c r="D114" s="557" t="s">
        <v>227</v>
      </c>
      <c r="E114" s="633">
        <v>700581</v>
      </c>
      <c r="F114" s="565" t="s">
        <v>222</v>
      </c>
      <c r="G114" s="565"/>
      <c r="H114" s="565"/>
      <c r="I114" s="565"/>
      <c r="J114" s="616" t="s">
        <v>317</v>
      </c>
      <c r="K114" s="565" t="s">
        <v>223</v>
      </c>
      <c r="L114" s="565" t="s">
        <v>222</v>
      </c>
      <c r="O114" s="89"/>
    </row>
    <row r="115" spans="3:15" ht="14.1" customHeight="1">
      <c r="C115" s="88" t="s">
        <v>437</v>
      </c>
      <c r="D115" s="557" t="s">
        <v>228</v>
      </c>
      <c r="E115" s="633">
        <v>700540</v>
      </c>
      <c r="F115" s="565"/>
      <c r="G115" s="565"/>
      <c r="H115" s="565" t="s">
        <v>225</v>
      </c>
      <c r="I115" s="565"/>
      <c r="J115" s="565" t="s">
        <v>221</v>
      </c>
      <c r="K115" s="565" t="s">
        <v>222</v>
      </c>
      <c r="L115" s="565" t="s">
        <v>223</v>
      </c>
      <c r="O115" s="89"/>
    </row>
    <row r="116" spans="3:15" ht="14.1" customHeight="1">
      <c r="C116" s="556" t="s">
        <v>438</v>
      </c>
      <c r="D116" s="557" t="s">
        <v>230</v>
      </c>
      <c r="E116" s="633">
        <v>646665</v>
      </c>
      <c r="F116" s="565" t="s">
        <v>223</v>
      </c>
      <c r="G116" s="565"/>
      <c r="H116" s="565"/>
      <c r="I116" s="565" t="s">
        <v>225</v>
      </c>
      <c r="J116" s="565" t="s">
        <v>226</v>
      </c>
      <c r="K116" s="578" t="s">
        <v>359</v>
      </c>
      <c r="L116" s="565"/>
      <c r="O116" s="89"/>
    </row>
    <row r="117" spans="3:15" ht="14.1" customHeight="1">
      <c r="C117" s="556" t="s">
        <v>439</v>
      </c>
      <c r="D117" s="557" t="s">
        <v>231</v>
      </c>
      <c r="E117" s="633">
        <v>654598</v>
      </c>
      <c r="F117" s="565"/>
      <c r="G117" s="565" t="s">
        <v>150</v>
      </c>
      <c r="H117" s="565"/>
      <c r="I117" s="578" t="s">
        <v>490</v>
      </c>
      <c r="J117" s="565"/>
      <c r="K117" s="565" t="s">
        <v>224</v>
      </c>
      <c r="L117" s="565" t="s">
        <v>225</v>
      </c>
      <c r="O117" s="89"/>
    </row>
    <row r="118" spans="3:15" ht="14.1" customHeight="1">
      <c r="C118" s="556" t="s">
        <v>440</v>
      </c>
      <c r="D118" s="557" t="s">
        <v>232</v>
      </c>
      <c r="E118" s="633">
        <v>700591</v>
      </c>
      <c r="F118" s="565"/>
      <c r="G118" s="565"/>
      <c r="H118" s="565"/>
      <c r="I118" s="565" t="s">
        <v>149</v>
      </c>
      <c r="J118" s="565" t="s">
        <v>223</v>
      </c>
      <c r="K118" s="565" t="s">
        <v>222</v>
      </c>
      <c r="L118" s="565" t="s">
        <v>221</v>
      </c>
      <c r="O118" s="89"/>
    </row>
    <row r="119" spans="3:15" ht="14.1" customHeight="1">
      <c r="C119" s="556" t="s">
        <v>441</v>
      </c>
      <c r="D119" s="557" t="s">
        <v>233</v>
      </c>
      <c r="E119" s="633">
        <v>700648</v>
      </c>
      <c r="F119" s="565" t="s">
        <v>221</v>
      </c>
      <c r="G119" s="565"/>
      <c r="H119" s="565"/>
      <c r="I119" s="578" t="s">
        <v>507</v>
      </c>
      <c r="J119" s="565"/>
      <c r="K119" s="565" t="s">
        <v>150</v>
      </c>
      <c r="L119" s="565" t="s">
        <v>226</v>
      </c>
      <c r="O119" s="89"/>
    </row>
    <row r="120" spans="3:15" ht="14.1" customHeight="1">
      <c r="C120" s="556" t="s">
        <v>443</v>
      </c>
      <c r="D120" s="557" t="s">
        <v>234</v>
      </c>
      <c r="E120" s="633">
        <v>700653</v>
      </c>
      <c r="F120" s="565" t="s">
        <v>222</v>
      </c>
      <c r="G120" s="565"/>
      <c r="H120" s="565"/>
      <c r="I120" s="565"/>
      <c r="J120" s="565" t="s">
        <v>150</v>
      </c>
      <c r="K120" s="565" t="s">
        <v>226</v>
      </c>
      <c r="L120" s="565" t="s">
        <v>150</v>
      </c>
      <c r="O120" s="89"/>
    </row>
    <row r="121" spans="3:15" ht="14.1" customHeight="1">
      <c r="C121" s="556" t="s">
        <v>444</v>
      </c>
      <c r="D121" s="557" t="s">
        <v>235</v>
      </c>
      <c r="E121" s="633">
        <v>700604</v>
      </c>
      <c r="F121" s="565" t="s">
        <v>150</v>
      </c>
      <c r="G121" s="565" t="s">
        <v>150</v>
      </c>
      <c r="H121" s="565"/>
      <c r="I121" s="565" t="s">
        <v>224</v>
      </c>
      <c r="J121" s="565" t="s">
        <v>150</v>
      </c>
      <c r="K121" s="565"/>
      <c r="L121" s="565"/>
      <c r="O121" s="89"/>
    </row>
    <row r="122" spans="3:15" ht="14.1" customHeight="1">
      <c r="C122" s="556" t="s">
        <v>445</v>
      </c>
      <c r="D122" s="557" t="s">
        <v>236</v>
      </c>
      <c r="E122" s="633">
        <v>655170</v>
      </c>
      <c r="F122" s="635"/>
      <c r="G122" s="635"/>
      <c r="H122" s="635"/>
      <c r="I122" s="635"/>
      <c r="J122" s="635"/>
      <c r="K122" s="635"/>
      <c r="L122" s="635"/>
      <c r="O122" s="89"/>
    </row>
    <row r="123" spans="3:15" ht="14.1" customHeight="1">
      <c r="C123" s="556" t="s">
        <v>446</v>
      </c>
      <c r="D123" s="557" t="s">
        <v>237</v>
      </c>
      <c r="E123" s="633">
        <v>703000</v>
      </c>
      <c r="F123" s="565"/>
      <c r="G123" s="593" t="s">
        <v>509</v>
      </c>
      <c r="H123" s="593"/>
      <c r="I123" s="565" t="s">
        <v>149</v>
      </c>
      <c r="J123" s="565" t="s">
        <v>150</v>
      </c>
      <c r="K123" s="565"/>
      <c r="L123" s="565"/>
      <c r="O123" s="89"/>
    </row>
    <row r="124" spans="3:15" ht="14.1" customHeight="1">
      <c r="C124" s="556" t="s">
        <v>447</v>
      </c>
      <c r="D124" s="557" t="s">
        <v>238</v>
      </c>
      <c r="E124" s="633">
        <v>702770</v>
      </c>
      <c r="F124" s="565"/>
      <c r="G124" s="565"/>
      <c r="H124" s="565" t="s">
        <v>150</v>
      </c>
      <c r="I124" s="565"/>
      <c r="J124" s="565" t="s">
        <v>225</v>
      </c>
      <c r="K124" s="578" t="s">
        <v>342</v>
      </c>
      <c r="L124" s="565" t="s">
        <v>224</v>
      </c>
      <c r="O124" s="89"/>
    </row>
    <row r="125" spans="3:15" ht="14.1" customHeight="1">
      <c r="C125" s="556" t="s">
        <v>448</v>
      </c>
      <c r="D125" s="557" t="s">
        <v>239</v>
      </c>
      <c r="E125" s="633">
        <v>704108</v>
      </c>
      <c r="F125" s="565" t="s">
        <v>226</v>
      </c>
      <c r="G125" s="565" t="s">
        <v>150</v>
      </c>
      <c r="H125" s="565" t="s">
        <v>150</v>
      </c>
      <c r="I125" s="578" t="s">
        <v>359</v>
      </c>
      <c r="J125" s="565"/>
      <c r="K125" s="565"/>
      <c r="L125" s="565"/>
      <c r="O125" s="89"/>
    </row>
    <row r="126" spans="3:15" ht="14.1" customHeight="1">
      <c r="C126" s="556" t="s">
        <v>449</v>
      </c>
      <c r="D126" s="557" t="s">
        <v>240</v>
      </c>
      <c r="E126" s="633">
        <v>700734</v>
      </c>
      <c r="F126" s="565" t="s">
        <v>149</v>
      </c>
      <c r="G126" s="565" t="s">
        <v>224</v>
      </c>
      <c r="H126" s="565" t="s">
        <v>149</v>
      </c>
      <c r="I126" s="565" t="s">
        <v>150</v>
      </c>
      <c r="J126" s="565"/>
      <c r="K126" s="565"/>
      <c r="L126" s="565"/>
      <c r="O126" s="89"/>
    </row>
    <row r="127" spans="3:15" ht="14.1" customHeight="1">
      <c r="C127" s="556" t="s">
        <v>450</v>
      </c>
      <c r="D127" s="557" t="s">
        <v>241</v>
      </c>
      <c r="E127" s="633">
        <v>702035</v>
      </c>
      <c r="F127" s="565" t="s">
        <v>150</v>
      </c>
      <c r="G127" s="565" t="s">
        <v>226</v>
      </c>
      <c r="H127" s="565" t="s">
        <v>221</v>
      </c>
      <c r="I127" s="565" t="s">
        <v>223</v>
      </c>
      <c r="J127" s="565"/>
      <c r="K127" s="213"/>
      <c r="L127" s="565"/>
      <c r="O127" s="89"/>
    </row>
    <row r="128" spans="3:15" ht="14.1" customHeight="1">
      <c r="C128" s="556" t="s">
        <v>451</v>
      </c>
      <c r="D128" s="557" t="s">
        <v>242</v>
      </c>
      <c r="E128" s="633">
        <v>702779</v>
      </c>
      <c r="F128" s="635"/>
      <c r="G128" s="635"/>
      <c r="H128" s="635"/>
      <c r="I128" s="635"/>
      <c r="J128" s="635"/>
      <c r="K128" s="635"/>
      <c r="L128" s="635"/>
      <c r="O128" s="89"/>
    </row>
    <row r="129" spans="3:15" ht="14.1" customHeight="1">
      <c r="C129" s="556" t="s">
        <v>452</v>
      </c>
      <c r="D129" s="557" t="s">
        <v>243</v>
      </c>
      <c r="E129" s="633">
        <v>641339</v>
      </c>
      <c r="F129" s="565" t="s">
        <v>150</v>
      </c>
      <c r="G129" s="565" t="s">
        <v>223</v>
      </c>
      <c r="H129" s="565" t="s">
        <v>222</v>
      </c>
      <c r="I129" s="565" t="s">
        <v>221</v>
      </c>
      <c r="J129" s="565"/>
      <c r="K129" s="565"/>
      <c r="L129" s="565"/>
      <c r="O129" s="89"/>
    </row>
    <row r="130" spans="3:15" ht="14.1" customHeight="1">
      <c r="C130" s="556" t="s">
        <v>453</v>
      </c>
      <c r="D130" s="557" t="s">
        <v>244</v>
      </c>
      <c r="E130" s="633">
        <v>703783</v>
      </c>
      <c r="F130" s="565"/>
      <c r="G130" s="565"/>
      <c r="H130" s="565" t="s">
        <v>224</v>
      </c>
      <c r="I130" s="565"/>
      <c r="J130" s="565" t="s">
        <v>149</v>
      </c>
      <c r="K130" s="565" t="s">
        <v>149</v>
      </c>
      <c r="L130" s="565" t="s">
        <v>149</v>
      </c>
      <c r="O130" s="89"/>
    </row>
    <row r="131" spans="3:15" ht="14.1" customHeight="1">
      <c r="C131" s="556" t="s">
        <v>454</v>
      </c>
      <c r="D131" s="557" t="s">
        <v>245</v>
      </c>
      <c r="E131" s="625">
        <v>702087</v>
      </c>
      <c r="F131" s="565"/>
      <c r="G131" s="565" t="s">
        <v>222</v>
      </c>
      <c r="H131" s="565"/>
      <c r="I131" s="565"/>
      <c r="J131" s="565"/>
      <c r="K131" s="565" t="s">
        <v>150</v>
      </c>
      <c r="L131" s="565" t="s">
        <v>150</v>
      </c>
      <c r="O131" s="89"/>
    </row>
    <row r="132" spans="3:15" ht="14.1" customHeight="1">
      <c r="C132" s="556" t="s">
        <v>455</v>
      </c>
      <c r="D132" s="558" t="s">
        <v>246</v>
      </c>
      <c r="E132" s="631"/>
      <c r="F132" s="566"/>
      <c r="G132" s="566"/>
      <c r="H132" s="566" t="s">
        <v>149</v>
      </c>
      <c r="I132" s="566"/>
      <c r="J132" s="566" t="s">
        <v>224</v>
      </c>
      <c r="K132" s="566" t="s">
        <v>149</v>
      </c>
      <c r="L132" s="566" t="s">
        <v>149</v>
      </c>
      <c r="O132" s="89"/>
    </row>
    <row r="133" spans="3:15" ht="14.1" customHeight="1">
      <c r="C133" s="556" t="s">
        <v>456</v>
      </c>
      <c r="D133" s="557" t="s">
        <v>247</v>
      </c>
      <c r="E133" s="625">
        <v>703186</v>
      </c>
      <c r="F133" s="606" t="s">
        <v>503</v>
      </c>
      <c r="G133" s="606"/>
      <c r="H133" s="606"/>
      <c r="I133" s="606"/>
      <c r="J133" s="606"/>
      <c r="K133" s="606"/>
      <c r="L133" s="606"/>
      <c r="O133" s="89"/>
    </row>
    <row r="134" spans="3:15" ht="14.1" customHeight="1">
      <c r="C134" s="556" t="s">
        <v>458</v>
      </c>
      <c r="D134" s="557" t="s">
        <v>248</v>
      </c>
      <c r="E134" s="625">
        <v>703168</v>
      </c>
      <c r="F134" s="565"/>
      <c r="G134" s="565" t="s">
        <v>149</v>
      </c>
      <c r="H134" s="565" t="s">
        <v>150</v>
      </c>
      <c r="I134" s="565"/>
      <c r="J134" s="565" t="s">
        <v>150</v>
      </c>
      <c r="K134" s="565"/>
      <c r="L134" s="565" t="s">
        <v>150</v>
      </c>
      <c r="O134" s="89"/>
    </row>
    <row r="135" spans="3:15" ht="14.1" customHeight="1">
      <c r="C135" s="556" t="s">
        <v>459</v>
      </c>
      <c r="D135" s="557" t="s">
        <v>249</v>
      </c>
      <c r="E135" s="625">
        <v>703270</v>
      </c>
      <c r="F135" s="565"/>
      <c r="G135" s="565" t="s">
        <v>150</v>
      </c>
      <c r="H135" s="565" t="s">
        <v>226</v>
      </c>
      <c r="I135" s="565" t="s">
        <v>222</v>
      </c>
      <c r="J135" s="565" t="s">
        <v>222</v>
      </c>
      <c r="K135" s="565"/>
      <c r="L135" s="565"/>
      <c r="O135" s="89"/>
    </row>
    <row r="136" spans="3:15" ht="14.1" customHeight="1">
      <c r="C136" s="556" t="s">
        <v>460</v>
      </c>
      <c r="D136" s="558" t="s">
        <v>251</v>
      </c>
      <c r="E136" s="625">
        <v>702481</v>
      </c>
      <c r="F136" s="565" t="s">
        <v>225</v>
      </c>
      <c r="G136" s="565" t="s">
        <v>404</v>
      </c>
      <c r="H136" s="565" t="s">
        <v>150</v>
      </c>
      <c r="I136" s="565" t="s">
        <v>150</v>
      </c>
      <c r="J136" s="565"/>
      <c r="K136" s="565"/>
      <c r="L136" s="565"/>
      <c r="O136" s="89"/>
    </row>
    <row r="137" spans="3:15" ht="14.1" customHeight="1">
      <c r="C137" s="556" t="s">
        <v>461</v>
      </c>
      <c r="D137" s="558" t="s">
        <v>252</v>
      </c>
      <c r="E137" s="625">
        <v>700682</v>
      </c>
      <c r="F137" s="634"/>
      <c r="G137" s="634"/>
      <c r="H137" s="634"/>
      <c r="I137" s="634"/>
      <c r="J137" s="634"/>
      <c r="K137" s="634"/>
      <c r="L137" s="634"/>
      <c r="O137" s="89"/>
    </row>
    <row r="138" spans="3:15" ht="14.1" customHeight="1">
      <c r="C138" s="556" t="s">
        <v>462</v>
      </c>
      <c r="D138" s="558" t="s">
        <v>253</v>
      </c>
      <c r="E138" s="625">
        <v>700721</v>
      </c>
      <c r="F138" s="634"/>
      <c r="G138" s="634"/>
      <c r="H138" s="634"/>
      <c r="I138" s="634"/>
      <c r="J138" s="634"/>
      <c r="K138" s="634"/>
      <c r="L138" s="634"/>
      <c r="O138" s="89"/>
    </row>
    <row r="139" spans="3:15" ht="14.1" customHeight="1">
      <c r="C139" s="556" t="s">
        <v>463</v>
      </c>
      <c r="D139" s="558" t="s">
        <v>254</v>
      </c>
      <c r="E139" s="625">
        <v>703820</v>
      </c>
      <c r="F139" s="634"/>
      <c r="G139" s="634"/>
      <c r="H139" s="634"/>
      <c r="I139" s="634"/>
      <c r="J139" s="634"/>
      <c r="K139" s="634"/>
      <c r="L139" s="634"/>
      <c r="O139" s="89"/>
    </row>
    <row r="140" spans="3:15" ht="14.1" customHeight="1">
      <c r="C140" s="556" t="s">
        <v>464</v>
      </c>
      <c r="D140" s="558" t="s">
        <v>255</v>
      </c>
      <c r="E140" s="625">
        <v>703788</v>
      </c>
      <c r="F140" s="634"/>
      <c r="G140" s="634"/>
      <c r="H140" s="634"/>
      <c r="I140" s="634"/>
      <c r="J140" s="634"/>
      <c r="K140" s="634"/>
      <c r="L140" s="634"/>
      <c r="O140" s="89"/>
    </row>
    <row r="141" spans="3:15" ht="14.1" customHeight="1">
      <c r="C141" s="556" t="s">
        <v>465</v>
      </c>
      <c r="D141" s="558" t="s">
        <v>256</v>
      </c>
      <c r="E141" s="625">
        <v>700646</v>
      </c>
      <c r="F141" s="634"/>
      <c r="G141" s="634"/>
      <c r="H141" s="634"/>
      <c r="I141" s="634"/>
      <c r="J141" s="634"/>
      <c r="K141" s="634"/>
      <c r="L141" s="634"/>
      <c r="O141" s="89"/>
    </row>
    <row r="142" spans="3:15" ht="14.1" customHeight="1">
      <c r="C142" s="556" t="s">
        <v>466</v>
      </c>
      <c r="D142" s="558" t="s">
        <v>257</v>
      </c>
      <c r="E142" s="633">
        <v>655539</v>
      </c>
      <c r="F142" s="578" t="s">
        <v>490</v>
      </c>
      <c r="G142" s="578" t="s">
        <v>510</v>
      </c>
      <c r="H142" s="565" t="s">
        <v>222</v>
      </c>
      <c r="I142" s="565" t="s">
        <v>222</v>
      </c>
      <c r="J142" s="565"/>
      <c r="K142" s="565"/>
      <c r="L142" s="565"/>
      <c r="O142" s="89"/>
    </row>
    <row r="143" spans="3:15" ht="14.1" customHeight="1">
      <c r="C143" s="556" t="s">
        <v>467</v>
      </c>
      <c r="D143" s="559" t="s">
        <v>258</v>
      </c>
      <c r="E143" s="633">
        <v>653933</v>
      </c>
      <c r="F143" s="565" t="s">
        <v>149</v>
      </c>
      <c r="G143" s="565" t="s">
        <v>221</v>
      </c>
      <c r="H143" s="565" t="s">
        <v>223</v>
      </c>
      <c r="I143" s="565"/>
      <c r="J143" s="565"/>
      <c r="K143" s="565" t="s">
        <v>150</v>
      </c>
      <c r="L143" s="565"/>
      <c r="O143" s="89"/>
    </row>
    <row r="144" spans="3:15" ht="14.1" customHeight="1">
      <c r="C144" s="556" t="s">
        <v>468</v>
      </c>
      <c r="D144" s="558" t="s">
        <v>259</v>
      </c>
      <c r="E144" s="636"/>
      <c r="F144" s="634"/>
      <c r="G144" s="634"/>
      <c r="H144" s="634"/>
      <c r="I144" s="634"/>
      <c r="J144" s="634"/>
      <c r="K144" s="634"/>
      <c r="L144" s="634"/>
      <c r="O144" s="89"/>
    </row>
    <row r="145" spans="3:15" ht="14.1" customHeight="1">
      <c r="C145" s="556" t="s">
        <v>511</v>
      </c>
      <c r="D145" s="287" t="s">
        <v>512</v>
      </c>
      <c r="E145" s="306">
        <v>633881</v>
      </c>
      <c r="G145" s="566"/>
      <c r="H145" s="566"/>
      <c r="I145" s="566"/>
      <c r="J145" s="566" t="s">
        <v>222</v>
      </c>
      <c r="K145" s="566" t="s">
        <v>222</v>
      </c>
      <c r="L145" s="566"/>
      <c r="O145" s="89"/>
    </row>
    <row r="146" spans="3:15" ht="14.1" customHeight="1">
      <c r="C146" s="556"/>
      <c r="D146" s="286"/>
      <c r="E146" s="304"/>
      <c r="G146" s="566"/>
      <c r="H146" s="566"/>
      <c r="I146" s="566"/>
      <c r="J146" s="566"/>
      <c r="K146" s="566"/>
      <c r="L146" s="566"/>
      <c r="O146" s="89"/>
    </row>
    <row r="147" spans="3:15" ht="14.1" customHeight="1" thickBot="1">
      <c r="C147" s="560" t="s">
        <v>472</v>
      </c>
      <c r="D147" s="462" t="s">
        <v>260</v>
      </c>
      <c r="E147" s="463"/>
      <c r="F147" s="210"/>
      <c r="G147" s="578"/>
      <c r="H147" s="578"/>
      <c r="I147" s="578"/>
      <c r="J147" s="578"/>
      <c r="K147" s="578"/>
      <c r="L147" s="578"/>
      <c r="O147" s="89"/>
    </row>
    <row r="148" spans="3:15" ht="14.1" customHeight="1">
      <c r="C148" s="561" t="s">
        <v>473</v>
      </c>
      <c r="D148" s="196" t="s">
        <v>261</v>
      </c>
      <c r="E148" s="466">
        <v>703293</v>
      </c>
      <c r="F148" s="639" t="s">
        <v>149</v>
      </c>
      <c r="G148" s="639" t="s">
        <v>150</v>
      </c>
      <c r="H148" s="639"/>
      <c r="I148" s="639"/>
      <c r="J148" s="639"/>
      <c r="K148" s="639" t="s">
        <v>150</v>
      </c>
      <c r="L148" s="639" t="s">
        <v>150</v>
      </c>
      <c r="O148" s="89"/>
    </row>
    <row r="149" spans="3:15" ht="14.1" customHeight="1">
      <c r="C149" s="561" t="s">
        <v>474</v>
      </c>
      <c r="D149" s="562" t="s">
        <v>266</v>
      </c>
      <c r="E149" s="466">
        <v>703544</v>
      </c>
      <c r="F149" s="637" t="s">
        <v>263</v>
      </c>
      <c r="G149" s="637" t="s">
        <v>263</v>
      </c>
      <c r="H149" s="637" t="s">
        <v>263</v>
      </c>
      <c r="I149" s="637" t="s">
        <v>263</v>
      </c>
      <c r="J149" s="637" t="s">
        <v>263</v>
      </c>
      <c r="K149" s="637" t="s">
        <v>263</v>
      </c>
      <c r="L149" s="637" t="s">
        <v>263</v>
      </c>
      <c r="O149" s="89"/>
    </row>
    <row r="150" spans="3:15" ht="14.1" customHeight="1">
      <c r="C150" s="561" t="s">
        <v>475</v>
      </c>
      <c r="D150" s="562" t="s">
        <v>267</v>
      </c>
      <c r="E150" s="466">
        <v>703651</v>
      </c>
      <c r="F150" s="639"/>
      <c r="G150" s="639" t="s">
        <v>150</v>
      </c>
      <c r="H150" s="639" t="s">
        <v>150</v>
      </c>
      <c r="I150" s="639" t="s">
        <v>150</v>
      </c>
      <c r="J150" s="639" t="s">
        <v>150</v>
      </c>
      <c r="K150" s="639"/>
      <c r="L150" s="639"/>
      <c r="O150" s="89"/>
    </row>
    <row r="151" spans="3:15" ht="14.1" customHeight="1">
      <c r="C151" s="561" t="s">
        <v>477</v>
      </c>
      <c r="D151" s="562" t="s">
        <v>268</v>
      </c>
      <c r="E151" s="466">
        <v>703298</v>
      </c>
      <c r="F151" s="639"/>
      <c r="G151" s="639" t="s">
        <v>222</v>
      </c>
      <c r="H151" s="639" t="s">
        <v>222</v>
      </c>
      <c r="I151" s="639" t="s">
        <v>222</v>
      </c>
      <c r="J151" s="639"/>
      <c r="K151" s="639"/>
      <c r="L151" s="639"/>
      <c r="O151" s="89"/>
    </row>
    <row r="152" spans="3:15" ht="14.1" customHeight="1">
      <c r="C152" s="561" t="s">
        <v>478</v>
      </c>
      <c r="D152" s="562" t="s">
        <v>269</v>
      </c>
      <c r="E152" s="466">
        <v>703345</v>
      </c>
      <c r="F152" s="639" t="s">
        <v>222</v>
      </c>
      <c r="G152" s="639"/>
      <c r="H152" s="639"/>
      <c r="I152" s="639"/>
      <c r="J152" s="639" t="s">
        <v>149</v>
      </c>
      <c r="K152" s="639" t="s">
        <v>149</v>
      </c>
      <c r="L152" s="639" t="s">
        <v>149</v>
      </c>
      <c r="O152" s="89"/>
    </row>
    <row r="153" spans="3:15" ht="14.1" customHeight="1">
      <c r="C153" s="561" t="s">
        <v>479</v>
      </c>
      <c r="D153" s="562" t="s">
        <v>270</v>
      </c>
      <c r="E153" s="466">
        <v>703324</v>
      </c>
      <c r="F153" s="639"/>
      <c r="G153" s="639" t="s">
        <v>149</v>
      </c>
      <c r="H153" s="639" t="s">
        <v>149</v>
      </c>
      <c r="I153" s="639"/>
      <c r="J153" s="639" t="s">
        <v>149</v>
      </c>
      <c r="K153" s="639"/>
      <c r="L153" s="639" t="s">
        <v>150</v>
      </c>
      <c r="O153" s="89"/>
    </row>
    <row r="154" spans="3:15" ht="14.1" customHeight="1">
      <c r="C154" s="561" t="s">
        <v>480</v>
      </c>
      <c r="D154" s="562" t="s">
        <v>271</v>
      </c>
      <c r="E154" s="466">
        <v>703527</v>
      </c>
      <c r="F154" s="637" t="s">
        <v>263</v>
      </c>
      <c r="G154" s="637" t="s">
        <v>263</v>
      </c>
      <c r="H154" s="637" t="s">
        <v>263</v>
      </c>
      <c r="I154" s="637" t="s">
        <v>263</v>
      </c>
      <c r="J154" s="637" t="s">
        <v>263</v>
      </c>
      <c r="K154" s="637" t="s">
        <v>263</v>
      </c>
      <c r="L154" s="637" t="s">
        <v>263</v>
      </c>
      <c r="O154" s="89"/>
    </row>
    <row r="155" spans="3:15" ht="14.1" customHeight="1">
      <c r="C155" s="561" t="s">
        <v>481</v>
      </c>
      <c r="D155" s="562" t="s">
        <v>272</v>
      </c>
      <c r="E155" s="466">
        <v>703319</v>
      </c>
      <c r="F155" s="639" t="s">
        <v>150</v>
      </c>
      <c r="G155" s="639" t="s">
        <v>150</v>
      </c>
      <c r="H155" s="639"/>
      <c r="I155" s="639" t="s">
        <v>149</v>
      </c>
      <c r="J155" s="639"/>
      <c r="K155" s="639" t="s">
        <v>150</v>
      </c>
      <c r="L155" s="639"/>
      <c r="O155" s="89"/>
    </row>
    <row r="156" spans="3:15" ht="14.1" customHeight="1">
      <c r="C156" s="561" t="s">
        <v>482</v>
      </c>
      <c r="D156" s="562" t="s">
        <v>273</v>
      </c>
      <c r="E156" s="466">
        <v>703543</v>
      </c>
      <c r="F156" s="639"/>
      <c r="G156" s="639"/>
      <c r="H156" s="639" t="s">
        <v>150</v>
      </c>
      <c r="I156" s="639"/>
      <c r="J156" s="639" t="s">
        <v>222</v>
      </c>
      <c r="K156" s="639" t="s">
        <v>222</v>
      </c>
      <c r="L156" s="639" t="s">
        <v>222</v>
      </c>
      <c r="O156" s="89"/>
    </row>
    <row r="157" spans="3:15" ht="14.1" customHeight="1" thickBot="1">
      <c r="C157" s="561" t="s">
        <v>497</v>
      </c>
      <c r="D157" s="562" t="s">
        <v>274</v>
      </c>
      <c r="E157" s="466">
        <v>703530</v>
      </c>
      <c r="F157" s="639"/>
      <c r="G157" s="639" t="s">
        <v>149</v>
      </c>
      <c r="H157" s="639" t="s">
        <v>149</v>
      </c>
      <c r="I157" s="639" t="s">
        <v>150</v>
      </c>
      <c r="J157" s="639" t="s">
        <v>150</v>
      </c>
      <c r="K157" s="639"/>
      <c r="L157" s="639" t="s">
        <v>149</v>
      </c>
      <c r="O157" s="89"/>
    </row>
    <row r="158" spans="3:15" ht="14.1" customHeight="1">
      <c r="C158" s="561" t="s">
        <v>484</v>
      </c>
      <c r="D158" s="231" t="s">
        <v>485</v>
      </c>
      <c r="E158" s="466">
        <v>700626</v>
      </c>
      <c r="F158" s="578" t="s">
        <v>342</v>
      </c>
      <c r="G158" s="565" t="s">
        <v>149</v>
      </c>
      <c r="H158" s="565" t="s">
        <v>149</v>
      </c>
      <c r="I158" s="235" t="s">
        <v>149</v>
      </c>
      <c r="J158" s="235"/>
      <c r="K158" s="235"/>
      <c r="L158" s="236"/>
      <c r="O158" s="89"/>
    </row>
    <row r="159" spans="3:15" ht="14.1" customHeight="1">
      <c r="C159" s="561"/>
      <c r="D159" s="175"/>
      <c r="E159" s="114"/>
      <c r="F159" s="813" t="s">
        <v>275</v>
      </c>
      <c r="G159" s="814"/>
      <c r="H159" s="814"/>
      <c r="I159" s="814"/>
      <c r="J159" s="814"/>
      <c r="K159" s="814"/>
      <c r="L159" s="815"/>
      <c r="O159" s="89"/>
    </row>
    <row r="160" spans="3:15" ht="14.1" customHeight="1">
      <c r="D160" s="476"/>
      <c r="E160" s="477"/>
      <c r="F160" s="641"/>
      <c r="G160" s="641"/>
      <c r="H160" s="641"/>
      <c r="I160" s="641"/>
      <c r="J160" s="641"/>
      <c r="K160" s="641"/>
      <c r="L160" s="641"/>
      <c r="O160" s="89"/>
    </row>
    <row r="161" spans="3:15" ht="14.1" customHeight="1">
      <c r="D161" s="479"/>
      <c r="E161" s="477"/>
      <c r="F161" s="641"/>
      <c r="G161" s="641"/>
      <c r="H161" s="641"/>
      <c r="I161" s="641"/>
      <c r="J161" s="641"/>
      <c r="K161" s="641"/>
      <c r="L161" s="641"/>
      <c r="O161" s="89"/>
    </row>
    <row r="162" spans="3:15" ht="14.1" customHeight="1">
      <c r="C162" s="563" t="s">
        <v>488</v>
      </c>
      <c r="D162" s="479" t="s">
        <v>488</v>
      </c>
      <c r="E162" s="477"/>
      <c r="F162" s="641"/>
      <c r="G162" s="641"/>
      <c r="H162" s="641"/>
      <c r="I162" s="641"/>
      <c r="J162" s="641"/>
      <c r="K162" s="641"/>
      <c r="L162" s="641"/>
      <c r="O162" s="89"/>
    </row>
    <row r="163" spans="3:15" ht="14.1" customHeight="1">
      <c r="C163" s="563"/>
      <c r="D163" s="563"/>
      <c r="E163" s="477"/>
      <c r="F163" s="641"/>
      <c r="G163" s="641"/>
      <c r="H163" s="641"/>
      <c r="I163" s="641"/>
      <c r="J163" s="641"/>
      <c r="K163" s="641"/>
      <c r="L163" s="641"/>
      <c r="O163" s="89"/>
    </row>
    <row r="164" spans="3:15" ht="14.1" customHeight="1">
      <c r="C164" s="563"/>
      <c r="D164" s="563"/>
      <c r="E164" s="477"/>
      <c r="F164" s="641"/>
      <c r="G164" s="641"/>
      <c r="H164" s="641"/>
      <c r="I164" s="641"/>
      <c r="J164" s="641"/>
      <c r="K164" s="641"/>
      <c r="L164" s="641"/>
      <c r="O164" s="89"/>
    </row>
    <row r="165" spans="3:15" ht="14.1" customHeight="1">
      <c r="C165" s="563"/>
      <c r="D165" s="563"/>
      <c r="E165" s="477"/>
      <c r="F165" s="641"/>
      <c r="G165" s="641"/>
      <c r="H165" s="641"/>
      <c r="I165" s="641"/>
      <c r="J165" s="641"/>
      <c r="K165" s="641"/>
      <c r="L165" s="641"/>
      <c r="O165" s="89"/>
    </row>
    <row r="166" spans="3:15" ht="14.1" customHeight="1">
      <c r="C166" s="563"/>
      <c r="D166" s="563"/>
      <c r="E166" s="477"/>
      <c r="G166" s="566"/>
      <c r="H166" s="566"/>
      <c r="I166" s="566"/>
      <c r="J166" s="566"/>
      <c r="K166" s="566"/>
      <c r="L166" s="566"/>
      <c r="O166" s="89"/>
    </row>
    <row r="167" spans="3:15" ht="14.1" customHeight="1">
      <c r="C167" s="563"/>
      <c r="D167" s="563"/>
      <c r="E167" s="477"/>
      <c r="G167" s="566"/>
      <c r="H167" s="566"/>
      <c r="I167" s="566"/>
      <c r="J167" s="566"/>
      <c r="K167" s="566"/>
      <c r="L167" s="566"/>
      <c r="O167" s="89"/>
    </row>
    <row r="168" spans="3:15" ht="14.1" customHeight="1">
      <c r="C168" s="563"/>
      <c r="D168" s="563"/>
      <c r="E168" s="477"/>
      <c r="G168" s="566"/>
      <c r="H168" s="566"/>
      <c r="I168" s="566"/>
      <c r="J168" s="566"/>
      <c r="K168" s="566"/>
      <c r="L168" s="566"/>
      <c r="O168" s="89"/>
    </row>
    <row r="169" spans="3:15" ht="14.1" customHeight="1">
      <c r="C169" s="563"/>
      <c r="D169" s="563"/>
      <c r="E169" s="477"/>
      <c r="F169" s="210"/>
      <c r="G169" s="578"/>
      <c r="H169" s="578"/>
      <c r="I169" s="578"/>
      <c r="J169" s="578"/>
      <c r="K169" s="578"/>
      <c r="L169" s="578"/>
      <c r="O169" s="89"/>
    </row>
    <row r="170" spans="3:15" ht="14.1" customHeight="1">
      <c r="C170" s="538" t="s">
        <v>1</v>
      </c>
      <c r="D170" s="538" t="s">
        <v>1</v>
      </c>
      <c r="E170" s="615"/>
      <c r="F170" s="565">
        <f t="shared" ref="F170:L170" si="21">COUNTIF(F6:F168,"0800-1730*")+COUNTIF(F6:F168,"0800-1800*")+COUNTIF(F6:F168,"0730-*")-COUNTIF(F6:F168,"*0800-1730 CS*")-COUNTIF(F6:F168,"*0800-1800 CS*")-COUNTIF(F6:F168,"*0800-1730 PHNW*")-COUNTIF(F6:F168,"*0800-1730 DEMT*")-COUNTIF(F6:F168,"*0800-1730 DD*")</f>
        <v>14</v>
      </c>
      <c r="G170" s="565">
        <f t="shared" si="21"/>
        <v>13</v>
      </c>
      <c r="H170" s="565">
        <f t="shared" si="21"/>
        <v>14</v>
      </c>
      <c r="I170" s="565">
        <f t="shared" si="21"/>
        <v>17</v>
      </c>
      <c r="J170" s="565">
        <f t="shared" si="21"/>
        <v>14</v>
      </c>
      <c r="K170" s="565">
        <f t="shared" si="21"/>
        <v>12</v>
      </c>
      <c r="L170" s="565">
        <f t="shared" si="21"/>
        <v>13</v>
      </c>
      <c r="O170" s="89"/>
    </row>
    <row r="171" spans="3:15" ht="14.1" customHeight="1">
      <c r="C171" s="538" t="s">
        <v>276</v>
      </c>
      <c r="D171" s="538" t="s">
        <v>276</v>
      </c>
      <c r="E171" s="615"/>
      <c r="F171" s="65">
        <f t="shared" ref="F171:L171" si="22">COUNTIF(F6:F168,"*SWA*")</f>
        <v>0</v>
      </c>
      <c r="G171" s="65">
        <f t="shared" si="22"/>
        <v>1</v>
      </c>
      <c r="H171" s="65">
        <f t="shared" si="22"/>
        <v>1</v>
      </c>
      <c r="I171" s="65">
        <f t="shared" si="22"/>
        <v>0</v>
      </c>
      <c r="J171" s="65">
        <f t="shared" si="22"/>
        <v>2</v>
      </c>
      <c r="K171" s="65">
        <f t="shared" si="22"/>
        <v>0</v>
      </c>
      <c r="L171" s="65">
        <f t="shared" si="22"/>
        <v>0</v>
      </c>
      <c r="O171" s="89"/>
    </row>
    <row r="172" spans="3:15" ht="14.1" customHeight="1">
      <c r="C172" s="538" t="s">
        <v>2</v>
      </c>
      <c r="D172" s="538" t="s">
        <v>2</v>
      </c>
      <c r="E172" s="615"/>
      <c r="F172" s="65">
        <f t="shared" ref="F172:L172" si="23">COUNTIF(F6:F168,"*1400-*")+COUNTIF(F6:F168,"*1430-*")</f>
        <v>14</v>
      </c>
      <c r="G172" s="65">
        <f t="shared" si="23"/>
        <v>18</v>
      </c>
      <c r="H172" s="65">
        <f t="shared" si="23"/>
        <v>16</v>
      </c>
      <c r="I172" s="65">
        <f t="shared" si="23"/>
        <v>14</v>
      </c>
      <c r="J172" s="65">
        <f t="shared" si="23"/>
        <v>12</v>
      </c>
      <c r="K172" s="65">
        <f t="shared" si="23"/>
        <v>13</v>
      </c>
      <c r="L172" s="65">
        <f t="shared" si="23"/>
        <v>13</v>
      </c>
      <c r="O172" s="89"/>
    </row>
    <row r="173" spans="3:15" ht="14.1" customHeight="1">
      <c r="C173" s="538" t="s">
        <v>277</v>
      </c>
      <c r="D173" s="538" t="s">
        <v>277</v>
      </c>
      <c r="E173" s="615"/>
      <c r="F173" s="65">
        <f t="shared" ref="F173:L173" si="24">COUNTIF(F7:F168,"*SWP*")</f>
        <v>0</v>
      </c>
      <c r="G173" s="65">
        <f t="shared" si="24"/>
        <v>0</v>
      </c>
      <c r="H173" s="65">
        <f t="shared" si="24"/>
        <v>0</v>
      </c>
      <c r="I173" s="65">
        <f t="shared" si="24"/>
        <v>1</v>
      </c>
      <c r="J173" s="65">
        <f t="shared" si="24"/>
        <v>2</v>
      </c>
      <c r="K173" s="65">
        <f t="shared" si="24"/>
        <v>0</v>
      </c>
      <c r="L173" s="65">
        <f t="shared" si="24"/>
        <v>0</v>
      </c>
      <c r="O173" s="89"/>
    </row>
    <row r="174" spans="3:15" ht="14.1" customHeight="1" thickBot="1">
      <c r="C174" s="845" t="s">
        <v>278</v>
      </c>
      <c r="D174" s="845" t="s">
        <v>278</v>
      </c>
      <c r="E174" s="615"/>
      <c r="F174" s="65">
        <f t="shared" ref="F174:L174" si="25">COUNTIF(F6:F168,"2300-*")</f>
        <v>9</v>
      </c>
      <c r="G174" s="65">
        <f t="shared" si="25"/>
        <v>8</v>
      </c>
      <c r="H174" s="65">
        <f t="shared" si="25"/>
        <v>9</v>
      </c>
      <c r="I174" s="65">
        <f t="shared" si="25"/>
        <v>9</v>
      </c>
      <c r="J174" s="65">
        <f t="shared" si="25"/>
        <v>9</v>
      </c>
      <c r="K174" s="65">
        <f t="shared" si="25"/>
        <v>9</v>
      </c>
      <c r="L174" s="65">
        <f t="shared" si="25"/>
        <v>8</v>
      </c>
      <c r="O174" s="89"/>
    </row>
    <row r="175" spans="3:15" ht="14.1" customHeight="1">
      <c r="C175" s="84"/>
      <c r="D175" s="556"/>
      <c r="E175" s="615"/>
      <c r="F175" s="65"/>
      <c r="G175" s="565"/>
      <c r="H175" s="565"/>
      <c r="I175" s="565"/>
      <c r="J175" s="565"/>
      <c r="K175" s="565"/>
      <c r="L175" s="565"/>
      <c r="O175" s="89"/>
    </row>
    <row r="176" spans="3:15" ht="14.1" customHeight="1">
      <c r="C176" s="50"/>
      <c r="D176" s="556" t="s">
        <v>489</v>
      </c>
      <c r="E176" s="615"/>
      <c r="G176" s="566"/>
      <c r="H176" s="566"/>
      <c r="I176" s="566"/>
      <c r="J176" s="566"/>
      <c r="K176" s="566"/>
      <c r="L176" s="566"/>
      <c r="O176" s="89"/>
    </row>
    <row r="177" spans="3:15" ht="14.1" customHeight="1">
      <c r="C177" s="50"/>
      <c r="D177" s="139" t="s">
        <v>157</v>
      </c>
      <c r="E177" s="615"/>
      <c r="F177" s="857"/>
      <c r="G177" s="857"/>
      <c r="H177" s="858"/>
      <c r="I177" s="857"/>
      <c r="J177" s="857"/>
      <c r="K177" s="857"/>
      <c r="L177" s="857"/>
      <c r="O177" s="89"/>
    </row>
    <row r="178" spans="3:15" ht="14.1" customHeight="1">
      <c r="C178" s="50"/>
      <c r="D178" s="182" t="s">
        <v>159</v>
      </c>
      <c r="E178" s="615">
        <v>628440</v>
      </c>
      <c r="F178" s="857"/>
      <c r="G178" s="857"/>
      <c r="H178" s="859" t="s">
        <v>279</v>
      </c>
      <c r="I178" s="857"/>
      <c r="J178" s="857"/>
      <c r="K178" s="857"/>
      <c r="L178" s="857"/>
      <c r="O178" s="89"/>
    </row>
    <row r="179" spans="3:15" ht="14.1" customHeight="1">
      <c r="C179" s="50"/>
      <c r="D179" s="183" t="s">
        <v>164</v>
      </c>
      <c r="E179" s="615">
        <v>653976</v>
      </c>
      <c r="F179" s="857"/>
      <c r="G179" s="857"/>
      <c r="H179" s="859" t="s">
        <v>279</v>
      </c>
      <c r="I179" s="857"/>
      <c r="J179" s="857"/>
      <c r="K179" s="857"/>
      <c r="L179" s="857"/>
      <c r="O179" s="89"/>
    </row>
    <row r="180" spans="3:15" ht="14.1" customHeight="1">
      <c r="C180" s="50"/>
      <c r="D180" s="184" t="s">
        <v>166</v>
      </c>
      <c r="E180" s="615">
        <v>654362</v>
      </c>
      <c r="F180" s="857"/>
      <c r="G180" s="857"/>
      <c r="H180" s="859" t="s">
        <v>279</v>
      </c>
      <c r="I180" s="857"/>
      <c r="J180" s="857"/>
      <c r="K180" s="857"/>
      <c r="L180" s="857"/>
      <c r="O180" s="89"/>
    </row>
    <row r="181" spans="3:15" ht="14.1" customHeight="1">
      <c r="C181" s="50"/>
      <c r="D181" s="184" t="s">
        <v>168</v>
      </c>
      <c r="E181" s="615">
        <v>615829</v>
      </c>
      <c r="F181" s="857"/>
      <c r="G181" s="857"/>
      <c r="H181" s="859" t="s">
        <v>280</v>
      </c>
      <c r="I181" s="857"/>
      <c r="J181" s="857"/>
      <c r="K181" s="857"/>
      <c r="L181" s="857"/>
      <c r="O181" s="89"/>
    </row>
    <row r="182" spans="3:15" ht="14.1" customHeight="1">
      <c r="C182" s="50"/>
      <c r="D182" s="841" t="s">
        <v>170</v>
      </c>
      <c r="E182" s="615">
        <v>619567</v>
      </c>
      <c r="F182" s="857"/>
      <c r="G182" s="857"/>
      <c r="H182" s="859" t="s">
        <v>280</v>
      </c>
      <c r="I182" s="857"/>
      <c r="J182" s="857"/>
      <c r="K182" s="857"/>
      <c r="L182" s="857"/>
      <c r="O182" s="89"/>
    </row>
    <row r="183" spans="3:15" ht="14.1" customHeight="1">
      <c r="C183" s="50"/>
      <c r="D183" s="183" t="s">
        <v>171</v>
      </c>
      <c r="E183" s="615">
        <v>626157</v>
      </c>
      <c r="F183" s="857"/>
      <c r="G183" s="857"/>
      <c r="H183" s="859" t="s">
        <v>281</v>
      </c>
      <c r="I183" s="857"/>
      <c r="J183" s="857"/>
      <c r="K183" s="857"/>
      <c r="L183" s="857"/>
      <c r="O183" s="89"/>
    </row>
    <row r="184" spans="3:15" ht="14.1" customHeight="1">
      <c r="C184" s="50"/>
      <c r="D184" s="185" t="s">
        <v>173</v>
      </c>
      <c r="E184" s="615">
        <v>645122</v>
      </c>
      <c r="F184" s="857"/>
      <c r="G184" s="857"/>
      <c r="H184" s="859" t="s">
        <v>281</v>
      </c>
      <c r="I184" s="857"/>
      <c r="J184" s="857"/>
      <c r="K184" s="857"/>
      <c r="L184" s="857"/>
      <c r="O184" s="89"/>
    </row>
    <row r="185" spans="3:15" ht="14.1" customHeight="1">
      <c r="C185" s="50"/>
      <c r="D185" s="182" t="s">
        <v>174</v>
      </c>
      <c r="E185" s="615">
        <v>615820</v>
      </c>
      <c r="F185" s="857"/>
      <c r="G185" s="857"/>
      <c r="H185" s="859" t="s">
        <v>282</v>
      </c>
      <c r="I185" s="857"/>
      <c r="J185" s="857"/>
      <c r="K185" s="857"/>
      <c r="L185" s="857"/>
      <c r="O185" s="89"/>
    </row>
    <row r="186" spans="3:15" ht="14.1" customHeight="1" thickBot="1">
      <c r="C186" s="50"/>
      <c r="D186" s="197" t="s">
        <v>175</v>
      </c>
      <c r="E186" s="615">
        <v>624174</v>
      </c>
      <c r="F186" s="857"/>
      <c r="G186" s="857"/>
      <c r="H186" s="860" t="s">
        <v>283</v>
      </c>
      <c r="I186" s="857"/>
      <c r="J186" s="857"/>
      <c r="K186" s="857"/>
      <c r="L186" s="857"/>
      <c r="O186" s="89"/>
    </row>
    <row r="187" spans="3:15" ht="14.1" customHeight="1">
      <c r="C187" s="50"/>
      <c r="D187" s="70" t="s">
        <v>176</v>
      </c>
      <c r="E187" s="625"/>
      <c r="F187" s="857"/>
      <c r="G187" s="857"/>
      <c r="H187" s="858"/>
      <c r="I187" s="857"/>
      <c r="J187" s="857"/>
      <c r="K187" s="857"/>
      <c r="L187" s="857"/>
      <c r="O187" s="89"/>
    </row>
    <row r="188" spans="3:15" ht="14.1" customHeight="1">
      <c r="C188" s="50"/>
      <c r="D188" s="546" t="s">
        <v>177</v>
      </c>
      <c r="E188" s="615">
        <v>637990</v>
      </c>
      <c r="F188" s="857"/>
      <c r="G188" s="857"/>
      <c r="H188" s="859" t="s">
        <v>279</v>
      </c>
      <c r="I188" s="857"/>
      <c r="J188" s="857"/>
      <c r="K188" s="857"/>
      <c r="L188" s="857"/>
      <c r="O188" s="89"/>
    </row>
    <row r="189" spans="3:15" ht="14.1" customHeight="1">
      <c r="C189" s="50"/>
      <c r="D189" s="184" t="s">
        <v>179</v>
      </c>
      <c r="E189" s="615">
        <v>652867</v>
      </c>
      <c r="F189" s="857"/>
      <c r="G189" s="857"/>
      <c r="H189" s="859" t="s">
        <v>279</v>
      </c>
      <c r="I189" s="857"/>
      <c r="J189" s="857"/>
      <c r="K189" s="857"/>
      <c r="L189" s="857"/>
      <c r="O189" s="89"/>
    </row>
    <row r="190" spans="3:15" ht="14.1" customHeight="1">
      <c r="C190" s="50"/>
      <c r="D190" s="547" t="s">
        <v>180</v>
      </c>
      <c r="E190" s="615">
        <v>638831</v>
      </c>
      <c r="F190" s="857"/>
      <c r="G190" s="857"/>
      <c r="H190" s="859" t="s">
        <v>279</v>
      </c>
      <c r="I190" s="857"/>
      <c r="J190" s="857"/>
      <c r="K190" s="857"/>
      <c r="L190" s="857"/>
      <c r="O190" s="89"/>
    </row>
    <row r="191" spans="3:15" ht="14.1" customHeight="1">
      <c r="C191" s="50"/>
      <c r="D191" s="548" t="s">
        <v>182</v>
      </c>
      <c r="E191" s="615">
        <v>631314</v>
      </c>
      <c r="F191" s="857"/>
      <c r="G191" s="857"/>
      <c r="H191" s="859" t="s">
        <v>281</v>
      </c>
      <c r="I191" s="857"/>
      <c r="J191" s="857"/>
      <c r="K191" s="857"/>
      <c r="L191" s="857"/>
      <c r="O191" s="89"/>
    </row>
    <row r="192" spans="3:15" ht="14.1" customHeight="1">
      <c r="C192" s="50"/>
      <c r="D192" s="548" t="s">
        <v>185</v>
      </c>
      <c r="E192" s="615">
        <v>631732</v>
      </c>
      <c r="F192" s="857"/>
      <c r="G192" s="857"/>
      <c r="H192" s="859" t="s">
        <v>281</v>
      </c>
      <c r="I192" s="857"/>
      <c r="J192" s="857"/>
      <c r="K192" s="857"/>
      <c r="L192" s="857"/>
      <c r="O192" s="89"/>
    </row>
    <row r="193" spans="3:15" ht="14.1" customHeight="1">
      <c r="C193" s="50"/>
      <c r="D193" s="549" t="s">
        <v>186</v>
      </c>
      <c r="E193" s="615">
        <v>634876</v>
      </c>
      <c r="F193" s="857"/>
      <c r="G193" s="857"/>
      <c r="H193" s="859" t="s">
        <v>281</v>
      </c>
      <c r="I193" s="857"/>
      <c r="J193" s="857"/>
      <c r="K193" s="857"/>
      <c r="L193" s="857"/>
      <c r="O193" s="89"/>
    </row>
    <row r="194" spans="3:15" ht="14.1" customHeight="1">
      <c r="C194" s="50"/>
      <c r="D194" s="846" t="s">
        <v>189</v>
      </c>
      <c r="E194" s="615"/>
      <c r="F194" s="857"/>
      <c r="G194" s="857"/>
      <c r="H194" s="858"/>
      <c r="I194" s="857"/>
      <c r="J194" s="857"/>
      <c r="K194" s="857"/>
      <c r="L194" s="857"/>
      <c r="O194" s="89"/>
    </row>
    <row r="195" spans="3:15" ht="14.1" customHeight="1">
      <c r="C195" s="50"/>
      <c r="D195" s="188" t="s">
        <v>190</v>
      </c>
      <c r="E195" s="615">
        <v>648620</v>
      </c>
      <c r="F195" s="857"/>
      <c r="G195" s="857"/>
      <c r="H195" s="859" t="s">
        <v>279</v>
      </c>
      <c r="I195" s="857"/>
      <c r="J195" s="857"/>
      <c r="K195" s="857"/>
      <c r="L195" s="857"/>
      <c r="O195" s="89"/>
    </row>
    <row r="196" spans="3:15" ht="14.1" customHeight="1">
      <c r="C196" s="50"/>
      <c r="D196" s="189" t="s">
        <v>193</v>
      </c>
      <c r="E196" s="615">
        <v>652357</v>
      </c>
      <c r="F196" s="857"/>
      <c r="G196" s="857"/>
      <c r="H196" s="859" t="s">
        <v>279</v>
      </c>
      <c r="I196" s="857"/>
      <c r="J196" s="857"/>
      <c r="K196" s="857"/>
      <c r="L196" s="857"/>
      <c r="O196" s="89"/>
    </row>
    <row r="197" spans="3:15" ht="14.1" customHeight="1">
      <c r="C197" s="50"/>
      <c r="D197" s="551" t="s">
        <v>196</v>
      </c>
      <c r="E197" s="631">
        <v>703714</v>
      </c>
      <c r="F197" s="857"/>
      <c r="G197" s="857"/>
      <c r="H197" s="859" t="s">
        <v>279</v>
      </c>
      <c r="I197" s="857"/>
      <c r="J197" s="857"/>
      <c r="K197" s="857"/>
      <c r="L197" s="857"/>
      <c r="O197" s="89"/>
    </row>
    <row r="198" spans="3:15" ht="14.1" customHeight="1">
      <c r="C198" s="50"/>
      <c r="D198" s="189" t="s">
        <v>198</v>
      </c>
      <c r="E198" s="615">
        <v>655089</v>
      </c>
      <c r="F198" s="857"/>
      <c r="G198" s="857"/>
      <c r="H198" s="859" t="s">
        <v>279</v>
      </c>
      <c r="I198" s="857"/>
      <c r="J198" s="857"/>
      <c r="K198" s="857"/>
      <c r="L198" s="857"/>
      <c r="O198" s="89"/>
    </row>
    <row r="199" spans="3:15" ht="14.1" customHeight="1">
      <c r="C199" s="50"/>
      <c r="D199" s="190" t="s">
        <v>199</v>
      </c>
      <c r="E199" s="615">
        <v>649364</v>
      </c>
      <c r="F199" s="857"/>
      <c r="G199" s="857"/>
      <c r="H199" s="859" t="s">
        <v>280</v>
      </c>
      <c r="I199" s="857"/>
      <c r="J199" s="857"/>
      <c r="K199" s="857"/>
      <c r="L199" s="857"/>
      <c r="O199" s="89"/>
    </row>
    <row r="200" spans="3:15" ht="14.1" customHeight="1">
      <c r="C200" s="50"/>
      <c r="D200" s="191" t="s">
        <v>200</v>
      </c>
      <c r="E200" s="615">
        <v>700872</v>
      </c>
      <c r="F200" s="857"/>
      <c r="G200" s="857"/>
      <c r="H200" s="859" t="s">
        <v>279</v>
      </c>
      <c r="I200" s="857"/>
      <c r="J200" s="857"/>
      <c r="K200" s="857"/>
      <c r="L200" s="857"/>
      <c r="O200" s="89"/>
    </row>
    <row r="201" spans="3:15" ht="14.1" customHeight="1">
      <c r="C201" s="50"/>
      <c r="D201" s="552" t="s">
        <v>202</v>
      </c>
      <c r="E201" s="631">
        <v>703861</v>
      </c>
      <c r="F201" s="857"/>
      <c r="G201" s="857"/>
      <c r="H201" s="859" t="s">
        <v>279</v>
      </c>
      <c r="I201" s="857"/>
      <c r="J201" s="857"/>
      <c r="K201" s="857"/>
      <c r="L201" s="857"/>
      <c r="O201" s="89"/>
    </row>
    <row r="202" spans="3:15" ht="14.1" customHeight="1">
      <c r="C202" s="50"/>
      <c r="D202" s="192" t="s">
        <v>204</v>
      </c>
      <c r="E202" s="615">
        <v>652868</v>
      </c>
      <c r="F202" s="857"/>
      <c r="G202" s="857"/>
      <c r="H202" s="859" t="s">
        <v>280</v>
      </c>
      <c r="I202" s="857"/>
      <c r="J202" s="857"/>
      <c r="K202" s="857"/>
      <c r="L202" s="857"/>
      <c r="O202" s="89"/>
    </row>
    <row r="203" spans="3:15" ht="14.1" customHeight="1">
      <c r="C203" s="50"/>
      <c r="D203" s="189" t="s">
        <v>205</v>
      </c>
      <c r="E203" s="615">
        <v>652998</v>
      </c>
      <c r="F203" s="857"/>
      <c r="G203" s="857"/>
      <c r="H203" s="859" t="s">
        <v>280</v>
      </c>
      <c r="I203" s="857"/>
      <c r="J203" s="857"/>
      <c r="K203" s="857"/>
      <c r="L203" s="857"/>
      <c r="O203" s="89"/>
    </row>
    <row r="204" spans="3:15" ht="14.1" customHeight="1">
      <c r="C204" s="50"/>
      <c r="D204" s="193" t="s">
        <v>206</v>
      </c>
      <c r="E204" s="631">
        <v>654959</v>
      </c>
      <c r="F204" s="857"/>
      <c r="G204" s="857"/>
      <c r="H204" s="859" t="s">
        <v>279</v>
      </c>
      <c r="I204" s="857"/>
      <c r="J204" s="857"/>
      <c r="K204" s="857"/>
      <c r="L204" s="857"/>
      <c r="O204" s="89"/>
    </row>
    <row r="205" spans="3:15" ht="14.1" customHeight="1">
      <c r="C205" s="50"/>
      <c r="D205" s="551" t="s">
        <v>207</v>
      </c>
      <c r="E205" s="615">
        <v>654981</v>
      </c>
      <c r="F205" s="857"/>
      <c r="G205" s="857"/>
      <c r="H205" s="859" t="s">
        <v>280</v>
      </c>
      <c r="I205" s="857"/>
      <c r="J205" s="857"/>
      <c r="K205" s="857"/>
      <c r="L205" s="857"/>
      <c r="O205" s="89"/>
    </row>
    <row r="206" spans="3:15" ht="14.1" customHeight="1">
      <c r="C206" s="50"/>
      <c r="D206" s="553" t="s">
        <v>208</v>
      </c>
      <c r="E206" s="615">
        <v>703795</v>
      </c>
      <c r="F206" s="857"/>
      <c r="G206" s="857"/>
      <c r="H206" s="859" t="s">
        <v>280</v>
      </c>
      <c r="I206" s="857"/>
      <c r="J206" s="857"/>
      <c r="K206" s="857"/>
      <c r="L206" s="857"/>
      <c r="O206" s="89"/>
    </row>
    <row r="207" spans="3:15" ht="14.1" customHeight="1">
      <c r="C207" s="50"/>
      <c r="D207" s="551" t="s">
        <v>209</v>
      </c>
      <c r="E207" s="615">
        <v>652364</v>
      </c>
      <c r="F207" s="857"/>
      <c r="G207" s="857"/>
      <c r="H207" s="859" t="s">
        <v>280</v>
      </c>
      <c r="I207" s="857"/>
      <c r="J207" s="857"/>
      <c r="K207" s="857"/>
      <c r="L207" s="857"/>
      <c r="O207" s="89"/>
    </row>
    <row r="208" spans="3:15" ht="14.1" customHeight="1">
      <c r="C208" s="50"/>
      <c r="D208" s="551" t="s">
        <v>210</v>
      </c>
      <c r="E208" s="615">
        <v>644433</v>
      </c>
      <c r="F208" s="857"/>
      <c r="G208" s="857"/>
      <c r="H208" s="859" t="s">
        <v>281</v>
      </c>
      <c r="I208" s="857"/>
      <c r="J208" s="857"/>
      <c r="K208" s="857"/>
      <c r="L208" s="857"/>
      <c r="O208" s="89"/>
    </row>
    <row r="209" spans="3:15" ht="14.1" customHeight="1">
      <c r="C209" s="50"/>
      <c r="D209" s="551" t="s">
        <v>211</v>
      </c>
      <c r="E209" s="615">
        <v>650602</v>
      </c>
      <c r="F209" s="857"/>
      <c r="G209" s="857"/>
      <c r="H209" s="859" t="s">
        <v>281</v>
      </c>
      <c r="I209" s="857"/>
      <c r="J209" s="857"/>
      <c r="K209" s="857"/>
      <c r="L209" s="857"/>
      <c r="O209" s="89"/>
    </row>
    <row r="210" spans="3:15" ht="14.1" customHeight="1">
      <c r="C210" s="50"/>
      <c r="D210" s="552" t="s">
        <v>212</v>
      </c>
      <c r="E210" s="631">
        <v>704893</v>
      </c>
      <c r="F210" s="857"/>
      <c r="G210" s="857"/>
      <c r="H210" s="859" t="s">
        <v>279</v>
      </c>
      <c r="I210" s="857"/>
      <c r="J210" s="857"/>
      <c r="K210" s="857"/>
      <c r="L210" s="857"/>
      <c r="O210" s="89"/>
    </row>
    <row r="211" spans="3:15" ht="14.1" customHeight="1">
      <c r="C211" s="50"/>
      <c r="D211" s="194" t="s">
        <v>214</v>
      </c>
      <c r="E211" s="615">
        <v>636733</v>
      </c>
      <c r="F211" s="857"/>
      <c r="G211" s="857"/>
      <c r="H211" s="859" t="s">
        <v>280</v>
      </c>
      <c r="I211" s="857"/>
      <c r="J211" s="857"/>
      <c r="K211" s="857"/>
      <c r="L211" s="857"/>
      <c r="O211" s="89"/>
    </row>
    <row r="212" spans="3:15" ht="14.1" customHeight="1">
      <c r="C212" s="50"/>
      <c r="D212" s="192" t="s">
        <v>216</v>
      </c>
      <c r="E212" s="200">
        <v>637770</v>
      </c>
      <c r="F212" s="857"/>
      <c r="G212" s="857"/>
      <c r="H212" s="859" t="s">
        <v>279</v>
      </c>
      <c r="I212" s="857"/>
      <c r="J212" s="857"/>
      <c r="K212" s="857"/>
      <c r="L212" s="857"/>
      <c r="O212" s="89"/>
    </row>
    <row r="213" spans="3:15" ht="14.1" customHeight="1">
      <c r="C213" s="50"/>
      <c r="D213" s="56"/>
      <c r="E213" s="82"/>
      <c r="G213" s="566"/>
      <c r="H213" s="566"/>
      <c r="I213" s="566"/>
      <c r="J213" s="566"/>
      <c r="K213" s="566"/>
      <c r="L213" s="566"/>
      <c r="O213" s="89"/>
    </row>
    <row r="214" spans="3:15" ht="14.1" customHeight="1">
      <c r="C214" s="564"/>
      <c r="D214" s="564"/>
      <c r="E214" s="82"/>
      <c r="G214" s="566"/>
      <c r="H214" s="566"/>
      <c r="I214" s="566"/>
      <c r="J214" s="566"/>
      <c r="K214" s="566"/>
      <c r="L214" s="566"/>
      <c r="O214" s="89"/>
    </row>
    <row r="215" spans="3:15" ht="14.1" customHeight="1">
      <c r="C215" s="564"/>
      <c r="D215" s="564"/>
      <c r="E215" s="82"/>
      <c r="G215" s="566"/>
      <c r="H215" s="566"/>
      <c r="I215" s="566"/>
      <c r="J215" s="566"/>
      <c r="K215" s="566"/>
      <c r="L215" s="566"/>
      <c r="O215" s="89"/>
    </row>
    <row r="216" spans="3:15" ht="14.1" customHeight="1">
      <c r="D216" s="56"/>
      <c r="E216" s="82"/>
      <c r="G216" s="566"/>
      <c r="H216" s="566"/>
      <c r="I216" s="566"/>
      <c r="J216" s="566"/>
      <c r="K216" s="566"/>
      <c r="L216" s="566"/>
      <c r="O216" s="89"/>
    </row>
    <row r="217" spans="3:15" ht="14.1" customHeight="1">
      <c r="C217" s="564"/>
      <c r="D217" s="564"/>
      <c r="E217" s="82"/>
      <c r="G217" s="566"/>
      <c r="H217" s="566"/>
      <c r="I217" s="566"/>
      <c r="J217" s="566"/>
      <c r="K217" s="566"/>
      <c r="L217" s="566"/>
      <c r="O217" s="89"/>
    </row>
    <row r="218" spans="3:15" ht="14.1" customHeight="1">
      <c r="C218" s="564"/>
      <c r="D218" s="564"/>
      <c r="E218" s="82"/>
      <c r="G218" s="566"/>
      <c r="H218" s="566"/>
      <c r="I218" s="566"/>
      <c r="J218" s="566"/>
      <c r="K218" s="566"/>
      <c r="L218" s="566"/>
      <c r="O218" s="89"/>
    </row>
    <row r="219" spans="3:15" ht="14.1" customHeight="1">
      <c r="D219" s="56"/>
      <c r="E219" s="82"/>
      <c r="G219" s="566"/>
      <c r="H219" s="566"/>
      <c r="I219" s="566"/>
      <c r="J219" s="566"/>
      <c r="K219" s="566"/>
      <c r="L219" s="566"/>
      <c r="O219" s="89"/>
    </row>
    <row r="220" spans="3:15" ht="14.1" customHeight="1">
      <c r="C220" s="564"/>
      <c r="D220" s="564"/>
      <c r="E220" s="82"/>
      <c r="G220" s="566"/>
      <c r="H220" s="566"/>
      <c r="I220" s="566"/>
      <c r="J220" s="566"/>
      <c r="K220" s="566"/>
      <c r="L220" s="566"/>
      <c r="O220" s="89"/>
    </row>
    <row r="221" spans="3:15" ht="14.1" customHeight="1">
      <c r="C221" s="564"/>
      <c r="D221" s="564"/>
      <c r="E221" s="82"/>
      <c r="G221" s="566"/>
      <c r="H221" s="566"/>
      <c r="I221" s="566"/>
      <c r="J221" s="566"/>
      <c r="K221" s="566"/>
      <c r="L221" s="566"/>
      <c r="O221" s="89"/>
    </row>
    <row r="222" spans="3:15" ht="14.1" customHeight="1">
      <c r="D222" s="56"/>
      <c r="E222" s="82"/>
      <c r="G222" s="566"/>
      <c r="H222" s="566"/>
      <c r="I222" s="566"/>
      <c r="J222" s="566"/>
      <c r="K222" s="566"/>
      <c r="L222" s="566"/>
      <c r="O222" s="89"/>
    </row>
    <row r="223" spans="3:15" ht="14.1" customHeight="1">
      <c r="C223" s="564"/>
      <c r="D223" s="564"/>
      <c r="E223" s="82"/>
      <c r="G223" s="566"/>
      <c r="H223" s="566"/>
      <c r="I223" s="566"/>
      <c r="J223" s="566"/>
      <c r="K223" s="566"/>
      <c r="L223" s="566"/>
      <c r="O223" s="89"/>
    </row>
    <row r="224" spans="3:15" ht="14.1" customHeight="1">
      <c r="C224" s="564"/>
      <c r="D224" s="564"/>
      <c r="E224" s="82"/>
      <c r="F224" s="65"/>
      <c r="G224" s="65"/>
      <c r="H224" s="65"/>
      <c r="I224" s="65"/>
      <c r="J224" s="65"/>
      <c r="K224" s="65"/>
      <c r="L224" s="65"/>
      <c r="O224" s="89"/>
    </row>
    <row r="225" spans="3:15" ht="14.1" customHeight="1">
      <c r="D225" s="56"/>
      <c r="E225" s="82"/>
      <c r="F225" s="65"/>
      <c r="G225" s="65"/>
      <c r="H225" s="65"/>
      <c r="I225" s="65"/>
      <c r="J225" s="65"/>
      <c r="K225" s="65"/>
      <c r="L225" s="65"/>
      <c r="O225" s="89"/>
    </row>
    <row r="226" spans="3:15" ht="14.1" customHeight="1">
      <c r="C226" s="564"/>
      <c r="D226" s="564"/>
      <c r="E226" s="82"/>
      <c r="F226" s="65"/>
      <c r="G226" s="65"/>
      <c r="H226" s="65"/>
      <c r="I226" s="65"/>
      <c r="J226" s="65"/>
      <c r="K226" s="65"/>
      <c r="L226" s="65"/>
      <c r="O226" s="89"/>
    </row>
    <row r="227" spans="3:15" ht="14.1" customHeight="1">
      <c r="C227" s="564"/>
      <c r="D227" s="564"/>
      <c r="E227" s="82"/>
      <c r="F227" s="65"/>
      <c r="G227" s="65"/>
      <c r="H227" s="65"/>
      <c r="I227" s="65"/>
      <c r="J227" s="65"/>
      <c r="K227" s="65"/>
      <c r="L227" s="65"/>
      <c r="O227" s="89"/>
    </row>
    <row r="228" spans="3:15" ht="14.1" customHeight="1">
      <c r="D228" s="56"/>
      <c r="E228" s="82"/>
      <c r="F228" s="65"/>
      <c r="G228" s="65"/>
      <c r="H228" s="65"/>
      <c r="I228" s="65"/>
      <c r="J228" s="65"/>
      <c r="K228" s="65"/>
      <c r="L228" s="65"/>
      <c r="O228" s="89"/>
    </row>
    <row r="229" spans="3:15" ht="14.1" customHeight="1">
      <c r="C229" s="564"/>
      <c r="D229" s="564"/>
      <c r="E229" s="82"/>
      <c r="F229" s="65"/>
      <c r="G229" s="565"/>
      <c r="H229" s="565"/>
      <c r="I229" s="565"/>
      <c r="J229" s="565"/>
      <c r="K229" s="565"/>
      <c r="L229" s="565"/>
      <c r="O229" s="89"/>
    </row>
    <row r="230" spans="3:15" ht="14.1" customHeight="1">
      <c r="C230" s="564"/>
      <c r="D230" s="564"/>
      <c r="E230" s="82"/>
      <c r="G230" s="66"/>
      <c r="H230" s="66"/>
      <c r="I230" s="66"/>
      <c r="J230" s="66"/>
      <c r="K230" s="566"/>
      <c r="L230" s="566"/>
      <c r="O230" s="89"/>
    </row>
    <row r="231" spans="3:15" ht="14.1" customHeight="1">
      <c r="D231" s="56"/>
      <c r="E231" s="82"/>
      <c r="G231" s="66"/>
      <c r="H231" s="66"/>
      <c r="I231" s="66"/>
      <c r="J231" s="66"/>
      <c r="K231" s="66"/>
      <c r="L231" s="66"/>
      <c r="O231" s="89"/>
    </row>
    <row r="232" spans="3:15" ht="14.1" customHeight="1">
      <c r="C232" s="564"/>
      <c r="D232" s="564"/>
      <c r="E232" s="82"/>
      <c r="G232" s="66"/>
      <c r="H232" s="66"/>
      <c r="I232" s="66"/>
      <c r="J232" s="66"/>
      <c r="K232" s="66"/>
      <c r="L232" s="66"/>
      <c r="O232" s="89"/>
    </row>
    <row r="233" spans="3:15" ht="14.1" customHeight="1">
      <c r="C233" s="564"/>
      <c r="D233" s="564"/>
      <c r="E233" s="82"/>
      <c r="G233" s="66"/>
      <c r="H233" s="66"/>
      <c r="I233" s="66"/>
      <c r="J233" s="66"/>
      <c r="K233" s="66"/>
      <c r="L233" s="66"/>
      <c r="O233" s="89"/>
    </row>
    <row r="234" spans="3:15" ht="14.1" customHeight="1">
      <c r="D234" s="56"/>
      <c r="E234" s="82"/>
      <c r="G234" s="66"/>
      <c r="H234" s="66"/>
      <c r="I234" s="66"/>
      <c r="J234" s="66"/>
      <c r="K234" s="66"/>
      <c r="L234" s="66"/>
      <c r="O234" s="89"/>
    </row>
    <row r="235" spans="3:15" ht="14.1" customHeight="1">
      <c r="C235" s="564"/>
      <c r="D235" s="564"/>
      <c r="E235" s="82"/>
      <c r="G235" s="66"/>
      <c r="H235" s="66"/>
      <c r="I235" s="66"/>
      <c r="J235" s="66"/>
      <c r="K235" s="66"/>
      <c r="L235" s="66"/>
      <c r="O235" s="567"/>
    </row>
    <row r="236" spans="3:15" ht="14.1" customHeight="1">
      <c r="C236" s="564"/>
      <c r="D236" s="564"/>
      <c r="E236" s="82"/>
      <c r="G236" s="66"/>
      <c r="H236" s="66"/>
      <c r="I236" s="66"/>
      <c r="J236" s="66"/>
      <c r="K236" s="66"/>
      <c r="L236" s="66"/>
      <c r="O236" s="567"/>
    </row>
    <row r="237" spans="3:15" ht="14.1" customHeight="1">
      <c r="D237" s="56"/>
      <c r="E237" s="82"/>
      <c r="G237" s="66"/>
      <c r="H237" s="66"/>
      <c r="I237" s="66"/>
      <c r="J237" s="66"/>
      <c r="K237" s="66"/>
      <c r="L237" s="66"/>
      <c r="O237" s="567"/>
    </row>
    <row r="238" spans="3:15" ht="14.1" customHeight="1">
      <c r="C238" s="564"/>
      <c r="D238" s="564"/>
      <c r="E238" s="82"/>
      <c r="G238" s="73"/>
      <c r="H238" s="66"/>
      <c r="I238" s="66"/>
      <c r="J238" s="66"/>
      <c r="K238" s="66"/>
      <c r="L238" s="66"/>
      <c r="O238" s="567"/>
    </row>
    <row r="239" spans="3:15" ht="14.1" customHeight="1">
      <c r="C239" s="564"/>
      <c r="D239" s="564"/>
      <c r="E239" s="82"/>
      <c r="G239" s="66"/>
      <c r="H239" s="66"/>
      <c r="I239" s="66"/>
      <c r="J239" s="66"/>
      <c r="K239" s="66"/>
      <c r="L239" s="66"/>
      <c r="O239" s="567"/>
    </row>
    <row r="240" spans="3:15" ht="14.1" customHeight="1">
      <c r="D240" s="56"/>
      <c r="E240" s="82"/>
      <c r="G240" s="66"/>
      <c r="H240" s="66"/>
      <c r="I240" s="66"/>
      <c r="J240" s="66"/>
      <c r="K240" s="66"/>
      <c r="L240" s="66"/>
      <c r="O240" s="567"/>
    </row>
    <row r="241" spans="3:12" ht="14.1" customHeight="1">
      <c r="C241" s="564"/>
      <c r="D241" s="564"/>
      <c r="E241" s="82"/>
      <c r="G241" s="74"/>
      <c r="H241" s="66"/>
      <c r="I241" s="66"/>
      <c r="J241" s="66"/>
      <c r="K241" s="66"/>
      <c r="L241" s="66"/>
    </row>
    <row r="242" spans="3:12" ht="14.1" customHeight="1">
      <c r="C242" s="564"/>
      <c r="D242" s="564"/>
      <c r="E242" s="82"/>
      <c r="G242" s="66"/>
      <c r="H242" s="66"/>
      <c r="I242" s="66"/>
      <c r="J242" s="66"/>
      <c r="K242" s="66"/>
      <c r="L242" s="66"/>
    </row>
    <row r="243" spans="3:12" ht="14.1" customHeight="1">
      <c r="D243" s="56"/>
      <c r="E243" s="82"/>
      <c r="G243" s="66"/>
      <c r="H243" s="66"/>
      <c r="I243" s="66"/>
      <c r="J243" s="66"/>
      <c r="K243" s="66"/>
      <c r="L243" s="66"/>
    </row>
    <row r="244" spans="3:12" ht="14.1" customHeight="1">
      <c r="C244" s="564"/>
      <c r="D244" s="564"/>
      <c r="E244" s="82"/>
      <c r="G244" s="566"/>
      <c r="H244" s="566"/>
      <c r="I244" s="566"/>
      <c r="J244" s="566"/>
      <c r="K244" s="566"/>
      <c r="L244" s="566"/>
    </row>
    <row r="245" spans="3:12" ht="14.1" customHeight="1">
      <c r="C245" s="564"/>
      <c r="D245" s="564"/>
      <c r="E245" s="82"/>
      <c r="G245" s="566"/>
      <c r="H245" s="566"/>
      <c r="I245" s="566"/>
      <c r="J245" s="566"/>
      <c r="K245" s="566"/>
      <c r="L245" s="566"/>
    </row>
    <row r="246" spans="3:12" ht="14.1" customHeight="1">
      <c r="D246" s="56"/>
      <c r="E246" s="82"/>
      <c r="G246" s="566"/>
      <c r="H246" s="566"/>
      <c r="I246" s="566"/>
      <c r="J246" s="566"/>
      <c r="K246" s="566"/>
      <c r="L246" s="566"/>
    </row>
    <row r="247" spans="3:12" ht="14.1" customHeight="1">
      <c r="C247" s="564"/>
      <c r="D247" s="564"/>
      <c r="E247" s="82"/>
      <c r="G247" s="566"/>
      <c r="H247" s="566"/>
      <c r="I247" s="566"/>
      <c r="J247" s="566"/>
      <c r="K247" s="566"/>
      <c r="L247" s="566"/>
    </row>
    <row r="248" spans="3:12" ht="14.1" customHeight="1">
      <c r="C248" s="564"/>
      <c r="D248" s="564"/>
      <c r="E248" s="82"/>
      <c r="G248" s="566"/>
      <c r="H248" s="566"/>
      <c r="I248" s="566"/>
      <c r="J248" s="566"/>
      <c r="K248" s="566"/>
      <c r="L248" s="566"/>
    </row>
    <row r="249" spans="3:12" ht="14.1" customHeight="1">
      <c r="D249" s="56"/>
      <c r="E249" s="82"/>
      <c r="G249" s="566"/>
      <c r="H249" s="566"/>
      <c r="I249" s="566"/>
      <c r="J249" s="566"/>
      <c r="K249" s="566"/>
      <c r="L249" s="566"/>
    </row>
    <row r="250" spans="3:12" ht="14.1" customHeight="1">
      <c r="C250" s="564"/>
      <c r="D250" s="564"/>
      <c r="E250" s="82"/>
      <c r="G250" s="566"/>
      <c r="H250" s="566"/>
      <c r="I250" s="566"/>
      <c r="J250" s="566"/>
      <c r="K250" s="566"/>
      <c r="L250" s="566"/>
    </row>
    <row r="251" spans="3:12" ht="14.1" customHeight="1">
      <c r="C251" s="564"/>
      <c r="D251" s="564"/>
      <c r="E251" s="82"/>
      <c r="G251" s="566"/>
      <c r="H251" s="566"/>
      <c r="I251" s="566"/>
      <c r="J251" s="566"/>
      <c r="K251" s="566"/>
      <c r="L251" s="566"/>
    </row>
    <row r="252" spans="3:12" ht="14.1" customHeight="1">
      <c r="D252" s="56"/>
      <c r="E252" s="82"/>
      <c r="F252" s="65"/>
      <c r="G252" s="565"/>
      <c r="H252" s="565"/>
      <c r="I252" s="565"/>
      <c r="J252" s="565"/>
      <c r="K252" s="565"/>
      <c r="L252" s="565"/>
    </row>
    <row r="253" spans="3:12" ht="14.1" customHeight="1">
      <c r="C253" s="564"/>
      <c r="D253" s="564"/>
      <c r="E253" s="82"/>
      <c r="F253" s="65"/>
      <c r="G253" s="565"/>
      <c r="H253" s="565"/>
      <c r="I253" s="565"/>
      <c r="J253" s="565"/>
      <c r="K253" s="565"/>
      <c r="L253" s="565"/>
    </row>
    <row r="254" spans="3:12" ht="14.1" customHeight="1">
      <c r="C254" s="564"/>
      <c r="D254" s="564"/>
      <c r="E254" s="82"/>
      <c r="F254" s="65"/>
      <c r="G254" s="565"/>
      <c r="H254" s="565"/>
      <c r="I254" s="565"/>
      <c r="J254" s="565"/>
      <c r="K254" s="565"/>
      <c r="L254" s="565"/>
    </row>
    <row r="255" spans="3:12" ht="14.1" customHeight="1">
      <c r="D255" s="56"/>
      <c r="E255" s="82"/>
      <c r="F255" s="65"/>
      <c r="G255" s="565"/>
      <c r="H255" s="565"/>
      <c r="I255" s="565"/>
      <c r="J255" s="565"/>
      <c r="K255" s="565"/>
      <c r="L255" s="565"/>
    </row>
    <row r="256" spans="3:12" ht="14.1" customHeight="1">
      <c r="C256" s="564"/>
      <c r="D256" s="564"/>
      <c r="E256" s="82"/>
      <c r="F256" s="65"/>
      <c r="G256" s="565"/>
      <c r="H256" s="565"/>
      <c r="I256" s="565"/>
      <c r="J256" s="565"/>
      <c r="K256" s="565"/>
      <c r="L256" s="565"/>
    </row>
    <row r="257" spans="4:12" ht="14.1" customHeight="1">
      <c r="D257" s="564"/>
      <c r="E257" s="82"/>
      <c r="F257" s="65"/>
      <c r="G257" s="565"/>
      <c r="H257" s="565"/>
      <c r="I257" s="565"/>
      <c r="J257" s="565"/>
      <c r="K257" s="565"/>
      <c r="L257" s="565"/>
    </row>
    <row r="258" spans="4:12" ht="14.1" customHeight="1">
      <c r="D258" s="56"/>
      <c r="E258" s="82"/>
      <c r="F258" s="65"/>
      <c r="G258" s="565"/>
      <c r="H258" s="565"/>
      <c r="I258" s="565"/>
      <c r="J258" s="565"/>
      <c r="K258" s="565"/>
      <c r="L258" s="565"/>
    </row>
    <row r="259" spans="4:12" ht="14.1" customHeight="1">
      <c r="D259" s="564"/>
      <c r="E259" s="82"/>
      <c r="F259" s="65"/>
      <c r="G259" s="565"/>
      <c r="H259" s="565"/>
      <c r="I259" s="565"/>
      <c r="J259" s="565"/>
      <c r="K259" s="565"/>
      <c r="L259" s="565"/>
    </row>
    <row r="260" spans="4:12" ht="14.1" customHeight="1">
      <c r="D260" s="564"/>
      <c r="E260" s="82"/>
      <c r="F260" s="65"/>
      <c r="G260" s="565"/>
      <c r="H260" s="565"/>
      <c r="I260" s="565"/>
      <c r="J260" s="565"/>
      <c r="K260" s="565"/>
      <c r="L260" s="565"/>
    </row>
    <row r="261" spans="4:12" ht="14.1" customHeight="1">
      <c r="D261" s="56"/>
      <c r="E261" s="82"/>
      <c r="F261" s="65"/>
      <c r="G261" s="565"/>
      <c r="H261" s="565"/>
      <c r="I261" s="565"/>
      <c r="J261" s="565"/>
      <c r="K261" s="565"/>
      <c r="L261" s="565"/>
    </row>
    <row r="262" spans="4:12" ht="14.1" customHeight="1">
      <c r="D262" s="564"/>
      <c r="E262" s="82"/>
      <c r="F262" s="65"/>
      <c r="G262" s="565"/>
      <c r="H262" s="565"/>
      <c r="I262" s="565"/>
      <c r="J262" s="565"/>
      <c r="K262" s="565"/>
      <c r="L262" s="565"/>
    </row>
    <row r="263" spans="4:12" ht="14.1" customHeight="1">
      <c r="D263" s="564"/>
      <c r="E263" s="82"/>
      <c r="F263" s="65"/>
      <c r="G263" s="565"/>
      <c r="H263" s="565"/>
      <c r="I263" s="565"/>
      <c r="J263" s="565"/>
      <c r="K263" s="565"/>
      <c r="L263" s="565"/>
    </row>
    <row r="264" spans="4:12" ht="14.1" customHeight="1">
      <c r="D264" s="56"/>
      <c r="E264" s="82"/>
      <c r="F264" s="65"/>
      <c r="G264" s="565"/>
      <c r="H264" s="565"/>
      <c r="I264" s="565"/>
      <c r="J264" s="565"/>
      <c r="K264" s="565"/>
      <c r="L264" s="565"/>
    </row>
    <row r="265" spans="4:12" ht="14.1" customHeight="1">
      <c r="D265" s="564"/>
      <c r="E265" s="82"/>
      <c r="F265" s="65"/>
      <c r="G265" s="565"/>
      <c r="H265" s="565"/>
      <c r="I265" s="565"/>
      <c r="J265" s="565"/>
      <c r="K265" s="565"/>
      <c r="L265" s="565"/>
    </row>
    <row r="266" spans="4:12" ht="14.1" customHeight="1">
      <c r="D266" s="556"/>
      <c r="E266" s="82"/>
      <c r="F266" s="65"/>
      <c r="G266" s="565"/>
      <c r="H266" s="565"/>
      <c r="I266" s="565"/>
      <c r="J266" s="565"/>
      <c r="K266" s="565"/>
      <c r="L266" s="565"/>
    </row>
    <row r="267" spans="4:12" ht="14.1" customHeight="1">
      <c r="D267" s="556"/>
      <c r="E267" s="82"/>
      <c r="F267" s="65"/>
      <c r="G267" s="565"/>
      <c r="H267" s="565"/>
      <c r="I267" s="565"/>
      <c r="J267" s="565"/>
      <c r="K267" s="565"/>
      <c r="L267" s="565"/>
    </row>
    <row r="268" spans="4:12" ht="14.1" customHeight="1">
      <c r="D268" s="556"/>
      <c r="E268" s="82"/>
      <c r="F268" s="65"/>
      <c r="G268" s="565"/>
      <c r="H268" s="565"/>
      <c r="I268" s="565"/>
      <c r="J268" s="565"/>
      <c r="K268" s="565"/>
      <c r="L268" s="565"/>
    </row>
    <row r="269" spans="4:12" ht="14.1" customHeight="1">
      <c r="D269" s="556"/>
      <c r="E269" s="82"/>
      <c r="F269" s="65"/>
      <c r="G269" s="565"/>
      <c r="H269" s="565"/>
      <c r="I269" s="565"/>
      <c r="J269" s="565"/>
      <c r="K269" s="565"/>
      <c r="L269" s="565"/>
    </row>
    <row r="270" spans="4:12" ht="14.1" customHeight="1">
      <c r="D270" s="556"/>
      <c r="E270" s="82"/>
      <c r="F270" s="65"/>
      <c r="G270" s="565"/>
      <c r="H270" s="565"/>
      <c r="I270" s="565"/>
      <c r="J270" s="565"/>
      <c r="K270" s="565"/>
      <c r="L270" s="565"/>
    </row>
    <row r="271" spans="4:12" ht="14.1" customHeight="1">
      <c r="D271" s="556"/>
      <c r="E271" s="82"/>
      <c r="F271" s="65"/>
      <c r="G271" s="565"/>
      <c r="H271" s="565"/>
      <c r="I271" s="565"/>
      <c r="J271" s="565"/>
      <c r="K271" s="565"/>
      <c r="L271" s="565"/>
    </row>
    <row r="272" spans="4:12" ht="14.1" customHeight="1">
      <c r="D272" s="556"/>
      <c r="E272" s="82"/>
      <c r="F272" s="65"/>
      <c r="G272" s="565"/>
      <c r="H272" s="565"/>
      <c r="I272" s="565"/>
      <c r="J272" s="565"/>
      <c r="K272" s="565"/>
      <c r="L272" s="565"/>
    </row>
    <row r="273" spans="5:12" ht="14.1" customHeight="1">
      <c r="E273" s="82"/>
      <c r="F273" s="65"/>
      <c r="G273" s="565"/>
      <c r="H273" s="565"/>
      <c r="I273" s="565"/>
      <c r="J273" s="565"/>
      <c r="K273" s="565"/>
      <c r="L273" s="565"/>
    </row>
    <row r="274" spans="5:12" ht="14.1" customHeight="1">
      <c r="E274" s="82"/>
      <c r="F274" s="65"/>
      <c r="G274" s="565"/>
      <c r="H274" s="565"/>
      <c r="I274" s="565"/>
      <c r="J274" s="565"/>
      <c r="K274" s="565"/>
      <c r="L274" s="565"/>
    </row>
    <row r="275" spans="5:12" ht="14.1" customHeight="1">
      <c r="E275" s="82"/>
      <c r="F275" s="65"/>
      <c r="G275" s="565"/>
      <c r="H275" s="565"/>
      <c r="I275" s="565"/>
      <c r="J275" s="565"/>
      <c r="K275" s="565"/>
      <c r="L275" s="565"/>
    </row>
    <row r="276" spans="5:12" ht="14.1" customHeight="1">
      <c r="E276" s="82"/>
      <c r="F276" s="65"/>
      <c r="G276" s="565"/>
      <c r="H276" s="565"/>
      <c r="I276" s="565"/>
      <c r="J276" s="565"/>
      <c r="K276" s="565"/>
      <c r="L276" s="565"/>
    </row>
    <row r="277" spans="5:12" ht="14.1" customHeight="1">
      <c r="E277" s="82"/>
      <c r="F277" s="65"/>
      <c r="G277" s="565"/>
      <c r="H277" s="565"/>
      <c r="I277" s="565"/>
      <c r="J277" s="565"/>
      <c r="K277" s="565"/>
      <c r="L277" s="565"/>
    </row>
    <row r="278" spans="5:12" ht="14.1" customHeight="1">
      <c r="E278" s="82"/>
      <c r="F278" s="65"/>
      <c r="G278" s="565"/>
      <c r="H278" s="565"/>
      <c r="I278" s="565"/>
      <c r="J278" s="565"/>
      <c r="K278" s="565"/>
      <c r="L278" s="565"/>
    </row>
    <row r="279" spans="5:12" ht="14.1" customHeight="1">
      <c r="E279" s="568"/>
      <c r="F279" s="65"/>
      <c r="G279" s="565"/>
      <c r="H279" s="565"/>
      <c r="I279" s="565"/>
      <c r="J279" s="565"/>
      <c r="K279" s="565"/>
      <c r="L279" s="565"/>
    </row>
    <row r="280" spans="5:12" ht="14.1" customHeight="1">
      <c r="E280" s="568"/>
      <c r="F280" s="65"/>
      <c r="G280" s="565"/>
      <c r="H280" s="565"/>
      <c r="I280" s="565"/>
      <c r="J280" s="565"/>
      <c r="K280" s="565"/>
      <c r="L280" s="565"/>
    </row>
    <row r="281" spans="5:12">
      <c r="E281" s="568"/>
      <c r="F281" s="65"/>
      <c r="G281" s="565"/>
      <c r="H281" s="565"/>
      <c r="I281" s="565"/>
      <c r="J281" s="565"/>
      <c r="K281" s="565"/>
      <c r="L281" s="565"/>
    </row>
    <row r="282" spans="5:12">
      <c r="E282" s="568"/>
      <c r="F282" s="65"/>
      <c r="G282" s="565"/>
      <c r="H282" s="565"/>
      <c r="I282" s="565"/>
      <c r="J282" s="565"/>
      <c r="K282" s="565"/>
      <c r="L282" s="565"/>
    </row>
    <row r="283" spans="5:12">
      <c r="E283" s="568"/>
      <c r="F283" s="65"/>
      <c r="G283" s="565"/>
      <c r="H283" s="565"/>
      <c r="I283" s="565"/>
      <c r="J283" s="565"/>
      <c r="K283" s="565"/>
      <c r="L283" s="565"/>
    </row>
    <row r="284" spans="5:12">
      <c r="E284" s="568"/>
      <c r="F284" s="65"/>
      <c r="G284" s="565"/>
      <c r="H284" s="565"/>
      <c r="I284" s="565"/>
      <c r="J284" s="565"/>
      <c r="K284" s="565"/>
      <c r="L284" s="565"/>
    </row>
    <row r="285" spans="5:12">
      <c r="E285" s="568"/>
      <c r="F285" s="65"/>
      <c r="G285" s="565"/>
      <c r="H285" s="565"/>
      <c r="I285" s="565"/>
      <c r="J285" s="565"/>
      <c r="K285" s="565"/>
      <c r="L285" s="565"/>
    </row>
    <row r="286" spans="5:12">
      <c r="E286" s="568"/>
      <c r="F286" s="65"/>
      <c r="G286" s="565"/>
      <c r="H286" s="565"/>
      <c r="I286" s="565"/>
      <c r="J286" s="565"/>
      <c r="K286" s="565"/>
      <c r="L286" s="565"/>
    </row>
    <row r="287" spans="5:12">
      <c r="E287" s="568"/>
      <c r="F287" s="65"/>
      <c r="G287" s="565"/>
      <c r="H287" s="565"/>
      <c r="I287" s="565"/>
      <c r="J287" s="565"/>
      <c r="K287" s="565"/>
      <c r="L287" s="565"/>
    </row>
    <row r="288" spans="5:12">
      <c r="E288" s="568"/>
      <c r="F288" s="65"/>
      <c r="G288" s="565"/>
      <c r="H288" s="565"/>
      <c r="I288" s="565"/>
      <c r="J288" s="565"/>
      <c r="K288" s="565"/>
      <c r="L288" s="565"/>
    </row>
    <row r="289" spans="6:12">
      <c r="F289" s="65"/>
      <c r="G289" s="565"/>
      <c r="H289" s="565"/>
      <c r="I289" s="565"/>
      <c r="J289" s="565"/>
      <c r="K289" s="565"/>
      <c r="L289" s="565"/>
    </row>
    <row r="290" spans="6:12">
      <c r="F290" s="65"/>
      <c r="G290" s="565"/>
      <c r="H290" s="565"/>
      <c r="I290" s="565"/>
      <c r="J290" s="565"/>
      <c r="K290" s="565"/>
      <c r="L290" s="565"/>
    </row>
    <row r="291" spans="6:12">
      <c r="F291" s="65"/>
      <c r="G291" s="565"/>
      <c r="H291" s="565"/>
      <c r="I291" s="565"/>
      <c r="J291" s="565"/>
      <c r="K291" s="565"/>
      <c r="L291" s="565"/>
    </row>
    <row r="292" spans="6:12">
      <c r="F292" s="65"/>
      <c r="G292" s="565"/>
      <c r="H292" s="565"/>
      <c r="I292" s="565"/>
      <c r="J292" s="565"/>
      <c r="K292" s="565"/>
      <c r="L292" s="565"/>
    </row>
  </sheetData>
  <sheetProtection sheet="1" formatCells="0" formatColumns="0" formatRows="0" insertColumns="0" insertRows="0"/>
  <mergeCells count="95">
    <mergeCell ref="N49:N50"/>
    <mergeCell ref="O49:O50"/>
    <mergeCell ref="P49:P50"/>
    <mergeCell ref="Q49:Q50"/>
    <mergeCell ref="R49:R50"/>
    <mergeCell ref="U19:U20"/>
    <mergeCell ref="W19:W20"/>
    <mergeCell ref="W49:W50"/>
    <mergeCell ref="S49:S50"/>
    <mergeCell ref="T49:T50"/>
    <mergeCell ref="U49:U50"/>
    <mergeCell ref="T21:T27"/>
    <mergeCell ref="U21:U27"/>
    <mergeCell ref="W21:W27"/>
    <mergeCell ref="S41:S47"/>
    <mergeCell ref="T41:T47"/>
    <mergeCell ref="U41:U47"/>
    <mergeCell ref="W41:W46"/>
    <mergeCell ref="O35:U35"/>
    <mergeCell ref="W36:W40"/>
    <mergeCell ref="S28:S30"/>
    <mergeCell ref="N41:N47"/>
    <mergeCell ref="O41:O47"/>
    <mergeCell ref="P41:P47"/>
    <mergeCell ref="Q41:Q47"/>
    <mergeCell ref="R41:R47"/>
    <mergeCell ref="N28:N30"/>
    <mergeCell ref="N21:N27"/>
    <mergeCell ref="P28:P30"/>
    <mergeCell ref="Q28:Q30"/>
    <mergeCell ref="R28:R30"/>
    <mergeCell ref="S21:S27"/>
    <mergeCell ref="U28:U30"/>
    <mergeCell ref="W28:W30"/>
    <mergeCell ref="O28:O30"/>
    <mergeCell ref="O21:O27"/>
    <mergeCell ref="P21:P27"/>
    <mergeCell ref="Q21:Q27"/>
    <mergeCell ref="R21:R27"/>
    <mergeCell ref="S11:S17"/>
    <mergeCell ref="T11:T17"/>
    <mergeCell ref="U11:U17"/>
    <mergeCell ref="W11:W17"/>
    <mergeCell ref="N19:N20"/>
    <mergeCell ref="O19:O20"/>
    <mergeCell ref="P19:P20"/>
    <mergeCell ref="Q19:Q20"/>
    <mergeCell ref="N11:N17"/>
    <mergeCell ref="O11:O17"/>
    <mergeCell ref="P11:P17"/>
    <mergeCell ref="Q11:Q17"/>
    <mergeCell ref="R11:R17"/>
    <mergeCell ref="R19:R20"/>
    <mergeCell ref="S19:S20"/>
    <mergeCell ref="T19:T20"/>
    <mergeCell ref="F2:L2"/>
    <mergeCell ref="O2:U2"/>
    <mergeCell ref="O5:U5"/>
    <mergeCell ref="F111:L111"/>
    <mergeCell ref="N51:N58"/>
    <mergeCell ref="O51:O58"/>
    <mergeCell ref="P51:P58"/>
    <mergeCell ref="Q51:Q58"/>
    <mergeCell ref="R51:R58"/>
    <mergeCell ref="S51:S58"/>
    <mergeCell ref="T51:T58"/>
    <mergeCell ref="U51:U58"/>
    <mergeCell ref="O65:U65"/>
    <mergeCell ref="N67:N75"/>
    <mergeCell ref="O67:O75"/>
    <mergeCell ref="T28:T30"/>
    <mergeCell ref="W51:W58"/>
    <mergeCell ref="N60:N63"/>
    <mergeCell ref="O60:O63"/>
    <mergeCell ref="P60:P63"/>
    <mergeCell ref="Q60:Q63"/>
    <mergeCell ref="R60:R63"/>
    <mergeCell ref="S60:S63"/>
    <mergeCell ref="T60:T63"/>
    <mergeCell ref="U60:U63"/>
    <mergeCell ref="F159:L159"/>
    <mergeCell ref="S67:S75"/>
    <mergeCell ref="T67:T75"/>
    <mergeCell ref="U67:U75"/>
    <mergeCell ref="N77:N78"/>
    <mergeCell ref="O77:O78"/>
    <mergeCell ref="P77:P78"/>
    <mergeCell ref="Q77:Q78"/>
    <mergeCell ref="R77:R78"/>
    <mergeCell ref="S77:S78"/>
    <mergeCell ref="T77:T78"/>
    <mergeCell ref="U77:U78"/>
    <mergeCell ref="P67:P75"/>
    <mergeCell ref="Q67:Q75"/>
    <mergeCell ref="R67:R75"/>
  </mergeCells>
  <conditionalFormatting sqref="C257:C267">
    <cfRule type="containsText" dxfId="1286" priority="103" operator="containsText" text="FL">
      <formula>NOT(ISERROR(SEARCH("FL",C257)))</formula>
    </cfRule>
    <cfRule type="containsText" dxfId="1285" priority="104" operator="containsText" text="FT">
      <formula>NOT(ISERROR(SEARCH("FT",C257)))</formula>
    </cfRule>
    <cfRule type="containsText" dxfId="1284" priority="105" operator="containsText" text="SS">
      <formula>NOT(ISERROR(SEARCH("SS",C257)))</formula>
    </cfRule>
    <cfRule type="containsText" dxfId="1283" priority="106" operator="containsText" text="GR">
      <formula>NOT(ISERROR(SEARCH("GR",C257)))</formula>
    </cfRule>
    <cfRule type="containsText" dxfId="1282" priority="107" operator="containsText" text="GO">
      <formula>NOT(ISERROR(SEARCH("GO",C257)))</formula>
    </cfRule>
  </conditionalFormatting>
  <conditionalFormatting sqref="D72 D110:D111">
    <cfRule type="containsText" dxfId="1281" priority="95" operator="containsText" text="GR">
      <formula>NOT(ISERROR(SEARCH("GR",D72)))</formula>
    </cfRule>
  </conditionalFormatting>
  <conditionalFormatting sqref="D80:D81 D73:D78">
    <cfRule type="duplicateValues" dxfId="1280" priority="85"/>
  </conditionalFormatting>
  <conditionalFormatting sqref="D84:D88">
    <cfRule type="duplicateValues" dxfId="1279" priority="84"/>
  </conditionalFormatting>
  <conditionalFormatting sqref="D85:D86">
    <cfRule type="duplicateValues" dxfId="1278" priority="81"/>
    <cfRule type="duplicateValues" dxfId="1277" priority="82"/>
  </conditionalFormatting>
  <conditionalFormatting sqref="D89:D90">
    <cfRule type="duplicateValues" dxfId="1276" priority="83"/>
  </conditionalFormatting>
  <conditionalFormatting sqref="D104:D107 D92:D102">
    <cfRule type="duplicateValues" dxfId="1275" priority="79"/>
  </conditionalFormatting>
  <conditionalFormatting sqref="D107">
    <cfRule type="duplicateValues" dxfId="1274" priority="77"/>
    <cfRule type="duplicateValues" dxfId="1273" priority="78"/>
  </conditionalFormatting>
  <conditionalFormatting sqref="D109">
    <cfRule type="duplicateValues" dxfId="1272" priority="80"/>
  </conditionalFormatting>
  <conditionalFormatting sqref="D185:D186 D178:D183">
    <cfRule type="duplicateValues" dxfId="1271" priority="76"/>
  </conditionalFormatting>
  <conditionalFormatting sqref="D188:D192">
    <cfRule type="duplicateValues" dxfId="1270" priority="75"/>
  </conditionalFormatting>
  <conditionalFormatting sqref="D189:D190">
    <cfRule type="duplicateValues" dxfId="1269" priority="72"/>
    <cfRule type="duplicateValues" dxfId="1268" priority="73"/>
  </conditionalFormatting>
  <conditionalFormatting sqref="D193">
    <cfRule type="duplicateValues" dxfId="1267" priority="74"/>
  </conditionalFormatting>
  <conditionalFormatting sqref="D207:D210 D195:D205">
    <cfRule type="duplicateValues" dxfId="1266" priority="70"/>
  </conditionalFormatting>
  <conditionalFormatting sqref="D210">
    <cfRule type="duplicateValues" dxfId="1265" priority="68"/>
    <cfRule type="duplicateValues" dxfId="1264" priority="69"/>
  </conditionalFormatting>
  <conditionalFormatting sqref="D212">
    <cfRule type="duplicateValues" dxfId="1263" priority="71"/>
  </conditionalFormatting>
  <conditionalFormatting sqref="E8 E13">
    <cfRule type="containsText" dxfId="1262" priority="96" operator="containsText" text="FC">
      <formula>NOT(ISERROR(SEARCH("FC",E8)))</formula>
    </cfRule>
    <cfRule type="containsText" dxfId="1261" priority="97" operator="containsText" text="PAC">
      <formula>NOT(ISERROR(SEARCH("PAC",E8)))</formula>
    </cfRule>
    <cfRule type="containsText" dxfId="1260" priority="98" operator="containsText" text="AA">
      <formula>NOT(ISERROR(SEARCH("AA",E8)))</formula>
    </cfRule>
    <cfRule type="containsText" dxfId="1259" priority="99" operator="containsText" text="RC">
      <formula>NOT(ISERROR(SEARCH("RC",E8)))</formula>
    </cfRule>
    <cfRule type="containsText" dxfId="1258" priority="100" operator="containsText" text="GC">
      <formula>NOT(ISERROR(SEARCH("GC",E8)))</formula>
    </cfRule>
    <cfRule type="containsText" dxfId="1257" priority="101" operator="containsText" text="SSC">
      <formula>NOT(ISERROR(SEARCH("SSC",E8)))</formula>
    </cfRule>
    <cfRule type="containsText" dxfId="1256" priority="102" operator="containsText" text="CSO">
      <formula>NOT(ISERROR(SEARCH("CSO",E8)))</formula>
    </cfRule>
  </conditionalFormatting>
  <conditionalFormatting sqref="E20 E26 E30">
    <cfRule type="containsText" dxfId="1255" priority="108" operator="containsText" text="PAC">
      <formula>NOT(ISERROR(SEARCH("PAC",E20)))</formula>
    </cfRule>
    <cfRule type="containsText" dxfId="1254" priority="109" operator="containsText" text="GC">
      <formula>NOT(ISERROR(SEARCH("GC",E20)))</formula>
    </cfRule>
  </conditionalFormatting>
  <conditionalFormatting sqref="E20 E26 E30:E31">
    <cfRule type="containsText" dxfId="1253" priority="86" operator="containsText" text="PSSC">
      <formula>NOT(ISERROR(SEARCH("PSSC",E20)))</formula>
    </cfRule>
    <cfRule type="containsText" dxfId="1252" priority="87" operator="containsText" text="ASSC">
      <formula>NOT(ISERROR(SEARCH("ASSC",E20)))</formula>
    </cfRule>
    <cfRule type="containsText" dxfId="1251" priority="88" operator="containsText" text="CC">
      <formula>NOT(ISERROR(SEARCH("CC",E20)))</formula>
    </cfRule>
    <cfRule type="containsText" dxfId="1250" priority="89" operator="containsText" text="CSO">
      <formula>NOT(ISERROR(SEARCH("CSO",E20)))</formula>
    </cfRule>
    <cfRule type="containsText" dxfId="1249" priority="90" operator="containsText" text="FC">
      <formula>NOT(ISERROR(SEARCH("FC",E20)))</formula>
    </cfRule>
    <cfRule type="containsText" dxfId="1248" priority="91" operator="containsText" text="RC">
      <formula>NOT(ISERROR(SEARCH("RC",E20)))</formula>
    </cfRule>
    <cfRule type="containsText" dxfId="1247" priority="110" stopIfTrue="1" operator="containsText" text="AAC">
      <formula>NOT(ISERROR(SEARCH("AAC",E20)))</formula>
    </cfRule>
  </conditionalFormatting>
  <conditionalFormatting sqref="E20">
    <cfRule type="containsText" dxfId="1246" priority="92" stopIfTrue="1" operator="containsText" text="AAC">
      <formula>NOT(ISERROR(SEARCH("AAC",E20)))</formula>
    </cfRule>
    <cfRule type="containsText" dxfId="1245" priority="93" operator="containsText" text="PAC">
      <formula>NOT(ISERROR(SEARCH("PAC",E20)))</formula>
    </cfRule>
    <cfRule type="containsText" dxfId="1244" priority="94" operator="containsText" text="GC">
      <formula>NOT(ISERROR(SEARCH("GC",E20)))</formula>
    </cfRule>
  </conditionalFormatting>
  <conditionalFormatting sqref="E50:E53">
    <cfRule type="containsText" dxfId="1243" priority="1" operator="containsText" text="PSSC">
      <formula>NOT(ISERROR(SEARCH("PSSC",E50)))</formula>
    </cfRule>
    <cfRule type="containsText" dxfId="1242" priority="2" operator="containsText" text="ASSC">
      <formula>NOT(ISERROR(SEARCH("ASSC",E50)))</formula>
    </cfRule>
    <cfRule type="containsText" dxfId="1241" priority="3" operator="containsText" text="CC">
      <formula>NOT(ISERROR(SEARCH("CC",E50)))</formula>
    </cfRule>
    <cfRule type="containsText" dxfId="1240" priority="4" operator="containsText" text="CSO">
      <formula>NOT(ISERROR(SEARCH("CSO",E50)))</formula>
    </cfRule>
    <cfRule type="containsText" dxfId="1239" priority="5" operator="containsText" text="FC">
      <formula>NOT(ISERROR(SEARCH("FC",E50)))</formula>
    </cfRule>
    <cfRule type="containsText" dxfId="1238" priority="6" operator="containsText" text="RC">
      <formula>NOT(ISERROR(SEARCH("RC",E50)))</formula>
    </cfRule>
    <cfRule type="containsText" dxfId="1237" priority="7" operator="containsText" text="PAC">
      <formula>NOT(ISERROR(SEARCH("PAC",E50)))</formula>
    </cfRule>
    <cfRule type="containsText" dxfId="1236" priority="8" operator="containsText" text="GC">
      <formula>NOT(ISERROR(SEARCH("GC",E50)))</formula>
    </cfRule>
    <cfRule type="containsText" dxfId="1235" priority="9" stopIfTrue="1" operator="containsText" text="AAC">
      <formula>NOT(ISERROR(SEARCH("AAC",E50)))</formula>
    </cfRule>
  </conditionalFormatting>
  <conditionalFormatting sqref="F86">
    <cfRule type="containsText" dxfId="1234" priority="29" operator="containsText" text="PL">
      <formula>NOT(ISERROR(SEARCH("PL",F86)))</formula>
    </cfRule>
    <cfRule type="containsText" dxfId="1233" priority="30" operator="containsText" text="SW">
      <formula>NOT(ISERROR(SEARCH("SW",F86)))</formula>
    </cfRule>
    <cfRule type="containsText" dxfId="1232" priority="31" operator="containsText" text="AT">
      <formula>NOT(ISERROR(SEARCH("AT",F86)))</formula>
    </cfRule>
    <cfRule type="containsText" dxfId="1231" priority="32" operator="containsText" text="SS">
      <formula>NOT(ISERROR(SEARCH("SS",F86)))</formula>
    </cfRule>
  </conditionalFormatting>
  <conditionalFormatting sqref="F230:F243 G231:L243 G230:J230">
    <cfRule type="colorScale" priority="197">
      <colorScale>
        <cfvo type="num" val="0"/>
        <cfvo type="num" val="1"/>
        <cfvo type="num" val="2"/>
        <color theme="0"/>
        <color rgb="FFAFFC06"/>
        <color rgb="FFFF0000"/>
      </colorScale>
    </cfRule>
  </conditionalFormatting>
  <conditionalFormatting sqref="F84:G84 I84">
    <cfRule type="containsText" dxfId="1230" priority="25" operator="containsText" text="PL">
      <formula>NOT(ISERROR(SEARCH("PL",F84)))</formula>
    </cfRule>
    <cfRule type="containsText" dxfId="1229" priority="26" operator="containsText" text="SW">
      <formula>NOT(ISERROR(SEARCH("SW",F84)))</formula>
    </cfRule>
    <cfRule type="containsText" dxfId="1228" priority="27" operator="containsText" text="AT">
      <formula>NOT(ISERROR(SEARCH("AT",F84)))</formula>
    </cfRule>
    <cfRule type="containsText" dxfId="1227" priority="28" operator="containsText" text="SS">
      <formula>NOT(ISERROR(SEARCH("SS",F84)))</formula>
    </cfRule>
  </conditionalFormatting>
  <conditionalFormatting sqref="F85:I85">
    <cfRule type="containsText" dxfId="1226" priority="33" operator="containsText" text="PL">
      <formula>NOT(ISERROR(SEARCH("PL",F85)))</formula>
    </cfRule>
    <cfRule type="containsText" dxfId="1225" priority="34" operator="containsText" text="SW">
      <formula>NOT(ISERROR(SEARCH("SW",F85)))</formula>
    </cfRule>
    <cfRule type="containsText" dxfId="1224" priority="35" operator="containsText" text="AT">
      <formula>NOT(ISERROR(SEARCH("AT",F85)))</formula>
    </cfRule>
    <cfRule type="containsText" dxfId="1223" priority="36" operator="containsText" text="SS">
      <formula>NOT(ISERROR(SEARCH("SS",F85)))</formula>
    </cfRule>
  </conditionalFormatting>
  <conditionalFormatting sqref="F62:J62">
    <cfRule type="containsText" dxfId="1222" priority="10" operator="containsText" text="CSO">
      <formula>NOT(ISERROR(SEARCH("CSO",F62)))</formula>
    </cfRule>
    <cfRule type="containsText" dxfId="1221" priority="11" operator="containsText" text="FC">
      <formula>NOT(ISERROR(SEARCH("FC",F62)))</formula>
    </cfRule>
    <cfRule type="containsText" dxfId="1220" priority="12" operator="containsText" text="SS">
      <formula>NOT(ISERROR(SEARCH("SS",F62)))</formula>
    </cfRule>
    <cfRule type="containsText" dxfId="1219" priority="13" operator="containsText" text="RC">
      <formula>NOT(ISERROR(SEARCH("RC",F62)))</formula>
    </cfRule>
    <cfRule type="containsText" dxfId="1218" priority="14" operator="containsText" text="PAC">
      <formula>NOT(ISERROR(SEARCH("PAC",F62)))</formula>
    </cfRule>
    <cfRule type="containsText" dxfId="1217" priority="15" operator="containsText" text="AAC">
      <formula>NOT(ISERROR(SEARCH("AAC",F62)))</formula>
    </cfRule>
    <cfRule type="containsText" dxfId="1216" priority="16" operator="containsText" text="GC">
      <formula>NOT(ISERROR(SEARCH("GC",F62)))</formula>
    </cfRule>
  </conditionalFormatting>
  <conditionalFormatting sqref="F64:J65">
    <cfRule type="cellIs" dxfId="1215" priority="66" operator="lessThan">
      <formula>5</formula>
    </cfRule>
  </conditionalFormatting>
  <conditionalFormatting sqref="F8:L59">
    <cfRule type="containsText" dxfId="1214" priority="47" operator="containsText" text="PAC">
      <formula>NOT(ISERROR(SEARCH("PAC",F8)))</formula>
    </cfRule>
    <cfRule type="containsText" dxfId="1213" priority="48" operator="containsText" text="AAC">
      <formula>NOT(ISERROR(SEARCH("AAC",F8)))</formula>
    </cfRule>
    <cfRule type="containsText" dxfId="1212" priority="49" operator="containsText" text="GC">
      <formula>NOT(ISERROR(SEARCH("GC",F8)))</formula>
    </cfRule>
    <cfRule type="containsText" dxfId="1211" priority="50" operator="containsText" text="FC">
      <formula>NOT(ISERROR(SEARCH("FC",F8)))</formula>
    </cfRule>
    <cfRule type="containsText" dxfId="1210" priority="51" operator="containsText" text="CC">
      <formula>NOT(ISERROR(SEARCH("CC",F8)))</formula>
    </cfRule>
    <cfRule type="containsText" dxfId="1209" priority="52" operator="containsText" text="RC">
      <formula>NOT(ISERROR(SEARCH("RC",F8)))</formula>
    </cfRule>
    <cfRule type="containsText" dxfId="1208" priority="53" operator="containsText" text="SSC">
      <formula>NOT(ISERROR(SEARCH("SSC",F8)))</formula>
    </cfRule>
    <cfRule type="containsText" dxfId="1207" priority="55" operator="containsText" text="CSO">
      <formula>NOT(ISERROR(SEARCH("CSO",F8)))</formula>
    </cfRule>
  </conditionalFormatting>
  <conditionalFormatting sqref="F64:L64 F65:J65">
    <cfRule type="cellIs" dxfId="1206" priority="67" operator="greaterThan">
      <formula>6</formula>
    </cfRule>
  </conditionalFormatting>
  <conditionalFormatting sqref="F67:L67">
    <cfRule type="containsText" dxfId="1205" priority="54" operator="containsText" text="CSO">
      <formula>NOT(ISERROR(SEARCH("CSO",F67)))</formula>
    </cfRule>
  </conditionalFormatting>
  <conditionalFormatting sqref="F67:L71">
    <cfRule type="containsText" dxfId="1204" priority="45" operator="containsText" text="RC">
      <formula>NOT(ISERROR(SEARCH("RC",F67)))</formula>
    </cfRule>
    <cfRule type="containsText" dxfId="1203" priority="46" operator="containsText" text="CC">
      <formula>NOT(ISERROR(SEARCH("CC",F67)))</formula>
    </cfRule>
  </conditionalFormatting>
  <conditionalFormatting sqref="F171:L171">
    <cfRule type="cellIs" dxfId="1202" priority="65" operator="greaterThan">
      <formula>3</formula>
    </cfRule>
  </conditionalFormatting>
  <conditionalFormatting sqref="F173:L173">
    <cfRule type="cellIs" dxfId="1201" priority="64" operator="greaterThan">
      <formula>4</formula>
    </cfRule>
  </conditionalFormatting>
  <conditionalFormatting sqref="G78">
    <cfRule type="containsText" dxfId="1200" priority="37" operator="containsText" text="PL">
      <formula>NOT(ISERROR(SEARCH("PL",G78)))</formula>
    </cfRule>
    <cfRule type="containsText" dxfId="1199" priority="38" operator="containsText" text="SW">
      <formula>NOT(ISERROR(SEARCH("SW",G78)))</formula>
    </cfRule>
    <cfRule type="containsText" dxfId="1198" priority="39" operator="containsText" text="AT">
      <formula>NOT(ISERROR(SEARCH("AT",G78)))</formula>
    </cfRule>
    <cfRule type="containsText" dxfId="1197" priority="40" operator="containsText" text="SS">
      <formula>NOT(ISERROR(SEARCH("SS",G78)))</formula>
    </cfRule>
  </conditionalFormatting>
  <conditionalFormatting sqref="J78">
    <cfRule type="containsText" dxfId="1196" priority="41" operator="containsText" text="PL">
      <formula>NOT(ISERROR(SEARCH("PL",J78)))</formula>
    </cfRule>
    <cfRule type="containsText" dxfId="1195" priority="42" operator="containsText" text="SW">
      <formula>NOT(ISERROR(SEARCH("SW",J78)))</formula>
    </cfRule>
    <cfRule type="containsText" dxfId="1194" priority="43" operator="containsText" text="AT">
      <formula>NOT(ISERROR(SEARCH("AT",J78)))</formula>
    </cfRule>
    <cfRule type="containsText" dxfId="1193" priority="44" operator="containsText" text="SS">
      <formula>NOT(ISERROR(SEARCH("SS",J78)))</formula>
    </cfRule>
  </conditionalFormatting>
  <conditionalFormatting sqref="J88:L88">
    <cfRule type="containsText" dxfId="1192" priority="21" operator="containsText" text="PL">
      <formula>NOT(ISERROR(SEARCH("PL",J88)))</formula>
    </cfRule>
    <cfRule type="containsText" dxfId="1191" priority="22" operator="containsText" text="SW">
      <formula>NOT(ISERROR(SEARCH("SW",J88)))</formula>
    </cfRule>
    <cfRule type="containsText" dxfId="1190" priority="23" operator="containsText" text="AT">
      <formula>NOT(ISERROR(SEARCH("AT",J88)))</formula>
    </cfRule>
    <cfRule type="containsText" dxfId="1189" priority="24" operator="containsText" text="SS">
      <formula>NOT(ISERROR(SEARCH("SS",J88)))</formula>
    </cfRule>
  </conditionalFormatting>
  <conditionalFormatting sqref="K64:L65">
    <cfRule type="cellIs" dxfId="1188" priority="56" operator="greaterThan">
      <formula>3</formula>
    </cfRule>
  </conditionalFormatting>
  <conditionalFormatting sqref="N38:N40">
    <cfRule type="containsText" dxfId="1187" priority="147" operator="containsText" text="NAMIT">
      <formula>NOT(ISERROR(SEARCH("NAMIT",N38)))</formula>
    </cfRule>
  </conditionalFormatting>
  <conditionalFormatting sqref="O6:U6">
    <cfRule type="notContainsErrors" dxfId="1186" priority="151">
      <formula>NOT(ISERROR(O6))</formula>
    </cfRule>
  </conditionalFormatting>
  <conditionalFormatting sqref="O7:U7 O37:U37">
    <cfRule type="notContainsErrors" dxfId="1185" priority="146">
      <formula>NOT(ISERROR(O7))</formula>
    </cfRule>
  </conditionalFormatting>
  <conditionalFormatting sqref="O8:U8">
    <cfRule type="notContainsErrors" dxfId="1184" priority="149">
      <formula>NOT(ISERROR(O8))</formula>
    </cfRule>
  </conditionalFormatting>
  <conditionalFormatting sqref="O9:U9">
    <cfRule type="notContainsErrors" dxfId="1183" priority="160">
      <formula>NOT(ISERROR(O9))</formula>
    </cfRule>
  </conditionalFormatting>
  <conditionalFormatting sqref="O10:U10">
    <cfRule type="notContainsErrors" dxfId="1182" priority="141">
      <formula>NOT(ISERROR(O10))</formula>
    </cfRule>
  </conditionalFormatting>
  <conditionalFormatting sqref="O18:U18">
    <cfRule type="notContainsErrors" dxfId="1181" priority="159">
      <formula>NOT(ISERROR(O18))</formula>
    </cfRule>
  </conditionalFormatting>
  <conditionalFormatting sqref="O36:U36">
    <cfRule type="notContainsErrors" dxfId="1180" priority="152">
      <formula>NOT(ISERROR(O36))</formula>
    </cfRule>
  </conditionalFormatting>
  <conditionalFormatting sqref="O38:U38">
    <cfRule type="notContainsErrors" dxfId="1179" priority="150">
      <formula>NOT(ISERROR(O38))</formula>
    </cfRule>
  </conditionalFormatting>
  <conditionalFormatting sqref="O39:U39">
    <cfRule type="notContainsErrors" dxfId="1178" priority="143">
      <formula>NOT(ISERROR(O39))</formula>
    </cfRule>
  </conditionalFormatting>
  <conditionalFormatting sqref="O40:U40">
    <cfRule type="notContainsErrors" dxfId="1177" priority="145">
      <formula>NOT(ISERROR(O40))</formula>
    </cfRule>
  </conditionalFormatting>
  <conditionalFormatting sqref="O48:U48">
    <cfRule type="notContainsErrors" dxfId="1176" priority="144">
      <formula>NOT(ISERROR(O48))</formula>
    </cfRule>
  </conditionalFormatting>
  <conditionalFormatting sqref="O66:U66">
    <cfRule type="notContainsErrors" dxfId="1175" priority="142">
      <formula>NOT(ISERROR(O66))</formula>
    </cfRule>
  </conditionalFormatting>
  <conditionalFormatting sqref="O76:U76">
    <cfRule type="notContainsErrors" dxfId="1174" priority="148">
      <formula>NOT(ISERROR(O76))</formula>
    </cfRule>
  </conditionalFormatting>
  <conditionalFormatting sqref="V132:V1048576 P235:U1048576">
    <cfRule type="containsText" dxfId="1173" priority="153" operator="containsText" text="SW">
      <formula>NOT(ISERROR(SEARCH("SW",P132)))</formula>
    </cfRule>
    <cfRule type="containsText" dxfId="1172" priority="154" operator="containsText" text="FL">
      <formula>NOT(ISERROR(SEARCH("FL",P132)))</formula>
    </cfRule>
    <cfRule type="containsText" dxfId="1171" priority="155" operator="containsText" text="FT">
      <formula>NOT(ISERROR(SEARCH("FT",P132)))</formula>
    </cfRule>
    <cfRule type="containsText" dxfId="1170" priority="156" operator="containsText" text="SS">
      <formula>NOT(ISERROR(SEARCH("SS",P132)))</formula>
    </cfRule>
    <cfRule type="containsText" dxfId="1169" priority="157" operator="containsText" text="GR">
      <formula>NOT(ISERROR(SEARCH("GR",P132)))</formula>
    </cfRule>
    <cfRule type="containsText" dxfId="1168" priority="158" operator="containsText" text="GO">
      <formula>NOT(ISERROR(SEARCH("GO",P132)))</formula>
    </cfRule>
  </conditionalFormatting>
  <dataValidations count="1">
    <dataValidation type="list" allowBlank="1" showInputMessage="1" sqref="F134:L135 J136:L141 F113:G131 G136:H141 H114:H131 I113:J131 K114:L131" xr:uid="{F3DDA506-4FF0-1E4B-94B7-02568C43B780}">
      <formula1>#REF!</formula1>
    </dataValidation>
  </dataValidations>
  <pageMargins left="0.7" right="0.7" top="0.75" bottom="0.75" header="0.3" footer="0.3"/>
  <pageSetup paperSize="9" scale="6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3CA67-0A96-C340-B03B-99CED448089E}">
  <sheetPr>
    <pageSetUpPr fitToPage="1"/>
  </sheetPr>
  <dimension ref="A1:W291"/>
  <sheetViews>
    <sheetView workbookViewId="0">
      <pane ySplit="4" topLeftCell="A86" activePane="bottomLeft" state="frozen"/>
      <selection pane="bottomLeft" activeCell="D131" sqref="D131"/>
    </sheetView>
  </sheetViews>
  <sheetFormatPr defaultColWidth="10.875" defaultRowHeight="14.25"/>
  <cols>
    <col min="1" max="2" width="10.875" style="56" hidden="1" customWidth="1"/>
    <col min="3" max="3" width="14.75" style="56" customWidth="1"/>
    <col min="4" max="4" width="21.75" style="72" customWidth="1"/>
    <col min="5" max="5" width="8.875" style="281" customWidth="1"/>
    <col min="6" max="6" width="12.875" style="66" customWidth="1"/>
    <col min="7" max="12" width="12.875" style="64" customWidth="1"/>
    <col min="13" max="13" width="12.875" style="56" customWidth="1"/>
    <col min="14" max="14" width="12.875" style="89" customWidth="1"/>
    <col min="15" max="15" width="12.875" style="112" customWidth="1"/>
    <col min="16" max="21" width="12.875" style="89" customWidth="1"/>
    <col min="22" max="23" width="10.875" style="34" customWidth="1"/>
    <col min="24" max="24" width="10.875" style="56" customWidth="1"/>
    <col min="25" max="16384" width="10.875" style="56"/>
  </cols>
  <sheetData>
    <row r="1" spans="1:23" ht="14.1" customHeight="1" thickBot="1">
      <c r="D1" s="57"/>
      <c r="E1" s="274"/>
      <c r="F1" s="59" t="str">
        <f t="shared" ref="F1:L1" si="0">CONCATENATE(F169,"-",F170,"-",F171,"-",F172,"-",F173)</f>
        <v>15-2-16-1-8</v>
      </c>
      <c r="G1" s="59" t="str">
        <f t="shared" si="0"/>
        <v>17-1-15-1-9</v>
      </c>
      <c r="H1" s="59" t="str">
        <f t="shared" si="0"/>
        <v>17-1-15-1-9</v>
      </c>
      <c r="I1" s="59" t="str">
        <f t="shared" si="0"/>
        <v>13-1-13-1-7</v>
      </c>
      <c r="J1" s="59" t="str">
        <f t="shared" si="0"/>
        <v>15-0-15-1-8</v>
      </c>
      <c r="K1" s="59" t="str">
        <f t="shared" si="0"/>
        <v>13-1-12-0-8</v>
      </c>
      <c r="L1" s="59" t="str">
        <f t="shared" si="0"/>
        <v>15-0-14-1-8</v>
      </c>
      <c r="O1" s="89" t="str">
        <f t="shared" ref="O1:U1" si="1">F1</f>
        <v>15-2-16-1-8</v>
      </c>
      <c r="P1" s="89" t="str">
        <f t="shared" si="1"/>
        <v>17-1-15-1-9</v>
      </c>
      <c r="Q1" s="89" t="str">
        <f t="shared" si="1"/>
        <v>17-1-15-1-9</v>
      </c>
      <c r="R1" s="89" t="str">
        <f t="shared" si="1"/>
        <v>13-1-13-1-7</v>
      </c>
      <c r="S1" s="89" t="str">
        <f t="shared" si="1"/>
        <v>15-0-15-1-8</v>
      </c>
      <c r="T1" s="89" t="str">
        <f t="shared" si="1"/>
        <v>13-1-12-0-8</v>
      </c>
      <c r="U1" s="89" t="str">
        <f t="shared" si="1"/>
        <v>15-0-14-1-8</v>
      </c>
    </row>
    <row r="2" spans="1:23" ht="14.1" customHeight="1" thickBot="1">
      <c r="C2" s="1" t="s">
        <v>0</v>
      </c>
      <c r="D2" s="1" t="s">
        <v>0</v>
      </c>
      <c r="E2" s="274"/>
      <c r="F2" s="802">
        <v>5</v>
      </c>
      <c r="G2" s="802"/>
      <c r="H2" s="802"/>
      <c r="I2" s="802"/>
      <c r="J2" s="802"/>
      <c r="K2" s="802"/>
      <c r="L2" s="802"/>
      <c r="O2" s="754">
        <f>F2</f>
        <v>5</v>
      </c>
      <c r="P2" s="755"/>
      <c r="Q2" s="755"/>
      <c r="R2" s="755"/>
      <c r="S2" s="755"/>
      <c r="T2" s="755"/>
      <c r="U2" s="756"/>
    </row>
    <row r="3" spans="1:23" ht="14.1" customHeight="1">
      <c r="A3" s="56" t="s">
        <v>297</v>
      </c>
      <c r="B3" s="56" t="s">
        <v>298</v>
      </c>
      <c r="C3" s="494" t="s">
        <v>299</v>
      </c>
      <c r="D3" s="494" t="s">
        <v>300</v>
      </c>
      <c r="E3" s="275" t="s">
        <v>5</v>
      </c>
      <c r="F3" s="22" t="s">
        <v>6</v>
      </c>
      <c r="G3" s="23" t="s">
        <v>7</v>
      </c>
      <c r="H3" s="23" t="s">
        <v>8</v>
      </c>
      <c r="I3" s="23" t="s">
        <v>9</v>
      </c>
      <c r="J3" s="23" t="s">
        <v>10</v>
      </c>
      <c r="K3" s="23" t="s">
        <v>11</v>
      </c>
      <c r="L3" s="24" t="s">
        <v>12</v>
      </c>
      <c r="O3" s="90" t="s">
        <v>6</v>
      </c>
      <c r="P3" s="91" t="s">
        <v>7</v>
      </c>
      <c r="Q3" s="91" t="s">
        <v>8</v>
      </c>
      <c r="R3" s="91" t="s">
        <v>9</v>
      </c>
      <c r="S3" s="91" t="s">
        <v>10</v>
      </c>
      <c r="T3" s="91" t="s">
        <v>11</v>
      </c>
      <c r="U3" s="92" t="s">
        <v>12</v>
      </c>
    </row>
    <row r="4" spans="1:23" ht="14.1" customHeight="1" thickBot="1">
      <c r="B4" s="56" t="s">
        <v>13</v>
      </c>
      <c r="C4" s="25"/>
      <c r="D4" s="25"/>
      <c r="E4" s="276"/>
      <c r="F4" s="26">
        <v>46083</v>
      </c>
      <c r="G4" s="27">
        <v>46084</v>
      </c>
      <c r="H4" s="27">
        <v>46085</v>
      </c>
      <c r="I4" s="27">
        <v>46086</v>
      </c>
      <c r="J4" s="27">
        <v>46087</v>
      </c>
      <c r="K4" s="27">
        <v>46088</v>
      </c>
      <c r="L4" s="27">
        <v>46089</v>
      </c>
      <c r="N4" s="93"/>
      <c r="O4" s="94">
        <f t="shared" ref="O4:U4" si="2">F4</f>
        <v>46083</v>
      </c>
      <c r="P4" s="95">
        <f t="shared" si="2"/>
        <v>46084</v>
      </c>
      <c r="Q4" s="95">
        <f t="shared" si="2"/>
        <v>46085</v>
      </c>
      <c r="R4" s="95">
        <f t="shared" si="2"/>
        <v>46086</v>
      </c>
      <c r="S4" s="95">
        <f t="shared" si="2"/>
        <v>46087</v>
      </c>
      <c r="T4" s="95">
        <f t="shared" si="2"/>
        <v>46088</v>
      </c>
      <c r="U4" s="96">
        <f t="shared" si="2"/>
        <v>46089</v>
      </c>
    </row>
    <row r="5" spans="1:23" ht="14.1" customHeight="1" thickBot="1">
      <c r="C5" s="2"/>
      <c r="D5" s="2"/>
      <c r="E5" s="277"/>
      <c r="F5" s="201"/>
      <c r="G5" s="60"/>
      <c r="H5" s="60"/>
      <c r="I5" s="60"/>
      <c r="J5" s="60"/>
      <c r="K5" s="60"/>
      <c r="L5" s="61"/>
      <c r="O5" s="757" t="s">
        <v>301</v>
      </c>
      <c r="P5" s="758"/>
      <c r="Q5" s="758"/>
      <c r="R5" s="758"/>
      <c r="S5" s="758"/>
      <c r="T5" s="758"/>
      <c r="U5" s="759"/>
      <c r="W5" s="34" t="s">
        <v>302</v>
      </c>
    </row>
    <row r="6" spans="1:23" ht="14.1" customHeight="1">
      <c r="C6" s="315" t="s">
        <v>26</v>
      </c>
      <c r="D6" s="315" t="s">
        <v>26</v>
      </c>
      <c r="E6" s="495"/>
      <c r="F6" s="317"/>
      <c r="G6" s="318"/>
      <c r="H6" s="318"/>
      <c r="I6" s="318"/>
      <c r="J6" s="318"/>
      <c r="K6" s="318"/>
      <c r="L6" s="319"/>
      <c r="N6" s="97" t="s">
        <v>303</v>
      </c>
      <c r="O6" s="98" t="str">
        <f t="shared" ref="O6:U6" si="3">INDEX($C7:$L188,MATCH("*AGC*",F7:F191,0),1)</f>
        <v>JULIA SMS</v>
      </c>
      <c r="P6" s="99" t="str">
        <f t="shared" si="3"/>
        <v>BRAD SMS</v>
      </c>
      <c r="Q6" s="99" t="str">
        <f t="shared" si="3"/>
        <v>HELEN SMS</v>
      </c>
      <c r="R6" s="99" t="str">
        <f t="shared" si="3"/>
        <v>MADDY SMS</v>
      </c>
      <c r="S6" s="99" t="str">
        <f t="shared" si="3"/>
        <v>PAIGE SMS</v>
      </c>
      <c r="T6" s="99" t="str">
        <f t="shared" si="3"/>
        <v>SUSAN SMS</v>
      </c>
      <c r="U6" s="100" t="str">
        <f t="shared" si="3"/>
        <v>AFTAB SMS</v>
      </c>
      <c r="V6" s="34" t="s">
        <v>287</v>
      </c>
      <c r="W6" s="101"/>
    </row>
    <row r="7" spans="1:23" ht="14.1" customHeight="1">
      <c r="C7" s="496" t="s">
        <v>304</v>
      </c>
      <c r="D7" s="497" t="s">
        <v>27</v>
      </c>
      <c r="E7" s="653">
        <v>625982</v>
      </c>
      <c r="F7" s="569" t="s">
        <v>28</v>
      </c>
      <c r="G7" s="570"/>
      <c r="H7" s="570"/>
      <c r="I7" s="570"/>
      <c r="J7" s="570"/>
      <c r="K7" s="570"/>
      <c r="L7" s="571"/>
      <c r="N7" s="499" t="s">
        <v>305</v>
      </c>
      <c r="O7" s="102" t="str">
        <f t="shared" ref="O7:U7" si="4">INDEX($C7:$L188,MATCH("*AAC",F7:F190,0),1)</f>
        <v>MICHAEL SMS</v>
      </c>
      <c r="P7" s="500" t="str">
        <f t="shared" si="4"/>
        <v>DANIEL SMS</v>
      </c>
      <c r="Q7" s="500" t="str">
        <f t="shared" si="4"/>
        <v>MICHELLE SMS</v>
      </c>
      <c r="R7" s="500" t="str">
        <f t="shared" si="4"/>
        <v>TARA K. SMS</v>
      </c>
      <c r="S7" s="500" t="str">
        <f t="shared" si="4"/>
        <v>BEN SMS</v>
      </c>
      <c r="T7" s="500" t="str">
        <f t="shared" si="4"/>
        <v>JON SMS</v>
      </c>
      <c r="U7" s="501" t="str">
        <f t="shared" si="4"/>
        <v>SUSAN SMS</v>
      </c>
      <c r="V7" s="34" t="s">
        <v>286</v>
      </c>
      <c r="W7" s="101"/>
    </row>
    <row r="8" spans="1:23" ht="14.1" customHeight="1">
      <c r="C8" s="497" t="s">
        <v>306</v>
      </c>
      <c r="D8" s="83" t="s">
        <v>29</v>
      </c>
      <c r="E8" s="654">
        <v>628936</v>
      </c>
      <c r="F8" s="211"/>
      <c r="G8" s="62" t="s">
        <v>33</v>
      </c>
      <c r="H8" s="62" t="s">
        <v>33</v>
      </c>
      <c r="I8" s="62" t="s">
        <v>33</v>
      </c>
      <c r="J8" s="62" t="s">
        <v>35</v>
      </c>
      <c r="K8" s="565"/>
      <c r="L8" s="577"/>
      <c r="N8" s="503" t="s">
        <v>307</v>
      </c>
      <c r="O8" s="102" t="str">
        <f t="shared" ref="O8:U8" si="5">INDEX($C7:$L188,MATCH("*ARC*",F7:F191,0),1)</f>
        <v>TARA J. SMS</v>
      </c>
      <c r="P8" s="500" t="str">
        <f t="shared" si="5"/>
        <v>SCOTT SMS</v>
      </c>
      <c r="Q8" s="500" t="str">
        <f t="shared" si="5"/>
        <v>QING SMS</v>
      </c>
      <c r="R8" s="500" t="str">
        <f t="shared" si="5"/>
        <v>CHAMARA SMS</v>
      </c>
      <c r="S8" s="500" t="str">
        <f t="shared" si="5"/>
        <v>YAN SMS</v>
      </c>
      <c r="T8" s="500" t="str">
        <f t="shared" si="5"/>
        <v>GARGI SMS</v>
      </c>
      <c r="U8" s="501" t="str">
        <f t="shared" si="5"/>
        <v>JON SMS</v>
      </c>
      <c r="V8" s="34" t="s">
        <v>285</v>
      </c>
      <c r="W8" s="101"/>
    </row>
    <row r="9" spans="1:23" ht="14.1" customHeight="1">
      <c r="C9" s="504" t="s">
        <v>308</v>
      </c>
      <c r="D9" s="723" t="s">
        <v>42</v>
      </c>
      <c r="E9" s="654">
        <v>628576</v>
      </c>
      <c r="F9" s="575" t="s">
        <v>33</v>
      </c>
      <c r="G9" s="565" t="s">
        <v>33</v>
      </c>
      <c r="H9" s="576"/>
      <c r="I9" s="565" t="s">
        <v>43</v>
      </c>
      <c r="J9" s="566"/>
      <c r="K9" s="565" t="s">
        <v>38</v>
      </c>
      <c r="L9" s="577"/>
      <c r="N9" s="505" t="s">
        <v>309</v>
      </c>
      <c r="O9" s="102" t="str">
        <f t="shared" ref="O9:U9" si="6">INDEX($C7:$L188,MATCH("*ASSC*",F7:F191,0),1)</f>
        <v>ABI SMS</v>
      </c>
      <c r="P9" s="500" t="str">
        <f t="shared" si="6"/>
        <v>RAMI SMS</v>
      </c>
      <c r="Q9" s="500" t="str">
        <f t="shared" si="6"/>
        <v>BRAD SMS</v>
      </c>
      <c r="R9" s="500" t="str">
        <f t="shared" si="6"/>
        <v>JEREMY SMS</v>
      </c>
      <c r="S9" s="500" t="str">
        <f t="shared" si="6"/>
        <v>MINA SMS</v>
      </c>
      <c r="T9" s="500" t="str">
        <f t="shared" si="6"/>
        <v>AFTAB SMS</v>
      </c>
      <c r="U9" s="501" t="str">
        <f t="shared" si="6"/>
        <v>DAVID SMS</v>
      </c>
      <c r="V9" s="34" t="s">
        <v>289</v>
      </c>
      <c r="W9" s="101"/>
    </row>
    <row r="10" spans="1:23" ht="14.1" customHeight="1">
      <c r="C10" s="504" t="s">
        <v>310</v>
      </c>
      <c r="D10" s="497" t="s">
        <v>45</v>
      </c>
      <c r="E10" s="655">
        <v>632647</v>
      </c>
      <c r="F10" s="575" t="s">
        <v>33</v>
      </c>
      <c r="G10" s="565" t="s">
        <v>33</v>
      </c>
      <c r="H10" s="565"/>
      <c r="I10" s="565"/>
      <c r="J10" s="565"/>
      <c r="K10" s="565" t="s">
        <v>34</v>
      </c>
      <c r="L10" s="577" t="s">
        <v>36</v>
      </c>
      <c r="N10" s="507" t="s">
        <v>311</v>
      </c>
      <c r="O10" s="102" t="str">
        <f t="shared" ref="O10:U10" si="7">INDEX($C6:$L187,MATCH("*ACC*",F6:F183,0),1)</f>
        <v>BARRY SMS</v>
      </c>
      <c r="P10" s="500" t="str">
        <f t="shared" si="7"/>
        <v>STEPHEN G SMS</v>
      </c>
      <c r="Q10" s="500" t="str">
        <f t="shared" si="7"/>
        <v>MAUREEN SMS</v>
      </c>
      <c r="R10" s="500" t="str">
        <f t="shared" si="7"/>
        <v xml:space="preserve">RACHEL SMS </v>
      </c>
      <c r="S10" s="500" t="str">
        <f t="shared" si="7"/>
        <v>ANDY L  SMS</v>
      </c>
      <c r="T10" s="500" t="e">
        <f t="shared" si="7"/>
        <v>#N/A</v>
      </c>
      <c r="U10" s="501" t="str">
        <f t="shared" si="7"/>
        <v>SAM CMO</v>
      </c>
      <c r="V10" s="34" t="s">
        <v>288</v>
      </c>
      <c r="W10" s="101"/>
    </row>
    <row r="11" spans="1:23" ht="14.1" customHeight="1">
      <c r="C11" s="497" t="s">
        <v>312</v>
      </c>
      <c r="D11" s="497" t="s">
        <v>48</v>
      </c>
      <c r="E11" s="654">
        <v>279110</v>
      </c>
      <c r="F11" s="575" t="s">
        <v>33</v>
      </c>
      <c r="G11" s="565" t="s">
        <v>33</v>
      </c>
      <c r="H11" s="565"/>
      <c r="I11" s="578" t="s">
        <v>359</v>
      </c>
      <c r="J11" s="565"/>
      <c r="K11" s="565"/>
      <c r="L11" s="577"/>
      <c r="N11" s="733" t="s">
        <v>313</v>
      </c>
      <c r="O11" s="774" t="str" cm="1">
        <f t="array" ref="O11">_xlfn.TEXTJOIN(CHAR(10),TRUE,IF(F7:F111="0800-1800 AFC",$C7:$C111,""),IF(F7:F111="0800-1730 AFC",$C7:$C111,""),IF(F7:F111="0800-1800",$C7:$C111,""),IF(F7:F111="0800-1730",$C7:$C111,""))</f>
        <v>JIMMY SMS
AMY SR
JOSHUA IR
GIOVANA JR
RACHEL JR</v>
      </c>
      <c r="P11" s="775" t="str" cm="1">
        <f t="array" ref="P11">_xlfn.TEXTJOIN(CHAR(10),TRUE,IF(G7:G111="0800-1800 AFC",$C7:$C111,""),IF(G7:G111="0800-1730 AFC",$C7:$C111,""),IF(G7:G111="0800-1800",$C7:$C111,""),IF(G7:G111="0800-1730",$C7:$C111,""))</f>
        <v>ANASTASIA SMS
DENNIS SR
JOSHUA IR
ADI JR
PAUL JR</v>
      </c>
      <c r="Q11" s="775" t="str" cm="1">
        <f t="array" ref="Q11">_xlfn.TEXTJOIN(CHAR(10),TRUE,IF(H7:H111="0800-1800 AFC",$C7:$C111,""),IF(H7:H111="0800-1730 AFC",$C7:$C111,""),IF(H7:H111="0800-1800",$C7:$C111,""),IF(H7:H111="0800-1730",$C7:$C111,""))</f>
        <v>DAVID SMS
SCOTT SMS
TITUS CMO
SALEEM CMO
KELLY JR</v>
      </c>
      <c r="R11" s="775" t="str" cm="1">
        <f t="array" ref="R11">_xlfn.TEXTJOIN(CHAR(10),TRUE,IF(I7:I111="0800-1800 AFC",$C7:$C111,""),IF(I7:I111="0800-1730 AFC",$C7:$C111,""),IF(I7:I111="0800-1800",$C7:$C111,""),IF(I7:I111="0800-1730",$C7:$C111,""))</f>
        <v>JACQUELINE SMS
CHRISTINA JR
DESLIN JR
KELLY JR</v>
      </c>
      <c r="S11" s="775" t="str" cm="1">
        <f t="array" ref="S11">_xlfn.TEXTJOIN(CHAR(10),TRUE,IF(J7:J111="0800-1800 AFC",$C7:$C111,""),IF(J7:J111="0800-1730 AFC",$C7:$C111,""),IF(J7:J111="0800-1800",$C7:$C111,""),IF(J7:J111="0800-1730",$C7:$C111,""))</f>
        <v>HANNAH IR
CHRISTINA JR
DESLIN JR</v>
      </c>
      <c r="T11" s="775" t="str" cm="1">
        <f t="array" ref="T11">_xlfn.TEXTJOIN(CHAR(10),TRUE,IF(K7:K111="0800-1800 AFC",$C7:$C111,""),IF(K7:K111="0800-1730 AFC",$C7:$C111,""),IF(K7:K111="0800-1800",$C7:$C111,""),IF(K7:K111="0800-1730",$C7:$C111,""))</f>
        <v>JOSEPH SR
RACHEL JR
LAURA JR</v>
      </c>
      <c r="U11" s="775" t="str" cm="1">
        <f t="array" ref="U11">_xlfn.TEXTJOIN(CHAR(10),TRUE,IF(L7:L111="0800-1800 AFC",$C7:$C111,""),IF(L7:L111="0800-1730 AFC",$C7:$C111,""),IF(L7:L111="0800-1800",$C7:$C111,""),IF(L7:L111="0800-1730",$C7:$C111,""))</f>
        <v>JOSEPH SR
JESSICA JR
RACHEL JR
LAURA JR</v>
      </c>
      <c r="W11" s="772">
        <v>7</v>
      </c>
    </row>
    <row r="12" spans="1:23" ht="14.1" customHeight="1">
      <c r="C12" s="497" t="s">
        <v>314</v>
      </c>
      <c r="D12" s="497" t="s">
        <v>49</v>
      </c>
      <c r="E12" s="654">
        <v>213322</v>
      </c>
      <c r="F12" s="572" t="s">
        <v>31</v>
      </c>
      <c r="G12" s="573"/>
      <c r="H12" s="573"/>
      <c r="I12" s="573"/>
      <c r="J12" s="573"/>
      <c r="K12" s="573"/>
      <c r="L12" s="574"/>
      <c r="N12" s="734"/>
      <c r="O12" s="774"/>
      <c r="P12" s="775"/>
      <c r="Q12" s="775"/>
      <c r="R12" s="775"/>
      <c r="S12" s="775"/>
      <c r="T12" s="775"/>
      <c r="U12" s="775"/>
      <c r="W12" s="772"/>
    </row>
    <row r="13" spans="1:23" ht="14.1" customHeight="1">
      <c r="C13" s="497" t="s">
        <v>315</v>
      </c>
      <c r="D13" s="497" t="s">
        <v>51</v>
      </c>
      <c r="E13" s="654">
        <v>602997</v>
      </c>
      <c r="F13" s="582" t="s">
        <v>33</v>
      </c>
      <c r="G13" s="565" t="s">
        <v>52</v>
      </c>
      <c r="H13" s="565" t="s">
        <v>41</v>
      </c>
      <c r="I13" s="565"/>
      <c r="J13" s="565"/>
      <c r="K13" s="565"/>
      <c r="L13" s="577" t="s">
        <v>40</v>
      </c>
      <c r="N13" s="734"/>
      <c r="O13" s="774"/>
      <c r="P13" s="775"/>
      <c r="Q13" s="775"/>
      <c r="R13" s="775"/>
      <c r="S13" s="775"/>
      <c r="T13" s="775"/>
      <c r="U13" s="775"/>
      <c r="W13" s="772"/>
    </row>
    <row r="14" spans="1:23" ht="14.1" customHeight="1">
      <c r="C14" s="504" t="s">
        <v>316</v>
      </c>
      <c r="D14" s="504" t="s">
        <v>55</v>
      </c>
      <c r="E14" s="654">
        <v>646459</v>
      </c>
      <c r="F14" s="575" t="s">
        <v>46</v>
      </c>
      <c r="G14" s="566" t="s">
        <v>33</v>
      </c>
      <c r="H14" s="566" t="s">
        <v>37</v>
      </c>
      <c r="I14" s="566"/>
      <c r="J14" s="576"/>
      <c r="K14" s="565"/>
      <c r="L14" s="577" t="s">
        <v>34</v>
      </c>
      <c r="N14" s="734"/>
      <c r="O14" s="774"/>
      <c r="P14" s="775"/>
      <c r="Q14" s="775"/>
      <c r="R14" s="775"/>
      <c r="S14" s="775"/>
      <c r="T14" s="775"/>
      <c r="U14" s="775"/>
      <c r="W14" s="772"/>
    </row>
    <row r="15" spans="1:23" ht="14.1" customHeight="1">
      <c r="C15" s="497" t="s">
        <v>318</v>
      </c>
      <c r="D15" s="504" t="s">
        <v>56</v>
      </c>
      <c r="E15" s="654">
        <v>632594</v>
      </c>
      <c r="F15" s="575" t="s">
        <v>40</v>
      </c>
      <c r="G15" s="565"/>
      <c r="H15" s="565" t="s">
        <v>33</v>
      </c>
      <c r="I15" s="565"/>
      <c r="J15" s="565"/>
      <c r="K15" s="565" t="s">
        <v>36</v>
      </c>
      <c r="L15" s="577" t="s">
        <v>38</v>
      </c>
      <c r="N15" s="734"/>
      <c r="O15" s="774"/>
      <c r="P15" s="775"/>
      <c r="Q15" s="775"/>
      <c r="R15" s="775"/>
      <c r="S15" s="775"/>
      <c r="T15" s="775"/>
      <c r="U15" s="775"/>
      <c r="W15" s="772"/>
    </row>
    <row r="16" spans="1:23" ht="14.1" customHeight="1">
      <c r="C16" s="497" t="s">
        <v>319</v>
      </c>
      <c r="D16" s="497" t="s">
        <v>58</v>
      </c>
      <c r="E16" s="654">
        <v>541622</v>
      </c>
      <c r="F16" s="582"/>
      <c r="G16" s="565" t="s">
        <v>41</v>
      </c>
      <c r="H16" s="565" t="s">
        <v>33</v>
      </c>
      <c r="I16" s="565" t="s">
        <v>38</v>
      </c>
      <c r="J16" s="565" t="s">
        <v>46</v>
      </c>
      <c r="K16" s="583"/>
      <c r="L16" s="584"/>
      <c r="N16" s="734"/>
      <c r="O16" s="774"/>
      <c r="P16" s="775"/>
      <c r="Q16" s="775"/>
      <c r="R16" s="775"/>
      <c r="S16" s="775"/>
      <c r="T16" s="775"/>
      <c r="U16" s="775"/>
      <c r="W16" s="772"/>
    </row>
    <row r="17" spans="3:23" ht="14.1" customHeight="1">
      <c r="C17" s="504" t="s">
        <v>320</v>
      </c>
      <c r="D17" s="504" t="s">
        <v>59</v>
      </c>
      <c r="E17" s="656">
        <v>614941</v>
      </c>
      <c r="F17" s="582" t="s">
        <v>62</v>
      </c>
      <c r="G17" s="576"/>
      <c r="H17" s="583"/>
      <c r="I17" s="203"/>
      <c r="J17" s="576"/>
      <c r="K17" s="576"/>
      <c r="L17" s="579"/>
      <c r="N17" s="773"/>
      <c r="O17" s="774"/>
      <c r="P17" s="775"/>
      <c r="Q17" s="775"/>
      <c r="R17" s="775"/>
      <c r="S17" s="775"/>
      <c r="T17" s="775"/>
      <c r="U17" s="775"/>
      <c r="W17" s="772"/>
    </row>
    <row r="18" spans="3:23" ht="14.1" customHeight="1">
      <c r="C18" s="497" t="s">
        <v>321</v>
      </c>
      <c r="D18" s="497" t="s">
        <v>63</v>
      </c>
      <c r="E18" s="654">
        <v>600989</v>
      </c>
      <c r="F18" s="582" t="s">
        <v>62</v>
      </c>
      <c r="G18" s="576"/>
      <c r="H18" s="583"/>
      <c r="I18" s="203"/>
      <c r="J18" s="576"/>
      <c r="K18" s="576"/>
      <c r="L18" s="579"/>
      <c r="N18" s="510" t="s">
        <v>322</v>
      </c>
      <c r="O18" s="102" t="e">
        <f t="shared" ref="O18:U18" si="8">INDEX($C7:$L188,MATCH("*AHJ*",F7:F191,0),1)</f>
        <v>#N/A</v>
      </c>
      <c r="P18" s="102" t="str">
        <f t="shared" si="8"/>
        <v>AARON B. HMO</v>
      </c>
      <c r="Q18" s="102" t="str">
        <f t="shared" si="8"/>
        <v>BRIANNA HMO</v>
      </c>
      <c r="R18" s="102" t="str">
        <f t="shared" si="8"/>
        <v>MASON HMO</v>
      </c>
      <c r="S18" s="102" t="str">
        <f t="shared" si="8"/>
        <v>WATHSALA HMO</v>
      </c>
      <c r="T18" s="102" t="str">
        <f t="shared" si="8"/>
        <v>WILL HMO</v>
      </c>
      <c r="U18" s="102" t="str">
        <f t="shared" si="8"/>
        <v>BRENDAN HMO</v>
      </c>
      <c r="V18" s="34" t="s">
        <v>323</v>
      </c>
      <c r="W18" s="89">
        <v>1</v>
      </c>
    </row>
    <row r="19" spans="3:23" ht="14.1" customHeight="1">
      <c r="C19" s="511" t="s">
        <v>324</v>
      </c>
      <c r="D19" s="497" t="s">
        <v>64</v>
      </c>
      <c r="E19" s="654">
        <v>628578</v>
      </c>
      <c r="F19" s="575" t="s">
        <v>35</v>
      </c>
      <c r="G19" s="590"/>
      <c r="H19" s="578" t="s">
        <v>513</v>
      </c>
      <c r="I19" s="565" t="s">
        <v>33</v>
      </c>
      <c r="J19" s="565" t="s">
        <v>40</v>
      </c>
      <c r="K19" s="576"/>
      <c r="L19" s="604"/>
      <c r="N19" s="776" t="s">
        <v>325</v>
      </c>
      <c r="O19" s="777" t="str" cm="1">
        <f t="array" ref="O19">_xlfn.TEXTJOIN(CHAR(10),TRUE,_xlfn._xlws.FILTER($C7:$C184,RIGHT(F7:F184,LEN("ASSJ"))="ASSJ",""))</f>
        <v>PHILLIP HMO</v>
      </c>
      <c r="P19" s="750" t="str" cm="1">
        <f t="array" ref="P19">_xlfn.TEXTJOIN(CHAR(10),TRUE,_xlfn._xlws.FILTER($C7:$C184,RIGHT(G7:G184,LEN("ASSJ"))="ASSJ",""))</f>
        <v>MIKEY HMO</v>
      </c>
      <c r="Q19" s="750" t="str" cm="1">
        <f t="array" ref="Q19">_xlfn.TEXTJOIN(CHAR(10),TRUE,_xlfn._xlws.FILTER($C7:$C184,RIGHT(H7:H184,LEN("ASSJ"))="ASSJ",""))</f>
        <v>MILOS HMO</v>
      </c>
      <c r="R19" s="750" t="str" cm="1">
        <f t="array" ref="R19">_xlfn.TEXTJOIN(CHAR(10),TRUE,_xlfn._xlws.FILTER($C7:$C184,RIGHT(I7:I184,LEN("ASSJ"))="ASSJ",""))</f>
        <v>TRAM HMO</v>
      </c>
      <c r="S19" s="750" t="str" cm="1">
        <f t="array" ref="S19">_xlfn.TEXTJOIN(CHAR(10),TRUE,_xlfn._xlws.FILTER($C7:$C184,RIGHT(J7:J184,LEN("ASSJ"))="ASSJ",""))</f>
        <v>AREEBA HMO</v>
      </c>
      <c r="T19" s="750" t="str" cm="1">
        <f t="array" ref="T19">_xlfn.TEXTJOIN(CHAR(10),TRUE,_xlfn._xlws.FILTER($C7:$C184,RIGHT(K7:K184,LEN("ASSJ"))="ASSJ",""))</f>
        <v>BRENDAN HMO</v>
      </c>
      <c r="U19" s="788" t="str" cm="1">
        <f t="array" ref="U19">_xlfn.TEXTJOIN(CHAR(10),TRUE,_xlfn._xlws.FILTER($C7:$C184,RIGHT(L7:L184,LEN("ASSJ"))="ASSJ",""))</f>
        <v>WILL HMO</v>
      </c>
      <c r="V19" s="34" t="s">
        <v>326</v>
      </c>
      <c r="W19" s="772">
        <v>2</v>
      </c>
    </row>
    <row r="20" spans="3:23" ht="14.1" customHeight="1">
      <c r="C20" s="497" t="s">
        <v>327</v>
      </c>
      <c r="D20" s="504" t="s">
        <v>68</v>
      </c>
      <c r="E20" s="657">
        <v>628603</v>
      </c>
      <c r="F20" s="582"/>
      <c r="G20" s="565" t="s">
        <v>46</v>
      </c>
      <c r="H20" s="565" t="s">
        <v>33</v>
      </c>
      <c r="I20" s="565" t="s">
        <v>37</v>
      </c>
      <c r="J20" s="565" t="s">
        <v>38</v>
      </c>
      <c r="K20" s="565"/>
      <c r="L20" s="577"/>
      <c r="N20" s="776"/>
      <c r="O20" s="777"/>
      <c r="P20" s="750"/>
      <c r="Q20" s="750"/>
      <c r="R20" s="750"/>
      <c r="S20" s="750"/>
      <c r="T20" s="750"/>
      <c r="U20" s="788"/>
      <c r="W20" s="772"/>
    </row>
    <row r="21" spans="3:23" ht="14.1" customHeight="1">
      <c r="C21" s="513" t="s">
        <v>329</v>
      </c>
      <c r="D21" s="504" t="s">
        <v>71</v>
      </c>
      <c r="E21" s="278">
        <v>631416</v>
      </c>
      <c r="F21" s="575" t="s">
        <v>41</v>
      </c>
      <c r="G21" s="204"/>
      <c r="H21" s="565" t="s">
        <v>33</v>
      </c>
      <c r="I21" s="576"/>
      <c r="J21" s="576"/>
      <c r="K21" s="576"/>
      <c r="L21" s="577"/>
      <c r="N21" s="733" t="s">
        <v>330</v>
      </c>
      <c r="O21" s="777" t="str" cm="1">
        <f t="array" ref="O21">_xlfn.TEXTJOIN(CHAR(10),TRUE,IF(F112:F184="0800-1730",$C112:$C184,""))</f>
        <v>HARRISON HMO
Filip INT
Roxana INT
Jayce INT</v>
      </c>
      <c r="P21" s="750" t="str" cm="1">
        <f t="array" ref="P21">_xlfn.TEXTJOIN(CHAR(10),TRUE,IF(G112:G184="0800-1730",$C112:$C184,""))</f>
        <v>BRENDAN HMO
PHILLIP HMO
Ann INT
Elliott INT
Jayce INT</v>
      </c>
      <c r="Q21" s="750" t="str" cm="1">
        <f t="array" ref="Q21">_xlfn.TEXTJOIN(CHAR(10),TRUE,IF(H112:H184="0800-1730",$C112:$C184,""))</f>
        <v>PHILLIP HMO
TRAM HMO
Arushi INT
Daniel INT
Jayce INT</v>
      </c>
      <c r="R21" s="750" t="str" cm="1">
        <f t="array" ref="R21">_xlfn.TEXTJOIN(CHAR(10),TRUE,IF(I112:I184="0800-1730",$C112:$C184,""))</f>
        <v>Daniel INT
Sarah C. INT</v>
      </c>
      <c r="S21" s="750" t="str" cm="1">
        <f t="array" ref="S21">_xlfn.TEXTJOIN(CHAR(10),TRUE,IF(J112:J184="0800-1730",$C112:$C184,""))</f>
        <v>ANKUSH HMO
MASON HMO
Daniel INT
Sarah C. INT
Jayce INT</v>
      </c>
      <c r="T21" s="750" t="str" cm="1">
        <f t="array" ref="T21">_xlfn.TEXTJOIN(CHAR(10),TRUE,IF(K112:K184="0800-1730",$C112:$C184,""))</f>
        <v>AARON G. HMO
NATHAN HMO
Arushi INT
Sarah C. INT</v>
      </c>
      <c r="U21" s="750" t="str" cm="1">
        <f t="array" ref="U21">_xlfn.TEXTJOIN(CHAR(10),TRUE,IF(L112:L184="0800-1730",$C112:$C184,""))</f>
        <v>AARON G. HMO
MILOS HMO
NATHAN HMO
Arushi INT</v>
      </c>
      <c r="W21" s="772">
        <v>7</v>
      </c>
    </row>
    <row r="22" spans="3:23" ht="14.1" customHeight="1">
      <c r="C22" s="80" t="s">
        <v>331</v>
      </c>
      <c r="D22" s="514" t="s">
        <v>73</v>
      </c>
      <c r="E22" s="658">
        <v>613670</v>
      </c>
      <c r="F22" s="582" t="s">
        <v>74</v>
      </c>
      <c r="G22" s="576"/>
      <c r="H22" s="576"/>
      <c r="I22" s="576"/>
      <c r="J22" s="576"/>
      <c r="K22" s="576"/>
      <c r="L22" s="579"/>
      <c r="N22" s="734"/>
      <c r="O22" s="777"/>
      <c r="P22" s="750"/>
      <c r="Q22" s="750"/>
      <c r="R22" s="750"/>
      <c r="S22" s="750"/>
      <c r="T22" s="750"/>
      <c r="U22" s="750"/>
      <c r="W22" s="772"/>
    </row>
    <row r="23" spans="3:23" ht="14.1" customHeight="1">
      <c r="C23" s="511" t="s">
        <v>332</v>
      </c>
      <c r="D23" s="504" t="s">
        <v>76</v>
      </c>
      <c r="E23" s="659">
        <v>621988</v>
      </c>
      <c r="F23" s="587" t="s">
        <v>77</v>
      </c>
      <c r="G23" s="588"/>
      <c r="H23" s="588"/>
      <c r="I23" s="588"/>
      <c r="J23" s="588"/>
      <c r="K23" s="588"/>
      <c r="L23" s="579"/>
      <c r="N23" s="734"/>
      <c r="O23" s="777"/>
      <c r="P23" s="750"/>
      <c r="Q23" s="750"/>
      <c r="R23" s="750"/>
      <c r="S23" s="750"/>
      <c r="T23" s="750"/>
      <c r="U23" s="750"/>
      <c r="W23" s="772"/>
    </row>
    <row r="24" spans="3:23" ht="14.1" customHeight="1">
      <c r="C24" s="497" t="s">
        <v>333</v>
      </c>
      <c r="D24" s="497" t="s">
        <v>79</v>
      </c>
      <c r="E24" s="654">
        <v>609408</v>
      </c>
      <c r="F24" s="575" t="s">
        <v>47</v>
      </c>
      <c r="G24" s="565" t="s">
        <v>57</v>
      </c>
      <c r="H24" s="565" t="s">
        <v>57</v>
      </c>
      <c r="I24" s="565" t="s">
        <v>46</v>
      </c>
      <c r="J24" s="565"/>
      <c r="K24" s="565"/>
      <c r="L24" s="577"/>
      <c r="N24" s="734"/>
      <c r="O24" s="777"/>
      <c r="P24" s="750"/>
      <c r="Q24" s="750"/>
      <c r="R24" s="750"/>
      <c r="S24" s="750"/>
      <c r="T24" s="750"/>
      <c r="U24" s="750"/>
      <c r="W24" s="772"/>
    </row>
    <row r="25" spans="3:23" ht="14.1" customHeight="1">
      <c r="C25" s="511" t="s">
        <v>334</v>
      </c>
      <c r="D25" s="497" t="s">
        <v>81</v>
      </c>
      <c r="E25" s="659">
        <v>632646</v>
      </c>
      <c r="F25" s="587" t="s">
        <v>77</v>
      </c>
      <c r="G25" s="588"/>
      <c r="H25" s="588"/>
      <c r="I25" s="588"/>
      <c r="J25" s="588"/>
      <c r="K25" s="588"/>
      <c r="L25" s="579"/>
      <c r="N25" s="734"/>
      <c r="O25" s="777"/>
      <c r="P25" s="750"/>
      <c r="Q25" s="750"/>
      <c r="R25" s="750"/>
      <c r="S25" s="750"/>
      <c r="T25" s="750"/>
      <c r="U25" s="750"/>
      <c r="W25" s="772"/>
    </row>
    <row r="26" spans="3:23" ht="14.1" customHeight="1">
      <c r="C26" s="511" t="s">
        <v>335</v>
      </c>
      <c r="D26" s="497" t="s">
        <v>82</v>
      </c>
      <c r="E26" s="660">
        <v>634491</v>
      </c>
      <c r="F26" s="585" t="s">
        <v>38</v>
      </c>
      <c r="G26" s="586"/>
      <c r="H26" s="586"/>
      <c r="I26" s="586"/>
      <c r="J26" s="586"/>
      <c r="K26" s="586" t="s">
        <v>37</v>
      </c>
      <c r="L26" s="577"/>
      <c r="N26" s="734"/>
      <c r="O26" s="777"/>
      <c r="P26" s="750"/>
      <c r="Q26" s="750"/>
      <c r="R26" s="750"/>
      <c r="S26" s="750"/>
      <c r="T26" s="750"/>
      <c r="U26" s="750"/>
      <c r="W26" s="772"/>
    </row>
    <row r="27" spans="3:23" ht="14.1" customHeight="1" thickBot="1">
      <c r="C27" s="518" t="s">
        <v>83</v>
      </c>
      <c r="D27" s="518" t="s">
        <v>336</v>
      </c>
      <c r="E27" s="519"/>
      <c r="F27" s="316"/>
      <c r="G27" s="378"/>
      <c r="H27" s="378"/>
      <c r="I27" s="378"/>
      <c r="J27" s="378"/>
      <c r="K27" s="378"/>
      <c r="L27" s="319"/>
      <c r="N27" s="773"/>
      <c r="O27" s="777"/>
      <c r="P27" s="750"/>
      <c r="Q27" s="750"/>
      <c r="R27" s="750"/>
      <c r="S27" s="750"/>
      <c r="T27" s="750"/>
      <c r="U27" s="750"/>
      <c r="W27" s="772"/>
    </row>
    <row r="28" spans="3:23" ht="14.1" customHeight="1">
      <c r="C28" s="497" t="s">
        <v>337</v>
      </c>
      <c r="D28" s="497" t="s">
        <v>84</v>
      </c>
      <c r="E28" s="654">
        <v>502961</v>
      </c>
      <c r="F28" s="575" t="s">
        <v>50</v>
      </c>
      <c r="G28" s="565" t="s">
        <v>93</v>
      </c>
      <c r="H28" s="565"/>
      <c r="I28" s="565"/>
      <c r="J28" s="565"/>
      <c r="K28" s="576"/>
      <c r="L28" s="579"/>
      <c r="N28" s="778" t="s">
        <v>338</v>
      </c>
      <c r="O28" s="781" t="str" cm="1">
        <f t="array" ref="O28">_xlfn.TEXTJOIN(CHAR(10),TRUE,_xlfn._xlws.FILTER($C7:$C184,RIGHT(F7:F184,LEN("SWA"))="SWA",""))</f>
        <v>PAUL JR
AARON N. HMO</v>
      </c>
      <c r="P28" s="770" t="str" cm="1">
        <f t="array" ref="P28">_xlfn.TEXTJOIN(CHAR(10),TRUE,_xlfn._xlws.FILTER($C7:$C184,RIGHT(G7:G184,LEN("SWA"))="SWA",""))</f>
        <v>LISA HMO</v>
      </c>
      <c r="Q28" s="770" t="str" cm="1">
        <f t="array" ref="Q28">_xlfn.TEXTJOIN(CHAR(10),TRUE,_xlfn._xlws.FILTER($C7:$C184,RIGHT(H7:H184,LEN("SWA"))="SWA",""))</f>
        <v>AARON B. HMO</v>
      </c>
      <c r="R28" s="770" t="str" cm="1">
        <f t="array" ref="R28">_xlfn.TEXTJOIN(CHAR(10),TRUE,_xlfn._xlws.FILTER($C7:$C184,RIGHT(I7:I184,LEN("SWA"))="SWA",""))</f>
        <v>MARK SR</v>
      </c>
      <c r="S28" s="770" t="str" cm="1">
        <f t="array" ref="S28">_xlfn.TEXTJOIN(CHAR(10),TRUE,_xlfn._xlws.FILTER($C7:$C184,RIGHT(J7:J184,LEN("SWA"))="SWA",""))</f>
        <v/>
      </c>
      <c r="T28" s="770" t="str" cm="1">
        <f t="array" ref="T28">_xlfn.TEXTJOIN(CHAR(10),TRUE,_xlfn._xlws.FILTER($C7:$C184,RIGHT(K7:K184,LEN("SWA"))="SWA",""))</f>
        <v>JESSICA JR</v>
      </c>
      <c r="U28" s="771" t="str" cm="1">
        <f t="array" ref="U28">_xlfn.TEXTJOIN(CHAR(10),TRUE,_xlfn._xlws.FILTER($C7:$C184,RIGHT(L7:L184,LEN("SWA"))="SWA",""))</f>
        <v/>
      </c>
      <c r="V28" s="34" t="s">
        <v>339</v>
      </c>
      <c r="W28" s="772">
        <v>3</v>
      </c>
    </row>
    <row r="29" spans="3:23" ht="14.1" customHeight="1">
      <c r="C29" s="497" t="s">
        <v>340</v>
      </c>
      <c r="D29" s="497" t="s">
        <v>96</v>
      </c>
      <c r="E29" s="654">
        <v>601096</v>
      </c>
      <c r="F29" s="589" t="s">
        <v>37</v>
      </c>
      <c r="G29" s="590"/>
      <c r="H29" s="590" t="s">
        <v>33</v>
      </c>
      <c r="I29" s="565" t="s">
        <v>35</v>
      </c>
      <c r="J29" s="583"/>
      <c r="K29" s="576"/>
      <c r="L29" s="579"/>
      <c r="N29" s="779"/>
      <c r="O29" s="782"/>
      <c r="P29" s="740"/>
      <c r="Q29" s="740"/>
      <c r="R29" s="740"/>
      <c r="S29" s="740"/>
      <c r="T29" s="740"/>
      <c r="U29" s="764"/>
      <c r="W29" s="772"/>
    </row>
    <row r="30" spans="3:23" ht="14.1" customHeight="1" thickBot="1">
      <c r="C30" s="497" t="s">
        <v>341</v>
      </c>
      <c r="D30" s="497" t="s">
        <v>97</v>
      </c>
      <c r="E30" s="654">
        <v>260509</v>
      </c>
      <c r="F30" s="592" t="s">
        <v>98</v>
      </c>
      <c r="G30" s="593"/>
      <c r="H30" s="593"/>
      <c r="I30" s="593"/>
      <c r="J30" s="593"/>
      <c r="K30" s="593"/>
      <c r="L30" s="594"/>
      <c r="N30" s="780"/>
      <c r="O30" s="783"/>
      <c r="P30" s="741"/>
      <c r="Q30" s="741"/>
      <c r="R30" s="741"/>
      <c r="S30" s="741"/>
      <c r="T30" s="741"/>
      <c r="U30" s="765"/>
      <c r="W30" s="772"/>
    </row>
    <row r="31" spans="3:23" ht="14.1" customHeight="1" thickBot="1">
      <c r="C31" s="504" t="s">
        <v>343</v>
      </c>
      <c r="D31" s="504" t="s">
        <v>99</v>
      </c>
      <c r="E31" s="654">
        <v>603237</v>
      </c>
      <c r="F31" s="576"/>
      <c r="G31" s="565" t="s">
        <v>43</v>
      </c>
      <c r="H31" s="565" t="s">
        <v>40</v>
      </c>
      <c r="I31" s="576" t="s">
        <v>100</v>
      </c>
      <c r="J31" s="565"/>
      <c r="K31" s="565"/>
      <c r="L31" s="565" t="s">
        <v>35</v>
      </c>
      <c r="N31" s="101"/>
      <c r="O31" s="101"/>
      <c r="P31" s="101"/>
      <c r="Q31" s="101"/>
      <c r="R31" s="101"/>
      <c r="S31" s="101"/>
      <c r="T31" s="101"/>
      <c r="U31" s="101"/>
      <c r="V31" s="101"/>
      <c r="W31" s="101"/>
    </row>
    <row r="32" spans="3:23" ht="14.1" customHeight="1">
      <c r="C32" s="520" t="s">
        <v>344</v>
      </c>
      <c r="D32" s="520" t="s">
        <v>101</v>
      </c>
      <c r="E32" s="654">
        <v>613781</v>
      </c>
      <c r="F32" s="582"/>
      <c r="G32" s="565" t="s">
        <v>32</v>
      </c>
      <c r="H32" s="565" t="s">
        <v>38</v>
      </c>
      <c r="I32" s="576" t="s">
        <v>33</v>
      </c>
      <c r="J32" s="576"/>
      <c r="K32" s="583"/>
      <c r="L32" s="584"/>
      <c r="N32" s="103" t="s">
        <v>345</v>
      </c>
      <c r="O32" s="98" t="str">
        <f>F62</f>
        <v>REZA</v>
      </c>
      <c r="P32" s="98" t="str">
        <f>G62</f>
        <v>REZA</v>
      </c>
      <c r="Q32" s="98" t="str">
        <f t="shared" ref="Q32:S32" si="9">H62</f>
        <v>ARRHCHIE</v>
      </c>
      <c r="R32" s="98" t="str">
        <f t="shared" si="9"/>
        <v>REZA</v>
      </c>
      <c r="S32" s="98" t="str">
        <f t="shared" si="9"/>
        <v>JENNY</v>
      </c>
      <c r="T32" s="99"/>
      <c r="U32" s="100"/>
      <c r="W32" s="89"/>
    </row>
    <row r="33" spans="3:23" ht="14.1" customHeight="1" thickBot="1">
      <c r="C33" s="497" t="s">
        <v>346</v>
      </c>
      <c r="D33" s="497" t="s">
        <v>102</v>
      </c>
      <c r="E33" s="654">
        <v>611691</v>
      </c>
      <c r="F33" s="576" t="s">
        <v>2</v>
      </c>
      <c r="G33" s="565" t="s">
        <v>50</v>
      </c>
      <c r="H33" s="565" t="s">
        <v>34</v>
      </c>
      <c r="I33" s="565"/>
      <c r="J33" s="565" t="s">
        <v>32</v>
      </c>
      <c r="K33" s="583" t="s">
        <v>1</v>
      </c>
      <c r="L33" s="565"/>
      <c r="N33" s="834" t="s">
        <v>347</v>
      </c>
      <c r="O33" s="521" t="str" cm="1">
        <f t="array" ref="O33">_xlfn.TEXTJOIN(CHAR(10),TRUE,_xlfn._xlws.FILTER($C7:$C184,RIGHT(F7:F184,LEN("CSO"))="CSO",""))</f>
        <v>JACKIE SMS</v>
      </c>
      <c r="P33" s="835" t="str" cm="1">
        <f t="array" ref="P33">_xlfn.TEXTJOIN(CHAR(10),TRUE,_xlfn._xlws.FILTER($C7:$C184,RIGHT(G7:G184,LEN("CSO"))="CSO",""))</f>
        <v>ANDY L  SMS</v>
      </c>
      <c r="Q33" s="835" t="str" cm="1">
        <f t="array" ref="Q33">_xlfn.TEXTJOIN(CHAR(10),TRUE,_xlfn._xlws.FILTER($C7:$C184,RIGHT(H7:H184,LEN("CSO"))="CSO",""))</f>
        <v>JULIA SMS</v>
      </c>
      <c r="R33" s="835" t="str" cm="1">
        <f t="array" ref="R33">_xlfn.TEXTJOIN(CHAR(10),TRUE,_xlfn._xlws.FILTER($C7:$C184,RIGHT(I7:I184,LEN("CSO"))="CSO",""))</f>
        <v>SUHAIL SMS</v>
      </c>
      <c r="S33" s="835" t="str" cm="1">
        <f t="array" ref="S33">_xlfn.TEXTJOIN(CHAR(10),TRUE,_xlfn._xlws.FILTER($C7:$C184,RIGHT(J7:J184,LEN("CSO"))="CSO",""))</f>
        <v>JEREMY SMS</v>
      </c>
      <c r="T33" s="835"/>
      <c r="U33" s="836"/>
      <c r="W33" s="89"/>
    </row>
    <row r="34" spans="3:23" ht="14.1" customHeight="1" thickBot="1">
      <c r="C34" s="497" t="s">
        <v>348</v>
      </c>
      <c r="D34" s="504" t="s">
        <v>103</v>
      </c>
      <c r="E34" s="654">
        <v>634258</v>
      </c>
      <c r="F34" s="575" t="s">
        <v>36</v>
      </c>
      <c r="G34" s="565"/>
      <c r="H34" s="565"/>
      <c r="I34" s="565"/>
      <c r="J34" s="565"/>
      <c r="K34" s="565" t="s">
        <v>47</v>
      </c>
      <c r="L34" s="577" t="s">
        <v>37</v>
      </c>
      <c r="O34" s="89"/>
      <c r="W34" s="89"/>
    </row>
    <row r="35" spans="3:23" ht="14.1" customHeight="1" thickBot="1">
      <c r="C35" s="504" t="s">
        <v>349</v>
      </c>
      <c r="D35" s="504" t="s">
        <v>104</v>
      </c>
      <c r="E35" s="655">
        <v>618946</v>
      </c>
      <c r="F35" s="610"/>
      <c r="G35" s="565" t="s">
        <v>37</v>
      </c>
      <c r="H35" s="565" t="s">
        <v>41</v>
      </c>
      <c r="I35" s="565" t="s">
        <v>36</v>
      </c>
      <c r="J35" s="576"/>
      <c r="K35" s="565"/>
      <c r="L35" s="577"/>
      <c r="O35" s="784" t="s">
        <v>350</v>
      </c>
      <c r="P35" s="785"/>
      <c r="Q35" s="785"/>
      <c r="R35" s="785"/>
      <c r="S35" s="785"/>
      <c r="T35" s="785"/>
      <c r="U35" s="786"/>
      <c r="W35" s="89" t="s">
        <v>351</v>
      </c>
    </row>
    <row r="36" spans="3:23" ht="14.1" customHeight="1">
      <c r="C36" s="504" t="s">
        <v>352</v>
      </c>
      <c r="D36" s="504" t="s">
        <v>109</v>
      </c>
      <c r="E36" s="654">
        <v>634702</v>
      </c>
      <c r="F36" s="592" t="s">
        <v>98</v>
      </c>
      <c r="G36" s="593"/>
      <c r="H36" s="593"/>
      <c r="I36" s="593"/>
      <c r="J36" s="593"/>
      <c r="K36" s="593"/>
      <c r="L36" s="594"/>
      <c r="N36" s="104" t="s">
        <v>303</v>
      </c>
      <c r="O36" s="105" t="str">
        <f t="shared" ref="O36:U36" si="10">INDEX($C7:$L188,MATCH("*Pgc",F7:F191,0),1)</f>
        <v>JON SMS</v>
      </c>
      <c r="P36" s="99" t="str">
        <f t="shared" si="10"/>
        <v>JACKIE SMS</v>
      </c>
      <c r="Q36" s="99" t="str">
        <f t="shared" si="10"/>
        <v>YAN SMS</v>
      </c>
      <c r="R36" s="99" t="str">
        <f t="shared" si="10"/>
        <v>SCOTT SMS</v>
      </c>
      <c r="S36" s="99" t="str">
        <f t="shared" si="10"/>
        <v>SUHAIL SMS</v>
      </c>
      <c r="T36" s="99" t="str">
        <f t="shared" si="10"/>
        <v>ABI SMS</v>
      </c>
      <c r="U36" s="100" t="str">
        <f t="shared" si="10"/>
        <v>NICOLA SMS</v>
      </c>
      <c r="V36" s="34" t="s">
        <v>293</v>
      </c>
      <c r="W36" s="772">
        <v>5</v>
      </c>
    </row>
    <row r="37" spans="3:23" ht="14.1" customHeight="1">
      <c r="C37" s="78" t="s">
        <v>353</v>
      </c>
      <c r="D37" s="504" t="s">
        <v>110</v>
      </c>
      <c r="E37" s="653">
        <v>648587</v>
      </c>
      <c r="F37" s="591" t="s">
        <v>492</v>
      </c>
      <c r="G37" s="66"/>
      <c r="H37" s="578" t="s">
        <v>514</v>
      </c>
      <c r="I37" s="578" t="s">
        <v>514</v>
      </c>
      <c r="J37" s="566"/>
      <c r="K37" s="566"/>
      <c r="L37" s="598"/>
      <c r="N37" s="522" t="s">
        <v>305</v>
      </c>
      <c r="O37" s="523" t="str">
        <f t="shared" ref="O37:U37" si="11">INDEX($C7:$L188,MATCH("*PAC",F7:F190,0),1)</f>
        <v>GARGI SMS</v>
      </c>
      <c r="P37" s="500" t="str">
        <f t="shared" si="11"/>
        <v>VARUNA SMS</v>
      </c>
      <c r="Q37" s="500" t="str">
        <f t="shared" si="11"/>
        <v>STEPHEN G SMS</v>
      </c>
      <c r="R37" s="500" t="str">
        <f t="shared" si="11"/>
        <v>ANASTASIA SMS</v>
      </c>
      <c r="S37" s="500" t="str">
        <f t="shared" si="11"/>
        <v>CHAMARA SMS</v>
      </c>
      <c r="T37" s="500" t="str">
        <f t="shared" si="11"/>
        <v>MADDY SMS</v>
      </c>
      <c r="U37" s="501" t="str">
        <f t="shared" si="11"/>
        <v>ABI SMS</v>
      </c>
      <c r="V37" s="34" t="s">
        <v>292</v>
      </c>
      <c r="W37" s="772"/>
    </row>
    <row r="38" spans="3:23" ht="14.1" customHeight="1">
      <c r="C38" s="78" t="s">
        <v>354</v>
      </c>
      <c r="D38" s="504" t="s">
        <v>111</v>
      </c>
      <c r="E38" s="653">
        <v>637933</v>
      </c>
      <c r="F38" s="576"/>
      <c r="G38" s="566" t="s">
        <v>47</v>
      </c>
      <c r="H38" s="566" t="s">
        <v>35</v>
      </c>
      <c r="I38" s="576" t="s">
        <v>505</v>
      </c>
      <c r="J38" s="566"/>
      <c r="K38" s="566"/>
      <c r="L38" s="598"/>
      <c r="N38" s="524" t="s">
        <v>307</v>
      </c>
      <c r="O38" s="523" t="str">
        <f t="shared" ref="O38:U38" si="12">INDEX($C7:$L188,MATCH("*PRC",F7:F191,0),1)</f>
        <v>MINA SMS</v>
      </c>
      <c r="P38" s="500" t="str">
        <f t="shared" si="12"/>
        <v>TARA K. SMS</v>
      </c>
      <c r="Q38" s="500" t="str">
        <f t="shared" si="12"/>
        <v>DANIEL SMS</v>
      </c>
      <c r="R38" s="500" t="str">
        <f t="shared" si="12"/>
        <v>TARA J. SMS</v>
      </c>
      <c r="S38" s="500" t="str">
        <f t="shared" si="12"/>
        <v>JAMES SMS</v>
      </c>
      <c r="T38" s="500" t="str">
        <f t="shared" si="12"/>
        <v>TITUS CMO</v>
      </c>
      <c r="U38" s="501" t="str">
        <f t="shared" si="12"/>
        <v>BRAD SMS</v>
      </c>
      <c r="V38" s="34" t="s">
        <v>291</v>
      </c>
      <c r="W38" s="772"/>
    </row>
    <row r="39" spans="3:23" ht="14.1" customHeight="1">
      <c r="C39" s="504" t="s">
        <v>355</v>
      </c>
      <c r="D39" s="504" t="s">
        <v>112</v>
      </c>
      <c r="E39" s="655">
        <v>634394</v>
      </c>
      <c r="F39" s="581" t="s">
        <v>33</v>
      </c>
      <c r="G39" s="66"/>
      <c r="H39" s="566" t="s">
        <v>36</v>
      </c>
      <c r="I39" s="576"/>
      <c r="J39" s="566" t="s">
        <v>37</v>
      </c>
      <c r="K39" s="566"/>
      <c r="L39" s="598"/>
      <c r="N39" s="525" t="s">
        <v>309</v>
      </c>
      <c r="O39" s="523" t="e">
        <f t="shared" ref="O39:U39" si="13">INDEX($C7:$L188,MATCH("*PSSC",F7:F191,0),1)</f>
        <v>#N/A</v>
      </c>
      <c r="P39" s="500" t="str">
        <f t="shared" si="13"/>
        <v>PAIGE SMS</v>
      </c>
      <c r="Q39" s="500" t="str">
        <f t="shared" si="13"/>
        <v>ANDY L  SMS</v>
      </c>
      <c r="R39" s="500" t="e">
        <f t="shared" si="13"/>
        <v>#N/A</v>
      </c>
      <c r="S39" s="500" t="str">
        <f t="shared" si="13"/>
        <v>RAMI SMS</v>
      </c>
      <c r="T39" s="500" t="str">
        <f t="shared" si="13"/>
        <v>NICOLA SMS</v>
      </c>
      <c r="U39" s="501" t="str">
        <f t="shared" si="13"/>
        <v>QING SMS</v>
      </c>
      <c r="V39" s="34" t="s">
        <v>295</v>
      </c>
      <c r="W39" s="772"/>
    </row>
    <row r="40" spans="3:23" ht="14.1" customHeight="1">
      <c r="C40" s="497" t="s">
        <v>356</v>
      </c>
      <c r="D40" s="526" t="s">
        <v>113</v>
      </c>
      <c r="E40" s="654">
        <v>605686</v>
      </c>
      <c r="F40" s="611" t="s">
        <v>43</v>
      </c>
      <c r="G40" s="602" t="s">
        <v>507</v>
      </c>
      <c r="H40" s="601" t="s">
        <v>50</v>
      </c>
      <c r="I40" s="600"/>
      <c r="J40" s="600"/>
      <c r="K40" s="610"/>
      <c r="L40" s="652"/>
      <c r="N40" s="527" t="s">
        <v>357</v>
      </c>
      <c r="O40" s="523" t="str">
        <f t="shared" ref="O40:U40" si="14">INDEX($C7:$L214,MATCH("*PCC*",F7:F202,0),1)</f>
        <v>QING SMS</v>
      </c>
      <c r="P40" s="500" t="str">
        <f t="shared" si="14"/>
        <v>CHAMARA SMS</v>
      </c>
      <c r="Q40" s="500" t="e">
        <f>INDEX($C7:$L214,MATCH("*PCC*",H7:H199,0),1)</f>
        <v>#N/A</v>
      </c>
      <c r="R40" s="500" t="str">
        <f t="shared" si="14"/>
        <v>MICHAEL SMS</v>
      </c>
      <c r="S40" s="500" t="str">
        <f t="shared" si="14"/>
        <v>ANASTASIA SMS</v>
      </c>
      <c r="T40" s="500" t="e">
        <f t="shared" si="14"/>
        <v>#N/A</v>
      </c>
      <c r="U40" s="501" t="str">
        <f t="shared" si="14"/>
        <v>TITUS CMO</v>
      </c>
      <c r="V40" s="34" t="s">
        <v>294</v>
      </c>
      <c r="W40" s="772"/>
    </row>
    <row r="41" spans="3:23" ht="14.1" customHeight="1">
      <c r="C41" s="79" t="s">
        <v>358</v>
      </c>
      <c r="D41" s="497" t="s">
        <v>114</v>
      </c>
      <c r="E41" s="654">
        <v>119385</v>
      </c>
      <c r="F41" s="566"/>
      <c r="G41" s="566"/>
      <c r="H41" s="566"/>
      <c r="I41" s="565"/>
      <c r="J41" s="565"/>
      <c r="K41" s="565" t="s">
        <v>43</v>
      </c>
      <c r="L41" s="577" t="s">
        <v>47</v>
      </c>
      <c r="N41" s="789" t="s">
        <v>360</v>
      </c>
      <c r="O41" s="787" t="str" cm="1">
        <f t="array" ref="O41">_xlfn.TEXTJOIN(CHAR(10),TRUE,IF(F7:F111="1430-0000 PFC",$C7:$C111,""),IF(F7:F111="1400-0000 PFC",$C7:$C111,""),IF(F7:F111="1430-0000",$C7:$C111,""))</f>
        <v>TITUS CMO
HANNAH IR
DESLIN JR</v>
      </c>
      <c r="P41" s="750" t="str" cm="1">
        <f t="array" ref="P41">_xlfn.TEXTJOIN(CHAR(10),TRUE,IF(G7:G111="1430-0000 PFC",$C7:$C111,""),IF(G7:G111="1400-0000 PFC",$C7:$C111,""),IF(G7:G111="1430-0000",$C7:$C111,""))</f>
        <v>HANNAH IR
CHRISTINA JR
DESLIN JR</v>
      </c>
      <c r="Q41" s="750" t="str" cm="1">
        <f t="array" ref="Q41">_xlfn.TEXTJOIN(CHAR(10),TRUE,IF(H7:H111="1430-0000 PFC",$C7:$C111,""),IF(H7:H111="1400-0000 PFC",$C7:$C111,""),IF(H7:H111="1430-0000",$C7:$C111,""))</f>
        <v>ANDREW H SMS
DENNIS SR
ADI JR</v>
      </c>
      <c r="R41" s="750" t="str" cm="1">
        <f t="array" ref="R41">_xlfn.TEXTJOIN(CHAR(10),TRUE,IF(I7:I111="1430-0000 PFC",$C7:$C111,""),IF(I7:I111="1400-0000 PFC",$C7:$C111,""),IF(I7:I111="1430-0000",$C7:$C111,""))</f>
        <v>DENNIS SR
GIOVANA JR
LAURA JR</v>
      </c>
      <c r="S41" s="750" t="str" cm="1">
        <f t="array" ref="S41">_xlfn.TEXTJOIN(CHAR(10),TRUE,IF(J7:J111="1430-0000 PFC",$C7:$C111,""),IF(J7:J111="1400-0000 PFC",$C7:$C111,""),IF(J7:J111="1430-0000",$C7:$C111,""))</f>
        <v>SALEEM CMO
DENNIS SR
GIOVANA JR
ADI JR
JEROME JR</v>
      </c>
      <c r="T41" s="750" t="str" cm="1">
        <f t="array" ref="T41">_xlfn.TEXTJOIN(CHAR(10),TRUE,IF(K7:K111="1430-0000 PFC",$C7:$C111,""),IF(K7:K111="1400-0000 PFC",$C7:$C111,""),IF(K7:K111="1430-0000",$C7:$C111,""))</f>
        <v>MARK SR
JOSHUA IR</v>
      </c>
      <c r="U41" s="788" t="str" cm="1">
        <f t="array" ref="U41">_xlfn.TEXTJOIN(CHAR(10),TRUE,IF(L7:L111="1430-0000 PFC",$C7:$C111,""),IF(L7:L111="1400-0000 PFC",$C7:$C111,""),IF(L7:L111="1430-0000",$C7:$C111,""))</f>
        <v>MARK SR
CLARE IR
JEROME JR</v>
      </c>
      <c r="W41" s="772">
        <v>7</v>
      </c>
    </row>
    <row r="42" spans="3:23" ht="14.1" customHeight="1">
      <c r="C42" s="504" t="s">
        <v>361</v>
      </c>
      <c r="D42" s="504" t="s">
        <v>116</v>
      </c>
      <c r="E42" s="654">
        <v>623962</v>
      </c>
      <c r="F42" s="575"/>
      <c r="G42" s="65" t="s">
        <v>38</v>
      </c>
      <c r="H42" s="65"/>
      <c r="I42" s="65" t="s">
        <v>33</v>
      </c>
      <c r="J42" s="565"/>
      <c r="K42" s="565"/>
      <c r="L42" s="604"/>
      <c r="N42" s="790"/>
      <c r="O42" s="787"/>
      <c r="P42" s="750"/>
      <c r="Q42" s="750"/>
      <c r="R42" s="750"/>
      <c r="S42" s="750"/>
      <c r="T42" s="750"/>
      <c r="U42" s="788"/>
      <c r="W42" s="772"/>
    </row>
    <row r="43" spans="3:23" ht="14.1" customHeight="1">
      <c r="C43" s="497" t="s">
        <v>362</v>
      </c>
      <c r="D43" s="504" t="s">
        <v>117</v>
      </c>
      <c r="E43" s="656">
        <v>613725</v>
      </c>
      <c r="F43" s="575"/>
      <c r="G43" s="565" t="s">
        <v>34</v>
      </c>
      <c r="H43" s="565" t="s">
        <v>33</v>
      </c>
      <c r="I43" s="565"/>
      <c r="J43" s="565" t="s">
        <v>43</v>
      </c>
      <c r="K43" s="565"/>
      <c r="L43" s="576"/>
      <c r="N43" s="790"/>
      <c r="O43" s="787"/>
      <c r="P43" s="750"/>
      <c r="Q43" s="750"/>
      <c r="R43" s="750"/>
      <c r="S43" s="750"/>
      <c r="T43" s="750"/>
      <c r="U43" s="788"/>
      <c r="W43" s="772"/>
    </row>
    <row r="44" spans="3:23" ht="14.1" customHeight="1">
      <c r="C44" s="497" t="s">
        <v>363</v>
      </c>
      <c r="D44" s="504" t="s">
        <v>118</v>
      </c>
      <c r="E44" s="659">
        <v>612264</v>
      </c>
      <c r="F44" s="575"/>
      <c r="G44" s="565"/>
      <c r="H44" s="565"/>
      <c r="I44" s="565" t="s">
        <v>33</v>
      </c>
      <c r="J44" s="565" t="s">
        <v>47</v>
      </c>
      <c r="K44" s="565"/>
      <c r="L44" s="577"/>
      <c r="N44" s="790"/>
      <c r="O44" s="787"/>
      <c r="P44" s="750"/>
      <c r="Q44" s="750"/>
      <c r="R44" s="750"/>
      <c r="S44" s="750"/>
      <c r="T44" s="750"/>
      <c r="U44" s="788"/>
      <c r="W44" s="772"/>
    </row>
    <row r="45" spans="3:23" ht="14.1" customHeight="1">
      <c r="C45" s="497" t="s">
        <v>364</v>
      </c>
      <c r="D45" s="497" t="s">
        <v>119</v>
      </c>
      <c r="E45" s="654">
        <v>643950</v>
      </c>
      <c r="F45" s="575"/>
      <c r="G45" s="576"/>
      <c r="H45" s="565"/>
      <c r="I45" s="576"/>
      <c r="J45" s="576"/>
      <c r="K45" s="565" t="s">
        <v>40</v>
      </c>
      <c r="L45" s="577" t="s">
        <v>43</v>
      </c>
      <c r="N45" s="790"/>
      <c r="O45" s="787"/>
      <c r="P45" s="750"/>
      <c r="Q45" s="750"/>
      <c r="R45" s="750"/>
      <c r="S45" s="750"/>
      <c r="T45" s="750"/>
      <c r="U45" s="788"/>
      <c r="W45" s="772"/>
    </row>
    <row r="46" spans="3:23" ht="14.1" customHeight="1">
      <c r="C46" s="79" t="s">
        <v>365</v>
      </c>
      <c r="D46" s="723" t="s">
        <v>120</v>
      </c>
      <c r="E46" s="654">
        <v>618881</v>
      </c>
      <c r="F46" s="592" t="s">
        <v>121</v>
      </c>
      <c r="G46" s="593"/>
      <c r="H46" s="593"/>
      <c r="I46" s="593"/>
      <c r="J46" s="593"/>
      <c r="K46" s="593"/>
      <c r="L46" s="574"/>
      <c r="N46" s="790"/>
      <c r="O46" s="787"/>
      <c r="P46" s="750"/>
      <c r="Q46" s="750"/>
      <c r="R46" s="750"/>
      <c r="S46" s="750"/>
      <c r="T46" s="750"/>
      <c r="U46" s="788"/>
      <c r="W46" s="772"/>
    </row>
    <row r="47" spans="3:23" ht="14.1" customHeight="1">
      <c r="C47" s="497" t="s">
        <v>366</v>
      </c>
      <c r="D47" s="497" t="s">
        <v>122</v>
      </c>
      <c r="E47" s="656">
        <v>141658</v>
      </c>
      <c r="F47" s="575"/>
      <c r="G47" s="565" t="s">
        <v>33</v>
      </c>
      <c r="H47" s="565" t="s">
        <v>47</v>
      </c>
      <c r="I47" s="565"/>
      <c r="J47" s="565"/>
      <c r="K47" s="565"/>
      <c r="L47" s="577"/>
      <c r="N47" s="791"/>
      <c r="O47" s="787"/>
      <c r="P47" s="750"/>
      <c r="Q47" s="750"/>
      <c r="R47" s="750"/>
      <c r="S47" s="750"/>
      <c r="T47" s="750"/>
      <c r="U47" s="788"/>
      <c r="W47" s="101"/>
    </row>
    <row r="48" spans="3:23" ht="14.1" customHeight="1">
      <c r="C48" s="511" t="s">
        <v>367</v>
      </c>
      <c r="D48" s="504" t="s">
        <v>123</v>
      </c>
      <c r="E48" s="659">
        <v>654004</v>
      </c>
      <c r="F48" s="575"/>
      <c r="G48" s="565" t="s">
        <v>40</v>
      </c>
      <c r="H48" s="576"/>
      <c r="I48" s="565"/>
      <c r="J48" s="565" t="s">
        <v>34</v>
      </c>
      <c r="K48" s="565"/>
      <c r="L48" s="577"/>
      <c r="N48" s="528" t="s">
        <v>368</v>
      </c>
      <c r="O48" s="523" t="str">
        <f t="shared" ref="O48:U48" si="15">INDEX($C7:$L188,MATCH("*PHJ*",F7:F191,0),1)</f>
        <v>LAURA JR</v>
      </c>
      <c r="P48" s="500" t="str">
        <f t="shared" si="15"/>
        <v>JESSICA JR</v>
      </c>
      <c r="Q48" s="500" t="str">
        <f t="shared" si="15"/>
        <v>GIOVANA JR</v>
      </c>
      <c r="R48" s="500" t="str">
        <f t="shared" si="15"/>
        <v>ADI JR</v>
      </c>
      <c r="S48" s="500" t="e">
        <f t="shared" si="15"/>
        <v>#N/A</v>
      </c>
      <c r="T48" s="500" t="str">
        <f t="shared" si="15"/>
        <v>JEROME JR</v>
      </c>
      <c r="U48" s="501" t="str">
        <f t="shared" si="15"/>
        <v>PAUL JR</v>
      </c>
      <c r="V48" s="34" t="s">
        <v>369</v>
      </c>
      <c r="W48" s="89">
        <v>1</v>
      </c>
    </row>
    <row r="49" spans="3:23" ht="14.1" customHeight="1">
      <c r="C49" s="511" t="s">
        <v>370</v>
      </c>
      <c r="D49" s="504" t="s">
        <v>124</v>
      </c>
      <c r="E49" s="661">
        <v>655191</v>
      </c>
      <c r="F49" s="575" t="s">
        <v>32</v>
      </c>
      <c r="G49" s="204"/>
      <c r="H49" s="565" t="s">
        <v>33</v>
      </c>
      <c r="I49" s="576" t="s">
        <v>125</v>
      </c>
      <c r="J49" s="576"/>
      <c r="K49" s="565"/>
      <c r="L49" s="577"/>
      <c r="N49" s="792" t="s">
        <v>325</v>
      </c>
      <c r="O49" s="787" t="str" cm="1">
        <f t="array" ref="O49">_xlfn.TEXTJOIN(CHAR(10),TRUE,_xlfn._xlws.FILTER($C7:$C184,RIGHT(F7:F184,LEN("pSSJ"))="pSSJ",""))</f>
        <v/>
      </c>
      <c r="P49" s="750" t="str" cm="1">
        <f t="array" ref="P49">_xlfn.TEXTJOIN(CHAR(10),TRUE,_xlfn._xlws.FILTER($C7:$C184,RIGHT(G7:G184,LEN("pSSJ"))="pSSJ",""))</f>
        <v/>
      </c>
      <c r="Q49" s="750" t="str" cm="1">
        <f t="array" ref="Q49">_xlfn.TEXTJOIN(CHAR(10),TRUE,_xlfn._xlws.FILTER($C7:$C184,RIGHT(H7:H184,LEN("pSSJ"))="pSSJ",""))</f>
        <v>LISA HMO</v>
      </c>
      <c r="R49" s="750" t="str" cm="1">
        <f t="array" ref="R49">_xlfn.TEXTJOIN(CHAR(10),TRUE,_xlfn._xlws.FILTER($C7:$C184,RIGHT(I7:I184,LEN("pSSJ"))="pSSJ",""))</f>
        <v/>
      </c>
      <c r="S49" s="750" t="str" cm="1">
        <f t="array" ref="S49">_xlfn.TEXTJOIN(CHAR(10),TRUE,_xlfn._xlws.FILTER($C7:$C184,RIGHT(J7:J184,LEN("pSSJ"))="pSSJ",""))</f>
        <v>AARON B. HMO</v>
      </c>
      <c r="T49" s="750" t="str" cm="1">
        <f t="array" ref="T49">_xlfn.TEXTJOIN(CHAR(10),TRUE,_xlfn._xlws.FILTER($C7:$C184,RIGHT(K7:K184,LEN("pSSJ"))="pSSJ",""))</f>
        <v>ANKUSH HMO</v>
      </c>
      <c r="U49" s="788" t="str" cm="1">
        <f t="array" ref="U49">_xlfn.TEXTJOIN(CHAR(10),TRUE,_xlfn._xlws.FILTER($C7:$C184,RIGHT(L7:L184,LEN("pSSJ"))="pSSJ",""))</f>
        <v>HARRISON HMO</v>
      </c>
      <c r="V49" s="34" t="s">
        <v>372</v>
      </c>
      <c r="W49" s="772">
        <v>2</v>
      </c>
    </row>
    <row r="50" spans="3:23" ht="14.1" customHeight="1">
      <c r="C50" s="511" t="s">
        <v>373</v>
      </c>
      <c r="D50" s="504" t="s">
        <v>126</v>
      </c>
      <c r="E50" s="661">
        <v>653055</v>
      </c>
      <c r="F50" s="576"/>
      <c r="G50" s="75" t="s">
        <v>35</v>
      </c>
      <c r="H50" s="75"/>
      <c r="I50" s="75" t="s">
        <v>47</v>
      </c>
      <c r="J50" s="576"/>
      <c r="K50" s="600"/>
      <c r="L50" s="613"/>
      <c r="N50" s="792"/>
      <c r="O50" s="787"/>
      <c r="P50" s="750"/>
      <c r="Q50" s="750"/>
      <c r="R50" s="750"/>
      <c r="S50" s="750"/>
      <c r="T50" s="750"/>
      <c r="U50" s="788"/>
      <c r="W50" s="772"/>
    </row>
    <row r="51" spans="3:23" ht="14.1" customHeight="1">
      <c r="C51" s="497" t="s">
        <v>374</v>
      </c>
      <c r="D51" s="340" t="s">
        <v>128</v>
      </c>
      <c r="E51" s="662">
        <v>650059</v>
      </c>
      <c r="F51" s="576"/>
      <c r="G51" s="600"/>
      <c r="H51" s="576"/>
      <c r="I51" s="600" t="s">
        <v>40</v>
      </c>
      <c r="J51" s="600" t="s">
        <v>50</v>
      </c>
      <c r="K51" s="610"/>
      <c r="L51" s="652"/>
      <c r="N51" s="733" t="s">
        <v>330</v>
      </c>
      <c r="O51" s="736" t="str" cm="1">
        <f t="array" ref="O51">_xlfn.TEXTJOIN(CHAR(10),TRUE,IF(F112:F184="1430-0000",$C112:$C184,""))</f>
        <v>AARON B. HMO
MASON HMO
ZOBIA HMO
CHRIS HMO
NATHAN HMO
WATHSALA HMO
Arooj INT
Daniel INT</v>
      </c>
      <c r="P51" s="739" t="str" cm="1">
        <f t="array" ref="P51">_xlfn.TEXTJOIN(CHAR(10),TRUE,IF(G112:G184="1430-0000",$C112:$C184,""))</f>
        <v>MASON HMO
PIN HMO
WILL HMO
WATHSALA HMO
Filip INT
Roxana INT</v>
      </c>
      <c r="Q51" s="739" t="str" cm="1">
        <f t="array" ref="Q51">_xlfn.TEXTJOIN(CHAR(10),TRUE,IF(H112:H184="1430-0000",$C112:$C184,""))</f>
        <v>HARRISON HMO
MIKEY HMO
WILL HMO
WATHSALA HMO
Elliott INT
Roxana INT</v>
      </c>
      <c r="R51" s="739" t="str" cm="1">
        <f t="array" ref="R51">_xlfn.TEXTJOIN(CHAR(10),TRUE,IF(I112:I184="1430-0000",$C112:$C184,""))</f>
        <v>AARON G. HMO
MILOS HMO
MIKEY HMO
Ann INT
Filip INT</v>
      </c>
      <c r="S51" s="739" t="str" cm="1">
        <f t="array" ref="S51">_xlfn.TEXTJOIN(CHAR(10),TRUE,IF(J112:J184="1430-0000",$C112:$C184,""))</f>
        <v>MILOS HMO
MIKEY HMO
MARYAM HMO
Ann INT</v>
      </c>
      <c r="T51" s="739" t="str" cm="1">
        <f t="array" ref="T51">_xlfn.TEXTJOIN(CHAR(10),TRUE,IF(K112:K184="1430-0000",$C112:$C184,""))</f>
        <v>AREEBA HMO
LISA HMO
HARRISON HMO
Ann INT</v>
      </c>
      <c r="U51" s="763" t="str" cm="1">
        <f t="array" ref="U51">_xlfn.TEXTJOIN(CHAR(10),TRUE,IF(L112:L184="1430-0000",$C112:$C184,""))</f>
        <v>ANKUSH HMO
AREEBA HMO
LISA HMO
Ann INT</v>
      </c>
      <c r="W51" s="772">
        <v>8</v>
      </c>
    </row>
    <row r="52" spans="3:23" ht="14.1" customHeight="1">
      <c r="C52" s="497" t="s">
        <v>375</v>
      </c>
      <c r="D52" s="340" t="s">
        <v>129</v>
      </c>
      <c r="E52" s="662">
        <v>703067</v>
      </c>
      <c r="F52" s="576"/>
      <c r="G52" s="576"/>
      <c r="H52" s="612"/>
      <c r="I52" s="600" t="s">
        <v>41</v>
      </c>
      <c r="J52" s="600" t="s">
        <v>33</v>
      </c>
      <c r="K52" s="600"/>
      <c r="L52" s="603"/>
      <c r="N52" s="734"/>
      <c r="O52" s="737"/>
      <c r="P52" s="740"/>
      <c r="Q52" s="740"/>
      <c r="R52" s="740"/>
      <c r="S52" s="740"/>
      <c r="T52" s="740"/>
      <c r="U52" s="764"/>
      <c r="W52" s="772"/>
    </row>
    <row r="53" spans="3:23" ht="14.1" customHeight="1">
      <c r="C53" s="497" t="s">
        <v>376</v>
      </c>
      <c r="D53" s="340" t="s">
        <v>132</v>
      </c>
      <c r="E53" s="662">
        <v>703495</v>
      </c>
      <c r="F53" s="608"/>
      <c r="G53" s="610"/>
      <c r="H53" s="612"/>
      <c r="I53" s="600" t="s">
        <v>50</v>
      </c>
      <c r="J53" s="600" t="s">
        <v>36</v>
      </c>
      <c r="K53" s="610"/>
      <c r="L53" s="652"/>
      <c r="N53" s="734"/>
      <c r="O53" s="737"/>
      <c r="P53" s="740"/>
      <c r="Q53" s="740"/>
      <c r="R53" s="740"/>
      <c r="S53" s="740"/>
      <c r="T53" s="740"/>
      <c r="U53" s="764"/>
      <c r="W53" s="772"/>
    </row>
    <row r="54" spans="3:23" ht="14.1" customHeight="1">
      <c r="C54" s="504" t="s">
        <v>377</v>
      </c>
      <c r="D54" s="504" t="s">
        <v>133</v>
      </c>
      <c r="E54" s="654">
        <v>578275</v>
      </c>
      <c r="F54" s="581"/>
      <c r="G54" s="566"/>
      <c r="H54" s="566" t="s">
        <v>91</v>
      </c>
      <c r="I54" s="566"/>
      <c r="J54" s="566"/>
      <c r="K54" s="566"/>
      <c r="L54" s="598"/>
      <c r="N54" s="734"/>
      <c r="O54" s="737"/>
      <c r="P54" s="740"/>
      <c r="Q54" s="740"/>
      <c r="R54" s="740"/>
      <c r="S54" s="740"/>
      <c r="T54" s="740"/>
      <c r="U54" s="764"/>
      <c r="W54" s="772"/>
    </row>
    <row r="55" spans="3:23" ht="14.1" customHeight="1">
      <c r="C55" s="504" t="s">
        <v>378</v>
      </c>
      <c r="D55" s="497" t="s">
        <v>135</v>
      </c>
      <c r="E55" s="654">
        <v>644237</v>
      </c>
      <c r="F55" s="569" t="s">
        <v>28</v>
      </c>
      <c r="G55" s="570"/>
      <c r="H55" s="570"/>
      <c r="I55" s="570"/>
      <c r="J55" s="570"/>
      <c r="K55" s="570"/>
      <c r="L55" s="571"/>
      <c r="N55" s="734"/>
      <c r="O55" s="737"/>
      <c r="P55" s="740"/>
      <c r="Q55" s="740"/>
      <c r="R55" s="740"/>
      <c r="S55" s="740"/>
      <c r="T55" s="740"/>
      <c r="U55" s="764"/>
      <c r="W55" s="772"/>
    </row>
    <row r="56" spans="3:23" ht="14.1" customHeight="1">
      <c r="C56" s="497" t="s">
        <v>379</v>
      </c>
      <c r="D56" s="504" t="s">
        <v>136</v>
      </c>
      <c r="E56" s="654">
        <v>634259</v>
      </c>
      <c r="F56" s="575"/>
      <c r="G56" s="565"/>
      <c r="H56" s="565" t="s">
        <v>44</v>
      </c>
      <c r="I56" s="565"/>
      <c r="J56" s="565"/>
      <c r="K56" s="565"/>
      <c r="L56" s="577"/>
      <c r="N56" s="734"/>
      <c r="O56" s="737"/>
      <c r="P56" s="740"/>
      <c r="Q56" s="740"/>
      <c r="R56" s="740"/>
      <c r="S56" s="740"/>
      <c r="T56" s="740"/>
      <c r="U56" s="764"/>
      <c r="W56" s="772"/>
    </row>
    <row r="57" spans="3:23" ht="14.1" customHeight="1">
      <c r="C57" s="497" t="s">
        <v>380</v>
      </c>
      <c r="D57" s="526" t="s">
        <v>137</v>
      </c>
      <c r="E57" s="654">
        <v>418439</v>
      </c>
      <c r="F57" s="611"/>
      <c r="G57" s="75"/>
      <c r="H57" s="75" t="s">
        <v>43</v>
      </c>
      <c r="I57" s="75"/>
      <c r="J57" s="600"/>
      <c r="K57" s="600"/>
      <c r="L57" s="613"/>
      <c r="N57" s="734"/>
      <c r="O57" s="737"/>
      <c r="P57" s="740"/>
      <c r="Q57" s="740"/>
      <c r="R57" s="740"/>
      <c r="S57" s="740"/>
      <c r="T57" s="740"/>
      <c r="U57" s="764"/>
      <c r="W57" s="772"/>
    </row>
    <row r="58" spans="3:23" ht="14.1" customHeight="1" thickBot="1">
      <c r="C58" s="511" t="s">
        <v>381</v>
      </c>
      <c r="D58" s="526" t="s">
        <v>138</v>
      </c>
      <c r="E58" s="653">
        <v>650974</v>
      </c>
      <c r="F58" s="575" t="s">
        <v>139</v>
      </c>
      <c r="G58" s="65"/>
      <c r="H58" s="65"/>
      <c r="I58" s="65"/>
      <c r="J58" s="565"/>
      <c r="K58" s="565"/>
      <c r="L58" s="604"/>
      <c r="N58" s="735"/>
      <c r="O58" s="738"/>
      <c r="P58" s="741"/>
      <c r="Q58" s="741"/>
      <c r="R58" s="741"/>
      <c r="S58" s="741"/>
      <c r="T58" s="741"/>
      <c r="U58" s="765"/>
      <c r="W58" s="772"/>
    </row>
    <row r="59" spans="3:23" ht="14.1" customHeight="1">
      <c r="C59" s="511" t="s">
        <v>382</v>
      </c>
      <c r="D59" s="526" t="s">
        <v>383</v>
      </c>
      <c r="E59" s="653">
        <v>541888</v>
      </c>
      <c r="F59" s="575"/>
      <c r="G59" s="65"/>
      <c r="H59" s="65"/>
      <c r="I59" s="65" t="s">
        <v>32</v>
      </c>
      <c r="J59" s="565"/>
      <c r="K59" s="565"/>
      <c r="L59" s="604"/>
      <c r="N59" s="239"/>
      <c r="O59" s="241"/>
      <c r="P59" s="240"/>
      <c r="Q59" s="240"/>
      <c r="R59" s="240"/>
      <c r="S59" s="240"/>
      <c r="T59" s="240"/>
      <c r="U59" s="242"/>
      <c r="W59" s="89"/>
    </row>
    <row r="60" spans="3:23" ht="14.1" customHeight="1">
      <c r="C60" s="530"/>
      <c r="D60" s="514"/>
      <c r="E60" s="658"/>
      <c r="F60" s="575"/>
      <c r="G60" s="565"/>
      <c r="H60" s="565"/>
      <c r="I60" s="565"/>
      <c r="J60" s="565"/>
      <c r="K60" s="565"/>
      <c r="L60" s="577"/>
      <c r="N60" s="742" t="s">
        <v>384</v>
      </c>
      <c r="O60" s="745" t="str" cm="1">
        <f t="array" ref="O60">_xlfn.TEXTJOIN(CHAR(10),TRUE,_xlfn._xlws.FILTER($C7:$C184,RIGHT(F7:F184,LEN("SWP"))="SWP",""))</f>
        <v>MILES SR</v>
      </c>
      <c r="P60" s="747" t="str" cm="1">
        <f t="array" ref="P60">_xlfn.TEXTJOIN(CHAR(10),TRUE,_xlfn._xlws.FILTER($C7:$C184,RIGHT(G7:G184,LEN("SWP"))="SWP",""))</f>
        <v>CRAIG JR</v>
      </c>
      <c r="Q60" s="747" t="str" cm="1">
        <f t="array" ref="Q60">_xlfn.TEXTJOIN(CHAR(10),TRUE,_xlfn._xlws.FILTER($C7:$C184,RIGHT(H7:H184,LEN("SWP"))="SWP",""))</f>
        <v>JEROME JR</v>
      </c>
      <c r="R60" s="747" t="str" cm="1">
        <f t="array" ref="R60">_xlfn.TEXTJOIN(CHAR(10),TRUE,_xlfn._xlws.FILTER($C7:$C184,RIGHT(I7:I184,LEN("SWP"))="SWP",""))</f>
        <v>DANIEL SMS</v>
      </c>
      <c r="S60" s="747" t="str" cm="1">
        <f t="array" ref="S60">_xlfn.TEXTJOIN(CHAR(10),TRUE,_xlfn._xlws.FILTER($C7:$C184,RIGHT(J7:J184,LEN("SWP"))="SWP",""))</f>
        <v>SHIV IR</v>
      </c>
      <c r="T60" s="747" t="str" cm="1">
        <f t="array" ref="T60">_xlfn.TEXTJOIN(CHAR(10),TRUE,_xlfn._xlws.FILTER($C7:$C184,RIGHT(K7:K184,LEN("SWP"))="SWP",""))</f>
        <v/>
      </c>
      <c r="U60" s="766" t="str" cm="1">
        <f t="array" ref="U60">_xlfn.TEXTJOIN(CHAR(10),TRUE,_xlfn._xlws.FILTER($C7:$C184,RIGHT(L7:L184,LEN("SWP"))="SWP",""))</f>
        <v>JOSHUA IR</v>
      </c>
      <c r="V60" s="34" t="s">
        <v>385</v>
      </c>
      <c r="W60" s="89">
        <v>4</v>
      </c>
    </row>
    <row r="61" spans="3:23" ht="14.1" customHeight="1">
      <c r="C61" s="531"/>
      <c r="D61" s="532"/>
      <c r="E61" s="663"/>
      <c r="F61" s="575"/>
      <c r="G61" s="565"/>
      <c r="H61" s="565"/>
      <c r="I61" s="565"/>
      <c r="J61" s="565"/>
      <c r="K61" s="565"/>
      <c r="L61" s="577"/>
      <c r="N61" s="743"/>
      <c r="O61" s="746"/>
      <c r="P61" s="748"/>
      <c r="Q61" s="748"/>
      <c r="R61" s="748"/>
      <c r="S61" s="748"/>
      <c r="T61" s="748"/>
      <c r="U61" s="767"/>
      <c r="W61" s="89"/>
    </row>
    <row r="62" spans="3:23" ht="14.1" customHeight="1">
      <c r="C62" s="530" t="s">
        <v>345</v>
      </c>
      <c r="D62" s="530" t="s">
        <v>345</v>
      </c>
      <c r="E62" s="664"/>
      <c r="F62" s="205" t="s">
        <v>142</v>
      </c>
      <c r="G62" s="614" t="s">
        <v>142</v>
      </c>
      <c r="H62" s="614" t="s">
        <v>494</v>
      </c>
      <c r="I62" s="614" t="s">
        <v>142</v>
      </c>
      <c r="J62" s="614" t="s">
        <v>515</v>
      </c>
      <c r="K62" s="62"/>
      <c r="L62" s="67"/>
      <c r="N62" s="743"/>
      <c r="O62" s="746"/>
      <c r="P62" s="748"/>
      <c r="Q62" s="748"/>
      <c r="R62" s="748"/>
      <c r="S62" s="748"/>
      <c r="T62" s="748"/>
      <c r="U62" s="767"/>
      <c r="W62" s="89"/>
    </row>
    <row r="63" spans="3:23" ht="14.1" customHeight="1" thickBot="1">
      <c r="C63" s="31"/>
      <c r="D63" s="31"/>
      <c r="E63" s="664"/>
      <c r="F63" s="28"/>
      <c r="G63" s="29"/>
      <c r="H63" s="29"/>
      <c r="I63" s="29"/>
      <c r="J63" s="29"/>
      <c r="K63" s="29"/>
      <c r="L63" s="30"/>
      <c r="N63" s="744"/>
      <c r="O63" s="847"/>
      <c r="P63" s="848"/>
      <c r="Q63" s="848"/>
      <c r="R63" s="848"/>
      <c r="S63" s="848"/>
      <c r="T63" s="848"/>
      <c r="U63" s="849"/>
      <c r="W63" s="89"/>
    </row>
    <row r="64" spans="3:23" ht="14.1" customHeight="1" thickBot="1">
      <c r="C64" s="63"/>
      <c r="D64" s="411" t="s">
        <v>145</v>
      </c>
      <c r="E64" s="664"/>
      <c r="F64" s="565">
        <f>COUNTIF(F7:F61,"0800-*")+COUNTIF(F7:F61,"0730-*")-COUNTIF(F7:F61,"*0800-1730 CS*")-COUNTIF(F7:F61,"*0800-1730 PHNW*")-COUNTIF(F7:F61,"*0800-1730 DEMT*")-COUNTIF(F7:F61,"*0800-1730 EXAM*")-COUNTIF(F7:F61,"*0800-1800 CS*")-COUNTIF(F7:F61,"*0800-1800 PHNW*")</f>
        <v>6</v>
      </c>
      <c r="G64" s="565">
        <f>COUNTIF(G7:G61,"0800-*")+COUNTIF(G7:G61,"0730-*")-COUNTIF(G7:G61,"*0800-1730 CS*")-COUNTIF(G7:G61,"*0800-1730 PHNW*")-COUNTIF(G7:G61,"*0800-1730 DEMT*")-COUNTIF(G7:G61,"*0800-1730 EXAM*")-COUNTIF(G7:G61,"*0800-1800 CS*")-COUNTIF(G7:G61,"*0800-1800 PHNW*")</f>
        <v>6</v>
      </c>
      <c r="H64" s="565">
        <f>COUNTIF(H7:H61,"0800-*")+COUNTIF(H7:H61,"0730-*")-COUNTIF(H7:H61,"*0800-1730 CS*")-COUNTIF(H7:H61,"*0800-1730 PHNW*")-COUNTIF(H7:H61,"*0800-1730 DEMT*")-COUNTIF(H7:H61,"*0800-1730 EXAM*")-COUNTIF(H7:H61,"*0800-1800 CS*")-COUNTIF(H7:H61,"*0800-1800 PHNW*")</f>
        <v>7</v>
      </c>
      <c r="I64" s="565">
        <f>COUNTIF(I7:I61,"0800-1730*")+COUNTIF(I7:I61,"0800-1800*")+COUNTIF(I7:I61,"0730-*")-COUNTIF(I7:I61,"*0800-1730 CS*")-COUNTIF(I7:I61,"*0800-1730 PHNW*")-COUNTIF(I7:I61,"*0800-1730 DEMT*")-COUNTIF(I7:I61,"*0800-1730 EXAM*")-COUNTIF(I7:I61,"*0800-1800 CS*")-COUNTIF(I7:I61,"*0800-1800 PHNW*")</f>
        <v>6</v>
      </c>
      <c r="J64" s="565">
        <f>COUNTIF(J7:J61,"0800-*")+COUNTIF(J7:J61,"0730-*")-COUNTIF(J7:J61,"*0800-1730 CS*")-COUNTIF(J7:J61,"*0800-1730 PHNW*")-COUNTIF(J7:J61,"*0800-1730 DEMT*")-COUNTIF(J7:J61,"*0800-1730 EXAM*")-COUNTIF(J7:J61,"*0800-1800 CS*")-COUNTIF(J7:J61,"*0800-1800 PHNW*")</f>
        <v>5</v>
      </c>
      <c r="K64" s="565">
        <f>COUNTIF(K7:K61,"0800-*")+COUNTIF(K7:K61,"0730-*")</f>
        <v>4</v>
      </c>
      <c r="L64" s="577">
        <f>COUNTIF(L7:L61,"0800-*")+COUNTIF(L7:L61,"0730-*")</f>
        <v>4</v>
      </c>
      <c r="N64" s="106"/>
      <c r="O64" s="34"/>
      <c r="P64" s="34"/>
      <c r="Q64" s="34"/>
      <c r="R64" s="34"/>
      <c r="S64" s="34"/>
      <c r="T64" s="34"/>
      <c r="U64" s="34"/>
      <c r="W64" s="89"/>
    </row>
    <row r="65" spans="3:23" ht="14.1" customHeight="1" thickBot="1">
      <c r="C65" s="535"/>
      <c r="D65" s="411" t="s">
        <v>146</v>
      </c>
      <c r="E65" s="664"/>
      <c r="F65" s="575">
        <f t="shared" ref="F65:L65" si="16">COUNTIF(F7:F62,"*0000*")</f>
        <v>4</v>
      </c>
      <c r="G65" s="565">
        <f t="shared" si="16"/>
        <v>5</v>
      </c>
      <c r="H65" s="565">
        <f t="shared" si="16"/>
        <v>5</v>
      </c>
      <c r="I65" s="565">
        <f t="shared" si="16"/>
        <v>5</v>
      </c>
      <c r="J65" s="565">
        <f t="shared" si="16"/>
        <v>5</v>
      </c>
      <c r="K65" s="565">
        <f t="shared" si="16"/>
        <v>3</v>
      </c>
      <c r="L65" s="577">
        <f t="shared" si="16"/>
        <v>4</v>
      </c>
      <c r="N65" s="106"/>
      <c r="O65" s="796" t="s">
        <v>388</v>
      </c>
      <c r="P65" s="797"/>
      <c r="Q65" s="797"/>
      <c r="R65" s="797"/>
      <c r="S65" s="797"/>
      <c r="T65" s="797"/>
      <c r="U65" s="798"/>
      <c r="W65" s="89" t="s">
        <v>389</v>
      </c>
    </row>
    <row r="66" spans="3:23" ht="14.1" customHeight="1">
      <c r="C66" s="407" t="s">
        <v>147</v>
      </c>
      <c r="D66" s="407" t="s">
        <v>147</v>
      </c>
      <c r="E66" s="664"/>
      <c r="F66" s="408"/>
      <c r="G66" s="409"/>
      <c r="H66" s="409"/>
      <c r="I66" s="409"/>
      <c r="J66" s="409"/>
      <c r="K66" s="409"/>
      <c r="L66" s="410"/>
      <c r="N66" s="104" t="s">
        <v>390</v>
      </c>
      <c r="O66" s="107" t="str">
        <f t="shared" ref="O66:U66" si="17">INDEX($C7:$L188,MATCH("*N1*",F7:F191,0),1)</f>
        <v>PATRICK SR</v>
      </c>
      <c r="P66" s="108" t="str">
        <f t="shared" si="17"/>
        <v>PATRICK SR</v>
      </c>
      <c r="Q66" s="108" t="str">
        <f t="shared" si="17"/>
        <v>PATRICK SR</v>
      </c>
      <c r="R66" s="108" t="str">
        <f t="shared" si="17"/>
        <v>PATRICK SR</v>
      </c>
      <c r="S66" s="108" t="str">
        <f t="shared" si="17"/>
        <v>MILES SR</v>
      </c>
      <c r="T66" s="108" t="str">
        <f t="shared" si="17"/>
        <v>MILES SR</v>
      </c>
      <c r="U66" s="109" t="str">
        <f t="shared" si="17"/>
        <v>MILES SR</v>
      </c>
      <c r="V66" s="89"/>
      <c r="W66" s="106">
        <v>1</v>
      </c>
    </row>
    <row r="67" spans="3:23" ht="14.1" customHeight="1">
      <c r="C67" s="411" t="s">
        <v>391</v>
      </c>
      <c r="D67" s="411" t="s">
        <v>148</v>
      </c>
      <c r="E67" s="665">
        <v>609268</v>
      </c>
      <c r="F67" s="575" t="s">
        <v>150</v>
      </c>
      <c r="G67" s="576"/>
      <c r="H67" s="565" t="s">
        <v>149</v>
      </c>
      <c r="I67" s="565"/>
      <c r="J67" s="565"/>
      <c r="K67" s="565" t="s">
        <v>35</v>
      </c>
      <c r="L67" s="577" t="s">
        <v>46</v>
      </c>
      <c r="N67" s="749" t="s">
        <v>392</v>
      </c>
      <c r="O67" s="746" t="str" cm="1">
        <f t="array" ref="O67">_xlfn.TEXTJOIN(CHAR(10),TRUE,IF(F7:F184="2300-0900",$C7:$C184,""),IF(F7:F184="2300-0830",$C7:$C184,""))</f>
        <v>POH JR
ISOBEL JR
AARON G. HMO
AREEBA HMO
Sarah C. INT</v>
      </c>
      <c r="P67" s="748" t="str" cm="1">
        <f t="array" ref="P67">_xlfn.TEXTJOIN(CHAR(10),TRUE,IF(G7:G184="2300-0900",$C7:$C184,""),IF(G7:G184="2300-0830",$C7:$C184,""))</f>
        <v>POH JR
ISOBEL JR
ZOBIA HMO
Arooj INT</v>
      </c>
      <c r="Q67" s="748" t="str" cm="1">
        <f t="array" ref="Q67">_xlfn.TEXTJOIN(CHAR(10),TRUE,IF(H7:H184="2300-0900",$C7:$C184,""),IF(H7:H184="2300-0830",$C7:$C184,""))</f>
        <v>POH JR
ISOBEL JR
CHRIS HMO
Arooj INT</v>
      </c>
      <c r="R67" s="748" t="str" cm="1">
        <f t="array" ref="R67">_xlfn.TEXTJOIN(CHAR(10),TRUE,IF(I7:I184="2300-0900",$C7:$C184,""),IF(I7:I184="2300-0830",$C7:$C184,""))</f>
        <v>ISOBEL JR
AARON N. HMO</v>
      </c>
      <c r="S67" s="748" t="str" cm="1">
        <f t="array" ref="S67">_xlfn.TEXTJOIN(CHAR(10),TRUE,IF(J7:J184="2300-0900",$C7:$C184,""),IF(J7:J184="2300-0830",$C7:$C184,""))</f>
        <v>CRAIG JR
SYLVIA JR
NATALIE HMO
Elliott INT</v>
      </c>
      <c r="T67" s="748" t="str" cm="1">
        <f t="array" ref="T67">_xlfn.TEXTJOIN(CHAR(10),TRUE,IF(K7:K184="2300-0900",$C7:$C184,""),IF(K7:K184="2300-0830",$C7:$C184,""))</f>
        <v>CRAIG JR
SYLVIA JR
BRIANNA HMO
NATALIE HMO
Elliott INT</v>
      </c>
      <c r="U67" s="767" t="str" cm="1">
        <f t="array" ref="U67">_xlfn.TEXTJOIN(CHAR(10),TRUE,IF(L7:L184="2300-0900",$C7:$C184,""),IF(L7:L184="2300-0830",$C7:$C184,""))</f>
        <v>CRAIG JR
SYLVIA JR
PIN HMO
NATALIE HMO
Elliott INT</v>
      </c>
      <c r="W67" s="89">
        <v>9</v>
      </c>
    </row>
    <row r="68" spans="3:23" ht="14.1" customHeight="1">
      <c r="C68" s="411" t="s">
        <v>393</v>
      </c>
      <c r="D68" s="411" t="s">
        <v>152</v>
      </c>
      <c r="E68" s="666">
        <v>517752</v>
      </c>
      <c r="F68" s="575"/>
      <c r="G68" s="565"/>
      <c r="H68" s="578" t="s">
        <v>516</v>
      </c>
      <c r="I68" s="565"/>
      <c r="J68" s="565"/>
      <c r="K68" s="565"/>
      <c r="L68" s="577"/>
      <c r="N68" s="749"/>
      <c r="O68" s="746"/>
      <c r="P68" s="748"/>
      <c r="Q68" s="748"/>
      <c r="R68" s="748"/>
      <c r="S68" s="748"/>
      <c r="T68" s="748"/>
      <c r="U68" s="767"/>
      <c r="W68" s="89"/>
    </row>
    <row r="69" spans="3:23" ht="14.1" customHeight="1">
      <c r="C69" s="411" t="s">
        <v>394</v>
      </c>
      <c r="D69" s="411" t="s">
        <v>154</v>
      </c>
      <c r="E69" s="666">
        <v>609129</v>
      </c>
      <c r="F69" s="589"/>
      <c r="G69" s="590"/>
      <c r="H69" s="578" t="s">
        <v>342</v>
      </c>
      <c r="I69" s="590"/>
      <c r="J69" s="590"/>
      <c r="K69" s="565"/>
      <c r="L69" s="577" t="s">
        <v>91</v>
      </c>
      <c r="N69" s="749"/>
      <c r="O69" s="746"/>
      <c r="P69" s="748"/>
      <c r="Q69" s="748"/>
      <c r="R69" s="748"/>
      <c r="S69" s="748"/>
      <c r="T69" s="748"/>
      <c r="U69" s="767"/>
      <c r="W69" s="89"/>
    </row>
    <row r="70" spans="3:23" ht="14.1" customHeight="1">
      <c r="C70" s="411" t="s">
        <v>395</v>
      </c>
      <c r="D70" s="538" t="s">
        <v>156</v>
      </c>
      <c r="E70" s="667">
        <v>636554</v>
      </c>
      <c r="F70" s="575"/>
      <c r="G70" s="565"/>
      <c r="H70" s="565" t="s">
        <v>149</v>
      </c>
      <c r="I70" s="565"/>
      <c r="J70" s="565" t="s">
        <v>150</v>
      </c>
      <c r="K70" s="565"/>
      <c r="L70" s="577"/>
      <c r="N70" s="749"/>
      <c r="O70" s="746"/>
      <c r="P70" s="748"/>
      <c r="Q70" s="748"/>
      <c r="R70" s="748"/>
      <c r="S70" s="748"/>
      <c r="T70" s="748"/>
      <c r="U70" s="767"/>
      <c r="W70" s="89"/>
    </row>
    <row r="71" spans="3:23" ht="14.1" customHeight="1" thickBot="1">
      <c r="C71" s="837"/>
      <c r="D71" s="49"/>
      <c r="E71" s="664"/>
      <c r="F71" s="575"/>
      <c r="G71" s="565"/>
      <c r="H71" s="565"/>
      <c r="I71" s="565"/>
      <c r="J71" s="565"/>
      <c r="K71" s="565"/>
      <c r="L71" s="577"/>
      <c r="N71" s="749"/>
      <c r="O71" s="746"/>
      <c r="P71" s="748"/>
      <c r="Q71" s="748"/>
      <c r="R71" s="748"/>
      <c r="S71" s="748"/>
      <c r="T71" s="748"/>
      <c r="U71" s="767"/>
      <c r="W71" s="89"/>
    </row>
    <row r="72" spans="3:23" ht="14.1" customHeight="1">
      <c r="C72" s="724" t="s">
        <v>157</v>
      </c>
      <c r="D72" s="540" t="s">
        <v>157</v>
      </c>
      <c r="E72" s="54"/>
      <c r="F72" s="413"/>
      <c r="G72" s="414"/>
      <c r="H72" s="414"/>
      <c r="I72" s="414"/>
      <c r="J72" s="414"/>
      <c r="K72" s="414"/>
      <c r="L72" s="415"/>
      <c r="N72" s="749"/>
      <c r="O72" s="746"/>
      <c r="P72" s="748"/>
      <c r="Q72" s="748"/>
      <c r="R72" s="748"/>
      <c r="S72" s="748"/>
      <c r="T72" s="748"/>
      <c r="U72" s="767"/>
      <c r="W72" s="89"/>
    </row>
    <row r="73" spans="3:23" ht="14.1" customHeight="1">
      <c r="C73" s="541" t="s">
        <v>396</v>
      </c>
      <c r="D73" s="182" t="s">
        <v>159</v>
      </c>
      <c r="E73" s="615">
        <v>628440</v>
      </c>
      <c r="F73" s="618" t="s">
        <v>161</v>
      </c>
      <c r="G73" s="618" t="s">
        <v>161</v>
      </c>
      <c r="H73" s="618" t="s">
        <v>161</v>
      </c>
      <c r="I73" s="618" t="s">
        <v>161</v>
      </c>
      <c r="J73" s="617"/>
      <c r="K73" s="617"/>
      <c r="L73" s="617"/>
      <c r="N73" s="749"/>
      <c r="O73" s="746"/>
      <c r="P73" s="748"/>
      <c r="Q73" s="748"/>
      <c r="R73" s="748"/>
      <c r="S73" s="748"/>
      <c r="T73" s="748"/>
      <c r="U73" s="767"/>
      <c r="W73" s="89"/>
    </row>
    <row r="74" spans="3:23" ht="14.1" customHeight="1">
      <c r="C74" s="541" t="s">
        <v>397</v>
      </c>
      <c r="D74" s="183" t="s">
        <v>164</v>
      </c>
      <c r="E74" s="615">
        <v>653976</v>
      </c>
      <c r="F74" s="624" t="s">
        <v>160</v>
      </c>
      <c r="G74" s="617"/>
      <c r="H74" s="565"/>
      <c r="I74" s="565"/>
      <c r="J74" s="565" t="s">
        <v>161</v>
      </c>
      <c r="K74" s="565" t="s">
        <v>161</v>
      </c>
      <c r="L74" s="565" t="s">
        <v>161</v>
      </c>
      <c r="N74" s="749"/>
      <c r="O74" s="746"/>
      <c r="P74" s="748"/>
      <c r="Q74" s="748"/>
      <c r="R74" s="748"/>
      <c r="S74" s="748"/>
      <c r="T74" s="748"/>
      <c r="U74" s="767"/>
      <c r="W74" s="89"/>
    </row>
    <row r="75" spans="3:23" ht="14.1" customHeight="1">
      <c r="C75" s="85" t="s">
        <v>398</v>
      </c>
      <c r="D75" s="184" t="s">
        <v>166</v>
      </c>
      <c r="E75" s="615">
        <v>654362</v>
      </c>
      <c r="F75" s="618"/>
      <c r="G75" s="618" t="s">
        <v>149</v>
      </c>
      <c r="H75" s="618" t="s">
        <v>150</v>
      </c>
      <c r="I75" s="618" t="s">
        <v>150</v>
      </c>
      <c r="J75" s="618" t="s">
        <v>150</v>
      </c>
      <c r="K75" s="617"/>
      <c r="L75" s="617"/>
      <c r="N75" s="749"/>
      <c r="O75" s="746"/>
      <c r="P75" s="748"/>
      <c r="Q75" s="748"/>
      <c r="R75" s="748"/>
      <c r="S75" s="748"/>
      <c r="T75" s="748"/>
      <c r="U75" s="767"/>
      <c r="W75" s="89"/>
    </row>
    <row r="76" spans="3:23" ht="14.1" customHeight="1">
      <c r="C76" s="69" t="s">
        <v>399</v>
      </c>
      <c r="D76" s="184" t="s">
        <v>168</v>
      </c>
      <c r="E76" s="615">
        <v>615829</v>
      </c>
      <c r="F76" s="619"/>
      <c r="G76" s="617"/>
      <c r="H76" s="617"/>
      <c r="I76" s="624" t="s">
        <v>165</v>
      </c>
      <c r="J76" s="620"/>
      <c r="K76" s="618" t="s">
        <v>150</v>
      </c>
      <c r="L76" s="618" t="s">
        <v>150</v>
      </c>
      <c r="N76" s="528" t="s">
        <v>368</v>
      </c>
      <c r="O76" s="523" t="e">
        <f t="shared" ref="O76:U76" si="18">INDEX($C10:$L190,MATCH("*NHJ*",F10:F193,0),1)</f>
        <v>#N/A</v>
      </c>
      <c r="P76" s="500" t="str">
        <f t="shared" si="18"/>
        <v>AARON N. HMO</v>
      </c>
      <c r="Q76" s="500" t="str">
        <f t="shared" si="18"/>
        <v>ZOBIA HMO</v>
      </c>
      <c r="R76" s="500" t="str">
        <f t="shared" si="18"/>
        <v>CHRIS HMO</v>
      </c>
      <c r="S76" s="500" t="str">
        <f t="shared" si="18"/>
        <v>PIN HMO</v>
      </c>
      <c r="T76" s="500" t="str">
        <f t="shared" si="18"/>
        <v>MARYAM HMO</v>
      </c>
      <c r="U76" s="501" t="str">
        <f t="shared" si="18"/>
        <v>BRIANNA HMO</v>
      </c>
      <c r="V76" s="34" t="s">
        <v>400</v>
      </c>
      <c r="W76" s="89">
        <v>1</v>
      </c>
    </row>
    <row r="77" spans="3:23" ht="14.1" customHeight="1">
      <c r="C77" s="541" t="s">
        <v>401</v>
      </c>
      <c r="D77" s="850" t="s">
        <v>170</v>
      </c>
      <c r="E77" s="615">
        <v>619567</v>
      </c>
      <c r="F77" s="618" t="s">
        <v>149</v>
      </c>
      <c r="G77" s="668" t="s">
        <v>517</v>
      </c>
      <c r="H77" s="618"/>
      <c r="I77" s="622"/>
      <c r="J77" s="622"/>
      <c r="K77" s="622"/>
      <c r="L77" s="622"/>
      <c r="N77" s="768" t="s">
        <v>325</v>
      </c>
      <c r="O77" s="787" t="str" cm="1">
        <f t="array" ref="O77">_xlfn.TEXTJOIN(CHAR(10),TRUE,_xlfn._xlws.FILTER($C7:$C184,RIGHT(F7:F184,LEN("nSSJ"))="nSSJ",""))</f>
        <v>CLARE IR
ANKUSH HMO</v>
      </c>
      <c r="P77" s="750" t="str" cm="1">
        <f t="array" ref="P77">_xlfn.TEXTJOIN(CHAR(10),TRUE,_xlfn._xlws.FILTER($C7:$C184,RIGHT(G7:G184,LEN("nSSJ"))="nSSJ",""))</f>
        <v>MIKHAR IR
CLARE IR
CHRIS HMO</v>
      </c>
      <c r="Q77" s="750" t="str" cm="1">
        <f t="array" ref="Q77">_xlfn.TEXTJOIN(CHAR(10),TRUE,_xlfn._xlws.FILTER($C7:$C184,RIGHT(H7:H184,LEN("nSSJ"))="nSSJ",""))</f>
        <v>MIKHAR IR
HARMEEN IR
AARON N. HMO</v>
      </c>
      <c r="R77" s="750" t="str" cm="1">
        <f t="array" ref="R77">_xlfn.TEXTJOIN(CHAR(10),TRUE,_xlfn._xlws.FILTER($C7:$C184,RIGHT(I7:I184,LEN("nSSJ"))="nSSJ",""))</f>
        <v>MIKHAR IR
HARMEEN IR
ZOBIA HMO</v>
      </c>
      <c r="S77" s="750" t="str" cm="1">
        <f t="array" ref="S77">_xlfn.TEXTJOIN(CHAR(10),TRUE,_xlfn._xlws.FILTER($C7:$C184,RIGHT(J7:J184,LEN("nSSJ"))="nSSJ",""))</f>
        <v>MIKHAR IR
BRIANNA HMO</v>
      </c>
      <c r="T77" s="750" t="str" cm="1">
        <f t="array" ref="T77">_xlfn.TEXTJOIN(CHAR(10),TRUE,_xlfn._xlws.FILTER($C7:$C184,RIGHT(K7:K184,LEN("nSSJ"))="nSSJ",""))</f>
        <v>PIN HMO</v>
      </c>
      <c r="U77" s="788" t="str" cm="1">
        <f t="array" ref="U77">_xlfn.TEXTJOIN(CHAR(10),TRUE,_xlfn._xlws.FILTER($C7:$C184,RIGHT(L7:L184,LEN("nSSJ"))="nSSJ",""))</f>
        <v>MARYAM HMO</v>
      </c>
      <c r="V77" s="34" t="s">
        <v>402</v>
      </c>
      <c r="W77" s="89">
        <v>2</v>
      </c>
    </row>
    <row r="78" spans="3:23" ht="14.1" customHeight="1" thickBot="1">
      <c r="C78" s="543" t="s">
        <v>403</v>
      </c>
      <c r="D78" s="183" t="s">
        <v>171</v>
      </c>
      <c r="E78" s="615">
        <v>626157</v>
      </c>
      <c r="F78" s="617"/>
      <c r="G78" s="617"/>
      <c r="H78" s="617"/>
      <c r="I78" s="617"/>
      <c r="J78" s="620"/>
      <c r="K78" s="618" t="s">
        <v>149</v>
      </c>
      <c r="L78" s="618" t="s">
        <v>149</v>
      </c>
      <c r="N78" s="769"/>
      <c r="O78" s="864"/>
      <c r="P78" s="865"/>
      <c r="Q78" s="865"/>
      <c r="R78" s="865"/>
      <c r="S78" s="865"/>
      <c r="T78" s="865"/>
      <c r="U78" s="866"/>
      <c r="W78" s="89"/>
    </row>
    <row r="79" spans="3:23" ht="14.1" customHeight="1">
      <c r="C79" s="69" t="s">
        <v>405</v>
      </c>
      <c r="D79" s="185" t="s">
        <v>173</v>
      </c>
      <c r="E79" s="615">
        <v>645122</v>
      </c>
      <c r="F79" s="617"/>
      <c r="G79" s="616" t="s">
        <v>359</v>
      </c>
      <c r="H79" s="616" t="s">
        <v>359</v>
      </c>
      <c r="I79" s="619"/>
      <c r="J79" s="616" t="s">
        <v>342</v>
      </c>
      <c r="K79" s="617"/>
      <c r="L79" s="617"/>
      <c r="N79" s="867" t="s">
        <v>406</v>
      </c>
      <c r="O79" s="110" t="str">
        <f t="shared" ref="O79:U79" si="19">INDEX($C7:$L188,MATCH("*PRC",F7:F191,0),1)</f>
        <v>MINA SMS</v>
      </c>
      <c r="P79" s="111" t="str">
        <f t="shared" si="19"/>
        <v>TARA K. SMS</v>
      </c>
      <c r="Q79" s="111" t="str">
        <f t="shared" si="19"/>
        <v>DANIEL SMS</v>
      </c>
      <c r="R79" s="111" t="str">
        <f t="shared" si="19"/>
        <v>TARA J. SMS</v>
      </c>
      <c r="S79" s="111" t="str">
        <f t="shared" si="19"/>
        <v>JAMES SMS</v>
      </c>
      <c r="T79" s="111" t="str">
        <f t="shared" si="19"/>
        <v>TITUS CMO</v>
      </c>
      <c r="U79" s="111" t="str">
        <f t="shared" si="19"/>
        <v>BRAD SMS</v>
      </c>
      <c r="W79" s="89"/>
    </row>
    <row r="80" spans="3:23" ht="14.1" customHeight="1" thickBot="1">
      <c r="C80" s="543" t="s">
        <v>407</v>
      </c>
      <c r="D80" s="186" t="s">
        <v>174</v>
      </c>
      <c r="E80" s="615">
        <v>615820</v>
      </c>
      <c r="F80" s="623"/>
      <c r="G80" s="623"/>
      <c r="H80" s="623"/>
      <c r="I80" s="623"/>
      <c r="J80" s="623"/>
      <c r="K80" s="669"/>
      <c r="L80" s="669"/>
      <c r="N80" s="106"/>
      <c r="O80" s="89"/>
      <c r="T80" s="843" t="str">
        <f>INDEX($C7:$L189,MATCH("*PGC",K7:K192,0),1)</f>
        <v>ABI SMS</v>
      </c>
      <c r="U80" s="844" t="str">
        <f>INDEX($C8:$L189,MATCH("*PGC",L8:L192,0),1)</f>
        <v>NICOLA SMS</v>
      </c>
    </row>
    <row r="81" spans="3:22" ht="14.1" customHeight="1">
      <c r="C81" s="541" t="s">
        <v>408</v>
      </c>
      <c r="D81" s="544" t="s">
        <v>175</v>
      </c>
      <c r="E81" s="615">
        <v>624174</v>
      </c>
      <c r="F81" s="617"/>
      <c r="G81" s="617"/>
      <c r="H81" s="626"/>
      <c r="I81" s="626"/>
      <c r="J81" s="622"/>
      <c r="K81" s="617"/>
      <c r="L81" s="617"/>
      <c r="O81" s="89"/>
      <c r="V81" s="89"/>
    </row>
    <row r="82" spans="3:22" ht="14.1" customHeight="1">
      <c r="C82" s="543"/>
      <c r="D82" s="545"/>
      <c r="E82" s="625"/>
      <c r="F82" s="617"/>
      <c r="G82" s="617"/>
      <c r="H82" s="619"/>
      <c r="I82" s="619"/>
      <c r="J82" s="617"/>
      <c r="K82" s="617"/>
      <c r="L82" s="617"/>
      <c r="O82" s="89"/>
      <c r="V82" s="89"/>
    </row>
    <row r="83" spans="3:22" ht="14.1" customHeight="1">
      <c r="C83" s="728" t="s">
        <v>176</v>
      </c>
      <c r="D83" s="728" t="s">
        <v>176</v>
      </c>
      <c r="E83" s="198"/>
      <c r="F83" s="305"/>
      <c r="G83" s="305"/>
      <c r="H83" s="305"/>
      <c r="I83" s="305"/>
      <c r="J83" s="305"/>
      <c r="K83" s="305"/>
      <c r="L83" s="305"/>
      <c r="O83" s="89"/>
      <c r="V83" s="89"/>
    </row>
    <row r="84" spans="3:22" ht="14.1" customHeight="1">
      <c r="C84" s="411" t="s">
        <v>409</v>
      </c>
      <c r="D84" s="546" t="s">
        <v>177</v>
      </c>
      <c r="E84" s="615">
        <v>637990</v>
      </c>
      <c r="F84" s="618" t="s">
        <v>150</v>
      </c>
      <c r="G84" s="618" t="s">
        <v>150</v>
      </c>
      <c r="H84" s="618"/>
      <c r="I84" s="578" t="s">
        <v>342</v>
      </c>
      <c r="J84" s="618" t="s">
        <v>149</v>
      </c>
      <c r="K84" s="619"/>
      <c r="L84" s="619"/>
      <c r="O84" s="89"/>
      <c r="V84" s="89"/>
    </row>
    <row r="85" spans="3:22" ht="14.1" customHeight="1">
      <c r="C85" s="86" t="s">
        <v>410</v>
      </c>
      <c r="D85" s="184" t="s">
        <v>179</v>
      </c>
      <c r="E85" s="615">
        <v>652867</v>
      </c>
      <c r="F85" s="618" t="s">
        <v>149</v>
      </c>
      <c r="G85" s="618" t="s">
        <v>149</v>
      </c>
      <c r="H85" s="565"/>
      <c r="I85" s="618"/>
      <c r="J85" s="618"/>
      <c r="K85" s="618" t="s">
        <v>150</v>
      </c>
      <c r="L85" s="618" t="s">
        <v>167</v>
      </c>
      <c r="O85" s="89"/>
      <c r="V85" s="89"/>
    </row>
    <row r="86" spans="3:22" ht="14.1" customHeight="1">
      <c r="C86" s="543" t="s">
        <v>411</v>
      </c>
      <c r="D86" s="547" t="s">
        <v>180</v>
      </c>
      <c r="E86" s="615">
        <v>638831</v>
      </c>
      <c r="F86" s="626"/>
      <c r="G86" s="618" t="s">
        <v>178</v>
      </c>
      <c r="H86" s="565" t="s">
        <v>178</v>
      </c>
      <c r="I86" s="565" t="s">
        <v>178</v>
      </c>
      <c r="J86" s="565" t="s">
        <v>178</v>
      </c>
      <c r="K86" s="617"/>
      <c r="L86" s="617"/>
      <c r="O86" s="89"/>
      <c r="V86" s="89"/>
    </row>
    <row r="87" spans="3:22" ht="14.1" customHeight="1">
      <c r="C87" s="411" t="s">
        <v>412</v>
      </c>
      <c r="D87" s="548" t="s">
        <v>182</v>
      </c>
      <c r="E87" s="615">
        <v>631314</v>
      </c>
      <c r="F87" s="617"/>
      <c r="G87" s="617"/>
      <c r="H87" s="565" t="s">
        <v>178</v>
      </c>
      <c r="I87" s="565" t="s">
        <v>178</v>
      </c>
      <c r="J87" s="617"/>
      <c r="K87" s="617"/>
      <c r="L87" s="617"/>
      <c r="O87" s="89"/>
      <c r="V87" s="89"/>
    </row>
    <row r="88" spans="3:22" ht="14.1" customHeight="1">
      <c r="C88" s="69" t="s">
        <v>414</v>
      </c>
      <c r="D88" s="548" t="s">
        <v>185</v>
      </c>
      <c r="E88" s="615">
        <v>631732</v>
      </c>
      <c r="F88" s="617"/>
      <c r="G88" s="622"/>
      <c r="H88" s="617"/>
      <c r="I88" s="619"/>
      <c r="J88" s="565" t="s">
        <v>160</v>
      </c>
      <c r="K88" s="617"/>
      <c r="L88" s="617"/>
      <c r="O88" s="89"/>
      <c r="V88" s="89"/>
    </row>
    <row r="89" spans="3:22" ht="14.1" customHeight="1">
      <c r="C89" s="541" t="s">
        <v>415</v>
      </c>
      <c r="D89" s="549" t="s">
        <v>186</v>
      </c>
      <c r="E89" s="615">
        <v>634876</v>
      </c>
      <c r="F89" s="618" t="s">
        <v>178</v>
      </c>
      <c r="G89" s="618" t="s">
        <v>178</v>
      </c>
      <c r="H89" s="617"/>
      <c r="I89" s="626"/>
      <c r="J89" s="619"/>
      <c r="K89" s="565" t="s">
        <v>188</v>
      </c>
      <c r="L89" s="565" t="s">
        <v>150</v>
      </c>
      <c r="O89" s="89"/>
      <c r="V89" s="89"/>
    </row>
    <row r="90" spans="3:22" ht="14.1" customHeight="1">
      <c r="C90" s="541"/>
      <c r="D90" s="187"/>
      <c r="E90" s="199"/>
      <c r="F90" s="618"/>
      <c r="G90" s="618"/>
      <c r="H90" s="617"/>
      <c r="I90" s="619"/>
      <c r="J90" s="619"/>
      <c r="K90" s="565"/>
      <c r="L90" s="565"/>
      <c r="O90" s="89"/>
      <c r="V90" s="89"/>
    </row>
    <row r="91" spans="3:22" ht="14.1" customHeight="1">
      <c r="C91" s="4" t="s">
        <v>189</v>
      </c>
      <c r="D91" s="4" t="s">
        <v>189</v>
      </c>
      <c r="E91" s="199"/>
      <c r="F91" s="444"/>
      <c r="G91" s="444"/>
      <c r="H91" s="444"/>
      <c r="I91" s="444"/>
      <c r="J91" s="444"/>
      <c r="K91" s="444"/>
      <c r="L91" s="444"/>
      <c r="O91" s="89"/>
    </row>
    <row r="92" spans="3:22" ht="14.1" customHeight="1">
      <c r="C92" s="69" t="s">
        <v>416</v>
      </c>
      <c r="D92" s="188" t="s">
        <v>190</v>
      </c>
      <c r="E92" s="615">
        <v>648620</v>
      </c>
      <c r="F92" s="616" t="s">
        <v>359</v>
      </c>
      <c r="G92" s="618" t="s">
        <v>150</v>
      </c>
      <c r="H92" s="618"/>
      <c r="I92" s="618" t="s">
        <v>149</v>
      </c>
      <c r="J92" s="618" t="s">
        <v>149</v>
      </c>
      <c r="K92" s="617"/>
      <c r="L92" s="617"/>
      <c r="O92" s="34"/>
      <c r="P92" s="34"/>
      <c r="Q92" s="34"/>
      <c r="R92" s="34"/>
      <c r="S92" s="34"/>
      <c r="T92" s="34"/>
      <c r="U92" s="34"/>
    </row>
    <row r="93" spans="3:22" ht="14.1" customHeight="1">
      <c r="C93" s="550" t="s">
        <v>417</v>
      </c>
      <c r="D93" s="189" t="s">
        <v>193</v>
      </c>
      <c r="E93" s="615">
        <v>652357</v>
      </c>
      <c r="F93" s="620"/>
      <c r="G93" s="670" t="s">
        <v>518</v>
      </c>
      <c r="H93" s="616" t="s">
        <v>518</v>
      </c>
      <c r="I93" s="616" t="s">
        <v>518</v>
      </c>
      <c r="J93" s="618"/>
      <c r="K93" s="617"/>
      <c r="L93" s="617"/>
      <c r="O93" s="34"/>
      <c r="P93" s="34"/>
      <c r="Q93" s="34"/>
      <c r="R93" s="34"/>
      <c r="S93" s="34"/>
      <c r="T93" s="34"/>
      <c r="U93" s="34"/>
    </row>
    <row r="94" spans="3:22" ht="14.1" customHeight="1">
      <c r="C94" s="69" t="s">
        <v>418</v>
      </c>
      <c r="D94" s="551" t="s">
        <v>196</v>
      </c>
      <c r="E94" s="631">
        <v>703714</v>
      </c>
      <c r="F94" s="621" t="s">
        <v>31</v>
      </c>
      <c r="G94" s="621"/>
      <c r="H94" s="621"/>
      <c r="I94" s="621"/>
      <c r="J94" s="621"/>
      <c r="K94" s="621"/>
      <c r="L94" s="621"/>
      <c r="O94" s="89"/>
    </row>
    <row r="95" spans="3:22" ht="14.1" customHeight="1">
      <c r="C95" s="87" t="s">
        <v>419</v>
      </c>
      <c r="D95" s="189" t="s">
        <v>198</v>
      </c>
      <c r="E95" s="615">
        <v>655089</v>
      </c>
      <c r="F95" s="618" t="s">
        <v>150</v>
      </c>
      <c r="G95" s="618" t="s">
        <v>150</v>
      </c>
      <c r="H95" s="618"/>
      <c r="I95" s="618" t="s">
        <v>149</v>
      </c>
      <c r="J95" s="618" t="s">
        <v>149</v>
      </c>
      <c r="K95" s="626"/>
      <c r="L95" s="619"/>
      <c r="O95" s="34"/>
      <c r="P95" s="34"/>
      <c r="Q95" s="34"/>
      <c r="R95" s="34"/>
      <c r="S95" s="34"/>
    </row>
    <row r="96" spans="3:22" ht="14.1" customHeight="1">
      <c r="C96" s="69" t="s">
        <v>420</v>
      </c>
      <c r="D96" s="190" t="s">
        <v>199</v>
      </c>
      <c r="E96" s="615">
        <v>649364</v>
      </c>
      <c r="F96" s="618" t="s">
        <v>192</v>
      </c>
      <c r="G96" s="618" t="s">
        <v>192</v>
      </c>
      <c r="H96" s="618" t="s">
        <v>192</v>
      </c>
      <c r="I96" s="618"/>
      <c r="J96" s="618"/>
      <c r="K96" s="617"/>
      <c r="L96" s="617"/>
      <c r="O96" s="89"/>
    </row>
    <row r="97" spans="3:15" ht="14.1" customHeight="1">
      <c r="C97" s="543" t="s">
        <v>421</v>
      </c>
      <c r="D97" s="191" t="s">
        <v>200</v>
      </c>
      <c r="E97" s="615">
        <v>700872</v>
      </c>
      <c r="F97" s="568" t="s">
        <v>149</v>
      </c>
      <c r="G97" s="618"/>
      <c r="H97" s="618" t="s">
        <v>191</v>
      </c>
      <c r="I97" s="618" t="s">
        <v>150</v>
      </c>
      <c r="J97" s="618" t="s">
        <v>150</v>
      </c>
      <c r="K97" s="617"/>
      <c r="L97" s="617"/>
      <c r="O97" s="89"/>
    </row>
    <row r="98" spans="3:15" ht="14.1" customHeight="1">
      <c r="C98" s="543" t="s">
        <v>422</v>
      </c>
      <c r="D98" s="552" t="s">
        <v>202</v>
      </c>
      <c r="E98" s="631">
        <v>703861</v>
      </c>
      <c r="F98" s="618" t="s">
        <v>192</v>
      </c>
      <c r="G98" s="618" t="s">
        <v>192</v>
      </c>
      <c r="H98" s="618" t="s">
        <v>192</v>
      </c>
      <c r="I98" s="618" t="s">
        <v>192</v>
      </c>
      <c r="J98" s="618"/>
      <c r="K98" s="618"/>
      <c r="L98" s="618"/>
      <c r="O98" s="89"/>
    </row>
    <row r="99" spans="3:15" ht="14.1" customHeight="1">
      <c r="C99" s="543" t="s">
        <v>423</v>
      </c>
      <c r="D99" s="192" t="s">
        <v>204</v>
      </c>
      <c r="E99" s="615">
        <v>652868</v>
      </c>
      <c r="F99" s="618"/>
      <c r="G99" s="618" t="s">
        <v>149</v>
      </c>
      <c r="H99" s="618" t="s">
        <v>150</v>
      </c>
      <c r="I99" s="618" t="s">
        <v>191</v>
      </c>
      <c r="J99" s="618" t="s">
        <v>150</v>
      </c>
      <c r="K99" s="617"/>
      <c r="L99" s="617"/>
      <c r="O99" s="89"/>
    </row>
    <row r="100" spans="3:15" ht="14.1" customHeight="1">
      <c r="C100" s="543" t="s">
        <v>424</v>
      </c>
      <c r="D100" s="189" t="s">
        <v>205</v>
      </c>
      <c r="E100" s="615">
        <v>652998</v>
      </c>
      <c r="F100" s="620"/>
      <c r="G100" s="618" t="s">
        <v>191</v>
      </c>
      <c r="H100" s="620"/>
      <c r="I100" s="620"/>
      <c r="J100" s="620"/>
      <c r="K100" s="624" t="s">
        <v>165</v>
      </c>
      <c r="L100" s="618" t="s">
        <v>149</v>
      </c>
      <c r="O100" s="89"/>
    </row>
    <row r="101" spans="3:15" ht="14.1" customHeight="1">
      <c r="C101" s="543" t="s">
        <v>425</v>
      </c>
      <c r="D101" s="193" t="s">
        <v>206</v>
      </c>
      <c r="E101" s="631">
        <v>654959</v>
      </c>
      <c r="F101" s="626"/>
      <c r="G101" s="624" t="s">
        <v>160</v>
      </c>
      <c r="H101" s="618"/>
      <c r="I101" s="618"/>
      <c r="J101" s="618" t="s">
        <v>192</v>
      </c>
      <c r="K101" s="618" t="s">
        <v>192</v>
      </c>
      <c r="L101" s="618" t="s">
        <v>192</v>
      </c>
      <c r="O101" s="89"/>
    </row>
    <row r="102" spans="3:15" ht="14.1" customHeight="1">
      <c r="C102" s="85" t="s">
        <v>426</v>
      </c>
      <c r="D102" s="551" t="s">
        <v>207</v>
      </c>
      <c r="E102" s="615">
        <v>654981</v>
      </c>
      <c r="F102" s="619"/>
      <c r="G102" s="619"/>
      <c r="H102" s="619"/>
      <c r="I102" s="619"/>
      <c r="J102" s="618" t="s">
        <v>192</v>
      </c>
      <c r="K102" s="618" t="s">
        <v>192</v>
      </c>
      <c r="L102" s="618" t="s">
        <v>192</v>
      </c>
      <c r="O102" s="89"/>
    </row>
    <row r="103" spans="3:15" ht="14.1" customHeight="1">
      <c r="C103" s="85" t="s">
        <v>427</v>
      </c>
      <c r="D103" s="553" t="s">
        <v>208</v>
      </c>
      <c r="E103" s="615">
        <v>703795</v>
      </c>
      <c r="F103" s="618" t="s">
        <v>149</v>
      </c>
      <c r="G103" s="617"/>
      <c r="H103" s="617"/>
      <c r="I103" s="617"/>
      <c r="J103" s="617"/>
      <c r="K103" s="618" t="s">
        <v>149</v>
      </c>
      <c r="L103" s="618" t="s">
        <v>149</v>
      </c>
      <c r="O103" s="89"/>
    </row>
    <row r="104" spans="3:15" ht="14.1" customHeight="1">
      <c r="C104" s="730" t="s">
        <v>428</v>
      </c>
      <c r="D104" s="551" t="s">
        <v>209</v>
      </c>
      <c r="E104" s="615">
        <v>652364</v>
      </c>
      <c r="F104" s="624" t="s">
        <v>165</v>
      </c>
      <c r="G104" s="618" t="s">
        <v>149</v>
      </c>
      <c r="H104" s="618"/>
      <c r="I104" s="617"/>
      <c r="J104" s="618"/>
      <c r="K104" s="618"/>
      <c r="L104" s="618" t="s">
        <v>191</v>
      </c>
      <c r="O104" s="89"/>
    </row>
    <row r="105" spans="3:15" ht="14.1" customHeight="1">
      <c r="C105" s="543" t="s">
        <v>429</v>
      </c>
      <c r="D105" s="551" t="s">
        <v>210</v>
      </c>
      <c r="E105" s="615">
        <v>644433</v>
      </c>
      <c r="F105" s="618" t="s">
        <v>191</v>
      </c>
      <c r="G105" s="619"/>
      <c r="H105" s="620"/>
      <c r="I105" s="618" t="s">
        <v>150</v>
      </c>
      <c r="J105" s="619"/>
      <c r="K105" s="618" t="s">
        <v>149</v>
      </c>
      <c r="L105" s="618" t="s">
        <v>149</v>
      </c>
      <c r="O105" s="89"/>
    </row>
    <row r="106" spans="3:15" ht="14.1" customHeight="1">
      <c r="C106" s="87" t="s">
        <v>430</v>
      </c>
      <c r="D106" s="551" t="s">
        <v>211</v>
      </c>
      <c r="E106" s="615">
        <v>650602</v>
      </c>
      <c r="F106" s="619"/>
      <c r="G106" s="619"/>
      <c r="H106" s="619"/>
      <c r="I106" s="619"/>
      <c r="J106" s="619"/>
      <c r="K106" s="619"/>
      <c r="L106" s="619"/>
      <c r="O106" s="89"/>
    </row>
    <row r="107" spans="3:15" ht="14.1" customHeight="1">
      <c r="C107" s="87" t="s">
        <v>431</v>
      </c>
      <c r="D107" s="552" t="s">
        <v>212</v>
      </c>
      <c r="E107" s="631">
        <v>704893</v>
      </c>
      <c r="F107" s="619"/>
      <c r="G107" s="617"/>
      <c r="H107" s="624" t="s">
        <v>167</v>
      </c>
      <c r="I107" s="620"/>
      <c r="J107" s="618" t="s">
        <v>150</v>
      </c>
      <c r="K107" s="618" t="s">
        <v>191</v>
      </c>
      <c r="L107" s="618" t="s">
        <v>150</v>
      </c>
      <c r="O107" s="89"/>
    </row>
    <row r="108" spans="3:15" ht="14.1" customHeight="1">
      <c r="C108" s="87" t="s">
        <v>432</v>
      </c>
      <c r="D108" s="194" t="s">
        <v>214</v>
      </c>
      <c r="E108" s="615">
        <v>636733</v>
      </c>
      <c r="F108" s="619"/>
      <c r="G108" s="617"/>
      <c r="H108" s="618"/>
      <c r="I108" s="616" t="s">
        <v>342</v>
      </c>
      <c r="J108" s="616" t="s">
        <v>317</v>
      </c>
      <c r="K108" s="618"/>
      <c r="L108" s="618"/>
      <c r="O108" s="89"/>
    </row>
    <row r="109" spans="3:15" ht="14.1" customHeight="1">
      <c r="C109" s="69" t="s">
        <v>433</v>
      </c>
      <c r="D109" s="195" t="s">
        <v>216</v>
      </c>
      <c r="E109" s="200">
        <v>637770</v>
      </c>
      <c r="F109" s="209"/>
      <c r="G109" s="209"/>
      <c r="H109" s="209" t="s">
        <v>149</v>
      </c>
      <c r="I109" s="206" t="s">
        <v>149</v>
      </c>
      <c r="J109" s="206"/>
      <c r="K109" s="253" t="s">
        <v>359</v>
      </c>
      <c r="L109" s="253" t="s">
        <v>359</v>
      </c>
      <c r="O109" s="89"/>
    </row>
    <row r="110" spans="3:15" ht="14.1" customHeight="1">
      <c r="C110" s="543"/>
      <c r="D110" s="554"/>
      <c r="E110" s="625"/>
      <c r="F110" s="617"/>
      <c r="G110" s="617"/>
      <c r="H110" s="617"/>
      <c r="I110" s="618"/>
      <c r="J110" s="618"/>
      <c r="K110" s="618"/>
      <c r="L110" s="618"/>
      <c r="O110" s="89"/>
    </row>
    <row r="111" spans="3:15" ht="14.1" customHeight="1" thickBot="1">
      <c r="C111" s="543"/>
      <c r="D111" s="554"/>
      <c r="E111" s="279"/>
      <c r="F111" s="760" t="s">
        <v>218</v>
      </c>
      <c r="G111" s="761"/>
      <c r="H111" s="761"/>
      <c r="I111" s="761"/>
      <c r="J111" s="761"/>
      <c r="K111" s="761"/>
      <c r="L111" s="762"/>
      <c r="O111" s="89"/>
    </row>
    <row r="112" spans="3:15" ht="14.1" customHeight="1">
      <c r="C112" s="555" t="s">
        <v>434</v>
      </c>
      <c r="D112" s="167" t="s">
        <v>219</v>
      </c>
      <c r="E112" s="114"/>
      <c r="F112" s="71">
        <f t="shared" ref="F112:L112" si="20">F4</f>
        <v>46083</v>
      </c>
      <c r="G112" s="71">
        <f t="shared" si="20"/>
        <v>46084</v>
      </c>
      <c r="H112" s="71">
        <f t="shared" si="20"/>
        <v>46085</v>
      </c>
      <c r="I112" s="71">
        <f t="shared" si="20"/>
        <v>46086</v>
      </c>
      <c r="J112" s="71">
        <f t="shared" si="20"/>
        <v>46087</v>
      </c>
      <c r="K112" s="71">
        <f t="shared" si="20"/>
        <v>46088</v>
      </c>
      <c r="L112" s="71">
        <f t="shared" si="20"/>
        <v>46089</v>
      </c>
      <c r="O112" s="89"/>
    </row>
    <row r="113" spans="3:15" ht="14.1" customHeight="1">
      <c r="C113" s="556" t="s">
        <v>435</v>
      </c>
      <c r="D113" s="557" t="s">
        <v>220</v>
      </c>
      <c r="E113" s="633">
        <v>654686</v>
      </c>
      <c r="F113" s="565"/>
      <c r="G113" s="303"/>
      <c r="H113" s="303" t="s">
        <v>225</v>
      </c>
      <c r="I113" s="303"/>
      <c r="J113" s="565" t="s">
        <v>221</v>
      </c>
      <c r="K113" s="565" t="s">
        <v>222</v>
      </c>
      <c r="L113" s="565" t="s">
        <v>223</v>
      </c>
      <c r="O113" s="89"/>
    </row>
    <row r="114" spans="3:15" ht="14.1" customHeight="1">
      <c r="C114" s="556" t="s">
        <v>436</v>
      </c>
      <c r="D114" s="557" t="s">
        <v>227</v>
      </c>
      <c r="E114" s="633">
        <v>700581</v>
      </c>
      <c r="F114" s="565" t="s">
        <v>221</v>
      </c>
      <c r="G114" s="565"/>
      <c r="H114" s="565"/>
      <c r="I114" s="565"/>
      <c r="J114" s="565" t="s">
        <v>149</v>
      </c>
      <c r="K114" s="565" t="s">
        <v>226</v>
      </c>
      <c r="L114" s="565" t="s">
        <v>150</v>
      </c>
      <c r="O114" s="89"/>
    </row>
    <row r="115" spans="3:15" ht="14.1" customHeight="1">
      <c r="C115" s="88" t="s">
        <v>437</v>
      </c>
      <c r="D115" s="557" t="s">
        <v>228</v>
      </c>
      <c r="E115" s="633">
        <v>700540</v>
      </c>
      <c r="F115" s="565" t="s">
        <v>222</v>
      </c>
      <c r="G115" s="565"/>
      <c r="H115" s="565"/>
      <c r="I115" s="565" t="s">
        <v>150</v>
      </c>
      <c r="J115" s="565"/>
      <c r="K115" s="565" t="s">
        <v>149</v>
      </c>
      <c r="L115" s="565" t="s">
        <v>149</v>
      </c>
      <c r="O115" s="89"/>
    </row>
    <row r="116" spans="3:15" ht="14.1" customHeight="1">
      <c r="C116" s="556" t="s">
        <v>438</v>
      </c>
      <c r="D116" s="557" t="s">
        <v>230</v>
      </c>
      <c r="E116" s="633">
        <v>646665</v>
      </c>
      <c r="F116" s="616" t="s">
        <v>317</v>
      </c>
      <c r="G116" s="565" t="s">
        <v>149</v>
      </c>
      <c r="H116" s="565"/>
      <c r="I116" s="565"/>
      <c r="J116" s="565"/>
      <c r="K116" s="565" t="s">
        <v>224</v>
      </c>
      <c r="L116" s="565" t="s">
        <v>225</v>
      </c>
      <c r="O116" s="89"/>
    </row>
    <row r="117" spans="3:15" ht="14.1" customHeight="1">
      <c r="C117" s="556" t="s">
        <v>439</v>
      </c>
      <c r="D117" s="557" t="s">
        <v>231</v>
      </c>
      <c r="E117" s="633">
        <v>654598</v>
      </c>
      <c r="F117" s="565" t="s">
        <v>150</v>
      </c>
      <c r="G117" s="565" t="s">
        <v>225</v>
      </c>
      <c r="H117" s="565" t="s">
        <v>229</v>
      </c>
      <c r="I117" s="565"/>
      <c r="J117" s="565" t="s">
        <v>226</v>
      </c>
      <c r="K117" s="565"/>
      <c r="L117" s="565"/>
      <c r="O117" s="89"/>
    </row>
    <row r="118" spans="3:15" ht="14.1" customHeight="1">
      <c r="C118" s="556" t="s">
        <v>440</v>
      </c>
      <c r="D118" s="557" t="s">
        <v>232</v>
      </c>
      <c r="E118" s="633">
        <v>700591</v>
      </c>
      <c r="F118" s="565" t="s">
        <v>222</v>
      </c>
      <c r="G118" s="565"/>
      <c r="H118" s="565"/>
      <c r="I118" s="565"/>
      <c r="J118" s="565" t="s">
        <v>224</v>
      </c>
      <c r="K118" s="565" t="s">
        <v>150</v>
      </c>
      <c r="L118" s="565" t="s">
        <v>150</v>
      </c>
      <c r="O118" s="89"/>
    </row>
    <row r="119" spans="3:15" ht="14.1" customHeight="1">
      <c r="C119" s="556" t="s">
        <v>441</v>
      </c>
      <c r="D119" s="557" t="s">
        <v>233</v>
      </c>
      <c r="E119" s="633">
        <v>700648</v>
      </c>
      <c r="F119" s="565" t="s">
        <v>150</v>
      </c>
      <c r="G119" s="565" t="s">
        <v>150</v>
      </c>
      <c r="H119" s="565"/>
      <c r="I119" s="565" t="s">
        <v>225</v>
      </c>
      <c r="J119" s="565" t="s">
        <v>149</v>
      </c>
      <c r="K119" s="565"/>
      <c r="L119" s="565"/>
      <c r="O119" s="89"/>
    </row>
    <row r="120" spans="3:15" ht="14.1" customHeight="1">
      <c r="C120" s="556" t="s">
        <v>443</v>
      </c>
      <c r="D120" s="557" t="s">
        <v>234</v>
      </c>
      <c r="E120" s="633">
        <v>700653</v>
      </c>
      <c r="F120" s="565"/>
      <c r="G120" s="565"/>
      <c r="H120" s="565" t="s">
        <v>224</v>
      </c>
      <c r="I120" s="565" t="s">
        <v>150</v>
      </c>
      <c r="J120" s="565" t="s">
        <v>150</v>
      </c>
      <c r="K120" s="565"/>
      <c r="L120" s="565" t="s">
        <v>149</v>
      </c>
      <c r="O120" s="89"/>
    </row>
    <row r="121" spans="3:15" ht="14.1" customHeight="1">
      <c r="C121" s="556" t="s">
        <v>444</v>
      </c>
      <c r="D121" s="557" t="s">
        <v>235</v>
      </c>
      <c r="E121" s="633">
        <v>700604</v>
      </c>
      <c r="F121" s="565" t="s">
        <v>229</v>
      </c>
      <c r="G121" s="565" t="s">
        <v>223</v>
      </c>
      <c r="H121" s="565" t="s">
        <v>221</v>
      </c>
      <c r="I121" s="565" t="s">
        <v>222</v>
      </c>
      <c r="J121" s="565"/>
      <c r="K121" s="565"/>
      <c r="L121" s="565"/>
      <c r="O121" s="89"/>
    </row>
    <row r="122" spans="3:15" ht="14.1" customHeight="1">
      <c r="C122" s="556" t="s">
        <v>445</v>
      </c>
      <c r="D122" s="557" t="s">
        <v>236</v>
      </c>
      <c r="E122" s="633">
        <v>655170</v>
      </c>
      <c r="F122" s="635"/>
      <c r="G122" s="635"/>
      <c r="H122" s="635"/>
      <c r="I122" s="635"/>
      <c r="J122" s="635"/>
      <c r="K122" s="635"/>
      <c r="L122" s="635"/>
      <c r="O122" s="89"/>
    </row>
    <row r="123" spans="3:15" ht="14.1" customHeight="1">
      <c r="C123" s="556" t="s">
        <v>446</v>
      </c>
      <c r="D123" s="557" t="s">
        <v>237</v>
      </c>
      <c r="E123" s="633">
        <v>703000</v>
      </c>
      <c r="F123" s="565"/>
      <c r="G123" s="565" t="s">
        <v>229</v>
      </c>
      <c r="H123" s="565" t="s">
        <v>226</v>
      </c>
      <c r="I123" s="565"/>
      <c r="J123" s="565"/>
      <c r="K123" s="565" t="s">
        <v>150</v>
      </c>
      <c r="L123" s="565" t="s">
        <v>150</v>
      </c>
      <c r="O123" s="89"/>
    </row>
    <row r="124" spans="3:15" ht="14.1" customHeight="1">
      <c r="C124" s="556" t="s">
        <v>447</v>
      </c>
      <c r="D124" s="557" t="s">
        <v>238</v>
      </c>
      <c r="E124" s="633">
        <v>702770</v>
      </c>
      <c r="F124" s="565" t="s">
        <v>150</v>
      </c>
      <c r="G124" s="565" t="s">
        <v>222</v>
      </c>
      <c r="H124" s="565" t="s">
        <v>223</v>
      </c>
      <c r="I124" s="565" t="s">
        <v>221</v>
      </c>
      <c r="J124" s="565"/>
      <c r="K124" s="565"/>
      <c r="L124" s="565"/>
      <c r="O124" s="89"/>
    </row>
    <row r="125" spans="3:15" ht="14.1" customHeight="1">
      <c r="C125" s="556" t="s">
        <v>448</v>
      </c>
      <c r="D125" s="557" t="s">
        <v>239</v>
      </c>
      <c r="E125" s="633">
        <v>704108</v>
      </c>
      <c r="F125" s="565" t="s">
        <v>224</v>
      </c>
      <c r="G125" s="565" t="s">
        <v>149</v>
      </c>
      <c r="H125" s="565" t="s">
        <v>149</v>
      </c>
      <c r="I125" s="578" t="s">
        <v>359</v>
      </c>
      <c r="J125" s="565"/>
      <c r="K125" s="565"/>
      <c r="L125" s="565"/>
      <c r="O125" s="89"/>
    </row>
    <row r="126" spans="3:15" ht="14.1" customHeight="1">
      <c r="C126" s="556" t="s">
        <v>449</v>
      </c>
      <c r="D126" s="557" t="s">
        <v>240</v>
      </c>
      <c r="E126" s="633">
        <v>700734</v>
      </c>
      <c r="F126" s="565" t="s">
        <v>150</v>
      </c>
      <c r="G126" s="565" t="s">
        <v>221</v>
      </c>
      <c r="H126" s="565" t="s">
        <v>222</v>
      </c>
      <c r="I126" s="565" t="s">
        <v>223</v>
      </c>
      <c r="J126" s="565"/>
      <c r="K126" s="565"/>
      <c r="L126" s="565"/>
      <c r="O126" s="89"/>
    </row>
    <row r="127" spans="3:15" ht="14.1" customHeight="1">
      <c r="C127" s="556" t="s">
        <v>450</v>
      </c>
      <c r="D127" s="557" t="s">
        <v>241</v>
      </c>
      <c r="E127" s="633">
        <v>702035</v>
      </c>
      <c r="F127" s="616" t="s">
        <v>317</v>
      </c>
      <c r="G127" s="578" t="s">
        <v>359</v>
      </c>
      <c r="H127" s="578" t="s">
        <v>359</v>
      </c>
      <c r="I127" s="578" t="s">
        <v>359</v>
      </c>
      <c r="J127" s="565"/>
      <c r="K127" s="565"/>
      <c r="L127" s="565"/>
      <c r="O127" s="89"/>
    </row>
    <row r="128" spans="3:15" ht="14.1" customHeight="1">
      <c r="C128" s="556" t="s">
        <v>451</v>
      </c>
      <c r="D128" s="557" t="s">
        <v>242</v>
      </c>
      <c r="E128" s="633">
        <v>702779</v>
      </c>
      <c r="F128" s="635"/>
      <c r="G128" s="635"/>
      <c r="H128" s="635"/>
      <c r="I128" s="635"/>
      <c r="J128" s="635"/>
      <c r="K128" s="635"/>
      <c r="L128" s="635"/>
      <c r="O128" s="89"/>
    </row>
    <row r="129" spans="3:15" ht="14.1" customHeight="1">
      <c r="C129" s="556" t="s">
        <v>452</v>
      </c>
      <c r="D129" s="557" t="s">
        <v>243</v>
      </c>
      <c r="E129" s="633">
        <v>641339</v>
      </c>
      <c r="F129" s="565" t="s">
        <v>149</v>
      </c>
      <c r="G129" s="565"/>
      <c r="H129" s="565" t="s">
        <v>150</v>
      </c>
      <c r="I129" s="565"/>
      <c r="J129" s="565"/>
      <c r="K129" s="565" t="s">
        <v>150</v>
      </c>
      <c r="L129" s="565" t="s">
        <v>226</v>
      </c>
      <c r="O129" s="89"/>
    </row>
    <row r="130" spans="3:15" ht="14.1" customHeight="1">
      <c r="C130" s="556" t="s">
        <v>453</v>
      </c>
      <c r="D130" s="557" t="s">
        <v>244</v>
      </c>
      <c r="E130" s="633">
        <v>703783</v>
      </c>
      <c r="F130" s="565"/>
      <c r="G130" s="565" t="s">
        <v>150</v>
      </c>
      <c r="H130" s="565"/>
      <c r="I130" s="565"/>
      <c r="J130" s="565" t="s">
        <v>223</v>
      </c>
      <c r="K130" s="565" t="s">
        <v>221</v>
      </c>
      <c r="L130" s="565" t="s">
        <v>222</v>
      </c>
      <c r="O130" s="89"/>
    </row>
    <row r="131" spans="3:15" ht="14.1" customHeight="1">
      <c r="C131" s="556" t="s">
        <v>454</v>
      </c>
      <c r="D131" s="557" t="s">
        <v>245</v>
      </c>
      <c r="E131" s="625">
        <v>702087</v>
      </c>
      <c r="F131" s="565"/>
      <c r="G131" s="565"/>
      <c r="H131" s="565" t="s">
        <v>149</v>
      </c>
      <c r="I131" s="565" t="s">
        <v>224</v>
      </c>
      <c r="J131" s="565"/>
      <c r="K131" s="565"/>
      <c r="L131" s="565"/>
      <c r="O131" s="89"/>
    </row>
    <row r="132" spans="3:15" ht="14.1" customHeight="1">
      <c r="C132" s="556" t="s">
        <v>455</v>
      </c>
      <c r="D132" s="558" t="s">
        <v>246</v>
      </c>
      <c r="E132" s="631"/>
      <c r="F132" s="566" t="s">
        <v>150</v>
      </c>
      <c r="G132" s="578" t="s">
        <v>359</v>
      </c>
      <c r="H132" s="566"/>
      <c r="I132" s="566"/>
      <c r="J132" s="566"/>
      <c r="K132" s="566" t="s">
        <v>149</v>
      </c>
      <c r="L132" s="566" t="s">
        <v>149</v>
      </c>
      <c r="O132" s="89"/>
    </row>
    <row r="133" spans="3:15" ht="14.1" customHeight="1">
      <c r="C133" s="556" t="s">
        <v>456</v>
      </c>
      <c r="D133" s="557" t="s">
        <v>247</v>
      </c>
      <c r="E133" s="625">
        <v>703186</v>
      </c>
      <c r="F133" s="635"/>
      <c r="G133" s="635"/>
      <c r="H133" s="635"/>
      <c r="I133" s="635"/>
      <c r="J133" s="635"/>
      <c r="K133" s="635"/>
      <c r="L133" s="635"/>
      <c r="O133" s="89"/>
    </row>
    <row r="134" spans="3:15" ht="14.1" customHeight="1">
      <c r="C134" s="556" t="s">
        <v>458</v>
      </c>
      <c r="D134" s="557" t="s">
        <v>248</v>
      </c>
      <c r="E134" s="625">
        <v>703168</v>
      </c>
      <c r="F134" s="565"/>
      <c r="G134" s="565" t="s">
        <v>224</v>
      </c>
      <c r="H134" s="565" t="s">
        <v>150</v>
      </c>
      <c r="I134" s="565" t="s">
        <v>150</v>
      </c>
      <c r="J134" s="565" t="s">
        <v>150</v>
      </c>
      <c r="K134" s="565"/>
      <c r="L134" s="565"/>
      <c r="O134" s="89"/>
    </row>
    <row r="135" spans="3:15" ht="14.1" customHeight="1">
      <c r="C135" s="556" t="s">
        <v>459</v>
      </c>
      <c r="D135" s="557" t="s">
        <v>249</v>
      </c>
      <c r="E135" s="625">
        <v>703270</v>
      </c>
      <c r="F135" s="565"/>
      <c r="G135" s="565" t="s">
        <v>150</v>
      </c>
      <c r="H135" s="565" t="s">
        <v>150</v>
      </c>
      <c r="I135" s="565"/>
      <c r="J135" s="565"/>
      <c r="K135" s="565" t="s">
        <v>225</v>
      </c>
      <c r="L135" s="565" t="s">
        <v>224</v>
      </c>
      <c r="O135" s="89"/>
    </row>
    <row r="136" spans="3:15" ht="14.1" customHeight="1">
      <c r="C136" s="556" t="s">
        <v>460</v>
      </c>
      <c r="D136" s="558" t="s">
        <v>251</v>
      </c>
      <c r="E136" s="625">
        <v>702481</v>
      </c>
      <c r="F136" s="565"/>
      <c r="G136" s="565"/>
      <c r="H136" s="565"/>
      <c r="I136" s="578" t="s">
        <v>342</v>
      </c>
      <c r="J136" s="565" t="s">
        <v>150</v>
      </c>
      <c r="K136" s="565" t="s">
        <v>223</v>
      </c>
      <c r="L136" s="565" t="s">
        <v>221</v>
      </c>
      <c r="O136" s="89"/>
    </row>
    <row r="137" spans="3:15" ht="14.1" customHeight="1">
      <c r="C137" s="556" t="s">
        <v>461</v>
      </c>
      <c r="D137" s="558" t="s">
        <v>252</v>
      </c>
      <c r="E137" s="625">
        <v>700682</v>
      </c>
      <c r="F137" s="634"/>
      <c r="G137" s="634"/>
      <c r="H137" s="634"/>
      <c r="I137" s="634"/>
      <c r="J137" s="634"/>
      <c r="K137" s="634"/>
      <c r="L137" s="634"/>
      <c r="O137" s="89"/>
    </row>
    <row r="138" spans="3:15" ht="14.1" customHeight="1">
      <c r="C138" s="556" t="s">
        <v>462</v>
      </c>
      <c r="D138" s="558" t="s">
        <v>253</v>
      </c>
      <c r="E138" s="625">
        <v>700721</v>
      </c>
      <c r="F138" s="634"/>
      <c r="G138" s="634"/>
      <c r="H138" s="634"/>
      <c r="I138" s="634"/>
      <c r="J138" s="634"/>
      <c r="K138" s="634"/>
      <c r="L138" s="634"/>
      <c r="O138" s="89"/>
    </row>
    <row r="139" spans="3:15" ht="14.1" customHeight="1">
      <c r="C139" s="556" t="s">
        <v>463</v>
      </c>
      <c r="D139" s="558" t="s">
        <v>254</v>
      </c>
      <c r="E139" s="625">
        <v>703820</v>
      </c>
      <c r="F139" s="634"/>
      <c r="G139" s="634"/>
      <c r="H139" s="634"/>
      <c r="I139" s="634"/>
      <c r="J139" s="634"/>
      <c r="K139" s="634"/>
      <c r="L139" s="634"/>
      <c r="O139" s="89"/>
    </row>
    <row r="140" spans="3:15" ht="14.1" customHeight="1">
      <c r="C140" s="556" t="s">
        <v>464</v>
      </c>
      <c r="D140" s="558" t="s">
        <v>255</v>
      </c>
      <c r="E140" s="625">
        <v>703788</v>
      </c>
      <c r="F140" s="634"/>
      <c r="G140" s="634"/>
      <c r="H140" s="634"/>
      <c r="I140" s="634"/>
      <c r="J140" s="634"/>
      <c r="K140" s="634"/>
      <c r="L140" s="634"/>
      <c r="O140" s="89"/>
    </row>
    <row r="141" spans="3:15" ht="14.1" customHeight="1">
      <c r="C141" s="556" t="s">
        <v>465</v>
      </c>
      <c r="D141" s="558" t="s">
        <v>256</v>
      </c>
      <c r="E141" s="625">
        <v>700646</v>
      </c>
      <c r="F141" s="634"/>
      <c r="G141" s="634"/>
      <c r="H141" s="634"/>
      <c r="I141" s="634"/>
      <c r="J141" s="634"/>
      <c r="K141" s="634"/>
      <c r="L141" s="634"/>
      <c r="O141" s="89"/>
    </row>
    <row r="142" spans="3:15" ht="14.1" customHeight="1">
      <c r="C142" s="556" t="s">
        <v>466</v>
      </c>
      <c r="D142" s="558" t="s">
        <v>257</v>
      </c>
      <c r="E142" s="633">
        <v>655539</v>
      </c>
      <c r="F142" s="565"/>
      <c r="G142" s="565"/>
      <c r="H142" s="565"/>
      <c r="I142" s="578" t="s">
        <v>342</v>
      </c>
      <c r="J142" s="565" t="s">
        <v>222</v>
      </c>
      <c r="K142" s="565" t="s">
        <v>222</v>
      </c>
      <c r="L142" s="565" t="s">
        <v>222</v>
      </c>
      <c r="O142" s="89"/>
    </row>
    <row r="143" spans="3:15" ht="14.1" customHeight="1">
      <c r="C143" s="556" t="s">
        <v>467</v>
      </c>
      <c r="D143" s="559" t="s">
        <v>258</v>
      </c>
      <c r="E143" s="633">
        <v>653933</v>
      </c>
      <c r="F143" s="565" t="s">
        <v>150</v>
      </c>
      <c r="G143" s="565" t="s">
        <v>150</v>
      </c>
      <c r="H143" s="565" t="s">
        <v>150</v>
      </c>
      <c r="I143" s="565"/>
      <c r="J143" s="565" t="s">
        <v>225</v>
      </c>
      <c r="K143" s="565"/>
      <c r="L143" s="565"/>
      <c r="O143" s="89"/>
    </row>
    <row r="144" spans="3:15" ht="14.1" customHeight="1">
      <c r="C144" s="556" t="s">
        <v>468</v>
      </c>
      <c r="D144" s="558" t="s">
        <v>259</v>
      </c>
      <c r="E144" s="636"/>
      <c r="F144" s="634"/>
      <c r="G144" s="634"/>
      <c r="H144" s="634"/>
      <c r="I144" s="634"/>
      <c r="J144" s="634"/>
      <c r="K144" s="634"/>
      <c r="L144" s="634"/>
      <c r="O144" s="89"/>
    </row>
    <row r="145" spans="3:15" ht="14.1" customHeight="1">
      <c r="C145" s="556"/>
      <c r="D145" s="286"/>
      <c r="E145" s="304"/>
      <c r="G145" s="566"/>
      <c r="H145" s="566"/>
      <c r="I145" s="566"/>
      <c r="J145" s="566"/>
      <c r="K145" s="566"/>
      <c r="L145" s="566"/>
      <c r="O145" s="89"/>
    </row>
    <row r="146" spans="3:15" ht="14.1" customHeight="1" thickBot="1">
      <c r="C146" s="560" t="s">
        <v>472</v>
      </c>
      <c r="D146" s="462" t="s">
        <v>260</v>
      </c>
      <c r="E146" s="463"/>
      <c r="F146" s="210"/>
      <c r="G146" s="578"/>
      <c r="H146" s="578"/>
      <c r="I146" s="578"/>
      <c r="J146" s="578"/>
      <c r="K146" s="578"/>
      <c r="L146" s="578"/>
      <c r="O146" s="89"/>
    </row>
    <row r="147" spans="3:15" ht="14.1" customHeight="1">
      <c r="C147" s="561" t="s">
        <v>473</v>
      </c>
      <c r="D147" s="196" t="s">
        <v>261</v>
      </c>
      <c r="E147" s="466">
        <v>703293</v>
      </c>
      <c r="F147" s="639"/>
      <c r="G147" s="578" t="s">
        <v>476</v>
      </c>
      <c r="H147" s="639" t="s">
        <v>149</v>
      </c>
      <c r="I147" s="639"/>
      <c r="J147" s="639"/>
      <c r="K147" s="639" t="s">
        <v>149</v>
      </c>
      <c r="L147" s="639" t="s">
        <v>149</v>
      </c>
      <c r="O147" s="89"/>
    </row>
    <row r="148" spans="3:15" ht="14.1" customHeight="1">
      <c r="C148" s="561" t="s">
        <v>474</v>
      </c>
      <c r="D148" s="562" t="s">
        <v>266</v>
      </c>
      <c r="E148" s="466">
        <v>703544</v>
      </c>
      <c r="F148" s="637" t="s">
        <v>263</v>
      </c>
      <c r="G148" s="637" t="s">
        <v>263</v>
      </c>
      <c r="H148" s="637" t="s">
        <v>263</v>
      </c>
      <c r="I148" s="637" t="s">
        <v>263</v>
      </c>
      <c r="J148" s="637" t="s">
        <v>263</v>
      </c>
      <c r="K148" s="637" t="s">
        <v>263</v>
      </c>
      <c r="L148" s="637" t="s">
        <v>263</v>
      </c>
      <c r="O148" s="89"/>
    </row>
    <row r="149" spans="3:15" ht="14.1" customHeight="1">
      <c r="C149" s="561" t="s">
        <v>475</v>
      </c>
      <c r="D149" s="562" t="s">
        <v>267</v>
      </c>
      <c r="E149" s="466">
        <v>703651</v>
      </c>
      <c r="F149" s="639" t="s">
        <v>150</v>
      </c>
      <c r="G149" s="639" t="s">
        <v>222</v>
      </c>
      <c r="H149" s="639" t="s">
        <v>222</v>
      </c>
      <c r="I149" s="578" t="s">
        <v>519</v>
      </c>
      <c r="J149" s="639"/>
      <c r="K149" s="639"/>
      <c r="L149" s="639"/>
      <c r="O149" s="89"/>
    </row>
    <row r="150" spans="3:15" ht="14.1" customHeight="1">
      <c r="C150" s="561" t="s">
        <v>477</v>
      </c>
      <c r="D150" s="562" t="s">
        <v>268</v>
      </c>
      <c r="E150" s="466">
        <v>703298</v>
      </c>
      <c r="F150" s="639"/>
      <c r="G150" s="639" t="s">
        <v>149</v>
      </c>
      <c r="H150" s="639"/>
      <c r="I150" s="639" t="s">
        <v>150</v>
      </c>
      <c r="J150" s="639" t="s">
        <v>150</v>
      </c>
      <c r="K150" s="639" t="s">
        <v>150</v>
      </c>
      <c r="L150" s="639" t="s">
        <v>150</v>
      </c>
      <c r="O150" s="89"/>
    </row>
    <row r="151" spans="3:15" ht="14.1" customHeight="1">
      <c r="C151" s="561" t="s">
        <v>478</v>
      </c>
      <c r="D151" s="562" t="s">
        <v>269</v>
      </c>
      <c r="E151" s="466">
        <v>703345</v>
      </c>
      <c r="F151" s="639" t="s">
        <v>149</v>
      </c>
      <c r="G151" s="639" t="s">
        <v>150</v>
      </c>
      <c r="H151" s="639"/>
      <c r="I151" s="639" t="s">
        <v>150</v>
      </c>
      <c r="J151" s="578" t="s">
        <v>359</v>
      </c>
      <c r="K151" s="639"/>
      <c r="L151" s="639"/>
      <c r="O151" s="89"/>
    </row>
    <row r="152" spans="3:15" ht="14.1" customHeight="1">
      <c r="C152" s="561" t="s">
        <v>479</v>
      </c>
      <c r="D152" s="562" t="s">
        <v>270</v>
      </c>
      <c r="E152" s="466">
        <v>703324</v>
      </c>
      <c r="F152" s="646" t="s">
        <v>262</v>
      </c>
      <c r="G152" s="639" t="s">
        <v>149</v>
      </c>
      <c r="H152" s="639" t="s">
        <v>150</v>
      </c>
      <c r="I152" s="639"/>
      <c r="J152" s="639" t="s">
        <v>222</v>
      </c>
      <c r="K152" s="639" t="s">
        <v>222</v>
      </c>
      <c r="L152" s="639" t="s">
        <v>222</v>
      </c>
      <c r="O152" s="89"/>
    </row>
    <row r="153" spans="3:15" ht="14.1" customHeight="1">
      <c r="C153" s="561" t="s">
        <v>480</v>
      </c>
      <c r="D153" s="562" t="s">
        <v>271</v>
      </c>
      <c r="E153" s="466">
        <v>703527</v>
      </c>
      <c r="F153" s="637" t="s">
        <v>263</v>
      </c>
      <c r="G153" s="637" t="s">
        <v>263</v>
      </c>
      <c r="H153" s="637" t="s">
        <v>263</v>
      </c>
      <c r="I153" s="637" t="s">
        <v>263</v>
      </c>
      <c r="J153" s="637" t="s">
        <v>263</v>
      </c>
      <c r="K153" s="637" t="s">
        <v>263</v>
      </c>
      <c r="L153" s="637" t="s">
        <v>263</v>
      </c>
      <c r="O153" s="89"/>
    </row>
    <row r="154" spans="3:15" ht="14.1" customHeight="1">
      <c r="C154" s="561" t="s">
        <v>481</v>
      </c>
      <c r="D154" s="562" t="s">
        <v>272</v>
      </c>
      <c r="E154" s="466">
        <v>703319</v>
      </c>
      <c r="F154" s="639" t="s">
        <v>150</v>
      </c>
      <c r="G154" s="639"/>
      <c r="H154" s="639" t="s">
        <v>149</v>
      </c>
      <c r="I154" s="639" t="s">
        <v>149</v>
      </c>
      <c r="J154" s="639" t="s">
        <v>149</v>
      </c>
      <c r="K154" s="640"/>
      <c r="L154" s="640"/>
      <c r="O154" s="89"/>
    </row>
    <row r="155" spans="3:15" ht="14.1" customHeight="1">
      <c r="C155" s="561" t="s">
        <v>482</v>
      </c>
      <c r="D155" s="562" t="s">
        <v>273</v>
      </c>
      <c r="E155" s="466">
        <v>703543</v>
      </c>
      <c r="F155" s="639" t="s">
        <v>222</v>
      </c>
      <c r="G155" s="639"/>
      <c r="H155" s="639"/>
      <c r="I155" s="639" t="s">
        <v>149</v>
      </c>
      <c r="J155" s="639" t="s">
        <v>149</v>
      </c>
      <c r="K155" s="565" t="s">
        <v>149</v>
      </c>
      <c r="L155" s="640"/>
      <c r="O155" s="89"/>
    </row>
    <row r="156" spans="3:15" ht="14.1" customHeight="1">
      <c r="C156" s="561" t="s">
        <v>497</v>
      </c>
      <c r="D156" s="562" t="s">
        <v>274</v>
      </c>
      <c r="E156" s="466">
        <v>703530</v>
      </c>
      <c r="F156" s="639" t="s">
        <v>149</v>
      </c>
      <c r="G156" s="639" t="s">
        <v>150</v>
      </c>
      <c r="H156" s="639" t="s">
        <v>150</v>
      </c>
      <c r="I156" s="639"/>
      <c r="J156" s="639"/>
      <c r="K156" s="639"/>
      <c r="L156" s="639"/>
      <c r="O156" s="89"/>
    </row>
    <row r="157" spans="3:15" ht="14.1" customHeight="1" thickBot="1">
      <c r="C157" s="561" t="s">
        <v>484</v>
      </c>
      <c r="D157" s="231" t="s">
        <v>485</v>
      </c>
      <c r="E157" s="466">
        <v>700626</v>
      </c>
      <c r="F157" s="565" t="s">
        <v>149</v>
      </c>
      <c r="G157" s="565" t="s">
        <v>149</v>
      </c>
      <c r="H157" s="565" t="s">
        <v>149</v>
      </c>
      <c r="I157" s="56"/>
      <c r="J157" s="235" t="s">
        <v>149</v>
      </c>
      <c r="K157" s="235"/>
      <c r="L157" s="236"/>
      <c r="O157" s="89"/>
    </row>
    <row r="158" spans="3:15" ht="14.1" customHeight="1">
      <c r="C158" s="561"/>
      <c r="D158" s="175"/>
      <c r="E158" s="114"/>
      <c r="F158" s="813" t="s">
        <v>275</v>
      </c>
      <c r="G158" s="814"/>
      <c r="H158" s="814"/>
      <c r="I158" s="814"/>
      <c r="J158" s="814"/>
      <c r="K158" s="814"/>
      <c r="L158" s="815"/>
      <c r="O158" s="89"/>
    </row>
    <row r="159" spans="3:15" ht="14.1" customHeight="1">
      <c r="D159" s="476"/>
      <c r="E159" s="477"/>
      <c r="F159" s="641"/>
      <c r="G159" s="641"/>
      <c r="H159" s="641"/>
      <c r="I159" s="641"/>
      <c r="J159" s="641"/>
      <c r="K159" s="641"/>
      <c r="L159" s="641"/>
      <c r="O159" s="89"/>
    </row>
    <row r="160" spans="3:15" ht="14.1" customHeight="1">
      <c r="D160" s="479"/>
      <c r="E160" s="477"/>
      <c r="F160" s="641"/>
      <c r="G160" s="641"/>
      <c r="H160" s="641"/>
      <c r="I160" s="641"/>
      <c r="J160" s="641"/>
      <c r="K160" s="641"/>
      <c r="L160" s="641"/>
      <c r="O160" s="89"/>
    </row>
    <row r="161" spans="3:15" ht="14.1" customHeight="1">
      <c r="C161" s="563" t="s">
        <v>488</v>
      </c>
      <c r="D161" s="479" t="s">
        <v>488</v>
      </c>
      <c r="E161" s="477"/>
      <c r="F161" s="641"/>
      <c r="G161" s="641"/>
      <c r="H161" s="641"/>
      <c r="I161" s="641"/>
      <c r="J161" s="641"/>
      <c r="K161" s="641"/>
      <c r="L161" s="641"/>
      <c r="O161" s="89"/>
    </row>
    <row r="162" spans="3:15" ht="14.1" customHeight="1">
      <c r="C162" s="563"/>
      <c r="D162" s="563"/>
      <c r="E162" s="477"/>
      <c r="F162" s="641"/>
      <c r="G162" s="641"/>
      <c r="H162" s="641"/>
      <c r="I162" s="641"/>
      <c r="J162" s="641"/>
      <c r="K162" s="641"/>
      <c r="L162" s="641"/>
      <c r="O162" s="89"/>
    </row>
    <row r="163" spans="3:15" ht="14.1" customHeight="1">
      <c r="C163" s="563"/>
      <c r="D163" s="563"/>
      <c r="E163" s="477"/>
      <c r="F163" s="641"/>
      <c r="G163" s="641"/>
      <c r="H163" s="641"/>
      <c r="I163" s="641"/>
      <c r="J163" s="641"/>
      <c r="K163" s="641"/>
      <c r="L163" s="641"/>
      <c r="O163" s="89"/>
    </row>
    <row r="164" spans="3:15" ht="14.1" customHeight="1">
      <c r="C164" s="563"/>
      <c r="D164" s="563"/>
      <c r="E164" s="477"/>
      <c r="F164" s="641"/>
      <c r="G164" s="641"/>
      <c r="H164" s="641"/>
      <c r="I164" s="641"/>
      <c r="J164" s="641"/>
      <c r="K164" s="641"/>
      <c r="L164" s="641"/>
      <c r="O164" s="89"/>
    </row>
    <row r="165" spans="3:15" ht="14.1" customHeight="1">
      <c r="C165" s="563"/>
      <c r="D165" s="563"/>
      <c r="E165" s="477"/>
      <c r="G165" s="566"/>
      <c r="H165" s="566"/>
      <c r="I165" s="566"/>
      <c r="J165" s="566"/>
      <c r="K165" s="566"/>
      <c r="L165" s="566"/>
      <c r="O165" s="89"/>
    </row>
    <row r="166" spans="3:15" ht="14.1" customHeight="1">
      <c r="C166" s="563"/>
      <c r="D166" s="563"/>
      <c r="E166" s="477"/>
      <c r="G166" s="566"/>
      <c r="H166" s="566"/>
      <c r="I166" s="566"/>
      <c r="J166" s="566"/>
      <c r="K166" s="566"/>
      <c r="L166" s="566"/>
      <c r="O166" s="89"/>
    </row>
    <row r="167" spans="3:15" ht="14.1" customHeight="1">
      <c r="C167" s="563"/>
      <c r="D167" s="563"/>
      <c r="E167" s="477"/>
      <c r="G167" s="566"/>
      <c r="H167" s="566"/>
      <c r="I167" s="566"/>
      <c r="J167" s="566"/>
      <c r="K167" s="566"/>
      <c r="L167" s="566"/>
      <c r="O167" s="89"/>
    </row>
    <row r="168" spans="3:15" ht="14.1" customHeight="1">
      <c r="C168" s="563"/>
      <c r="D168" s="563"/>
      <c r="E168" s="477"/>
      <c r="F168" s="210"/>
      <c r="G168" s="578"/>
      <c r="H168" s="578"/>
      <c r="I168" s="578"/>
      <c r="J168" s="578"/>
      <c r="K168" s="578"/>
      <c r="L168" s="578"/>
      <c r="O168" s="89"/>
    </row>
    <row r="169" spans="3:15" ht="14.1" customHeight="1">
      <c r="C169" s="538" t="s">
        <v>1</v>
      </c>
      <c r="D169" s="538" t="s">
        <v>1</v>
      </c>
      <c r="E169" s="615"/>
      <c r="F169" s="565">
        <f t="shared" ref="F169:L169" si="21">COUNTIF(F6:F167,"0800-1730*")+COUNTIF(F6:F167,"0800-1800*")+COUNTIF(F6:F167,"0730-*")-COUNTIF(F6:F167,"*0800-1730 CS*")-COUNTIF(F6:F167,"*0800-1800 CS*")-COUNTIF(F6:F167,"*0800-1730 PHNW*")-COUNTIF(F6:F167,"*0800-1730 DEMT*")-COUNTIF(F6:F167,"*0800-1730 DD*")</f>
        <v>15</v>
      </c>
      <c r="G169" s="565">
        <f t="shared" si="21"/>
        <v>17</v>
      </c>
      <c r="H169" s="565">
        <f t="shared" si="21"/>
        <v>17</v>
      </c>
      <c r="I169" s="565">
        <f t="shared" si="21"/>
        <v>13</v>
      </c>
      <c r="J169" s="565">
        <f t="shared" si="21"/>
        <v>15</v>
      </c>
      <c r="K169" s="565">
        <f t="shared" si="21"/>
        <v>13</v>
      </c>
      <c r="L169" s="565">
        <f t="shared" si="21"/>
        <v>15</v>
      </c>
      <c r="O169" s="89"/>
    </row>
    <row r="170" spans="3:15" ht="14.1" customHeight="1">
      <c r="C170" s="538" t="s">
        <v>276</v>
      </c>
      <c r="D170" s="538" t="s">
        <v>276</v>
      </c>
      <c r="E170" s="615"/>
      <c r="F170" s="65">
        <f t="shared" ref="F170:L170" si="22">COUNTIF(F6:F167,"*SWA*")</f>
        <v>2</v>
      </c>
      <c r="G170" s="65">
        <f t="shared" si="22"/>
        <v>1</v>
      </c>
      <c r="H170" s="65">
        <f t="shared" si="22"/>
        <v>1</v>
      </c>
      <c r="I170" s="65">
        <f t="shared" si="22"/>
        <v>1</v>
      </c>
      <c r="J170" s="65">
        <f t="shared" si="22"/>
        <v>0</v>
      </c>
      <c r="K170" s="65">
        <f t="shared" si="22"/>
        <v>1</v>
      </c>
      <c r="L170" s="65">
        <f t="shared" si="22"/>
        <v>0</v>
      </c>
      <c r="O170" s="89"/>
    </row>
    <row r="171" spans="3:15" ht="14.1" customHeight="1">
      <c r="C171" s="538" t="s">
        <v>2</v>
      </c>
      <c r="D171" s="538" t="s">
        <v>2</v>
      </c>
      <c r="E171" s="615"/>
      <c r="F171" s="65">
        <f t="shared" ref="F171:L171" si="23">COUNTIF(F6:F167,"*1400-*")+COUNTIF(F6:F167,"*1430-*")</f>
        <v>16</v>
      </c>
      <c r="G171" s="65">
        <f t="shared" si="23"/>
        <v>15</v>
      </c>
      <c r="H171" s="65">
        <f t="shared" si="23"/>
        <v>15</v>
      </c>
      <c r="I171" s="65">
        <f t="shared" si="23"/>
        <v>13</v>
      </c>
      <c r="J171" s="65">
        <f t="shared" si="23"/>
        <v>15</v>
      </c>
      <c r="K171" s="65">
        <f t="shared" si="23"/>
        <v>12</v>
      </c>
      <c r="L171" s="65">
        <f t="shared" si="23"/>
        <v>14</v>
      </c>
      <c r="O171" s="89"/>
    </row>
    <row r="172" spans="3:15" ht="14.1" customHeight="1">
      <c r="C172" s="538" t="s">
        <v>277</v>
      </c>
      <c r="D172" s="538" t="s">
        <v>277</v>
      </c>
      <c r="E172" s="615"/>
      <c r="F172" s="65">
        <f t="shared" ref="F172:L172" si="24">COUNTIF(F7:F167,"*SWP*")</f>
        <v>1</v>
      </c>
      <c r="G172" s="65">
        <f t="shared" si="24"/>
        <v>1</v>
      </c>
      <c r="H172" s="65">
        <f t="shared" si="24"/>
        <v>1</v>
      </c>
      <c r="I172" s="65">
        <f t="shared" si="24"/>
        <v>1</v>
      </c>
      <c r="J172" s="65">
        <f t="shared" si="24"/>
        <v>1</v>
      </c>
      <c r="K172" s="65">
        <f t="shared" si="24"/>
        <v>0</v>
      </c>
      <c r="L172" s="65">
        <f t="shared" si="24"/>
        <v>1</v>
      </c>
      <c r="O172" s="89"/>
    </row>
    <row r="173" spans="3:15" ht="14.1" customHeight="1" thickBot="1">
      <c r="C173" s="845" t="s">
        <v>278</v>
      </c>
      <c r="D173" s="845" t="s">
        <v>278</v>
      </c>
      <c r="E173" s="615"/>
      <c r="F173" s="65">
        <f t="shared" ref="F173:L173" si="25">COUNTIF(F6:F167,"2300-*")</f>
        <v>8</v>
      </c>
      <c r="G173" s="65">
        <f t="shared" si="25"/>
        <v>9</v>
      </c>
      <c r="H173" s="65">
        <f t="shared" si="25"/>
        <v>9</v>
      </c>
      <c r="I173" s="65">
        <f t="shared" si="25"/>
        <v>7</v>
      </c>
      <c r="J173" s="65">
        <f t="shared" si="25"/>
        <v>8</v>
      </c>
      <c r="K173" s="65">
        <f t="shared" si="25"/>
        <v>8</v>
      </c>
      <c r="L173" s="65">
        <f t="shared" si="25"/>
        <v>8</v>
      </c>
      <c r="O173" s="89"/>
    </row>
    <row r="174" spans="3:15" ht="14.1" customHeight="1">
      <c r="C174" s="84"/>
      <c r="D174" s="556"/>
      <c r="E174" s="615"/>
      <c r="F174" s="65"/>
      <c r="G174" s="565"/>
      <c r="H174" s="565"/>
      <c r="I174" s="565"/>
      <c r="J174" s="565"/>
      <c r="K174" s="565"/>
      <c r="L174" s="565"/>
      <c r="O174" s="89"/>
    </row>
    <row r="175" spans="3:15" ht="14.1" customHeight="1">
      <c r="C175" s="50"/>
      <c r="D175" s="556" t="s">
        <v>489</v>
      </c>
      <c r="E175" s="615"/>
      <c r="G175" s="566"/>
      <c r="H175" s="566"/>
      <c r="I175" s="566"/>
      <c r="J175" s="566"/>
      <c r="K175" s="566"/>
      <c r="L175" s="566"/>
      <c r="O175" s="89"/>
    </row>
    <row r="176" spans="3:15" ht="14.1" customHeight="1">
      <c r="C176" s="50"/>
      <c r="D176" s="139" t="s">
        <v>157</v>
      </c>
      <c r="E176" s="615"/>
      <c r="F176" s="857"/>
      <c r="G176" s="857"/>
      <c r="H176" s="858"/>
      <c r="I176" s="857"/>
      <c r="J176" s="857"/>
      <c r="K176" s="857"/>
      <c r="L176" s="857"/>
      <c r="O176" s="89"/>
    </row>
    <row r="177" spans="3:15" ht="14.1" customHeight="1">
      <c r="C177" s="50"/>
      <c r="D177" s="182" t="s">
        <v>159</v>
      </c>
      <c r="E177" s="615">
        <v>628440</v>
      </c>
      <c r="F177" s="857"/>
      <c r="G177" s="857"/>
      <c r="H177" s="859" t="s">
        <v>279</v>
      </c>
      <c r="I177" s="857"/>
      <c r="J177" s="857"/>
      <c r="K177" s="857"/>
      <c r="L177" s="857"/>
      <c r="O177" s="89"/>
    </row>
    <row r="178" spans="3:15" ht="14.1" customHeight="1">
      <c r="C178" s="50"/>
      <c r="D178" s="183" t="s">
        <v>164</v>
      </c>
      <c r="E178" s="615">
        <v>653976</v>
      </c>
      <c r="F178" s="857"/>
      <c r="G178" s="857"/>
      <c r="H178" s="859" t="s">
        <v>279</v>
      </c>
      <c r="I178" s="857"/>
      <c r="J178" s="857"/>
      <c r="K178" s="857"/>
      <c r="L178" s="857"/>
      <c r="O178" s="89"/>
    </row>
    <row r="179" spans="3:15" ht="14.1" customHeight="1">
      <c r="C179" s="50"/>
      <c r="D179" s="184" t="s">
        <v>166</v>
      </c>
      <c r="E179" s="615">
        <v>654362</v>
      </c>
      <c r="F179" s="857"/>
      <c r="G179" s="857"/>
      <c r="H179" s="859" t="s">
        <v>279</v>
      </c>
      <c r="I179" s="857"/>
      <c r="J179" s="857"/>
      <c r="K179" s="857"/>
      <c r="L179" s="857"/>
      <c r="O179" s="89"/>
    </row>
    <row r="180" spans="3:15" ht="14.1" customHeight="1">
      <c r="C180" s="50"/>
      <c r="D180" s="184" t="s">
        <v>168</v>
      </c>
      <c r="E180" s="615">
        <v>615829</v>
      </c>
      <c r="F180" s="857"/>
      <c r="G180" s="857"/>
      <c r="H180" s="859" t="s">
        <v>280</v>
      </c>
      <c r="I180" s="857"/>
      <c r="J180" s="857"/>
      <c r="K180" s="857"/>
      <c r="L180" s="857"/>
      <c r="O180" s="89"/>
    </row>
    <row r="181" spans="3:15" ht="14.1" customHeight="1">
      <c r="C181" s="50"/>
      <c r="D181" s="850" t="s">
        <v>170</v>
      </c>
      <c r="E181" s="615">
        <v>619567</v>
      </c>
      <c r="F181" s="857"/>
      <c r="G181" s="857"/>
      <c r="H181" s="859" t="s">
        <v>280</v>
      </c>
      <c r="I181" s="857"/>
      <c r="J181" s="857"/>
      <c r="K181" s="857"/>
      <c r="L181" s="857"/>
      <c r="O181" s="89"/>
    </row>
    <row r="182" spans="3:15" ht="14.1" customHeight="1">
      <c r="C182" s="50"/>
      <c r="D182" s="183" t="s">
        <v>171</v>
      </c>
      <c r="E182" s="615">
        <v>626157</v>
      </c>
      <c r="F182" s="857"/>
      <c r="G182" s="857"/>
      <c r="H182" s="859" t="s">
        <v>281</v>
      </c>
      <c r="I182" s="857"/>
      <c r="J182" s="857"/>
      <c r="K182" s="857"/>
      <c r="L182" s="857"/>
      <c r="O182" s="89"/>
    </row>
    <row r="183" spans="3:15" ht="14.1" customHeight="1">
      <c r="C183" s="50"/>
      <c r="D183" s="185" t="s">
        <v>173</v>
      </c>
      <c r="E183" s="615">
        <v>645122</v>
      </c>
      <c r="F183" s="857"/>
      <c r="G183" s="857"/>
      <c r="H183" s="859" t="s">
        <v>281</v>
      </c>
      <c r="I183" s="857"/>
      <c r="J183" s="857"/>
      <c r="K183" s="857"/>
      <c r="L183" s="857"/>
      <c r="O183" s="89"/>
    </row>
    <row r="184" spans="3:15" ht="14.1" customHeight="1">
      <c r="C184" s="50"/>
      <c r="D184" s="182" t="s">
        <v>174</v>
      </c>
      <c r="E184" s="615">
        <v>615820</v>
      </c>
      <c r="F184" s="857"/>
      <c r="G184" s="857"/>
      <c r="H184" s="859" t="s">
        <v>282</v>
      </c>
      <c r="I184" s="857"/>
      <c r="J184" s="857"/>
      <c r="K184" s="857"/>
      <c r="L184" s="857"/>
      <c r="O184" s="89"/>
    </row>
    <row r="185" spans="3:15" ht="14.1" customHeight="1" thickBot="1">
      <c r="C185" s="50"/>
      <c r="D185" s="197" t="s">
        <v>175</v>
      </c>
      <c r="E185" s="615">
        <v>624174</v>
      </c>
      <c r="F185" s="857"/>
      <c r="G185" s="857"/>
      <c r="H185" s="860" t="s">
        <v>283</v>
      </c>
      <c r="I185" s="857"/>
      <c r="J185" s="857"/>
      <c r="K185" s="857"/>
      <c r="L185" s="857"/>
      <c r="O185" s="89"/>
    </row>
    <row r="186" spans="3:15" ht="14.1" customHeight="1">
      <c r="C186" s="50"/>
      <c r="D186" s="70" t="s">
        <v>176</v>
      </c>
      <c r="E186" s="625"/>
      <c r="F186" s="857"/>
      <c r="G186" s="857"/>
      <c r="H186" s="858"/>
      <c r="I186" s="857"/>
      <c r="J186" s="857"/>
      <c r="K186" s="857"/>
      <c r="L186" s="857"/>
      <c r="O186" s="89"/>
    </row>
    <row r="187" spans="3:15" ht="14.1" customHeight="1">
      <c r="C187" s="50"/>
      <c r="D187" s="546" t="s">
        <v>177</v>
      </c>
      <c r="E187" s="615">
        <v>637990</v>
      </c>
      <c r="F187" s="857"/>
      <c r="G187" s="857"/>
      <c r="H187" s="859" t="s">
        <v>279</v>
      </c>
      <c r="I187" s="857"/>
      <c r="J187" s="857"/>
      <c r="K187" s="857"/>
      <c r="L187" s="857"/>
      <c r="O187" s="89"/>
    </row>
    <row r="188" spans="3:15" ht="14.1" customHeight="1">
      <c r="C188" s="50"/>
      <c r="D188" s="184" t="s">
        <v>179</v>
      </c>
      <c r="E188" s="615">
        <v>652867</v>
      </c>
      <c r="F188" s="857"/>
      <c r="G188" s="857"/>
      <c r="H188" s="859" t="s">
        <v>279</v>
      </c>
      <c r="I188" s="857"/>
      <c r="J188" s="857"/>
      <c r="K188" s="857"/>
      <c r="L188" s="857"/>
      <c r="O188" s="89"/>
    </row>
    <row r="189" spans="3:15" ht="14.1" customHeight="1">
      <c r="C189" s="50"/>
      <c r="D189" s="547" t="s">
        <v>180</v>
      </c>
      <c r="E189" s="615">
        <v>638831</v>
      </c>
      <c r="F189" s="857"/>
      <c r="G189" s="857"/>
      <c r="H189" s="859" t="s">
        <v>279</v>
      </c>
      <c r="I189" s="857"/>
      <c r="J189" s="857"/>
      <c r="K189" s="857"/>
      <c r="L189" s="857"/>
      <c r="O189" s="89"/>
    </row>
    <row r="190" spans="3:15" ht="14.1" customHeight="1">
      <c r="C190" s="50"/>
      <c r="D190" s="548" t="s">
        <v>182</v>
      </c>
      <c r="E190" s="615">
        <v>631314</v>
      </c>
      <c r="F190" s="857"/>
      <c r="G190" s="857"/>
      <c r="H190" s="859" t="s">
        <v>281</v>
      </c>
      <c r="I190" s="857"/>
      <c r="J190" s="857"/>
      <c r="K190" s="857"/>
      <c r="L190" s="857"/>
      <c r="O190" s="89"/>
    </row>
    <row r="191" spans="3:15" ht="14.1" customHeight="1">
      <c r="C191" s="50"/>
      <c r="D191" s="548" t="s">
        <v>185</v>
      </c>
      <c r="E191" s="615">
        <v>631732</v>
      </c>
      <c r="F191" s="857"/>
      <c r="G191" s="857"/>
      <c r="H191" s="859" t="s">
        <v>281</v>
      </c>
      <c r="I191" s="857"/>
      <c r="J191" s="857"/>
      <c r="K191" s="857"/>
      <c r="L191" s="857"/>
      <c r="O191" s="89"/>
    </row>
    <row r="192" spans="3:15" ht="14.1" customHeight="1">
      <c r="C192" s="50"/>
      <c r="D192" s="549" t="s">
        <v>186</v>
      </c>
      <c r="E192" s="615">
        <v>634876</v>
      </c>
      <c r="F192" s="857"/>
      <c r="G192" s="857"/>
      <c r="H192" s="859" t="s">
        <v>281</v>
      </c>
      <c r="I192" s="857"/>
      <c r="J192" s="857"/>
      <c r="K192" s="857"/>
      <c r="L192" s="857"/>
      <c r="O192" s="89"/>
    </row>
    <row r="193" spans="3:15" ht="14.1" customHeight="1">
      <c r="C193" s="50"/>
      <c r="D193" s="846" t="s">
        <v>189</v>
      </c>
      <c r="E193" s="615"/>
      <c r="F193" s="857"/>
      <c r="G193" s="857"/>
      <c r="H193" s="858"/>
      <c r="I193" s="857"/>
      <c r="J193" s="857"/>
      <c r="K193" s="857"/>
      <c r="L193" s="857"/>
      <c r="O193" s="89"/>
    </row>
    <row r="194" spans="3:15" ht="14.1" customHeight="1">
      <c r="C194" s="50"/>
      <c r="D194" s="188" t="s">
        <v>190</v>
      </c>
      <c r="E194" s="615">
        <v>648620</v>
      </c>
      <c r="F194" s="857"/>
      <c r="G194" s="857"/>
      <c r="H194" s="859" t="s">
        <v>279</v>
      </c>
      <c r="I194" s="857"/>
      <c r="J194" s="857"/>
      <c r="K194" s="857"/>
      <c r="L194" s="857"/>
      <c r="O194" s="89"/>
    </row>
    <row r="195" spans="3:15" ht="14.1" customHeight="1">
      <c r="C195" s="50"/>
      <c r="D195" s="189" t="s">
        <v>193</v>
      </c>
      <c r="E195" s="615">
        <v>652357</v>
      </c>
      <c r="F195" s="857"/>
      <c r="G195" s="857"/>
      <c r="H195" s="859" t="s">
        <v>279</v>
      </c>
      <c r="I195" s="857"/>
      <c r="J195" s="857"/>
      <c r="K195" s="857"/>
      <c r="L195" s="857"/>
      <c r="O195" s="89"/>
    </row>
    <row r="196" spans="3:15" ht="14.1" customHeight="1">
      <c r="C196" s="50"/>
      <c r="D196" s="551" t="s">
        <v>196</v>
      </c>
      <c r="E196" s="631">
        <v>703714</v>
      </c>
      <c r="F196" s="857"/>
      <c r="G196" s="857"/>
      <c r="H196" s="859" t="s">
        <v>279</v>
      </c>
      <c r="I196" s="857"/>
      <c r="J196" s="857"/>
      <c r="K196" s="857"/>
      <c r="L196" s="857"/>
      <c r="O196" s="89"/>
    </row>
    <row r="197" spans="3:15" ht="14.1" customHeight="1">
      <c r="C197" s="50"/>
      <c r="D197" s="189" t="s">
        <v>198</v>
      </c>
      <c r="E197" s="615">
        <v>655089</v>
      </c>
      <c r="F197" s="857"/>
      <c r="G197" s="857"/>
      <c r="H197" s="859" t="s">
        <v>279</v>
      </c>
      <c r="I197" s="857"/>
      <c r="J197" s="857"/>
      <c r="K197" s="857"/>
      <c r="L197" s="857"/>
      <c r="O197" s="89"/>
    </row>
    <row r="198" spans="3:15" ht="14.1" customHeight="1">
      <c r="C198" s="50"/>
      <c r="D198" s="190" t="s">
        <v>199</v>
      </c>
      <c r="E198" s="615">
        <v>649364</v>
      </c>
      <c r="F198" s="857"/>
      <c r="G198" s="857"/>
      <c r="H198" s="859" t="s">
        <v>280</v>
      </c>
      <c r="I198" s="857"/>
      <c r="J198" s="857"/>
      <c r="K198" s="857"/>
      <c r="L198" s="857"/>
      <c r="O198" s="89"/>
    </row>
    <row r="199" spans="3:15" ht="14.1" customHeight="1">
      <c r="C199" s="50"/>
      <c r="D199" s="191" t="s">
        <v>200</v>
      </c>
      <c r="E199" s="615">
        <v>700872</v>
      </c>
      <c r="F199" s="857"/>
      <c r="G199" s="857"/>
      <c r="H199" s="859" t="s">
        <v>279</v>
      </c>
      <c r="I199" s="857"/>
      <c r="J199" s="857"/>
      <c r="K199" s="857"/>
      <c r="L199" s="857"/>
      <c r="O199" s="89"/>
    </row>
    <row r="200" spans="3:15" ht="14.1" customHeight="1">
      <c r="C200" s="50"/>
      <c r="D200" s="552" t="s">
        <v>202</v>
      </c>
      <c r="E200" s="631">
        <v>703861</v>
      </c>
      <c r="F200" s="857"/>
      <c r="G200" s="857"/>
      <c r="H200" s="859" t="s">
        <v>279</v>
      </c>
      <c r="I200" s="857"/>
      <c r="J200" s="857"/>
      <c r="K200" s="857"/>
      <c r="L200" s="857"/>
      <c r="O200" s="89"/>
    </row>
    <row r="201" spans="3:15" ht="14.1" customHeight="1">
      <c r="C201" s="50"/>
      <c r="D201" s="192" t="s">
        <v>204</v>
      </c>
      <c r="E201" s="615">
        <v>652868</v>
      </c>
      <c r="F201" s="857"/>
      <c r="G201" s="857"/>
      <c r="H201" s="859" t="s">
        <v>280</v>
      </c>
      <c r="I201" s="857"/>
      <c r="J201" s="857"/>
      <c r="K201" s="857"/>
      <c r="L201" s="857"/>
      <c r="O201" s="89"/>
    </row>
    <row r="202" spans="3:15" ht="14.1" customHeight="1">
      <c r="C202" s="50"/>
      <c r="D202" s="189" t="s">
        <v>205</v>
      </c>
      <c r="E202" s="615">
        <v>652998</v>
      </c>
      <c r="F202" s="857"/>
      <c r="G202" s="857"/>
      <c r="H202" s="859" t="s">
        <v>280</v>
      </c>
      <c r="I202" s="857"/>
      <c r="J202" s="857"/>
      <c r="K202" s="857"/>
      <c r="L202" s="857"/>
      <c r="O202" s="89"/>
    </row>
    <row r="203" spans="3:15" ht="14.1" customHeight="1">
      <c r="C203" s="50"/>
      <c r="D203" s="193" t="s">
        <v>206</v>
      </c>
      <c r="E203" s="631">
        <v>654959</v>
      </c>
      <c r="F203" s="857"/>
      <c r="G203" s="857"/>
      <c r="H203" s="859" t="s">
        <v>279</v>
      </c>
      <c r="I203" s="857"/>
      <c r="J203" s="857"/>
      <c r="K203" s="857"/>
      <c r="L203" s="857"/>
      <c r="O203" s="89"/>
    </row>
    <row r="204" spans="3:15" ht="14.1" customHeight="1">
      <c r="C204" s="50"/>
      <c r="D204" s="551" t="s">
        <v>207</v>
      </c>
      <c r="E204" s="615">
        <v>654981</v>
      </c>
      <c r="F204" s="857"/>
      <c r="G204" s="857"/>
      <c r="H204" s="859" t="s">
        <v>280</v>
      </c>
      <c r="I204" s="857"/>
      <c r="J204" s="857"/>
      <c r="K204" s="857"/>
      <c r="L204" s="857"/>
      <c r="O204" s="89"/>
    </row>
    <row r="205" spans="3:15" ht="14.1" customHeight="1">
      <c r="C205" s="50"/>
      <c r="D205" s="553" t="s">
        <v>208</v>
      </c>
      <c r="E205" s="615">
        <v>703795</v>
      </c>
      <c r="F205" s="857"/>
      <c r="G205" s="857"/>
      <c r="H205" s="859" t="s">
        <v>280</v>
      </c>
      <c r="I205" s="857"/>
      <c r="J205" s="857"/>
      <c r="K205" s="857"/>
      <c r="L205" s="857"/>
      <c r="O205" s="89"/>
    </row>
    <row r="206" spans="3:15" ht="14.1" customHeight="1">
      <c r="C206" s="50"/>
      <c r="D206" s="551" t="s">
        <v>209</v>
      </c>
      <c r="E206" s="615">
        <v>652364</v>
      </c>
      <c r="F206" s="857"/>
      <c r="G206" s="857"/>
      <c r="H206" s="859" t="s">
        <v>280</v>
      </c>
      <c r="I206" s="857"/>
      <c r="J206" s="857"/>
      <c r="K206" s="857"/>
      <c r="L206" s="857"/>
      <c r="O206" s="89"/>
    </row>
    <row r="207" spans="3:15" ht="14.1" customHeight="1">
      <c r="C207" s="50"/>
      <c r="D207" s="551" t="s">
        <v>210</v>
      </c>
      <c r="E207" s="615">
        <v>644433</v>
      </c>
      <c r="F207" s="857"/>
      <c r="G207" s="857"/>
      <c r="H207" s="859" t="s">
        <v>281</v>
      </c>
      <c r="I207" s="857"/>
      <c r="J207" s="857"/>
      <c r="K207" s="857"/>
      <c r="L207" s="857"/>
      <c r="O207" s="89"/>
    </row>
    <row r="208" spans="3:15" ht="14.1" customHeight="1">
      <c r="C208" s="50"/>
      <c r="D208" s="551" t="s">
        <v>211</v>
      </c>
      <c r="E208" s="615">
        <v>650602</v>
      </c>
      <c r="F208" s="857"/>
      <c r="G208" s="857"/>
      <c r="H208" s="859" t="s">
        <v>281</v>
      </c>
      <c r="I208" s="857"/>
      <c r="J208" s="857"/>
      <c r="K208" s="857"/>
      <c r="L208" s="857"/>
      <c r="O208" s="89"/>
    </row>
    <row r="209" spans="3:15" ht="14.1" customHeight="1">
      <c r="C209" s="50"/>
      <c r="D209" s="552" t="s">
        <v>212</v>
      </c>
      <c r="E209" s="631">
        <v>704893</v>
      </c>
      <c r="F209" s="857"/>
      <c r="G209" s="857"/>
      <c r="H209" s="859" t="s">
        <v>279</v>
      </c>
      <c r="I209" s="857"/>
      <c r="J209" s="857"/>
      <c r="K209" s="857"/>
      <c r="L209" s="857"/>
      <c r="O209" s="89"/>
    </row>
    <row r="210" spans="3:15" ht="14.1" customHeight="1">
      <c r="C210" s="50"/>
      <c r="D210" s="194" t="s">
        <v>214</v>
      </c>
      <c r="E210" s="615">
        <v>636733</v>
      </c>
      <c r="F210" s="857"/>
      <c r="G210" s="857"/>
      <c r="H210" s="859" t="s">
        <v>280</v>
      </c>
      <c r="I210" s="857"/>
      <c r="J210" s="857"/>
      <c r="K210" s="857"/>
      <c r="L210" s="857"/>
      <c r="O210" s="89"/>
    </row>
    <row r="211" spans="3:15" ht="14.1" customHeight="1">
      <c r="C211" s="50"/>
      <c r="D211" s="192" t="s">
        <v>216</v>
      </c>
      <c r="E211" s="200">
        <v>637770</v>
      </c>
      <c r="F211" s="857"/>
      <c r="G211" s="857"/>
      <c r="H211" s="859" t="s">
        <v>279</v>
      </c>
      <c r="I211" s="857"/>
      <c r="J211" s="857"/>
      <c r="K211" s="857"/>
      <c r="L211" s="857"/>
      <c r="O211" s="89"/>
    </row>
    <row r="212" spans="3:15" ht="14.1" customHeight="1">
      <c r="C212" s="50"/>
      <c r="D212" s="56"/>
      <c r="E212" s="280"/>
      <c r="G212" s="566"/>
      <c r="H212" s="566"/>
      <c r="I212" s="566"/>
      <c r="J212" s="566"/>
      <c r="K212" s="566"/>
      <c r="L212" s="566"/>
      <c r="O212" s="89"/>
    </row>
    <row r="213" spans="3:15" ht="14.1" customHeight="1">
      <c r="C213" s="564"/>
      <c r="D213" s="564"/>
      <c r="E213" s="280"/>
      <c r="G213" s="566"/>
      <c r="H213" s="566"/>
      <c r="I213" s="566"/>
      <c r="J213" s="566"/>
      <c r="K213" s="566"/>
      <c r="L213" s="566"/>
      <c r="O213" s="89"/>
    </row>
    <row r="214" spans="3:15" ht="14.1" customHeight="1">
      <c r="C214" s="564"/>
      <c r="D214" s="564"/>
      <c r="E214" s="280"/>
      <c r="G214" s="566"/>
      <c r="H214" s="566"/>
      <c r="I214" s="566"/>
      <c r="J214" s="566"/>
      <c r="K214" s="566"/>
      <c r="L214" s="566"/>
      <c r="O214" s="89"/>
    </row>
    <row r="215" spans="3:15" ht="14.1" customHeight="1">
      <c r="D215" s="56"/>
      <c r="E215" s="280"/>
      <c r="G215" s="566"/>
      <c r="H215" s="566"/>
      <c r="I215" s="566"/>
      <c r="J215" s="566"/>
      <c r="K215" s="566"/>
      <c r="L215" s="566"/>
      <c r="O215" s="89"/>
    </row>
    <row r="216" spans="3:15" ht="14.1" customHeight="1">
      <c r="C216" s="564"/>
      <c r="D216" s="564"/>
      <c r="E216" s="280"/>
      <c r="G216" s="566"/>
      <c r="H216" s="566"/>
      <c r="I216" s="566"/>
      <c r="J216" s="566"/>
      <c r="K216" s="566"/>
      <c r="L216" s="566"/>
      <c r="O216" s="89"/>
    </row>
    <row r="217" spans="3:15" ht="14.1" customHeight="1">
      <c r="C217" s="564"/>
      <c r="D217" s="564"/>
      <c r="E217" s="280"/>
      <c r="G217" s="566"/>
      <c r="H217" s="566"/>
      <c r="I217" s="566"/>
      <c r="J217" s="566"/>
      <c r="K217" s="566"/>
      <c r="L217" s="566"/>
      <c r="O217" s="89"/>
    </row>
    <row r="218" spans="3:15" ht="14.1" customHeight="1">
      <c r="D218" s="56"/>
      <c r="E218" s="280"/>
      <c r="G218" s="566"/>
      <c r="H218" s="566"/>
      <c r="I218" s="566"/>
      <c r="J218" s="566"/>
      <c r="K218" s="566"/>
      <c r="L218" s="566"/>
      <c r="O218" s="89"/>
    </row>
    <row r="219" spans="3:15" ht="14.1" customHeight="1">
      <c r="C219" s="564"/>
      <c r="D219" s="564"/>
      <c r="E219" s="280"/>
      <c r="G219" s="566"/>
      <c r="H219" s="566"/>
      <c r="I219" s="566"/>
      <c r="J219" s="566"/>
      <c r="K219" s="566"/>
      <c r="L219" s="566"/>
      <c r="O219" s="89"/>
    </row>
    <row r="220" spans="3:15" ht="14.1" customHeight="1">
      <c r="C220" s="564"/>
      <c r="D220" s="564"/>
      <c r="E220" s="280"/>
      <c r="G220" s="566"/>
      <c r="H220" s="566"/>
      <c r="I220" s="566"/>
      <c r="J220" s="566"/>
      <c r="K220" s="566"/>
      <c r="L220" s="566"/>
      <c r="O220" s="89"/>
    </row>
    <row r="221" spans="3:15" ht="14.1" customHeight="1">
      <c r="D221" s="56"/>
      <c r="E221" s="280"/>
      <c r="G221" s="566"/>
      <c r="H221" s="566"/>
      <c r="I221" s="566"/>
      <c r="J221" s="566"/>
      <c r="K221" s="566"/>
      <c r="L221" s="566"/>
      <c r="O221" s="89"/>
    </row>
    <row r="222" spans="3:15" ht="14.1" customHeight="1">
      <c r="C222" s="564"/>
      <c r="D222" s="564"/>
      <c r="E222" s="280"/>
      <c r="G222" s="566"/>
      <c r="H222" s="566"/>
      <c r="I222" s="566"/>
      <c r="J222" s="566"/>
      <c r="K222" s="566"/>
      <c r="L222" s="566"/>
      <c r="O222" s="89"/>
    </row>
    <row r="223" spans="3:15" ht="14.1" customHeight="1">
      <c r="C223" s="564"/>
      <c r="D223" s="564"/>
      <c r="E223" s="280"/>
      <c r="F223" s="65"/>
      <c r="G223" s="65"/>
      <c r="H223" s="65"/>
      <c r="I223" s="65"/>
      <c r="J223" s="65"/>
      <c r="K223" s="65"/>
      <c r="L223" s="65"/>
      <c r="O223" s="89"/>
    </row>
    <row r="224" spans="3:15" ht="14.1" customHeight="1">
      <c r="D224" s="56"/>
      <c r="E224" s="280"/>
      <c r="F224" s="65"/>
      <c r="G224" s="65"/>
      <c r="H224" s="65"/>
      <c r="I224" s="65"/>
      <c r="J224" s="65"/>
      <c r="K224" s="65"/>
      <c r="L224" s="65"/>
      <c r="O224" s="89"/>
    </row>
    <row r="225" spans="3:15" ht="14.1" customHeight="1">
      <c r="C225" s="564"/>
      <c r="D225" s="564"/>
      <c r="E225" s="280"/>
      <c r="F225" s="65"/>
      <c r="G225" s="65"/>
      <c r="H225" s="65"/>
      <c r="I225" s="65"/>
      <c r="J225" s="65"/>
      <c r="K225" s="65"/>
      <c r="L225" s="65"/>
      <c r="O225" s="89"/>
    </row>
    <row r="226" spans="3:15" ht="14.1" customHeight="1">
      <c r="C226" s="564"/>
      <c r="D226" s="564"/>
      <c r="E226" s="280"/>
      <c r="F226" s="65"/>
      <c r="G226" s="65"/>
      <c r="H226" s="65"/>
      <c r="I226" s="65"/>
      <c r="J226" s="65"/>
      <c r="K226" s="65"/>
      <c r="L226" s="65"/>
      <c r="O226" s="89"/>
    </row>
    <row r="227" spans="3:15" ht="14.1" customHeight="1">
      <c r="D227" s="56"/>
      <c r="E227" s="280"/>
      <c r="F227" s="65"/>
      <c r="G227" s="65"/>
      <c r="H227" s="65"/>
      <c r="I227" s="65"/>
      <c r="J227" s="65"/>
      <c r="K227" s="65"/>
      <c r="L227" s="65"/>
      <c r="O227" s="89"/>
    </row>
    <row r="228" spans="3:15" ht="14.1" customHeight="1">
      <c r="C228" s="564"/>
      <c r="D228" s="564"/>
      <c r="E228" s="280"/>
      <c r="F228" s="65"/>
      <c r="G228" s="565"/>
      <c r="H228" s="565"/>
      <c r="I228" s="565"/>
      <c r="J228" s="565"/>
      <c r="K228" s="565"/>
      <c r="L228" s="565"/>
      <c r="O228" s="89"/>
    </row>
    <row r="229" spans="3:15" ht="14.1" customHeight="1">
      <c r="C229" s="564"/>
      <c r="D229" s="564"/>
      <c r="E229" s="280"/>
      <c r="G229" s="66"/>
      <c r="H229" s="66"/>
      <c r="I229" s="66"/>
      <c r="J229" s="66"/>
      <c r="K229" s="566"/>
      <c r="L229" s="566"/>
      <c r="O229" s="89"/>
    </row>
    <row r="230" spans="3:15" ht="14.1" customHeight="1">
      <c r="D230" s="56"/>
      <c r="E230" s="280"/>
      <c r="G230" s="66"/>
      <c r="H230" s="66"/>
      <c r="I230" s="66"/>
      <c r="J230" s="66"/>
      <c r="K230" s="66"/>
      <c r="L230" s="66"/>
      <c r="O230" s="89"/>
    </row>
    <row r="231" spans="3:15" ht="14.1" customHeight="1">
      <c r="C231" s="564"/>
      <c r="D231" s="564"/>
      <c r="E231" s="280"/>
      <c r="G231" s="66"/>
      <c r="H231" s="66"/>
      <c r="I231" s="66"/>
      <c r="J231" s="66"/>
      <c r="K231" s="66"/>
      <c r="L231" s="66"/>
      <c r="O231" s="89"/>
    </row>
    <row r="232" spans="3:15" ht="14.1" customHeight="1">
      <c r="C232" s="564"/>
      <c r="D232" s="564"/>
      <c r="E232" s="280"/>
      <c r="G232" s="66"/>
      <c r="H232" s="66"/>
      <c r="I232" s="66"/>
      <c r="J232" s="66"/>
      <c r="K232" s="66"/>
      <c r="L232" s="66"/>
      <c r="O232" s="89"/>
    </row>
    <row r="233" spans="3:15" ht="14.1" customHeight="1">
      <c r="D233" s="56"/>
      <c r="E233" s="280"/>
      <c r="G233" s="66"/>
      <c r="H233" s="66"/>
      <c r="I233" s="66"/>
      <c r="J233" s="66"/>
      <c r="K233" s="66"/>
      <c r="L233" s="66"/>
      <c r="O233" s="89"/>
    </row>
    <row r="234" spans="3:15" ht="14.1" customHeight="1">
      <c r="C234" s="564"/>
      <c r="D234" s="564"/>
      <c r="E234" s="280"/>
      <c r="G234" s="66"/>
      <c r="H234" s="66"/>
      <c r="I234" s="66"/>
      <c r="J234" s="66"/>
      <c r="K234" s="66"/>
      <c r="L234" s="66"/>
      <c r="O234" s="567"/>
    </row>
    <row r="235" spans="3:15" ht="14.1" customHeight="1">
      <c r="C235" s="564"/>
      <c r="D235" s="564"/>
      <c r="E235" s="280"/>
      <c r="G235" s="66"/>
      <c r="H235" s="66"/>
      <c r="I235" s="66"/>
      <c r="J235" s="66"/>
      <c r="K235" s="66"/>
      <c r="L235" s="66"/>
      <c r="O235" s="567"/>
    </row>
    <row r="236" spans="3:15" ht="14.1" customHeight="1">
      <c r="D236" s="56"/>
      <c r="E236" s="280"/>
      <c r="G236" s="66"/>
      <c r="H236" s="66"/>
      <c r="I236" s="66"/>
      <c r="J236" s="66"/>
      <c r="K236" s="66"/>
      <c r="L236" s="66"/>
      <c r="O236" s="567"/>
    </row>
    <row r="237" spans="3:15" ht="14.1" customHeight="1">
      <c r="C237" s="564"/>
      <c r="D237" s="564"/>
      <c r="E237" s="280"/>
      <c r="G237" s="73"/>
      <c r="H237" s="66"/>
      <c r="I237" s="66"/>
      <c r="J237" s="66"/>
      <c r="K237" s="66"/>
      <c r="L237" s="66"/>
      <c r="O237" s="567"/>
    </row>
    <row r="238" spans="3:15" ht="14.1" customHeight="1">
      <c r="C238" s="564"/>
      <c r="D238" s="564"/>
      <c r="E238" s="280"/>
      <c r="G238" s="66"/>
      <c r="H238" s="66"/>
      <c r="I238" s="66"/>
      <c r="J238" s="66"/>
      <c r="K238" s="66"/>
      <c r="L238" s="66"/>
      <c r="O238" s="567"/>
    </row>
    <row r="239" spans="3:15" ht="14.1" customHeight="1">
      <c r="D239" s="56"/>
      <c r="E239" s="280"/>
      <c r="G239" s="66"/>
      <c r="H239" s="66"/>
      <c r="I239" s="66"/>
      <c r="J239" s="66"/>
      <c r="K239" s="66"/>
      <c r="L239" s="66"/>
      <c r="O239" s="567"/>
    </row>
    <row r="240" spans="3:15" ht="14.1" customHeight="1">
      <c r="C240" s="564"/>
      <c r="D240" s="564"/>
      <c r="E240" s="280"/>
      <c r="G240" s="74"/>
      <c r="H240" s="66"/>
      <c r="I240" s="66"/>
      <c r="J240" s="66"/>
      <c r="K240" s="66"/>
      <c r="L240" s="66"/>
      <c r="O240" s="567"/>
    </row>
    <row r="241" spans="3:12" ht="14.1" customHeight="1">
      <c r="C241" s="564"/>
      <c r="D241" s="564"/>
      <c r="E241" s="280"/>
      <c r="G241" s="66"/>
      <c r="H241" s="66"/>
      <c r="I241" s="66"/>
      <c r="J241" s="66"/>
      <c r="K241" s="66"/>
      <c r="L241" s="66"/>
    </row>
    <row r="242" spans="3:12" ht="14.1" customHeight="1">
      <c r="D242" s="56"/>
      <c r="E242" s="280"/>
      <c r="G242" s="66"/>
      <c r="H242" s="66"/>
      <c r="I242" s="66"/>
      <c r="J242" s="66"/>
      <c r="K242" s="66"/>
      <c r="L242" s="66"/>
    </row>
    <row r="243" spans="3:12" ht="14.1" customHeight="1">
      <c r="C243" s="564"/>
      <c r="D243" s="564"/>
      <c r="E243" s="280"/>
      <c r="G243" s="566"/>
      <c r="H243" s="566"/>
      <c r="I243" s="566"/>
      <c r="J243" s="566"/>
      <c r="K243" s="566"/>
      <c r="L243" s="566"/>
    </row>
    <row r="244" spans="3:12" ht="14.1" customHeight="1">
      <c r="C244" s="564"/>
      <c r="D244" s="564"/>
      <c r="E244" s="280"/>
      <c r="G244" s="566"/>
      <c r="H244" s="566"/>
      <c r="I244" s="566"/>
      <c r="J244" s="566"/>
      <c r="K244" s="566"/>
      <c r="L244" s="566"/>
    </row>
    <row r="245" spans="3:12" ht="14.1" customHeight="1">
      <c r="D245" s="56"/>
      <c r="E245" s="280"/>
      <c r="G245" s="566"/>
      <c r="H245" s="566"/>
      <c r="I245" s="566"/>
      <c r="J245" s="566"/>
      <c r="K245" s="566"/>
      <c r="L245" s="566"/>
    </row>
    <row r="246" spans="3:12" ht="14.1" customHeight="1">
      <c r="C246" s="564"/>
      <c r="D246" s="564"/>
      <c r="E246" s="280"/>
      <c r="G246" s="566"/>
      <c r="H246" s="566"/>
      <c r="I246" s="566"/>
      <c r="J246" s="566"/>
      <c r="K246" s="566"/>
      <c r="L246" s="566"/>
    </row>
    <row r="247" spans="3:12" ht="14.1" customHeight="1">
      <c r="C247" s="564"/>
      <c r="D247" s="564"/>
      <c r="E247" s="280"/>
      <c r="G247" s="566"/>
      <c r="H247" s="566"/>
      <c r="I247" s="566"/>
      <c r="J247" s="566"/>
      <c r="K247" s="566"/>
      <c r="L247" s="566"/>
    </row>
    <row r="248" spans="3:12" ht="14.1" customHeight="1">
      <c r="D248" s="56"/>
      <c r="E248" s="280"/>
      <c r="G248" s="566"/>
      <c r="H248" s="566"/>
      <c r="I248" s="566"/>
      <c r="J248" s="566"/>
      <c r="K248" s="566"/>
      <c r="L248" s="566"/>
    </row>
    <row r="249" spans="3:12" ht="14.1" customHeight="1">
      <c r="C249" s="564"/>
      <c r="D249" s="564"/>
      <c r="E249" s="280"/>
      <c r="G249" s="566"/>
      <c r="H249" s="566"/>
      <c r="I249" s="566"/>
      <c r="J249" s="566"/>
      <c r="K249" s="566"/>
      <c r="L249" s="566"/>
    </row>
    <row r="250" spans="3:12" ht="14.1" customHeight="1">
      <c r="C250" s="564"/>
      <c r="D250" s="564"/>
      <c r="E250" s="280"/>
      <c r="G250" s="566"/>
      <c r="H250" s="566"/>
      <c r="I250" s="566"/>
      <c r="J250" s="566"/>
      <c r="K250" s="566"/>
      <c r="L250" s="566"/>
    </row>
    <row r="251" spans="3:12" ht="14.1" customHeight="1">
      <c r="D251" s="56"/>
      <c r="E251" s="280"/>
      <c r="F251" s="65"/>
      <c r="G251" s="565"/>
      <c r="H251" s="565"/>
      <c r="I251" s="565"/>
      <c r="J251" s="565"/>
      <c r="K251" s="565"/>
      <c r="L251" s="565"/>
    </row>
    <row r="252" spans="3:12" ht="14.1" customHeight="1">
      <c r="C252" s="564"/>
      <c r="D252" s="564"/>
      <c r="E252" s="280"/>
      <c r="F252" s="65"/>
      <c r="G252" s="565"/>
      <c r="H252" s="565"/>
      <c r="I252" s="565"/>
      <c r="J252" s="565"/>
      <c r="K252" s="565"/>
      <c r="L252" s="565"/>
    </row>
    <row r="253" spans="3:12" ht="14.1" customHeight="1">
      <c r="C253" s="564"/>
      <c r="D253" s="564"/>
      <c r="E253" s="280"/>
      <c r="F253" s="65"/>
      <c r="G253" s="565"/>
      <c r="H253" s="565"/>
      <c r="I253" s="565"/>
      <c r="J253" s="565"/>
      <c r="K253" s="565"/>
      <c r="L253" s="565"/>
    </row>
    <row r="254" spans="3:12" ht="14.1" customHeight="1">
      <c r="D254" s="56"/>
      <c r="E254" s="280"/>
      <c r="F254" s="65"/>
      <c r="G254" s="565"/>
      <c r="H254" s="565"/>
      <c r="I254" s="565"/>
      <c r="J254" s="565"/>
      <c r="K254" s="565"/>
      <c r="L254" s="565"/>
    </row>
    <row r="255" spans="3:12" ht="14.1" customHeight="1">
      <c r="C255" s="564"/>
      <c r="D255" s="564"/>
      <c r="E255" s="280"/>
      <c r="F255" s="65"/>
      <c r="G255" s="565"/>
      <c r="H255" s="565"/>
      <c r="I255" s="565"/>
      <c r="J255" s="565"/>
      <c r="K255" s="565"/>
      <c r="L255" s="565"/>
    </row>
    <row r="256" spans="3:12" ht="14.1" customHeight="1">
      <c r="D256" s="564"/>
      <c r="E256" s="280"/>
      <c r="F256" s="65"/>
      <c r="G256" s="565"/>
      <c r="H256" s="565"/>
      <c r="I256" s="565"/>
      <c r="J256" s="565"/>
      <c r="K256" s="565"/>
      <c r="L256" s="565"/>
    </row>
    <row r="257" spans="4:12" ht="14.1" customHeight="1">
      <c r="D257" s="56"/>
      <c r="E257" s="280"/>
      <c r="F257" s="65"/>
      <c r="G257" s="565"/>
      <c r="H257" s="565"/>
      <c r="I257" s="565"/>
      <c r="J257" s="565"/>
      <c r="K257" s="565"/>
      <c r="L257" s="565"/>
    </row>
    <row r="258" spans="4:12" ht="14.1" customHeight="1">
      <c r="D258" s="564"/>
      <c r="E258" s="280"/>
      <c r="F258" s="65"/>
      <c r="G258" s="565"/>
      <c r="H258" s="565"/>
      <c r="I258" s="565"/>
      <c r="J258" s="565"/>
      <c r="K258" s="565"/>
      <c r="L258" s="565"/>
    </row>
    <row r="259" spans="4:12" ht="14.1" customHeight="1">
      <c r="D259" s="564"/>
      <c r="E259" s="280"/>
      <c r="F259" s="65"/>
      <c r="G259" s="565"/>
      <c r="H259" s="565"/>
      <c r="I259" s="565"/>
      <c r="J259" s="565"/>
      <c r="K259" s="565"/>
      <c r="L259" s="565"/>
    </row>
    <row r="260" spans="4:12" ht="14.1" customHeight="1">
      <c r="D260" s="56"/>
      <c r="E260" s="280"/>
      <c r="F260" s="65"/>
      <c r="G260" s="565"/>
      <c r="H260" s="565"/>
      <c r="I260" s="565"/>
      <c r="J260" s="565"/>
      <c r="K260" s="565"/>
      <c r="L260" s="565"/>
    </row>
    <row r="261" spans="4:12" ht="14.1" customHeight="1">
      <c r="D261" s="564"/>
      <c r="E261" s="280"/>
      <c r="F261" s="65"/>
      <c r="G261" s="565"/>
      <c r="H261" s="565"/>
      <c r="I261" s="565"/>
      <c r="J261" s="565"/>
      <c r="K261" s="565"/>
      <c r="L261" s="565"/>
    </row>
    <row r="262" spans="4:12" ht="14.1" customHeight="1">
      <c r="D262" s="564"/>
      <c r="E262" s="280"/>
      <c r="F262" s="65"/>
      <c r="G262" s="565"/>
      <c r="H262" s="565"/>
      <c r="I262" s="565"/>
      <c r="J262" s="565"/>
      <c r="K262" s="565"/>
      <c r="L262" s="565"/>
    </row>
    <row r="263" spans="4:12" ht="14.1" customHeight="1">
      <c r="D263" s="56"/>
      <c r="E263" s="280"/>
      <c r="F263" s="65"/>
      <c r="G263" s="565"/>
      <c r="H263" s="565"/>
      <c r="I263" s="565"/>
      <c r="J263" s="565"/>
      <c r="K263" s="565"/>
      <c r="L263" s="565"/>
    </row>
    <row r="264" spans="4:12" ht="14.1" customHeight="1">
      <c r="D264" s="564"/>
      <c r="E264" s="280"/>
      <c r="F264" s="65"/>
      <c r="G264" s="565"/>
      <c r="H264" s="565"/>
      <c r="I264" s="565"/>
      <c r="J264" s="565"/>
      <c r="K264" s="565"/>
      <c r="L264" s="565"/>
    </row>
    <row r="265" spans="4:12" ht="14.1" customHeight="1">
      <c r="D265" s="556"/>
      <c r="E265" s="280"/>
      <c r="F265" s="65"/>
      <c r="G265" s="565"/>
      <c r="H265" s="565"/>
      <c r="I265" s="565"/>
      <c r="J265" s="565"/>
      <c r="K265" s="565"/>
      <c r="L265" s="565"/>
    </row>
    <row r="266" spans="4:12" ht="14.1" customHeight="1">
      <c r="D266" s="556"/>
      <c r="E266" s="280"/>
      <c r="F266" s="65"/>
      <c r="G266" s="565"/>
      <c r="H266" s="565"/>
      <c r="I266" s="565"/>
      <c r="J266" s="565"/>
      <c r="K266" s="565"/>
      <c r="L266" s="565"/>
    </row>
    <row r="267" spans="4:12" ht="14.1" customHeight="1">
      <c r="D267" s="556"/>
      <c r="E267" s="280"/>
      <c r="F267" s="65"/>
      <c r="G267" s="565"/>
      <c r="H267" s="565"/>
      <c r="I267" s="565"/>
      <c r="J267" s="565"/>
      <c r="K267" s="565"/>
      <c r="L267" s="565"/>
    </row>
    <row r="268" spans="4:12" ht="14.1" customHeight="1">
      <c r="D268" s="556"/>
      <c r="E268" s="280"/>
      <c r="F268" s="65"/>
      <c r="G268" s="565"/>
      <c r="H268" s="565"/>
      <c r="I268" s="565"/>
      <c r="J268" s="565"/>
      <c r="K268" s="565"/>
      <c r="L268" s="565"/>
    </row>
    <row r="269" spans="4:12" ht="14.1" customHeight="1">
      <c r="D269" s="556"/>
      <c r="E269" s="280"/>
      <c r="F269" s="65"/>
      <c r="G269" s="565"/>
      <c r="H269" s="565"/>
      <c r="I269" s="565"/>
      <c r="J269" s="565"/>
      <c r="K269" s="565"/>
      <c r="L269" s="565"/>
    </row>
    <row r="270" spans="4:12" ht="14.1" customHeight="1">
      <c r="D270" s="556"/>
      <c r="E270" s="280"/>
      <c r="F270" s="65"/>
      <c r="G270" s="565"/>
      <c r="H270" s="565"/>
      <c r="I270" s="565"/>
      <c r="J270" s="565"/>
      <c r="K270" s="565"/>
      <c r="L270" s="565"/>
    </row>
    <row r="271" spans="4:12" ht="14.1" customHeight="1">
      <c r="D271" s="556"/>
      <c r="E271" s="280"/>
      <c r="F271" s="65"/>
      <c r="G271" s="565"/>
      <c r="H271" s="565"/>
      <c r="I271" s="565"/>
      <c r="J271" s="565"/>
      <c r="K271" s="565"/>
      <c r="L271" s="565"/>
    </row>
    <row r="272" spans="4:12" ht="14.1" customHeight="1">
      <c r="D272" s="556"/>
      <c r="E272" s="280"/>
      <c r="F272" s="65"/>
      <c r="G272" s="565"/>
      <c r="H272" s="565"/>
      <c r="I272" s="565"/>
      <c r="J272" s="565"/>
      <c r="K272" s="565"/>
      <c r="L272" s="565"/>
    </row>
    <row r="273" spans="5:12" ht="14.1" customHeight="1">
      <c r="E273" s="280"/>
      <c r="F273" s="65"/>
      <c r="G273" s="565"/>
      <c r="H273" s="565"/>
      <c r="I273" s="565"/>
      <c r="J273" s="565"/>
      <c r="K273" s="565"/>
      <c r="L273" s="565"/>
    </row>
    <row r="274" spans="5:12" ht="14.1" customHeight="1">
      <c r="E274" s="280"/>
      <c r="F274" s="65"/>
      <c r="G274" s="565"/>
      <c r="H274" s="565"/>
      <c r="I274" s="565"/>
      <c r="J274" s="565"/>
      <c r="K274" s="565"/>
      <c r="L274" s="565"/>
    </row>
    <row r="275" spans="5:12" ht="14.1" customHeight="1">
      <c r="E275" s="280"/>
      <c r="F275" s="65"/>
      <c r="G275" s="565"/>
      <c r="H275" s="565"/>
      <c r="I275" s="565"/>
      <c r="J275" s="565"/>
      <c r="K275" s="565"/>
      <c r="L275" s="565"/>
    </row>
    <row r="276" spans="5:12" ht="14.1" customHeight="1">
      <c r="E276" s="280"/>
      <c r="F276" s="65"/>
      <c r="G276" s="565"/>
      <c r="H276" s="565"/>
      <c r="I276" s="565"/>
      <c r="J276" s="565"/>
      <c r="K276" s="565"/>
      <c r="L276" s="565"/>
    </row>
    <row r="277" spans="5:12" ht="14.1" customHeight="1">
      <c r="E277" s="280"/>
      <c r="F277" s="65"/>
      <c r="G277" s="565"/>
      <c r="H277" s="565"/>
      <c r="I277" s="565"/>
      <c r="J277" s="565"/>
      <c r="K277" s="565"/>
      <c r="L277" s="565"/>
    </row>
    <row r="278" spans="5:12" ht="14.1" customHeight="1">
      <c r="E278" s="671"/>
      <c r="F278" s="65"/>
      <c r="G278" s="565"/>
      <c r="H278" s="565"/>
      <c r="I278" s="565"/>
      <c r="J278" s="565"/>
      <c r="K278" s="565"/>
      <c r="L278" s="565"/>
    </row>
    <row r="279" spans="5:12" ht="14.1" customHeight="1">
      <c r="E279" s="671"/>
      <c r="F279" s="65"/>
      <c r="G279" s="565"/>
      <c r="H279" s="565"/>
      <c r="I279" s="565"/>
      <c r="J279" s="565"/>
      <c r="K279" s="565"/>
      <c r="L279" s="565"/>
    </row>
    <row r="280" spans="5:12">
      <c r="E280" s="671"/>
      <c r="F280" s="65"/>
      <c r="G280" s="565"/>
      <c r="H280" s="565"/>
      <c r="I280" s="565"/>
      <c r="J280" s="565"/>
      <c r="K280" s="565"/>
      <c r="L280" s="565"/>
    </row>
    <row r="281" spans="5:12">
      <c r="E281" s="671"/>
      <c r="F281" s="65"/>
      <c r="G281" s="565"/>
      <c r="H281" s="565"/>
      <c r="I281" s="565"/>
      <c r="J281" s="565"/>
      <c r="K281" s="565"/>
      <c r="L281" s="565"/>
    </row>
    <row r="282" spans="5:12">
      <c r="E282" s="671"/>
      <c r="F282" s="65"/>
      <c r="G282" s="565"/>
      <c r="H282" s="565"/>
      <c r="I282" s="565"/>
      <c r="J282" s="565"/>
      <c r="K282" s="565"/>
      <c r="L282" s="565"/>
    </row>
    <row r="283" spans="5:12">
      <c r="E283" s="671"/>
      <c r="F283" s="65"/>
      <c r="G283" s="565"/>
      <c r="H283" s="565"/>
      <c r="I283" s="565"/>
      <c r="J283" s="565"/>
      <c r="K283" s="565"/>
      <c r="L283" s="565"/>
    </row>
    <row r="284" spans="5:12">
      <c r="E284" s="671"/>
      <c r="F284" s="65"/>
      <c r="G284" s="565"/>
      <c r="H284" s="565"/>
      <c r="I284" s="565"/>
      <c r="J284" s="565"/>
      <c r="K284" s="565"/>
      <c r="L284" s="565"/>
    </row>
    <row r="285" spans="5:12">
      <c r="E285" s="671"/>
      <c r="F285" s="65"/>
      <c r="G285" s="565"/>
      <c r="H285" s="565"/>
      <c r="I285" s="565"/>
      <c r="J285" s="565"/>
      <c r="K285" s="565"/>
      <c r="L285" s="565"/>
    </row>
    <row r="286" spans="5:12">
      <c r="E286" s="671"/>
      <c r="F286" s="65"/>
      <c r="G286" s="565"/>
      <c r="H286" s="565"/>
      <c r="I286" s="565"/>
      <c r="J286" s="565"/>
      <c r="K286" s="565"/>
      <c r="L286" s="565"/>
    </row>
    <row r="287" spans="5:12">
      <c r="E287" s="671"/>
      <c r="F287" s="65"/>
      <c r="G287" s="565"/>
      <c r="H287" s="565"/>
      <c r="I287" s="565"/>
      <c r="J287" s="565"/>
      <c r="K287" s="565"/>
      <c r="L287" s="565"/>
    </row>
    <row r="288" spans="5:12">
      <c r="E288" s="671"/>
      <c r="F288" s="65"/>
      <c r="G288" s="565"/>
      <c r="H288" s="565"/>
      <c r="I288" s="565"/>
      <c r="J288" s="565"/>
      <c r="K288" s="565"/>
      <c r="L288" s="565"/>
    </row>
    <row r="289" spans="6:12">
      <c r="F289" s="65"/>
      <c r="G289" s="565"/>
      <c r="H289" s="565"/>
      <c r="I289" s="565"/>
      <c r="J289" s="565"/>
      <c r="K289" s="565"/>
      <c r="L289" s="565"/>
    </row>
    <row r="290" spans="6:12">
      <c r="F290" s="65"/>
      <c r="G290" s="565"/>
      <c r="H290" s="565"/>
      <c r="I290" s="565"/>
      <c r="J290" s="565"/>
      <c r="K290" s="565"/>
      <c r="L290" s="565"/>
    </row>
    <row r="291" spans="6:12">
      <c r="F291" s="65"/>
      <c r="G291" s="565"/>
      <c r="H291" s="565"/>
      <c r="I291" s="565"/>
      <c r="J291" s="565"/>
      <c r="K291" s="565"/>
      <c r="L291" s="565"/>
    </row>
  </sheetData>
  <sheetProtection sheet="1" formatCells="0" formatColumns="0" formatRows="0" insertColumns="0" insertRows="0"/>
  <mergeCells count="95">
    <mergeCell ref="W49:W50"/>
    <mergeCell ref="P77:P78"/>
    <mergeCell ref="Q77:Q78"/>
    <mergeCell ref="R77:R78"/>
    <mergeCell ref="U21:U27"/>
    <mergeCell ref="W21:W27"/>
    <mergeCell ref="S28:S30"/>
    <mergeCell ref="T28:T30"/>
    <mergeCell ref="U28:U30"/>
    <mergeCell ref="W28:W30"/>
    <mergeCell ref="W36:W40"/>
    <mergeCell ref="S41:S47"/>
    <mergeCell ref="T41:T47"/>
    <mergeCell ref="U41:U47"/>
    <mergeCell ref="W41:W46"/>
    <mergeCell ref="W51:W58"/>
    <mergeCell ref="N28:N30"/>
    <mergeCell ref="O28:O30"/>
    <mergeCell ref="P28:P30"/>
    <mergeCell ref="Q28:Q30"/>
    <mergeCell ref="R28:R30"/>
    <mergeCell ref="N49:N50"/>
    <mergeCell ref="O49:O50"/>
    <mergeCell ref="P49:P50"/>
    <mergeCell ref="Q49:Q50"/>
    <mergeCell ref="O35:U35"/>
    <mergeCell ref="R49:R50"/>
    <mergeCell ref="S49:S50"/>
    <mergeCell ref="T49:T50"/>
    <mergeCell ref="U49:U50"/>
    <mergeCell ref="N41:N47"/>
    <mergeCell ref="O41:O47"/>
    <mergeCell ref="P41:P47"/>
    <mergeCell ref="Q41:Q47"/>
    <mergeCell ref="R41:R47"/>
    <mergeCell ref="S19:S20"/>
    <mergeCell ref="T19:T20"/>
    <mergeCell ref="U19:U20"/>
    <mergeCell ref="W19:W20"/>
    <mergeCell ref="N21:N27"/>
    <mergeCell ref="O21:O27"/>
    <mergeCell ref="P21:P27"/>
    <mergeCell ref="Q21:Q27"/>
    <mergeCell ref="R21:R27"/>
    <mergeCell ref="N19:N20"/>
    <mergeCell ref="O19:O20"/>
    <mergeCell ref="P19:P20"/>
    <mergeCell ref="Q19:Q20"/>
    <mergeCell ref="R19:R20"/>
    <mergeCell ref="S21:S27"/>
    <mergeCell ref="T21:T27"/>
    <mergeCell ref="S11:S17"/>
    <mergeCell ref="T11:T17"/>
    <mergeCell ref="U11:U17"/>
    <mergeCell ref="W11:W17"/>
    <mergeCell ref="F2:L2"/>
    <mergeCell ref="O2:U2"/>
    <mergeCell ref="O5:U5"/>
    <mergeCell ref="N11:N17"/>
    <mergeCell ref="O11:O17"/>
    <mergeCell ref="P11:P17"/>
    <mergeCell ref="Q11:Q17"/>
    <mergeCell ref="R11:R17"/>
    <mergeCell ref="R60:R63"/>
    <mergeCell ref="F111:L111"/>
    <mergeCell ref="N51:N58"/>
    <mergeCell ref="O51:O58"/>
    <mergeCell ref="P51:P58"/>
    <mergeCell ref="O65:U65"/>
    <mergeCell ref="N67:N75"/>
    <mergeCell ref="O67:O75"/>
    <mergeCell ref="P67:P75"/>
    <mergeCell ref="Q67:Q75"/>
    <mergeCell ref="R67:R75"/>
    <mergeCell ref="S67:S75"/>
    <mergeCell ref="T67:T75"/>
    <mergeCell ref="U67:U75"/>
    <mergeCell ref="N77:N78"/>
    <mergeCell ref="O77:O78"/>
    <mergeCell ref="F158:L158"/>
    <mergeCell ref="S77:S78"/>
    <mergeCell ref="T77:T78"/>
    <mergeCell ref="U77:U78"/>
    <mergeCell ref="S51:S58"/>
    <mergeCell ref="T51:T58"/>
    <mergeCell ref="U51:U58"/>
    <mergeCell ref="S60:S63"/>
    <mergeCell ref="T60:T63"/>
    <mergeCell ref="U60:U63"/>
    <mergeCell ref="Q51:Q58"/>
    <mergeCell ref="R51:R58"/>
    <mergeCell ref="N60:N63"/>
    <mergeCell ref="O60:O63"/>
    <mergeCell ref="P60:P63"/>
    <mergeCell ref="Q60:Q63"/>
  </mergeCells>
  <phoneticPr fontId="15" type="noConversion"/>
  <conditionalFormatting sqref="C256:C266">
    <cfRule type="containsText" dxfId="1167" priority="122" operator="containsText" text="FL">
      <formula>NOT(ISERROR(SEARCH("FL",C256)))</formula>
    </cfRule>
    <cfRule type="containsText" dxfId="1166" priority="123" operator="containsText" text="FT">
      <formula>NOT(ISERROR(SEARCH("FT",C256)))</formula>
    </cfRule>
    <cfRule type="containsText" dxfId="1165" priority="124" operator="containsText" text="SS">
      <formula>NOT(ISERROR(SEARCH("SS",C256)))</formula>
    </cfRule>
    <cfRule type="containsText" dxfId="1164" priority="125" operator="containsText" text="GR">
      <formula>NOT(ISERROR(SEARCH("GR",C256)))</formula>
    </cfRule>
    <cfRule type="containsText" dxfId="1163" priority="126" operator="containsText" text="GO">
      <formula>NOT(ISERROR(SEARCH("GO",C256)))</formula>
    </cfRule>
  </conditionalFormatting>
  <conditionalFormatting sqref="D72 D110:D111">
    <cfRule type="containsText" dxfId="1162" priority="114" operator="containsText" text="GR">
      <formula>NOT(ISERROR(SEARCH("GR",D72)))</formula>
    </cfRule>
  </conditionalFormatting>
  <conditionalFormatting sqref="D80:D81 D73:D78">
    <cfRule type="duplicateValues" dxfId="1161" priority="104"/>
  </conditionalFormatting>
  <conditionalFormatting sqref="D84:D88">
    <cfRule type="duplicateValues" dxfId="1160" priority="103"/>
  </conditionalFormatting>
  <conditionalFormatting sqref="D85:D86">
    <cfRule type="duplicateValues" dxfId="1159" priority="100"/>
    <cfRule type="duplicateValues" dxfId="1158" priority="101"/>
  </conditionalFormatting>
  <conditionalFormatting sqref="D89:D90">
    <cfRule type="duplicateValues" dxfId="1157" priority="102"/>
  </conditionalFormatting>
  <conditionalFormatting sqref="D104:D107 D92:D102">
    <cfRule type="duplicateValues" dxfId="1156" priority="98"/>
  </conditionalFormatting>
  <conditionalFormatting sqref="D107">
    <cfRule type="duplicateValues" dxfId="1155" priority="96"/>
    <cfRule type="duplicateValues" dxfId="1154" priority="97"/>
  </conditionalFormatting>
  <conditionalFormatting sqref="D109">
    <cfRule type="duplicateValues" dxfId="1153" priority="99"/>
  </conditionalFormatting>
  <conditionalFormatting sqref="D184:D185 D177:D182">
    <cfRule type="duplicateValues" dxfId="1152" priority="95"/>
  </conditionalFormatting>
  <conditionalFormatting sqref="D187:D191">
    <cfRule type="duplicateValues" dxfId="1151" priority="94"/>
  </conditionalFormatting>
  <conditionalFormatting sqref="D188:D189">
    <cfRule type="duplicateValues" dxfId="1150" priority="91"/>
    <cfRule type="duplicateValues" dxfId="1149" priority="92"/>
  </conditionalFormatting>
  <conditionalFormatting sqref="D192">
    <cfRule type="duplicateValues" dxfId="1148" priority="93"/>
  </conditionalFormatting>
  <conditionalFormatting sqref="D206:D209 D194:D204">
    <cfRule type="duplicateValues" dxfId="1147" priority="89"/>
  </conditionalFormatting>
  <conditionalFormatting sqref="D209">
    <cfRule type="duplicateValues" dxfId="1146" priority="87"/>
    <cfRule type="duplicateValues" dxfId="1145" priority="88"/>
  </conditionalFormatting>
  <conditionalFormatting sqref="D211">
    <cfRule type="duplicateValues" dxfId="1144" priority="90"/>
  </conditionalFormatting>
  <conditionalFormatting sqref="E8 E13">
    <cfRule type="containsText" dxfId="1143" priority="115" operator="containsText" text="FC">
      <formula>NOT(ISERROR(SEARCH("FC",E8)))</formula>
    </cfRule>
    <cfRule type="containsText" dxfId="1142" priority="116" operator="containsText" text="PAC">
      <formula>NOT(ISERROR(SEARCH("PAC",E8)))</formula>
    </cfRule>
    <cfRule type="containsText" dxfId="1141" priority="117" operator="containsText" text="AA">
      <formula>NOT(ISERROR(SEARCH("AA",E8)))</formula>
    </cfRule>
    <cfRule type="containsText" dxfId="1140" priority="118" operator="containsText" text="RC">
      <formula>NOT(ISERROR(SEARCH("RC",E8)))</formula>
    </cfRule>
    <cfRule type="containsText" dxfId="1139" priority="119" operator="containsText" text="GC">
      <formula>NOT(ISERROR(SEARCH("GC",E8)))</formula>
    </cfRule>
    <cfRule type="containsText" dxfId="1138" priority="120" operator="containsText" text="SSC">
      <formula>NOT(ISERROR(SEARCH("SSC",E8)))</formula>
    </cfRule>
    <cfRule type="containsText" dxfId="1137" priority="121" operator="containsText" text="CSO">
      <formula>NOT(ISERROR(SEARCH("CSO",E8)))</formula>
    </cfRule>
  </conditionalFormatting>
  <conditionalFormatting sqref="E20 E26 E30">
    <cfRule type="containsText" dxfId="1136" priority="127" operator="containsText" text="PAC">
      <formula>NOT(ISERROR(SEARCH("PAC",E20)))</formula>
    </cfRule>
    <cfRule type="containsText" dxfId="1135" priority="128" operator="containsText" text="GC">
      <formula>NOT(ISERROR(SEARCH("GC",E20)))</formula>
    </cfRule>
  </conditionalFormatting>
  <conditionalFormatting sqref="E20 E26 E30:E31">
    <cfRule type="containsText" dxfId="1134" priority="105" operator="containsText" text="PSSC">
      <formula>NOT(ISERROR(SEARCH("PSSC",E20)))</formula>
    </cfRule>
    <cfRule type="containsText" dxfId="1133" priority="106" operator="containsText" text="ASSC">
      <formula>NOT(ISERROR(SEARCH("ASSC",E20)))</formula>
    </cfRule>
    <cfRule type="containsText" dxfId="1132" priority="107" operator="containsText" text="CC">
      <formula>NOT(ISERROR(SEARCH("CC",E20)))</formula>
    </cfRule>
    <cfRule type="containsText" dxfId="1131" priority="108" operator="containsText" text="CSO">
      <formula>NOT(ISERROR(SEARCH("CSO",E20)))</formula>
    </cfRule>
    <cfRule type="containsText" dxfId="1130" priority="109" operator="containsText" text="FC">
      <formula>NOT(ISERROR(SEARCH("FC",E20)))</formula>
    </cfRule>
    <cfRule type="containsText" dxfId="1129" priority="110" operator="containsText" text="RC">
      <formula>NOT(ISERROR(SEARCH("RC",E20)))</formula>
    </cfRule>
    <cfRule type="containsText" dxfId="1128" priority="129" stopIfTrue="1" operator="containsText" text="AAC">
      <formula>NOT(ISERROR(SEARCH("AAC",E20)))</formula>
    </cfRule>
  </conditionalFormatting>
  <conditionalFormatting sqref="E20">
    <cfRule type="containsText" dxfId="1127" priority="111" stopIfTrue="1" operator="containsText" text="AAC">
      <formula>NOT(ISERROR(SEARCH("AAC",E20)))</formula>
    </cfRule>
    <cfRule type="containsText" dxfId="1126" priority="112" operator="containsText" text="PAC">
      <formula>NOT(ISERROR(SEARCH("PAC",E20)))</formula>
    </cfRule>
    <cfRule type="containsText" dxfId="1125" priority="113" operator="containsText" text="GC">
      <formula>NOT(ISERROR(SEARCH("GC",E20)))</formula>
    </cfRule>
  </conditionalFormatting>
  <conditionalFormatting sqref="E50:E53">
    <cfRule type="containsText" dxfId="1124" priority="5" operator="containsText" text="PSSC">
      <formula>NOT(ISERROR(SEARCH("PSSC",E50)))</formula>
    </cfRule>
    <cfRule type="containsText" dxfId="1123" priority="6" operator="containsText" text="ASSC">
      <formula>NOT(ISERROR(SEARCH("ASSC",E50)))</formula>
    </cfRule>
    <cfRule type="containsText" dxfId="1122" priority="7" operator="containsText" text="CC">
      <formula>NOT(ISERROR(SEARCH("CC",E50)))</formula>
    </cfRule>
    <cfRule type="containsText" dxfId="1121" priority="8" operator="containsText" text="CSO">
      <formula>NOT(ISERROR(SEARCH("CSO",E50)))</formula>
    </cfRule>
    <cfRule type="containsText" dxfId="1120" priority="9" operator="containsText" text="FC">
      <formula>NOT(ISERROR(SEARCH("FC",E50)))</formula>
    </cfRule>
    <cfRule type="containsText" dxfId="1119" priority="10" operator="containsText" text="RC">
      <formula>NOT(ISERROR(SEARCH("RC",E50)))</formula>
    </cfRule>
    <cfRule type="containsText" dxfId="1118" priority="11" operator="containsText" text="PAC">
      <formula>NOT(ISERROR(SEARCH("PAC",E50)))</formula>
    </cfRule>
    <cfRule type="containsText" dxfId="1117" priority="12" operator="containsText" text="GC">
      <formula>NOT(ISERROR(SEARCH("GC",E50)))</formula>
    </cfRule>
    <cfRule type="containsText" dxfId="1116" priority="13" stopIfTrue="1" operator="containsText" text="AAC">
      <formula>NOT(ISERROR(SEARCH("AAC",E50)))</formula>
    </cfRule>
  </conditionalFormatting>
  <conditionalFormatting sqref="F229:F242 G230:L242 G229:J229">
    <cfRule type="colorScale" priority="216">
      <colorScale>
        <cfvo type="num" val="0"/>
        <cfvo type="num" val="1"/>
        <cfvo type="num" val="2"/>
        <color theme="0"/>
        <color rgb="FFAFFC06"/>
        <color rgb="FFFF0000"/>
      </colorScale>
    </cfRule>
  </conditionalFormatting>
  <conditionalFormatting sqref="F89:G90">
    <cfRule type="containsText" dxfId="1115" priority="53" operator="containsText" text="PL">
      <formula>NOT(ISERROR(SEARCH("PL",F89)))</formula>
    </cfRule>
    <cfRule type="containsText" dxfId="1114" priority="54" operator="containsText" text="SW">
      <formula>NOT(ISERROR(SEARCH("SW",F89)))</formula>
    </cfRule>
    <cfRule type="containsText" dxfId="1113" priority="55" operator="containsText" text="AT">
      <formula>NOT(ISERROR(SEARCH("AT",F89)))</formula>
    </cfRule>
    <cfRule type="containsText" dxfId="1112" priority="56" operator="containsText" text="SS">
      <formula>NOT(ISERROR(SEARCH("SS",F89)))</formula>
    </cfRule>
  </conditionalFormatting>
  <conditionalFormatting sqref="F77:H77">
    <cfRule type="containsText" dxfId="1111" priority="61" operator="containsText" text="PL">
      <formula>NOT(ISERROR(SEARCH("PL",F77)))</formula>
    </cfRule>
    <cfRule type="containsText" dxfId="1110" priority="62" operator="containsText" text="SW">
      <formula>NOT(ISERROR(SEARCH("SW",F77)))</formula>
    </cfRule>
    <cfRule type="containsText" dxfId="1109" priority="63" operator="containsText" text="AT">
      <formula>NOT(ISERROR(SEARCH("AT",F77)))</formula>
    </cfRule>
    <cfRule type="containsText" dxfId="1108" priority="64" operator="containsText" text="SS">
      <formula>NOT(ISERROR(SEARCH("SS",F77)))</formula>
    </cfRule>
  </conditionalFormatting>
  <conditionalFormatting sqref="F62:J62">
    <cfRule type="containsText" dxfId="1107" priority="14" operator="containsText" text="CSO">
      <formula>NOT(ISERROR(SEARCH("CSO",F62)))</formula>
    </cfRule>
    <cfRule type="containsText" dxfId="1106" priority="15" operator="containsText" text="FC">
      <formula>NOT(ISERROR(SEARCH("FC",F62)))</formula>
    </cfRule>
    <cfRule type="containsText" dxfId="1105" priority="16" operator="containsText" text="SS">
      <formula>NOT(ISERROR(SEARCH("SS",F62)))</formula>
    </cfRule>
    <cfRule type="containsText" dxfId="1104" priority="17" operator="containsText" text="RC">
      <formula>NOT(ISERROR(SEARCH("RC",F62)))</formula>
    </cfRule>
    <cfRule type="containsText" dxfId="1103" priority="18" operator="containsText" text="PAC">
      <formula>NOT(ISERROR(SEARCH("PAC",F62)))</formula>
    </cfRule>
    <cfRule type="containsText" dxfId="1102" priority="19" operator="containsText" text="AAC">
      <formula>NOT(ISERROR(SEARCH("AAC",F62)))</formula>
    </cfRule>
    <cfRule type="containsText" dxfId="1101" priority="20" operator="containsText" text="GC">
      <formula>NOT(ISERROR(SEARCH("GC",F62)))</formula>
    </cfRule>
  </conditionalFormatting>
  <conditionalFormatting sqref="F64:J65">
    <cfRule type="cellIs" dxfId="1100" priority="85" operator="lessThan">
      <formula>5</formula>
    </cfRule>
  </conditionalFormatting>
  <conditionalFormatting sqref="F84:J84">
    <cfRule type="containsText" dxfId="1099" priority="41" operator="containsText" text="PL">
      <formula>NOT(ISERROR(SEARCH("PL",F84)))</formula>
    </cfRule>
    <cfRule type="containsText" dxfId="1098" priority="42" operator="containsText" text="SW">
      <formula>NOT(ISERROR(SEARCH("SW",F84)))</formula>
    </cfRule>
    <cfRule type="containsText" dxfId="1097" priority="43" operator="containsText" text="AT">
      <formula>NOT(ISERROR(SEARCH("AT",F84)))</formula>
    </cfRule>
    <cfRule type="containsText" dxfId="1096" priority="44" operator="containsText" text="SS">
      <formula>NOT(ISERROR(SEARCH("SS",F84)))</formula>
    </cfRule>
  </conditionalFormatting>
  <conditionalFormatting sqref="F8:L59">
    <cfRule type="containsText" dxfId="1095" priority="21" operator="containsText" text="PAC">
      <formula>NOT(ISERROR(SEARCH("PAC",F8)))</formula>
    </cfRule>
    <cfRule type="containsText" dxfId="1094" priority="22" operator="containsText" text="AAC">
      <formula>NOT(ISERROR(SEARCH("AAC",F8)))</formula>
    </cfRule>
    <cfRule type="containsText" dxfId="1093" priority="23" operator="containsText" text="GC">
      <formula>NOT(ISERROR(SEARCH("GC",F8)))</formula>
    </cfRule>
    <cfRule type="containsText" dxfId="1092" priority="24" operator="containsText" text="FC">
      <formula>NOT(ISERROR(SEARCH("FC",F8)))</formula>
    </cfRule>
    <cfRule type="containsText" dxfId="1091" priority="25" operator="containsText" text="CC">
      <formula>NOT(ISERROR(SEARCH("CC",F8)))</formula>
    </cfRule>
    <cfRule type="containsText" dxfId="1090" priority="26" operator="containsText" text="RC">
      <formula>NOT(ISERROR(SEARCH("RC",F8)))</formula>
    </cfRule>
    <cfRule type="containsText" dxfId="1089" priority="27" operator="containsText" text="SSC">
      <formula>NOT(ISERROR(SEARCH("SSC",F8)))</formula>
    </cfRule>
    <cfRule type="containsText" dxfId="1088" priority="28" operator="containsText" text="CSO">
      <formula>NOT(ISERROR(SEARCH("CSO",F8)))</formula>
    </cfRule>
  </conditionalFormatting>
  <conditionalFormatting sqref="F64:L64 F65:J65">
    <cfRule type="cellIs" dxfId="1087" priority="86" operator="greaterThan">
      <formula>6</formula>
    </cfRule>
  </conditionalFormatting>
  <conditionalFormatting sqref="F67:L71">
    <cfRule type="containsText" dxfId="1086" priority="65" operator="containsText" text="RC">
      <formula>NOT(ISERROR(SEARCH("RC",F67)))</formula>
    </cfRule>
    <cfRule type="containsText" dxfId="1085" priority="66" operator="containsText" text="CC">
      <formula>NOT(ISERROR(SEARCH("CC",F67)))</formula>
    </cfRule>
  </conditionalFormatting>
  <conditionalFormatting sqref="F85:L85">
    <cfRule type="containsText" dxfId="1084" priority="49" operator="containsText" text="PL">
      <formula>NOT(ISERROR(SEARCH("PL",F85)))</formula>
    </cfRule>
    <cfRule type="containsText" dxfId="1083" priority="50" operator="containsText" text="SW">
      <formula>NOT(ISERROR(SEARCH("SW",F85)))</formula>
    </cfRule>
    <cfRule type="containsText" dxfId="1082" priority="51" operator="containsText" text="AT">
      <formula>NOT(ISERROR(SEARCH("AT",F85)))</formula>
    </cfRule>
    <cfRule type="containsText" dxfId="1081" priority="52" operator="containsText" text="SS">
      <formula>NOT(ISERROR(SEARCH("SS",F85)))</formula>
    </cfRule>
  </conditionalFormatting>
  <conditionalFormatting sqref="F170:L170">
    <cfRule type="cellIs" dxfId="1080" priority="84" operator="greaterThan">
      <formula>3</formula>
    </cfRule>
  </conditionalFormatting>
  <conditionalFormatting sqref="F172:L172">
    <cfRule type="cellIs" dxfId="1079" priority="83" operator="greaterThan">
      <formula>4</formula>
    </cfRule>
  </conditionalFormatting>
  <conditionalFormatting sqref="G79:H79">
    <cfRule type="containsText" dxfId="1078" priority="1" operator="containsText" text="PL">
      <formula>NOT(ISERROR(SEARCH("PL",G79)))</formula>
    </cfRule>
    <cfRule type="containsText" dxfId="1077" priority="2" operator="containsText" text="SW">
      <formula>NOT(ISERROR(SEARCH("SW",G79)))</formula>
    </cfRule>
    <cfRule type="containsText" dxfId="1076" priority="3" operator="containsText" text="AT">
      <formula>NOT(ISERROR(SEARCH("AT",G79)))</formula>
    </cfRule>
    <cfRule type="containsText" dxfId="1075" priority="4" operator="containsText" text="SS">
      <formula>NOT(ISERROR(SEARCH("SS",G79)))</formula>
    </cfRule>
  </conditionalFormatting>
  <conditionalFormatting sqref="G86:J86">
    <cfRule type="containsText" dxfId="1074" priority="45" operator="containsText" text="PL">
      <formula>NOT(ISERROR(SEARCH("PL",G86)))</formula>
    </cfRule>
    <cfRule type="containsText" dxfId="1073" priority="46" operator="containsText" text="SW">
      <formula>NOT(ISERROR(SEARCH("SW",G86)))</formula>
    </cfRule>
    <cfRule type="containsText" dxfId="1072" priority="47" operator="containsText" text="AT">
      <formula>NOT(ISERROR(SEARCH("AT",G86)))</formula>
    </cfRule>
    <cfRule type="containsText" dxfId="1071" priority="48" operator="containsText" text="SS">
      <formula>NOT(ISERROR(SEARCH("SS",G86)))</formula>
    </cfRule>
  </conditionalFormatting>
  <conditionalFormatting sqref="H87:I87">
    <cfRule type="containsText" dxfId="1070" priority="33" operator="containsText" text="PL">
      <formula>NOT(ISERROR(SEARCH("PL",H87)))</formula>
    </cfRule>
    <cfRule type="containsText" dxfId="1069" priority="34" operator="containsText" text="SW">
      <formula>NOT(ISERROR(SEARCH("SW",H87)))</formula>
    </cfRule>
    <cfRule type="containsText" dxfId="1068" priority="35" operator="containsText" text="AT">
      <formula>NOT(ISERROR(SEARCH("AT",H87)))</formula>
    </cfRule>
    <cfRule type="containsText" dxfId="1067" priority="36" operator="containsText" text="SS">
      <formula>NOT(ISERROR(SEARCH("SS",H87)))</formula>
    </cfRule>
  </conditionalFormatting>
  <conditionalFormatting sqref="J88">
    <cfRule type="containsText" dxfId="1066" priority="29" operator="containsText" text="PL">
      <formula>NOT(ISERROR(SEARCH("PL",J88)))</formula>
    </cfRule>
    <cfRule type="containsText" dxfId="1065" priority="30" operator="containsText" text="SW">
      <formula>NOT(ISERROR(SEARCH("SW",J88)))</formula>
    </cfRule>
    <cfRule type="containsText" dxfId="1064" priority="31" operator="containsText" text="AT">
      <formula>NOT(ISERROR(SEARCH("AT",J88)))</formula>
    </cfRule>
    <cfRule type="containsText" dxfId="1063" priority="32" operator="containsText" text="SS">
      <formula>NOT(ISERROR(SEARCH("SS",J88)))</formula>
    </cfRule>
  </conditionalFormatting>
  <conditionalFormatting sqref="K64:L65">
    <cfRule type="cellIs" dxfId="1062" priority="75" operator="greaterThan">
      <formula>3</formula>
    </cfRule>
  </conditionalFormatting>
  <conditionalFormatting sqref="K89:L90">
    <cfRule type="containsText" dxfId="1061" priority="37" operator="containsText" text="PL">
      <formula>NOT(ISERROR(SEARCH("PL",K89)))</formula>
    </cfRule>
    <cfRule type="containsText" dxfId="1060" priority="38" operator="containsText" text="SW">
      <formula>NOT(ISERROR(SEARCH("SW",K89)))</formula>
    </cfRule>
    <cfRule type="containsText" dxfId="1059" priority="39" operator="containsText" text="AT">
      <formula>NOT(ISERROR(SEARCH("AT",K89)))</formula>
    </cfRule>
    <cfRule type="containsText" dxfId="1058" priority="40" operator="containsText" text="SS">
      <formula>NOT(ISERROR(SEARCH("SS",K89)))</formula>
    </cfRule>
  </conditionalFormatting>
  <conditionalFormatting sqref="N38:N40">
    <cfRule type="containsText" dxfId="1057" priority="166" operator="containsText" text="NAMIT">
      <formula>NOT(ISERROR(SEARCH("NAMIT",N38)))</formula>
    </cfRule>
  </conditionalFormatting>
  <conditionalFormatting sqref="O6:U6">
    <cfRule type="notContainsErrors" dxfId="1056" priority="170">
      <formula>NOT(ISERROR(O6))</formula>
    </cfRule>
  </conditionalFormatting>
  <conditionalFormatting sqref="O7:U7 O37:U37">
    <cfRule type="notContainsErrors" dxfId="1055" priority="165">
      <formula>NOT(ISERROR(O7))</formula>
    </cfRule>
  </conditionalFormatting>
  <conditionalFormatting sqref="O8:U8">
    <cfRule type="notContainsErrors" dxfId="1054" priority="168">
      <formula>NOT(ISERROR(O8))</formula>
    </cfRule>
  </conditionalFormatting>
  <conditionalFormatting sqref="O9:U9">
    <cfRule type="notContainsErrors" dxfId="1053" priority="179">
      <formula>NOT(ISERROR(O9))</formula>
    </cfRule>
  </conditionalFormatting>
  <conditionalFormatting sqref="O10:U10">
    <cfRule type="notContainsErrors" dxfId="1052" priority="160">
      <formula>NOT(ISERROR(O10))</formula>
    </cfRule>
  </conditionalFormatting>
  <conditionalFormatting sqref="O18:U18">
    <cfRule type="notContainsErrors" dxfId="1051" priority="178">
      <formula>NOT(ISERROR(O18))</formula>
    </cfRule>
  </conditionalFormatting>
  <conditionalFormatting sqref="O36:U36">
    <cfRule type="notContainsErrors" dxfId="1050" priority="171">
      <formula>NOT(ISERROR(O36))</formula>
    </cfRule>
  </conditionalFormatting>
  <conditionalFormatting sqref="O38:U38">
    <cfRule type="notContainsErrors" dxfId="1049" priority="169">
      <formula>NOT(ISERROR(O38))</formula>
    </cfRule>
  </conditionalFormatting>
  <conditionalFormatting sqref="O39:U39">
    <cfRule type="notContainsErrors" dxfId="1048" priority="162">
      <formula>NOT(ISERROR(O39))</formula>
    </cfRule>
  </conditionalFormatting>
  <conditionalFormatting sqref="O40:U40">
    <cfRule type="notContainsErrors" dxfId="1047" priority="164">
      <formula>NOT(ISERROR(O40))</formula>
    </cfRule>
  </conditionalFormatting>
  <conditionalFormatting sqref="O48:U48">
    <cfRule type="notContainsErrors" dxfId="1046" priority="163">
      <formula>NOT(ISERROR(O48))</formula>
    </cfRule>
  </conditionalFormatting>
  <conditionalFormatting sqref="O66:U66">
    <cfRule type="notContainsErrors" dxfId="1045" priority="161">
      <formula>NOT(ISERROR(O66))</formula>
    </cfRule>
  </conditionalFormatting>
  <conditionalFormatting sqref="O76:U76">
    <cfRule type="notContainsErrors" dxfId="1044" priority="167">
      <formula>NOT(ISERROR(O76))</formula>
    </cfRule>
  </conditionalFormatting>
  <conditionalFormatting sqref="V132:V1048576 P234:U1048576">
    <cfRule type="containsText" dxfId="1043" priority="172" operator="containsText" text="SW">
      <formula>NOT(ISERROR(SEARCH("SW",P132)))</formula>
    </cfRule>
    <cfRule type="containsText" dxfId="1042" priority="173" operator="containsText" text="FL">
      <formula>NOT(ISERROR(SEARCH("FL",P132)))</formula>
    </cfRule>
    <cfRule type="containsText" dxfId="1041" priority="174" operator="containsText" text="FT">
      <formula>NOT(ISERROR(SEARCH("FT",P132)))</formula>
    </cfRule>
    <cfRule type="containsText" dxfId="1040" priority="175" operator="containsText" text="SS">
      <formula>NOT(ISERROR(SEARCH("SS",P132)))</formula>
    </cfRule>
    <cfRule type="containsText" dxfId="1039" priority="176" operator="containsText" text="GR">
      <formula>NOT(ISERROR(SEARCH("GR",P132)))</formula>
    </cfRule>
    <cfRule type="containsText" dxfId="1038" priority="177" operator="containsText" text="GO">
      <formula>NOT(ISERROR(SEARCH("GO",P132)))</formula>
    </cfRule>
  </conditionalFormatting>
  <dataValidations count="1">
    <dataValidation type="list" allowBlank="1" showInputMessage="1" sqref="F134:L135 J136:L141 F113:G131 G136:H141 H114:H131 I113:J131 K114:L131" xr:uid="{D4479724-9B2E-3D4C-8891-5D1C230C46CE}">
      <formula1>#REF!</formula1>
    </dataValidation>
  </dataValidations>
  <pageMargins left="0.7" right="0.7" top="0.75" bottom="0.75" header="0.3" footer="0.3"/>
  <pageSetup paperSize="9" scale="6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D1FF-2899-AE4B-BC14-6FC2B0593DC5}">
  <sheetPr>
    <pageSetUpPr fitToPage="1"/>
  </sheetPr>
  <dimension ref="A1:W291"/>
  <sheetViews>
    <sheetView topLeftCell="Q1" workbookViewId="0">
      <pane ySplit="4" topLeftCell="Q82" activePane="bottomLeft" state="frozen"/>
      <selection pane="bottomLeft" activeCell="M1" sqref="M1"/>
      <selection activeCell="M1" sqref="M1"/>
    </sheetView>
  </sheetViews>
  <sheetFormatPr defaultColWidth="9" defaultRowHeight="14.25"/>
  <cols>
    <col min="1" max="2" width="10.875" style="56" hidden="1" customWidth="1"/>
    <col min="3" max="3" width="17.125" style="56" bestFit="1" customWidth="1"/>
    <col min="4" max="4" width="21.875" style="72" bestFit="1" customWidth="1"/>
    <col min="5" max="5" width="6.25" style="68" bestFit="1" customWidth="1"/>
    <col min="6" max="6" width="13" style="66" bestFit="1" customWidth="1"/>
    <col min="7" max="7" width="11.875" style="64" bestFit="1" customWidth="1"/>
    <col min="8" max="8" width="12.5" style="64" bestFit="1" customWidth="1"/>
    <col min="9" max="11" width="11.875" style="64" bestFit="1" customWidth="1"/>
    <col min="12" max="12" width="13.125" style="64" bestFit="1" customWidth="1"/>
    <col min="13" max="13" width="10.875" style="56"/>
    <col min="14" max="14" width="14.875" style="89" customWidth="1"/>
    <col min="15" max="15" width="15.375" style="112" customWidth="1"/>
    <col min="16" max="21" width="15.375" style="89" customWidth="1"/>
    <col min="22" max="22" width="12.875" style="34" customWidth="1"/>
    <col min="23" max="23" width="9" style="34"/>
    <col min="24" max="16384" width="9" style="56"/>
  </cols>
  <sheetData>
    <row r="1" spans="1:23" ht="14.1" customHeight="1" thickBot="1">
      <c r="A1" s="294" t="s">
        <v>520</v>
      </c>
      <c r="D1" s="57"/>
      <c r="E1" s="58"/>
      <c r="F1" s="59" t="str">
        <f t="shared" ref="F1:L1" si="0">CONCATENATE(F169,"-",F170,"-",F171,"-",F172,"-",F173)</f>
        <v>15-0-17-1-8</v>
      </c>
      <c r="G1" s="59" t="str">
        <f t="shared" si="0"/>
        <v>16-0-16-1-9</v>
      </c>
      <c r="H1" s="59" t="str">
        <f t="shared" si="0"/>
        <v>17-2-13-1-9</v>
      </c>
      <c r="I1" s="59" t="str">
        <f t="shared" si="0"/>
        <v>17-0-16-1-9</v>
      </c>
      <c r="J1" s="59" t="str">
        <f t="shared" si="0"/>
        <v>13-2-14-2-8</v>
      </c>
      <c r="K1" s="59" t="str">
        <f t="shared" si="0"/>
        <v>12-1-14-0-8</v>
      </c>
      <c r="L1" s="59" t="str">
        <f t="shared" si="0"/>
        <v>15-0-14-0-9</v>
      </c>
      <c r="O1" s="89" t="str">
        <f t="shared" ref="O1:U1" si="1">F1</f>
        <v>15-0-17-1-8</v>
      </c>
      <c r="P1" s="89" t="str">
        <f t="shared" si="1"/>
        <v>16-0-16-1-9</v>
      </c>
      <c r="Q1" s="89" t="str">
        <f t="shared" si="1"/>
        <v>17-2-13-1-9</v>
      </c>
      <c r="R1" s="89" t="str">
        <f t="shared" si="1"/>
        <v>17-0-16-1-9</v>
      </c>
      <c r="S1" s="89" t="str">
        <f t="shared" si="1"/>
        <v>13-2-14-2-8</v>
      </c>
      <c r="T1" s="89" t="str">
        <f t="shared" si="1"/>
        <v>12-1-14-0-8</v>
      </c>
      <c r="U1" s="89" t="str">
        <f t="shared" si="1"/>
        <v>15-0-14-0-9</v>
      </c>
    </row>
    <row r="2" spans="1:23" ht="14.1" customHeight="1" thickBot="1">
      <c r="C2" s="1" t="s">
        <v>0</v>
      </c>
      <c r="D2" s="1" t="s">
        <v>0</v>
      </c>
      <c r="E2" s="58"/>
      <c r="F2" s="802">
        <v>6</v>
      </c>
      <c r="G2" s="802"/>
      <c r="H2" s="802"/>
      <c r="I2" s="802"/>
      <c r="J2" s="802"/>
      <c r="K2" s="802"/>
      <c r="L2" s="802"/>
      <c r="O2" s="754">
        <f>F2</f>
        <v>6</v>
      </c>
      <c r="P2" s="755"/>
      <c r="Q2" s="755"/>
      <c r="R2" s="755"/>
      <c r="S2" s="755"/>
      <c r="T2" s="755"/>
      <c r="U2" s="756"/>
    </row>
    <row r="3" spans="1:23" ht="14.1" customHeight="1">
      <c r="A3" s="56" t="s">
        <v>297</v>
      </c>
      <c r="B3" s="56" t="s">
        <v>298</v>
      </c>
      <c r="C3" s="494" t="s">
        <v>299</v>
      </c>
      <c r="D3" s="494" t="s">
        <v>300</v>
      </c>
      <c r="E3" s="69" t="s">
        <v>5</v>
      </c>
      <c r="F3" s="22" t="s">
        <v>6</v>
      </c>
      <c r="G3" s="23" t="s">
        <v>7</v>
      </c>
      <c r="H3" s="23" t="s">
        <v>8</v>
      </c>
      <c r="I3" s="23" t="s">
        <v>9</v>
      </c>
      <c r="J3" s="23" t="s">
        <v>10</v>
      </c>
      <c r="K3" s="23" t="s">
        <v>11</v>
      </c>
      <c r="L3" s="24" t="s">
        <v>12</v>
      </c>
      <c r="O3" s="90" t="s">
        <v>6</v>
      </c>
      <c r="P3" s="91" t="s">
        <v>7</v>
      </c>
      <c r="Q3" s="91" t="s">
        <v>8</v>
      </c>
      <c r="R3" s="91" t="s">
        <v>9</v>
      </c>
      <c r="S3" s="91" t="s">
        <v>10</v>
      </c>
      <c r="T3" s="91" t="s">
        <v>11</v>
      </c>
      <c r="U3" s="92" t="s">
        <v>12</v>
      </c>
    </row>
    <row r="4" spans="1:23" ht="14.1" customHeight="1" thickBot="1">
      <c r="B4" s="56" t="s">
        <v>13</v>
      </c>
      <c r="C4" s="25"/>
      <c r="D4" s="25"/>
      <c r="E4" s="77"/>
      <c r="F4" s="26">
        <v>46090</v>
      </c>
      <c r="G4" s="27">
        <v>46091</v>
      </c>
      <c r="H4" s="27">
        <v>46092</v>
      </c>
      <c r="I4" s="27">
        <v>46093</v>
      </c>
      <c r="J4" s="27">
        <v>46094</v>
      </c>
      <c r="K4" s="27">
        <v>46095</v>
      </c>
      <c r="L4" s="27">
        <v>46096</v>
      </c>
      <c r="N4" s="93"/>
      <c r="O4" s="94">
        <f t="shared" ref="O4:U4" si="2">F4</f>
        <v>46090</v>
      </c>
      <c r="P4" s="95">
        <f t="shared" si="2"/>
        <v>46091</v>
      </c>
      <c r="Q4" s="95">
        <f t="shared" si="2"/>
        <v>46092</v>
      </c>
      <c r="R4" s="95">
        <f t="shared" si="2"/>
        <v>46093</v>
      </c>
      <c r="S4" s="95">
        <f t="shared" si="2"/>
        <v>46094</v>
      </c>
      <c r="T4" s="95">
        <f t="shared" si="2"/>
        <v>46095</v>
      </c>
      <c r="U4" s="96">
        <f t="shared" si="2"/>
        <v>46096</v>
      </c>
    </row>
    <row r="5" spans="1:23" ht="14.1" customHeight="1" thickBot="1">
      <c r="C5" s="2"/>
      <c r="D5" s="2"/>
      <c r="E5" s="81"/>
      <c r="F5" s="214" t="s">
        <v>18</v>
      </c>
      <c r="G5" s="60"/>
      <c r="H5" s="60"/>
      <c r="I5" s="60"/>
      <c r="J5" s="60"/>
      <c r="K5" s="60"/>
      <c r="L5" s="61"/>
      <c r="O5" s="757" t="s">
        <v>301</v>
      </c>
      <c r="P5" s="758"/>
      <c r="Q5" s="758"/>
      <c r="R5" s="758"/>
      <c r="S5" s="758"/>
      <c r="T5" s="758"/>
      <c r="U5" s="759"/>
      <c r="W5" s="34" t="s">
        <v>302</v>
      </c>
    </row>
    <row r="6" spans="1:23" ht="14.1" customHeight="1">
      <c r="C6" s="315" t="s">
        <v>26</v>
      </c>
      <c r="D6" s="315" t="s">
        <v>26</v>
      </c>
      <c r="E6" s="495"/>
      <c r="F6" s="317"/>
      <c r="G6" s="318"/>
      <c r="H6" s="318"/>
      <c r="I6" s="318"/>
      <c r="J6" s="318"/>
      <c r="K6" s="318"/>
      <c r="L6" s="319"/>
      <c r="N6" s="97" t="s">
        <v>303</v>
      </c>
      <c r="O6" s="98" t="str">
        <f t="shared" ref="O6:U6" si="3">INDEX($C7:$L188,MATCH("*AGC*",F7:F191,0),1)</f>
        <v>PAT SMS</v>
      </c>
      <c r="P6" s="99" t="e">
        <f t="shared" si="3"/>
        <v>#N/A</v>
      </c>
      <c r="Q6" s="99" t="str">
        <f t="shared" si="3"/>
        <v>QING SMS</v>
      </c>
      <c r="R6" s="99" t="str">
        <f t="shared" si="3"/>
        <v>QAIS SMS</v>
      </c>
      <c r="S6" s="99" t="str">
        <f t="shared" si="3"/>
        <v>YAN SMS</v>
      </c>
      <c r="T6" s="99" t="e">
        <f t="shared" si="3"/>
        <v>#N/A</v>
      </c>
      <c r="U6" s="100" t="str">
        <f t="shared" si="3"/>
        <v>TECWYN SMS</v>
      </c>
      <c r="V6" s="34" t="s">
        <v>287</v>
      </c>
      <c r="W6" s="101"/>
    </row>
    <row r="7" spans="1:23" ht="14.1" customHeight="1">
      <c r="C7" s="496" t="s">
        <v>304</v>
      </c>
      <c r="D7" s="497" t="s">
        <v>27</v>
      </c>
      <c r="E7" s="498">
        <v>625982</v>
      </c>
      <c r="F7" s="569" t="s">
        <v>28</v>
      </c>
      <c r="G7" s="570"/>
      <c r="H7" s="570"/>
      <c r="I7" s="570"/>
      <c r="J7" s="570"/>
      <c r="K7" s="570"/>
      <c r="L7" s="571"/>
      <c r="N7" s="499" t="s">
        <v>305</v>
      </c>
      <c r="O7" s="102" t="str">
        <f t="shared" ref="O7:U7" si="4">INDEX($C7:$L188,MATCH("*AAC",F7:F190,0),1)</f>
        <v>DAVID SMS</v>
      </c>
      <c r="P7" s="500" t="str">
        <f t="shared" si="4"/>
        <v>RAMI SMS</v>
      </c>
      <c r="Q7" s="500" t="str">
        <f t="shared" si="4"/>
        <v>TARA J. SMS</v>
      </c>
      <c r="R7" s="500" t="str">
        <f t="shared" si="4"/>
        <v>VARUNA SMS</v>
      </c>
      <c r="S7" s="500" t="e">
        <f t="shared" si="4"/>
        <v>#N/A</v>
      </c>
      <c r="T7" s="500" t="str">
        <f t="shared" si="4"/>
        <v>JACQUELINE SMS</v>
      </c>
      <c r="U7" s="501" t="str">
        <f t="shared" si="4"/>
        <v>QING SMS</v>
      </c>
      <c r="V7" s="34" t="s">
        <v>286</v>
      </c>
      <c r="W7" s="101"/>
    </row>
    <row r="8" spans="1:23" ht="14.1" customHeight="1">
      <c r="C8" s="497" t="s">
        <v>306</v>
      </c>
      <c r="D8" s="83" t="s">
        <v>29</v>
      </c>
      <c r="E8" s="502">
        <v>628936</v>
      </c>
      <c r="F8" s="672" t="s">
        <v>32</v>
      </c>
      <c r="G8" s="62" t="s">
        <v>33</v>
      </c>
      <c r="H8" s="62" t="s">
        <v>33</v>
      </c>
      <c r="I8" s="62" t="s">
        <v>33</v>
      </c>
      <c r="J8" s="62"/>
      <c r="K8" s="565"/>
      <c r="L8" s="577"/>
      <c r="N8" s="503" t="s">
        <v>307</v>
      </c>
      <c r="O8" s="102" t="str">
        <f t="shared" ref="O8:U8" si="5">INDEX($C7:$L188,MATCH("*ARC*",F7:F191,0),1)</f>
        <v>AFTAB SMS</v>
      </c>
      <c r="P8" s="500" t="str">
        <f t="shared" si="5"/>
        <v>SUHAIL SMS</v>
      </c>
      <c r="Q8" s="500" t="str">
        <f t="shared" si="5"/>
        <v>NICOLA SMS</v>
      </c>
      <c r="R8" s="500" t="str">
        <f t="shared" si="5"/>
        <v>RICHARD SMS</v>
      </c>
      <c r="S8" s="500" t="str">
        <f t="shared" si="5"/>
        <v>JACQUELINE SMS</v>
      </c>
      <c r="T8" s="500" t="str">
        <f t="shared" si="5"/>
        <v>ABI SMS</v>
      </c>
      <c r="U8" s="501" t="str">
        <f t="shared" si="5"/>
        <v>SINDY SMS</v>
      </c>
      <c r="V8" s="34" t="s">
        <v>285</v>
      </c>
      <c r="W8" s="101"/>
    </row>
    <row r="9" spans="1:23" ht="14.1" customHeight="1">
      <c r="C9" s="504" t="s">
        <v>308</v>
      </c>
      <c r="D9" s="723" t="s">
        <v>42</v>
      </c>
      <c r="E9" s="502">
        <v>628576</v>
      </c>
      <c r="F9" s="672" t="s">
        <v>34</v>
      </c>
      <c r="G9" s="565" t="s">
        <v>33</v>
      </c>
      <c r="H9" s="576"/>
      <c r="I9" s="578" t="s">
        <v>342</v>
      </c>
      <c r="J9" s="566" t="s">
        <v>33</v>
      </c>
      <c r="K9" s="565"/>
      <c r="L9" s="577"/>
      <c r="N9" s="505" t="s">
        <v>309</v>
      </c>
      <c r="O9" s="102" t="str">
        <f t="shared" ref="O9:U9" si="6">INDEX($C7:$L188,MATCH("*ASSC*",F7:F191,0),1)</f>
        <v>ANASTASIA SMS</v>
      </c>
      <c r="P9" s="500" t="str">
        <f t="shared" si="6"/>
        <v>MICHELLE SMS</v>
      </c>
      <c r="Q9" s="500" t="str">
        <f t="shared" si="6"/>
        <v>BARRY SMS</v>
      </c>
      <c r="R9" s="500" t="str">
        <f t="shared" si="6"/>
        <v>JULIA SMS</v>
      </c>
      <c r="S9" s="500" t="str">
        <f t="shared" si="6"/>
        <v>PAT SMS</v>
      </c>
      <c r="T9" s="500" t="str">
        <f t="shared" si="6"/>
        <v>SINDY SMS</v>
      </c>
      <c r="U9" s="501" t="str">
        <f t="shared" si="6"/>
        <v>HELEN SMS</v>
      </c>
      <c r="V9" s="34" t="s">
        <v>289</v>
      </c>
      <c r="W9" s="101"/>
    </row>
    <row r="10" spans="1:23" ht="14.1" customHeight="1">
      <c r="C10" s="504" t="s">
        <v>310</v>
      </c>
      <c r="D10" s="497" t="s">
        <v>45</v>
      </c>
      <c r="E10" s="506">
        <v>632647</v>
      </c>
      <c r="F10" s="672" t="s">
        <v>39</v>
      </c>
      <c r="G10" s="565" t="s">
        <v>33</v>
      </c>
      <c r="H10" s="565" t="s">
        <v>37</v>
      </c>
      <c r="I10" s="565" t="s">
        <v>38</v>
      </c>
      <c r="J10" s="565"/>
      <c r="K10" s="576"/>
      <c r="L10" s="579"/>
      <c r="N10" s="507" t="s">
        <v>311</v>
      </c>
      <c r="O10" s="102" t="str">
        <f t="shared" ref="O10:U10" si="7">INDEX($C6:$L187,MATCH("*ACC*",F6:F183,0),1)</f>
        <v>JAMES SMS</v>
      </c>
      <c r="P10" s="500" t="e">
        <f t="shared" si="7"/>
        <v>#N/A</v>
      </c>
      <c r="Q10" s="500" t="str">
        <f t="shared" si="7"/>
        <v>HELEN SMS</v>
      </c>
      <c r="R10" s="500" t="e">
        <f t="shared" si="7"/>
        <v>#N/A</v>
      </c>
      <c r="S10" s="500" t="str">
        <f t="shared" si="7"/>
        <v>PAIGE SMS</v>
      </c>
      <c r="T10" s="500" t="str">
        <f t="shared" si="7"/>
        <v>SALEEM CMO</v>
      </c>
      <c r="U10" s="501" t="str">
        <f t="shared" si="7"/>
        <v>SAM CMO</v>
      </c>
      <c r="V10" s="34" t="s">
        <v>288</v>
      </c>
      <c r="W10" s="101"/>
    </row>
    <row r="11" spans="1:23" ht="14.1" customHeight="1">
      <c r="C11" s="497" t="s">
        <v>312</v>
      </c>
      <c r="D11" s="497" t="s">
        <v>48</v>
      </c>
      <c r="E11" s="502">
        <v>279110</v>
      </c>
      <c r="F11" s="595" t="s">
        <v>30</v>
      </c>
      <c r="G11" s="596"/>
      <c r="H11" s="596"/>
      <c r="I11" s="596"/>
      <c r="J11" s="596"/>
      <c r="K11" s="596"/>
      <c r="L11" s="597"/>
      <c r="N11" s="733" t="s">
        <v>313</v>
      </c>
      <c r="O11" s="774" t="str" cm="1">
        <f t="array" ref="O11">_xlfn.TEXTJOIN(CHAR(10),TRUE,IF(F7:F111="0800-1800 AFC",$C7:$C111,""),IF(F7:F111="0800-1730 AFC",$C7:$C111,""),IF(F7:F111="0800-1800",$C7:$C111,""),IF(F7:F111="0800-1730",$C7:$C111,""))</f>
        <v>PATRICK SR
ANA CMO
CHRISTINA JR
ISOBEL JR
SUBARNA JR</v>
      </c>
      <c r="P11" s="775" t="str" cm="1">
        <f t="array" ref="P11">_xlfn.TEXTJOIN(CHAR(10),TRUE,IF(G7:G111="0800-1800 AFC",$C7:$C111,""),IF(G7:G111="0800-1730 AFC",$C7:$C111,""),IF(G7:G111="0800-1800",$C7:$C111,""),IF(G7:G111="0800-1730",$C7:$C111,""))</f>
        <v>ABI SMS
STEPHEN G SMS
JOSHUA IR
MIKHAR IR
CLARE IR
ISOBEL JR
JESSICA JR</v>
      </c>
      <c r="Q11" s="775" t="str" cm="1">
        <f t="array" ref="Q11">_xlfn.TEXTJOIN(CHAR(10),TRUE,IF(H7:H111="0800-1800 AFC",$C7:$C111,""),IF(H7:H111="0800-1730 AFC",$C7:$C111,""),IF(H7:H111="0800-1800",$C7:$C111,""),IF(H7:H111="0800-1730",$C7:$C111,""))</f>
        <v>AFTAB SMS
TARA K. SMS
SAM CMO
TITUS CMO
SALEEM CMO</v>
      </c>
      <c r="R11" s="775" t="str" cm="1">
        <f t="array" ref="R11">_xlfn.TEXTJOIN(CHAR(10),TRUE,IF(I7:I111="0800-1800 AFC",$C7:$C111,""),IF(I7:I111="0800-1730 AFC",$C7:$C111,""),IF(I7:I111="0800-1800",$C7:$C111,""),IF(I7:I111="0800-1730",$C7:$C111,""))</f>
        <v>BRAD SMS
PATRICK SR
MILES SR
MIKHAR IR
PAUL JR
LAURA JR</v>
      </c>
      <c r="S11" s="775" t="str" cm="1">
        <f t="array" ref="S11">_xlfn.TEXTJOIN(CHAR(10),TRUE,IF(J7:J111="0800-1800 AFC",$C7:$C111,""),IF(J7:J111="0800-1730 AFC",$C7:$C111,""),IF(J7:J111="0800-1800",$C7:$C111,""),IF(J7:J111="0800-1730",$C7:$C111,""))</f>
        <v>ANDY L  SMS
SHIV IR
CHRISTOPHER JR
PAUL JR</v>
      </c>
      <c r="T11" s="775" t="str" cm="1">
        <f t="array" ref="T11">_xlfn.TEXTJOIN(CHAR(10),TRUE,IF(K7:K111="0800-1800 AFC",$C7:$C111,""),IF(K7:K111="0800-1730 AFC",$C7:$C111,""),IF(K7:K111="0800-1800",$C7:$C111,""),IF(K7:K111="0800-1730",$C7:$C111,""))</f>
        <v>WILLIAM SR
CRAIG JR
SUBARNA JR</v>
      </c>
      <c r="U11" s="775" t="str" cm="1">
        <f t="array" ref="U11">_xlfn.TEXTJOIN(CHAR(10),TRUE,IF(L7:L111="0800-1800 AFC",$C7:$C111,""),IF(L7:L111="0800-1730 AFC",$C7:$C111,""),IF(L7:L111="0800-1800",$C7:$C111,""),IF(L7:L111="0800-1730",$C7:$C111,""))</f>
        <v>AMY SR
CRAIG JR
SYLVIA JR
JEROME JR</v>
      </c>
      <c r="W11" s="772">
        <v>7</v>
      </c>
    </row>
    <row r="12" spans="1:23" ht="14.1" customHeight="1">
      <c r="C12" s="497" t="s">
        <v>314</v>
      </c>
      <c r="D12" s="497" t="s">
        <v>49</v>
      </c>
      <c r="E12" s="502">
        <v>213322</v>
      </c>
      <c r="F12" s="595" t="s">
        <v>30</v>
      </c>
      <c r="G12" s="596"/>
      <c r="H12" s="596"/>
      <c r="I12" s="596"/>
      <c r="J12" s="596"/>
      <c r="K12" s="596"/>
      <c r="L12" s="597"/>
      <c r="N12" s="734"/>
      <c r="O12" s="774"/>
      <c r="P12" s="775"/>
      <c r="Q12" s="775"/>
      <c r="R12" s="775"/>
      <c r="S12" s="775"/>
      <c r="T12" s="775"/>
      <c r="U12" s="775"/>
      <c r="W12" s="772"/>
    </row>
    <row r="13" spans="1:23" ht="14.1" customHeight="1">
      <c r="C13" s="497" t="s">
        <v>315</v>
      </c>
      <c r="D13" s="497" t="s">
        <v>51</v>
      </c>
      <c r="E13" s="502">
        <v>602997</v>
      </c>
      <c r="F13" s="672" t="s">
        <v>47</v>
      </c>
      <c r="G13" s="565" t="s">
        <v>52</v>
      </c>
      <c r="H13" s="565" t="s">
        <v>33</v>
      </c>
      <c r="I13" s="576"/>
      <c r="J13" s="565" t="s">
        <v>53</v>
      </c>
      <c r="K13" s="576"/>
      <c r="L13" s="579"/>
      <c r="N13" s="734"/>
      <c r="O13" s="774"/>
      <c r="P13" s="775"/>
      <c r="Q13" s="775"/>
      <c r="R13" s="775"/>
      <c r="S13" s="775"/>
      <c r="T13" s="775"/>
      <c r="U13" s="775"/>
      <c r="W13" s="772"/>
    </row>
    <row r="14" spans="1:23" ht="14.1" customHeight="1">
      <c r="C14" s="504" t="s">
        <v>316</v>
      </c>
      <c r="D14" s="504" t="s">
        <v>55</v>
      </c>
      <c r="E14" s="502">
        <v>646459</v>
      </c>
      <c r="F14" s="672" t="s">
        <v>35</v>
      </c>
      <c r="G14" s="566" t="s">
        <v>50</v>
      </c>
      <c r="H14" s="566" t="s">
        <v>43</v>
      </c>
      <c r="I14" s="566"/>
      <c r="J14" s="576"/>
      <c r="K14" s="565"/>
      <c r="L14" s="604" t="s">
        <v>47</v>
      </c>
      <c r="N14" s="734"/>
      <c r="O14" s="774"/>
      <c r="P14" s="775"/>
      <c r="Q14" s="775"/>
      <c r="R14" s="775"/>
      <c r="S14" s="775"/>
      <c r="T14" s="775"/>
      <c r="U14" s="775"/>
      <c r="W14" s="772"/>
    </row>
    <row r="15" spans="1:23" ht="14.1" customHeight="1">
      <c r="C15" s="497" t="s">
        <v>318</v>
      </c>
      <c r="D15" s="504" t="s">
        <v>56</v>
      </c>
      <c r="E15" s="502">
        <v>632594</v>
      </c>
      <c r="F15" s="672" t="s">
        <v>39</v>
      </c>
      <c r="G15" s="566" t="s">
        <v>41</v>
      </c>
      <c r="H15" s="566" t="s">
        <v>57</v>
      </c>
      <c r="I15" s="566" t="s">
        <v>150</v>
      </c>
      <c r="J15" s="565"/>
      <c r="K15" s="565" t="s">
        <v>521</v>
      </c>
      <c r="L15" s="577" t="s">
        <v>522</v>
      </c>
      <c r="N15" s="734"/>
      <c r="O15" s="774"/>
      <c r="P15" s="775"/>
      <c r="Q15" s="775"/>
      <c r="R15" s="775"/>
      <c r="S15" s="775"/>
      <c r="T15" s="775"/>
      <c r="U15" s="775"/>
      <c r="W15" s="772"/>
    </row>
    <row r="16" spans="1:23" ht="14.1" customHeight="1">
      <c r="C16" s="497" t="s">
        <v>319</v>
      </c>
      <c r="D16" s="497" t="s">
        <v>58</v>
      </c>
      <c r="E16" s="502">
        <v>541622</v>
      </c>
      <c r="F16" s="672" t="s">
        <v>40</v>
      </c>
      <c r="G16" s="565" t="s">
        <v>38</v>
      </c>
      <c r="H16" s="565" t="s">
        <v>35</v>
      </c>
      <c r="I16" s="565" t="s">
        <v>33</v>
      </c>
      <c r="J16" s="576" t="s">
        <v>523</v>
      </c>
      <c r="K16" s="583"/>
      <c r="L16" s="584"/>
      <c r="N16" s="734"/>
      <c r="O16" s="774"/>
      <c r="P16" s="775"/>
      <c r="Q16" s="775"/>
      <c r="R16" s="775"/>
      <c r="S16" s="775"/>
      <c r="T16" s="775"/>
      <c r="U16" s="775"/>
      <c r="W16" s="772"/>
    </row>
    <row r="17" spans="3:23" ht="14.1" customHeight="1">
      <c r="C17" s="504" t="s">
        <v>320</v>
      </c>
      <c r="D17" s="504" t="s">
        <v>59</v>
      </c>
      <c r="E17" s="508">
        <v>614941</v>
      </c>
      <c r="F17" s="672" t="s">
        <v>39</v>
      </c>
      <c r="G17" s="565" t="s">
        <v>34</v>
      </c>
      <c r="H17" s="583"/>
      <c r="I17" s="76" t="s">
        <v>37</v>
      </c>
      <c r="J17" s="565" t="s">
        <v>36</v>
      </c>
      <c r="K17" s="565"/>
      <c r="L17" s="577"/>
      <c r="N17" s="773"/>
      <c r="O17" s="774"/>
      <c r="P17" s="775"/>
      <c r="Q17" s="775"/>
      <c r="R17" s="775"/>
      <c r="S17" s="775"/>
      <c r="T17" s="775"/>
      <c r="U17" s="775"/>
      <c r="W17" s="772"/>
    </row>
    <row r="18" spans="3:23" ht="14.1" customHeight="1">
      <c r="C18" s="497" t="s">
        <v>321</v>
      </c>
      <c r="D18" s="497" t="s">
        <v>63</v>
      </c>
      <c r="E18" s="502">
        <v>600989</v>
      </c>
      <c r="F18" s="569" t="s">
        <v>28</v>
      </c>
      <c r="G18" s="570"/>
      <c r="H18" s="570"/>
      <c r="I18" s="570"/>
      <c r="J18" s="570"/>
      <c r="K18" s="570"/>
      <c r="L18" s="571"/>
      <c r="N18" s="510" t="s">
        <v>322</v>
      </c>
      <c r="O18" s="102" t="str">
        <f t="shared" ref="O18:U18" si="8">INDEX($C7:$L188,MATCH("*AHJ*",F7:F191,0),1)</f>
        <v>MIKEY HMO</v>
      </c>
      <c r="P18" s="102" t="e">
        <f t="shared" si="8"/>
        <v>#N/A</v>
      </c>
      <c r="Q18" s="102" t="str">
        <f t="shared" si="8"/>
        <v>CHRIS HMO</v>
      </c>
      <c r="R18" s="102" t="str">
        <f t="shared" si="8"/>
        <v>WILL HMO</v>
      </c>
      <c r="S18" s="102" t="str">
        <f t="shared" si="8"/>
        <v>BRENDAN HMO</v>
      </c>
      <c r="T18" s="102" t="str">
        <f t="shared" si="8"/>
        <v>AREEBA HMO</v>
      </c>
      <c r="U18" s="102" t="str">
        <f t="shared" si="8"/>
        <v>BRIANNA HMO</v>
      </c>
      <c r="V18" s="34" t="s">
        <v>323</v>
      </c>
      <c r="W18" s="89">
        <v>1</v>
      </c>
    </row>
    <row r="19" spans="3:23" ht="14.1" customHeight="1">
      <c r="C19" s="511" t="s">
        <v>324</v>
      </c>
      <c r="D19" s="497" t="s">
        <v>64</v>
      </c>
      <c r="E19" s="502">
        <v>628578</v>
      </c>
      <c r="F19" s="582" t="s">
        <v>65</v>
      </c>
      <c r="G19" s="576"/>
      <c r="H19" s="583"/>
      <c r="I19" s="203"/>
      <c r="J19" s="576"/>
      <c r="K19" s="576"/>
      <c r="L19" s="580"/>
      <c r="N19" s="776" t="s">
        <v>325</v>
      </c>
      <c r="O19" s="777" t="str" cm="1">
        <f t="array" ref="O19">_xlfn.TEXTJOIN(CHAR(10),TRUE,_xlfn._xlws.FILTER($C7:$C184,RIGHT(F7:F184,LEN("ASSJ"))="ASSJ",""))</f>
        <v>ZOBIA HMO</v>
      </c>
      <c r="P19" s="750" t="str" cm="1">
        <f t="array" ref="P19">_xlfn.TEXTJOIN(CHAR(10),TRUE,_xlfn._xlws.FILTER($C7:$C184,RIGHT(G7:G184,LEN("ASSJ"))="ASSJ",""))</f>
        <v>CHRIS HMO</v>
      </c>
      <c r="Q19" s="750" t="str" cm="1">
        <f t="array" ref="Q19">_xlfn.TEXTJOIN(CHAR(10),TRUE,_xlfn._xlws.FILTER($C7:$C184,RIGHT(H7:H184,LEN("ASSJ"))="ASSJ",""))</f>
        <v>AREEBA HMO</v>
      </c>
      <c r="R19" s="750" t="str" cm="1">
        <f t="array" ref="R19">_xlfn.TEXTJOIN(CHAR(10),TRUE,_xlfn._xlws.FILTER($C7:$C184,RIGHT(I7:I184,LEN("ASSJ"))="ASSJ",""))</f>
        <v>HARRISON HMO</v>
      </c>
      <c r="S19" s="750" t="str" cm="1">
        <f t="array" ref="S19">_xlfn.TEXTJOIN(CHAR(10),TRUE,_xlfn._xlws.FILTER($C7:$C184,RIGHT(J7:J184,LEN("ASSJ"))="ASSJ",""))</f>
        <v>WILL HMO</v>
      </c>
      <c r="T19" s="750" t="str" cm="1">
        <f t="array" ref="T19">_xlfn.TEXTJOIN(CHAR(10),TRUE,_xlfn._xlws.FILTER($C7:$C184,RIGHT(K7:K184,LEN("ASSJ"))="ASSJ",""))</f>
        <v>MARYAM HMO</v>
      </c>
      <c r="U19" s="788" t="str" cm="1">
        <f t="array" ref="U19">_xlfn.TEXTJOIN(CHAR(10),TRUE,_xlfn._xlws.FILTER($C7:$C184,RIGHT(L7:L184,LEN("ASSJ"))="ASSJ",""))</f>
        <v>MILOS HMO</v>
      </c>
      <c r="V19" s="34" t="s">
        <v>326</v>
      </c>
      <c r="W19" s="772">
        <v>2</v>
      </c>
    </row>
    <row r="20" spans="3:23" ht="14.1" customHeight="1">
      <c r="C20" s="497" t="s">
        <v>327</v>
      </c>
      <c r="D20" s="504" t="s">
        <v>68</v>
      </c>
      <c r="E20" s="512">
        <v>628603</v>
      </c>
      <c r="F20" s="582" t="s">
        <v>69</v>
      </c>
      <c r="G20" s="576"/>
      <c r="H20" s="576"/>
      <c r="I20" s="576"/>
      <c r="J20" s="576"/>
      <c r="K20" s="583"/>
      <c r="L20" s="584"/>
      <c r="N20" s="776"/>
      <c r="O20" s="777"/>
      <c r="P20" s="750"/>
      <c r="Q20" s="750"/>
      <c r="R20" s="750"/>
      <c r="S20" s="750"/>
      <c r="T20" s="750"/>
      <c r="U20" s="788"/>
      <c r="W20" s="772"/>
    </row>
    <row r="21" spans="3:23" ht="14.1" customHeight="1">
      <c r="C21" s="513" t="s">
        <v>329</v>
      </c>
      <c r="D21" s="504" t="s">
        <v>71</v>
      </c>
      <c r="E21" s="113">
        <v>631416</v>
      </c>
      <c r="F21" s="582" t="s">
        <v>69</v>
      </c>
      <c r="G21" s="576"/>
      <c r="H21" s="576"/>
      <c r="I21" s="576"/>
      <c r="J21" s="576"/>
      <c r="K21" s="583"/>
      <c r="L21" s="584"/>
      <c r="N21" s="733" t="s">
        <v>330</v>
      </c>
      <c r="O21" s="777" t="str" cm="1">
        <f t="array" ref="O21">_xlfn.TEXTJOIN(CHAR(10),TRUE,IF(F112:F184="0800-1730",$C112:$C184,""))</f>
        <v>AARON G. HMO
AARON B. HMO
Ranusha INT</v>
      </c>
      <c r="P21" s="750" t="str" cm="1">
        <f t="array" ref="P21">_xlfn.TEXTJOIN(CHAR(10),TRUE,IF(G112:G184="0800-1730",$C112:$C184,""))</f>
        <v xml:space="preserve">PHILLIP HMO
HARRISON HMO
Ann INT
Ranusha INT
JAYCE INT </v>
      </c>
      <c r="Q21" s="750" t="str" cm="1">
        <f t="array" ref="Q21">_xlfn.TEXTJOIN(CHAR(10),TRUE,IF(H112:H184="0800-1730",$C112:$C184,""))</f>
        <v>PHILLIP HMO
MAREESHA HMO
Arushi INT
Ann INT
Roxana INT</v>
      </c>
      <c r="R21" s="750" t="str" cm="1">
        <f t="array" ref="R21">_xlfn.TEXTJOIN(CHAR(10),TRUE,IF(I112:I184="0800-1730",$C112:$C184,""))</f>
        <v xml:space="preserve">ANKUSH HMO
AREEBA HMO
Arushi INT
Roxana INT
JAYCE INT </v>
      </c>
      <c r="S21" s="750" t="str" cm="1">
        <f t="array" ref="S21">_xlfn.TEXTJOIN(CHAR(10),TRUE,IF(J112:J184="0800-1730",$C112:$C184,""))</f>
        <v xml:space="preserve">PIN HMO
Arushi INT
JAYCE INT </v>
      </c>
      <c r="T21" s="750" t="str" cm="1">
        <f t="array" ref="T21">_xlfn.TEXTJOIN(CHAR(10),TRUE,IF(K112:K184="0800-1730",$C112:$C184,""))</f>
        <v>BRIANNA HMO
MILOS HMO
Ranusha INT</v>
      </c>
      <c r="U21" s="750" t="str" cm="1">
        <f t="array" ref="U21">_xlfn.TEXTJOIN(CHAR(10),TRUE,IF(L112:L184="0800-1730",$C112:$C184,""))</f>
        <v>AREEBA HMO
MARYAM HMO
Ranusha INT</v>
      </c>
      <c r="W21" s="772">
        <v>7</v>
      </c>
    </row>
    <row r="22" spans="3:23" ht="14.1" customHeight="1">
      <c r="C22" s="80" t="s">
        <v>331</v>
      </c>
      <c r="D22" s="514" t="s">
        <v>73</v>
      </c>
      <c r="E22" s="515">
        <v>613670</v>
      </c>
      <c r="F22" s="595" t="s">
        <v>75</v>
      </c>
      <c r="G22" s="596"/>
      <c r="H22" s="596"/>
      <c r="I22" s="596"/>
      <c r="J22" s="596"/>
      <c r="K22" s="596"/>
      <c r="L22" s="597"/>
      <c r="N22" s="734"/>
      <c r="O22" s="777"/>
      <c r="P22" s="750"/>
      <c r="Q22" s="750"/>
      <c r="R22" s="750"/>
      <c r="S22" s="750"/>
      <c r="T22" s="750"/>
      <c r="U22" s="750"/>
      <c r="W22" s="772"/>
    </row>
    <row r="23" spans="3:23" ht="14.1" customHeight="1">
      <c r="C23" s="511" t="s">
        <v>332</v>
      </c>
      <c r="D23" s="504" t="s">
        <v>76</v>
      </c>
      <c r="E23" s="516">
        <v>621988</v>
      </c>
      <c r="F23" s="672" t="s">
        <v>43</v>
      </c>
      <c r="G23" s="565" t="s">
        <v>46</v>
      </c>
      <c r="H23" s="565" t="s">
        <v>33</v>
      </c>
      <c r="I23" s="565"/>
      <c r="J23" s="565" t="s">
        <v>40</v>
      </c>
      <c r="K23" s="565"/>
      <c r="L23" s="577"/>
      <c r="N23" s="734"/>
      <c r="O23" s="777"/>
      <c r="P23" s="750"/>
      <c r="Q23" s="750"/>
      <c r="R23" s="750"/>
      <c r="S23" s="750"/>
      <c r="T23" s="750"/>
      <c r="U23" s="750"/>
      <c r="W23" s="772"/>
    </row>
    <row r="24" spans="3:23" ht="14.1" customHeight="1">
      <c r="C24" s="497" t="s">
        <v>333</v>
      </c>
      <c r="D24" s="497" t="s">
        <v>79</v>
      </c>
      <c r="E24" s="502">
        <v>609408</v>
      </c>
      <c r="F24" s="582" t="s">
        <v>77</v>
      </c>
      <c r="G24" s="576"/>
      <c r="H24" s="576"/>
      <c r="I24" s="576"/>
      <c r="J24" s="576"/>
      <c r="K24" s="576"/>
      <c r="L24" s="579"/>
      <c r="N24" s="734"/>
      <c r="O24" s="777"/>
      <c r="P24" s="750"/>
      <c r="Q24" s="750"/>
      <c r="R24" s="750"/>
      <c r="S24" s="750"/>
      <c r="T24" s="750"/>
      <c r="U24" s="750"/>
      <c r="W24" s="772"/>
    </row>
    <row r="25" spans="3:23" ht="14.1" customHeight="1">
      <c r="C25" s="511" t="s">
        <v>334</v>
      </c>
      <c r="D25" s="497" t="s">
        <v>81</v>
      </c>
      <c r="E25" s="516">
        <v>632646</v>
      </c>
      <c r="F25" s="673" t="s">
        <v>39</v>
      </c>
      <c r="G25" s="586"/>
      <c r="H25" s="600" t="s">
        <v>36</v>
      </c>
      <c r="I25" s="586"/>
      <c r="J25" s="578" t="s">
        <v>342</v>
      </c>
      <c r="K25" s="586"/>
      <c r="L25" s="577" t="s">
        <v>43</v>
      </c>
      <c r="N25" s="734"/>
      <c r="O25" s="777"/>
      <c r="P25" s="750"/>
      <c r="Q25" s="750"/>
      <c r="R25" s="750"/>
      <c r="S25" s="750"/>
      <c r="T25" s="750"/>
      <c r="U25" s="750"/>
      <c r="W25" s="772"/>
    </row>
    <row r="26" spans="3:23" ht="14.1" customHeight="1">
      <c r="C26" s="511" t="s">
        <v>335</v>
      </c>
      <c r="D26" s="497" t="s">
        <v>82</v>
      </c>
      <c r="E26" s="517">
        <v>634491</v>
      </c>
      <c r="F26" s="587" t="s">
        <v>77</v>
      </c>
      <c r="G26" s="588"/>
      <c r="H26" s="588"/>
      <c r="I26" s="588"/>
      <c r="J26" s="588"/>
      <c r="K26" s="588"/>
      <c r="L26" s="579"/>
      <c r="N26" s="734"/>
      <c r="O26" s="777"/>
      <c r="P26" s="750"/>
      <c r="Q26" s="750"/>
      <c r="R26" s="750"/>
      <c r="S26" s="750"/>
      <c r="T26" s="750"/>
      <c r="U26" s="750"/>
      <c r="W26" s="772"/>
    </row>
    <row r="27" spans="3:23" ht="14.1" customHeight="1" thickBot="1">
      <c r="C27" s="518" t="s">
        <v>83</v>
      </c>
      <c r="D27" s="518" t="s">
        <v>336</v>
      </c>
      <c r="E27" s="519"/>
      <c r="F27" s="316"/>
      <c r="G27" s="378"/>
      <c r="H27" s="378"/>
      <c r="I27" s="378"/>
      <c r="J27" s="378"/>
      <c r="K27" s="378"/>
      <c r="L27" s="319"/>
      <c r="N27" s="773"/>
      <c r="O27" s="777"/>
      <c r="P27" s="750"/>
      <c r="Q27" s="750"/>
      <c r="R27" s="750"/>
      <c r="S27" s="750"/>
      <c r="T27" s="750"/>
      <c r="U27" s="750"/>
      <c r="W27" s="772"/>
    </row>
    <row r="28" spans="3:23" ht="14.1" customHeight="1">
      <c r="C28" s="497" t="s">
        <v>337</v>
      </c>
      <c r="D28" s="497" t="s">
        <v>84</v>
      </c>
      <c r="E28" s="502">
        <v>502961</v>
      </c>
      <c r="F28" s="672" t="s">
        <v>39</v>
      </c>
      <c r="G28" s="565" t="s">
        <v>94</v>
      </c>
      <c r="H28" s="565"/>
      <c r="I28" s="565"/>
      <c r="J28" s="565"/>
      <c r="K28" s="565"/>
      <c r="L28" s="577"/>
      <c r="N28" s="778" t="s">
        <v>338</v>
      </c>
      <c r="O28" s="781" t="str" cm="1">
        <f t="array" ref="O28">_xlfn.TEXTJOIN(CHAR(10),TRUE,_xlfn._xlws.FILTER($C7:$C184,RIGHT(F7:F184,LEN("SWA"))="SWA",""))</f>
        <v/>
      </c>
      <c r="P28" s="770" t="str" cm="1">
        <f t="array" ref="P28">_xlfn.TEXTJOIN(CHAR(10),TRUE,_xlfn._xlws.FILTER($C7:$C184,RIGHT(G7:G184,LEN("SWA"))="SWA",""))</f>
        <v/>
      </c>
      <c r="Q28" s="770" t="str" cm="1">
        <f t="array" ref="Q28">_xlfn.TEXTJOIN(CHAR(10),TRUE,_xlfn._xlws.FILTER($C7:$C184,RIGHT(H7:H184,LEN("SWA"))="SWA",""))</f>
        <v>HEATHER CMO
AARON B. HMO</v>
      </c>
      <c r="R28" s="770" t="str" cm="1">
        <f t="array" ref="R28">_xlfn.TEXTJOIN(CHAR(10),TRUE,_xlfn._xlws.FILTER($C7:$C184,RIGHT(I7:I184,LEN("SWA"))="SWA",""))</f>
        <v/>
      </c>
      <c r="S28" s="770" t="str" cm="1">
        <f t="array" ref="S28">_xlfn.TEXTJOIN(CHAR(10),TRUE,_xlfn._xlws.FILTER($C7:$C184,RIGHT(J7:J184,LEN("SWA"))="SWA",""))</f>
        <v>MILES SR
JESSICA JR</v>
      </c>
      <c r="T28" s="770" t="str" cm="1">
        <f t="array" ref="T28">_xlfn.TEXTJOIN(CHAR(10),TRUE,_xlfn._xlws.FILTER($C7:$C184,RIGHT(K7:K184,LEN("SWA"))="SWA",""))</f>
        <v>CHRISTOPHER JR</v>
      </c>
      <c r="U28" s="771" t="str" cm="1">
        <f t="array" ref="U28">_xlfn.TEXTJOIN(CHAR(10),TRUE,_xlfn._xlws.FILTER($C7:$C184,RIGHT(L7:L184,LEN("SWA"))="SWA",""))</f>
        <v/>
      </c>
      <c r="V28" s="34" t="s">
        <v>339</v>
      </c>
      <c r="W28" s="772">
        <v>3</v>
      </c>
    </row>
    <row r="29" spans="3:23" ht="14.1" customHeight="1">
      <c r="C29" s="497" t="s">
        <v>340</v>
      </c>
      <c r="D29" s="497" t="s">
        <v>96</v>
      </c>
      <c r="E29" s="502">
        <v>601096</v>
      </c>
      <c r="F29" s="674" t="s">
        <v>39</v>
      </c>
      <c r="G29" s="583"/>
      <c r="H29" s="590" t="s">
        <v>47</v>
      </c>
      <c r="I29" s="565" t="s">
        <v>36</v>
      </c>
      <c r="J29" s="590"/>
      <c r="K29" s="576"/>
      <c r="L29" s="579"/>
      <c r="N29" s="779"/>
      <c r="O29" s="782"/>
      <c r="P29" s="740"/>
      <c r="Q29" s="740"/>
      <c r="R29" s="740"/>
      <c r="S29" s="740"/>
      <c r="T29" s="740"/>
      <c r="U29" s="764"/>
      <c r="W29" s="772"/>
    </row>
    <row r="30" spans="3:23" ht="14.1" customHeight="1" thickBot="1">
      <c r="C30" s="497" t="s">
        <v>341</v>
      </c>
      <c r="D30" s="497" t="s">
        <v>97</v>
      </c>
      <c r="E30" s="502">
        <v>260509</v>
      </c>
      <c r="F30" s="592" t="s">
        <v>98</v>
      </c>
      <c r="G30" s="593"/>
      <c r="H30" s="593"/>
      <c r="I30" s="593"/>
      <c r="J30" s="593"/>
      <c r="K30" s="593"/>
      <c r="L30" s="594"/>
      <c r="N30" s="780"/>
      <c r="O30" s="783"/>
      <c r="P30" s="741"/>
      <c r="Q30" s="741"/>
      <c r="R30" s="741"/>
      <c r="S30" s="741"/>
      <c r="T30" s="741"/>
      <c r="U30" s="765"/>
      <c r="W30" s="772"/>
    </row>
    <row r="31" spans="3:23" ht="14.1" customHeight="1" thickBot="1">
      <c r="C31" s="504" t="s">
        <v>343</v>
      </c>
      <c r="D31" s="504" t="s">
        <v>99</v>
      </c>
      <c r="E31" s="502">
        <v>603237</v>
      </c>
      <c r="F31" s="674" t="s">
        <v>39</v>
      </c>
      <c r="G31" s="565"/>
      <c r="H31" s="565"/>
      <c r="I31" s="565" t="s">
        <v>41</v>
      </c>
      <c r="J31" s="565" t="s">
        <v>33</v>
      </c>
      <c r="K31" s="565"/>
      <c r="L31" s="565" t="s">
        <v>36</v>
      </c>
      <c r="N31" s="101"/>
      <c r="O31" s="101"/>
      <c r="P31" s="101"/>
      <c r="Q31" s="101"/>
      <c r="R31" s="101"/>
      <c r="S31" s="101"/>
      <c r="T31" s="101"/>
      <c r="U31" s="101"/>
      <c r="V31" s="101"/>
      <c r="W31" s="101"/>
    </row>
    <row r="32" spans="3:23" ht="14.1" customHeight="1">
      <c r="C32" s="520" t="s">
        <v>344</v>
      </c>
      <c r="D32" s="520" t="s">
        <v>101</v>
      </c>
      <c r="E32" s="502">
        <v>613781</v>
      </c>
      <c r="F32" s="582"/>
      <c r="G32" s="565" t="s">
        <v>41</v>
      </c>
      <c r="H32" s="565" t="s">
        <v>50</v>
      </c>
      <c r="I32" s="576"/>
      <c r="J32" s="565" t="s">
        <v>35</v>
      </c>
      <c r="K32" s="590"/>
      <c r="L32" s="651"/>
      <c r="N32" s="103" t="s">
        <v>345</v>
      </c>
      <c r="O32" s="249" t="str">
        <f>F62</f>
        <v>REZA PHNW</v>
      </c>
      <c r="P32" s="98" t="str">
        <f>G62</f>
        <v>REZA</v>
      </c>
      <c r="Q32" s="98" t="str">
        <f t="shared" ref="Q32:S32" si="9">H62</f>
        <v>ARRHCIE</v>
      </c>
      <c r="R32" s="98" t="str">
        <f t="shared" si="9"/>
        <v>REZA</v>
      </c>
      <c r="S32" s="98" t="str">
        <f t="shared" si="9"/>
        <v>JENNY</v>
      </c>
      <c r="T32" s="99"/>
      <c r="U32" s="100"/>
      <c r="W32" s="89"/>
    </row>
    <row r="33" spans="3:23" ht="14.1" customHeight="1" thickBot="1">
      <c r="C33" s="497" t="s">
        <v>346</v>
      </c>
      <c r="D33" s="497" t="s">
        <v>102</v>
      </c>
      <c r="E33" s="502">
        <v>611691</v>
      </c>
      <c r="F33" s="674" t="s">
        <v>39</v>
      </c>
      <c r="G33" s="565" t="s">
        <v>36</v>
      </c>
      <c r="H33" s="566"/>
      <c r="I33" s="565"/>
      <c r="J33" s="565" t="s">
        <v>41</v>
      </c>
      <c r="K33" s="583" t="s">
        <v>1</v>
      </c>
      <c r="L33" s="565"/>
      <c r="N33" s="834" t="s">
        <v>347</v>
      </c>
      <c r="O33" s="521" t="str" cm="1">
        <f t="array" ref="O33">_xlfn.TEXTJOIN(CHAR(10),TRUE,_xlfn._xlws.FILTER($C7:$C184,RIGHT(F7:F184,LEN("CSO"))="CSO",""))</f>
        <v/>
      </c>
      <c r="P33" s="835" t="str" cm="1">
        <f t="array" ref="P33">_xlfn.TEXTJOIN(CHAR(10),TRUE,_xlfn._xlws.FILTER($C7:$C184,RIGHT(G7:G184,LEN("CSO"))="CSO",""))</f>
        <v>QING SMS</v>
      </c>
      <c r="Q33" s="835" t="str" cm="1">
        <f t="array" ref="Q33">_xlfn.TEXTJOIN(CHAR(10),TRUE,_xlfn._xlws.FILTER($C7:$C184,RIGHT(H7:H184,LEN("CSO"))="CSO",""))</f>
        <v>STEPHEN G SMS</v>
      </c>
      <c r="R33" s="835" t="str" cm="1">
        <f t="array" ref="R33">_xlfn.TEXTJOIN(CHAR(10),TRUE,_xlfn._xlws.FILTER($C7:$C184,RIGHT(I7:I184,LEN("CSO"))="CSO",""))</f>
        <v>TITUS CMO</v>
      </c>
      <c r="S33" s="835" t="str" cm="1">
        <f t="array" ref="S33">_xlfn.TEXTJOIN(CHAR(10),TRUE,_xlfn._xlws.FILTER($C7:$C184,RIGHT(J7:J184,LEN("CSO"))="CSO",""))</f>
        <v/>
      </c>
      <c r="T33" s="835"/>
      <c r="U33" s="836"/>
      <c r="W33" s="89"/>
    </row>
    <row r="34" spans="3:23" ht="14.1" customHeight="1" thickBot="1">
      <c r="C34" s="497" t="s">
        <v>348</v>
      </c>
      <c r="D34" s="504" t="s">
        <v>103</v>
      </c>
      <c r="E34" s="502">
        <v>634258</v>
      </c>
      <c r="F34" s="672" t="s">
        <v>38</v>
      </c>
      <c r="G34" s="565"/>
      <c r="H34" s="565" t="s">
        <v>33</v>
      </c>
      <c r="I34" s="578" t="s">
        <v>342</v>
      </c>
      <c r="J34" s="565"/>
      <c r="K34" s="565"/>
      <c r="L34" s="577"/>
      <c r="O34" s="89"/>
      <c r="W34" s="89"/>
    </row>
    <row r="35" spans="3:23" ht="14.1" customHeight="1" thickBot="1">
      <c r="C35" s="504" t="s">
        <v>349</v>
      </c>
      <c r="D35" s="504" t="s">
        <v>104</v>
      </c>
      <c r="E35" s="506">
        <v>618946</v>
      </c>
      <c r="F35" s="672" t="s">
        <v>39</v>
      </c>
      <c r="G35" s="602" t="s">
        <v>476</v>
      </c>
      <c r="H35" s="576"/>
      <c r="I35" s="565"/>
      <c r="J35" s="565" t="s">
        <v>38</v>
      </c>
      <c r="K35" s="565"/>
      <c r="L35" s="577"/>
      <c r="O35" s="784" t="s">
        <v>350</v>
      </c>
      <c r="P35" s="785"/>
      <c r="Q35" s="785"/>
      <c r="R35" s="785"/>
      <c r="S35" s="785"/>
      <c r="T35" s="785"/>
      <c r="U35" s="786"/>
      <c r="W35" s="89" t="s">
        <v>351</v>
      </c>
    </row>
    <row r="36" spans="3:23" ht="14.1" customHeight="1">
      <c r="C36" s="504" t="s">
        <v>352</v>
      </c>
      <c r="D36" s="504" t="s">
        <v>109</v>
      </c>
      <c r="E36" s="502">
        <v>634702</v>
      </c>
      <c r="F36" s="592" t="s">
        <v>98</v>
      </c>
      <c r="G36" s="593"/>
      <c r="H36" s="593"/>
      <c r="I36" s="593"/>
      <c r="J36" s="593"/>
      <c r="K36" s="593"/>
      <c r="L36" s="594"/>
      <c r="N36" s="104" t="s">
        <v>303</v>
      </c>
      <c r="O36" s="105" t="str">
        <f t="shared" ref="O36:U36" si="10">INDEX($C7:$L188,MATCH("*Pgc",F7:F191,0),1)</f>
        <v>JEREMY SMS</v>
      </c>
      <c r="P36" s="99" t="str">
        <f t="shared" si="10"/>
        <v>ANDY L  SMS</v>
      </c>
      <c r="Q36" s="99" t="str">
        <f t="shared" si="10"/>
        <v>TECWYN SMS</v>
      </c>
      <c r="R36" s="99" t="str">
        <f t="shared" si="10"/>
        <v>TARA J. SMS</v>
      </c>
      <c r="S36" s="99" t="str">
        <f t="shared" si="10"/>
        <v>RICHARD SMS</v>
      </c>
      <c r="T36" s="99" t="str">
        <f t="shared" si="10"/>
        <v>JULIA SMS</v>
      </c>
      <c r="U36" s="100" t="str">
        <f t="shared" si="10"/>
        <v>BRAD SMS</v>
      </c>
      <c r="V36" s="34" t="s">
        <v>293</v>
      </c>
      <c r="W36" s="772">
        <v>5</v>
      </c>
    </row>
    <row r="37" spans="3:23" ht="14.1" customHeight="1">
      <c r="C37" s="78" t="s">
        <v>353</v>
      </c>
      <c r="D37" s="504" t="s">
        <v>110</v>
      </c>
      <c r="E37" s="498">
        <v>648587</v>
      </c>
      <c r="F37" s="575"/>
      <c r="G37" s="65"/>
      <c r="H37" s="65"/>
      <c r="I37" s="65" t="s">
        <v>43</v>
      </c>
      <c r="J37" s="565"/>
      <c r="K37" s="565" t="s">
        <v>35</v>
      </c>
      <c r="L37" s="604" t="s">
        <v>38</v>
      </c>
      <c r="N37" s="522" t="s">
        <v>305</v>
      </c>
      <c r="O37" s="523" t="str">
        <f t="shared" ref="O37:U37" si="11">INDEX($C7:$L188,MATCH("*PAC",F7:F190,0),1)</f>
        <v>JON SMS</v>
      </c>
      <c r="P37" s="500" t="str">
        <f t="shared" si="11"/>
        <v>ANASTASIA SMS</v>
      </c>
      <c r="Q37" s="500" t="str">
        <f t="shared" si="11"/>
        <v>YAN SMS</v>
      </c>
      <c r="R37" s="500" t="str">
        <f t="shared" si="11"/>
        <v>NICOLA SMS</v>
      </c>
      <c r="S37" s="500" t="str">
        <f t="shared" si="11"/>
        <v>SCOTT SMS</v>
      </c>
      <c r="T37" s="500" t="str">
        <f t="shared" si="11"/>
        <v>PAIGE SMS</v>
      </c>
      <c r="U37" s="501" t="str">
        <f t="shared" si="11"/>
        <v>QAIS SMS</v>
      </c>
      <c r="V37" s="34" t="s">
        <v>292</v>
      </c>
      <c r="W37" s="772"/>
    </row>
    <row r="38" spans="3:23" ht="14.1" customHeight="1">
      <c r="C38" s="78" t="s">
        <v>354</v>
      </c>
      <c r="D38" s="504" t="s">
        <v>111</v>
      </c>
      <c r="E38" s="498">
        <v>637933</v>
      </c>
      <c r="F38" s="672" t="s">
        <v>46</v>
      </c>
      <c r="G38" s="566"/>
      <c r="H38" s="566" t="s">
        <v>33</v>
      </c>
      <c r="I38" s="576"/>
      <c r="J38" s="204"/>
      <c r="K38" s="566" t="s">
        <v>34</v>
      </c>
      <c r="L38" s="579"/>
      <c r="N38" s="524" t="s">
        <v>307</v>
      </c>
      <c r="O38" s="523" t="str">
        <f t="shared" ref="O38:U38" si="12">INDEX($C7:$L188,MATCH("*PRC",F7:F191,0),1)</f>
        <v>QING SMS</v>
      </c>
      <c r="P38" s="500" t="str">
        <f t="shared" si="12"/>
        <v>JACKIE SMS</v>
      </c>
      <c r="Q38" s="500" t="str">
        <f t="shared" si="12"/>
        <v>ANASTASIA SMS</v>
      </c>
      <c r="R38" s="500" t="str">
        <f t="shared" si="12"/>
        <v>BARRY SMS</v>
      </c>
      <c r="S38" s="500" t="str">
        <f t="shared" si="12"/>
        <v>STEPHEN G SMS</v>
      </c>
      <c r="T38" s="500" t="str">
        <f t="shared" si="12"/>
        <v>QAIS SMS</v>
      </c>
      <c r="U38" s="501" t="str">
        <f t="shared" si="12"/>
        <v>PAIGE SMS</v>
      </c>
      <c r="V38" s="34" t="s">
        <v>291</v>
      </c>
      <c r="W38" s="772"/>
    </row>
    <row r="39" spans="3:23" ht="14.1" customHeight="1">
      <c r="C39" s="504" t="s">
        <v>355</v>
      </c>
      <c r="D39" s="504" t="s">
        <v>112</v>
      </c>
      <c r="E39" s="506">
        <v>634394</v>
      </c>
      <c r="F39" s="674" t="s">
        <v>39</v>
      </c>
      <c r="G39" s="66"/>
      <c r="H39" s="566" t="s">
        <v>38</v>
      </c>
      <c r="I39" s="576"/>
      <c r="J39" s="566" t="s">
        <v>43</v>
      </c>
      <c r="K39" s="576"/>
      <c r="L39" s="577"/>
      <c r="N39" s="525" t="s">
        <v>309</v>
      </c>
      <c r="O39" s="523" t="str">
        <f t="shared" ref="O39:U39" si="13">INDEX($C7:$L188,MATCH("*PSSC",F7:F191,0),1)</f>
        <v>MADDY SMS</v>
      </c>
      <c r="P39" s="500" t="str">
        <f t="shared" si="13"/>
        <v>RICHARD SMS</v>
      </c>
      <c r="Q39" s="500" t="str">
        <f t="shared" si="13"/>
        <v>MICHELLE SMS</v>
      </c>
      <c r="R39" s="500" t="str">
        <f t="shared" si="13"/>
        <v>TARA K. SMS</v>
      </c>
      <c r="S39" s="500" t="str">
        <f t="shared" si="13"/>
        <v>SUSAN SMS</v>
      </c>
      <c r="T39" s="500" t="str">
        <f t="shared" si="13"/>
        <v>DANIEL SMS</v>
      </c>
      <c r="U39" s="501" t="str">
        <f t="shared" si="13"/>
        <v>JULIA SMS</v>
      </c>
      <c r="V39" s="34" t="s">
        <v>295</v>
      </c>
      <c r="W39" s="772"/>
    </row>
    <row r="40" spans="3:23" ht="14.1" customHeight="1">
      <c r="C40" s="497" t="s">
        <v>356</v>
      </c>
      <c r="D40" s="526" t="s">
        <v>113</v>
      </c>
      <c r="E40" s="502">
        <v>605686</v>
      </c>
      <c r="F40" s="611"/>
      <c r="G40" s="600"/>
      <c r="H40" s="601"/>
      <c r="I40" s="565" t="s">
        <v>40</v>
      </c>
      <c r="J40" s="600"/>
      <c r="K40" s="600" t="s">
        <v>36</v>
      </c>
      <c r="L40" s="603" t="s">
        <v>34</v>
      </c>
      <c r="N40" s="527" t="s">
        <v>357</v>
      </c>
      <c r="O40" s="523" t="str">
        <f t="shared" ref="O40:U40" si="14">INDEX($C7:$L214,MATCH("*PCC*",F7:F202,0),1)</f>
        <v>DANIEL SMS</v>
      </c>
      <c r="P40" s="500" t="str">
        <f t="shared" si="14"/>
        <v>PAT SMS</v>
      </c>
      <c r="Q40" s="500" t="str">
        <f>INDEX($C7:$L214,MATCH("*PCC*",H7:H199,0),1)</f>
        <v>MAUREEN SMS</v>
      </c>
      <c r="R40" s="500" t="str">
        <f t="shared" si="14"/>
        <v>BEN SMS</v>
      </c>
      <c r="S40" s="500" t="str">
        <f t="shared" si="14"/>
        <v>TITUS CMO</v>
      </c>
      <c r="T40" s="500" t="e">
        <f t="shared" si="14"/>
        <v>#N/A</v>
      </c>
      <c r="U40" s="501" t="e">
        <f t="shared" si="14"/>
        <v>#N/A</v>
      </c>
      <c r="V40" s="34" t="s">
        <v>294</v>
      </c>
      <c r="W40" s="772"/>
    </row>
    <row r="41" spans="3:23" ht="14.1" customHeight="1">
      <c r="C41" s="79" t="s">
        <v>358</v>
      </c>
      <c r="D41" s="497" t="s">
        <v>114</v>
      </c>
      <c r="E41" s="502">
        <v>119385</v>
      </c>
      <c r="F41" s="675"/>
      <c r="G41" s="566"/>
      <c r="H41" s="566"/>
      <c r="I41" s="565"/>
      <c r="J41" s="565" t="s">
        <v>34</v>
      </c>
      <c r="K41" s="565"/>
      <c r="L41" s="577"/>
      <c r="N41" s="789" t="s">
        <v>360</v>
      </c>
      <c r="O41" s="787" t="str" cm="1">
        <f t="array" ref="O41">_xlfn.TEXTJOIN(CHAR(10),TRUE,IF(F7:F111="1430-0000 PFC",$C7:$C111,""),IF(F7:F111="1400-0000 PFC",$C7:$C111,""),IF(F7:F111="1430-0000",$C7:$C111,""))</f>
        <v>TITUS CMO
SHIV IR
RACHEL JR
KELLY JR</v>
      </c>
      <c r="P41" s="750" t="str" cm="1">
        <f t="array" ref="P41">_xlfn.TEXTJOIN(CHAR(10),TRUE,IF(G7:G111="1430-0000 PFC",$C7:$C111,""),IF(G7:G111="1400-0000 PFC",$C7:$C111,""),IF(G7:G111="1430-0000",$C7:$C111,""))</f>
        <v>PATRICK SR
ANA CMO
CHRISTOPHER JR
PAUL JR</v>
      </c>
      <c r="Q41" s="750" t="str" cm="1">
        <f t="array" ref="Q41">_xlfn.TEXTJOIN(CHAR(10),TRUE,IF(H7:H111="1430-0000 PFC",$C7:$C111,""),IF(H7:H111="1400-0000 PFC",$C7:$C111,""),IF(H7:H111="1430-0000",$C7:$C111,""))</f>
        <v>JOSHUA IR
JEROME JR</v>
      </c>
      <c r="R41" s="750" t="str" cm="1">
        <f t="array" ref="R41">_xlfn.TEXTJOIN(CHAR(10),TRUE,IF(I7:I111="1430-0000 PFC",$C7:$C111,""),IF(I7:I111="1400-0000 PFC",$C7:$C111,""),IF(I7:I111="1430-0000",$C7:$C111,""))</f>
        <v>ABI SMS
JOSEPH SR
JOSHUA IR
CRAIG JR
SYLVIA JR</v>
      </c>
      <c r="S41" s="750" t="str" cm="1">
        <f t="array" ref="S41">_xlfn.TEXTJOIN(CHAR(10),TRUE,IF(J7:J111="1430-0000 PFC",$C7:$C111,""),IF(J7:J111="1400-0000 PFC",$C7:$C111,""),IF(J7:J111="1430-0000",$C7:$C111,""))</f>
        <v>PATRICK SR
JOSHUA IR
JEROME JR
KELLY JR</v>
      </c>
      <c r="T41" s="750" t="str" cm="1">
        <f t="array" ref="T41">_xlfn.TEXTJOIN(CHAR(10),TRUE,IF(K7:K111="1430-0000 PFC",$C7:$C111,""),IF(K7:K111="1400-0000 PFC",$C7:$C111,""),IF(K7:K111="1430-0000",$C7:$C111,""))</f>
        <v>MILES SR</v>
      </c>
      <c r="U41" s="788" t="str" cm="1">
        <f t="array" ref="U41">_xlfn.TEXTJOIN(CHAR(10),TRUE,IF(L7:L111="1430-0000 PFC",$C7:$C111,""),IF(L7:L111="1400-0000 PFC",$C7:$C111,""),IF(L7:L111="1430-0000",$C7:$C111,""))</f>
        <v>SALEEM CMO
MILES SR
ISOBEL JR</v>
      </c>
      <c r="W41" s="772">
        <v>7</v>
      </c>
    </row>
    <row r="42" spans="3:23" ht="14.1" customHeight="1">
      <c r="C42" s="504" t="s">
        <v>361</v>
      </c>
      <c r="D42" s="504" t="s">
        <v>116</v>
      </c>
      <c r="E42" s="502">
        <v>623962</v>
      </c>
      <c r="F42" s="672"/>
      <c r="G42" s="65"/>
      <c r="H42" s="65"/>
      <c r="I42" s="65" t="s">
        <v>47</v>
      </c>
      <c r="J42" s="565"/>
      <c r="K42" s="565"/>
      <c r="L42" s="604"/>
      <c r="N42" s="790"/>
      <c r="O42" s="787"/>
      <c r="P42" s="750"/>
      <c r="Q42" s="750"/>
      <c r="R42" s="750"/>
      <c r="S42" s="750"/>
      <c r="T42" s="750"/>
      <c r="U42" s="788"/>
      <c r="W42" s="772"/>
    </row>
    <row r="43" spans="3:23" ht="14.1" customHeight="1">
      <c r="C43" s="497" t="s">
        <v>362</v>
      </c>
      <c r="D43" s="504" t="s">
        <v>117</v>
      </c>
      <c r="E43" s="508">
        <v>613725</v>
      </c>
      <c r="F43" s="672"/>
      <c r="G43" s="565"/>
      <c r="H43" s="576"/>
      <c r="I43" s="565"/>
      <c r="J43" s="565" t="s">
        <v>32</v>
      </c>
      <c r="K43" s="565" t="s">
        <v>38</v>
      </c>
      <c r="L43" s="577" t="s">
        <v>35</v>
      </c>
      <c r="N43" s="790"/>
      <c r="O43" s="787"/>
      <c r="P43" s="750"/>
      <c r="Q43" s="750"/>
      <c r="R43" s="750"/>
      <c r="S43" s="750"/>
      <c r="T43" s="750"/>
      <c r="U43" s="788"/>
      <c r="W43" s="772"/>
    </row>
    <row r="44" spans="3:23" ht="14.1" customHeight="1">
      <c r="C44" s="497" t="s">
        <v>363</v>
      </c>
      <c r="D44" s="504" t="s">
        <v>118</v>
      </c>
      <c r="E44" s="516">
        <v>612264</v>
      </c>
      <c r="F44" s="575"/>
      <c r="G44" s="565"/>
      <c r="H44" s="565"/>
      <c r="I44" s="565" t="s">
        <v>46</v>
      </c>
      <c r="J44" s="565" t="s">
        <v>33</v>
      </c>
      <c r="K44" s="565"/>
      <c r="L44" s="577"/>
      <c r="N44" s="790"/>
      <c r="O44" s="787"/>
      <c r="P44" s="750"/>
      <c r="Q44" s="750"/>
      <c r="R44" s="750"/>
      <c r="S44" s="750"/>
      <c r="T44" s="750"/>
      <c r="U44" s="788"/>
      <c r="W44" s="772"/>
    </row>
    <row r="45" spans="3:23" ht="14.1" customHeight="1">
      <c r="C45" s="497" t="s">
        <v>364</v>
      </c>
      <c r="D45" s="497" t="s">
        <v>119</v>
      </c>
      <c r="E45" s="502">
        <v>643950</v>
      </c>
      <c r="F45" s="672" t="s">
        <v>37</v>
      </c>
      <c r="G45" s="576"/>
      <c r="H45" s="565" t="s">
        <v>41</v>
      </c>
      <c r="I45" s="576"/>
      <c r="J45" s="576"/>
      <c r="K45" s="565"/>
      <c r="L45" s="577"/>
      <c r="N45" s="790"/>
      <c r="O45" s="787"/>
      <c r="P45" s="750"/>
      <c r="Q45" s="750"/>
      <c r="R45" s="750"/>
      <c r="S45" s="750"/>
      <c r="T45" s="750"/>
      <c r="U45" s="788"/>
      <c r="W45" s="772"/>
    </row>
    <row r="46" spans="3:23" ht="14.1" customHeight="1">
      <c r="C46" s="79" t="s">
        <v>365</v>
      </c>
      <c r="D46" s="723" t="s">
        <v>120</v>
      </c>
      <c r="E46" s="502">
        <v>618881</v>
      </c>
      <c r="F46" s="672"/>
      <c r="G46" s="565"/>
      <c r="H46" s="565"/>
      <c r="I46" s="565"/>
      <c r="J46" s="565"/>
      <c r="K46" s="565" t="s">
        <v>40</v>
      </c>
      <c r="L46" s="577" t="s">
        <v>37</v>
      </c>
      <c r="N46" s="790"/>
      <c r="O46" s="787"/>
      <c r="P46" s="750"/>
      <c r="Q46" s="750"/>
      <c r="R46" s="750"/>
      <c r="S46" s="750"/>
      <c r="T46" s="750"/>
      <c r="U46" s="788"/>
      <c r="W46" s="772"/>
    </row>
    <row r="47" spans="3:23" ht="14.1" customHeight="1">
      <c r="C47" s="497" t="s">
        <v>366</v>
      </c>
      <c r="D47" s="497" t="s">
        <v>122</v>
      </c>
      <c r="E47" s="508">
        <v>141658</v>
      </c>
      <c r="F47" s="672"/>
      <c r="G47" s="565" t="s">
        <v>40</v>
      </c>
      <c r="H47" s="565" t="s">
        <v>524</v>
      </c>
      <c r="I47" s="565"/>
      <c r="J47" s="565"/>
      <c r="K47" s="565"/>
      <c r="L47" s="577"/>
      <c r="N47" s="791"/>
      <c r="O47" s="787"/>
      <c r="P47" s="750"/>
      <c r="Q47" s="750"/>
      <c r="R47" s="750"/>
      <c r="S47" s="750"/>
      <c r="T47" s="750"/>
      <c r="U47" s="788"/>
      <c r="W47" s="101"/>
    </row>
    <row r="48" spans="3:23" ht="14.1" customHeight="1">
      <c r="C48" s="511" t="s">
        <v>367</v>
      </c>
      <c r="D48" s="504" t="s">
        <v>123</v>
      </c>
      <c r="E48" s="516">
        <v>654004</v>
      </c>
      <c r="F48" s="672"/>
      <c r="G48" s="565" t="s">
        <v>47</v>
      </c>
      <c r="H48" s="565"/>
      <c r="I48" s="565"/>
      <c r="J48" s="576"/>
      <c r="K48" s="565"/>
      <c r="L48" s="577"/>
      <c r="N48" s="528" t="s">
        <v>368</v>
      </c>
      <c r="O48" s="523" t="str">
        <f t="shared" ref="O48:U48" si="15">INDEX($C7:$L188,MATCH("*PHJ*",F7:F191,0),1)</f>
        <v>CHRISTOPHER JR</v>
      </c>
      <c r="P48" s="500" t="str">
        <f t="shared" si="15"/>
        <v>DESLIN JR</v>
      </c>
      <c r="Q48" s="500" t="str">
        <f t="shared" si="15"/>
        <v>CRAIG JR</v>
      </c>
      <c r="R48" s="500" t="str">
        <f t="shared" si="15"/>
        <v>KELLY JR</v>
      </c>
      <c r="S48" s="500" t="e">
        <f t="shared" si="15"/>
        <v>#N/A</v>
      </c>
      <c r="T48" s="500" t="str">
        <f t="shared" si="15"/>
        <v>ISOBEL JR</v>
      </c>
      <c r="U48" s="501" t="str">
        <f t="shared" si="15"/>
        <v>POH JR</v>
      </c>
      <c r="V48" s="34" t="s">
        <v>369</v>
      </c>
      <c r="W48" s="89">
        <v>1</v>
      </c>
    </row>
    <row r="49" spans="3:23" ht="14.1" customHeight="1">
      <c r="C49" s="511" t="s">
        <v>370</v>
      </c>
      <c r="D49" s="504" t="s">
        <v>124</v>
      </c>
      <c r="E49" s="676">
        <v>655191</v>
      </c>
      <c r="F49" s="672"/>
      <c r="G49" s="565"/>
      <c r="H49" s="565" t="s">
        <v>40</v>
      </c>
      <c r="I49" s="565" t="s">
        <v>35</v>
      </c>
      <c r="J49" s="204"/>
      <c r="K49" s="565"/>
      <c r="L49" s="577"/>
      <c r="N49" s="792" t="s">
        <v>325</v>
      </c>
      <c r="O49" s="787" t="str" cm="1">
        <f t="array" ref="O49">_xlfn.TEXTJOIN(CHAR(10),TRUE,_xlfn._xlws.FILTER($C7:$C184,RIGHT(F7:F184,LEN("pSSJ"))="pSSJ",""))</f>
        <v>WATHSALA HMO</v>
      </c>
      <c r="P49" s="750" t="str" cm="1">
        <f t="array" ref="P49">_xlfn.TEXTJOIN(CHAR(10),TRUE,_xlfn._xlws.FILTER($C7:$C184,RIGHT(G7:G184,LEN("pSSJ"))="pSSJ",""))</f>
        <v>BRENDAN HMO</v>
      </c>
      <c r="Q49" s="750" t="str" cm="1">
        <f t="array" ref="Q49">_xlfn.TEXTJOIN(CHAR(10),TRUE,_xlfn._xlws.FILTER($C7:$C184,RIGHT(H7:H184,LEN("pSSJ"))="pSSJ",""))</f>
        <v>AARON G. HMO</v>
      </c>
      <c r="R49" s="750" t="str" cm="1">
        <f t="array" ref="R49">_xlfn.TEXTJOIN(CHAR(10),TRUE,_xlfn._xlws.FILTER($C7:$C184,RIGHT(I7:I184,LEN("pSSJ"))="pSSJ",""))</f>
        <v>DEVUNI HMO</v>
      </c>
      <c r="S49" s="750" t="str" cm="1">
        <f t="array" ref="S49">_xlfn.TEXTJOIN(CHAR(10),TRUE,_xlfn._xlws.FILTER($C7:$C184,RIGHT(J7:J184,LEN("pSSJ"))="pSSJ",""))</f>
        <v>ANKUSH HMO</v>
      </c>
      <c r="T49" s="750" t="str" cm="1">
        <f t="array" ref="T49">_xlfn.TEXTJOIN(CHAR(10),TRUE,_xlfn._xlws.FILTER($C7:$C184,RIGHT(K7:K184,LEN("pSSJ"))="pSSJ",""))</f>
        <v>MASON HMO</v>
      </c>
      <c r="U49" s="788" t="str" cm="1">
        <f t="array" ref="U49">_xlfn.TEXTJOIN(CHAR(10),TRUE,_xlfn._xlws.FILTER($C7:$C184,RIGHT(L7:L184,LEN("pSSJ"))="pSSJ",""))</f>
        <v/>
      </c>
      <c r="V49" s="34" t="s">
        <v>372</v>
      </c>
      <c r="W49" s="772">
        <v>2</v>
      </c>
    </row>
    <row r="50" spans="3:23" ht="14.1" customHeight="1">
      <c r="C50" s="511" t="s">
        <v>373</v>
      </c>
      <c r="D50" s="504" t="s">
        <v>126</v>
      </c>
      <c r="E50" s="676">
        <v>653055</v>
      </c>
      <c r="F50" s="677" t="s">
        <v>127</v>
      </c>
      <c r="G50" s="75" t="s">
        <v>33</v>
      </c>
      <c r="H50" s="75" t="s">
        <v>41</v>
      </c>
      <c r="I50" s="75" t="s">
        <v>34</v>
      </c>
      <c r="J50" s="610"/>
      <c r="K50" s="600"/>
      <c r="L50" s="613"/>
      <c r="N50" s="792"/>
      <c r="O50" s="787"/>
      <c r="P50" s="750"/>
      <c r="Q50" s="750"/>
      <c r="R50" s="750"/>
      <c r="S50" s="750"/>
      <c r="T50" s="750"/>
      <c r="U50" s="788"/>
      <c r="W50" s="772"/>
    </row>
    <row r="51" spans="3:23" ht="14.1" customHeight="1">
      <c r="C51" s="497" t="s">
        <v>374</v>
      </c>
      <c r="D51" s="340" t="s">
        <v>128</v>
      </c>
      <c r="E51" s="678">
        <v>650059</v>
      </c>
      <c r="F51" s="677" t="s">
        <v>36</v>
      </c>
      <c r="G51" s="600"/>
      <c r="H51" s="576"/>
      <c r="I51" s="600" t="s">
        <v>33</v>
      </c>
      <c r="J51" s="610"/>
      <c r="K51" s="600"/>
      <c r="L51" s="576"/>
      <c r="N51" s="733" t="s">
        <v>330</v>
      </c>
      <c r="O51" s="736" t="str" cm="1">
        <f t="array" ref="O51">_xlfn.TEXTJOIN(CHAR(10),TRUE,IF(F112:F184="1430-0000",$C112:$C184,""))</f>
        <v>ANKUSH HMO
BRENDAN HMO
NATHAN HMO
WILL HMO
Arushi INT
Filip INT</v>
      </c>
      <c r="P51" s="739" t="str" cm="1">
        <f t="array" ref="P51">_xlfn.TEXTJOIN(CHAR(10),TRUE,IF(G112:G184="1430-0000",$C112:$C184,""))</f>
        <v>ANKUSH HMO
AARON G. HMO
ZOBIA HMO
WILL HMO
Arooj INT</v>
      </c>
      <c r="Q51" s="739" t="str" cm="1">
        <f t="array" ref="Q51">_xlfn.TEXTJOIN(CHAR(10),TRUE,IF(H112:H184="1430-0000",$C112:$C184,""))</f>
        <v>BRENDAN HMO
MILOS HMO
LISA HMO
ZOBIA HMO
Arooj INT</v>
      </c>
      <c r="R51" s="739" t="str" cm="1">
        <f t="array" ref="R51">_xlfn.TEXTJOIN(CHAR(10),TRUE,IF(I112:I184="1430-0000",$C112:$C184,""))</f>
        <v>BRIANNA HMO
MARYAM HMO
Arooj INT
Elliott INT</v>
      </c>
      <c r="S51" s="739" t="str" cm="1">
        <f t="array" ref="S51">_xlfn.TEXTJOIN(CHAR(10),TRUE,IF(J112:J184="1430-0000",$C112:$C184,""))</f>
        <v>CHRIS HMO
HARRISON HMO
Arooj INT
Elliott INT</v>
      </c>
      <c r="T51" s="739" t="str" cm="1">
        <f t="array" ref="T51">_xlfn.TEXTJOIN(CHAR(10),TRUE,IF(K112:K184="1430-0000",$C112:$C184,""))</f>
        <v>AARON B. HMO
HARRISON HMO
PIN HMO
NATALIE HMO
Ann INT
Elliott INT
Roxana INT</v>
      </c>
      <c r="U51" s="763" t="str" cm="1">
        <f t="array" ref="U51">_xlfn.TEXTJOIN(CHAR(10),TRUE,IF(L112:L184="1430-0000",$C112:$C184,""))</f>
        <v>MASON HMO
PIN HMO
NATALIE HMO
Ann INT
Elliott INT
Roxana INT</v>
      </c>
      <c r="W51" s="772">
        <v>8</v>
      </c>
    </row>
    <row r="52" spans="3:23" ht="14.1" customHeight="1">
      <c r="C52" s="497" t="s">
        <v>375</v>
      </c>
      <c r="D52" s="340" t="s">
        <v>129</v>
      </c>
      <c r="E52" s="678">
        <v>703067</v>
      </c>
      <c r="F52" s="576"/>
      <c r="G52" s="576"/>
      <c r="H52" s="610"/>
      <c r="I52" s="610"/>
      <c r="J52" s="600" t="s">
        <v>37</v>
      </c>
      <c r="K52" s="600" t="s">
        <v>47</v>
      </c>
      <c r="L52" s="652"/>
      <c r="N52" s="734"/>
      <c r="O52" s="737"/>
      <c r="P52" s="740"/>
      <c r="Q52" s="740"/>
      <c r="R52" s="740"/>
      <c r="S52" s="740"/>
      <c r="T52" s="740"/>
      <c r="U52" s="764"/>
      <c r="W52" s="772"/>
    </row>
    <row r="53" spans="3:23" ht="14.1" customHeight="1">
      <c r="C53" s="497" t="s">
        <v>376</v>
      </c>
      <c r="D53" s="340" t="s">
        <v>132</v>
      </c>
      <c r="E53" s="678">
        <v>703495</v>
      </c>
      <c r="F53" s="672" t="s">
        <v>39</v>
      </c>
      <c r="G53" s="600" t="s">
        <v>37</v>
      </c>
      <c r="H53" s="612"/>
      <c r="I53" s="610"/>
      <c r="J53" s="610"/>
      <c r="K53" s="610"/>
      <c r="L53" s="603"/>
      <c r="N53" s="734"/>
      <c r="O53" s="737"/>
      <c r="P53" s="740"/>
      <c r="Q53" s="740"/>
      <c r="R53" s="740"/>
      <c r="S53" s="740"/>
      <c r="T53" s="740"/>
      <c r="U53" s="764"/>
      <c r="W53" s="772"/>
    </row>
    <row r="54" spans="3:23" ht="14.1" customHeight="1">
      <c r="C54" s="504" t="s">
        <v>377</v>
      </c>
      <c r="D54" s="504" t="s">
        <v>133</v>
      </c>
      <c r="E54" s="502">
        <v>578275</v>
      </c>
      <c r="F54" s="672"/>
      <c r="G54" s="565" t="s">
        <v>90</v>
      </c>
      <c r="H54" s="565" t="s">
        <v>46</v>
      </c>
      <c r="I54" s="566"/>
      <c r="J54" s="566"/>
      <c r="K54" s="566"/>
      <c r="L54" s="598"/>
      <c r="N54" s="734"/>
      <c r="O54" s="737"/>
      <c r="P54" s="740"/>
      <c r="Q54" s="740"/>
      <c r="R54" s="740"/>
      <c r="S54" s="740"/>
      <c r="T54" s="740"/>
      <c r="U54" s="764"/>
      <c r="W54" s="772"/>
    </row>
    <row r="55" spans="3:23" ht="14.1" customHeight="1">
      <c r="C55" s="504" t="s">
        <v>378</v>
      </c>
      <c r="D55" s="497" t="s">
        <v>135</v>
      </c>
      <c r="E55" s="502">
        <v>644237</v>
      </c>
      <c r="F55" s="672"/>
      <c r="G55" s="570"/>
      <c r="H55" s="570"/>
      <c r="I55" s="570"/>
      <c r="J55" s="570"/>
      <c r="K55" s="570"/>
      <c r="L55" s="571"/>
      <c r="N55" s="734"/>
      <c r="O55" s="737"/>
      <c r="P55" s="740"/>
      <c r="Q55" s="740"/>
      <c r="R55" s="740"/>
      <c r="S55" s="740"/>
      <c r="T55" s="740"/>
      <c r="U55" s="764"/>
      <c r="W55" s="772"/>
    </row>
    <row r="56" spans="3:23" ht="14.1" customHeight="1">
      <c r="C56" s="497" t="s">
        <v>379</v>
      </c>
      <c r="D56" s="504" t="s">
        <v>136</v>
      </c>
      <c r="E56" s="502">
        <v>634259</v>
      </c>
      <c r="F56" s="672"/>
      <c r="G56" s="586"/>
      <c r="H56" s="586"/>
      <c r="I56" s="586"/>
      <c r="J56" s="586"/>
      <c r="K56" s="679" t="s">
        <v>342</v>
      </c>
      <c r="L56" s="577"/>
      <c r="N56" s="734"/>
      <c r="O56" s="737"/>
      <c r="P56" s="740"/>
      <c r="Q56" s="740"/>
      <c r="R56" s="740"/>
      <c r="S56" s="740"/>
      <c r="T56" s="740"/>
      <c r="U56" s="764"/>
      <c r="W56" s="772"/>
    </row>
    <row r="57" spans="3:23" ht="14.1" customHeight="1">
      <c r="C57" s="497" t="s">
        <v>380</v>
      </c>
      <c r="D57" s="526" t="s">
        <v>137</v>
      </c>
      <c r="E57" s="502">
        <v>418439</v>
      </c>
      <c r="F57" s="677"/>
      <c r="G57" s="75"/>
      <c r="H57" s="75" t="s">
        <v>32</v>
      </c>
      <c r="I57" s="75"/>
      <c r="J57" s="600"/>
      <c r="K57" s="610"/>
      <c r="L57" s="613" t="s">
        <v>40</v>
      </c>
      <c r="N57" s="734"/>
      <c r="O57" s="737"/>
      <c r="P57" s="740"/>
      <c r="Q57" s="740"/>
      <c r="R57" s="740"/>
      <c r="S57" s="740"/>
      <c r="T57" s="740"/>
      <c r="U57" s="764"/>
      <c r="W57" s="772"/>
    </row>
    <row r="58" spans="3:23" ht="14.1" customHeight="1" thickBot="1">
      <c r="C58" s="511" t="s">
        <v>381</v>
      </c>
      <c r="D58" s="526" t="s">
        <v>138</v>
      </c>
      <c r="E58" s="498">
        <v>650974</v>
      </c>
      <c r="F58" s="582" t="s">
        <v>62</v>
      </c>
      <c r="G58" s="576"/>
      <c r="H58" s="583"/>
      <c r="I58" s="203"/>
      <c r="J58" s="576"/>
      <c r="K58" s="576"/>
      <c r="L58" s="579"/>
      <c r="N58" s="735"/>
      <c r="O58" s="738"/>
      <c r="P58" s="741"/>
      <c r="Q58" s="741"/>
      <c r="R58" s="741"/>
      <c r="S58" s="741"/>
      <c r="T58" s="741"/>
      <c r="U58" s="765"/>
      <c r="W58" s="772"/>
    </row>
    <row r="59" spans="3:23" ht="14.1" customHeight="1">
      <c r="C59" s="511" t="s">
        <v>382</v>
      </c>
      <c r="D59" s="526" t="s">
        <v>383</v>
      </c>
      <c r="E59" s="498">
        <v>541888</v>
      </c>
      <c r="F59" s="246"/>
      <c r="G59" s="218"/>
      <c r="H59" s="218"/>
      <c r="I59" s="247"/>
      <c r="J59" s="218"/>
      <c r="K59" s="566"/>
      <c r="L59" s="598"/>
      <c r="N59" s="239"/>
      <c r="O59" s="241"/>
      <c r="P59" s="240"/>
      <c r="Q59" s="240"/>
      <c r="R59" s="240"/>
      <c r="S59" s="240"/>
      <c r="T59" s="240"/>
      <c r="U59" s="242"/>
      <c r="W59" s="89"/>
    </row>
    <row r="60" spans="3:23" ht="14.1" customHeight="1">
      <c r="C60" s="530"/>
      <c r="D60" s="514"/>
      <c r="E60" s="515"/>
      <c r="F60" s="211"/>
      <c r="G60" s="62"/>
      <c r="H60" s="62"/>
      <c r="I60" s="62"/>
      <c r="J60" s="62"/>
      <c r="K60" s="565"/>
      <c r="L60" s="577"/>
      <c r="N60" s="742" t="s">
        <v>384</v>
      </c>
      <c r="O60" s="745" t="str" cm="1">
        <f t="array" ref="O60">_xlfn.TEXTJOIN(CHAR(10),TRUE,_xlfn._xlws.FILTER($C7:$C184,RIGHT(F7:F184,LEN("SWP"))="SWP",""))</f>
        <v>MARK SR</v>
      </c>
      <c r="P60" s="747" t="str" cm="1">
        <f t="array" ref="P60">_xlfn.TEXTJOIN(CHAR(10),TRUE,_xlfn._xlws.FILTER($C7:$C184,RIGHT(G7:G184,LEN("SWP"))="SWP",""))</f>
        <v>RACHEL JR</v>
      </c>
      <c r="Q60" s="747" t="str" cm="1">
        <f t="array" ref="Q60">_xlfn.TEXTJOIN(CHAR(10),TRUE,_xlfn._xlws.FILTER($C7:$C184,RIGHT(H7:H184,LEN("SWP"))="SWP",""))</f>
        <v>CHRISTINA JR</v>
      </c>
      <c r="R60" s="747" t="str" cm="1">
        <f t="array" ref="R60">_xlfn.TEXTJOIN(CHAR(10),TRUE,_xlfn._xlws.FILTER($C7:$C184,RIGHT(I7:I184,LEN("SWP"))="SWP",""))</f>
        <v>JEROME JR</v>
      </c>
      <c r="S60" s="747" t="str" cm="1">
        <f t="array" ref="S60">_xlfn.TEXTJOIN(CHAR(10),TRUE,_xlfn._xlws.FILTER($C7:$C184,RIGHT(J7:J184,LEN("SWP"))="SWP",""))</f>
        <v>AMY SR
HARMEEN IR</v>
      </c>
      <c r="T60" s="747" t="str" cm="1">
        <f t="array" ref="T60">_xlfn.TEXTJOIN(CHAR(10),TRUE,_xlfn._xlws.FILTER($C7:$C184,RIGHT(K7:K184,LEN("SWP"))="SWP",""))</f>
        <v/>
      </c>
      <c r="U60" s="766" t="str" cm="1">
        <f t="array" ref="U60">_xlfn.TEXTJOIN(CHAR(10),TRUE,_xlfn._xlws.FILTER($C7:$C184,RIGHT(L7:L184,LEN("SWP"))="SWP",""))</f>
        <v/>
      </c>
      <c r="V60" s="34" t="s">
        <v>385</v>
      </c>
      <c r="W60" s="89">
        <v>4</v>
      </c>
    </row>
    <row r="61" spans="3:23" ht="14.1" customHeight="1">
      <c r="C61" s="531"/>
      <c r="D61" s="532"/>
      <c r="E61" s="533"/>
      <c r="F61" s="211"/>
      <c r="G61" s="62"/>
      <c r="H61" s="62"/>
      <c r="I61" s="62"/>
      <c r="J61" s="62"/>
      <c r="K61" s="565"/>
      <c r="L61" s="577"/>
      <c r="N61" s="743"/>
      <c r="O61" s="746"/>
      <c r="P61" s="748"/>
      <c r="Q61" s="748"/>
      <c r="R61" s="748"/>
      <c r="S61" s="748"/>
      <c r="T61" s="748"/>
      <c r="U61" s="767"/>
      <c r="W61" s="89"/>
    </row>
    <row r="62" spans="3:23" ht="14.1" customHeight="1">
      <c r="C62" s="530" t="s">
        <v>345</v>
      </c>
      <c r="D62" s="530" t="s">
        <v>345</v>
      </c>
      <c r="E62" s="534"/>
      <c r="F62" s="248" t="s">
        <v>525</v>
      </c>
      <c r="G62" s="614" t="s">
        <v>142</v>
      </c>
      <c r="H62" s="614" t="s">
        <v>526</v>
      </c>
      <c r="I62" s="614" t="s">
        <v>142</v>
      </c>
      <c r="J62" s="614" t="s">
        <v>515</v>
      </c>
      <c r="K62" s="62"/>
      <c r="L62" s="67"/>
      <c r="N62" s="743"/>
      <c r="O62" s="746"/>
      <c r="P62" s="748"/>
      <c r="Q62" s="748"/>
      <c r="R62" s="748"/>
      <c r="S62" s="748"/>
      <c r="T62" s="748"/>
      <c r="U62" s="767"/>
      <c r="W62" s="89"/>
    </row>
    <row r="63" spans="3:23" ht="14.1" customHeight="1" thickBot="1">
      <c r="C63" s="31"/>
      <c r="D63" s="31"/>
      <c r="E63" s="534"/>
      <c r="F63" s="28"/>
      <c r="G63" s="29"/>
      <c r="H63" s="29"/>
      <c r="I63" s="29"/>
      <c r="J63" s="29"/>
      <c r="K63" s="29"/>
      <c r="L63" s="30"/>
      <c r="N63" s="744"/>
      <c r="O63" s="847"/>
      <c r="P63" s="848"/>
      <c r="Q63" s="848"/>
      <c r="R63" s="848"/>
      <c r="S63" s="848"/>
      <c r="T63" s="848"/>
      <c r="U63" s="849"/>
      <c r="W63" s="89"/>
    </row>
    <row r="64" spans="3:23" ht="14.1" customHeight="1" thickBot="1">
      <c r="C64" s="63"/>
      <c r="D64" s="411" t="s">
        <v>145</v>
      </c>
      <c r="E64" s="534"/>
      <c r="F64" s="565">
        <f>COUNTIF(F7:F61,"0800-*")+COUNTIF(F7:F61,"0730-*")-COUNTIF(F7:F61,"*0800-1730 CS*")-COUNTIF(F7:F61,"*0800-1730 PHNW*")-COUNTIF(F7:F61,"*0800-1730 DEMT*")-COUNTIF(F7:F61,"*0800-1730 EXAM*")-COUNTIF(F7:F61,"*0800-1800 CS*")-COUNTIF(F7:F61,"*0800-1800 PHNW*")</f>
        <v>5</v>
      </c>
      <c r="G64" s="565">
        <f>COUNTIF(G7:G61,"0800-*")+COUNTIF(G7:G61,"0730-*")-COUNTIF(G7:G61,"*0800-1730 CS*")-COUNTIF(G7:G61,"*0800-1730 PHNW*")-COUNTIF(G7:G61,"*0800-1730 DEMT*")-COUNTIF(G7:G61,"*0800-1730 EXAM*")-COUNTIF(G7:G61,"*0800-1800 CS*")-COUNTIF(G7:G61,"*0800-1800 PHNW*")</f>
        <v>5</v>
      </c>
      <c r="H64" s="565">
        <f>COUNTIF(H7:H61,"0800-*")+COUNTIF(H7:H61,"0730-*")-COUNTIF(H7:H61,"*0800-1730 CS*")-COUNTIF(H7:H61,"*0800-1730 PHNW*")-COUNTIF(H7:H61,"*0800-1730 DEMT*")-COUNTIF(H7:H61,"*0800-1730 EXAM*")-COUNTIF(H7:H61,"*0800-1800 CS*")-COUNTIF(H7:H61,"*0800-1800 PHNW*")</f>
        <v>7</v>
      </c>
      <c r="I64" s="565">
        <f>COUNTIF(I7:I61,"0800-*")+COUNTIF(I7:I61,"0730-*")-COUNTIF(I7:I61,"*0800-1730 CS*")-COUNTIF(I7:I61,"*0800-1730 PHNW*")-COUNTIF(I7:I61,"*0800-1730 DEMT*")-COUNTIF(I7:I61,"*0800-1730 EXAM*")-COUNTIF(I7:I61,"*0800-1800 CS*")-COUNTIF(I7:I61,"*0800-1800 PHNW*")</f>
        <v>5</v>
      </c>
      <c r="J64" s="565">
        <f>COUNTIF(J7:J61,"0800-*")+COUNTIF(J7:J61,"0730-*")-COUNTIF(J7:J61,"*0800-1730 CS*")-COUNTIF(J7:J61,"*0800-1730 PHNW*")-COUNTIF(J7:J61,"*0800-1730 DEMT*")-COUNTIF(J7:J61,"*0800-1730 EXAM*")-COUNTIF(J7:J61,"*0800-1800 CS*")-COUNTIF(J7:J61,"*0800-1800 PHNW*")</f>
        <v>5</v>
      </c>
      <c r="K64" s="565">
        <f>COUNTIF(K7:K61,"0800-*")+COUNTIF(K7:K61,"0730-*")</f>
        <v>3</v>
      </c>
      <c r="L64" s="577">
        <f>COUNTIF(L7:L61,"0800-*")+COUNTIF(L7:L61,"0730-*")</f>
        <v>5</v>
      </c>
      <c r="N64" s="106"/>
      <c r="O64" s="34"/>
      <c r="P64" s="34"/>
      <c r="Q64" s="34"/>
      <c r="R64" s="34"/>
      <c r="S64" s="34"/>
      <c r="T64" s="34"/>
      <c r="U64" s="34"/>
      <c r="W64" s="89"/>
    </row>
    <row r="65" spans="3:23" ht="14.1" customHeight="1" thickBot="1">
      <c r="C65" s="535"/>
      <c r="D65" s="411" t="s">
        <v>146</v>
      </c>
      <c r="E65" s="534"/>
      <c r="F65" s="575">
        <f t="shared" ref="F65:L65" si="16">COUNTIF(F7:F62,"*0000*")</f>
        <v>5</v>
      </c>
      <c r="G65" s="565">
        <f t="shared" si="16"/>
        <v>5</v>
      </c>
      <c r="H65" s="565">
        <f t="shared" si="16"/>
        <v>5</v>
      </c>
      <c r="I65" s="565">
        <f t="shared" si="16"/>
        <v>6</v>
      </c>
      <c r="J65" s="565">
        <f t="shared" si="16"/>
        <v>4</v>
      </c>
      <c r="K65" s="565">
        <f t="shared" si="16"/>
        <v>4</v>
      </c>
      <c r="L65" s="577">
        <f t="shared" si="16"/>
        <v>4</v>
      </c>
      <c r="N65" s="106"/>
      <c r="O65" s="796" t="s">
        <v>388</v>
      </c>
      <c r="P65" s="797"/>
      <c r="Q65" s="797"/>
      <c r="R65" s="797"/>
      <c r="S65" s="797"/>
      <c r="T65" s="797"/>
      <c r="U65" s="798"/>
      <c r="W65" s="89" t="s">
        <v>389</v>
      </c>
    </row>
    <row r="66" spans="3:23" ht="14.1" customHeight="1">
      <c r="C66" s="407" t="s">
        <v>147</v>
      </c>
      <c r="D66" s="407" t="s">
        <v>147</v>
      </c>
      <c r="E66" s="534"/>
      <c r="F66" s="408"/>
      <c r="G66" s="409"/>
      <c r="H66" s="409"/>
      <c r="I66" s="409"/>
      <c r="J66" s="409"/>
      <c r="K66" s="409"/>
      <c r="L66" s="410"/>
      <c r="N66" s="104" t="s">
        <v>390</v>
      </c>
      <c r="O66" s="107" t="str">
        <f t="shared" ref="O66:U66" si="17">INDEX($C7:$L188,MATCH("*N1*",F7:F191,0),1)</f>
        <v>DENNIS SR</v>
      </c>
      <c r="P66" s="108" t="str">
        <f t="shared" si="17"/>
        <v>DENNIS SR</v>
      </c>
      <c r="Q66" s="108" t="str">
        <f t="shared" si="17"/>
        <v>DENNIS SR</v>
      </c>
      <c r="R66" s="108" t="str">
        <f t="shared" si="17"/>
        <v>DENNIS SR</v>
      </c>
      <c r="S66" s="108" t="str">
        <f t="shared" si="17"/>
        <v>MARK SR</v>
      </c>
      <c r="T66" s="108" t="str">
        <f t="shared" si="17"/>
        <v>MARK SR</v>
      </c>
      <c r="U66" s="109" t="str">
        <f t="shared" si="17"/>
        <v>MARK SR</v>
      </c>
      <c r="V66" s="89"/>
      <c r="W66" s="106">
        <v>1</v>
      </c>
    </row>
    <row r="67" spans="3:23" ht="14.1" customHeight="1">
      <c r="C67" s="411" t="s">
        <v>391</v>
      </c>
      <c r="D67" s="411" t="s">
        <v>148</v>
      </c>
      <c r="E67" s="536">
        <v>609268</v>
      </c>
      <c r="F67" s="575" t="s">
        <v>150</v>
      </c>
      <c r="G67" s="576"/>
      <c r="H67" s="565" t="s">
        <v>149</v>
      </c>
      <c r="I67" s="680" t="s">
        <v>151</v>
      </c>
      <c r="J67" s="565" t="s">
        <v>46</v>
      </c>
      <c r="K67" s="565"/>
      <c r="L67" s="577"/>
      <c r="N67" s="749" t="s">
        <v>392</v>
      </c>
      <c r="O67" s="746" t="str" cm="1">
        <f t="array" ref="O67">_xlfn.TEXTJOIN(CHAR(10),TRUE,IF(F7:F184="2300-0900",$C7:$C184,""),IF(F7:F184="2300-0830",$C7:$C184,""))</f>
        <v>GIOVANA JR
ADI JR
MARYAM HMO
NATALIE HMO</v>
      </c>
      <c r="P67" s="748" t="str" cm="1">
        <f t="array" ref="P67">_xlfn.TEXTJOIN(CHAR(10),TRUE,IF(G7:G184="2300-0900",$C7:$C184,""),IF(G7:G184="2300-0830",$C7:$C184,""))</f>
        <v>GIOVANA JR
ADI JR
NATHAN HMO
WATHSALA HMO
Filip INT</v>
      </c>
      <c r="Q67" s="748" t="str" cm="1">
        <f t="array" ref="Q67">_xlfn.TEXTJOIN(CHAR(10),TRUE,IF(H7:H184="2300-0900",$C7:$C184,""),IF(H7:H184="2300-0830",$C7:$C184,""))</f>
        <v>GIOVANA JR
ADI JR
MASON HMO
NATHAN HMO
MIKEY HMO
Filip INT</v>
      </c>
      <c r="R67" s="748" t="str" cm="1">
        <f t="array" ref="R67">_xlfn.TEXTJOIN(CHAR(10),TRUE,IF(I7:I184="2300-0900",$C7:$C184,""),IF(I7:I184="2300-0830",$C7:$C184,""))</f>
        <v>GIOVANA JR
ADI JR
PHILLIP HMO
NATHAN HMO
WATHSALA HMO
Filip INT</v>
      </c>
      <c r="S67" s="748" t="str" cm="1">
        <f t="array" ref="S67">_xlfn.TEXTJOIN(CHAR(10),TRUE,IF(J7:J184="2300-0900",$C7:$C184,""),IF(J7:J184="2300-0830",$C7:$C184,""))</f>
        <v>CHRISTINA JR
DESLIN JR
RACHEL JR
PHILLIP HMO
MAREESHA HMO</v>
      </c>
      <c r="T67" s="748" t="str" cm="1">
        <f t="array" ref="T67">_xlfn.TEXTJOIN(CHAR(10),TRUE,IF(K7:K184="2300-0900",$C7:$C184,""),IF(K7:K184="2300-0830",$C7:$C184,""))</f>
        <v>CHRISTINA JR
DESLIN JR
RACHEL JR
DEVUNI HMO
MAREESHA HMO</v>
      </c>
      <c r="U67" s="767" t="str" cm="1">
        <f t="array" ref="U67">_xlfn.TEXTJOIN(CHAR(10),TRUE,IF(L7:L184="2300-0900",$C7:$C184,""),IF(L7:L184="2300-0830",$C7:$C184,""))</f>
        <v>CHRISTINA JR
DESLIN JR
RACHEL JR
LISA HMO
CHRIS HMO
MAREESHA HMO</v>
      </c>
      <c r="W67" s="89">
        <v>9</v>
      </c>
    </row>
    <row r="68" spans="3:23" ht="14.1" customHeight="1">
      <c r="C68" s="411" t="s">
        <v>393</v>
      </c>
      <c r="D68" s="411" t="s">
        <v>152</v>
      </c>
      <c r="E68" s="537">
        <v>517752</v>
      </c>
      <c r="F68" s="575"/>
      <c r="G68" s="565"/>
      <c r="H68" s="565" t="s">
        <v>153</v>
      </c>
      <c r="I68" s="565"/>
      <c r="J68" s="565"/>
      <c r="K68" s="565"/>
      <c r="L68" s="577"/>
      <c r="N68" s="749"/>
      <c r="O68" s="746"/>
      <c r="P68" s="748"/>
      <c r="Q68" s="748"/>
      <c r="R68" s="748"/>
      <c r="S68" s="748"/>
      <c r="T68" s="748"/>
      <c r="U68" s="767"/>
      <c r="W68" s="89"/>
    </row>
    <row r="69" spans="3:23" ht="14.1" customHeight="1">
      <c r="C69" s="411" t="s">
        <v>394</v>
      </c>
      <c r="D69" s="411" t="s">
        <v>154</v>
      </c>
      <c r="E69" s="537">
        <v>609129</v>
      </c>
      <c r="F69" s="589"/>
      <c r="G69" s="590"/>
      <c r="H69" s="565" t="s">
        <v>155</v>
      </c>
      <c r="I69" s="590"/>
      <c r="J69" s="590"/>
      <c r="K69" s="565"/>
      <c r="L69" s="577" t="s">
        <v>91</v>
      </c>
      <c r="N69" s="749"/>
      <c r="O69" s="746"/>
      <c r="P69" s="748"/>
      <c r="Q69" s="748"/>
      <c r="R69" s="748"/>
      <c r="S69" s="748"/>
      <c r="T69" s="748"/>
      <c r="U69" s="767"/>
      <c r="W69" s="89"/>
    </row>
    <row r="70" spans="3:23" ht="14.1" customHeight="1">
      <c r="C70" s="411" t="s">
        <v>395</v>
      </c>
      <c r="D70" s="538" t="s">
        <v>156</v>
      </c>
      <c r="E70" s="539">
        <v>636554</v>
      </c>
      <c r="F70" s="575"/>
      <c r="G70" s="565"/>
      <c r="H70" s="565" t="s">
        <v>149</v>
      </c>
      <c r="I70" s="565"/>
      <c r="J70" s="565"/>
      <c r="K70" s="565" t="s">
        <v>32</v>
      </c>
      <c r="L70" s="577" t="s">
        <v>150</v>
      </c>
      <c r="N70" s="749"/>
      <c r="O70" s="746"/>
      <c r="P70" s="748"/>
      <c r="Q70" s="748"/>
      <c r="R70" s="748"/>
      <c r="S70" s="748"/>
      <c r="T70" s="748"/>
      <c r="U70" s="767"/>
      <c r="W70" s="89"/>
    </row>
    <row r="71" spans="3:23" ht="14.1" customHeight="1" thickBot="1">
      <c r="C71" s="837"/>
      <c r="D71" s="49"/>
      <c r="E71" s="534"/>
      <c r="F71" s="575"/>
      <c r="G71" s="565"/>
      <c r="H71" s="565"/>
      <c r="I71" s="565"/>
      <c r="J71" s="565"/>
      <c r="K71" s="565"/>
      <c r="L71" s="577"/>
      <c r="N71" s="749"/>
      <c r="O71" s="746"/>
      <c r="P71" s="748"/>
      <c r="Q71" s="748"/>
      <c r="R71" s="748"/>
      <c r="S71" s="748"/>
      <c r="T71" s="748"/>
      <c r="U71" s="767"/>
      <c r="W71" s="89"/>
    </row>
    <row r="72" spans="3:23" ht="14.1" customHeight="1">
      <c r="C72" s="724" t="s">
        <v>157</v>
      </c>
      <c r="D72" s="540" t="s">
        <v>157</v>
      </c>
      <c r="E72" s="54"/>
      <c r="F72" s="413"/>
      <c r="G72" s="414"/>
      <c r="H72" s="414"/>
      <c r="I72" s="414"/>
      <c r="J72" s="414"/>
      <c r="K72" s="414"/>
      <c r="L72" s="415"/>
      <c r="N72" s="749"/>
      <c r="O72" s="746"/>
      <c r="P72" s="748"/>
      <c r="Q72" s="748"/>
      <c r="R72" s="748"/>
      <c r="S72" s="748"/>
      <c r="T72" s="748"/>
      <c r="U72" s="767"/>
      <c r="W72" s="89"/>
    </row>
    <row r="73" spans="3:23" ht="14.1" customHeight="1">
      <c r="C73" s="541" t="s">
        <v>396</v>
      </c>
      <c r="D73" s="182" t="s">
        <v>159</v>
      </c>
      <c r="E73" s="615">
        <v>628440</v>
      </c>
      <c r="F73" s="618" t="s">
        <v>149</v>
      </c>
      <c r="G73" s="618" t="s">
        <v>150</v>
      </c>
      <c r="H73" s="618"/>
      <c r="I73" s="618" t="s">
        <v>149</v>
      </c>
      <c r="J73" s="618" t="s">
        <v>150</v>
      </c>
      <c r="K73" s="620"/>
      <c r="L73" s="620"/>
      <c r="N73" s="749"/>
      <c r="O73" s="746"/>
      <c r="P73" s="748"/>
      <c r="Q73" s="748"/>
      <c r="R73" s="748"/>
      <c r="S73" s="748"/>
      <c r="T73" s="748"/>
      <c r="U73" s="767"/>
      <c r="W73" s="89"/>
    </row>
    <row r="74" spans="3:23" ht="14.1" customHeight="1">
      <c r="C74" s="541" t="s">
        <v>397</v>
      </c>
      <c r="D74" s="183" t="s">
        <v>164</v>
      </c>
      <c r="E74" s="615">
        <v>653976</v>
      </c>
      <c r="F74" s="618"/>
      <c r="G74" s="618"/>
      <c r="H74" s="618"/>
      <c r="I74" s="618" t="s">
        <v>149</v>
      </c>
      <c r="J74" s="624" t="s">
        <v>163</v>
      </c>
      <c r="K74" s="618" t="s">
        <v>150</v>
      </c>
      <c r="L74" s="618" t="s">
        <v>150</v>
      </c>
      <c r="N74" s="749"/>
      <c r="O74" s="746"/>
      <c r="P74" s="748"/>
      <c r="Q74" s="748"/>
      <c r="R74" s="748"/>
      <c r="S74" s="748"/>
      <c r="T74" s="748"/>
      <c r="U74" s="767"/>
      <c r="W74" s="89"/>
    </row>
    <row r="75" spans="3:23" ht="14.1" customHeight="1">
      <c r="C75" s="85" t="s">
        <v>398</v>
      </c>
      <c r="D75" s="184" t="s">
        <v>166</v>
      </c>
      <c r="E75" s="615">
        <v>654362</v>
      </c>
      <c r="F75" s="618" t="s">
        <v>161</v>
      </c>
      <c r="G75" s="618" t="s">
        <v>161</v>
      </c>
      <c r="H75" s="618" t="s">
        <v>161</v>
      </c>
      <c r="I75" s="618" t="s">
        <v>161</v>
      </c>
      <c r="J75" s="617"/>
      <c r="K75" s="619"/>
      <c r="L75" s="619"/>
      <c r="N75" s="749"/>
      <c r="O75" s="746"/>
      <c r="P75" s="748"/>
      <c r="Q75" s="748"/>
      <c r="R75" s="748"/>
      <c r="S75" s="748"/>
      <c r="T75" s="748"/>
      <c r="U75" s="767"/>
      <c r="W75" s="89"/>
    </row>
    <row r="76" spans="3:23" ht="14.1" customHeight="1">
      <c r="C76" s="69" t="s">
        <v>399</v>
      </c>
      <c r="D76" s="184" t="s">
        <v>168</v>
      </c>
      <c r="E76" s="615">
        <v>615829</v>
      </c>
      <c r="F76" s="624" t="s">
        <v>160</v>
      </c>
      <c r="G76" s="620"/>
      <c r="H76" s="620"/>
      <c r="I76" s="619"/>
      <c r="J76" s="618" t="s">
        <v>161</v>
      </c>
      <c r="K76" s="618" t="s">
        <v>161</v>
      </c>
      <c r="L76" s="618" t="s">
        <v>161</v>
      </c>
      <c r="N76" s="528" t="s">
        <v>368</v>
      </c>
      <c r="O76" s="523" t="str">
        <f t="shared" ref="O76:U76" si="18">INDEX($C10:$L190,MATCH("*NHJ*",F10:F193,0),1)</f>
        <v>PIN HMO</v>
      </c>
      <c r="P76" s="500" t="str">
        <f t="shared" si="18"/>
        <v>MIKEY HMO</v>
      </c>
      <c r="Q76" s="500" t="str">
        <f t="shared" si="18"/>
        <v>WATHSALA HMO</v>
      </c>
      <c r="R76" s="500" t="e">
        <f t="shared" si="18"/>
        <v>#N/A</v>
      </c>
      <c r="S76" s="500" t="str">
        <f t="shared" si="18"/>
        <v>DEVUNI HMO</v>
      </c>
      <c r="T76" s="500" t="str">
        <f t="shared" si="18"/>
        <v>LISA HMO</v>
      </c>
      <c r="U76" s="501" t="str">
        <f t="shared" si="18"/>
        <v>TRAM HMO</v>
      </c>
      <c r="V76" s="34" t="s">
        <v>400</v>
      </c>
      <c r="W76" s="89">
        <v>1</v>
      </c>
    </row>
    <row r="77" spans="3:23" ht="14.1" customHeight="1">
      <c r="C77" s="541" t="s">
        <v>401</v>
      </c>
      <c r="D77" s="850" t="s">
        <v>170</v>
      </c>
      <c r="E77" s="615">
        <v>619567</v>
      </c>
      <c r="F77" s="617"/>
      <c r="G77" s="617"/>
      <c r="H77" s="619"/>
      <c r="I77" s="619"/>
      <c r="J77" s="624" t="s">
        <v>160</v>
      </c>
      <c r="K77" s="617"/>
      <c r="L77" s="618" t="s">
        <v>149</v>
      </c>
      <c r="N77" s="768" t="s">
        <v>325</v>
      </c>
      <c r="O77" s="787" t="str" cm="1">
        <f t="array" ref="O77">_xlfn.TEXTJOIN(CHAR(10),TRUE,_xlfn._xlws.FILTER($C7:$C184,RIGHT(F7:F184,LEN("nSSJ"))="nSSJ",""))</f>
        <v>HANNAH IR
BRIANNA HMO</v>
      </c>
      <c r="P77" s="750" t="str" cm="1">
        <f t="array" ref="P77">_xlfn.TEXTJOIN(CHAR(10),TRUE,_xlfn._xlws.FILTER($C7:$C184,RIGHT(G7:G184,LEN("nSSJ"))="nSSJ",""))</f>
        <v>HANNAH IR
MASON HMO</v>
      </c>
      <c r="Q77" s="750" t="str" cm="1">
        <f t="array" ref="Q77">_xlfn.TEXTJOIN(CHAR(10),TRUE,_xlfn._xlws.FILTER($C7:$C184,RIGHT(H7:H184,LEN("nSSJ"))="nSSJ",""))</f>
        <v>HANNAH IR</v>
      </c>
      <c r="R77" s="750" t="str" cm="1">
        <f t="array" ref="R77">_xlfn.TEXTJOIN(CHAR(10),TRUE,_xlfn._xlws.FILTER($C7:$C184,RIGHT(I7:I184,LEN("nSSJ"))="nSSJ",""))</f>
        <v>HANNAH IR
MIKEY HMO</v>
      </c>
      <c r="S77" s="750" t="str" cm="1">
        <f t="array" ref="S77">_xlfn.TEXTJOIN(CHAR(10),TRUE,_xlfn._xlws.FILTER($C7:$C184,RIGHT(J7:J184,LEN("nSSJ"))="nSSJ",""))</f>
        <v>LISA HMO</v>
      </c>
      <c r="T77" s="750" t="str" cm="1">
        <f t="array" ref="T77">_xlfn.TEXTJOIN(CHAR(10),TRUE,_xlfn._xlws.FILTER($C7:$C184,RIGHT(K7:K184,LEN("nSSJ"))="nSSJ",""))</f>
        <v>TRAM HMO</v>
      </c>
      <c r="U77" s="788" t="str" cm="1">
        <f t="array" ref="U77">_xlfn.TEXTJOIN(CHAR(10),TRUE,_xlfn._xlws.FILTER($C7:$C184,RIGHT(L7:L184,LEN("nSSJ"))="nSSJ",""))</f>
        <v>DEVUNI HMO</v>
      </c>
      <c r="V77" s="34" t="s">
        <v>402</v>
      </c>
      <c r="W77" s="89">
        <v>2</v>
      </c>
    </row>
    <row r="78" spans="3:23" ht="14.1" customHeight="1">
      <c r="C78" s="543" t="s">
        <v>403</v>
      </c>
      <c r="D78" s="183" t="s">
        <v>171</v>
      </c>
      <c r="E78" s="615">
        <v>626157</v>
      </c>
      <c r="F78" s="617"/>
      <c r="G78" s="620"/>
      <c r="H78" s="616" t="s">
        <v>359</v>
      </c>
      <c r="I78" s="568" t="s">
        <v>150</v>
      </c>
      <c r="J78" s="617"/>
      <c r="K78" s="619"/>
      <c r="L78" s="619"/>
      <c r="N78" s="769"/>
      <c r="O78" s="851"/>
      <c r="P78" s="852"/>
      <c r="Q78" s="852"/>
      <c r="R78" s="852"/>
      <c r="S78" s="852"/>
      <c r="T78" s="852"/>
      <c r="U78" s="853"/>
      <c r="W78" s="89"/>
    </row>
    <row r="79" spans="3:23" ht="14.1" customHeight="1" thickBot="1">
      <c r="C79" s="69" t="s">
        <v>405</v>
      </c>
      <c r="D79" s="185" t="s">
        <v>173</v>
      </c>
      <c r="E79" s="615">
        <v>645122</v>
      </c>
      <c r="F79" s="616" t="s">
        <v>342</v>
      </c>
      <c r="G79" s="618"/>
      <c r="H79" s="617"/>
      <c r="I79" s="617"/>
      <c r="J79" s="617"/>
      <c r="K79" s="618" t="s">
        <v>149</v>
      </c>
      <c r="L79" s="618"/>
      <c r="N79" s="854" t="s">
        <v>406</v>
      </c>
      <c r="O79" s="110" t="str">
        <f t="shared" ref="O79:U79" si="19">INDEX($C7:$L188,MATCH("*PRC",F7:F191,0),1)</f>
        <v>QING SMS</v>
      </c>
      <c r="P79" s="111" t="str">
        <f t="shared" si="19"/>
        <v>JACKIE SMS</v>
      </c>
      <c r="Q79" s="111" t="str">
        <f t="shared" si="19"/>
        <v>ANASTASIA SMS</v>
      </c>
      <c r="R79" s="111" t="str">
        <f t="shared" si="19"/>
        <v>BARRY SMS</v>
      </c>
      <c r="S79" s="111" t="str">
        <f t="shared" si="19"/>
        <v>STEPHEN G SMS</v>
      </c>
      <c r="T79" s="111" t="str">
        <f t="shared" si="19"/>
        <v>QAIS SMS</v>
      </c>
      <c r="U79" s="111" t="str">
        <f t="shared" si="19"/>
        <v>PAIGE SMS</v>
      </c>
      <c r="W79" s="89"/>
    </row>
    <row r="80" spans="3:23" ht="14.1" customHeight="1" thickBot="1">
      <c r="C80" s="543" t="s">
        <v>407</v>
      </c>
      <c r="D80" s="186" t="s">
        <v>174</v>
      </c>
      <c r="E80" s="615">
        <v>615820</v>
      </c>
      <c r="F80" s="623"/>
      <c r="G80" s="623"/>
      <c r="H80" s="669"/>
      <c r="I80" s="623"/>
      <c r="J80" s="669"/>
      <c r="K80" s="623"/>
      <c r="L80" s="623"/>
      <c r="N80" s="106"/>
      <c r="O80" s="89"/>
      <c r="T80" s="855" t="str">
        <f>INDEX($C7:$L189,MATCH("*PGC",K7:K192,0),1)</f>
        <v>JULIA SMS</v>
      </c>
      <c r="U80" s="856" t="str">
        <f>INDEX($C8:$L189,MATCH("*PGC",L8:L192,0),1)</f>
        <v>BRAD SMS</v>
      </c>
    </row>
    <row r="81" spans="3:22" ht="14.1" customHeight="1">
      <c r="C81" s="541" t="s">
        <v>408</v>
      </c>
      <c r="D81" s="544" t="s">
        <v>175</v>
      </c>
      <c r="E81" s="615">
        <v>624174</v>
      </c>
      <c r="F81" s="618" t="s">
        <v>149</v>
      </c>
      <c r="G81" s="618" t="s">
        <v>150</v>
      </c>
      <c r="H81" s="622"/>
      <c r="I81" s="622"/>
      <c r="J81" s="622"/>
      <c r="K81" s="617"/>
      <c r="L81" s="617"/>
      <c r="O81" s="89"/>
      <c r="V81" s="89"/>
    </row>
    <row r="82" spans="3:22" ht="14.1" customHeight="1">
      <c r="C82" s="543"/>
      <c r="D82" s="545"/>
      <c r="E82" s="625"/>
      <c r="F82" s="618"/>
      <c r="G82" s="618"/>
      <c r="H82" s="617"/>
      <c r="I82" s="617"/>
      <c r="J82" s="617"/>
      <c r="K82" s="617"/>
      <c r="L82" s="617"/>
      <c r="O82" s="89"/>
      <c r="V82" s="89"/>
    </row>
    <row r="83" spans="3:22" ht="14.1" customHeight="1">
      <c r="C83" s="728" t="s">
        <v>176</v>
      </c>
      <c r="D83" s="728" t="s">
        <v>176</v>
      </c>
      <c r="E83" s="198"/>
      <c r="F83" s="305"/>
      <c r="G83" s="305"/>
      <c r="H83" s="305"/>
      <c r="I83" s="305"/>
      <c r="J83" s="305"/>
      <c r="K83" s="305"/>
      <c r="L83" s="305"/>
      <c r="O83" s="89"/>
      <c r="V83" s="89"/>
    </row>
    <row r="84" spans="3:22" ht="14.1" customHeight="1">
      <c r="C84" s="411" t="s">
        <v>409</v>
      </c>
      <c r="D84" s="546" t="s">
        <v>177</v>
      </c>
      <c r="E84" s="615">
        <v>637990</v>
      </c>
      <c r="F84" s="618" t="s">
        <v>178</v>
      </c>
      <c r="G84" s="565" t="s">
        <v>178</v>
      </c>
      <c r="H84" s="565" t="s">
        <v>178</v>
      </c>
      <c r="I84" s="565" t="s">
        <v>178</v>
      </c>
      <c r="J84" s="619"/>
      <c r="K84" s="619"/>
      <c r="L84" s="619"/>
      <c r="O84" s="89"/>
      <c r="V84" s="89"/>
    </row>
    <row r="85" spans="3:22" ht="14.1" customHeight="1">
      <c r="C85" s="86" t="s">
        <v>410</v>
      </c>
      <c r="D85" s="184" t="s">
        <v>179</v>
      </c>
      <c r="E85" s="615">
        <v>652867</v>
      </c>
      <c r="F85" s="617"/>
      <c r="G85" s="618" t="s">
        <v>149</v>
      </c>
      <c r="H85" s="618" t="s">
        <v>150</v>
      </c>
      <c r="I85" s="618" t="s">
        <v>150</v>
      </c>
      <c r="J85" s="618" t="s">
        <v>150</v>
      </c>
      <c r="K85" s="617"/>
      <c r="L85" s="617"/>
      <c r="O85" s="89"/>
      <c r="V85" s="89"/>
    </row>
    <row r="86" spans="3:22" ht="14.1" customHeight="1">
      <c r="C86" s="543" t="s">
        <v>411</v>
      </c>
      <c r="D86" s="547" t="s">
        <v>180</v>
      </c>
      <c r="E86" s="615">
        <v>638831</v>
      </c>
      <c r="F86" s="620"/>
      <c r="G86" s="618" t="s">
        <v>149</v>
      </c>
      <c r="H86" s="565"/>
      <c r="I86" s="618" t="s">
        <v>149</v>
      </c>
      <c r="J86" s="618"/>
      <c r="K86" s="616" t="s">
        <v>359</v>
      </c>
      <c r="L86" s="616" t="s">
        <v>359</v>
      </c>
      <c r="O86" s="89"/>
      <c r="V86" s="89"/>
    </row>
    <row r="87" spans="3:22" ht="14.1" customHeight="1">
      <c r="C87" s="411" t="s">
        <v>412</v>
      </c>
      <c r="D87" s="548" t="s">
        <v>182</v>
      </c>
      <c r="E87" s="615">
        <v>631314</v>
      </c>
      <c r="F87" s="616" t="s">
        <v>359</v>
      </c>
      <c r="G87" s="617"/>
      <c r="H87" s="617"/>
      <c r="I87" s="619"/>
      <c r="J87" s="618" t="s">
        <v>183</v>
      </c>
      <c r="K87" s="681"/>
      <c r="L87" s="617"/>
      <c r="O87" s="89"/>
      <c r="V87" s="89"/>
    </row>
    <row r="88" spans="3:22" ht="14.1" customHeight="1">
      <c r="C88" s="69" t="s">
        <v>414</v>
      </c>
      <c r="D88" s="548" t="s">
        <v>185</v>
      </c>
      <c r="E88" s="615">
        <v>631732</v>
      </c>
      <c r="F88" s="618" t="s">
        <v>150</v>
      </c>
      <c r="G88" s="622"/>
      <c r="H88" s="617"/>
      <c r="I88" s="619"/>
      <c r="J88" s="618" t="s">
        <v>149</v>
      </c>
      <c r="K88" s="622"/>
      <c r="L88" s="622"/>
      <c r="O88" s="89"/>
      <c r="V88" s="89"/>
    </row>
    <row r="89" spans="3:22" ht="14.1" customHeight="1">
      <c r="C89" s="541" t="s">
        <v>415</v>
      </c>
      <c r="D89" s="549" t="s">
        <v>186</v>
      </c>
      <c r="E89" s="615">
        <v>634876</v>
      </c>
      <c r="F89" s="619"/>
      <c r="G89" s="618" t="s">
        <v>149</v>
      </c>
      <c r="H89" s="618"/>
      <c r="I89" s="622"/>
      <c r="J89" s="619"/>
      <c r="K89" s="617"/>
      <c r="L89" s="617"/>
      <c r="O89" s="89"/>
      <c r="V89" s="89"/>
    </row>
    <row r="90" spans="3:22" ht="14.1" customHeight="1">
      <c r="C90" s="541"/>
      <c r="D90" s="187"/>
      <c r="E90" s="199"/>
      <c r="F90" s="619"/>
      <c r="G90" s="618"/>
      <c r="H90" s="618"/>
      <c r="I90" s="617"/>
      <c r="J90" s="619"/>
      <c r="K90" s="617"/>
      <c r="L90" s="617"/>
      <c r="O90" s="89"/>
      <c r="V90" s="89"/>
    </row>
    <row r="91" spans="3:22" ht="14.1" customHeight="1">
      <c r="C91" s="4" t="s">
        <v>189</v>
      </c>
      <c r="D91" s="4" t="s">
        <v>189</v>
      </c>
      <c r="E91" s="199"/>
      <c r="F91" s="444"/>
      <c r="G91" s="444"/>
      <c r="H91" s="444"/>
      <c r="I91" s="444"/>
      <c r="J91" s="444"/>
      <c r="K91" s="444"/>
      <c r="L91" s="444"/>
      <c r="O91" s="89"/>
    </row>
    <row r="92" spans="3:22" ht="14.1" customHeight="1">
      <c r="C92" s="69" t="s">
        <v>416</v>
      </c>
      <c r="D92" s="188" t="s">
        <v>527</v>
      </c>
      <c r="E92" s="615">
        <v>648620</v>
      </c>
      <c r="F92" s="618" t="s">
        <v>149</v>
      </c>
      <c r="G92" s="620"/>
      <c r="H92" s="618" t="s">
        <v>160</v>
      </c>
      <c r="I92" s="618"/>
      <c r="J92" s="618" t="s">
        <v>192</v>
      </c>
      <c r="K92" s="618" t="s">
        <v>192</v>
      </c>
      <c r="L92" s="618" t="s">
        <v>192</v>
      </c>
      <c r="O92" s="34"/>
      <c r="P92" s="34"/>
      <c r="Q92" s="34"/>
      <c r="R92" s="34"/>
      <c r="S92" s="34"/>
      <c r="T92" s="34"/>
      <c r="U92" s="34"/>
    </row>
    <row r="93" spans="3:22" ht="14.1" customHeight="1">
      <c r="C93" s="550" t="s">
        <v>417</v>
      </c>
      <c r="D93" s="189" t="s">
        <v>193</v>
      </c>
      <c r="E93" s="615">
        <v>652357</v>
      </c>
      <c r="F93" s="621" t="s">
        <v>31</v>
      </c>
      <c r="G93" s="621"/>
      <c r="H93" s="621"/>
      <c r="I93" s="621"/>
      <c r="J93" s="621"/>
      <c r="K93" s="621"/>
      <c r="L93" s="621"/>
      <c r="O93" s="34"/>
      <c r="P93" s="34"/>
      <c r="Q93" s="34"/>
      <c r="R93" s="34"/>
      <c r="S93" s="34"/>
      <c r="T93" s="34"/>
      <c r="U93" s="34"/>
    </row>
    <row r="94" spans="3:22" ht="14.1" customHeight="1">
      <c r="C94" s="69" t="s">
        <v>418</v>
      </c>
      <c r="D94" s="551" t="s">
        <v>196</v>
      </c>
      <c r="E94" s="631">
        <v>703714</v>
      </c>
      <c r="F94" s="618" t="s">
        <v>191</v>
      </c>
      <c r="G94" s="618" t="s">
        <v>150</v>
      </c>
      <c r="H94" s="620"/>
      <c r="I94" s="645"/>
      <c r="J94" s="618" t="s">
        <v>149</v>
      </c>
      <c r="K94" s="624" t="s">
        <v>528</v>
      </c>
      <c r="L94" s="618"/>
      <c r="O94" s="89"/>
    </row>
    <row r="95" spans="3:22" ht="14.1" customHeight="1">
      <c r="C95" s="87" t="s">
        <v>419</v>
      </c>
      <c r="D95" s="189" t="s">
        <v>198</v>
      </c>
      <c r="E95" s="615">
        <v>655089</v>
      </c>
      <c r="F95" s="617"/>
      <c r="G95" s="618" t="s">
        <v>191</v>
      </c>
      <c r="H95" s="618"/>
      <c r="I95" s="618"/>
      <c r="J95" s="618" t="s">
        <v>192</v>
      </c>
      <c r="K95" s="618" t="s">
        <v>192</v>
      </c>
      <c r="L95" s="618" t="s">
        <v>192</v>
      </c>
      <c r="O95" s="34"/>
      <c r="P95" s="34"/>
      <c r="Q95" s="34"/>
      <c r="R95" s="34"/>
      <c r="S95" s="34"/>
    </row>
    <row r="96" spans="3:22" ht="14.1" customHeight="1">
      <c r="C96" s="69" t="s">
        <v>420</v>
      </c>
      <c r="D96" s="190" t="s">
        <v>199</v>
      </c>
      <c r="E96" s="615">
        <v>649364</v>
      </c>
      <c r="F96" s="618"/>
      <c r="G96" s="618"/>
      <c r="H96" s="618"/>
      <c r="I96" s="617"/>
      <c r="J96" s="618"/>
      <c r="K96" s="616" t="s">
        <v>490</v>
      </c>
      <c r="L96" s="618" t="s">
        <v>191</v>
      </c>
      <c r="O96" s="89"/>
    </row>
    <row r="97" spans="3:15" ht="14.1" customHeight="1">
      <c r="C97" s="543" t="s">
        <v>421</v>
      </c>
      <c r="D97" s="191" t="s">
        <v>200</v>
      </c>
      <c r="E97" s="615">
        <v>700872</v>
      </c>
      <c r="F97" s="618" t="s">
        <v>192</v>
      </c>
      <c r="G97" s="618" t="s">
        <v>192</v>
      </c>
      <c r="H97" s="618" t="s">
        <v>192</v>
      </c>
      <c r="I97" s="618" t="s">
        <v>192</v>
      </c>
      <c r="J97" s="618"/>
      <c r="K97" s="618"/>
      <c r="L97" s="618"/>
      <c r="O97" s="89"/>
    </row>
    <row r="98" spans="3:15" ht="14.1" customHeight="1">
      <c r="C98" s="543" t="s">
        <v>422</v>
      </c>
      <c r="D98" s="552" t="s">
        <v>202</v>
      </c>
      <c r="E98" s="631">
        <v>703861</v>
      </c>
      <c r="F98" s="618" t="s">
        <v>149</v>
      </c>
      <c r="G98" s="618" t="s">
        <v>149</v>
      </c>
      <c r="H98" s="618"/>
      <c r="I98" s="617"/>
      <c r="J98" s="618"/>
      <c r="K98" s="618" t="s">
        <v>191</v>
      </c>
      <c r="L98" s="618" t="s">
        <v>150</v>
      </c>
      <c r="O98" s="89"/>
    </row>
    <row r="99" spans="3:15" ht="14.1" customHeight="1">
      <c r="C99" s="543" t="s">
        <v>423</v>
      </c>
      <c r="D99" s="192" t="s">
        <v>204</v>
      </c>
      <c r="E99" s="615">
        <v>652868</v>
      </c>
      <c r="F99" s="618" t="s">
        <v>192</v>
      </c>
      <c r="G99" s="618" t="s">
        <v>192</v>
      </c>
      <c r="H99" s="618" t="s">
        <v>192</v>
      </c>
      <c r="I99" s="618" t="s">
        <v>192</v>
      </c>
      <c r="J99" s="618"/>
      <c r="K99" s="617"/>
      <c r="L99" s="618"/>
      <c r="O99" s="89"/>
    </row>
    <row r="100" spans="3:15" ht="14.1" customHeight="1">
      <c r="C100" s="543" t="s">
        <v>424</v>
      </c>
      <c r="D100" s="189" t="s">
        <v>205</v>
      </c>
      <c r="E100" s="615">
        <v>652998</v>
      </c>
      <c r="F100" s="619"/>
      <c r="G100" s="618" t="s">
        <v>149</v>
      </c>
      <c r="H100" s="617"/>
      <c r="I100" s="617"/>
      <c r="J100" s="618" t="s">
        <v>529</v>
      </c>
      <c r="K100" s="619"/>
      <c r="L100" s="619"/>
      <c r="O100" s="89"/>
    </row>
    <row r="101" spans="3:15" ht="14.1" customHeight="1">
      <c r="C101" s="543" t="s">
        <v>425</v>
      </c>
      <c r="D101" s="193" t="s">
        <v>206</v>
      </c>
      <c r="E101" s="631">
        <v>654959</v>
      </c>
      <c r="F101" s="619"/>
      <c r="G101" s="619"/>
      <c r="H101" s="618" t="s">
        <v>191</v>
      </c>
      <c r="I101" s="618" t="s">
        <v>150</v>
      </c>
      <c r="J101" s="618"/>
      <c r="K101" s="618" t="s">
        <v>149</v>
      </c>
      <c r="L101" s="618" t="s">
        <v>149</v>
      </c>
      <c r="O101" s="89"/>
    </row>
    <row r="102" spans="3:15" ht="14.1" customHeight="1">
      <c r="C102" s="85" t="s">
        <v>426</v>
      </c>
      <c r="D102" s="551" t="s">
        <v>207</v>
      </c>
      <c r="E102" s="615">
        <v>654981</v>
      </c>
      <c r="F102" s="619"/>
      <c r="G102" s="619"/>
      <c r="H102" s="619"/>
      <c r="I102" s="618" t="s">
        <v>150</v>
      </c>
      <c r="J102" s="618"/>
      <c r="K102" s="616" t="s">
        <v>530</v>
      </c>
      <c r="L102" s="618" t="s">
        <v>149</v>
      </c>
      <c r="O102" s="89"/>
    </row>
    <row r="103" spans="3:15" ht="14.1" customHeight="1">
      <c r="C103" s="85" t="s">
        <v>427</v>
      </c>
      <c r="D103" s="553" t="s">
        <v>208</v>
      </c>
      <c r="E103" s="615">
        <v>703795</v>
      </c>
      <c r="F103" s="618" t="s">
        <v>150</v>
      </c>
      <c r="G103" s="624" t="s">
        <v>167</v>
      </c>
      <c r="H103" s="617"/>
      <c r="I103" s="617"/>
      <c r="J103" s="618" t="s">
        <v>192</v>
      </c>
      <c r="K103" s="618" t="s">
        <v>192</v>
      </c>
      <c r="L103" s="618" t="s">
        <v>192</v>
      </c>
      <c r="O103" s="89"/>
    </row>
    <row r="104" spans="3:15" ht="14.1" customHeight="1">
      <c r="C104" s="730" t="s">
        <v>428</v>
      </c>
      <c r="D104" s="551" t="s">
        <v>209</v>
      </c>
      <c r="E104" s="615">
        <v>652364</v>
      </c>
      <c r="F104" s="618"/>
      <c r="G104" s="618" t="s">
        <v>150</v>
      </c>
      <c r="H104" s="618"/>
      <c r="I104" s="618" t="s">
        <v>149</v>
      </c>
      <c r="J104" s="618" t="s">
        <v>149</v>
      </c>
      <c r="K104" s="619"/>
      <c r="L104" s="619"/>
      <c r="O104" s="89"/>
    </row>
    <row r="105" spans="3:15" ht="14.1" customHeight="1">
      <c r="C105" s="543" t="s">
        <v>429</v>
      </c>
      <c r="D105" s="551" t="s">
        <v>210</v>
      </c>
      <c r="E105" s="615">
        <v>644433</v>
      </c>
      <c r="F105" s="619"/>
      <c r="G105" s="619"/>
      <c r="H105" s="619"/>
      <c r="I105" s="618" t="s">
        <v>149</v>
      </c>
      <c r="J105" s="616" t="s">
        <v>530</v>
      </c>
      <c r="K105" s="619"/>
      <c r="L105" s="619"/>
      <c r="O105" s="89"/>
    </row>
    <row r="106" spans="3:15" ht="14.1" customHeight="1">
      <c r="C106" s="87" t="s">
        <v>430</v>
      </c>
      <c r="D106" s="551" t="s">
        <v>211</v>
      </c>
      <c r="E106" s="615">
        <v>650602</v>
      </c>
      <c r="F106" s="619"/>
      <c r="G106" s="619"/>
      <c r="H106" s="619"/>
      <c r="I106" s="619"/>
      <c r="J106" s="619"/>
      <c r="K106" s="619"/>
      <c r="L106" s="619"/>
      <c r="O106" s="89"/>
    </row>
    <row r="107" spans="3:15" ht="14.1" customHeight="1">
      <c r="C107" s="87" t="s">
        <v>431</v>
      </c>
      <c r="D107" s="552" t="s">
        <v>212</v>
      </c>
      <c r="E107" s="631">
        <v>704893</v>
      </c>
      <c r="F107" s="618"/>
      <c r="G107" s="619"/>
      <c r="H107" s="618" t="s">
        <v>150</v>
      </c>
      <c r="I107" s="624" t="s">
        <v>167</v>
      </c>
      <c r="J107" s="618" t="s">
        <v>150</v>
      </c>
      <c r="K107" s="617"/>
      <c r="L107" s="206" t="s">
        <v>149</v>
      </c>
      <c r="O107" s="89"/>
    </row>
    <row r="108" spans="3:15" ht="14.1" customHeight="1">
      <c r="C108" s="87" t="s">
        <v>432</v>
      </c>
      <c r="D108" s="194" t="s">
        <v>214</v>
      </c>
      <c r="E108" s="615">
        <v>636733</v>
      </c>
      <c r="F108" s="618" t="s">
        <v>149</v>
      </c>
      <c r="G108" s="620"/>
      <c r="H108" s="620"/>
      <c r="I108" s="620"/>
      <c r="J108" s="618"/>
      <c r="K108" s="617" t="s">
        <v>149</v>
      </c>
      <c r="L108" s="617"/>
      <c r="O108" s="89"/>
    </row>
    <row r="109" spans="3:15" ht="14.1" customHeight="1">
      <c r="C109" s="69" t="s">
        <v>433</v>
      </c>
      <c r="D109" s="195" t="s">
        <v>216</v>
      </c>
      <c r="E109" s="200">
        <v>637770</v>
      </c>
      <c r="F109" s="618" t="s">
        <v>150</v>
      </c>
      <c r="G109" s="206"/>
      <c r="H109" s="253" t="s">
        <v>359</v>
      </c>
      <c r="I109" s="206" t="s">
        <v>191</v>
      </c>
      <c r="J109" s="206" t="s">
        <v>150</v>
      </c>
      <c r="K109" s="206"/>
      <c r="L109" s="206"/>
      <c r="O109" s="89"/>
    </row>
    <row r="110" spans="3:15" ht="14.1" customHeight="1">
      <c r="C110" s="543"/>
      <c r="D110" s="554"/>
      <c r="E110" s="625"/>
      <c r="F110" s="618"/>
      <c r="G110" s="618"/>
      <c r="H110" s="618"/>
      <c r="I110" s="618"/>
      <c r="J110" s="618"/>
      <c r="K110" s="618"/>
      <c r="L110" s="618"/>
      <c r="O110" s="89"/>
    </row>
    <row r="111" spans="3:15" ht="14.1" customHeight="1" thickBot="1">
      <c r="C111" s="543"/>
      <c r="D111" s="554"/>
      <c r="E111" s="166"/>
      <c r="F111" s="760" t="s">
        <v>218</v>
      </c>
      <c r="G111" s="761"/>
      <c r="H111" s="761"/>
      <c r="I111" s="761"/>
      <c r="J111" s="761"/>
      <c r="K111" s="761"/>
      <c r="L111" s="762"/>
      <c r="O111" s="89"/>
    </row>
    <row r="112" spans="3:15" ht="14.1" customHeight="1">
      <c r="C112" s="555" t="s">
        <v>434</v>
      </c>
      <c r="D112" s="167" t="s">
        <v>219</v>
      </c>
      <c r="E112" s="114"/>
      <c r="F112" s="71">
        <f t="shared" ref="F112:L112" si="20">F4</f>
        <v>46090</v>
      </c>
      <c r="G112" s="71">
        <f t="shared" si="20"/>
        <v>46091</v>
      </c>
      <c r="H112" s="71">
        <f t="shared" si="20"/>
        <v>46092</v>
      </c>
      <c r="I112" s="71">
        <f t="shared" si="20"/>
        <v>46093</v>
      </c>
      <c r="J112" s="71">
        <f t="shared" si="20"/>
        <v>46094</v>
      </c>
      <c r="K112" s="71">
        <f t="shared" si="20"/>
        <v>46095</v>
      </c>
      <c r="L112" s="71">
        <f t="shared" si="20"/>
        <v>46096</v>
      </c>
      <c r="O112" s="89"/>
    </row>
    <row r="113" spans="3:15" ht="14.1" customHeight="1">
      <c r="C113" s="556" t="s">
        <v>435</v>
      </c>
      <c r="D113" s="557" t="s">
        <v>220</v>
      </c>
      <c r="E113" s="633">
        <v>654686</v>
      </c>
      <c r="F113" s="565" t="s">
        <v>221</v>
      </c>
      <c r="G113" s="565"/>
      <c r="H113" s="565"/>
      <c r="I113" s="565" t="s">
        <v>150</v>
      </c>
      <c r="J113" s="565"/>
      <c r="K113" s="565" t="s">
        <v>149</v>
      </c>
      <c r="L113" s="565" t="s">
        <v>225</v>
      </c>
      <c r="O113" s="89"/>
    </row>
    <row r="114" spans="3:15" ht="14.1" customHeight="1">
      <c r="C114" s="556" t="s">
        <v>436</v>
      </c>
      <c r="D114" s="557" t="s">
        <v>227</v>
      </c>
      <c r="E114" s="633">
        <v>700581</v>
      </c>
      <c r="F114" s="565" t="s">
        <v>150</v>
      </c>
      <c r="G114" s="565" t="s">
        <v>150</v>
      </c>
      <c r="H114" s="565"/>
      <c r="I114" s="565" t="s">
        <v>149</v>
      </c>
      <c r="J114" s="565" t="s">
        <v>226</v>
      </c>
      <c r="K114" s="565"/>
      <c r="L114" s="565"/>
      <c r="O114" s="89"/>
    </row>
    <row r="115" spans="3:15" ht="14.1" customHeight="1">
      <c r="C115" s="88" t="s">
        <v>437</v>
      </c>
      <c r="D115" s="557" t="s">
        <v>228</v>
      </c>
      <c r="E115" s="633">
        <v>700540</v>
      </c>
      <c r="F115" s="565" t="s">
        <v>149</v>
      </c>
      <c r="G115" s="565" t="s">
        <v>150</v>
      </c>
      <c r="H115" s="565" t="s">
        <v>226</v>
      </c>
      <c r="I115" s="565"/>
      <c r="J115" s="578" t="s">
        <v>530</v>
      </c>
      <c r="K115" s="565"/>
      <c r="L115" s="565"/>
      <c r="O115" s="89"/>
    </row>
    <row r="116" spans="3:15" ht="14.1" customHeight="1">
      <c r="C116" s="556" t="s">
        <v>438</v>
      </c>
      <c r="D116" s="557" t="s">
        <v>230</v>
      </c>
      <c r="E116" s="633">
        <v>646665</v>
      </c>
      <c r="F116" s="565" t="s">
        <v>150</v>
      </c>
      <c r="G116" s="565" t="s">
        <v>226</v>
      </c>
      <c r="H116" s="565" t="s">
        <v>150</v>
      </c>
      <c r="I116" s="565"/>
      <c r="J116" s="565" t="s">
        <v>225</v>
      </c>
      <c r="K116" s="565"/>
      <c r="L116" s="565"/>
      <c r="O116" s="89"/>
    </row>
    <row r="117" spans="3:15" ht="14.1" customHeight="1">
      <c r="C117" s="556" t="s">
        <v>439</v>
      </c>
      <c r="D117" s="557" t="s">
        <v>231</v>
      </c>
      <c r="E117" s="633">
        <v>654598</v>
      </c>
      <c r="F117" s="565" t="s">
        <v>149</v>
      </c>
      <c r="G117" s="565"/>
      <c r="H117" s="565" t="s">
        <v>229</v>
      </c>
      <c r="I117" s="565"/>
      <c r="J117" s="565"/>
      <c r="K117" s="565" t="s">
        <v>150</v>
      </c>
      <c r="L117" s="578" t="s">
        <v>531</v>
      </c>
      <c r="O117" s="89"/>
    </row>
    <row r="118" spans="3:15" ht="14.1" customHeight="1">
      <c r="C118" s="556" t="s">
        <v>440</v>
      </c>
      <c r="D118" s="557" t="s">
        <v>232</v>
      </c>
      <c r="E118" s="633">
        <v>700591</v>
      </c>
      <c r="F118" s="565"/>
      <c r="G118" s="565"/>
      <c r="H118" s="565" t="s">
        <v>224</v>
      </c>
      <c r="I118" s="565" t="s">
        <v>149</v>
      </c>
      <c r="J118" s="565"/>
      <c r="K118" s="565" t="s">
        <v>225</v>
      </c>
      <c r="L118" s="565" t="s">
        <v>149</v>
      </c>
      <c r="O118" s="89"/>
    </row>
    <row r="119" spans="3:15" ht="14.1" customHeight="1">
      <c r="C119" s="556" t="s">
        <v>441</v>
      </c>
      <c r="D119" s="557" t="s">
        <v>233</v>
      </c>
      <c r="E119" s="633">
        <v>700648</v>
      </c>
      <c r="F119" s="565"/>
      <c r="G119" s="565" t="s">
        <v>221</v>
      </c>
      <c r="H119" s="565" t="s">
        <v>222</v>
      </c>
      <c r="I119" s="565"/>
      <c r="J119" s="565"/>
      <c r="K119" s="565" t="s">
        <v>226</v>
      </c>
      <c r="L119" s="565" t="s">
        <v>150</v>
      </c>
      <c r="O119" s="89"/>
    </row>
    <row r="120" spans="3:15" ht="14.1" customHeight="1">
      <c r="C120" s="556" t="s">
        <v>443</v>
      </c>
      <c r="D120" s="557" t="s">
        <v>234</v>
      </c>
      <c r="E120" s="633">
        <v>700653</v>
      </c>
      <c r="F120" s="565"/>
      <c r="G120" s="578" t="s">
        <v>342</v>
      </c>
      <c r="H120" s="565" t="s">
        <v>150</v>
      </c>
      <c r="I120" s="565"/>
      <c r="J120" s="565"/>
      <c r="K120" s="565" t="s">
        <v>149</v>
      </c>
      <c r="L120" s="565" t="s">
        <v>224</v>
      </c>
      <c r="O120" s="89"/>
    </row>
    <row r="121" spans="3:15" ht="14.1" customHeight="1">
      <c r="C121" s="556" t="s">
        <v>444</v>
      </c>
      <c r="D121" s="557" t="s">
        <v>235</v>
      </c>
      <c r="E121" s="633">
        <v>700604</v>
      </c>
      <c r="F121" s="635"/>
      <c r="G121" s="635"/>
      <c r="H121" s="635"/>
      <c r="I121" s="635"/>
      <c r="J121" s="635"/>
      <c r="K121" s="635"/>
      <c r="L121" s="635"/>
      <c r="O121" s="89"/>
    </row>
    <row r="122" spans="3:15" ht="14.1" customHeight="1">
      <c r="C122" s="556" t="s">
        <v>445</v>
      </c>
      <c r="D122" s="557" t="s">
        <v>236</v>
      </c>
      <c r="E122" s="633">
        <v>655170</v>
      </c>
      <c r="F122" s="635"/>
      <c r="G122" s="635"/>
      <c r="H122" s="635"/>
      <c r="I122" s="635"/>
      <c r="J122" s="635"/>
      <c r="K122" s="635"/>
      <c r="L122" s="635"/>
      <c r="O122" s="89"/>
    </row>
    <row r="123" spans="3:15" ht="14.1" customHeight="1">
      <c r="C123" s="556" t="s">
        <v>446</v>
      </c>
      <c r="D123" s="557" t="s">
        <v>237</v>
      </c>
      <c r="E123" s="633">
        <v>703000</v>
      </c>
      <c r="F123" s="565"/>
      <c r="G123" s="565"/>
      <c r="H123" s="565" t="s">
        <v>150</v>
      </c>
      <c r="I123" s="565"/>
      <c r="J123" s="565" t="s">
        <v>221</v>
      </c>
      <c r="K123" s="565" t="s">
        <v>223</v>
      </c>
      <c r="L123" s="565" t="s">
        <v>222</v>
      </c>
      <c r="O123" s="89"/>
    </row>
    <row r="124" spans="3:15" ht="14.1" customHeight="1">
      <c r="C124" s="556" t="s">
        <v>447</v>
      </c>
      <c r="D124" s="557" t="s">
        <v>238</v>
      </c>
      <c r="E124" s="633">
        <v>702770</v>
      </c>
      <c r="F124" s="565" t="s">
        <v>224</v>
      </c>
      <c r="G124" s="565" t="s">
        <v>150</v>
      </c>
      <c r="H124" s="565" t="s">
        <v>150</v>
      </c>
      <c r="I124" s="565"/>
      <c r="J124" s="578" t="s">
        <v>359</v>
      </c>
      <c r="K124" s="565"/>
      <c r="L124" s="565"/>
      <c r="O124" s="89"/>
    </row>
    <row r="125" spans="3:15" ht="14.1" customHeight="1">
      <c r="C125" s="556" t="s">
        <v>448</v>
      </c>
      <c r="D125" s="557" t="s">
        <v>239</v>
      </c>
      <c r="E125" s="633">
        <v>704108</v>
      </c>
      <c r="F125" s="565"/>
      <c r="G125" s="565" t="s">
        <v>149</v>
      </c>
      <c r="H125" s="565" t="s">
        <v>149</v>
      </c>
      <c r="I125" s="565" t="s">
        <v>222</v>
      </c>
      <c r="J125" s="565" t="s">
        <v>222</v>
      </c>
      <c r="K125" s="565"/>
      <c r="L125" s="565"/>
      <c r="O125" s="89"/>
    </row>
    <row r="126" spans="3:15" ht="14.1" customHeight="1">
      <c r="C126" s="556" t="s">
        <v>449</v>
      </c>
      <c r="D126" s="557" t="s">
        <v>240</v>
      </c>
      <c r="E126" s="633">
        <v>700734</v>
      </c>
      <c r="F126" s="565"/>
      <c r="G126" s="565" t="s">
        <v>224</v>
      </c>
      <c r="H126" s="565" t="s">
        <v>225</v>
      </c>
      <c r="I126" s="565"/>
      <c r="J126" s="565" t="s">
        <v>150</v>
      </c>
      <c r="K126" s="565"/>
      <c r="L126" s="565" t="s">
        <v>222</v>
      </c>
      <c r="O126" s="89"/>
    </row>
    <row r="127" spans="3:15" ht="14.1" customHeight="1">
      <c r="C127" s="556" t="s">
        <v>450</v>
      </c>
      <c r="D127" s="557" t="s">
        <v>241</v>
      </c>
      <c r="E127" s="633">
        <v>702035</v>
      </c>
      <c r="F127" s="635"/>
      <c r="G127" s="635"/>
      <c r="H127" s="635"/>
      <c r="I127" s="635"/>
      <c r="J127" s="635"/>
      <c r="K127" s="635"/>
      <c r="L127" s="635"/>
      <c r="O127" s="89"/>
    </row>
    <row r="128" spans="3:15" ht="14.1" customHeight="1">
      <c r="C128" s="556" t="s">
        <v>451</v>
      </c>
      <c r="D128" s="557" t="s">
        <v>242</v>
      </c>
      <c r="E128" s="633">
        <v>702779</v>
      </c>
      <c r="F128" s="565"/>
      <c r="G128" s="565"/>
      <c r="H128" s="565"/>
      <c r="I128" s="565" t="s">
        <v>226</v>
      </c>
      <c r="J128" s="565" t="s">
        <v>223</v>
      </c>
      <c r="K128" s="565" t="s">
        <v>222</v>
      </c>
      <c r="L128" s="565" t="s">
        <v>221</v>
      </c>
      <c r="O128" s="89"/>
    </row>
    <row r="129" spans="3:15" ht="14.1" customHeight="1">
      <c r="C129" s="556" t="s">
        <v>452</v>
      </c>
      <c r="D129" s="557" t="s">
        <v>243</v>
      </c>
      <c r="E129" s="633">
        <v>641339</v>
      </c>
      <c r="F129" s="565"/>
      <c r="G129" s="565" t="s">
        <v>149</v>
      </c>
      <c r="H129" s="565"/>
      <c r="I129" s="565" t="s">
        <v>224</v>
      </c>
      <c r="J129" s="565" t="s">
        <v>150</v>
      </c>
      <c r="K129" s="565" t="s">
        <v>150</v>
      </c>
      <c r="L129" s="565"/>
      <c r="O129" s="89"/>
    </row>
    <row r="130" spans="3:15" ht="14.1" customHeight="1">
      <c r="C130" s="556" t="s">
        <v>453</v>
      </c>
      <c r="D130" s="557" t="s">
        <v>244</v>
      </c>
      <c r="E130" s="633">
        <v>703783</v>
      </c>
      <c r="F130" s="565" t="s">
        <v>223</v>
      </c>
      <c r="G130" s="565"/>
      <c r="H130" s="565"/>
      <c r="I130" s="565"/>
      <c r="J130" s="565" t="s">
        <v>149</v>
      </c>
      <c r="K130" s="565" t="s">
        <v>150</v>
      </c>
      <c r="L130" s="565" t="s">
        <v>150</v>
      </c>
      <c r="O130" s="89"/>
    </row>
    <row r="131" spans="3:15" ht="14.1" customHeight="1">
      <c r="C131" s="556" t="s">
        <v>454</v>
      </c>
      <c r="D131" s="557" t="s">
        <v>245</v>
      </c>
      <c r="E131" s="625">
        <v>702087</v>
      </c>
      <c r="F131" s="565"/>
      <c r="G131" s="565"/>
      <c r="H131" s="565"/>
      <c r="I131" s="565"/>
      <c r="J131" s="565"/>
      <c r="K131" s="565" t="s">
        <v>221</v>
      </c>
      <c r="L131" s="565" t="s">
        <v>223</v>
      </c>
      <c r="O131" s="89"/>
    </row>
    <row r="132" spans="3:15" ht="14.1" customHeight="1">
      <c r="C132" s="556" t="s">
        <v>455</v>
      </c>
      <c r="D132" s="558" t="s">
        <v>246</v>
      </c>
      <c r="E132" s="625">
        <v>705039</v>
      </c>
      <c r="F132" s="566" t="s">
        <v>150</v>
      </c>
      <c r="G132" s="566" t="s">
        <v>222</v>
      </c>
      <c r="H132" s="566" t="s">
        <v>222</v>
      </c>
      <c r="I132" s="566" t="s">
        <v>222</v>
      </c>
      <c r="J132" s="566"/>
      <c r="K132" s="566"/>
      <c r="L132" s="566"/>
      <c r="O132" s="89"/>
    </row>
    <row r="133" spans="3:15" ht="14.1" customHeight="1">
      <c r="C133" s="556" t="s">
        <v>456</v>
      </c>
      <c r="D133" s="557" t="s">
        <v>247</v>
      </c>
      <c r="E133" s="625">
        <v>703186</v>
      </c>
      <c r="F133" s="635" t="s">
        <v>532</v>
      </c>
      <c r="G133" s="635"/>
      <c r="H133" s="635"/>
      <c r="I133" s="635"/>
      <c r="J133" s="635"/>
      <c r="K133" s="635"/>
      <c r="L133" s="635"/>
      <c r="O133" s="89"/>
    </row>
    <row r="134" spans="3:15" ht="14.1" customHeight="1">
      <c r="C134" s="556" t="s">
        <v>458</v>
      </c>
      <c r="D134" s="557" t="s">
        <v>248</v>
      </c>
      <c r="E134" s="625">
        <v>703168</v>
      </c>
      <c r="F134" s="565" t="s">
        <v>225</v>
      </c>
      <c r="G134" s="565" t="s">
        <v>223</v>
      </c>
      <c r="H134" s="565" t="s">
        <v>222</v>
      </c>
      <c r="I134" s="565" t="s">
        <v>221</v>
      </c>
      <c r="J134" s="565"/>
      <c r="K134" s="565"/>
      <c r="L134" s="565"/>
      <c r="O134" s="89"/>
    </row>
    <row r="135" spans="3:15" ht="14.1" customHeight="1">
      <c r="C135" s="556" t="s">
        <v>459</v>
      </c>
      <c r="D135" s="557" t="s">
        <v>249</v>
      </c>
      <c r="E135" s="625">
        <v>703270</v>
      </c>
      <c r="F135" s="565" t="s">
        <v>150</v>
      </c>
      <c r="G135" s="565" t="s">
        <v>150</v>
      </c>
      <c r="H135" s="565"/>
      <c r="I135" s="565" t="s">
        <v>225</v>
      </c>
      <c r="J135" s="565" t="s">
        <v>224</v>
      </c>
      <c r="K135" s="565"/>
      <c r="L135" s="565"/>
      <c r="O135" s="89"/>
    </row>
    <row r="136" spans="3:15" ht="14.1" customHeight="1">
      <c r="C136" s="556" t="s">
        <v>460</v>
      </c>
      <c r="D136" s="558" t="s">
        <v>251</v>
      </c>
      <c r="E136" s="625">
        <v>702481</v>
      </c>
      <c r="F136" s="565" t="s">
        <v>222</v>
      </c>
      <c r="G136" s="565"/>
      <c r="H136" s="565"/>
      <c r="I136" s="565" t="s">
        <v>150</v>
      </c>
      <c r="J136" s="565"/>
      <c r="K136" s="565" t="s">
        <v>224</v>
      </c>
      <c r="L136" s="565" t="s">
        <v>149</v>
      </c>
      <c r="O136" s="89"/>
    </row>
    <row r="137" spans="3:15" ht="14.1" customHeight="1">
      <c r="C137" s="556" t="s">
        <v>461</v>
      </c>
      <c r="D137" s="558" t="s">
        <v>252</v>
      </c>
      <c r="E137" s="625">
        <v>700682</v>
      </c>
      <c r="F137" s="634"/>
      <c r="G137" s="634"/>
      <c r="H137" s="634"/>
      <c r="I137" s="634"/>
      <c r="J137" s="634"/>
      <c r="K137" s="634"/>
      <c r="L137" s="634"/>
      <c r="O137" s="89"/>
    </row>
    <row r="138" spans="3:15" ht="14.1" customHeight="1">
      <c r="C138" s="556" t="s">
        <v>462</v>
      </c>
      <c r="D138" s="558" t="s">
        <v>253</v>
      </c>
      <c r="E138" s="625">
        <v>700721</v>
      </c>
      <c r="F138" s="634"/>
      <c r="G138" s="634"/>
      <c r="H138" s="634"/>
      <c r="I138" s="634"/>
      <c r="J138" s="634"/>
      <c r="K138" s="634"/>
      <c r="L138" s="634"/>
      <c r="O138" s="89"/>
    </row>
    <row r="139" spans="3:15" ht="14.1" customHeight="1">
      <c r="C139" s="556" t="s">
        <v>463</v>
      </c>
      <c r="D139" s="558" t="s">
        <v>254</v>
      </c>
      <c r="E139" s="625">
        <v>703820</v>
      </c>
      <c r="F139" s="634"/>
      <c r="G139" s="634"/>
      <c r="H139" s="634"/>
      <c r="I139" s="634"/>
      <c r="J139" s="634"/>
      <c r="K139" s="634"/>
      <c r="L139" s="634"/>
      <c r="O139" s="89"/>
    </row>
    <row r="140" spans="3:15" ht="14.1" customHeight="1">
      <c r="C140" s="556" t="s">
        <v>464</v>
      </c>
      <c r="D140" s="558" t="s">
        <v>255</v>
      </c>
      <c r="E140" s="625">
        <v>703788</v>
      </c>
      <c r="F140" s="634"/>
      <c r="G140" s="634"/>
      <c r="H140" s="634"/>
      <c r="I140" s="634"/>
      <c r="J140" s="634"/>
      <c r="K140" s="634"/>
      <c r="L140" s="634"/>
      <c r="O140" s="89"/>
    </row>
    <row r="141" spans="3:15" ht="14.1" customHeight="1">
      <c r="C141" s="556" t="s">
        <v>465</v>
      </c>
      <c r="D141" s="558" t="s">
        <v>256</v>
      </c>
      <c r="E141" s="625">
        <v>700646</v>
      </c>
      <c r="F141" s="565"/>
      <c r="G141" s="565"/>
      <c r="H141" s="565" t="s">
        <v>149</v>
      </c>
      <c r="I141" s="565"/>
      <c r="J141" s="565" t="s">
        <v>222</v>
      </c>
      <c r="K141" s="565" t="s">
        <v>222</v>
      </c>
      <c r="L141" s="565" t="s">
        <v>222</v>
      </c>
      <c r="O141" s="89"/>
    </row>
    <row r="142" spans="3:15" ht="14.1" customHeight="1">
      <c r="C142" s="556" t="s">
        <v>466</v>
      </c>
      <c r="D142" s="558" t="s">
        <v>257</v>
      </c>
      <c r="E142" s="633">
        <v>655539</v>
      </c>
      <c r="F142" s="565" t="s">
        <v>222</v>
      </c>
      <c r="G142" s="565"/>
      <c r="H142" s="565"/>
      <c r="I142" s="578" t="s">
        <v>531</v>
      </c>
      <c r="J142" s="565"/>
      <c r="K142" s="565" t="s">
        <v>150</v>
      </c>
      <c r="L142" s="565" t="s">
        <v>150</v>
      </c>
      <c r="O142" s="89"/>
    </row>
    <row r="143" spans="3:15" ht="14.1" customHeight="1">
      <c r="C143" s="556" t="s">
        <v>467</v>
      </c>
      <c r="D143" s="559" t="s">
        <v>258</v>
      </c>
      <c r="E143" s="633">
        <v>653933</v>
      </c>
      <c r="F143" s="565" t="s">
        <v>226</v>
      </c>
      <c r="G143" s="565" t="s">
        <v>222</v>
      </c>
      <c r="H143" s="565" t="s">
        <v>223</v>
      </c>
      <c r="I143" s="565" t="s">
        <v>222</v>
      </c>
      <c r="J143" s="565"/>
      <c r="K143" s="565"/>
      <c r="L143" s="565"/>
      <c r="O143" s="89"/>
    </row>
    <row r="144" spans="3:15" ht="14.1" customHeight="1">
      <c r="C144" s="556" t="s">
        <v>468</v>
      </c>
      <c r="D144" s="558" t="s">
        <v>259</v>
      </c>
      <c r="E144" s="636"/>
      <c r="F144" s="634"/>
      <c r="G144" s="634"/>
      <c r="H144" s="634"/>
      <c r="I144" s="634"/>
      <c r="J144" s="634"/>
      <c r="K144" s="634"/>
      <c r="L144" s="634"/>
      <c r="O144" s="89"/>
    </row>
    <row r="145" spans="3:15" ht="14.1" customHeight="1">
      <c r="C145" s="556"/>
      <c r="D145" s="286"/>
      <c r="E145" s="304"/>
      <c r="G145" s="566"/>
      <c r="H145" s="566"/>
      <c r="I145" s="566"/>
      <c r="J145" s="566"/>
      <c r="K145" s="566"/>
      <c r="L145" s="566"/>
      <c r="O145" s="89"/>
    </row>
    <row r="146" spans="3:15" ht="14.1" customHeight="1" thickBot="1">
      <c r="C146" s="560" t="s">
        <v>472</v>
      </c>
      <c r="D146" s="462" t="s">
        <v>260</v>
      </c>
      <c r="E146" s="463"/>
      <c r="F146" s="210"/>
      <c r="G146" s="578"/>
      <c r="H146" s="578"/>
      <c r="I146" s="578"/>
      <c r="J146" s="578"/>
      <c r="K146" s="578"/>
      <c r="L146" s="578"/>
      <c r="O146" s="89"/>
    </row>
    <row r="147" spans="3:15" ht="14.1" customHeight="1">
      <c r="C147" s="561" t="s">
        <v>473</v>
      </c>
      <c r="D147" s="196" t="s">
        <v>261</v>
      </c>
      <c r="E147" s="466">
        <v>703293</v>
      </c>
      <c r="F147" s="639" t="s">
        <v>150</v>
      </c>
      <c r="G147" s="639"/>
      <c r="H147" s="639" t="s">
        <v>149</v>
      </c>
      <c r="I147" s="639" t="s">
        <v>149</v>
      </c>
      <c r="J147" s="639" t="s">
        <v>149</v>
      </c>
      <c r="K147" s="639"/>
      <c r="L147" s="640" t="s">
        <v>264</v>
      </c>
      <c r="O147" s="89"/>
    </row>
    <row r="148" spans="3:15" ht="14.1" customHeight="1">
      <c r="C148" s="561" t="s">
        <v>474</v>
      </c>
      <c r="D148" s="562" t="s">
        <v>266</v>
      </c>
      <c r="E148" s="466">
        <v>703544</v>
      </c>
      <c r="F148" s="578" t="s">
        <v>359</v>
      </c>
      <c r="G148" s="639"/>
      <c r="H148" s="639"/>
      <c r="I148" s="639"/>
      <c r="J148" s="578" t="s">
        <v>519</v>
      </c>
      <c r="K148" s="578" t="s">
        <v>519</v>
      </c>
      <c r="L148" s="578" t="s">
        <v>442</v>
      </c>
      <c r="O148" s="89"/>
    </row>
    <row r="149" spans="3:15" ht="14.1" customHeight="1">
      <c r="C149" s="561" t="s">
        <v>475</v>
      </c>
      <c r="D149" s="562" t="s">
        <v>267</v>
      </c>
      <c r="E149" s="466">
        <v>703651</v>
      </c>
      <c r="F149" s="639"/>
      <c r="G149" s="639" t="s">
        <v>150</v>
      </c>
      <c r="H149" s="639" t="s">
        <v>150</v>
      </c>
      <c r="I149" s="639" t="s">
        <v>150</v>
      </c>
      <c r="J149" s="639" t="s">
        <v>150</v>
      </c>
      <c r="K149" s="639"/>
      <c r="L149" s="639"/>
      <c r="O149" s="89"/>
    </row>
    <row r="150" spans="3:15" ht="14.1" customHeight="1">
      <c r="C150" s="561" t="s">
        <v>477</v>
      </c>
      <c r="D150" s="562" t="s">
        <v>268</v>
      </c>
      <c r="E150" s="466">
        <v>703298</v>
      </c>
      <c r="F150" s="639"/>
      <c r="G150" s="639" t="s">
        <v>149</v>
      </c>
      <c r="H150" s="639" t="s">
        <v>149</v>
      </c>
      <c r="I150" s="639"/>
      <c r="J150" s="639"/>
      <c r="K150" s="639" t="s">
        <v>150</v>
      </c>
      <c r="L150" s="639" t="s">
        <v>150</v>
      </c>
      <c r="O150" s="89"/>
    </row>
    <row r="151" spans="3:15" ht="14.1" customHeight="1">
      <c r="C151" s="561" t="s">
        <v>478</v>
      </c>
      <c r="D151" s="562" t="s">
        <v>269</v>
      </c>
      <c r="E151" s="466">
        <v>703345</v>
      </c>
      <c r="F151" s="639" t="s">
        <v>150</v>
      </c>
      <c r="G151" s="639" t="s">
        <v>222</v>
      </c>
      <c r="H151" s="639" t="s">
        <v>222</v>
      </c>
      <c r="I151" s="639" t="s">
        <v>222</v>
      </c>
      <c r="J151" s="639"/>
      <c r="K151" s="639"/>
      <c r="L151" s="639"/>
      <c r="O151" s="89"/>
    </row>
    <row r="152" spans="3:15" ht="14.1" customHeight="1">
      <c r="C152" s="561" t="s">
        <v>479</v>
      </c>
      <c r="D152" s="562" t="s">
        <v>270</v>
      </c>
      <c r="E152" s="466">
        <v>703324</v>
      </c>
      <c r="F152" s="639"/>
      <c r="G152" s="639"/>
      <c r="H152" s="639"/>
      <c r="I152" s="639" t="s">
        <v>150</v>
      </c>
      <c r="J152" s="639" t="s">
        <v>150</v>
      </c>
      <c r="K152" s="639" t="s">
        <v>150</v>
      </c>
      <c r="L152" s="639" t="s">
        <v>150</v>
      </c>
      <c r="O152" s="89"/>
    </row>
    <row r="153" spans="3:15" ht="14.1" customHeight="1">
      <c r="C153" s="561" t="s">
        <v>480</v>
      </c>
      <c r="D153" s="562" t="s">
        <v>271</v>
      </c>
      <c r="E153" s="466">
        <v>703527</v>
      </c>
      <c r="F153" s="639" t="s">
        <v>149</v>
      </c>
      <c r="G153" s="639" t="s">
        <v>149</v>
      </c>
      <c r="H153" s="639"/>
      <c r="I153" s="639"/>
      <c r="J153" s="639"/>
      <c r="K153" s="639" t="s">
        <v>149</v>
      </c>
      <c r="L153" s="639" t="s">
        <v>149</v>
      </c>
      <c r="O153" s="89"/>
    </row>
    <row r="154" spans="3:15" ht="14.1" customHeight="1">
      <c r="C154" s="561" t="s">
        <v>481</v>
      </c>
      <c r="D154" s="562" t="s">
        <v>272</v>
      </c>
      <c r="E154" s="466">
        <v>703319</v>
      </c>
      <c r="F154" s="637" t="s">
        <v>263</v>
      </c>
      <c r="G154" s="637" t="s">
        <v>263</v>
      </c>
      <c r="H154" s="637" t="s">
        <v>263</v>
      </c>
      <c r="I154" s="637" t="s">
        <v>263</v>
      </c>
      <c r="J154" s="637" t="s">
        <v>263</v>
      </c>
      <c r="K154" s="637" t="s">
        <v>263</v>
      </c>
      <c r="L154" s="637" t="s">
        <v>263</v>
      </c>
      <c r="O154" s="89"/>
    </row>
    <row r="155" spans="3:15" ht="14.1" customHeight="1">
      <c r="C155" s="561" t="s">
        <v>482</v>
      </c>
      <c r="D155" s="562" t="s">
        <v>273</v>
      </c>
      <c r="E155" s="466">
        <v>703543</v>
      </c>
      <c r="F155" s="637" t="s">
        <v>263</v>
      </c>
      <c r="G155" s="637" t="s">
        <v>263</v>
      </c>
      <c r="H155" s="637" t="s">
        <v>263</v>
      </c>
      <c r="I155" s="637" t="s">
        <v>263</v>
      </c>
      <c r="J155" s="637" t="s">
        <v>263</v>
      </c>
      <c r="K155" s="637" t="s">
        <v>263</v>
      </c>
      <c r="L155" s="637" t="s">
        <v>263</v>
      </c>
      <c r="O155" s="89"/>
    </row>
    <row r="156" spans="3:15" ht="14.1" customHeight="1" thickBot="1">
      <c r="C156" s="561" t="s">
        <v>497</v>
      </c>
      <c r="D156" s="562" t="s">
        <v>274</v>
      </c>
      <c r="E156" s="466">
        <v>703530</v>
      </c>
      <c r="F156" s="639"/>
      <c r="G156" s="639"/>
      <c r="H156" s="639" t="s">
        <v>149</v>
      </c>
      <c r="I156" s="639" t="s">
        <v>149</v>
      </c>
      <c r="J156" s="639"/>
      <c r="K156" s="639" t="s">
        <v>150</v>
      </c>
      <c r="L156" s="639" t="s">
        <v>150</v>
      </c>
      <c r="O156" s="89"/>
    </row>
    <row r="157" spans="3:15" ht="14.1" customHeight="1">
      <c r="C157" s="561" t="s">
        <v>533</v>
      </c>
      <c r="D157" s="231" t="s">
        <v>485</v>
      </c>
      <c r="E157" s="288">
        <v>700626</v>
      </c>
      <c r="F157" s="237"/>
      <c r="G157" s="235" t="s">
        <v>149</v>
      </c>
      <c r="H157" s="289" t="s">
        <v>342</v>
      </c>
      <c r="I157" s="235" t="s">
        <v>149</v>
      </c>
      <c r="J157" s="235" t="s">
        <v>149</v>
      </c>
      <c r="K157" s="235"/>
      <c r="L157" s="236"/>
      <c r="O157" s="89"/>
    </row>
    <row r="158" spans="3:15" ht="14.1" customHeight="1">
      <c r="C158" s="561"/>
      <c r="D158" s="175"/>
      <c r="E158" s="114"/>
      <c r="F158" s="813" t="s">
        <v>275</v>
      </c>
      <c r="G158" s="814"/>
      <c r="H158" s="814"/>
      <c r="I158" s="814"/>
      <c r="J158" s="814"/>
      <c r="K158" s="814"/>
      <c r="L158" s="815"/>
      <c r="O158" s="89"/>
    </row>
    <row r="159" spans="3:15" ht="14.1" customHeight="1">
      <c r="D159" s="476"/>
      <c r="E159" s="477"/>
      <c r="F159" s="641"/>
      <c r="G159" s="641"/>
      <c r="H159" s="641"/>
      <c r="I159" s="641"/>
      <c r="J159" s="641"/>
      <c r="K159" s="641"/>
      <c r="L159" s="641"/>
      <c r="O159" s="89"/>
    </row>
    <row r="160" spans="3:15" ht="14.1" customHeight="1">
      <c r="D160" s="479"/>
      <c r="E160" s="477"/>
      <c r="F160" s="641"/>
      <c r="G160" s="641"/>
      <c r="H160" s="641"/>
      <c r="I160" s="641"/>
      <c r="J160" s="641"/>
      <c r="K160" s="641"/>
      <c r="L160" s="641"/>
      <c r="O160" s="89"/>
    </row>
    <row r="161" spans="3:15" ht="14.1" customHeight="1">
      <c r="C161" s="563" t="s">
        <v>488</v>
      </c>
      <c r="D161" s="479" t="s">
        <v>488</v>
      </c>
      <c r="E161" s="477"/>
      <c r="F161" s="641"/>
      <c r="G161" s="641"/>
      <c r="H161" s="641"/>
      <c r="I161" s="641"/>
      <c r="J161" s="641"/>
      <c r="K161" s="641"/>
      <c r="L161" s="641"/>
      <c r="O161" s="89"/>
    </row>
    <row r="162" spans="3:15" ht="14.1" customHeight="1">
      <c r="C162" s="563"/>
      <c r="D162" s="563"/>
      <c r="E162" s="477"/>
      <c r="F162" s="641"/>
      <c r="G162" s="641"/>
      <c r="H162" s="641"/>
      <c r="I162" s="641"/>
      <c r="J162" s="641"/>
      <c r="K162" s="641"/>
      <c r="L162" s="641"/>
      <c r="O162" s="89"/>
    </row>
    <row r="163" spans="3:15" ht="14.1" customHeight="1">
      <c r="C163" s="563"/>
      <c r="D163" s="563"/>
      <c r="E163" s="477"/>
      <c r="F163" s="641"/>
      <c r="G163" s="641"/>
      <c r="H163" s="641"/>
      <c r="I163" s="641"/>
      <c r="J163" s="641"/>
      <c r="K163" s="641"/>
      <c r="L163" s="641"/>
      <c r="O163" s="89"/>
    </row>
    <row r="164" spans="3:15" ht="14.1" customHeight="1">
      <c r="C164" s="563"/>
      <c r="D164" s="563"/>
      <c r="E164" s="477"/>
      <c r="F164" s="641"/>
      <c r="G164" s="641"/>
      <c r="H164" s="641"/>
      <c r="I164" s="641"/>
      <c r="J164" s="641"/>
      <c r="K164" s="641"/>
      <c r="L164" s="641"/>
      <c r="O164" s="89"/>
    </row>
    <row r="165" spans="3:15" ht="14.1" customHeight="1">
      <c r="C165" s="563"/>
      <c r="D165" s="563"/>
      <c r="E165" s="477"/>
      <c r="G165" s="566"/>
      <c r="H165" s="566"/>
      <c r="I165" s="566"/>
      <c r="J165" s="566"/>
      <c r="K165" s="566"/>
      <c r="L165" s="566"/>
      <c r="O165" s="89"/>
    </row>
    <row r="166" spans="3:15" ht="14.1" customHeight="1">
      <c r="C166" s="563"/>
      <c r="D166" s="563"/>
      <c r="E166" s="477"/>
      <c r="G166" s="566"/>
      <c r="H166" s="566"/>
      <c r="I166" s="566"/>
      <c r="J166" s="566"/>
      <c r="K166" s="566"/>
      <c r="L166" s="566"/>
      <c r="O166" s="89"/>
    </row>
    <row r="167" spans="3:15" ht="14.1" customHeight="1">
      <c r="C167" s="563"/>
      <c r="D167" s="563"/>
      <c r="E167" s="477"/>
      <c r="G167" s="566"/>
      <c r="H167" s="566"/>
      <c r="I167" s="566"/>
      <c r="J167" s="566"/>
      <c r="K167" s="566"/>
      <c r="L167" s="566"/>
      <c r="O167" s="89"/>
    </row>
    <row r="168" spans="3:15" ht="14.1" customHeight="1">
      <c r="C168" s="563"/>
      <c r="D168" s="563"/>
      <c r="E168" s="477"/>
      <c r="F168" s="210"/>
      <c r="G168" s="578"/>
      <c r="H168" s="578"/>
      <c r="I168" s="578"/>
      <c r="J168" s="578"/>
      <c r="K168" s="578"/>
      <c r="L168" s="578"/>
      <c r="O168" s="89"/>
    </row>
    <row r="169" spans="3:15" ht="14.1" customHeight="1">
      <c r="C169" s="538" t="s">
        <v>1</v>
      </c>
      <c r="D169" s="538" t="s">
        <v>1</v>
      </c>
      <c r="E169" s="615"/>
      <c r="F169" s="565">
        <f t="shared" ref="F169:L169" si="21">COUNTIF(F6:F167,"0800-1730*")+COUNTIF(F6:F167,"0800-1800*")+COUNTIF(F6:F167,"0730-*")-COUNTIF(F6:F167,"*0800-1730 CS*")-COUNTIF(F6:F167,"*0800-1800 CS*")-COUNTIF(F6:F167,"*0800-1730 PHNW*")-COUNTIF(F6:F167,"*0800-1730 DEMT*")-COUNTIF(F6:F167,"*0800-1730 DD*")</f>
        <v>15</v>
      </c>
      <c r="G169" s="565">
        <f t="shared" si="21"/>
        <v>16</v>
      </c>
      <c r="H169" s="565">
        <f t="shared" si="21"/>
        <v>17</v>
      </c>
      <c r="I169" s="565">
        <f t="shared" si="21"/>
        <v>17</v>
      </c>
      <c r="J169" s="565">
        <f t="shared" si="21"/>
        <v>13</v>
      </c>
      <c r="K169" s="565">
        <f t="shared" si="21"/>
        <v>12</v>
      </c>
      <c r="L169" s="565">
        <f t="shared" si="21"/>
        <v>15</v>
      </c>
      <c r="O169" s="89"/>
    </row>
    <row r="170" spans="3:15" ht="14.1" customHeight="1">
      <c r="C170" s="538" t="s">
        <v>276</v>
      </c>
      <c r="D170" s="538" t="s">
        <v>276</v>
      </c>
      <c r="E170" s="615"/>
      <c r="F170" s="65">
        <f t="shared" ref="F170:L170" si="22">COUNTIF(F6:F167,"*SWA*")</f>
        <v>0</v>
      </c>
      <c r="G170" s="65">
        <f t="shared" si="22"/>
        <v>0</v>
      </c>
      <c r="H170" s="65">
        <f t="shared" si="22"/>
        <v>2</v>
      </c>
      <c r="I170" s="65">
        <f t="shared" si="22"/>
        <v>0</v>
      </c>
      <c r="J170" s="65">
        <f t="shared" si="22"/>
        <v>2</v>
      </c>
      <c r="K170" s="65">
        <f t="shared" si="22"/>
        <v>1</v>
      </c>
      <c r="L170" s="65">
        <f t="shared" si="22"/>
        <v>0</v>
      </c>
      <c r="O170" s="89"/>
    </row>
    <row r="171" spans="3:15" ht="14.1" customHeight="1">
      <c r="C171" s="538" t="s">
        <v>2</v>
      </c>
      <c r="D171" s="538" t="s">
        <v>2</v>
      </c>
      <c r="E171" s="615"/>
      <c r="F171" s="65">
        <f t="shared" ref="F171:L171" si="23">COUNTIF(F6:F167,"*1400-*")+COUNTIF(F6:F167,"*1430-*")</f>
        <v>17</v>
      </c>
      <c r="G171" s="65">
        <f t="shared" si="23"/>
        <v>16</v>
      </c>
      <c r="H171" s="65">
        <f t="shared" si="23"/>
        <v>13</v>
      </c>
      <c r="I171" s="65">
        <f t="shared" si="23"/>
        <v>16</v>
      </c>
      <c r="J171" s="65">
        <f t="shared" si="23"/>
        <v>14</v>
      </c>
      <c r="K171" s="65">
        <f t="shared" si="23"/>
        <v>14</v>
      </c>
      <c r="L171" s="65">
        <f t="shared" si="23"/>
        <v>14</v>
      </c>
      <c r="O171" s="89"/>
    </row>
    <row r="172" spans="3:15" ht="14.1" customHeight="1">
      <c r="C172" s="538" t="s">
        <v>277</v>
      </c>
      <c r="D172" s="538" t="s">
        <v>277</v>
      </c>
      <c r="E172" s="615"/>
      <c r="F172" s="65">
        <f t="shared" ref="F172:L172" si="24">COUNTIF(F7:F167,"*SWP*")</f>
        <v>1</v>
      </c>
      <c r="G172" s="65">
        <f t="shared" si="24"/>
        <v>1</v>
      </c>
      <c r="H172" s="65">
        <f t="shared" si="24"/>
        <v>1</v>
      </c>
      <c r="I172" s="65">
        <f t="shared" si="24"/>
        <v>1</v>
      </c>
      <c r="J172" s="65">
        <f t="shared" si="24"/>
        <v>2</v>
      </c>
      <c r="K172" s="65">
        <f t="shared" si="24"/>
        <v>0</v>
      </c>
      <c r="L172" s="65">
        <f t="shared" si="24"/>
        <v>0</v>
      </c>
      <c r="O172" s="89"/>
    </row>
    <row r="173" spans="3:15" ht="14.1" customHeight="1" thickBot="1">
      <c r="C173" s="881" t="s">
        <v>278</v>
      </c>
      <c r="D173" s="881" t="s">
        <v>278</v>
      </c>
      <c r="E173" s="615"/>
      <c r="F173" s="65">
        <f t="shared" ref="F173:L173" si="25">COUNTIF(F6:F167,"2300-*")</f>
        <v>8</v>
      </c>
      <c r="G173" s="65">
        <f t="shared" si="25"/>
        <v>9</v>
      </c>
      <c r="H173" s="65">
        <f t="shared" si="25"/>
        <v>9</v>
      </c>
      <c r="I173" s="65">
        <f t="shared" si="25"/>
        <v>9</v>
      </c>
      <c r="J173" s="65">
        <f t="shared" si="25"/>
        <v>8</v>
      </c>
      <c r="K173" s="65">
        <f t="shared" si="25"/>
        <v>8</v>
      </c>
      <c r="L173" s="65">
        <f t="shared" si="25"/>
        <v>9</v>
      </c>
      <c r="O173" s="89"/>
    </row>
    <row r="174" spans="3:15" ht="14.1" customHeight="1">
      <c r="C174" s="84"/>
      <c r="D174" s="556"/>
      <c r="E174" s="615"/>
      <c r="F174" s="65"/>
      <c r="G174" s="565"/>
      <c r="H174" s="565"/>
      <c r="I174" s="565"/>
      <c r="J174" s="565"/>
      <c r="K174" s="565"/>
      <c r="L174" s="565"/>
      <c r="O174" s="89"/>
    </row>
    <row r="175" spans="3:15" ht="14.1" customHeight="1">
      <c r="C175" s="50"/>
      <c r="D175" s="556" t="s">
        <v>489</v>
      </c>
      <c r="E175" s="615"/>
      <c r="G175" s="566"/>
      <c r="H175" s="566"/>
      <c r="I175" s="566"/>
      <c r="J175" s="566"/>
      <c r="K175" s="566"/>
      <c r="L175" s="566"/>
      <c r="O175" s="89"/>
    </row>
    <row r="176" spans="3:15" ht="14.1" customHeight="1">
      <c r="C176" s="50"/>
      <c r="D176" s="139" t="s">
        <v>157</v>
      </c>
      <c r="E176" s="615"/>
      <c r="F176" s="882"/>
      <c r="G176" s="882"/>
      <c r="H176" s="883"/>
      <c r="I176" s="882"/>
      <c r="J176" s="882"/>
      <c r="K176" s="882"/>
      <c r="L176" s="882"/>
      <c r="O176" s="89"/>
    </row>
    <row r="177" spans="3:15" ht="14.1" customHeight="1">
      <c r="C177" s="50"/>
      <c r="D177" s="182" t="s">
        <v>159</v>
      </c>
      <c r="E177" s="615">
        <v>628440</v>
      </c>
      <c r="F177" s="882"/>
      <c r="G177" s="882"/>
      <c r="H177" s="884" t="s">
        <v>279</v>
      </c>
      <c r="I177" s="882"/>
      <c r="J177" s="882"/>
      <c r="K177" s="882"/>
      <c r="L177" s="882"/>
      <c r="O177" s="89"/>
    </row>
    <row r="178" spans="3:15" ht="14.1" customHeight="1">
      <c r="C178" s="50"/>
      <c r="D178" s="183" t="s">
        <v>164</v>
      </c>
      <c r="E178" s="615">
        <v>653976</v>
      </c>
      <c r="F178" s="882"/>
      <c r="G178" s="882"/>
      <c r="H178" s="884" t="s">
        <v>279</v>
      </c>
      <c r="I178" s="882"/>
      <c r="J178" s="882"/>
      <c r="K178" s="882"/>
      <c r="L178" s="882"/>
      <c r="O178" s="89"/>
    </row>
    <row r="179" spans="3:15" ht="14.1" customHeight="1">
      <c r="C179" s="50"/>
      <c r="D179" s="184" t="s">
        <v>166</v>
      </c>
      <c r="E179" s="615">
        <v>654362</v>
      </c>
      <c r="F179" s="882"/>
      <c r="G179" s="882"/>
      <c r="H179" s="884" t="s">
        <v>279</v>
      </c>
      <c r="I179" s="882"/>
      <c r="J179" s="882"/>
      <c r="K179" s="882"/>
      <c r="L179" s="882"/>
      <c r="O179" s="89"/>
    </row>
    <row r="180" spans="3:15" ht="14.1" customHeight="1">
      <c r="C180" s="50"/>
      <c r="D180" s="184" t="s">
        <v>168</v>
      </c>
      <c r="E180" s="615">
        <v>615829</v>
      </c>
      <c r="F180" s="882"/>
      <c r="G180" s="882"/>
      <c r="H180" s="884" t="s">
        <v>280</v>
      </c>
      <c r="I180" s="882"/>
      <c r="J180" s="882"/>
      <c r="K180" s="882"/>
      <c r="L180" s="882"/>
      <c r="O180" s="89"/>
    </row>
    <row r="181" spans="3:15" ht="14.1" customHeight="1">
      <c r="C181" s="50"/>
      <c r="D181" s="850" t="s">
        <v>170</v>
      </c>
      <c r="E181" s="615">
        <v>619567</v>
      </c>
      <c r="F181" s="882"/>
      <c r="G181" s="882"/>
      <c r="H181" s="884" t="s">
        <v>280</v>
      </c>
      <c r="I181" s="882"/>
      <c r="J181" s="882"/>
      <c r="K181" s="882"/>
      <c r="L181" s="882"/>
      <c r="O181" s="89"/>
    </row>
    <row r="182" spans="3:15" ht="14.1" customHeight="1">
      <c r="C182" s="50"/>
      <c r="D182" s="183" t="s">
        <v>171</v>
      </c>
      <c r="E182" s="615">
        <v>626157</v>
      </c>
      <c r="F182" s="882"/>
      <c r="G182" s="882"/>
      <c r="H182" s="884" t="s">
        <v>281</v>
      </c>
      <c r="I182" s="882"/>
      <c r="J182" s="882"/>
      <c r="K182" s="882"/>
      <c r="L182" s="882"/>
      <c r="O182" s="89"/>
    </row>
    <row r="183" spans="3:15" ht="14.1" customHeight="1">
      <c r="C183" s="50"/>
      <c r="D183" s="185" t="s">
        <v>173</v>
      </c>
      <c r="E183" s="615">
        <v>645122</v>
      </c>
      <c r="F183" s="882"/>
      <c r="G183" s="882"/>
      <c r="H183" s="884" t="s">
        <v>281</v>
      </c>
      <c r="I183" s="882"/>
      <c r="J183" s="882"/>
      <c r="K183" s="882"/>
      <c r="L183" s="882"/>
      <c r="O183" s="89"/>
    </row>
    <row r="184" spans="3:15" ht="14.1" customHeight="1">
      <c r="C184" s="50"/>
      <c r="D184" s="182" t="s">
        <v>174</v>
      </c>
      <c r="E184" s="615">
        <v>615820</v>
      </c>
      <c r="F184" s="882"/>
      <c r="G184" s="882"/>
      <c r="H184" s="884" t="s">
        <v>282</v>
      </c>
      <c r="I184" s="882"/>
      <c r="J184" s="882"/>
      <c r="K184" s="882"/>
      <c r="L184" s="882"/>
      <c r="O184" s="89"/>
    </row>
    <row r="185" spans="3:15" ht="14.1" customHeight="1" thickBot="1">
      <c r="C185" s="50"/>
      <c r="D185" s="197" t="s">
        <v>175</v>
      </c>
      <c r="E185" s="615">
        <v>624174</v>
      </c>
      <c r="F185" s="882"/>
      <c r="G185" s="882"/>
      <c r="H185" s="885" t="s">
        <v>283</v>
      </c>
      <c r="I185" s="882"/>
      <c r="J185" s="882"/>
      <c r="K185" s="882"/>
      <c r="L185" s="882"/>
      <c r="O185" s="89"/>
    </row>
    <row r="186" spans="3:15" ht="14.1" customHeight="1">
      <c r="C186" s="50"/>
      <c r="D186" s="70" t="s">
        <v>176</v>
      </c>
      <c r="E186" s="625"/>
      <c r="F186" s="882"/>
      <c r="G186" s="882"/>
      <c r="H186" s="883"/>
      <c r="I186" s="882"/>
      <c r="J186" s="882"/>
      <c r="K186" s="882"/>
      <c r="L186" s="882"/>
      <c r="O186" s="89"/>
    </row>
    <row r="187" spans="3:15" ht="14.1" customHeight="1">
      <c r="C187" s="50"/>
      <c r="D187" s="546" t="s">
        <v>177</v>
      </c>
      <c r="E187" s="615">
        <v>637990</v>
      </c>
      <c r="F187" s="882"/>
      <c r="G187" s="882"/>
      <c r="H187" s="884" t="s">
        <v>279</v>
      </c>
      <c r="I187" s="882"/>
      <c r="J187" s="882"/>
      <c r="K187" s="882"/>
      <c r="L187" s="882"/>
      <c r="O187" s="89"/>
    </row>
    <row r="188" spans="3:15" ht="14.1" customHeight="1">
      <c r="C188" s="50"/>
      <c r="D188" s="184" t="s">
        <v>179</v>
      </c>
      <c r="E188" s="615">
        <v>652867</v>
      </c>
      <c r="F188" s="882"/>
      <c r="G188" s="882"/>
      <c r="H188" s="884" t="s">
        <v>279</v>
      </c>
      <c r="I188" s="882"/>
      <c r="J188" s="882"/>
      <c r="K188" s="882"/>
      <c r="L188" s="882"/>
      <c r="O188" s="89"/>
    </row>
    <row r="189" spans="3:15" ht="14.1" customHeight="1">
      <c r="C189" s="50"/>
      <c r="D189" s="547" t="s">
        <v>180</v>
      </c>
      <c r="E189" s="615">
        <v>638831</v>
      </c>
      <c r="F189" s="882"/>
      <c r="G189" s="882"/>
      <c r="H189" s="884" t="s">
        <v>279</v>
      </c>
      <c r="I189" s="882"/>
      <c r="J189" s="882"/>
      <c r="K189" s="882"/>
      <c r="L189" s="882"/>
      <c r="O189" s="89"/>
    </row>
    <row r="190" spans="3:15" ht="14.1" customHeight="1">
      <c r="C190" s="50"/>
      <c r="D190" s="548" t="s">
        <v>182</v>
      </c>
      <c r="E190" s="615">
        <v>631314</v>
      </c>
      <c r="F190" s="882"/>
      <c r="G190" s="882"/>
      <c r="H190" s="884" t="s">
        <v>281</v>
      </c>
      <c r="I190" s="882"/>
      <c r="J190" s="882"/>
      <c r="K190" s="882"/>
      <c r="L190" s="882"/>
      <c r="O190" s="89"/>
    </row>
    <row r="191" spans="3:15" ht="14.1" customHeight="1">
      <c r="C191" s="50"/>
      <c r="D191" s="548" t="s">
        <v>185</v>
      </c>
      <c r="E191" s="615">
        <v>631732</v>
      </c>
      <c r="F191" s="882"/>
      <c r="G191" s="882"/>
      <c r="H191" s="884" t="s">
        <v>281</v>
      </c>
      <c r="I191" s="882"/>
      <c r="J191" s="882"/>
      <c r="K191" s="882"/>
      <c r="L191" s="882"/>
      <c r="O191" s="89"/>
    </row>
    <row r="192" spans="3:15" ht="14.1" customHeight="1">
      <c r="C192" s="50"/>
      <c r="D192" s="549" t="s">
        <v>186</v>
      </c>
      <c r="E192" s="615">
        <v>634876</v>
      </c>
      <c r="F192" s="882"/>
      <c r="G192" s="882"/>
      <c r="H192" s="884" t="s">
        <v>281</v>
      </c>
      <c r="I192" s="882"/>
      <c r="J192" s="882"/>
      <c r="K192" s="882"/>
      <c r="L192" s="882"/>
      <c r="O192" s="89"/>
    </row>
    <row r="193" spans="3:15" ht="14.1" customHeight="1">
      <c r="C193" s="50"/>
      <c r="D193" s="886" t="s">
        <v>189</v>
      </c>
      <c r="E193" s="615"/>
      <c r="F193" s="882"/>
      <c r="G193" s="882"/>
      <c r="H193" s="883"/>
      <c r="I193" s="882"/>
      <c r="J193" s="882"/>
      <c r="K193" s="882"/>
      <c r="L193" s="882"/>
      <c r="O193" s="89"/>
    </row>
    <row r="194" spans="3:15" ht="14.1" customHeight="1">
      <c r="C194" s="50"/>
      <c r="D194" s="188" t="s">
        <v>190</v>
      </c>
      <c r="E194" s="615">
        <v>648620</v>
      </c>
      <c r="F194" s="882"/>
      <c r="G194" s="882"/>
      <c r="H194" s="884" t="s">
        <v>279</v>
      </c>
      <c r="I194" s="882"/>
      <c r="J194" s="882"/>
      <c r="K194" s="882"/>
      <c r="L194" s="882"/>
      <c r="O194" s="89"/>
    </row>
    <row r="195" spans="3:15" ht="14.1" customHeight="1">
      <c r="C195" s="50"/>
      <c r="D195" s="189" t="s">
        <v>193</v>
      </c>
      <c r="E195" s="615">
        <v>652357</v>
      </c>
      <c r="F195" s="882"/>
      <c r="G195" s="882"/>
      <c r="H195" s="884" t="s">
        <v>279</v>
      </c>
      <c r="I195" s="882"/>
      <c r="J195" s="882"/>
      <c r="K195" s="882"/>
      <c r="L195" s="882"/>
      <c r="O195" s="89"/>
    </row>
    <row r="196" spans="3:15" ht="14.1" customHeight="1">
      <c r="C196" s="50"/>
      <c r="D196" s="551" t="s">
        <v>196</v>
      </c>
      <c r="E196" s="615">
        <v>703714</v>
      </c>
      <c r="F196" s="882"/>
      <c r="G196" s="882"/>
      <c r="H196" s="884" t="s">
        <v>279</v>
      </c>
      <c r="I196" s="882"/>
      <c r="J196" s="882"/>
      <c r="K196" s="882"/>
      <c r="L196" s="882"/>
      <c r="O196" s="89"/>
    </row>
    <row r="197" spans="3:15" ht="14.1" customHeight="1">
      <c r="C197" s="50"/>
      <c r="D197" s="189" t="s">
        <v>198</v>
      </c>
      <c r="E197" s="615">
        <v>655089</v>
      </c>
      <c r="F197" s="882"/>
      <c r="G197" s="882"/>
      <c r="H197" s="884" t="s">
        <v>279</v>
      </c>
      <c r="I197" s="882"/>
      <c r="J197" s="882"/>
      <c r="K197" s="882"/>
      <c r="L197" s="882"/>
      <c r="O197" s="89"/>
    </row>
    <row r="198" spans="3:15" ht="14.1" customHeight="1">
      <c r="C198" s="50"/>
      <c r="D198" s="190" t="s">
        <v>199</v>
      </c>
      <c r="E198" s="615">
        <v>649364</v>
      </c>
      <c r="F198" s="882"/>
      <c r="G198" s="882"/>
      <c r="H198" s="884" t="s">
        <v>280</v>
      </c>
      <c r="I198" s="882"/>
      <c r="J198" s="882"/>
      <c r="K198" s="882"/>
      <c r="L198" s="882"/>
      <c r="O198" s="89"/>
    </row>
    <row r="199" spans="3:15" ht="14.1" customHeight="1">
      <c r="C199" s="50"/>
      <c r="D199" s="191" t="s">
        <v>200</v>
      </c>
      <c r="E199" s="615">
        <v>700872</v>
      </c>
      <c r="F199" s="882"/>
      <c r="G199" s="882"/>
      <c r="H199" s="884" t="s">
        <v>279</v>
      </c>
      <c r="I199" s="882"/>
      <c r="J199" s="882"/>
      <c r="K199" s="882"/>
      <c r="L199" s="882"/>
      <c r="O199" s="89"/>
    </row>
    <row r="200" spans="3:15" ht="14.1" customHeight="1">
      <c r="C200" s="50"/>
      <c r="D200" s="552" t="s">
        <v>202</v>
      </c>
      <c r="E200" s="615">
        <v>703861</v>
      </c>
      <c r="F200" s="882"/>
      <c r="G200" s="882"/>
      <c r="H200" s="884" t="s">
        <v>279</v>
      </c>
      <c r="I200" s="882"/>
      <c r="J200" s="882"/>
      <c r="K200" s="882"/>
      <c r="L200" s="882"/>
      <c r="O200" s="89"/>
    </row>
    <row r="201" spans="3:15" ht="14.1" customHeight="1">
      <c r="C201" s="50"/>
      <c r="D201" s="192" t="s">
        <v>204</v>
      </c>
      <c r="E201" s="615">
        <v>652868</v>
      </c>
      <c r="F201" s="882"/>
      <c r="G201" s="882"/>
      <c r="H201" s="884" t="s">
        <v>280</v>
      </c>
      <c r="I201" s="882"/>
      <c r="J201" s="882"/>
      <c r="K201" s="882"/>
      <c r="L201" s="882"/>
      <c r="O201" s="89"/>
    </row>
    <row r="202" spans="3:15" ht="14.1" customHeight="1">
      <c r="C202" s="50"/>
      <c r="D202" s="189" t="s">
        <v>205</v>
      </c>
      <c r="E202" s="615">
        <v>652998</v>
      </c>
      <c r="F202" s="882"/>
      <c r="G202" s="882"/>
      <c r="H202" s="884" t="s">
        <v>280</v>
      </c>
      <c r="I202" s="882"/>
      <c r="J202" s="882"/>
      <c r="K202" s="882"/>
      <c r="L202" s="882"/>
      <c r="O202" s="89"/>
    </row>
    <row r="203" spans="3:15" ht="14.1" customHeight="1">
      <c r="C203" s="50"/>
      <c r="D203" s="193" t="s">
        <v>206</v>
      </c>
      <c r="E203" s="615">
        <v>654959</v>
      </c>
      <c r="F203" s="882"/>
      <c r="G203" s="882"/>
      <c r="H203" s="884" t="s">
        <v>279</v>
      </c>
      <c r="I203" s="882"/>
      <c r="J203" s="882"/>
      <c r="K203" s="882"/>
      <c r="L203" s="882"/>
      <c r="O203" s="89"/>
    </row>
    <row r="204" spans="3:15" ht="14.1" customHeight="1">
      <c r="C204" s="50"/>
      <c r="D204" s="551" t="s">
        <v>207</v>
      </c>
      <c r="E204" s="615">
        <v>654981</v>
      </c>
      <c r="F204" s="882"/>
      <c r="G204" s="882"/>
      <c r="H204" s="884" t="s">
        <v>280</v>
      </c>
      <c r="I204" s="882"/>
      <c r="J204" s="882"/>
      <c r="K204" s="882"/>
      <c r="L204" s="882"/>
      <c r="O204" s="89"/>
    </row>
    <row r="205" spans="3:15" ht="14.1" customHeight="1">
      <c r="C205" s="50"/>
      <c r="D205" s="553" t="s">
        <v>208</v>
      </c>
      <c r="E205" s="615">
        <v>703795</v>
      </c>
      <c r="F205" s="882"/>
      <c r="G205" s="882"/>
      <c r="H205" s="884" t="s">
        <v>280</v>
      </c>
      <c r="I205" s="882"/>
      <c r="J205" s="882"/>
      <c r="K205" s="882"/>
      <c r="L205" s="882"/>
      <c r="O205" s="89"/>
    </row>
    <row r="206" spans="3:15" ht="14.1" customHeight="1">
      <c r="C206" s="50"/>
      <c r="D206" s="551" t="s">
        <v>209</v>
      </c>
      <c r="E206" s="615">
        <v>652364</v>
      </c>
      <c r="F206" s="882"/>
      <c r="G206" s="882"/>
      <c r="H206" s="884" t="s">
        <v>280</v>
      </c>
      <c r="I206" s="882"/>
      <c r="J206" s="882"/>
      <c r="K206" s="882"/>
      <c r="L206" s="882"/>
      <c r="O206" s="89"/>
    </row>
    <row r="207" spans="3:15" ht="14.1" customHeight="1">
      <c r="C207" s="50"/>
      <c r="D207" s="551" t="s">
        <v>210</v>
      </c>
      <c r="E207" s="615">
        <v>644433</v>
      </c>
      <c r="F207" s="882"/>
      <c r="G207" s="882"/>
      <c r="H207" s="884" t="s">
        <v>281</v>
      </c>
      <c r="I207" s="882"/>
      <c r="J207" s="882"/>
      <c r="K207" s="882"/>
      <c r="L207" s="882"/>
      <c r="O207" s="89"/>
    </row>
    <row r="208" spans="3:15" ht="14.1" customHeight="1">
      <c r="C208" s="50"/>
      <c r="D208" s="551" t="s">
        <v>211</v>
      </c>
      <c r="E208" s="615">
        <v>650602</v>
      </c>
      <c r="F208" s="882"/>
      <c r="G208" s="882"/>
      <c r="H208" s="884" t="s">
        <v>281</v>
      </c>
      <c r="I208" s="882"/>
      <c r="J208" s="882"/>
      <c r="K208" s="882"/>
      <c r="L208" s="882"/>
      <c r="O208" s="89"/>
    </row>
    <row r="209" spans="3:15" ht="14.1" customHeight="1">
      <c r="C209" s="50"/>
      <c r="D209" s="552" t="s">
        <v>212</v>
      </c>
      <c r="E209" s="615">
        <v>704893</v>
      </c>
      <c r="F209" s="882"/>
      <c r="G209" s="882"/>
      <c r="H209" s="884" t="s">
        <v>279</v>
      </c>
      <c r="I209" s="882"/>
      <c r="J209" s="882"/>
      <c r="K209" s="882"/>
      <c r="L209" s="882"/>
      <c r="O209" s="89"/>
    </row>
    <row r="210" spans="3:15" ht="14.1" customHeight="1">
      <c r="C210" s="50"/>
      <c r="D210" s="194" t="s">
        <v>214</v>
      </c>
      <c r="E210" s="615">
        <v>636733</v>
      </c>
      <c r="F210" s="882"/>
      <c r="G210" s="882"/>
      <c r="H210" s="884" t="s">
        <v>280</v>
      </c>
      <c r="I210" s="882"/>
      <c r="J210" s="882"/>
      <c r="K210" s="882"/>
      <c r="L210" s="882"/>
      <c r="O210" s="89"/>
    </row>
    <row r="211" spans="3:15" ht="14.1" customHeight="1">
      <c r="C211" s="50"/>
      <c r="D211" s="192" t="s">
        <v>216</v>
      </c>
      <c r="E211" s="200">
        <v>637770</v>
      </c>
      <c r="F211" s="882"/>
      <c r="G211" s="882"/>
      <c r="H211" s="884" t="s">
        <v>279</v>
      </c>
      <c r="I211" s="882"/>
      <c r="J211" s="882"/>
      <c r="K211" s="882"/>
      <c r="L211" s="882"/>
      <c r="O211" s="89"/>
    </row>
    <row r="212" spans="3:15" ht="14.1" customHeight="1">
      <c r="C212" s="50"/>
      <c r="D212" s="56"/>
      <c r="E212" s="82"/>
      <c r="G212" s="566"/>
      <c r="H212" s="566"/>
      <c r="I212" s="566"/>
      <c r="J212" s="566"/>
      <c r="K212" s="566"/>
      <c r="L212" s="566"/>
      <c r="O212" s="89"/>
    </row>
    <row r="213" spans="3:15" ht="14.1" customHeight="1">
      <c r="C213" s="564"/>
      <c r="D213" s="564"/>
      <c r="E213" s="82"/>
      <c r="G213" s="566"/>
      <c r="H213" s="566"/>
      <c r="I213" s="566"/>
      <c r="J213" s="566"/>
      <c r="K213" s="566"/>
      <c r="L213" s="566"/>
      <c r="O213" s="89"/>
    </row>
    <row r="214" spans="3:15" ht="14.1" customHeight="1">
      <c r="C214" s="564"/>
      <c r="D214" s="564"/>
      <c r="E214" s="82"/>
      <c r="G214" s="566"/>
      <c r="H214" s="566"/>
      <c r="I214" s="566"/>
      <c r="J214" s="566"/>
      <c r="K214" s="566"/>
      <c r="L214" s="566"/>
      <c r="O214" s="89"/>
    </row>
    <row r="215" spans="3:15" ht="14.1" customHeight="1">
      <c r="D215" s="56"/>
      <c r="E215" s="82"/>
      <c r="G215" s="566"/>
      <c r="H215" s="566"/>
      <c r="I215" s="566"/>
      <c r="J215" s="566"/>
      <c r="K215" s="566"/>
      <c r="L215" s="566"/>
      <c r="O215" s="89"/>
    </row>
    <row r="216" spans="3:15" ht="14.1" customHeight="1">
      <c r="C216" s="564"/>
      <c r="D216" s="564"/>
      <c r="E216" s="82"/>
      <c r="G216" s="566"/>
      <c r="H216" s="566"/>
      <c r="I216" s="566"/>
      <c r="J216" s="566"/>
      <c r="K216" s="566"/>
      <c r="L216" s="566"/>
      <c r="O216" s="89"/>
    </row>
    <row r="217" spans="3:15" ht="14.1" customHeight="1">
      <c r="C217" s="564"/>
      <c r="D217" s="564"/>
      <c r="E217" s="82"/>
      <c r="G217" s="566"/>
      <c r="H217" s="566"/>
      <c r="I217" s="566"/>
      <c r="J217" s="566"/>
      <c r="K217" s="566"/>
      <c r="L217" s="566"/>
      <c r="O217" s="89"/>
    </row>
    <row r="218" spans="3:15" ht="14.1" customHeight="1">
      <c r="D218" s="56"/>
      <c r="E218" s="82"/>
      <c r="G218" s="566"/>
      <c r="H218" s="566"/>
      <c r="I218" s="566"/>
      <c r="J218" s="566"/>
      <c r="K218" s="566"/>
      <c r="L218" s="566"/>
      <c r="O218" s="89"/>
    </row>
    <row r="219" spans="3:15" ht="14.1" customHeight="1">
      <c r="C219" s="564"/>
      <c r="D219" s="564"/>
      <c r="E219" s="82"/>
      <c r="G219" s="566"/>
      <c r="H219" s="566"/>
      <c r="I219" s="566"/>
      <c r="J219" s="566"/>
      <c r="K219" s="566"/>
      <c r="L219" s="566"/>
      <c r="O219" s="89"/>
    </row>
    <row r="220" spans="3:15" ht="14.1" customHeight="1">
      <c r="C220" s="564"/>
      <c r="D220" s="564"/>
      <c r="E220" s="82"/>
      <c r="G220" s="566"/>
      <c r="H220" s="566"/>
      <c r="I220" s="566"/>
      <c r="J220" s="566"/>
      <c r="K220" s="566"/>
      <c r="L220" s="566"/>
      <c r="O220" s="89"/>
    </row>
    <row r="221" spans="3:15" ht="14.1" customHeight="1">
      <c r="D221" s="56"/>
      <c r="E221" s="82"/>
      <c r="G221" s="566"/>
      <c r="H221" s="566"/>
      <c r="I221" s="566"/>
      <c r="J221" s="566"/>
      <c r="K221" s="566"/>
      <c r="L221" s="566"/>
      <c r="O221" s="89"/>
    </row>
    <row r="222" spans="3:15" ht="14.1" customHeight="1">
      <c r="C222" s="564"/>
      <c r="D222" s="564"/>
      <c r="E222" s="82"/>
      <c r="G222" s="566"/>
      <c r="H222" s="566"/>
      <c r="I222" s="566"/>
      <c r="J222" s="566"/>
      <c r="K222" s="566"/>
      <c r="L222" s="566"/>
      <c r="O222" s="89"/>
    </row>
    <row r="223" spans="3:15" ht="14.1" customHeight="1">
      <c r="C223" s="564"/>
      <c r="D223" s="564"/>
      <c r="E223" s="82"/>
      <c r="F223" s="65"/>
      <c r="G223" s="65"/>
      <c r="H223" s="65"/>
      <c r="I223" s="65"/>
      <c r="J223" s="65"/>
      <c r="K223" s="65"/>
      <c r="L223" s="65"/>
      <c r="O223" s="89"/>
    </row>
    <row r="224" spans="3:15" ht="14.1" customHeight="1">
      <c r="D224" s="56"/>
      <c r="E224" s="82"/>
      <c r="F224" s="65"/>
      <c r="G224" s="65"/>
      <c r="H224" s="65"/>
      <c r="I224" s="65"/>
      <c r="J224" s="65"/>
      <c r="K224" s="65"/>
      <c r="L224" s="65"/>
      <c r="O224" s="89"/>
    </row>
    <row r="225" spans="3:15" ht="14.1" customHeight="1">
      <c r="C225" s="564"/>
      <c r="D225" s="564"/>
      <c r="E225" s="82"/>
      <c r="F225" s="65"/>
      <c r="G225" s="65"/>
      <c r="H225" s="65"/>
      <c r="I225" s="65"/>
      <c r="J225" s="65"/>
      <c r="K225" s="65"/>
      <c r="L225" s="65"/>
      <c r="O225" s="89"/>
    </row>
    <row r="226" spans="3:15" ht="14.1" customHeight="1">
      <c r="C226" s="564"/>
      <c r="D226" s="564"/>
      <c r="E226" s="82"/>
      <c r="F226" s="65"/>
      <c r="G226" s="65"/>
      <c r="H226" s="65"/>
      <c r="I226" s="65"/>
      <c r="J226" s="65"/>
      <c r="K226" s="65"/>
      <c r="L226" s="65"/>
      <c r="O226" s="89"/>
    </row>
    <row r="227" spans="3:15" ht="14.1" customHeight="1">
      <c r="D227" s="56"/>
      <c r="E227" s="82"/>
      <c r="F227" s="65"/>
      <c r="G227" s="65"/>
      <c r="H227" s="65"/>
      <c r="I227" s="65"/>
      <c r="J227" s="65"/>
      <c r="K227" s="65"/>
      <c r="L227" s="65"/>
      <c r="O227" s="89"/>
    </row>
    <row r="228" spans="3:15" ht="14.1" customHeight="1">
      <c r="C228" s="564"/>
      <c r="D228" s="564"/>
      <c r="E228" s="82"/>
      <c r="F228" s="65"/>
      <c r="G228" s="565"/>
      <c r="H228" s="565"/>
      <c r="I228" s="565"/>
      <c r="J228" s="565"/>
      <c r="K228" s="565"/>
      <c r="L228" s="565"/>
      <c r="O228" s="89"/>
    </row>
    <row r="229" spans="3:15" ht="14.1" customHeight="1">
      <c r="C229" s="564"/>
      <c r="D229" s="564"/>
      <c r="E229" s="82"/>
      <c r="G229" s="66"/>
      <c r="H229" s="66"/>
      <c r="I229" s="66"/>
      <c r="J229" s="66"/>
      <c r="K229" s="566"/>
      <c r="L229" s="566"/>
      <c r="O229" s="89"/>
    </row>
    <row r="230" spans="3:15" ht="14.1" customHeight="1">
      <c r="D230" s="56"/>
      <c r="E230" s="82"/>
      <c r="G230" s="66"/>
      <c r="H230" s="66"/>
      <c r="I230" s="66"/>
      <c r="J230" s="66"/>
      <c r="K230" s="66"/>
      <c r="L230" s="66"/>
      <c r="O230" s="89"/>
    </row>
    <row r="231" spans="3:15" ht="14.1" customHeight="1">
      <c r="C231" s="564"/>
      <c r="D231" s="564"/>
      <c r="E231" s="82"/>
      <c r="G231" s="66"/>
      <c r="H231" s="66"/>
      <c r="I231" s="66"/>
      <c r="J231" s="66"/>
      <c r="K231" s="66"/>
      <c r="L231" s="66"/>
      <c r="O231" s="89"/>
    </row>
    <row r="232" spans="3:15" ht="14.1" customHeight="1">
      <c r="C232" s="564"/>
      <c r="D232" s="564"/>
      <c r="E232" s="82"/>
      <c r="G232" s="66"/>
      <c r="H232" s="66"/>
      <c r="I232" s="66"/>
      <c r="J232" s="66"/>
      <c r="K232" s="66"/>
      <c r="L232" s="66"/>
      <c r="O232" s="89"/>
    </row>
    <row r="233" spans="3:15" ht="14.1" customHeight="1">
      <c r="D233" s="56"/>
      <c r="E233" s="82"/>
      <c r="G233" s="66"/>
      <c r="H233" s="66"/>
      <c r="I233" s="66"/>
      <c r="J233" s="66"/>
      <c r="K233" s="66"/>
      <c r="L233" s="66"/>
      <c r="O233" s="89"/>
    </row>
    <row r="234" spans="3:15" ht="14.1" customHeight="1">
      <c r="C234" s="564"/>
      <c r="D234" s="564"/>
      <c r="E234" s="82"/>
      <c r="G234" s="66"/>
      <c r="H234" s="66"/>
      <c r="I234" s="66"/>
      <c r="J234" s="66"/>
      <c r="K234" s="66"/>
      <c r="L234" s="66"/>
      <c r="O234" s="567"/>
    </row>
    <row r="235" spans="3:15" ht="14.1" customHeight="1">
      <c r="C235" s="564"/>
      <c r="D235" s="564"/>
      <c r="E235" s="82"/>
      <c r="G235" s="66"/>
      <c r="H235" s="66"/>
      <c r="I235" s="66"/>
      <c r="J235" s="66"/>
      <c r="K235" s="66"/>
      <c r="L235" s="66"/>
      <c r="O235" s="567"/>
    </row>
    <row r="236" spans="3:15" ht="14.1" customHeight="1">
      <c r="D236" s="56"/>
      <c r="E236" s="82"/>
      <c r="G236" s="66"/>
      <c r="H236" s="66"/>
      <c r="I236" s="66"/>
      <c r="J236" s="66"/>
      <c r="K236" s="66"/>
      <c r="L236" s="66"/>
      <c r="O236" s="567"/>
    </row>
    <row r="237" spans="3:15" ht="14.1" customHeight="1">
      <c r="C237" s="564"/>
      <c r="D237" s="564"/>
      <c r="E237" s="82"/>
      <c r="G237" s="73"/>
      <c r="H237" s="66"/>
      <c r="I237" s="66"/>
      <c r="J237" s="66"/>
      <c r="K237" s="66"/>
      <c r="L237" s="66"/>
      <c r="O237" s="567"/>
    </row>
    <row r="238" spans="3:15" ht="14.1" customHeight="1">
      <c r="C238" s="564"/>
      <c r="D238" s="564"/>
      <c r="E238" s="82"/>
      <c r="G238" s="66"/>
      <c r="H238" s="66"/>
      <c r="I238" s="66"/>
      <c r="J238" s="66"/>
      <c r="K238" s="66"/>
      <c r="L238" s="66"/>
      <c r="O238" s="567"/>
    </row>
    <row r="239" spans="3:15" ht="14.1" customHeight="1">
      <c r="D239" s="56"/>
      <c r="E239" s="82"/>
      <c r="G239" s="66"/>
      <c r="H239" s="66"/>
      <c r="I239" s="66"/>
      <c r="J239" s="66"/>
      <c r="K239" s="66"/>
      <c r="L239" s="66"/>
      <c r="O239" s="567"/>
    </row>
    <row r="240" spans="3:15" ht="14.1" customHeight="1">
      <c r="C240" s="564"/>
      <c r="D240" s="564"/>
      <c r="E240" s="82"/>
      <c r="G240" s="74"/>
      <c r="H240" s="66"/>
      <c r="I240" s="66"/>
      <c r="J240" s="66"/>
      <c r="K240" s="66"/>
      <c r="L240" s="66"/>
      <c r="O240" s="567"/>
    </row>
    <row r="241" spans="3:15" ht="14.1" customHeight="1">
      <c r="C241" s="564"/>
      <c r="D241" s="564"/>
      <c r="E241" s="82"/>
      <c r="G241" s="66"/>
      <c r="H241" s="66"/>
      <c r="I241" s="66"/>
      <c r="J241" s="66"/>
      <c r="K241" s="66"/>
      <c r="L241" s="66"/>
      <c r="O241" s="567"/>
    </row>
    <row r="242" spans="3:15" ht="14.1" customHeight="1">
      <c r="D242" s="56"/>
      <c r="E242" s="82"/>
      <c r="G242" s="66"/>
      <c r="H242" s="66"/>
      <c r="I242" s="66"/>
      <c r="J242" s="66"/>
      <c r="K242" s="66"/>
      <c r="L242" s="66"/>
      <c r="O242" s="567"/>
    </row>
    <row r="243" spans="3:15" ht="14.1" customHeight="1">
      <c r="C243" s="564"/>
      <c r="D243" s="564"/>
      <c r="E243" s="82"/>
      <c r="G243" s="566"/>
      <c r="H243" s="566"/>
      <c r="I243" s="566"/>
      <c r="J243" s="566"/>
      <c r="K243" s="566"/>
      <c r="L243" s="566"/>
      <c r="O243" s="567"/>
    </row>
    <row r="244" spans="3:15" ht="14.1" customHeight="1">
      <c r="C244" s="564"/>
      <c r="D244" s="564"/>
      <c r="E244" s="82"/>
      <c r="G244" s="566"/>
      <c r="H244" s="566"/>
      <c r="I244" s="566"/>
      <c r="J244" s="566"/>
      <c r="K244" s="566"/>
      <c r="L244" s="566"/>
      <c r="O244" s="567"/>
    </row>
    <row r="245" spans="3:15" ht="14.1" customHeight="1">
      <c r="D245" s="56"/>
      <c r="E245" s="82"/>
      <c r="G245" s="566"/>
      <c r="H245" s="566"/>
      <c r="I245" s="566"/>
      <c r="J245" s="566"/>
      <c r="K245" s="566"/>
      <c r="L245" s="566"/>
      <c r="O245" s="567"/>
    </row>
    <row r="246" spans="3:15" ht="14.1" customHeight="1">
      <c r="C246" s="564"/>
      <c r="D246" s="564"/>
      <c r="E246" s="82"/>
      <c r="G246" s="566"/>
      <c r="H246" s="566"/>
      <c r="I246" s="566"/>
      <c r="J246" s="566"/>
      <c r="K246" s="566"/>
      <c r="L246" s="566"/>
      <c r="O246" s="567"/>
    </row>
    <row r="247" spans="3:15" ht="14.1" customHeight="1">
      <c r="C247" s="564"/>
      <c r="D247" s="564"/>
      <c r="E247" s="82"/>
      <c r="G247" s="566"/>
      <c r="H247" s="566"/>
      <c r="I247" s="566"/>
      <c r="J247" s="566"/>
      <c r="K247" s="566"/>
      <c r="L247" s="566"/>
      <c r="O247" s="567"/>
    </row>
    <row r="248" spans="3:15" ht="14.1" customHeight="1">
      <c r="D248" s="56"/>
      <c r="E248" s="82"/>
      <c r="G248" s="566"/>
      <c r="H248" s="566"/>
      <c r="I248" s="566"/>
      <c r="J248" s="566"/>
      <c r="K248" s="566"/>
      <c r="L248" s="566"/>
      <c r="O248" s="567"/>
    </row>
    <row r="249" spans="3:15" ht="14.1" customHeight="1">
      <c r="C249" s="564"/>
      <c r="D249" s="564"/>
      <c r="E249" s="82"/>
      <c r="G249" s="566"/>
      <c r="H249" s="566"/>
      <c r="I249" s="566"/>
      <c r="J249" s="566"/>
      <c r="K249" s="566"/>
      <c r="L249" s="566"/>
      <c r="O249" s="567"/>
    </row>
    <row r="250" spans="3:15" ht="14.1" customHeight="1">
      <c r="C250" s="564"/>
      <c r="D250" s="564"/>
      <c r="E250" s="82"/>
      <c r="G250" s="566"/>
      <c r="H250" s="566"/>
      <c r="I250" s="566"/>
      <c r="J250" s="566"/>
      <c r="K250" s="566"/>
      <c r="L250" s="566"/>
      <c r="O250" s="567"/>
    </row>
    <row r="251" spans="3:15" ht="14.1" customHeight="1">
      <c r="D251" s="56"/>
      <c r="E251" s="82"/>
      <c r="F251" s="65"/>
      <c r="G251" s="565"/>
      <c r="H251" s="565"/>
      <c r="I251" s="565"/>
      <c r="J251" s="565"/>
      <c r="K251" s="565"/>
      <c r="L251" s="565"/>
      <c r="O251" s="567"/>
    </row>
    <row r="252" spans="3:15" ht="14.1" customHeight="1">
      <c r="C252" s="564"/>
      <c r="D252" s="564"/>
      <c r="E252" s="82"/>
      <c r="F252" s="65"/>
      <c r="G252" s="565"/>
      <c r="H252" s="565"/>
      <c r="I252" s="565"/>
      <c r="J252" s="565"/>
      <c r="K252" s="565"/>
      <c r="L252" s="565"/>
      <c r="O252" s="567"/>
    </row>
    <row r="253" spans="3:15" ht="14.1" customHeight="1">
      <c r="C253" s="564"/>
      <c r="D253" s="564"/>
      <c r="E253" s="82"/>
      <c r="F253" s="65"/>
      <c r="G253" s="565"/>
      <c r="H253" s="565"/>
      <c r="I253" s="565"/>
      <c r="J253" s="565"/>
      <c r="K253" s="565"/>
      <c r="L253" s="565"/>
      <c r="O253" s="567"/>
    </row>
    <row r="254" spans="3:15" ht="14.1" customHeight="1">
      <c r="D254" s="56"/>
      <c r="E254" s="82"/>
      <c r="F254" s="65"/>
      <c r="G254" s="565"/>
      <c r="H254" s="565"/>
      <c r="I254" s="565"/>
      <c r="J254" s="565"/>
      <c r="K254" s="565"/>
      <c r="L254" s="565"/>
      <c r="O254" s="567"/>
    </row>
    <row r="255" spans="3:15" ht="14.1" customHeight="1">
      <c r="C255" s="564"/>
      <c r="D255" s="564"/>
      <c r="E255" s="82"/>
      <c r="F255" s="65"/>
      <c r="G255" s="565"/>
      <c r="H255" s="565"/>
      <c r="I255" s="565"/>
      <c r="J255" s="565"/>
      <c r="K255" s="565"/>
      <c r="L255" s="565"/>
      <c r="O255" s="567"/>
    </row>
    <row r="256" spans="3:15" ht="14.1" customHeight="1">
      <c r="D256" s="564"/>
      <c r="E256" s="82"/>
      <c r="F256" s="65"/>
      <c r="G256" s="565"/>
      <c r="H256" s="565"/>
      <c r="I256" s="565"/>
      <c r="J256" s="565"/>
      <c r="K256" s="565"/>
      <c r="L256" s="565"/>
      <c r="O256" s="567"/>
    </row>
    <row r="257" spans="4:15" ht="14.1" customHeight="1">
      <c r="D257" s="56"/>
      <c r="E257" s="82"/>
      <c r="F257" s="65"/>
      <c r="G257" s="565"/>
      <c r="H257" s="565"/>
      <c r="I257" s="565"/>
      <c r="J257" s="565"/>
      <c r="K257" s="565"/>
      <c r="L257" s="565"/>
      <c r="O257" s="567"/>
    </row>
    <row r="258" spans="4:15" ht="14.1" customHeight="1">
      <c r="D258" s="564"/>
      <c r="E258" s="82"/>
      <c r="F258" s="65"/>
      <c r="G258" s="565"/>
      <c r="H258" s="565"/>
      <c r="I258" s="565"/>
      <c r="J258" s="565"/>
      <c r="K258" s="565"/>
      <c r="L258" s="565"/>
      <c r="O258" s="567"/>
    </row>
    <row r="259" spans="4:15" ht="14.1" customHeight="1">
      <c r="D259" s="564"/>
      <c r="E259" s="82"/>
      <c r="F259" s="65"/>
      <c r="G259" s="565"/>
      <c r="H259" s="565"/>
      <c r="I259" s="565"/>
      <c r="J259" s="565"/>
      <c r="K259" s="565"/>
      <c r="L259" s="565"/>
      <c r="O259" s="567"/>
    </row>
    <row r="260" spans="4:15" ht="14.1" customHeight="1">
      <c r="D260" s="56"/>
      <c r="E260" s="82"/>
      <c r="F260" s="65"/>
      <c r="G260" s="565"/>
      <c r="H260" s="565"/>
      <c r="I260" s="565"/>
      <c r="J260" s="565"/>
      <c r="K260" s="565"/>
      <c r="L260" s="565"/>
      <c r="O260" s="567"/>
    </row>
    <row r="261" spans="4:15" ht="14.1" customHeight="1">
      <c r="D261" s="564"/>
      <c r="E261" s="82"/>
      <c r="F261" s="65"/>
      <c r="G261" s="565"/>
      <c r="H261" s="565"/>
      <c r="I261" s="565"/>
      <c r="J261" s="565"/>
      <c r="K261" s="565"/>
      <c r="L261" s="565"/>
      <c r="O261" s="567"/>
    </row>
    <row r="262" spans="4:15" ht="14.1" customHeight="1">
      <c r="D262" s="564"/>
      <c r="E262" s="82"/>
      <c r="F262" s="65"/>
      <c r="G262" s="565"/>
      <c r="H262" s="565"/>
      <c r="I262" s="565"/>
      <c r="J262" s="565"/>
      <c r="K262" s="565"/>
      <c r="L262" s="565"/>
      <c r="O262" s="567"/>
    </row>
    <row r="263" spans="4:15" ht="14.1" customHeight="1">
      <c r="D263" s="56"/>
      <c r="E263" s="82"/>
      <c r="F263" s="65"/>
      <c r="G263" s="565"/>
      <c r="H263" s="565"/>
      <c r="I263" s="565"/>
      <c r="J263" s="565"/>
      <c r="K263" s="565"/>
      <c r="L263" s="565"/>
      <c r="O263" s="567"/>
    </row>
    <row r="264" spans="4:15" ht="14.1" customHeight="1">
      <c r="D264" s="564"/>
      <c r="E264" s="82"/>
      <c r="F264" s="65"/>
      <c r="G264" s="565"/>
      <c r="H264" s="565"/>
      <c r="I264" s="565"/>
      <c r="J264" s="565"/>
      <c r="K264" s="565"/>
      <c r="L264" s="565"/>
      <c r="O264" s="567"/>
    </row>
    <row r="265" spans="4:15" ht="14.1" customHeight="1">
      <c r="D265" s="556"/>
      <c r="E265" s="82"/>
      <c r="F265" s="65"/>
      <c r="G265" s="565"/>
      <c r="H265" s="565"/>
      <c r="I265" s="565"/>
      <c r="J265" s="565"/>
      <c r="K265" s="565"/>
      <c r="L265" s="565"/>
      <c r="O265" s="567"/>
    </row>
    <row r="266" spans="4:15" ht="14.1" customHeight="1">
      <c r="D266" s="556"/>
      <c r="E266" s="82"/>
      <c r="F266" s="65"/>
      <c r="G266" s="565"/>
      <c r="H266" s="565"/>
      <c r="I266" s="565"/>
      <c r="J266" s="565"/>
      <c r="K266" s="565"/>
      <c r="L266" s="565"/>
      <c r="O266" s="567"/>
    </row>
    <row r="267" spans="4:15" ht="14.1" customHeight="1">
      <c r="D267" s="556"/>
      <c r="E267" s="82"/>
      <c r="F267" s="65"/>
      <c r="G267" s="565"/>
      <c r="H267" s="565"/>
      <c r="I267" s="565"/>
      <c r="J267" s="565"/>
      <c r="K267" s="565"/>
      <c r="L267" s="565"/>
      <c r="O267" s="567"/>
    </row>
    <row r="268" spans="4:15" ht="14.1" customHeight="1">
      <c r="D268" s="556"/>
      <c r="E268" s="82"/>
      <c r="F268" s="65"/>
      <c r="G268" s="565"/>
      <c r="H268" s="565"/>
      <c r="I268" s="565"/>
      <c r="J268" s="565"/>
      <c r="K268" s="565"/>
      <c r="L268" s="565"/>
      <c r="O268" s="567"/>
    </row>
    <row r="269" spans="4:15" ht="14.1" customHeight="1">
      <c r="D269" s="556"/>
      <c r="E269" s="82"/>
      <c r="F269" s="65"/>
      <c r="G269" s="565"/>
      <c r="H269" s="565"/>
      <c r="I269" s="565"/>
      <c r="J269" s="565"/>
      <c r="K269" s="565"/>
      <c r="L269" s="565"/>
      <c r="O269" s="567"/>
    </row>
    <row r="270" spans="4:15" ht="14.1" customHeight="1">
      <c r="D270" s="556"/>
      <c r="E270" s="82"/>
      <c r="F270" s="65"/>
      <c r="G270" s="565"/>
      <c r="H270" s="565"/>
      <c r="I270" s="565"/>
      <c r="J270" s="565"/>
      <c r="K270" s="565"/>
      <c r="L270" s="565"/>
      <c r="O270" s="567"/>
    </row>
    <row r="271" spans="4:15" ht="14.1" customHeight="1">
      <c r="D271" s="556"/>
      <c r="E271" s="82"/>
      <c r="F271" s="65"/>
      <c r="G271" s="565"/>
      <c r="H271" s="565"/>
      <c r="I271" s="565"/>
      <c r="J271" s="565"/>
      <c r="K271" s="565"/>
      <c r="L271" s="565"/>
      <c r="O271" s="567"/>
    </row>
    <row r="272" spans="4:15" ht="14.1" customHeight="1">
      <c r="D272" s="556"/>
      <c r="E272" s="82"/>
      <c r="F272" s="65"/>
      <c r="G272" s="565"/>
      <c r="H272" s="565"/>
      <c r="I272" s="565"/>
      <c r="J272" s="565"/>
      <c r="K272" s="565"/>
      <c r="L272" s="565"/>
      <c r="O272" s="567"/>
    </row>
    <row r="273" spans="4:15" ht="14.1" customHeight="1">
      <c r="D273" s="556"/>
      <c r="E273" s="82"/>
      <c r="F273" s="65"/>
      <c r="G273" s="565"/>
      <c r="H273" s="565"/>
      <c r="I273" s="565"/>
      <c r="J273" s="565"/>
      <c r="K273" s="565"/>
      <c r="L273" s="565"/>
      <c r="O273" s="567"/>
    </row>
    <row r="274" spans="4:15" ht="14.1" customHeight="1">
      <c r="D274" s="556"/>
      <c r="E274" s="82"/>
      <c r="F274" s="65"/>
      <c r="G274" s="565"/>
      <c r="H274" s="565"/>
      <c r="I274" s="565"/>
      <c r="J274" s="565"/>
      <c r="K274" s="565"/>
      <c r="L274" s="565"/>
      <c r="O274" s="567"/>
    </row>
    <row r="275" spans="4:15" ht="14.1" customHeight="1">
      <c r="D275" s="556"/>
      <c r="E275" s="82"/>
      <c r="F275" s="65"/>
      <c r="G275" s="565"/>
      <c r="H275" s="565"/>
      <c r="I275" s="565"/>
      <c r="J275" s="565"/>
      <c r="K275" s="565"/>
      <c r="L275" s="565"/>
      <c r="O275" s="567"/>
    </row>
    <row r="276" spans="4:15" ht="14.1" customHeight="1">
      <c r="D276" s="556"/>
      <c r="E276" s="82"/>
      <c r="F276" s="65"/>
      <c r="G276" s="565"/>
      <c r="H276" s="565"/>
      <c r="I276" s="565"/>
      <c r="J276" s="565"/>
      <c r="K276" s="565"/>
      <c r="L276" s="565"/>
      <c r="O276" s="567"/>
    </row>
    <row r="277" spans="4:15" ht="14.1" customHeight="1">
      <c r="D277" s="556"/>
      <c r="E277" s="82"/>
      <c r="F277" s="65"/>
      <c r="G277" s="565"/>
      <c r="H277" s="565"/>
      <c r="I277" s="565"/>
      <c r="J277" s="565"/>
      <c r="K277" s="565"/>
      <c r="L277" s="565"/>
      <c r="O277" s="567"/>
    </row>
    <row r="278" spans="4:15" ht="14.1" customHeight="1">
      <c r="D278" s="556"/>
      <c r="E278" s="568"/>
      <c r="F278" s="65"/>
      <c r="G278" s="565"/>
      <c r="H278" s="565"/>
      <c r="I278" s="565"/>
      <c r="J278" s="565"/>
      <c r="K278" s="565"/>
      <c r="L278" s="565"/>
      <c r="O278" s="567"/>
    </row>
    <row r="279" spans="4:15" ht="14.1" customHeight="1">
      <c r="D279" s="556"/>
      <c r="E279" s="568"/>
      <c r="F279" s="65"/>
      <c r="G279" s="565"/>
      <c r="H279" s="565"/>
      <c r="I279" s="565"/>
      <c r="J279" s="565"/>
      <c r="K279" s="565"/>
      <c r="L279" s="565"/>
      <c r="O279" s="567"/>
    </row>
    <row r="280" spans="4:15">
      <c r="D280" s="556"/>
      <c r="E280" s="568"/>
      <c r="F280" s="65"/>
      <c r="G280" s="565"/>
      <c r="H280" s="565"/>
      <c r="I280" s="565"/>
      <c r="J280" s="565"/>
      <c r="K280" s="565"/>
      <c r="L280" s="565"/>
      <c r="O280" s="567"/>
    </row>
    <row r="281" spans="4:15">
      <c r="D281" s="556"/>
      <c r="E281" s="568"/>
      <c r="F281" s="65"/>
      <c r="G281" s="565"/>
      <c r="H281" s="565"/>
      <c r="I281" s="565"/>
      <c r="J281" s="565"/>
      <c r="K281" s="565"/>
      <c r="L281" s="565"/>
      <c r="O281" s="567"/>
    </row>
    <row r="282" spans="4:15">
      <c r="D282" s="556"/>
      <c r="E282" s="568"/>
      <c r="F282" s="65"/>
      <c r="G282" s="565"/>
      <c r="H282" s="565"/>
      <c r="I282" s="565"/>
      <c r="J282" s="565"/>
      <c r="K282" s="565"/>
      <c r="L282" s="565"/>
      <c r="O282" s="567"/>
    </row>
    <row r="283" spans="4:15">
      <c r="D283" s="556"/>
      <c r="E283" s="568"/>
      <c r="F283" s="65"/>
      <c r="G283" s="565"/>
      <c r="H283" s="565"/>
      <c r="I283" s="565"/>
      <c r="J283" s="565"/>
      <c r="K283" s="565"/>
      <c r="L283" s="565"/>
      <c r="O283" s="567"/>
    </row>
    <row r="284" spans="4:15">
      <c r="D284" s="556"/>
      <c r="E284" s="568"/>
      <c r="F284" s="65"/>
      <c r="G284" s="565"/>
      <c r="H284" s="565"/>
      <c r="I284" s="565"/>
      <c r="J284" s="565"/>
      <c r="K284" s="565"/>
      <c r="L284" s="565"/>
      <c r="O284" s="567"/>
    </row>
    <row r="285" spans="4:15">
      <c r="D285" s="556"/>
      <c r="E285" s="568"/>
      <c r="F285" s="65"/>
      <c r="G285" s="565"/>
      <c r="H285" s="565"/>
      <c r="I285" s="565"/>
      <c r="J285" s="565"/>
      <c r="K285" s="565"/>
      <c r="L285" s="565"/>
      <c r="O285" s="567"/>
    </row>
    <row r="286" spans="4:15">
      <c r="D286" s="556"/>
      <c r="E286" s="568"/>
      <c r="F286" s="65"/>
      <c r="G286" s="565"/>
      <c r="H286" s="565"/>
      <c r="I286" s="565"/>
      <c r="J286" s="565"/>
      <c r="K286" s="565"/>
      <c r="L286" s="565"/>
      <c r="O286" s="567"/>
    </row>
    <row r="287" spans="4:15">
      <c r="D287" s="556"/>
      <c r="E287" s="568"/>
      <c r="F287" s="65"/>
      <c r="G287" s="565"/>
      <c r="H287" s="565"/>
      <c r="I287" s="565"/>
      <c r="J287" s="565"/>
      <c r="K287" s="565"/>
      <c r="L287" s="565"/>
      <c r="O287" s="567"/>
    </row>
    <row r="288" spans="4:15">
      <c r="D288" s="556"/>
      <c r="E288" s="568"/>
      <c r="F288" s="65"/>
      <c r="G288" s="565"/>
      <c r="H288" s="565"/>
      <c r="I288" s="565"/>
      <c r="J288" s="565"/>
      <c r="K288" s="565"/>
      <c r="L288" s="565"/>
      <c r="O288" s="567"/>
    </row>
    <row r="289" spans="4:15">
      <c r="D289" s="556"/>
      <c r="E289" s="568"/>
      <c r="F289" s="65"/>
      <c r="G289" s="565"/>
      <c r="H289" s="565"/>
      <c r="I289" s="565"/>
      <c r="J289" s="565"/>
      <c r="K289" s="565"/>
      <c r="L289" s="565"/>
      <c r="O289" s="567"/>
    </row>
    <row r="290" spans="4:15">
      <c r="D290" s="556"/>
      <c r="E290" s="568"/>
      <c r="F290" s="65"/>
      <c r="G290" s="565"/>
      <c r="H290" s="565"/>
      <c r="I290" s="565"/>
      <c r="J290" s="565"/>
      <c r="K290" s="565"/>
      <c r="L290" s="565"/>
      <c r="O290" s="567"/>
    </row>
    <row r="291" spans="4:15">
      <c r="D291" s="556"/>
      <c r="E291" s="568"/>
      <c r="F291" s="65"/>
      <c r="G291" s="565"/>
      <c r="H291" s="565"/>
      <c r="I291" s="565"/>
      <c r="J291" s="565"/>
      <c r="K291" s="565"/>
      <c r="L291" s="565"/>
      <c r="O291" s="567"/>
    </row>
  </sheetData>
  <sheetProtection sheet="1" formatCells="0" formatColumns="0" formatRows="0" insertColumns="0" insertRows="0"/>
  <mergeCells count="95">
    <mergeCell ref="W49:W50"/>
    <mergeCell ref="P77:P78"/>
    <mergeCell ref="Q77:Q78"/>
    <mergeCell ref="R77:R78"/>
    <mergeCell ref="U21:U27"/>
    <mergeCell ref="W21:W27"/>
    <mergeCell ref="S28:S30"/>
    <mergeCell ref="T28:T30"/>
    <mergeCell ref="U28:U30"/>
    <mergeCell ref="W28:W30"/>
    <mergeCell ref="W36:W40"/>
    <mergeCell ref="S41:S47"/>
    <mergeCell ref="T41:T47"/>
    <mergeCell ref="U41:U47"/>
    <mergeCell ref="W41:W46"/>
    <mergeCell ref="W51:W58"/>
    <mergeCell ref="N28:N30"/>
    <mergeCell ref="O28:O30"/>
    <mergeCell ref="P28:P30"/>
    <mergeCell ref="Q28:Q30"/>
    <mergeCell ref="R28:R30"/>
    <mergeCell ref="N49:N50"/>
    <mergeCell ref="O49:O50"/>
    <mergeCell ref="P49:P50"/>
    <mergeCell ref="Q49:Q50"/>
    <mergeCell ref="O35:U35"/>
    <mergeCell ref="R49:R50"/>
    <mergeCell ref="S49:S50"/>
    <mergeCell ref="T49:T50"/>
    <mergeCell ref="U49:U50"/>
    <mergeCell ref="N41:N47"/>
    <mergeCell ref="O41:O47"/>
    <mergeCell ref="P41:P47"/>
    <mergeCell ref="Q41:Q47"/>
    <mergeCell ref="R41:R47"/>
    <mergeCell ref="S19:S20"/>
    <mergeCell ref="T19:T20"/>
    <mergeCell ref="U19:U20"/>
    <mergeCell ref="W19:W20"/>
    <mergeCell ref="N21:N27"/>
    <mergeCell ref="O21:O27"/>
    <mergeCell ref="P21:P27"/>
    <mergeCell ref="Q21:Q27"/>
    <mergeCell ref="R21:R27"/>
    <mergeCell ref="N19:N20"/>
    <mergeCell ref="O19:O20"/>
    <mergeCell ref="P19:P20"/>
    <mergeCell ref="Q19:Q20"/>
    <mergeCell ref="R19:R20"/>
    <mergeCell ref="S21:S27"/>
    <mergeCell ref="T21:T27"/>
    <mergeCell ref="S11:S17"/>
    <mergeCell ref="T11:T17"/>
    <mergeCell ref="U11:U17"/>
    <mergeCell ref="W11:W17"/>
    <mergeCell ref="F2:L2"/>
    <mergeCell ref="O2:U2"/>
    <mergeCell ref="O5:U5"/>
    <mergeCell ref="N11:N17"/>
    <mergeCell ref="O11:O17"/>
    <mergeCell ref="P11:P17"/>
    <mergeCell ref="Q11:Q17"/>
    <mergeCell ref="R11:R17"/>
    <mergeCell ref="R60:R63"/>
    <mergeCell ref="F111:L111"/>
    <mergeCell ref="N51:N58"/>
    <mergeCell ref="O51:O58"/>
    <mergeCell ref="P51:P58"/>
    <mergeCell ref="O65:U65"/>
    <mergeCell ref="N67:N75"/>
    <mergeCell ref="O67:O75"/>
    <mergeCell ref="P67:P75"/>
    <mergeCell ref="Q67:Q75"/>
    <mergeCell ref="R67:R75"/>
    <mergeCell ref="S67:S75"/>
    <mergeCell ref="T67:T75"/>
    <mergeCell ref="U67:U75"/>
    <mergeCell ref="N77:N78"/>
    <mergeCell ref="O77:O78"/>
    <mergeCell ref="F158:L158"/>
    <mergeCell ref="S77:S78"/>
    <mergeCell ref="T77:T78"/>
    <mergeCell ref="U77:U78"/>
    <mergeCell ref="S51:S58"/>
    <mergeCell ref="T51:T58"/>
    <mergeCell ref="U51:U58"/>
    <mergeCell ref="S60:S63"/>
    <mergeCell ref="T60:T63"/>
    <mergeCell ref="U60:U63"/>
    <mergeCell ref="Q51:Q58"/>
    <mergeCell ref="R51:R58"/>
    <mergeCell ref="N60:N63"/>
    <mergeCell ref="O60:O63"/>
    <mergeCell ref="P60:P63"/>
    <mergeCell ref="Q60:Q63"/>
  </mergeCells>
  <conditionalFormatting sqref="C256:C266">
    <cfRule type="containsText" dxfId="1037" priority="106" operator="containsText" text="FL">
      <formula>NOT(ISERROR(SEARCH("FL",C256)))</formula>
    </cfRule>
    <cfRule type="containsText" dxfId="1036" priority="107" operator="containsText" text="FT">
      <formula>NOT(ISERROR(SEARCH("FT",C256)))</formula>
    </cfRule>
    <cfRule type="containsText" dxfId="1035" priority="108" operator="containsText" text="SS">
      <formula>NOT(ISERROR(SEARCH("SS",C256)))</formula>
    </cfRule>
    <cfRule type="containsText" dxfId="1034" priority="109" operator="containsText" text="GR">
      <formula>NOT(ISERROR(SEARCH("GR",C256)))</formula>
    </cfRule>
    <cfRule type="containsText" dxfId="1033" priority="110" operator="containsText" text="GO">
      <formula>NOT(ISERROR(SEARCH("GO",C256)))</formula>
    </cfRule>
  </conditionalFormatting>
  <conditionalFormatting sqref="D72 D110:D111">
    <cfRule type="containsText" dxfId="1032" priority="98" operator="containsText" text="GR">
      <formula>NOT(ISERROR(SEARCH("GR",D72)))</formula>
    </cfRule>
  </conditionalFormatting>
  <conditionalFormatting sqref="D80:D81 D73:D78">
    <cfRule type="duplicateValues" dxfId="1031" priority="88"/>
  </conditionalFormatting>
  <conditionalFormatting sqref="D84:D88">
    <cfRule type="duplicateValues" dxfId="1030" priority="87"/>
  </conditionalFormatting>
  <conditionalFormatting sqref="D85:D86">
    <cfRule type="duplicateValues" dxfId="1029" priority="84"/>
    <cfRule type="duplicateValues" dxfId="1028" priority="85"/>
  </conditionalFormatting>
  <conditionalFormatting sqref="D89:D90">
    <cfRule type="duplicateValues" dxfId="1027" priority="86"/>
  </conditionalFormatting>
  <conditionalFormatting sqref="D104:D107 D92:D102">
    <cfRule type="duplicateValues" dxfId="1026" priority="82"/>
  </conditionalFormatting>
  <conditionalFormatting sqref="D107">
    <cfRule type="duplicateValues" dxfId="1025" priority="80"/>
    <cfRule type="duplicateValues" dxfId="1024" priority="81"/>
  </conditionalFormatting>
  <conditionalFormatting sqref="D109">
    <cfRule type="duplicateValues" dxfId="1023" priority="83"/>
  </conditionalFormatting>
  <conditionalFormatting sqref="D184:D185 D177:D182">
    <cfRule type="duplicateValues" dxfId="1022" priority="79"/>
  </conditionalFormatting>
  <conditionalFormatting sqref="D187:D191">
    <cfRule type="duplicateValues" dxfId="1021" priority="78"/>
  </conditionalFormatting>
  <conditionalFormatting sqref="D188:D189">
    <cfRule type="duplicateValues" dxfId="1020" priority="75"/>
    <cfRule type="duplicateValues" dxfId="1019" priority="76"/>
  </conditionalFormatting>
  <conditionalFormatting sqref="D192">
    <cfRule type="duplicateValues" dxfId="1018" priority="77"/>
  </conditionalFormatting>
  <conditionalFormatting sqref="D206:D209 D194:D204">
    <cfRule type="duplicateValues" dxfId="1017" priority="73"/>
  </conditionalFormatting>
  <conditionalFormatting sqref="D209">
    <cfRule type="duplicateValues" dxfId="1016" priority="71"/>
    <cfRule type="duplicateValues" dxfId="1015" priority="72"/>
  </conditionalFormatting>
  <conditionalFormatting sqref="D211">
    <cfRule type="duplicateValues" dxfId="1014" priority="74"/>
  </conditionalFormatting>
  <conditionalFormatting sqref="E8 E13">
    <cfRule type="containsText" dxfId="1013" priority="99" operator="containsText" text="FC">
      <formula>NOT(ISERROR(SEARCH("FC",E8)))</formula>
    </cfRule>
    <cfRule type="containsText" dxfId="1012" priority="100" operator="containsText" text="PAC">
      <formula>NOT(ISERROR(SEARCH("PAC",E8)))</formula>
    </cfRule>
    <cfRule type="containsText" dxfId="1011" priority="101" operator="containsText" text="AA">
      <formula>NOT(ISERROR(SEARCH("AA",E8)))</formula>
    </cfRule>
    <cfRule type="containsText" dxfId="1010" priority="102" operator="containsText" text="RC">
      <formula>NOT(ISERROR(SEARCH("RC",E8)))</formula>
    </cfRule>
    <cfRule type="containsText" dxfId="1009" priority="103" operator="containsText" text="GC">
      <formula>NOT(ISERROR(SEARCH("GC",E8)))</formula>
    </cfRule>
    <cfRule type="containsText" dxfId="1008" priority="104" operator="containsText" text="SSC">
      <formula>NOT(ISERROR(SEARCH("SSC",E8)))</formula>
    </cfRule>
    <cfRule type="containsText" dxfId="1007" priority="105" operator="containsText" text="CSO">
      <formula>NOT(ISERROR(SEARCH("CSO",E8)))</formula>
    </cfRule>
  </conditionalFormatting>
  <conditionalFormatting sqref="E20 E26 E30">
    <cfRule type="containsText" dxfId="1006" priority="111" operator="containsText" text="PAC">
      <formula>NOT(ISERROR(SEARCH("PAC",E20)))</formula>
    </cfRule>
    <cfRule type="containsText" dxfId="1005" priority="112" operator="containsText" text="GC">
      <formula>NOT(ISERROR(SEARCH("GC",E20)))</formula>
    </cfRule>
  </conditionalFormatting>
  <conditionalFormatting sqref="E20 E26 E30:E31">
    <cfRule type="containsText" dxfId="1004" priority="89" operator="containsText" text="PSSC">
      <formula>NOT(ISERROR(SEARCH("PSSC",E20)))</formula>
    </cfRule>
    <cfRule type="containsText" dxfId="1003" priority="90" operator="containsText" text="ASSC">
      <formula>NOT(ISERROR(SEARCH("ASSC",E20)))</formula>
    </cfRule>
    <cfRule type="containsText" dxfId="1002" priority="91" operator="containsText" text="CC">
      <formula>NOT(ISERROR(SEARCH("CC",E20)))</formula>
    </cfRule>
    <cfRule type="containsText" dxfId="1001" priority="92" operator="containsText" text="CSO">
      <formula>NOT(ISERROR(SEARCH("CSO",E20)))</formula>
    </cfRule>
    <cfRule type="containsText" dxfId="1000" priority="93" operator="containsText" text="FC">
      <formula>NOT(ISERROR(SEARCH("FC",E20)))</formula>
    </cfRule>
    <cfRule type="containsText" dxfId="999" priority="94" operator="containsText" text="RC">
      <formula>NOT(ISERROR(SEARCH("RC",E20)))</formula>
    </cfRule>
    <cfRule type="containsText" dxfId="998" priority="113" stopIfTrue="1" operator="containsText" text="AAC">
      <formula>NOT(ISERROR(SEARCH("AAC",E20)))</formula>
    </cfRule>
  </conditionalFormatting>
  <conditionalFormatting sqref="E20">
    <cfRule type="containsText" dxfId="997" priority="95" stopIfTrue="1" operator="containsText" text="AAC">
      <formula>NOT(ISERROR(SEARCH("AAC",E20)))</formula>
    </cfRule>
    <cfRule type="containsText" dxfId="996" priority="96" operator="containsText" text="PAC">
      <formula>NOT(ISERROR(SEARCH("PAC",E20)))</formula>
    </cfRule>
    <cfRule type="containsText" dxfId="995" priority="97" operator="containsText" text="GC">
      <formula>NOT(ISERROR(SEARCH("GC",E20)))</formula>
    </cfRule>
  </conditionalFormatting>
  <conditionalFormatting sqref="E50:E53">
    <cfRule type="containsText" dxfId="994" priority="9" operator="containsText" text="PSSC">
      <formula>NOT(ISERROR(SEARCH("PSSC",E50)))</formula>
    </cfRule>
    <cfRule type="containsText" dxfId="993" priority="10" operator="containsText" text="ASSC">
      <formula>NOT(ISERROR(SEARCH("ASSC",E50)))</formula>
    </cfRule>
    <cfRule type="containsText" dxfId="992" priority="11" operator="containsText" text="CC">
      <formula>NOT(ISERROR(SEARCH("CC",E50)))</formula>
    </cfRule>
    <cfRule type="containsText" dxfId="991" priority="12" operator="containsText" text="CSO">
      <formula>NOT(ISERROR(SEARCH("CSO",E50)))</formula>
    </cfRule>
    <cfRule type="containsText" dxfId="990" priority="13" operator="containsText" text="FC">
      <formula>NOT(ISERROR(SEARCH("FC",E50)))</formula>
    </cfRule>
    <cfRule type="containsText" dxfId="989" priority="14" operator="containsText" text="RC">
      <formula>NOT(ISERROR(SEARCH("RC",E50)))</formula>
    </cfRule>
    <cfRule type="containsText" dxfId="988" priority="15" operator="containsText" text="PAC">
      <formula>NOT(ISERROR(SEARCH("PAC",E50)))</formula>
    </cfRule>
    <cfRule type="containsText" dxfId="987" priority="16" operator="containsText" text="GC">
      <formula>NOT(ISERROR(SEARCH("GC",E50)))</formula>
    </cfRule>
    <cfRule type="containsText" dxfId="986" priority="17" stopIfTrue="1" operator="containsText" text="AAC">
      <formula>NOT(ISERROR(SEARCH("AAC",E50)))</formula>
    </cfRule>
  </conditionalFormatting>
  <conditionalFormatting sqref="F87:F88">
    <cfRule type="containsText" dxfId="985" priority="25" operator="containsText" text="PL">
      <formula>NOT(ISERROR(SEARCH("PL",F87)))</formula>
    </cfRule>
    <cfRule type="containsText" dxfId="984" priority="26" operator="containsText" text="SW">
      <formula>NOT(ISERROR(SEARCH("SW",F87)))</formula>
    </cfRule>
    <cfRule type="containsText" dxfId="983" priority="27" operator="containsText" text="AT">
      <formula>NOT(ISERROR(SEARCH("AT",F87)))</formula>
    </cfRule>
    <cfRule type="containsText" dxfId="982" priority="28" operator="containsText" text="SS">
      <formula>NOT(ISERROR(SEARCH("SS",F87)))</formula>
    </cfRule>
  </conditionalFormatting>
  <conditionalFormatting sqref="F229:F242 G230:L242 G229:J229">
    <cfRule type="colorScale" priority="200">
      <colorScale>
        <cfvo type="num" val="0"/>
        <cfvo type="num" val="1"/>
        <cfvo type="num" val="2"/>
        <color theme="0"/>
        <color rgb="FFAFFC06"/>
        <color rgb="FFFF0000"/>
      </colorScale>
    </cfRule>
  </conditionalFormatting>
  <conditionalFormatting sqref="F84:I84">
    <cfRule type="containsText" dxfId="981" priority="37" operator="containsText" text="PL">
      <formula>NOT(ISERROR(SEARCH("PL",F84)))</formula>
    </cfRule>
    <cfRule type="containsText" dxfId="980" priority="38" operator="containsText" text="SW">
      <formula>NOT(ISERROR(SEARCH("SW",F84)))</formula>
    </cfRule>
    <cfRule type="containsText" dxfId="979" priority="39" operator="containsText" text="AT">
      <formula>NOT(ISERROR(SEARCH("AT",F84)))</formula>
    </cfRule>
    <cfRule type="containsText" dxfId="978" priority="40" operator="containsText" text="SS">
      <formula>NOT(ISERROR(SEARCH("SS",F84)))</formula>
    </cfRule>
  </conditionalFormatting>
  <conditionalFormatting sqref="F62:J62">
    <cfRule type="containsText" dxfId="977" priority="18" operator="containsText" text="CSO">
      <formula>NOT(ISERROR(SEARCH("CSO",F62)))</formula>
    </cfRule>
    <cfRule type="containsText" dxfId="976" priority="19" operator="containsText" text="FC">
      <formula>NOT(ISERROR(SEARCH("FC",F62)))</formula>
    </cfRule>
    <cfRule type="containsText" dxfId="975" priority="20" operator="containsText" text="SS">
      <formula>NOT(ISERROR(SEARCH("SS",F62)))</formula>
    </cfRule>
    <cfRule type="containsText" dxfId="974" priority="21" operator="containsText" text="RC">
      <formula>NOT(ISERROR(SEARCH("RC",F62)))</formula>
    </cfRule>
    <cfRule type="containsText" dxfId="973" priority="22" operator="containsText" text="PAC">
      <formula>NOT(ISERROR(SEARCH("PAC",F62)))</formula>
    </cfRule>
    <cfRule type="containsText" dxfId="972" priority="23" operator="containsText" text="AAC">
      <formula>NOT(ISERROR(SEARCH("AAC",F62)))</formula>
    </cfRule>
    <cfRule type="containsText" dxfId="971" priority="24" operator="containsText" text="GC">
      <formula>NOT(ISERROR(SEARCH("GC",F62)))</formula>
    </cfRule>
  </conditionalFormatting>
  <conditionalFormatting sqref="F64:J65">
    <cfRule type="cellIs" dxfId="970" priority="69" operator="lessThan">
      <formula>5</formula>
    </cfRule>
  </conditionalFormatting>
  <conditionalFormatting sqref="F8:L59">
    <cfRule type="containsText" dxfId="969" priority="1" operator="containsText" text="PAC">
      <formula>NOT(ISERROR(SEARCH("PAC",F8)))</formula>
    </cfRule>
    <cfRule type="containsText" dxfId="968" priority="2" operator="containsText" text="AAC">
      <formula>NOT(ISERROR(SEARCH("AAC",F8)))</formula>
    </cfRule>
    <cfRule type="containsText" dxfId="967" priority="3" operator="containsText" text="GC">
      <formula>NOT(ISERROR(SEARCH("GC",F8)))</formula>
    </cfRule>
    <cfRule type="containsText" dxfId="966" priority="4" operator="containsText" text="FC">
      <formula>NOT(ISERROR(SEARCH("FC",F8)))</formula>
    </cfRule>
    <cfRule type="containsText" dxfId="965" priority="5" operator="containsText" text="CC">
      <formula>NOT(ISERROR(SEARCH("CC",F8)))</formula>
    </cfRule>
    <cfRule type="containsText" dxfId="964" priority="6" operator="containsText" text="RC">
      <formula>NOT(ISERROR(SEARCH("RC",F8)))</formula>
    </cfRule>
    <cfRule type="containsText" dxfId="963" priority="7" operator="containsText" text="SSC">
      <formula>NOT(ISERROR(SEARCH("SSC",F8)))</formula>
    </cfRule>
    <cfRule type="containsText" dxfId="962" priority="8" operator="containsText" text="CSO">
      <formula>NOT(ISERROR(SEARCH("CSO",F8)))</formula>
    </cfRule>
  </conditionalFormatting>
  <conditionalFormatting sqref="F64:L64 F65:J65">
    <cfRule type="cellIs" dxfId="961" priority="70" operator="greaterThan">
      <formula>6</formula>
    </cfRule>
  </conditionalFormatting>
  <conditionalFormatting sqref="F67:L71">
    <cfRule type="containsText" dxfId="960" priority="49" operator="containsText" text="RC">
      <formula>NOT(ISERROR(SEARCH("RC",F67)))</formula>
    </cfRule>
    <cfRule type="containsText" dxfId="959" priority="50" operator="containsText" text="CC">
      <formula>NOT(ISERROR(SEARCH("CC",F67)))</formula>
    </cfRule>
  </conditionalFormatting>
  <conditionalFormatting sqref="F170:L170">
    <cfRule type="cellIs" dxfId="958" priority="68" operator="greaterThan">
      <formula>3</formula>
    </cfRule>
  </conditionalFormatting>
  <conditionalFormatting sqref="F172:L172">
    <cfRule type="cellIs" dxfId="957" priority="67" operator="greaterThan">
      <formula>4</formula>
    </cfRule>
  </conditionalFormatting>
  <conditionalFormatting sqref="G85:J85">
    <cfRule type="containsText" dxfId="956" priority="41" operator="containsText" text="PL">
      <formula>NOT(ISERROR(SEARCH("PL",G85)))</formula>
    </cfRule>
    <cfRule type="containsText" dxfId="955" priority="42" operator="containsText" text="SW">
      <formula>NOT(ISERROR(SEARCH("SW",G85)))</formula>
    </cfRule>
    <cfRule type="containsText" dxfId="954" priority="43" operator="containsText" text="AT">
      <formula>NOT(ISERROR(SEARCH("AT",G85)))</formula>
    </cfRule>
    <cfRule type="containsText" dxfId="953" priority="44" operator="containsText" text="SS">
      <formula>NOT(ISERROR(SEARCH("SS",G85)))</formula>
    </cfRule>
  </conditionalFormatting>
  <conditionalFormatting sqref="G86:L86">
    <cfRule type="containsText" dxfId="952" priority="45" operator="containsText" text="PL">
      <formula>NOT(ISERROR(SEARCH("PL",G86)))</formula>
    </cfRule>
    <cfRule type="containsText" dxfId="951" priority="46" operator="containsText" text="SW">
      <formula>NOT(ISERROR(SEARCH("SW",G86)))</formula>
    </cfRule>
    <cfRule type="containsText" dxfId="950" priority="47" operator="containsText" text="AT">
      <formula>NOT(ISERROR(SEARCH("AT",G86)))</formula>
    </cfRule>
    <cfRule type="containsText" dxfId="949" priority="48" operator="containsText" text="SS">
      <formula>NOT(ISERROR(SEARCH("SS",G86)))</formula>
    </cfRule>
  </conditionalFormatting>
  <conditionalFormatting sqref="H89 G90:H90">
    <cfRule type="containsText" dxfId="948" priority="33" operator="containsText" text="PL">
      <formula>NOT(ISERROR(SEARCH("PL",G89)))</formula>
    </cfRule>
    <cfRule type="containsText" dxfId="947" priority="34" operator="containsText" text="SW">
      <formula>NOT(ISERROR(SEARCH("SW",G89)))</formula>
    </cfRule>
    <cfRule type="containsText" dxfId="946" priority="35" operator="containsText" text="AT">
      <formula>NOT(ISERROR(SEARCH("AT",G89)))</formula>
    </cfRule>
    <cfRule type="containsText" dxfId="945" priority="36" operator="containsText" text="SS">
      <formula>NOT(ISERROR(SEARCH("SS",G89)))</formula>
    </cfRule>
  </conditionalFormatting>
  <conditionalFormatting sqref="J87:J88">
    <cfRule type="containsText" dxfId="944" priority="29" operator="containsText" text="PL">
      <formula>NOT(ISERROR(SEARCH("PL",J87)))</formula>
    </cfRule>
    <cfRule type="containsText" dxfId="943" priority="30" operator="containsText" text="SW">
      <formula>NOT(ISERROR(SEARCH("SW",J87)))</formula>
    </cfRule>
    <cfRule type="containsText" dxfId="942" priority="31" operator="containsText" text="AT">
      <formula>NOT(ISERROR(SEARCH("AT",J87)))</formula>
    </cfRule>
    <cfRule type="containsText" dxfId="941" priority="32" operator="containsText" text="SS">
      <formula>NOT(ISERROR(SEARCH("SS",J87)))</formula>
    </cfRule>
  </conditionalFormatting>
  <conditionalFormatting sqref="K64:L65">
    <cfRule type="cellIs" dxfId="940" priority="59" operator="greaterThan">
      <formula>3</formula>
    </cfRule>
  </conditionalFormatting>
  <conditionalFormatting sqref="N38:N40">
    <cfRule type="containsText" dxfId="939" priority="150" operator="containsText" text="NAMIT">
      <formula>NOT(ISERROR(SEARCH("NAMIT",N38)))</formula>
    </cfRule>
  </conditionalFormatting>
  <conditionalFormatting sqref="O6:U6">
    <cfRule type="notContainsErrors" dxfId="938" priority="154">
      <formula>NOT(ISERROR(O6))</formula>
    </cfRule>
  </conditionalFormatting>
  <conditionalFormatting sqref="O7:U7 O37:U37">
    <cfRule type="notContainsErrors" dxfId="937" priority="149">
      <formula>NOT(ISERROR(O7))</formula>
    </cfRule>
  </conditionalFormatting>
  <conditionalFormatting sqref="O8:U8">
    <cfRule type="notContainsErrors" dxfId="936" priority="152">
      <formula>NOT(ISERROR(O8))</formula>
    </cfRule>
  </conditionalFormatting>
  <conditionalFormatting sqref="O9:U9">
    <cfRule type="notContainsErrors" dxfId="935" priority="163">
      <formula>NOT(ISERROR(O9))</formula>
    </cfRule>
  </conditionalFormatting>
  <conditionalFormatting sqref="O10:U10">
    <cfRule type="notContainsErrors" dxfId="934" priority="144">
      <formula>NOT(ISERROR(O10))</formula>
    </cfRule>
  </conditionalFormatting>
  <conditionalFormatting sqref="O18:U18">
    <cfRule type="notContainsErrors" dxfId="933" priority="162">
      <formula>NOT(ISERROR(O18))</formula>
    </cfRule>
  </conditionalFormatting>
  <conditionalFormatting sqref="O36:U36">
    <cfRule type="notContainsErrors" dxfId="932" priority="155">
      <formula>NOT(ISERROR(O36))</formula>
    </cfRule>
  </conditionalFormatting>
  <conditionalFormatting sqref="O38:U38">
    <cfRule type="notContainsErrors" dxfId="931" priority="153">
      <formula>NOT(ISERROR(O38))</formula>
    </cfRule>
  </conditionalFormatting>
  <conditionalFormatting sqref="O39:U39">
    <cfRule type="notContainsErrors" dxfId="930" priority="146">
      <formula>NOT(ISERROR(O39))</formula>
    </cfRule>
  </conditionalFormatting>
  <conditionalFormatting sqref="O40:U40">
    <cfRule type="notContainsErrors" dxfId="929" priority="148">
      <formula>NOT(ISERROR(O40))</formula>
    </cfRule>
  </conditionalFormatting>
  <conditionalFormatting sqref="O48:U48">
    <cfRule type="notContainsErrors" dxfId="928" priority="147">
      <formula>NOT(ISERROR(O48))</formula>
    </cfRule>
  </conditionalFormatting>
  <conditionalFormatting sqref="O66:U66">
    <cfRule type="notContainsErrors" dxfId="927" priority="145">
      <formula>NOT(ISERROR(O66))</formula>
    </cfRule>
  </conditionalFormatting>
  <conditionalFormatting sqref="O76:U76">
    <cfRule type="notContainsErrors" dxfId="926" priority="151">
      <formula>NOT(ISERROR(O76))</formula>
    </cfRule>
  </conditionalFormatting>
  <conditionalFormatting sqref="V132:V1048576 P234:U1048576">
    <cfRule type="containsText" dxfId="925" priority="156" operator="containsText" text="SW">
      <formula>NOT(ISERROR(SEARCH("SW",P132)))</formula>
    </cfRule>
    <cfRule type="containsText" dxfId="924" priority="157" operator="containsText" text="FL">
      <formula>NOT(ISERROR(SEARCH("FL",P132)))</formula>
    </cfRule>
    <cfRule type="containsText" dxfId="923" priority="158" operator="containsText" text="FT">
      <formula>NOT(ISERROR(SEARCH("FT",P132)))</formula>
    </cfRule>
    <cfRule type="containsText" dxfId="922" priority="159" operator="containsText" text="SS">
      <formula>NOT(ISERROR(SEARCH("SS",P132)))</formula>
    </cfRule>
    <cfRule type="containsText" dxfId="921" priority="160" operator="containsText" text="GR">
      <formula>NOT(ISERROR(SEARCH("GR",P132)))</formula>
    </cfRule>
    <cfRule type="containsText" dxfId="920" priority="161" operator="containsText" text="GO">
      <formula>NOT(ISERROR(SEARCH("GO",P132)))</formula>
    </cfRule>
  </conditionalFormatting>
  <dataValidations count="1">
    <dataValidation type="list" allowBlank="1" showInputMessage="1" sqref="F134:L135 J136:L141 F113:G131 G136:H141 H114:H131 I113:J131 K114:L131" xr:uid="{A12424A4-0F28-1A4F-B033-DD93F63D9E00}">
      <formula1>#REF!</formula1>
    </dataValidation>
  </dataValidations>
  <pageMargins left="0.7" right="0.7" top="0.75" bottom="0.75" header="0.3" footer="0.3"/>
  <pageSetup paperSize="9" scale="6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35E1C-2149-0143-9237-26423495688E}">
  <sheetPr>
    <pageSetUpPr fitToPage="1"/>
  </sheetPr>
  <dimension ref="A1:W291"/>
  <sheetViews>
    <sheetView workbookViewId="0">
      <pane ySplit="4" topLeftCell="C82" activePane="bottomLeft" state="frozen"/>
      <selection pane="bottomLeft" activeCell="I21" sqref="I21"/>
    </sheetView>
  </sheetViews>
  <sheetFormatPr defaultColWidth="10.5" defaultRowHeight="14.25"/>
  <cols>
    <col min="1" max="2" width="0" style="56" hidden="1" customWidth="1"/>
    <col min="3" max="3" width="17.125" style="56" bestFit="1" customWidth="1"/>
    <col min="4" max="4" width="21.875" style="72" bestFit="1" customWidth="1"/>
    <col min="5" max="5" width="6.25" style="68" bestFit="1" customWidth="1"/>
    <col min="6" max="6" width="11.875" style="66" bestFit="1" customWidth="1"/>
    <col min="7" max="7" width="12" style="64" bestFit="1" customWidth="1"/>
    <col min="8" max="8" width="11.875" style="64" bestFit="1" customWidth="1"/>
    <col min="9" max="9" width="13.75" style="64" bestFit="1" customWidth="1"/>
    <col min="10" max="10" width="12.125" style="64" bestFit="1" customWidth="1"/>
    <col min="11" max="12" width="11.875" style="64" bestFit="1" customWidth="1"/>
    <col min="13" max="13" width="10.5" style="56"/>
    <col min="14" max="14" width="13.5" style="89" bestFit="1" customWidth="1"/>
    <col min="15" max="15" width="15.75" style="112" customWidth="1"/>
    <col min="16" max="16" width="15" style="89" customWidth="1"/>
    <col min="17" max="17" width="13.75" style="89" customWidth="1"/>
    <col min="18" max="18" width="14.75" style="89" customWidth="1"/>
    <col min="19" max="19" width="14.375" style="89" customWidth="1"/>
    <col min="20" max="20" width="15.375" style="89" customWidth="1"/>
    <col min="21" max="21" width="14.75" style="89" customWidth="1"/>
    <col min="22" max="23" width="10.5" style="34"/>
    <col min="24" max="16384" width="10.5" style="56"/>
  </cols>
  <sheetData>
    <row r="1" spans="1:23" ht="14.1" customHeight="1" thickBot="1">
      <c r="D1" s="57"/>
      <c r="E1" s="58"/>
      <c r="F1" s="59" t="str">
        <f t="shared" ref="F1:L1" si="0">CONCATENATE(F169,"-",F170,"-",F171,"-",F172,"-",F173)</f>
        <v>15-0-16-0-9</v>
      </c>
      <c r="G1" s="59" t="str">
        <f t="shared" si="0"/>
        <v>10-0-14-1-8</v>
      </c>
      <c r="H1" s="59" t="str">
        <f t="shared" si="0"/>
        <v>12-2-14-1-9</v>
      </c>
      <c r="I1" s="59" t="str">
        <f t="shared" si="0"/>
        <v>13-2-12-1-8</v>
      </c>
      <c r="J1" s="59" t="str">
        <f t="shared" si="0"/>
        <v>15-1-13-0-7</v>
      </c>
      <c r="K1" s="59" t="str">
        <f t="shared" si="0"/>
        <v>11-1-11-2-8</v>
      </c>
      <c r="L1" s="59" t="str">
        <f t="shared" si="0"/>
        <v>12-0-12-3-8</v>
      </c>
      <c r="O1" s="89" t="str">
        <f t="shared" ref="O1:U1" si="1">F1</f>
        <v>15-0-16-0-9</v>
      </c>
      <c r="P1" s="89" t="str">
        <f t="shared" si="1"/>
        <v>10-0-14-1-8</v>
      </c>
      <c r="Q1" s="89" t="str">
        <f t="shared" si="1"/>
        <v>12-2-14-1-9</v>
      </c>
      <c r="R1" s="89" t="str">
        <f t="shared" si="1"/>
        <v>13-2-12-1-8</v>
      </c>
      <c r="S1" s="89" t="str">
        <f t="shared" si="1"/>
        <v>15-1-13-0-7</v>
      </c>
      <c r="T1" s="89" t="str">
        <f t="shared" si="1"/>
        <v>11-1-11-2-8</v>
      </c>
      <c r="U1" s="89" t="str">
        <f t="shared" si="1"/>
        <v>12-0-12-3-8</v>
      </c>
    </row>
    <row r="2" spans="1:23" ht="14.1" customHeight="1" thickBot="1">
      <c r="C2" s="1" t="s">
        <v>0</v>
      </c>
      <c r="D2" s="1" t="s">
        <v>0</v>
      </c>
      <c r="E2" s="58"/>
      <c r="F2" s="808">
        <v>7</v>
      </c>
      <c r="G2" s="808"/>
      <c r="H2" s="808"/>
      <c r="I2" s="808"/>
      <c r="J2" s="808"/>
      <c r="K2" s="808"/>
      <c r="L2" s="808"/>
      <c r="O2" s="754">
        <f>F2</f>
        <v>7</v>
      </c>
      <c r="P2" s="755"/>
      <c r="Q2" s="755"/>
      <c r="R2" s="755"/>
      <c r="S2" s="755"/>
      <c r="T2" s="755"/>
      <c r="U2" s="756"/>
    </row>
    <row r="3" spans="1:23" ht="14.1" customHeight="1">
      <c r="A3" s="56" t="s">
        <v>297</v>
      </c>
      <c r="B3" s="56" t="s">
        <v>298</v>
      </c>
      <c r="C3" s="494" t="s">
        <v>299</v>
      </c>
      <c r="D3" s="494" t="s">
        <v>300</v>
      </c>
      <c r="E3" s="69" t="s">
        <v>5</v>
      </c>
      <c r="F3" s="22" t="s">
        <v>6</v>
      </c>
      <c r="G3" s="23" t="s">
        <v>7</v>
      </c>
      <c r="H3" s="23" t="s">
        <v>8</v>
      </c>
      <c r="I3" s="23" t="s">
        <v>9</v>
      </c>
      <c r="J3" s="23" t="s">
        <v>10</v>
      </c>
      <c r="K3" s="23" t="s">
        <v>11</v>
      </c>
      <c r="L3" s="24" t="s">
        <v>12</v>
      </c>
      <c r="O3" s="90" t="s">
        <v>6</v>
      </c>
      <c r="P3" s="91" t="s">
        <v>7</v>
      </c>
      <c r="Q3" s="91" t="s">
        <v>8</v>
      </c>
      <c r="R3" s="91" t="s">
        <v>9</v>
      </c>
      <c r="S3" s="91" t="s">
        <v>10</v>
      </c>
      <c r="T3" s="91" t="s">
        <v>11</v>
      </c>
      <c r="U3" s="92" t="s">
        <v>12</v>
      </c>
    </row>
    <row r="4" spans="1:23" ht="14.1" customHeight="1" thickBot="1">
      <c r="B4" s="56" t="s">
        <v>13</v>
      </c>
      <c r="C4" s="25"/>
      <c r="D4" s="25"/>
      <c r="E4" s="77"/>
      <c r="F4" s="26">
        <v>46097</v>
      </c>
      <c r="G4" s="27">
        <v>46098</v>
      </c>
      <c r="H4" s="27">
        <v>46099</v>
      </c>
      <c r="I4" s="27">
        <v>46100</v>
      </c>
      <c r="J4" s="27">
        <v>46101</v>
      </c>
      <c r="K4" s="27">
        <v>46102</v>
      </c>
      <c r="L4" s="27">
        <v>46103</v>
      </c>
      <c r="N4" s="93"/>
      <c r="O4" s="94">
        <f t="shared" ref="O4:U4" si="2">F4</f>
        <v>46097</v>
      </c>
      <c r="P4" s="95">
        <f t="shared" si="2"/>
        <v>46098</v>
      </c>
      <c r="Q4" s="95">
        <f t="shared" si="2"/>
        <v>46099</v>
      </c>
      <c r="R4" s="95">
        <f t="shared" si="2"/>
        <v>46100</v>
      </c>
      <c r="S4" s="95">
        <f t="shared" si="2"/>
        <v>46101</v>
      </c>
      <c r="T4" s="95">
        <f t="shared" si="2"/>
        <v>46102</v>
      </c>
      <c r="U4" s="96">
        <f t="shared" si="2"/>
        <v>46103</v>
      </c>
    </row>
    <row r="5" spans="1:23" ht="14.1" customHeight="1" thickBot="1">
      <c r="C5" s="2"/>
      <c r="D5" s="2"/>
      <c r="E5" s="81"/>
      <c r="F5" s="201"/>
      <c r="G5" s="202" t="s">
        <v>19</v>
      </c>
      <c r="H5" s="202"/>
      <c r="I5" s="202"/>
      <c r="J5" s="202"/>
      <c r="K5" s="60"/>
      <c r="L5" s="61"/>
      <c r="O5" s="757" t="s">
        <v>301</v>
      </c>
      <c r="P5" s="758"/>
      <c r="Q5" s="758"/>
      <c r="R5" s="758"/>
      <c r="S5" s="758"/>
      <c r="T5" s="758"/>
      <c r="U5" s="759"/>
      <c r="W5" s="34" t="s">
        <v>302</v>
      </c>
    </row>
    <row r="6" spans="1:23" ht="14.1" customHeight="1">
      <c r="C6" s="315" t="s">
        <v>26</v>
      </c>
      <c r="D6" s="315" t="s">
        <v>26</v>
      </c>
      <c r="E6" s="495"/>
      <c r="F6" s="317"/>
      <c r="G6" s="318"/>
      <c r="H6" s="318"/>
      <c r="I6" s="318"/>
      <c r="J6" s="318"/>
      <c r="K6" s="318"/>
      <c r="L6" s="319"/>
      <c r="N6" s="97" t="s">
        <v>303</v>
      </c>
      <c r="O6" s="98" t="str">
        <f>INDEX($C7:$L188,MATCH("*AGC*",F7:F191,0),1)</f>
        <v>RAMI SMS</v>
      </c>
      <c r="P6" s="99" t="str">
        <f>INDEX($C7:$L188,MATCH("*AGC*",G7:G191,0),1)</f>
        <v>ANASTASIA SMS</v>
      </c>
      <c r="Q6" s="99" t="str">
        <f>INDEX($C7:$L188,MATCH("*AGC*",H7:H191,0),1)</f>
        <v>DIANA SMS</v>
      </c>
      <c r="R6" s="99" t="str">
        <f>INDEX($C7:$L188,MATCH("*AGC*",I7:I191,0),1)</f>
        <v>SUHAIL SMS</v>
      </c>
      <c r="S6" s="99" t="str">
        <f>INDEX($C7:$L188,MATCH("*AGC*",J7:J191,0),1)</f>
        <v>QAIS SMS</v>
      </c>
      <c r="T6" s="99" t="str">
        <f>INDEX($C7:$L188,MATCH("*AGC*",K7:K191,0),1)</f>
        <v>QAIS SMS</v>
      </c>
      <c r="U6" s="100" t="str">
        <f>INDEX($C7:$L188,MATCH("*AGC*",L7:L191,0),1)</f>
        <v>SUSAN SMS</v>
      </c>
      <c r="V6" s="34" t="s">
        <v>287</v>
      </c>
      <c r="W6" s="101"/>
    </row>
    <row r="7" spans="1:23" ht="14.1" customHeight="1">
      <c r="C7" s="496" t="s">
        <v>304</v>
      </c>
      <c r="D7" s="497" t="s">
        <v>27</v>
      </c>
      <c r="E7" s="498">
        <v>625982</v>
      </c>
      <c r="F7" s="569" t="s">
        <v>28</v>
      </c>
      <c r="G7" s="570"/>
      <c r="H7" s="570"/>
      <c r="I7" s="570"/>
      <c r="J7" s="570"/>
      <c r="K7" s="570"/>
      <c r="L7" s="571"/>
      <c r="N7" s="499" t="s">
        <v>305</v>
      </c>
      <c r="O7" s="102" t="str">
        <f>INDEX($C7:$L188,MATCH("*AAC",F7:F190,0),1)</f>
        <v>DAVID SMS</v>
      </c>
      <c r="P7" s="500" t="str">
        <f>INDEX($C7:$L188,MATCH("*AAC",G7:G190,0),1)</f>
        <v>BARRY SMS</v>
      </c>
      <c r="Q7" s="500" t="str">
        <f>INDEX($C7:$L188,MATCH("*AAC",H7:H190,0),1)</f>
        <v>HELEN SMS</v>
      </c>
      <c r="R7" s="500" t="str">
        <f>INDEX($C7:$L188,MATCH("*AAC",I7:I190,0),1)</f>
        <v>CHAMARA SMS</v>
      </c>
      <c r="S7" s="500" t="str">
        <f>INDEX($C7:$L188,MATCH("*AAC",J7:J190,0),1)</f>
        <v>BEN SMS</v>
      </c>
      <c r="T7" s="500" t="str">
        <f>INDEX($C7:$L188,MATCH("*AAC",K7:K190,0),1)</f>
        <v>SUSAN SMS</v>
      </c>
      <c r="U7" s="501" t="str">
        <f>INDEX($C7:$L188,MATCH("*AAC",L7:L190,0),1)</f>
        <v>SUHAIL SMS</v>
      </c>
      <c r="V7" s="34" t="s">
        <v>286</v>
      </c>
      <c r="W7" s="101"/>
    </row>
    <row r="8" spans="1:23" ht="14.1" customHeight="1">
      <c r="C8" s="497" t="s">
        <v>306</v>
      </c>
      <c r="D8" s="83" t="s">
        <v>29</v>
      </c>
      <c r="E8" s="502">
        <v>628936</v>
      </c>
      <c r="F8" s="211"/>
      <c r="G8" s="62" t="s">
        <v>33</v>
      </c>
      <c r="H8" s="62" t="s">
        <v>33</v>
      </c>
      <c r="I8" s="62" t="s">
        <v>33</v>
      </c>
      <c r="J8" s="62" t="s">
        <v>36</v>
      </c>
      <c r="K8" s="565"/>
      <c r="L8" s="579"/>
      <c r="N8" s="503" t="s">
        <v>307</v>
      </c>
      <c r="O8" s="102" t="str">
        <f>INDEX($C7:$L188,MATCH("*ARC*",F7:F191,0),1)</f>
        <v>ANASTASIA SMS</v>
      </c>
      <c r="P8" s="500" t="str">
        <f>INDEX($C7:$L188,MATCH("*ARC*",G7:G191,0),1)</f>
        <v>TARA J. SMS</v>
      </c>
      <c r="Q8" s="500" t="str">
        <f>INDEX($C7:$L188,MATCH("*ARC*",H7:H191,0),1)</f>
        <v>JEREMY SMS</v>
      </c>
      <c r="R8" s="500" t="str">
        <f>INDEX($C7:$L188,MATCH("*ARC*",I7:I191,0),1)</f>
        <v>BEN SMS</v>
      </c>
      <c r="S8" s="500" t="str">
        <f>INDEX($C7:$L188,MATCH("*ARC*",J7:J191,0),1)</f>
        <v>JULIA SMS</v>
      </c>
      <c r="T8" s="500" t="str">
        <f>INDEX($C7:$L188,MATCH("*ARC*",K7:K191,0),1)</f>
        <v>AMY SR</v>
      </c>
      <c r="U8" s="501" t="str">
        <f>INDEX($C7:$L188,MATCH("*ARC*",L7:L191,0),1)</f>
        <v>NICOLA SMS</v>
      </c>
      <c r="V8" s="34" t="s">
        <v>285</v>
      </c>
      <c r="W8" s="101"/>
    </row>
    <row r="9" spans="1:23" ht="14.1" customHeight="1">
      <c r="C9" s="504" t="s">
        <v>308</v>
      </c>
      <c r="D9" s="723" t="s">
        <v>42</v>
      </c>
      <c r="E9" s="502">
        <v>628576</v>
      </c>
      <c r="F9" s="575" t="s">
        <v>33</v>
      </c>
      <c r="G9" s="565" t="s">
        <v>33</v>
      </c>
      <c r="H9" s="576"/>
      <c r="I9" s="565"/>
      <c r="J9" s="566"/>
      <c r="K9" s="565" t="s">
        <v>40</v>
      </c>
      <c r="L9" s="577"/>
      <c r="N9" s="505" t="s">
        <v>309</v>
      </c>
      <c r="O9" s="102" t="str">
        <f>INDEX($C7:$L188,MATCH("*ASSC*",F7:F191,0),1)</f>
        <v>AFTAB SMS</v>
      </c>
      <c r="P9" s="500" t="str">
        <f>INDEX($C7:$L188,MATCH("*ASSC*",G7:G191,0),1)</f>
        <v>CHAMARA SMS</v>
      </c>
      <c r="Q9" s="500" t="str">
        <f>INDEX($C7:$L188,MATCH("*ASSC*",H7:H191,0),1)</f>
        <v>NICOLA SMS</v>
      </c>
      <c r="R9" s="500" t="str">
        <f>INDEX($C7:$L188,MATCH("*ASSC*",I7:I191,0),1)</f>
        <v>JIMMY SMS</v>
      </c>
      <c r="S9" s="500" t="str">
        <f>INDEX($C7:$L188,MATCH("*ASSC*",J7:J191,0),1)</f>
        <v>PAIGE SMS</v>
      </c>
      <c r="T9" s="500" t="str">
        <f>INDEX($C7:$L188,MATCH("*ASSC*",K7:K191,0),1)</f>
        <v>MADDY SMS</v>
      </c>
      <c r="U9" s="501" t="str">
        <f>INDEX($C7:$L188,MATCH("*ASSC*",L7:L191,0),1)</f>
        <v>GARGI SMS</v>
      </c>
      <c r="V9" s="34" t="s">
        <v>289</v>
      </c>
      <c r="W9" s="101"/>
    </row>
    <row r="10" spans="1:23" ht="14.1" customHeight="1">
      <c r="C10" s="504" t="s">
        <v>310</v>
      </c>
      <c r="D10" s="497" t="s">
        <v>45</v>
      </c>
      <c r="E10" s="506">
        <v>632647</v>
      </c>
      <c r="F10" s="575" t="s">
        <v>33</v>
      </c>
      <c r="G10" s="565" t="s">
        <v>33</v>
      </c>
      <c r="H10" s="565" t="s">
        <v>40</v>
      </c>
      <c r="I10" s="565"/>
      <c r="J10" s="565"/>
      <c r="K10" s="565"/>
      <c r="L10" s="577" t="s">
        <v>521</v>
      </c>
      <c r="N10" s="507" t="s">
        <v>311</v>
      </c>
      <c r="O10" s="102" t="str">
        <f>INDEX($C6:$L187,MATCH("*ACC*",F6:F183,0),1)</f>
        <v>JACKIE SMS</v>
      </c>
      <c r="P10" s="500" t="str">
        <f>INDEX($C6:$L187,MATCH("*ACC*",G6:G183,0),1)</f>
        <v>STEVE T SMS</v>
      </c>
      <c r="Q10" s="500" t="str">
        <f>INDEX($C6:$L187,MATCH("*ACC*",H6:H183,0),1)</f>
        <v>RAMI SMS</v>
      </c>
      <c r="R10" s="500" t="str">
        <f>INDEX($C6:$L187,MATCH("*ACC*",I6:I183,0),1)</f>
        <v>TARA J. SMS</v>
      </c>
      <c r="S10" s="500" t="str">
        <f>INDEX($C6:$L187,MATCH("*ACC*",J6:J183,0),1)</f>
        <v>BRAD SMS</v>
      </c>
      <c r="T10" s="500" t="str">
        <f>INDEX($C6:$L187,MATCH("*ACC*",K6:K183,0),1)</f>
        <v>HEATHER CMO</v>
      </c>
      <c r="U10" s="501" t="str">
        <f>INDEX($C6:$L187,MATCH("*ACC*",L6:L183,0),1)</f>
        <v>SAM CMO</v>
      </c>
      <c r="V10" s="34" t="s">
        <v>288</v>
      </c>
      <c r="W10" s="101"/>
    </row>
    <row r="11" spans="1:23" ht="14.1" customHeight="1">
      <c r="C11" s="497" t="s">
        <v>312</v>
      </c>
      <c r="D11" s="497" t="s">
        <v>48</v>
      </c>
      <c r="E11" s="502">
        <v>279110</v>
      </c>
      <c r="F11" s="575" t="s">
        <v>33</v>
      </c>
      <c r="G11" s="565" t="s">
        <v>33</v>
      </c>
      <c r="H11" s="565" t="s">
        <v>43</v>
      </c>
      <c r="I11" s="565" t="s">
        <v>46</v>
      </c>
      <c r="J11" s="565"/>
      <c r="K11" s="565"/>
      <c r="L11" s="577"/>
      <c r="N11" s="733" t="s">
        <v>313</v>
      </c>
      <c r="O11" s="774" t="str" cm="1">
        <f t="array" ref="O11">_xlfn.TEXTJOIN(CHAR(10),TRUE,IF(F7:F110="0800-1800 AFC",$C7:$C110,""),IF(F7:F110="0800-1730 AFC",$C7:$C110,""),IF(F7:F110="0800-1800",$C7:$C110,""),IF(F7:F110="0800-1730",$C7:$C110,""))</f>
        <v>PATRICK SR
DENNIS SR
HANNAH IR
CRAIG JR</v>
      </c>
      <c r="P11" s="775" t="str" cm="1">
        <f t="array" ref="P11">_xlfn.TEXTJOIN(CHAR(10),TRUE,IF(G7:G110="0800-1800 AFC",$C7:$C110,""),IF(G7:G110="0800-1730 AFC",$C7:$C110,""),IF(G7:G110="0800-1800",$C7:$C110,""),IF(G7:G110="0800-1730",$C7:$C110,""))</f>
        <v>SCOTT SMS
JEREMY SMS
DENNIS SR</v>
      </c>
      <c r="Q11" s="775" t="str" cm="1">
        <f t="array" ref="Q11">_xlfn.TEXTJOIN(CHAR(10),TRUE,IF(H7:H110="0800-1800 AFC",$C7:$C110,""),IF(H7:H110="0800-1730 AFC",$C7:$C110,""),IF(H7:H110="0800-1800",$C7:$C110,""),IF(H7:H110="0800-1730",$C7:$C110,""))</f>
        <v>DANIEL SMS
TITUS CMO
SALEEM CMO</v>
      </c>
      <c r="R11" s="775" t="str" cm="1">
        <f t="array" ref="R11">_xlfn.TEXTJOIN(CHAR(10),TRUE,IF(I7:I110="0800-1800 AFC",$C7:$C110,""),IF(I7:I110="0800-1730 AFC",$C7:$C110,""),IF(I7:I110="0800-1800",$C7:$C110,""),IF(I7:I110="0800-1730",$C7:$C110,""))</f>
        <v>DENNIS SR
POH JR
ISOBEL JR</v>
      </c>
      <c r="S11" s="775" t="str" cm="1">
        <f t="array" ref="S11">_xlfn.TEXTJOIN(CHAR(10),TRUE,IF(J7:J110="0800-1800 AFC",$C7:$C110,""),IF(J7:J110="0800-1730 AFC",$C7:$C110,""),IF(J7:J110="0800-1800",$C7:$C110,""),IF(J7:J110="0800-1730",$C7:$C110,""))</f>
        <v>STEPHEN G SMS
POH JR
SYLVIA JR
KELLY JR</v>
      </c>
      <c r="T11" s="775" t="str" cm="1">
        <f t="array" ref="T11">_xlfn.TEXTJOIN(CHAR(10),TRUE,IF(K7:K110="0800-1800 AFC",$C7:$C110,""),IF(K7:K110="0800-1730 AFC",$C7:$C110,""),IF(K7:K110="0800-1800",$C7:$C110,""),IF(K7:K110="0800-1730",$C7:$C110,""))</f>
        <v>DESLIN JR
GIOVANA JR</v>
      </c>
      <c r="U11" s="775" t="str" cm="1">
        <f t="array" ref="U11">_xlfn.TEXTJOIN(CHAR(10),TRUE,IF(L7:L110="0800-1800 AFC",$C7:$C110,""),IF(L7:L110="0800-1730 AFC",$C7:$C110,""),IF(L7:L110="0800-1800",$C7:$C110,""),IF(L7:L110="0800-1730",$C7:$C110,""))</f>
        <v>AMY SR
DESLIN JR
POH JR
GIOVANA JR</v>
      </c>
      <c r="W11" s="772">
        <v>7</v>
      </c>
    </row>
    <row r="12" spans="1:23" ht="14.1" customHeight="1">
      <c r="C12" s="497" t="s">
        <v>314</v>
      </c>
      <c r="D12" s="497" t="s">
        <v>49</v>
      </c>
      <c r="E12" s="502">
        <v>213322</v>
      </c>
      <c r="F12" s="575" t="s">
        <v>33</v>
      </c>
      <c r="G12" s="565" t="s">
        <v>32</v>
      </c>
      <c r="H12" s="565" t="s">
        <v>35</v>
      </c>
      <c r="I12" s="565" t="s">
        <v>36</v>
      </c>
      <c r="J12" s="565"/>
      <c r="K12" s="565"/>
      <c r="L12" s="577"/>
      <c r="N12" s="734"/>
      <c r="O12" s="774"/>
      <c r="P12" s="775"/>
      <c r="Q12" s="775"/>
      <c r="R12" s="775"/>
      <c r="S12" s="775"/>
      <c r="T12" s="775"/>
      <c r="U12" s="775"/>
      <c r="W12" s="772"/>
    </row>
    <row r="13" spans="1:23" ht="14.1" customHeight="1">
      <c r="C13" s="497" t="s">
        <v>315</v>
      </c>
      <c r="D13" s="497" t="s">
        <v>51</v>
      </c>
      <c r="E13" s="502">
        <v>602997</v>
      </c>
      <c r="F13" s="575" t="s">
        <v>47</v>
      </c>
      <c r="G13" s="565" t="s">
        <v>52</v>
      </c>
      <c r="H13" s="570" t="s">
        <v>54</v>
      </c>
      <c r="I13" s="576"/>
      <c r="J13" s="565" t="s">
        <v>33</v>
      </c>
      <c r="K13" s="576"/>
      <c r="L13" s="579"/>
      <c r="N13" s="734"/>
      <c r="O13" s="774"/>
      <c r="P13" s="775"/>
      <c r="Q13" s="775"/>
      <c r="R13" s="775"/>
      <c r="S13" s="775"/>
      <c r="T13" s="775"/>
      <c r="U13" s="775"/>
      <c r="W13" s="772"/>
    </row>
    <row r="14" spans="1:23" ht="14.1" customHeight="1">
      <c r="C14" s="504" t="s">
        <v>316</v>
      </c>
      <c r="D14" s="504" t="s">
        <v>55</v>
      </c>
      <c r="E14" s="502">
        <v>646459</v>
      </c>
      <c r="F14" s="595" t="s">
        <v>30</v>
      </c>
      <c r="G14" s="596"/>
      <c r="H14" s="596"/>
      <c r="I14" s="596"/>
      <c r="J14" s="596"/>
      <c r="K14" s="596"/>
      <c r="L14" s="597"/>
      <c r="N14" s="734"/>
      <c r="O14" s="774"/>
      <c r="P14" s="775"/>
      <c r="Q14" s="775"/>
      <c r="R14" s="775"/>
      <c r="S14" s="775"/>
      <c r="T14" s="775"/>
      <c r="U14" s="775"/>
      <c r="W14" s="772"/>
    </row>
    <row r="15" spans="1:23" ht="14.1" customHeight="1">
      <c r="C15" s="497" t="s">
        <v>318</v>
      </c>
      <c r="D15" s="504" t="s">
        <v>56</v>
      </c>
      <c r="E15" s="502">
        <v>632594</v>
      </c>
      <c r="F15" s="591" t="s">
        <v>359</v>
      </c>
      <c r="G15" s="565"/>
      <c r="H15" s="565" t="s">
        <v>33</v>
      </c>
      <c r="I15" s="565"/>
      <c r="J15" s="565"/>
      <c r="K15" s="565"/>
      <c r="L15" s="577"/>
      <c r="N15" s="734"/>
      <c r="O15" s="774"/>
      <c r="P15" s="775"/>
      <c r="Q15" s="775"/>
      <c r="R15" s="775"/>
      <c r="S15" s="775"/>
      <c r="T15" s="775"/>
      <c r="U15" s="775"/>
      <c r="W15" s="772"/>
    </row>
    <row r="16" spans="1:23" ht="14.1" customHeight="1">
      <c r="C16" s="497" t="s">
        <v>319</v>
      </c>
      <c r="D16" s="497" t="s">
        <v>58</v>
      </c>
      <c r="E16" s="502">
        <v>541622</v>
      </c>
      <c r="F16" s="575" t="s">
        <v>37</v>
      </c>
      <c r="G16" s="565" t="s">
        <v>43</v>
      </c>
      <c r="H16" s="565" t="s">
        <v>33</v>
      </c>
      <c r="I16" s="565" t="s">
        <v>38</v>
      </c>
      <c r="J16" s="576"/>
      <c r="K16" s="583"/>
      <c r="L16" s="584"/>
      <c r="N16" s="734"/>
      <c r="O16" s="774"/>
      <c r="P16" s="775"/>
      <c r="Q16" s="775"/>
      <c r="R16" s="775"/>
      <c r="S16" s="775"/>
      <c r="T16" s="775"/>
      <c r="U16" s="775"/>
      <c r="W16" s="772"/>
    </row>
    <row r="17" spans="3:23" ht="14.1" customHeight="1">
      <c r="C17" s="504" t="s">
        <v>320</v>
      </c>
      <c r="D17" s="504" t="s">
        <v>59</v>
      </c>
      <c r="E17" s="508">
        <v>614941</v>
      </c>
      <c r="F17" s="582" t="s">
        <v>62</v>
      </c>
      <c r="G17" s="576"/>
      <c r="H17" s="583"/>
      <c r="I17" s="203"/>
      <c r="J17" s="576"/>
      <c r="K17" s="576"/>
      <c r="L17" s="579"/>
      <c r="N17" s="773"/>
      <c r="O17" s="774"/>
      <c r="P17" s="775"/>
      <c r="Q17" s="775"/>
      <c r="R17" s="775"/>
      <c r="S17" s="775"/>
      <c r="T17" s="775"/>
      <c r="U17" s="775"/>
      <c r="W17" s="772"/>
    </row>
    <row r="18" spans="3:23" ht="14.1" customHeight="1">
      <c r="C18" s="497" t="s">
        <v>321</v>
      </c>
      <c r="D18" s="497" t="s">
        <v>63</v>
      </c>
      <c r="E18" s="502">
        <v>600989</v>
      </c>
      <c r="F18" s="582" t="s">
        <v>62</v>
      </c>
      <c r="G18" s="576"/>
      <c r="H18" s="583"/>
      <c r="I18" s="203"/>
      <c r="J18" s="576"/>
      <c r="K18" s="576"/>
      <c r="L18" s="579"/>
      <c r="N18" s="510" t="s">
        <v>322</v>
      </c>
      <c r="O18" s="102" t="e">
        <f>INDEX($C7:$L188,MATCH("*AHJ*",F7:F191,0),1)</f>
        <v>#N/A</v>
      </c>
      <c r="P18" s="102" t="e">
        <f>INDEX($C7:$L188,MATCH("*AHJ*",G7:G191,0),1)</f>
        <v>#N/A</v>
      </c>
      <c r="Q18" s="102" t="str">
        <f>INDEX($C7:$L188,MATCH("*AHJ*",H7:H191,0),1)</f>
        <v>ZOBIA HMO</v>
      </c>
      <c r="R18" s="102" t="str">
        <f>INDEX($C7:$L188,MATCH("*AHJ*",I7:I191,0),1)</f>
        <v>PHILLIP HMO</v>
      </c>
      <c r="S18" s="102" t="str">
        <f>INDEX($C7:$L188,MATCH("*AHJ*",J7:J191,0),1)</f>
        <v>CHRIS HMO</v>
      </c>
      <c r="T18" s="102" t="str">
        <f>INDEX($C7:$L188,MATCH("*AHJ*",K7:K191,0),1)</f>
        <v>DEVUNI HMO</v>
      </c>
      <c r="U18" s="102" t="str">
        <f>INDEX($C7:$L188,MATCH("*AHJ*",L7:L191,0),1)</f>
        <v>MILOS HMO</v>
      </c>
      <c r="V18" s="34" t="s">
        <v>323</v>
      </c>
      <c r="W18" s="89">
        <v>1</v>
      </c>
    </row>
    <row r="19" spans="3:23" ht="14.1" customHeight="1">
      <c r="C19" s="511" t="s">
        <v>324</v>
      </c>
      <c r="D19" s="497" t="s">
        <v>64</v>
      </c>
      <c r="E19" s="502">
        <v>628578</v>
      </c>
      <c r="F19" s="682" t="s">
        <v>66</v>
      </c>
      <c r="G19" s="683"/>
      <c r="H19" s="215"/>
      <c r="I19" s="215"/>
      <c r="J19" s="644"/>
      <c r="K19" s="644"/>
      <c r="L19" s="684"/>
      <c r="N19" s="776" t="s">
        <v>325</v>
      </c>
      <c r="O19" s="777" t="str" cm="1">
        <f t="array" ref="O19">_xlfn.TEXTJOIN(CHAR(10),TRUE,_xlfn._xlws.FILTER($C7:$C184,RIGHT(F7:F184,LEN("ASSJ"))="ASSJ",""))</f>
        <v>PHILLIP HMO</v>
      </c>
      <c r="P19" s="750" t="str" cm="1">
        <f t="array" ref="P19">_xlfn.TEXTJOIN(CHAR(10),TRUE,_xlfn._xlws.FILTER($C7:$C184,RIGHT(G7:G184,LEN("ASSJ"))="ASSJ",""))</f>
        <v>BRENDAN HMO</v>
      </c>
      <c r="Q19" s="750" t="str" cm="1">
        <f t="array" ref="Q19">_xlfn.TEXTJOIN(CHAR(10),TRUE,_xlfn._xlws.FILTER($C7:$C184,RIGHT(H7:H184,LEN("ASSJ"))="ASSJ",""))</f>
        <v/>
      </c>
      <c r="R19" s="750" t="str" cm="1">
        <f t="array" ref="R19">_xlfn.TEXTJOIN(CHAR(10),TRUE,_xlfn._xlws.FILTER($C7:$C184,RIGHT(I7:I184,LEN("ASSJ"))="ASSJ",""))</f>
        <v>BRIER HMO</v>
      </c>
      <c r="S19" s="750" t="str" cm="1">
        <f t="array" ref="S19">_xlfn.TEXTJOIN(CHAR(10),TRUE,_xlfn._xlws.FILTER($C7:$C184,RIGHT(J7:J184,LEN("ASSJ"))="ASSJ",""))</f>
        <v>MARYAM HMO</v>
      </c>
      <c r="T19" s="750" t="str" cm="1">
        <f t="array" ref="T19">_xlfn.TEXTJOIN(CHAR(10),TRUE,_xlfn._xlws.FILTER($C7:$C184,RIGHT(K7:K184,LEN("ASSJ"))="ASSJ",""))</f>
        <v>MILOS HMO</v>
      </c>
      <c r="U19" s="788" t="str" cm="1">
        <f t="array" ref="U19">_xlfn.TEXTJOIN(CHAR(10),TRUE,_xlfn._xlws.FILTER($C7:$C184,RIGHT(L7:L184,LEN("ASSJ"))="ASSJ",""))</f>
        <v>AREEBA HMO</v>
      </c>
      <c r="V19" s="34" t="s">
        <v>326</v>
      </c>
      <c r="W19" s="772">
        <v>2</v>
      </c>
    </row>
    <row r="20" spans="3:23" ht="14.1" customHeight="1">
      <c r="C20" s="497" t="s">
        <v>327</v>
      </c>
      <c r="D20" s="504" t="s">
        <v>68</v>
      </c>
      <c r="E20" s="512">
        <v>628603</v>
      </c>
      <c r="F20" s="582"/>
      <c r="G20" s="565" t="s">
        <v>40</v>
      </c>
      <c r="H20" s="565" t="s">
        <v>50</v>
      </c>
      <c r="I20" s="565" t="s">
        <v>47</v>
      </c>
      <c r="J20" s="565" t="s">
        <v>35</v>
      </c>
      <c r="K20" s="565"/>
      <c r="L20" s="577"/>
      <c r="N20" s="776"/>
      <c r="O20" s="777"/>
      <c r="P20" s="750"/>
      <c r="Q20" s="750"/>
      <c r="R20" s="750"/>
      <c r="S20" s="750"/>
      <c r="T20" s="750"/>
      <c r="U20" s="788"/>
      <c r="W20" s="772"/>
    </row>
    <row r="21" spans="3:23" ht="14.1" customHeight="1">
      <c r="C21" s="513" t="s">
        <v>329</v>
      </c>
      <c r="D21" s="504" t="s">
        <v>71</v>
      </c>
      <c r="E21" s="113">
        <v>631416</v>
      </c>
      <c r="F21" s="204"/>
      <c r="G21" s="565"/>
      <c r="H21" s="565" t="s">
        <v>33</v>
      </c>
      <c r="I21" s="565" t="s">
        <v>40</v>
      </c>
      <c r="J21" s="204"/>
      <c r="K21" s="565"/>
      <c r="L21" s="577"/>
      <c r="N21" s="733" t="s">
        <v>330</v>
      </c>
      <c r="O21" s="777" t="str" cm="1">
        <f t="array" ref="O21">_xlfn.TEXTJOIN(CHAR(10),TRUE,IF(F111:F184="0800-1730",$C111:$C184,""))</f>
        <v>ANKUSH HMO
NATHAN HMO
MARYAM HMO
Arushi INT
Ranusha INT</v>
      </c>
      <c r="P21" s="750" t="str" cm="1">
        <f t="array" ref="P21">_xlfn.TEXTJOIN(CHAR(10),TRUE,IF(G111:G184="0800-1730",$C111:$C184,""))</f>
        <v xml:space="preserve">Jayce INT  </v>
      </c>
      <c r="Q21" s="750" t="str" cm="1">
        <f t="array" ref="Q21">_xlfn.TEXTJOIN(CHAR(10),TRUE,IF(H111:H184="0800-1730",$C111:$C184,""))</f>
        <v>BRENDAN HMO
Elliott INT
Roxana INT</v>
      </c>
      <c r="R21" s="750" t="str" cm="1">
        <f t="array" ref="R21">_xlfn.TEXTJOIN(CHAR(10),TRUE,IF(I111:I184="0800-1730",$C111:$C184,""))</f>
        <v>AARON G. HMO
Elliott INT
Roxana INT</v>
      </c>
      <c r="S21" s="750" t="str" cm="1">
        <f t="array" ref="S21">_xlfn.TEXTJOIN(CHAR(10),TRUE,IF(J111:J184="0800-1730",$C111:$C184,""))</f>
        <v>NATHAN HMO
WILL HMO
Ann INT
Roxana INT</v>
      </c>
      <c r="T21" s="750" t="str" cm="1">
        <f t="array" ref="T21">_xlfn.TEXTJOIN(CHAR(10),TRUE,IF(K111:K184="0800-1730",$C111:$C184,""))</f>
        <v>CHRIS HMO
MAREESHA HMO</v>
      </c>
      <c r="U21" s="750" t="str" cm="1">
        <f t="array" ref="U21">_xlfn.TEXTJOIN(CHAR(10),TRUE,IF(L111:L184="0800-1730",$C111:$C184,""))</f>
        <v>MAREESHA HMO</v>
      </c>
      <c r="W21" s="772">
        <v>7</v>
      </c>
    </row>
    <row r="22" spans="3:23" ht="14.1" customHeight="1">
      <c r="C22" s="80" t="s">
        <v>331</v>
      </c>
      <c r="D22" s="514" t="s">
        <v>73</v>
      </c>
      <c r="E22" s="515">
        <v>613670</v>
      </c>
      <c r="F22" s="582" t="s">
        <v>74</v>
      </c>
      <c r="G22" s="576"/>
      <c r="H22" s="576"/>
      <c r="I22" s="576"/>
      <c r="J22" s="576"/>
      <c r="K22" s="576"/>
      <c r="L22" s="579"/>
      <c r="N22" s="734"/>
      <c r="O22" s="777"/>
      <c r="P22" s="750"/>
      <c r="Q22" s="750"/>
      <c r="R22" s="750"/>
      <c r="S22" s="750"/>
      <c r="T22" s="750"/>
      <c r="U22" s="750"/>
      <c r="W22" s="772"/>
    </row>
    <row r="23" spans="3:23" ht="14.1" customHeight="1">
      <c r="C23" s="511" t="s">
        <v>332</v>
      </c>
      <c r="D23" s="504" t="s">
        <v>76</v>
      </c>
      <c r="E23" s="516">
        <v>621988</v>
      </c>
      <c r="F23" s="685" t="s">
        <v>78</v>
      </c>
      <c r="G23" s="686"/>
      <c r="H23" s="686"/>
      <c r="I23" s="686"/>
      <c r="J23" s="686"/>
      <c r="K23" s="686"/>
      <c r="L23" s="687"/>
      <c r="N23" s="734"/>
      <c r="O23" s="777"/>
      <c r="P23" s="750"/>
      <c r="Q23" s="750"/>
      <c r="R23" s="750"/>
      <c r="S23" s="750"/>
      <c r="T23" s="750"/>
      <c r="U23" s="750"/>
      <c r="W23" s="772"/>
    </row>
    <row r="24" spans="3:23" ht="14.1" customHeight="1">
      <c r="C24" s="497" t="s">
        <v>333</v>
      </c>
      <c r="D24" s="497" t="s">
        <v>79</v>
      </c>
      <c r="E24" s="502">
        <v>609408</v>
      </c>
      <c r="F24" s="575"/>
      <c r="G24" s="570" t="s">
        <v>54</v>
      </c>
      <c r="H24" s="570" t="s">
        <v>54</v>
      </c>
      <c r="I24" s="565"/>
      <c r="J24" s="565"/>
      <c r="K24" s="565" t="s">
        <v>35</v>
      </c>
      <c r="L24" s="577" t="s">
        <v>38</v>
      </c>
      <c r="N24" s="734"/>
      <c r="O24" s="777"/>
      <c r="P24" s="750"/>
      <c r="Q24" s="750"/>
      <c r="R24" s="750"/>
      <c r="S24" s="750"/>
      <c r="T24" s="750"/>
      <c r="U24" s="750"/>
      <c r="W24" s="772"/>
    </row>
    <row r="25" spans="3:23" ht="14.1" customHeight="1">
      <c r="C25" s="511" t="s">
        <v>334</v>
      </c>
      <c r="D25" s="497" t="s">
        <v>81</v>
      </c>
      <c r="E25" s="516">
        <v>632646</v>
      </c>
      <c r="F25" s="587" t="s">
        <v>77</v>
      </c>
      <c r="G25" s="588"/>
      <c r="H25" s="588"/>
      <c r="I25" s="588"/>
      <c r="J25" s="588"/>
      <c r="K25" s="588"/>
      <c r="L25" s="579"/>
      <c r="N25" s="734"/>
      <c r="O25" s="777"/>
      <c r="P25" s="750"/>
      <c r="Q25" s="750"/>
      <c r="R25" s="750"/>
      <c r="S25" s="750"/>
      <c r="T25" s="750"/>
      <c r="U25" s="750"/>
      <c r="W25" s="772"/>
    </row>
    <row r="26" spans="3:23" ht="14.1" customHeight="1">
      <c r="C26" s="511" t="s">
        <v>335</v>
      </c>
      <c r="D26" s="497" t="s">
        <v>82</v>
      </c>
      <c r="E26" s="517">
        <v>634491</v>
      </c>
      <c r="F26" s="585" t="s">
        <v>34</v>
      </c>
      <c r="G26" s="586"/>
      <c r="H26" s="586"/>
      <c r="I26" s="586"/>
      <c r="J26" s="588"/>
      <c r="K26" s="586"/>
      <c r="L26" s="577" t="s">
        <v>40</v>
      </c>
      <c r="N26" s="734"/>
      <c r="O26" s="777"/>
      <c r="P26" s="750"/>
      <c r="Q26" s="750"/>
      <c r="R26" s="750"/>
      <c r="S26" s="750"/>
      <c r="T26" s="750"/>
      <c r="U26" s="750"/>
      <c r="W26" s="772"/>
    </row>
    <row r="27" spans="3:23" ht="14.1" customHeight="1" thickBot="1">
      <c r="C27" s="518" t="s">
        <v>83</v>
      </c>
      <c r="D27" s="518" t="s">
        <v>336</v>
      </c>
      <c r="E27" s="519"/>
      <c r="F27" s="316"/>
      <c r="G27" s="378"/>
      <c r="H27" s="378"/>
      <c r="I27" s="378"/>
      <c r="J27" s="378"/>
      <c r="K27" s="378"/>
      <c r="L27" s="319"/>
      <c r="N27" s="773"/>
      <c r="O27" s="777"/>
      <c r="P27" s="750"/>
      <c r="Q27" s="750"/>
      <c r="R27" s="750"/>
      <c r="S27" s="750"/>
      <c r="T27" s="750"/>
      <c r="U27" s="750"/>
      <c r="W27" s="772"/>
    </row>
    <row r="28" spans="3:23" ht="14.1" customHeight="1">
      <c r="C28" s="497" t="s">
        <v>337</v>
      </c>
      <c r="D28" s="497" t="s">
        <v>84</v>
      </c>
      <c r="E28" s="502">
        <v>502961</v>
      </c>
      <c r="F28" s="575" t="s">
        <v>91</v>
      </c>
      <c r="G28" s="565" t="s">
        <v>92</v>
      </c>
      <c r="H28" s="565"/>
      <c r="I28" s="565"/>
      <c r="J28" s="565"/>
      <c r="K28" s="565"/>
      <c r="L28" s="577"/>
      <c r="N28" s="778" t="s">
        <v>338</v>
      </c>
      <c r="O28" s="781" t="str" cm="1">
        <f t="array" ref="O28">_xlfn.TEXTJOIN(CHAR(10),TRUE,_xlfn._xlws.FILTER($C7:$C184,RIGHT(F7:F184,LEN("SWA"))="SWA",""))</f>
        <v/>
      </c>
      <c r="P28" s="770" t="str" cm="1">
        <f t="array" ref="P28">_xlfn.TEXTJOIN(CHAR(10),TRUE,_xlfn._xlws.FILTER($C7:$C184,RIGHT(G7:G184,LEN("SWA"))="SWA",""))</f>
        <v/>
      </c>
      <c r="Q28" s="770" t="str" cm="1">
        <f t="array" ref="Q28">_xlfn.TEXTJOIN(CHAR(10),TRUE,_xlfn._xlws.FILTER($C7:$C184,RIGHT(H7:H184,LEN("SWA"))="SWA",""))</f>
        <v>MICHELLE SMS
HEATHER CMO</v>
      </c>
      <c r="R28" s="770" t="str" cm="1">
        <f t="array" ref="R28">_xlfn.TEXTJOIN(CHAR(10),TRUE,_xlfn._xlws.FILTER($C7:$C184,RIGHT(I7:I184,LEN("SWA"))="SWA",""))</f>
        <v>CLARA JR
KELLY JR</v>
      </c>
      <c r="S28" s="770" t="str" cm="1">
        <f t="array" ref="S28">_xlfn.TEXTJOIN(CHAR(10),TRUE,_xlfn._xlws.FILTER($C7:$C184,RIGHT(J7:J184,LEN("SWA"))="SWA",""))</f>
        <v/>
      </c>
      <c r="T28" s="770" t="str" cm="1">
        <f t="array" ref="T28">_xlfn.TEXTJOIN(CHAR(10),TRUE,_xlfn._xlws.FILTER($C7:$C184,RIGHT(K7:K184,LEN("SWA"))="SWA",""))</f>
        <v>CLARE IR</v>
      </c>
      <c r="U28" s="771" t="str" cm="1">
        <f t="array" ref="U28">_xlfn.TEXTJOIN(CHAR(10),TRUE,_xlfn._xlws.FILTER($C7:$C184,RIGHT(L7:L184,LEN("SWA"))="SWA",""))</f>
        <v/>
      </c>
      <c r="V28" s="34" t="s">
        <v>339</v>
      </c>
      <c r="W28" s="772">
        <v>3</v>
      </c>
    </row>
    <row r="29" spans="3:23" ht="14.1" customHeight="1">
      <c r="C29" s="497" t="s">
        <v>340</v>
      </c>
      <c r="D29" s="497" t="s">
        <v>96</v>
      </c>
      <c r="E29" s="502">
        <v>601096</v>
      </c>
      <c r="F29" s="589"/>
      <c r="G29" s="590" t="s">
        <v>37</v>
      </c>
      <c r="H29" s="590"/>
      <c r="I29" s="565" t="s">
        <v>32</v>
      </c>
      <c r="J29" s="590"/>
      <c r="K29" s="565" t="s">
        <v>34</v>
      </c>
      <c r="L29" s="577" t="s">
        <v>36</v>
      </c>
      <c r="N29" s="779"/>
      <c r="O29" s="782"/>
      <c r="P29" s="740"/>
      <c r="Q29" s="740"/>
      <c r="R29" s="740"/>
      <c r="S29" s="740"/>
      <c r="T29" s="740"/>
      <c r="U29" s="764"/>
      <c r="W29" s="772"/>
    </row>
    <row r="30" spans="3:23" ht="14.1" customHeight="1" thickBot="1">
      <c r="C30" s="497" t="s">
        <v>341</v>
      </c>
      <c r="D30" s="497" t="s">
        <v>97</v>
      </c>
      <c r="E30" s="502">
        <v>260509</v>
      </c>
      <c r="F30" s="592" t="s">
        <v>98</v>
      </c>
      <c r="G30" s="593"/>
      <c r="H30" s="593"/>
      <c r="I30" s="593"/>
      <c r="J30" s="593"/>
      <c r="K30" s="593"/>
      <c r="L30" s="594"/>
      <c r="N30" s="780"/>
      <c r="O30" s="783"/>
      <c r="P30" s="741"/>
      <c r="Q30" s="741"/>
      <c r="R30" s="741"/>
      <c r="S30" s="741"/>
      <c r="T30" s="741"/>
      <c r="U30" s="765"/>
      <c r="W30" s="772"/>
    </row>
    <row r="31" spans="3:23" ht="14.1" customHeight="1" thickBot="1">
      <c r="C31" s="504" t="s">
        <v>343</v>
      </c>
      <c r="D31" s="504" t="s">
        <v>99</v>
      </c>
      <c r="E31" s="502">
        <v>603237</v>
      </c>
      <c r="F31" s="576"/>
      <c r="G31" s="565" t="s">
        <v>35</v>
      </c>
      <c r="H31" s="565"/>
      <c r="I31" s="565"/>
      <c r="J31" s="565" t="s">
        <v>32</v>
      </c>
      <c r="K31" s="565" t="s">
        <v>38</v>
      </c>
      <c r="L31" s="565"/>
      <c r="N31" s="101"/>
      <c r="O31" s="101"/>
      <c r="P31" s="101"/>
      <c r="Q31" s="101"/>
      <c r="R31" s="101"/>
      <c r="S31" s="101"/>
      <c r="T31" s="101"/>
      <c r="U31" s="101"/>
      <c r="V31" s="101"/>
      <c r="W31" s="101"/>
    </row>
    <row r="32" spans="3:23" ht="14.1" customHeight="1">
      <c r="C32" s="520" t="s">
        <v>344</v>
      </c>
      <c r="D32" s="520" t="s">
        <v>101</v>
      </c>
      <c r="E32" s="502">
        <v>613781</v>
      </c>
      <c r="F32" s="582"/>
      <c r="G32" s="565" t="s">
        <v>33</v>
      </c>
      <c r="H32" s="565" t="s">
        <v>36</v>
      </c>
      <c r="I32" s="576"/>
      <c r="J32" s="565" t="s">
        <v>41</v>
      </c>
      <c r="K32" s="583"/>
      <c r="L32" s="584"/>
      <c r="N32" s="103" t="s">
        <v>345</v>
      </c>
      <c r="O32" s="98" t="str">
        <f>F61</f>
        <v>REZA</v>
      </c>
      <c r="P32" s="98" t="str">
        <f>G61</f>
        <v>REZA</v>
      </c>
      <c r="Q32" s="98" t="str">
        <f t="shared" ref="Q32:S32" si="3">H61</f>
        <v>ARRHCHIE</v>
      </c>
      <c r="R32" s="98" t="str">
        <f t="shared" si="3"/>
        <v>REZA</v>
      </c>
      <c r="S32" s="98" t="str">
        <f t="shared" si="3"/>
        <v>JENNY</v>
      </c>
      <c r="T32" s="99"/>
      <c r="U32" s="100"/>
      <c r="W32" s="89"/>
    </row>
    <row r="33" spans="3:23" ht="14.1" customHeight="1" thickBot="1">
      <c r="C33" s="497" t="s">
        <v>346</v>
      </c>
      <c r="D33" s="497" t="s">
        <v>102</v>
      </c>
      <c r="E33" s="502">
        <v>611691</v>
      </c>
      <c r="F33" s="565" t="s">
        <v>38</v>
      </c>
      <c r="G33" s="565" t="s">
        <v>33</v>
      </c>
      <c r="H33" s="565"/>
      <c r="I33" s="565"/>
      <c r="J33" s="565" t="s">
        <v>34</v>
      </c>
      <c r="K33" s="565"/>
      <c r="L33" s="565"/>
      <c r="N33" s="887" t="s">
        <v>347</v>
      </c>
      <c r="O33" s="521" t="str" cm="1">
        <f t="array" ref="O33">_xlfn.TEXTJOIN(CHAR(10),TRUE,_xlfn._xlws.FILTER($C7:$C184,RIGHT(F7:F184,LEN("CSO"))="CSO",""))</f>
        <v>SINDY SMS</v>
      </c>
      <c r="P33" s="888" t="str" cm="1">
        <f t="array" ref="P33">_xlfn.TEXTJOIN(CHAR(10),TRUE,_xlfn._xlws.FILTER($C7:$C184,RIGHT(G7:G184,LEN("CSO"))="CSO",""))</f>
        <v>MICHELLE SMS</v>
      </c>
      <c r="Q33" s="888" t="str" cm="1">
        <f t="array" ref="Q33">_xlfn.TEXTJOIN(CHAR(10),TRUE,_xlfn._xlws.FILTER($C7:$C184,RIGHT(H7:H184,LEN("CSO"))="CSO",""))</f>
        <v>CHAMARA SMS</v>
      </c>
      <c r="R33" s="888" t="str" cm="1">
        <f t="array" ref="R33">_xlfn.TEXTJOIN(CHAR(10),TRUE,_xlfn._xlws.FILTER($C7:$C184,RIGHT(I7:I184,LEN("CSO"))="CSO",""))</f>
        <v>VARUNA SMS</v>
      </c>
      <c r="S33" s="888" t="str" cm="1">
        <f t="array" ref="S33">_xlfn.TEXTJOIN(CHAR(10),TRUE,_xlfn._xlws.FILTER($C7:$C184,RIGHT(J7:J184,LEN("CSO"))="CSO",""))</f>
        <v>RAMI SMS</v>
      </c>
      <c r="T33" s="888"/>
      <c r="U33" s="889"/>
      <c r="W33" s="89"/>
    </row>
    <row r="34" spans="3:23" ht="14.1" customHeight="1" thickBot="1">
      <c r="C34" s="497" t="s">
        <v>348</v>
      </c>
      <c r="D34" s="504" t="s">
        <v>103</v>
      </c>
      <c r="E34" s="502">
        <v>634258</v>
      </c>
      <c r="F34" s="575" t="s">
        <v>36</v>
      </c>
      <c r="G34" s="565"/>
      <c r="H34" s="570" t="s">
        <v>54</v>
      </c>
      <c r="I34" s="565"/>
      <c r="J34" s="570" t="s">
        <v>54</v>
      </c>
      <c r="K34" s="565"/>
      <c r="L34" s="577"/>
      <c r="O34" s="89"/>
      <c r="W34" s="89"/>
    </row>
    <row r="35" spans="3:23" ht="14.1" customHeight="1" thickBot="1">
      <c r="C35" s="504" t="s">
        <v>349</v>
      </c>
      <c r="D35" s="504" t="s">
        <v>104</v>
      </c>
      <c r="E35" s="506">
        <v>618946</v>
      </c>
      <c r="F35" s="610"/>
      <c r="G35" s="565" t="s">
        <v>41</v>
      </c>
      <c r="H35" s="565" t="s">
        <v>46</v>
      </c>
      <c r="I35" s="565" t="s">
        <v>35</v>
      </c>
      <c r="J35" s="576"/>
      <c r="K35" s="576"/>
      <c r="L35" s="579"/>
      <c r="O35" s="784" t="s">
        <v>350</v>
      </c>
      <c r="P35" s="785"/>
      <c r="Q35" s="785"/>
      <c r="R35" s="785"/>
      <c r="S35" s="785"/>
      <c r="T35" s="785"/>
      <c r="U35" s="786"/>
      <c r="W35" s="89" t="s">
        <v>351</v>
      </c>
    </row>
    <row r="36" spans="3:23" ht="14.1" customHeight="1">
      <c r="C36" s="504" t="s">
        <v>352</v>
      </c>
      <c r="D36" s="504" t="s">
        <v>109</v>
      </c>
      <c r="E36" s="502">
        <v>634702</v>
      </c>
      <c r="F36" s="592" t="s">
        <v>98</v>
      </c>
      <c r="G36" s="593"/>
      <c r="H36" s="593"/>
      <c r="I36" s="593"/>
      <c r="J36" s="593"/>
      <c r="K36" s="593"/>
      <c r="L36" s="594"/>
      <c r="N36" s="104" t="s">
        <v>303</v>
      </c>
      <c r="O36" s="105" t="str">
        <f>INDEX($C7:$L188,MATCH("*Pgc",F7:F191,0),1)</f>
        <v>JON SMS</v>
      </c>
      <c r="P36" s="99" t="str">
        <f>INDEX($C7:$L188,MATCH("*Pgc",G7:G191,0),1)</f>
        <v>SINDY SMS</v>
      </c>
      <c r="Q36" s="99" t="str">
        <f>INDEX($C7:$L188,MATCH("*Pgc",H7:H191,0),1)</f>
        <v>STEPHEN G SMS</v>
      </c>
      <c r="R36" s="99" t="str">
        <f>INDEX($C7:$L188,MATCH("*Pgc",I7:I191,0),1)</f>
        <v>STEVE T SMS</v>
      </c>
      <c r="S36" s="99" t="str">
        <f>INDEX($C7:$L188,MATCH("*Pgc",J7:J191,0),1)</f>
        <v>JAMES SMS</v>
      </c>
      <c r="T36" s="99" t="str">
        <f>INDEX($C7:$L188,MATCH("*Pgc",K7:K191,0),1)</f>
        <v>PAIGE SMS</v>
      </c>
      <c r="U36" s="100" t="str">
        <f>INDEX($C7:$L188,MATCH("*Pgc",L7:L191,0),1)</f>
        <v>TARA J. SMS</v>
      </c>
      <c r="V36" s="34" t="s">
        <v>293</v>
      </c>
      <c r="W36" s="772">
        <v>5</v>
      </c>
    </row>
    <row r="37" spans="3:23" ht="14.1" customHeight="1">
      <c r="C37" s="78" t="s">
        <v>353</v>
      </c>
      <c r="D37" s="504" t="s">
        <v>110</v>
      </c>
      <c r="E37" s="498">
        <v>648587</v>
      </c>
      <c r="F37" s="575"/>
      <c r="G37" s="65"/>
      <c r="H37" s="566" t="s">
        <v>33</v>
      </c>
      <c r="I37" s="65"/>
      <c r="J37" s="565" t="s">
        <v>43</v>
      </c>
      <c r="K37" s="565" t="s">
        <v>498</v>
      </c>
      <c r="L37" s="604"/>
      <c r="N37" s="522" t="s">
        <v>305</v>
      </c>
      <c r="O37" s="523" t="str">
        <f>INDEX($C7:$L188,MATCH("*PAC",F7:F190,0),1)</f>
        <v>ANDY L  SMS</v>
      </c>
      <c r="P37" s="500" t="str">
        <f>INDEX($C7:$L188,MATCH("*PAC",G7:G190,0),1)</f>
        <v>JACKIE SMS</v>
      </c>
      <c r="Q37" s="500" t="str">
        <f>INDEX($C7:$L188,MATCH("*PAC",H7:H190,0),1)</f>
        <v>YAN SMS</v>
      </c>
      <c r="R37" s="500" t="str">
        <f>INDEX($C7:$L188,MATCH("*PAC",I7:I190,0),1)</f>
        <v>ANASTASIA SMS</v>
      </c>
      <c r="S37" s="500" t="str">
        <f>INDEX($C7:$L188,MATCH("*PAC",J7:J190,0),1)</f>
        <v>DANIEL SMS</v>
      </c>
      <c r="T37" s="500" t="str">
        <f>INDEX($C7:$L188,MATCH("*PAC",K7:K190,0),1)</f>
        <v>BRAD SMS</v>
      </c>
      <c r="U37" s="501" t="str">
        <f>INDEX($C7:$L188,MATCH("*PAC",L7:L190,0),1)</f>
        <v>MICHAEL SMS</v>
      </c>
      <c r="V37" s="34" t="s">
        <v>292</v>
      </c>
      <c r="W37" s="772"/>
    </row>
    <row r="38" spans="3:23" ht="14.1" customHeight="1">
      <c r="C38" s="78" t="s">
        <v>354</v>
      </c>
      <c r="D38" s="504" t="s">
        <v>111</v>
      </c>
      <c r="E38" s="498">
        <v>637933</v>
      </c>
      <c r="F38" s="204"/>
      <c r="G38" s="566"/>
      <c r="H38" s="566" t="s">
        <v>41</v>
      </c>
      <c r="I38" s="565" t="s">
        <v>33</v>
      </c>
      <c r="J38" s="566" t="s">
        <v>38</v>
      </c>
      <c r="K38" s="566"/>
      <c r="L38" s="598"/>
      <c r="N38" s="524" t="s">
        <v>307</v>
      </c>
      <c r="O38" s="523" t="str">
        <f>INDEX($C7:$L188,MATCH("*PRC",F7:F191,0),1)</f>
        <v>TARA K. SMS</v>
      </c>
      <c r="P38" s="500" t="str">
        <f>INDEX($C7:$L188,MATCH("*PRC",G7:G191,0),1)</f>
        <v>BRAD SMS</v>
      </c>
      <c r="Q38" s="500" t="str">
        <f>INDEX($C7:$L188,MATCH("*PRC",H7:H191,0),1)</f>
        <v>STEVE T SMS</v>
      </c>
      <c r="R38" s="500" t="str">
        <f>INDEX($C7:$L188,MATCH("*PRC",I7:I191,0),1)</f>
        <v>SCOTT SMS</v>
      </c>
      <c r="S38" s="500" t="str">
        <f>INDEX($C7:$L188,MATCH("*PRC",J7:J191,0),1)</f>
        <v>CHAMARA SMS</v>
      </c>
      <c r="T38" s="500" t="str">
        <f>INDEX($C7:$L188,MATCH("*PRC",K7:K191,0),1)</f>
        <v>MICHAEL SMS</v>
      </c>
      <c r="U38" s="501" t="str">
        <f>INDEX($C7:$L188,MATCH("*PRC",L7:L191,0),1)</f>
        <v>TITUS CMO</v>
      </c>
      <c r="V38" s="34" t="s">
        <v>291</v>
      </c>
      <c r="W38" s="772"/>
    </row>
    <row r="39" spans="3:23" ht="14.1" customHeight="1">
      <c r="C39" s="504" t="s">
        <v>355</v>
      </c>
      <c r="D39" s="504" t="s">
        <v>112</v>
      </c>
      <c r="E39" s="506">
        <v>634394</v>
      </c>
      <c r="F39" s="581" t="s">
        <v>33</v>
      </c>
      <c r="G39" s="66"/>
      <c r="H39" s="566" t="s">
        <v>38</v>
      </c>
      <c r="I39" s="566" t="s">
        <v>34</v>
      </c>
      <c r="J39" s="576"/>
      <c r="K39" s="566"/>
      <c r="L39" s="598"/>
      <c r="N39" s="525" t="s">
        <v>309</v>
      </c>
      <c r="O39" s="523" t="str">
        <f>INDEX($C7:$L188,MATCH("*PSSC",F7:F191,0),1)</f>
        <v>GARGI SMS</v>
      </c>
      <c r="P39" s="500" t="str">
        <f>INDEX($C7:$L188,MATCH("*PSSC",G7:G191,0),1)</f>
        <v>VARUNA SMS</v>
      </c>
      <c r="Q39" s="500" t="str">
        <f>INDEX($C7:$L188,MATCH("*PSSC",H7:H191,0),1)</f>
        <v>ANDREW H SMS</v>
      </c>
      <c r="R39" s="500" t="str">
        <f>INDEX($C7:$L188,MATCH("*PSSC",I7:I191,0),1)</f>
        <v>YAN SMS</v>
      </c>
      <c r="S39" s="500" t="str">
        <f>INDEX($C7:$L188,MATCH("*PSSC",J7:J191,0),1)</f>
        <v>ANDY L  SMS</v>
      </c>
      <c r="T39" s="500" t="str">
        <f>INDEX($C7:$L188,MATCH("*PSSC",K7:K191,0),1)</f>
        <v>TARA J. SMS</v>
      </c>
      <c r="U39" s="501" t="str">
        <f>INDEX($C7:$L188,MATCH("*PSSC",L7:L191,0),1)</f>
        <v>VARUNA SMS</v>
      </c>
      <c r="V39" s="34" t="s">
        <v>295</v>
      </c>
      <c r="W39" s="772"/>
    </row>
    <row r="40" spans="3:23" ht="14.1" customHeight="1">
      <c r="C40" s="497" t="s">
        <v>356</v>
      </c>
      <c r="D40" s="526" t="s">
        <v>113</v>
      </c>
      <c r="E40" s="502">
        <v>605686</v>
      </c>
      <c r="F40" s="611"/>
      <c r="G40" s="688" t="s">
        <v>54</v>
      </c>
      <c r="H40" s="688" t="s">
        <v>54</v>
      </c>
      <c r="I40" s="600"/>
      <c r="J40" s="600" t="s">
        <v>37</v>
      </c>
      <c r="K40" s="600"/>
      <c r="L40" s="603"/>
      <c r="N40" s="527" t="s">
        <v>357</v>
      </c>
      <c r="O40" s="523" t="e">
        <f>INDEX($C7:$L214,MATCH("*PCC*",F7:F202,0),1)</f>
        <v>#N/A</v>
      </c>
      <c r="P40" s="500" t="e">
        <f>INDEX($C7:$L214,MATCH("*PCC*",G7:G202,0),1)</f>
        <v>#N/A</v>
      </c>
      <c r="Q40" s="500" t="str">
        <f>INDEX($C7:$L214,MATCH("*PCC*",H7:H199,0),1)</f>
        <v>SCOTT SMS</v>
      </c>
      <c r="R40" s="500" t="str">
        <f>INDEX($C7:$L214,MATCH("*PCC*",I7:I202,0),1)</f>
        <v>DIANA SMS</v>
      </c>
      <c r="S40" s="500" t="e">
        <f>INDEX($C7:$L214,MATCH("*PCC*",J7:J202,0),1)</f>
        <v>#N/A</v>
      </c>
      <c r="T40" s="500" t="e">
        <f>INDEX($C7:$L214,MATCH("*PCC*",K7:K202,0),1)</f>
        <v>#N/A</v>
      </c>
      <c r="U40" s="501" t="e">
        <f>INDEX($C7:$L214,MATCH("*PCC*",L7:L202,0),1)</f>
        <v>#N/A</v>
      </c>
      <c r="V40" s="34" t="s">
        <v>294</v>
      </c>
      <c r="W40" s="772"/>
    </row>
    <row r="41" spans="3:23" ht="14.1" customHeight="1">
      <c r="C41" s="79" t="s">
        <v>358</v>
      </c>
      <c r="D41" s="497" t="s">
        <v>114</v>
      </c>
      <c r="E41" s="502">
        <v>119385</v>
      </c>
      <c r="F41" s="566"/>
      <c r="G41" s="566"/>
      <c r="H41" s="566"/>
      <c r="I41" s="565"/>
      <c r="J41" s="565"/>
      <c r="K41" s="565" t="s">
        <v>47</v>
      </c>
      <c r="L41" s="577" t="s">
        <v>43</v>
      </c>
      <c r="N41" s="789" t="s">
        <v>360</v>
      </c>
      <c r="O41" s="787" t="str" cm="1">
        <f t="array" ref="O41">_xlfn.TEXTJOIN(CHAR(10),TRUE,IF(F7:F110="1430-0000 PFC",$C7:$C110,""),IF(F7:F110="1400-0000 PFC",$C7:$C110,""),IF(F7:F110="1430-0000",$C7:$C110,""))</f>
        <v>TITUS CMO
ANA CMO
ISOBEL JR
SYLVIA JR
PAUL JR
KELLY JR</v>
      </c>
      <c r="P41" s="750" t="str" cm="1">
        <f t="array" ref="P41">_xlfn.TEXTJOIN(CHAR(10),TRUE,IF(G7:G110="1430-0000 PFC",$C7:$C110,""),IF(G7:G110="1400-0000 PFC",$C7:$C110,""),IF(G7:G110="1430-0000",$C7:$C110,""))</f>
        <v>WILLIAM SR
ANA CMO
ISOBEL JR
JESSICA JR
KELLY JR</v>
      </c>
      <c r="Q41" s="750" t="str" cm="1">
        <f t="array" ref="Q41">_xlfn.TEXTJOIN(CHAR(10),TRUE,IF(H7:H110="1430-0000 PFC",$C7:$C110,""),IF(H7:H110="1400-0000 PFC",$C7:$C110,""),IF(H7:H110="1430-0000",$C7:$C110,""))</f>
        <v>SHIV IR
CHRISTINA JR</v>
      </c>
      <c r="R41" s="750" t="str" cm="1">
        <f t="array" ref="R41">_xlfn.TEXTJOIN(CHAR(10),TRUE,IF(I7:I110="1430-0000 PFC",$C7:$C110,""),IF(I7:I110="1400-0000 PFC",$C7:$C110,""),IF(I7:I110="1430-0000",$C7:$C110,""))</f>
        <v>CHRISTINA JR
CRAIG JR</v>
      </c>
      <c r="S41" s="750" t="str" cm="1">
        <f t="array" ref="S41">_xlfn.TEXTJOIN(CHAR(10),TRUE,IF(J7:J110="1430-0000 PFC",$C7:$C110,""),IF(J7:J110="1400-0000 PFC",$C7:$C110,""),IF(J7:J110="1430-0000",$C7:$C110,""))</f>
        <v>ISOBEL JR
CRAIG JR
PAUL JR</v>
      </c>
      <c r="T41" s="750" t="str" cm="1">
        <f t="array" ref="T41">_xlfn.TEXTJOIN(CHAR(10),TRUE,IF(K7:K110="1430-0000 PFC",$C7:$C110,""),IF(K7:K110="1400-0000 PFC",$C7:$C110,""),IF(K7:K110="1430-0000",$C7:$C110,""))</f>
        <v>TITUS CMO
MARK SR
CRAIG JR</v>
      </c>
      <c r="U41" s="788" t="str" cm="1">
        <f t="array" ref="U41">_xlfn.TEXTJOIN(CHAR(10),TRUE,IF(L7:L110="1430-0000 PFC",$C7:$C110,""),IF(L7:L110="1400-0000 PFC",$C7:$C110,""),IF(L7:L110="1430-0000",$C7:$C110,""))</f>
        <v>MARK SR
SHIV IR</v>
      </c>
      <c r="W41" s="772">
        <v>7</v>
      </c>
    </row>
    <row r="42" spans="3:23" ht="14.1" customHeight="1">
      <c r="C42" s="504" t="s">
        <v>361</v>
      </c>
      <c r="D42" s="504" t="s">
        <v>116</v>
      </c>
      <c r="E42" s="502">
        <v>623962</v>
      </c>
      <c r="F42" s="575"/>
      <c r="G42" s="65" t="s">
        <v>34</v>
      </c>
      <c r="H42" s="65"/>
      <c r="I42" s="65" t="s">
        <v>50</v>
      </c>
      <c r="J42" s="565"/>
      <c r="K42" s="565"/>
      <c r="L42" s="604" t="s">
        <v>34</v>
      </c>
      <c r="N42" s="790"/>
      <c r="O42" s="787"/>
      <c r="P42" s="750"/>
      <c r="Q42" s="750"/>
      <c r="R42" s="750"/>
      <c r="S42" s="750"/>
      <c r="T42" s="750"/>
      <c r="U42" s="788"/>
      <c r="W42" s="772"/>
    </row>
    <row r="43" spans="3:23" ht="14.1" customHeight="1">
      <c r="C43" s="497" t="s">
        <v>362</v>
      </c>
      <c r="D43" s="504" t="s">
        <v>117</v>
      </c>
      <c r="E43" s="508">
        <v>613725</v>
      </c>
      <c r="F43" s="575"/>
      <c r="G43" s="565"/>
      <c r="H43" s="565"/>
      <c r="I43" s="565"/>
      <c r="J43" s="565" t="s">
        <v>40</v>
      </c>
      <c r="K43" s="565" t="s">
        <v>36</v>
      </c>
      <c r="L43" s="577"/>
      <c r="N43" s="790"/>
      <c r="O43" s="787"/>
      <c r="P43" s="750"/>
      <c r="Q43" s="750"/>
      <c r="R43" s="750"/>
      <c r="S43" s="750"/>
      <c r="T43" s="750"/>
      <c r="U43" s="788"/>
      <c r="W43" s="772"/>
    </row>
    <row r="44" spans="3:23" ht="14.1" customHeight="1">
      <c r="C44" s="497" t="s">
        <v>363</v>
      </c>
      <c r="D44" s="504" t="s">
        <v>118</v>
      </c>
      <c r="E44" s="516">
        <v>612264</v>
      </c>
      <c r="F44" s="575"/>
      <c r="G44" s="565"/>
      <c r="H44" s="565"/>
      <c r="I44" s="565" t="s">
        <v>37</v>
      </c>
      <c r="J44" s="565" t="s">
        <v>47</v>
      </c>
      <c r="K44" s="565"/>
      <c r="L44" s="577"/>
      <c r="N44" s="790"/>
      <c r="O44" s="787"/>
      <c r="P44" s="750"/>
      <c r="Q44" s="750"/>
      <c r="R44" s="750"/>
      <c r="S44" s="750"/>
      <c r="T44" s="750"/>
      <c r="U44" s="788"/>
      <c r="W44" s="772"/>
    </row>
    <row r="45" spans="3:23" ht="14.1" customHeight="1">
      <c r="C45" s="497" t="s">
        <v>364</v>
      </c>
      <c r="D45" s="497" t="s">
        <v>119</v>
      </c>
      <c r="E45" s="502">
        <v>643950</v>
      </c>
      <c r="F45" s="575" t="s">
        <v>40</v>
      </c>
      <c r="G45" s="576"/>
      <c r="H45" s="565" t="s">
        <v>33</v>
      </c>
      <c r="I45" s="576"/>
      <c r="J45" s="576"/>
      <c r="K45" s="565"/>
      <c r="L45" s="577"/>
      <c r="N45" s="790"/>
      <c r="O45" s="787"/>
      <c r="P45" s="750"/>
      <c r="Q45" s="750"/>
      <c r="R45" s="750"/>
      <c r="S45" s="750"/>
      <c r="T45" s="750"/>
      <c r="U45" s="788"/>
      <c r="W45" s="772"/>
    </row>
    <row r="46" spans="3:23" ht="14.1" customHeight="1">
      <c r="C46" s="79" t="s">
        <v>365</v>
      </c>
      <c r="D46" s="723" t="s">
        <v>120</v>
      </c>
      <c r="E46" s="502">
        <v>618881</v>
      </c>
      <c r="F46" s="575" t="s">
        <v>50</v>
      </c>
      <c r="G46" s="565" t="s">
        <v>36</v>
      </c>
      <c r="H46" s="565"/>
      <c r="I46" s="565"/>
      <c r="J46" s="565"/>
      <c r="K46" s="565"/>
      <c r="L46" s="577"/>
      <c r="N46" s="790"/>
      <c r="O46" s="787"/>
      <c r="P46" s="750"/>
      <c r="Q46" s="750"/>
      <c r="R46" s="750"/>
      <c r="S46" s="750"/>
      <c r="T46" s="750"/>
      <c r="U46" s="788"/>
      <c r="W46" s="772"/>
    </row>
    <row r="47" spans="3:23" ht="14.1" customHeight="1">
      <c r="C47" s="497" t="s">
        <v>366</v>
      </c>
      <c r="D47" s="497" t="s">
        <v>122</v>
      </c>
      <c r="E47" s="508">
        <v>141658</v>
      </c>
      <c r="F47" s="575"/>
      <c r="G47" s="565" t="s">
        <v>50</v>
      </c>
      <c r="H47" s="565" t="s">
        <v>534</v>
      </c>
      <c r="I47" s="565"/>
      <c r="J47" s="565"/>
      <c r="K47" s="565"/>
      <c r="L47" s="577"/>
      <c r="N47" s="791"/>
      <c r="O47" s="787"/>
      <c r="P47" s="750"/>
      <c r="Q47" s="750"/>
      <c r="R47" s="750"/>
      <c r="S47" s="750"/>
      <c r="T47" s="750"/>
      <c r="U47" s="788"/>
      <c r="W47" s="101"/>
    </row>
    <row r="48" spans="3:23" ht="14.1" customHeight="1">
      <c r="C48" s="511" t="s">
        <v>367</v>
      </c>
      <c r="D48" s="504" t="s">
        <v>123</v>
      </c>
      <c r="E48" s="516">
        <v>654004</v>
      </c>
      <c r="F48" s="575" t="s">
        <v>43</v>
      </c>
      <c r="G48" s="565"/>
      <c r="H48" s="566" t="s">
        <v>91</v>
      </c>
      <c r="I48" s="565"/>
      <c r="J48" s="565" t="s">
        <v>50</v>
      </c>
      <c r="K48" s="565"/>
      <c r="L48" s="577"/>
      <c r="N48" s="528" t="s">
        <v>368</v>
      </c>
      <c r="O48" s="523" t="str">
        <f>INDEX($C7:$L188,MATCH("*PHJ*",F7:F191,0),1)</f>
        <v>JESSICA JR</v>
      </c>
      <c r="P48" s="500" t="e">
        <f>INDEX($C7:$L188,MATCH("*PHJ*",G7:G191,0),1)</f>
        <v>#N/A</v>
      </c>
      <c r="Q48" s="500" t="str">
        <f>INDEX($C7:$L188,MATCH("*PHJ*",H7:H191,0),1)</f>
        <v>SYLVIA JR</v>
      </c>
      <c r="R48" s="500" t="str">
        <f>INDEX($C7:$L188,MATCH("*PHJ*",I7:I191,0),1)</f>
        <v>DESLIN JR</v>
      </c>
      <c r="S48" s="500" t="e">
        <f>INDEX($C7:$L188,MATCH("*PHJ*",J7:J191,0),1)</f>
        <v>#N/A</v>
      </c>
      <c r="T48" s="500" t="str">
        <f>INDEX($C7:$L188,MATCH("*PHJ*",K7:K191,0),1)</f>
        <v>ADI JR</v>
      </c>
      <c r="U48" s="501" t="str">
        <f>INDEX($C7:$L188,MATCH("*PHJ*",L7:L191,0),1)</f>
        <v>ADI JR</v>
      </c>
      <c r="V48" s="34" t="s">
        <v>369</v>
      </c>
      <c r="W48" s="89">
        <v>1</v>
      </c>
    </row>
    <row r="49" spans="3:23" ht="14.1" customHeight="1">
      <c r="C49" s="511" t="s">
        <v>370</v>
      </c>
      <c r="D49" s="504" t="s">
        <v>124</v>
      </c>
      <c r="E49" s="676">
        <v>655191</v>
      </c>
      <c r="F49" s="576"/>
      <c r="G49" s="565" t="s">
        <v>47</v>
      </c>
      <c r="H49" s="565" t="s">
        <v>33</v>
      </c>
      <c r="I49" s="576" t="s">
        <v>125</v>
      </c>
      <c r="J49" s="576"/>
      <c r="K49" s="565"/>
      <c r="L49" s="577"/>
      <c r="N49" s="792" t="s">
        <v>325</v>
      </c>
      <c r="O49" s="787" t="str" cm="1">
        <f t="array" ref="O49">_xlfn.TEXTJOIN(CHAR(10),TRUE,_xlfn._xlws.FILTER($C7:$C184,RIGHT(F7:F184,LEN("pSSJ"))="pSSJ",""))</f>
        <v/>
      </c>
      <c r="P49" s="750" t="str" cm="1">
        <f t="array" ref="P49">_xlfn.TEXTJOIN(CHAR(10),TRUE,_xlfn._xlws.FILTER($C7:$C184,RIGHT(G7:G184,LEN("pSSJ"))="pSSJ",""))</f>
        <v/>
      </c>
      <c r="Q49" s="750" t="str" cm="1">
        <f t="array" ref="Q49">_xlfn.TEXTJOIN(CHAR(10),TRUE,_xlfn._xlws.FILTER($C7:$C184,RIGHT(H7:H184,LEN("pSSJ"))="pSSJ",""))</f>
        <v>VISHNU HMO</v>
      </c>
      <c r="R49" s="750" t="str" cm="1">
        <f t="array" ref="R49">_xlfn.TEXTJOIN(CHAR(10),TRUE,_xlfn._xlws.FILTER($C7:$C184,RIGHT(I7:I184,LEN("pSSJ"))="pSSJ",""))</f>
        <v>BRENDAN HMO</v>
      </c>
      <c r="S49" s="750" t="str" cm="1">
        <f t="array" ref="S49">_xlfn.TEXTJOIN(CHAR(10),TRUE,_xlfn._xlws.FILTER($C7:$C184,RIGHT(J7:J184,LEN("pSSJ"))="pSSJ",""))</f>
        <v>LISA HMO</v>
      </c>
      <c r="T49" s="750" t="str" cm="1">
        <f t="array" ref="T49">_xlfn.TEXTJOIN(CHAR(10),TRUE,_xlfn._xlws.FILTER($C7:$C184,RIGHT(K7:K184,LEN("pSSJ"))="pSSJ",""))</f>
        <v/>
      </c>
      <c r="U49" s="788" t="str" cm="1">
        <f t="array" ref="U49">_xlfn.TEXTJOIN(CHAR(10),TRUE,_xlfn._xlws.FILTER($C7:$C184,RIGHT(L7:L184,LEN("pSSJ"))="pSSJ",""))</f>
        <v>WILL HMO</v>
      </c>
      <c r="V49" s="34" t="s">
        <v>372</v>
      </c>
      <c r="W49" s="772">
        <v>2</v>
      </c>
    </row>
    <row r="50" spans="3:23" ht="14.1" customHeight="1">
      <c r="C50" s="511" t="s">
        <v>373</v>
      </c>
      <c r="D50" s="504" t="s">
        <v>126</v>
      </c>
      <c r="E50" s="676">
        <v>653055</v>
      </c>
      <c r="F50" s="611" t="s">
        <v>35</v>
      </c>
      <c r="G50" s="75"/>
      <c r="H50" s="204"/>
      <c r="I50" s="75"/>
      <c r="J50" s="576"/>
      <c r="K50" s="600"/>
      <c r="L50" s="204"/>
      <c r="N50" s="792"/>
      <c r="O50" s="787"/>
      <c r="P50" s="750"/>
      <c r="Q50" s="750"/>
      <c r="R50" s="750"/>
      <c r="S50" s="750"/>
      <c r="T50" s="750"/>
      <c r="U50" s="788"/>
      <c r="W50" s="772"/>
    </row>
    <row r="51" spans="3:23" ht="14.1" customHeight="1">
      <c r="C51" s="497" t="s">
        <v>374</v>
      </c>
      <c r="D51" s="340" t="s">
        <v>128</v>
      </c>
      <c r="E51" s="678">
        <v>650059</v>
      </c>
      <c r="F51" s="608"/>
      <c r="G51" s="600" t="s">
        <v>41</v>
      </c>
      <c r="H51" s="601" t="s">
        <v>37</v>
      </c>
      <c r="I51" s="600"/>
      <c r="J51" s="576"/>
      <c r="K51" s="610"/>
      <c r="L51" s="576"/>
      <c r="N51" s="733" t="s">
        <v>330</v>
      </c>
      <c r="O51" s="736" t="str" cm="1">
        <f t="array" ref="O51">_xlfn.TEXTJOIN(CHAR(10),TRUE,IF(F111:F184="1430-0000",$C111:$C184,""))</f>
        <v>AARON G. HMO
HARRISON HMO
PIN HMO
Arooj INT
Roxana INT</v>
      </c>
      <c r="P51" s="739" t="str" cm="1">
        <f t="array" ref="P51">_xlfn.TEXTJOIN(CHAR(10),TRUE,IF(G111:G184="1430-0000",$C111:$C184,""))</f>
        <v>AARON G. HMO
PHILLIP HMO
Ann INT
Filip INT
Ranusha INT</v>
      </c>
      <c r="Q51" s="739" t="str" cm="1">
        <f t="array" ref="Q51">_xlfn.TEXTJOIN(CHAR(10),TRUE,IF(H111:H184="1430-0000",$C111:$C184,""))</f>
        <v>TRAM HMO
MARYAM HMO
Ann INT
Filip INT
Ranusha INT</v>
      </c>
      <c r="R51" s="739" t="str" cm="1">
        <f t="array" ref="R51">_xlfn.TEXTJOIN(CHAR(10),TRUE,IF(I111:I184="1430-0000",$C111:$C184,""))</f>
        <v>DEVUNI HMO
TRAM HMO
Filip INT</v>
      </c>
      <c r="S51" s="739" t="str" cm="1">
        <f t="array" ref="S51">_xlfn.TEXTJOIN(CHAR(10),TRUE,IF(J111:J184="1430-0000",$C111:$C184,""))</f>
        <v>AARON G. HMO
BRENDAN HMO
PHILLIP HMO
Filip INT
Ranusha INT</v>
      </c>
      <c r="T51" s="739" t="str" cm="1">
        <f t="array" ref="T51">_xlfn.TEXTJOIN(CHAR(10),TRUE,IF(K111:K184="1430-0000",$C111:$C184,""))</f>
        <v>LISA HMO
NATHAN HMO
WILL HMO
WATHSALA HMO</v>
      </c>
      <c r="U51" s="763" t="str" cm="1">
        <f t="array" ref="U51">_xlfn.TEXTJOIN(CHAR(10),TRUE,IF(L111:L184="1430-0000",$C111:$C184,""))</f>
        <v>LISA HMO
DEVUNI HMO
NATHAN HMO
WATHSALA HMO</v>
      </c>
      <c r="W51" s="772">
        <v>8</v>
      </c>
    </row>
    <row r="52" spans="3:23" ht="14.1" customHeight="1">
      <c r="C52" s="497" t="s">
        <v>375</v>
      </c>
      <c r="D52" s="340" t="s">
        <v>129</v>
      </c>
      <c r="E52" s="678">
        <v>703067</v>
      </c>
      <c r="F52" s="595" t="s">
        <v>30</v>
      </c>
      <c r="G52" s="596"/>
      <c r="H52" s="596"/>
      <c r="I52" s="596"/>
      <c r="J52" s="596"/>
      <c r="K52" s="596"/>
      <c r="L52" s="597"/>
      <c r="N52" s="734"/>
      <c r="O52" s="737"/>
      <c r="P52" s="740"/>
      <c r="Q52" s="740"/>
      <c r="R52" s="740"/>
      <c r="S52" s="740"/>
      <c r="T52" s="740"/>
      <c r="U52" s="764"/>
      <c r="W52" s="772"/>
    </row>
    <row r="53" spans="3:23" ht="14.1" customHeight="1">
      <c r="C53" s="497" t="s">
        <v>376</v>
      </c>
      <c r="D53" s="340" t="s">
        <v>132</v>
      </c>
      <c r="E53" s="678">
        <v>703495</v>
      </c>
      <c r="F53" s="608"/>
      <c r="G53" s="610"/>
      <c r="H53" s="612"/>
      <c r="I53" s="600" t="s">
        <v>43</v>
      </c>
      <c r="J53" s="610"/>
      <c r="K53" s="610"/>
      <c r="L53" s="603" t="s">
        <v>47</v>
      </c>
      <c r="N53" s="734"/>
      <c r="O53" s="737"/>
      <c r="P53" s="740"/>
      <c r="Q53" s="740"/>
      <c r="R53" s="740"/>
      <c r="S53" s="740"/>
      <c r="T53" s="740"/>
      <c r="U53" s="764"/>
      <c r="W53" s="772"/>
    </row>
    <row r="54" spans="3:23" ht="14.1" customHeight="1">
      <c r="C54" s="504" t="s">
        <v>377</v>
      </c>
      <c r="D54" s="504" t="s">
        <v>133</v>
      </c>
      <c r="E54" s="502">
        <v>578275</v>
      </c>
      <c r="F54" s="581"/>
      <c r="G54" s="566"/>
      <c r="H54" s="566"/>
      <c r="I54" s="566"/>
      <c r="J54" s="566"/>
      <c r="K54" s="566"/>
      <c r="L54" s="598"/>
      <c r="N54" s="734"/>
      <c r="O54" s="737"/>
      <c r="P54" s="740"/>
      <c r="Q54" s="740"/>
      <c r="R54" s="740"/>
      <c r="S54" s="740"/>
      <c r="T54" s="740"/>
      <c r="U54" s="764"/>
      <c r="W54" s="772"/>
    </row>
    <row r="55" spans="3:23" ht="14.1" customHeight="1">
      <c r="C55" s="504" t="s">
        <v>378</v>
      </c>
      <c r="D55" s="497" t="s">
        <v>135</v>
      </c>
      <c r="E55" s="502">
        <v>644237</v>
      </c>
      <c r="F55" s="569" t="s">
        <v>28</v>
      </c>
      <c r="G55" s="570"/>
      <c r="H55" s="570"/>
      <c r="I55" s="570"/>
      <c r="J55" s="570"/>
      <c r="K55" s="570"/>
      <c r="L55" s="571"/>
      <c r="N55" s="734"/>
      <c r="O55" s="737"/>
      <c r="P55" s="740"/>
      <c r="Q55" s="740"/>
      <c r="R55" s="740"/>
      <c r="S55" s="740"/>
      <c r="T55" s="740"/>
      <c r="U55" s="764"/>
      <c r="W55" s="772"/>
    </row>
    <row r="56" spans="3:23" ht="14.1" customHeight="1">
      <c r="C56" s="497" t="s">
        <v>379</v>
      </c>
      <c r="D56" s="504" t="s">
        <v>136</v>
      </c>
      <c r="E56" s="502">
        <v>634259</v>
      </c>
      <c r="F56" s="575"/>
      <c r="G56" s="565"/>
      <c r="H56" s="565" t="s">
        <v>34</v>
      </c>
      <c r="I56" s="565"/>
      <c r="J56" s="565"/>
      <c r="K56" s="565"/>
      <c r="L56" s="577"/>
      <c r="N56" s="734"/>
      <c r="O56" s="737"/>
      <c r="P56" s="740"/>
      <c r="Q56" s="740"/>
      <c r="R56" s="740"/>
      <c r="S56" s="740"/>
      <c r="T56" s="740"/>
      <c r="U56" s="764"/>
      <c r="W56" s="772"/>
    </row>
    <row r="57" spans="3:23" ht="14.1" customHeight="1">
      <c r="C57" s="497" t="s">
        <v>380</v>
      </c>
      <c r="D57" s="526" t="s">
        <v>137</v>
      </c>
      <c r="E57" s="502">
        <v>418439</v>
      </c>
      <c r="F57" s="611"/>
      <c r="G57" s="75"/>
      <c r="H57" s="75" t="s">
        <v>47</v>
      </c>
      <c r="I57" s="75"/>
      <c r="J57" s="600"/>
      <c r="K57" s="600"/>
      <c r="L57" s="613"/>
      <c r="N57" s="734"/>
      <c r="O57" s="737"/>
      <c r="P57" s="740"/>
      <c r="Q57" s="740"/>
      <c r="R57" s="740"/>
      <c r="S57" s="740"/>
      <c r="T57" s="740"/>
      <c r="U57" s="764"/>
      <c r="W57" s="772"/>
    </row>
    <row r="58" spans="3:23" ht="14.1" customHeight="1" thickBot="1">
      <c r="C58" s="511" t="s">
        <v>381</v>
      </c>
      <c r="D58" s="526" t="s">
        <v>138</v>
      </c>
      <c r="E58" s="498">
        <v>650974</v>
      </c>
      <c r="F58" s="575"/>
      <c r="G58" s="65"/>
      <c r="H58" s="65"/>
      <c r="I58" s="65"/>
      <c r="J58" s="565"/>
      <c r="K58" s="578" t="s">
        <v>490</v>
      </c>
      <c r="L58" s="689" t="s">
        <v>490</v>
      </c>
      <c r="N58" s="735"/>
      <c r="O58" s="738"/>
      <c r="P58" s="741"/>
      <c r="Q58" s="741"/>
      <c r="R58" s="741"/>
      <c r="S58" s="741"/>
      <c r="T58" s="741"/>
      <c r="U58" s="765"/>
      <c r="W58" s="772"/>
    </row>
    <row r="59" spans="3:23" ht="14.1" customHeight="1">
      <c r="C59" s="511" t="s">
        <v>382</v>
      </c>
      <c r="D59" s="526" t="s">
        <v>535</v>
      </c>
      <c r="E59" s="498">
        <v>541888</v>
      </c>
      <c r="F59" s="575"/>
      <c r="G59" s="65"/>
      <c r="H59" s="65"/>
      <c r="I59" s="297" t="s">
        <v>342</v>
      </c>
      <c r="J59" s="565"/>
      <c r="K59" s="565"/>
      <c r="L59" s="604"/>
      <c r="N59" s="742" t="s">
        <v>384</v>
      </c>
      <c r="O59" s="745" t="str" cm="1">
        <f t="array" ref="O59">_xlfn.TEXTJOIN(CHAR(10),TRUE,_xlfn._xlws.FILTER($C7:$C184,RIGHT(F7:F184,LEN("SWP"))="SWP",""))</f>
        <v/>
      </c>
      <c r="P59" s="747" t="str" cm="1">
        <f t="array" ref="P59">_xlfn.TEXTJOIN(CHAR(10),TRUE,_xlfn._xlws.FILTER($C7:$C184,RIGHT(G7:G184,LEN("SWP"))="SWP",""))</f>
        <v>PAUL JR</v>
      </c>
      <c r="Q59" s="747" t="str" cm="1">
        <f t="array" ref="Q59">_xlfn.TEXTJOIN(CHAR(10),TRUE,_xlfn._xlws.FILTER($C7:$C184,RIGHT(H7:H184,LEN("SWP"))="SWP",""))</f>
        <v>DESLIN JR</v>
      </c>
      <c r="R59" s="747" t="str" cm="1">
        <f t="array" ref="R59">_xlfn.TEXTJOIN(CHAR(10),TRUE,_xlfn._xlws.FILTER($C7:$C184,RIGHT(I7:I184,LEN("SWP"))="SWP",""))</f>
        <v>JOSHUA IR</v>
      </c>
      <c r="S59" s="747" t="str" cm="1">
        <f t="array" ref="S59">_xlfn.TEXTJOIN(CHAR(10),TRUE,_xlfn._xlws.FILTER($C7:$C184,RIGHT(J7:J184,LEN("SWP"))="SWP",""))</f>
        <v/>
      </c>
      <c r="T59" s="747" t="str" cm="1">
        <f t="array" ref="T59">_xlfn.TEXTJOIN(CHAR(10),TRUE,_xlfn._xlws.FILTER($C7:$C184,RIGHT(K7:K184,LEN("SWP"))="SWP",""))</f>
        <v>Arushi INT
Elliott INT</v>
      </c>
      <c r="U59" s="766" t="str" cm="1">
        <f t="array" ref="U59">_xlfn.TEXTJOIN(CHAR(10),TRUE,_xlfn._xlws.FILTER($C7:$C184,RIGHT(L7:L184,LEN("SWP"))="SWP",""))</f>
        <v>Isabelle SMS
Arushi INT
Elliott INT</v>
      </c>
      <c r="W59" s="89"/>
    </row>
    <row r="60" spans="3:23" ht="14.1" customHeight="1">
      <c r="C60" s="494" t="s">
        <v>536</v>
      </c>
      <c r="D60" s="532" t="s">
        <v>537</v>
      </c>
      <c r="E60" s="533"/>
      <c r="F60" s="575"/>
      <c r="G60" s="565"/>
      <c r="H60" s="565"/>
      <c r="I60" s="565"/>
      <c r="J60" s="565"/>
      <c r="K60" s="565"/>
      <c r="L60" s="577" t="s">
        <v>167</v>
      </c>
      <c r="N60" s="743"/>
      <c r="O60" s="746"/>
      <c r="P60" s="748"/>
      <c r="Q60" s="748"/>
      <c r="R60" s="748"/>
      <c r="S60" s="748"/>
      <c r="T60" s="748"/>
      <c r="U60" s="767"/>
      <c r="V60" s="34" t="s">
        <v>385</v>
      </c>
      <c r="W60" s="89">
        <v>4</v>
      </c>
    </row>
    <row r="61" spans="3:23" ht="14.1" customHeight="1">
      <c r="C61" s="530" t="s">
        <v>345</v>
      </c>
      <c r="D61" s="530" t="s">
        <v>345</v>
      </c>
      <c r="E61" s="534"/>
      <c r="F61" s="205" t="s">
        <v>142</v>
      </c>
      <c r="G61" s="614" t="s">
        <v>142</v>
      </c>
      <c r="H61" s="614" t="s">
        <v>494</v>
      </c>
      <c r="I61" s="614" t="s">
        <v>142</v>
      </c>
      <c r="J61" s="614" t="s">
        <v>515</v>
      </c>
      <c r="K61" s="62"/>
      <c r="L61" s="67"/>
      <c r="N61" s="743"/>
      <c r="O61" s="746"/>
      <c r="P61" s="748"/>
      <c r="Q61" s="748"/>
      <c r="R61" s="748"/>
      <c r="S61" s="748"/>
      <c r="T61" s="748"/>
      <c r="U61" s="767"/>
      <c r="W61" s="89"/>
    </row>
    <row r="62" spans="3:23" ht="14.1" customHeight="1" thickBot="1">
      <c r="C62" s="31"/>
      <c r="D62" s="31"/>
      <c r="E62" s="534"/>
      <c r="F62" s="28"/>
      <c r="G62" s="29"/>
      <c r="H62" s="29"/>
      <c r="I62" s="29"/>
      <c r="J62" s="29"/>
      <c r="K62" s="29"/>
      <c r="L62" s="30"/>
      <c r="N62" s="744"/>
      <c r="O62" s="890"/>
      <c r="P62" s="891"/>
      <c r="Q62" s="891"/>
      <c r="R62" s="891"/>
      <c r="S62" s="891"/>
      <c r="T62" s="891"/>
      <c r="U62" s="892"/>
      <c r="W62" s="89"/>
    </row>
    <row r="63" spans="3:23" ht="14.1" customHeight="1" thickBot="1">
      <c r="C63" s="63"/>
      <c r="D63" s="411" t="s">
        <v>145</v>
      </c>
      <c r="E63" s="534"/>
      <c r="F63" s="565">
        <f>COUNTIF(F7:F60,"0800-*")+COUNTIF(F7:F60,"0730-*")-COUNTIF(F7:F60,"*0800-1730 CS*")-COUNTIF(F7:F60,"*0800-1730 PHNW*")-COUNTIF(F7:F60,"*0800-1730 DEMT*")-COUNTIF(F7:F60,"*0800-1730 EXAM*")-COUNTIF(F7:F60,"*0800-1800 CS*")-COUNTIF(F7:F60,"*0800-1800 PHNW*")</f>
        <v>5</v>
      </c>
      <c r="G63" s="565">
        <f>COUNTIF(G7:G60,"0800-*")+COUNTIF(G7:G60,"0730-*")-COUNTIF(G7:G60,"*0800-1730 CS*")-COUNTIF(G7:G60,"*0800-1730 PHNW*")-COUNTIF(G7:G60,"*0800-1730 DEMT*")-COUNTIF(G7:G60,"*0800-1730 EXAM*")-COUNTIF(G7:G60,"*0800-1800 CS*")-COUNTIF(G7:G60,"*0800-1800 PHNW*")</f>
        <v>7</v>
      </c>
      <c r="H63" s="565">
        <f>COUNTIF(H7:H60,"0800-*")+COUNTIF(H7:H60,"0730-*")-COUNTIF(H7:H60,"*0800-1730 CS*")-COUNTIF(H7:H60,"*0800-1730 PHNW*")-COUNTIF(H7:H60,"*0800-1730 DEMT*")-COUNTIF(H7:H60,"*0800-1730 EXAM*")-COUNTIF(H7:H60,"*0800-1800 CS*")-COUNTIF(H7:H60,"*0800-1800 PHNW*")</f>
        <v>6</v>
      </c>
      <c r="I63" s="565">
        <f>COUNTIF(I7:I60,"0800-*")+COUNTIF(I7:I60,"0730-*")-COUNTIF(I7:I60,"*0800-1730 CS*")-COUNTIF(I7:I60,"*0800-1730 PHNW*")-COUNTIF(I7:I60,"*0800-1730 DEMT*")-COUNTIF(I7:I60,"*0800-1730 EXAM*")-COUNTIF(I7:I60,"*0800-1800 CS*")-COUNTIF(I7:I60,"*0800-1800 PHNW*")</f>
        <v>5</v>
      </c>
      <c r="J63" s="565">
        <f>COUNTIF(J7:J60,"0800-*")+COUNTIF(J7:J60,"0730-*")-COUNTIF(J7:J60,"*0800-1730 CS*")-COUNTIF(J7:J60,"*0800-1730 PHNW*")-COUNTIF(J7:J60,"*0800-1730 DEMT*")-COUNTIF(J7:J60,"*0800-1730 EXAM*")-COUNTIF(J7:J60,"*0800-1800 CS*")-COUNTIF(J7:J60,"*0800-1800 PHNW*")</f>
        <v>6</v>
      </c>
      <c r="K63" s="565">
        <f>COUNTIF(K7:K60,"0800-*")+COUNTIF(K7:K60,"0730-*")</f>
        <v>3</v>
      </c>
      <c r="L63" s="577">
        <f>COUNTIF(L7:L60,"0800-*")+COUNTIF(L7:L60,"0730-*")</f>
        <v>4</v>
      </c>
      <c r="N63" s="106"/>
      <c r="O63" s="34"/>
      <c r="P63" s="34"/>
      <c r="Q63" s="34"/>
      <c r="R63" s="34"/>
      <c r="S63" s="34"/>
      <c r="T63" s="34"/>
      <c r="U63" s="34"/>
      <c r="W63" s="89"/>
    </row>
    <row r="64" spans="3:23" ht="14.1" customHeight="1" thickBot="1">
      <c r="C64" s="535"/>
      <c r="D64" s="411" t="s">
        <v>146</v>
      </c>
      <c r="E64" s="534"/>
      <c r="F64" s="575">
        <f>COUNTIF(F7:F61,"*0000*")</f>
        <v>4</v>
      </c>
      <c r="G64" s="565">
        <f>COUNTIF(G7:G61,"*0000*")</f>
        <v>4</v>
      </c>
      <c r="H64" s="565">
        <f>COUNTIF(H7:H61,"*0000*")</f>
        <v>5</v>
      </c>
      <c r="I64" s="565">
        <f>COUNTIF(I7:I61,"*0000*")</f>
        <v>5</v>
      </c>
      <c r="J64" s="565">
        <f>COUNTIF(J7:J61,"*0000*")</f>
        <v>4</v>
      </c>
      <c r="K64" s="565">
        <f>COUNTIF(K7:K61,"*0000*")</f>
        <v>4</v>
      </c>
      <c r="L64" s="577">
        <f>COUNTIF(L7:L61,"*0000*")</f>
        <v>4</v>
      </c>
      <c r="N64" s="106"/>
      <c r="O64" s="796" t="s">
        <v>388</v>
      </c>
      <c r="P64" s="797"/>
      <c r="Q64" s="797"/>
      <c r="R64" s="797"/>
      <c r="S64" s="797"/>
      <c r="T64" s="797"/>
      <c r="U64" s="798"/>
      <c r="W64" s="89"/>
    </row>
    <row r="65" spans="3:23" ht="14.1" customHeight="1">
      <c r="C65" s="407" t="s">
        <v>147</v>
      </c>
      <c r="D65" s="407" t="s">
        <v>147</v>
      </c>
      <c r="E65" s="534"/>
      <c r="F65" s="408"/>
      <c r="G65" s="409"/>
      <c r="H65" s="409"/>
      <c r="I65" s="409"/>
      <c r="J65" s="409"/>
      <c r="K65" s="409"/>
      <c r="L65" s="410"/>
      <c r="N65" s="104" t="s">
        <v>390</v>
      </c>
      <c r="O65" s="107" t="str">
        <f>INDEX($C7:$L188,MATCH("*N1*",F7:F191,0),1)</f>
        <v>AMY SR</v>
      </c>
      <c r="P65" s="108" t="str">
        <f>INDEX($C7:$L188,MATCH("*N1*",G7:G191,0),1)</f>
        <v>AMY SR</v>
      </c>
      <c r="Q65" s="108" t="str">
        <f>INDEX($C7:$L188,MATCH("*N1*",H7:H191,0),1)</f>
        <v>AMY SR</v>
      </c>
      <c r="R65" s="108" t="str">
        <f>INDEX($C7:$L188,MATCH("*N1*",I7:I191,0),1)</f>
        <v>MILES SR</v>
      </c>
      <c r="S65" s="108" t="str">
        <f>INDEX($C7:$L188,MATCH("*N1*",J7:J191,0),1)</f>
        <v>MILES SR</v>
      </c>
      <c r="T65" s="108" t="str">
        <f>INDEX($C7:$L188,MATCH("*N1*",K7:K191,0),1)</f>
        <v>MILES SR</v>
      </c>
      <c r="U65" s="109" t="str">
        <f>INDEX($C7:$L188,MATCH("*N1*",L7:L191,0),1)</f>
        <v>MILES SR</v>
      </c>
      <c r="W65" s="89" t="s">
        <v>389</v>
      </c>
    </row>
    <row r="66" spans="3:23" ht="14.1" customHeight="1">
      <c r="C66" s="411" t="s">
        <v>391</v>
      </c>
      <c r="D66" s="411" t="s">
        <v>148</v>
      </c>
      <c r="E66" s="536">
        <v>609268</v>
      </c>
      <c r="F66" s="575" t="s">
        <v>150</v>
      </c>
      <c r="G66" s="576"/>
      <c r="H66" s="565" t="s">
        <v>149</v>
      </c>
      <c r="I66" s="565"/>
      <c r="J66" s="565"/>
      <c r="K66" s="565" t="s">
        <v>150</v>
      </c>
      <c r="L66" s="577" t="s">
        <v>35</v>
      </c>
      <c r="N66" s="749" t="s">
        <v>392</v>
      </c>
      <c r="O66" s="746" t="str" cm="1">
        <f t="array" ref="O66">_xlfn.TEXTJOIN(CHAR(10),TRUE,IF(F7:F184="2300-0900",$C7:$C184,""),IF(F7:F184="2300-0830",$C7:$C184,""))</f>
        <v>CHRISTOPHER JR
RACHEL JR
BRIANNA HMO
MILOS HMO
MAREESHA HMO
WATHSALA HMO</v>
      </c>
      <c r="P66" s="748" t="str" cm="1">
        <f t="array" ref="P66">_xlfn.TEXTJOIN(CHAR(10),TRUE,IF(G7:G184="2300-0900",$C7:$C184,""),IF(G7:G184="2300-0830",$C7:$C184,""))</f>
        <v>CHRISTOPHER JR
JEROME JR
PIN HMO
Arooj INT</v>
      </c>
      <c r="Q66" s="748" t="str" cm="1">
        <f t="array" ref="Q66">_xlfn.TEXTJOIN(CHAR(10),TRUE,IF(H7:H184="2300-0900",$C7:$C184,""),IF(H7:H184="2300-0830",$C7:$C184,""))</f>
        <v>HANNAH IR
CHRISTOPHER JR
JEROME JR
BRIANNA HMO
ANKUSH HMO
Arooj INT</v>
      </c>
      <c r="R66" s="748" t="str" cm="1">
        <f t="array" ref="R66">_xlfn.TEXTJOIN(CHAR(10),TRUE,IF(I7:I184="2300-0900",$C7:$C184,""),IF(I7:I184="2300-0830",$C7:$C184,""))</f>
        <v>HANNAH IR
CHRISTOPHER JR
JEROME JR
AARON B. HMO
Arooj INT</v>
      </c>
      <c r="S66" s="748" t="str" cm="1">
        <f t="array" ref="S66">_xlfn.TEXTJOIN(CHAR(10),TRUE,IF(J7:J184="2300-0900",$C7:$C184,""),IF(J7:J184="2300-0830",$C7:$C184,""))</f>
        <v>CLARA JR
JEROME JR
HARRISON HMO
BRIER HMO</v>
      </c>
      <c r="T66" s="748" t="str" cm="1">
        <f t="array" ref="T66">_xlfn.TEXTJOIN(CHAR(10),TRUE,IF(K7:K184="2300-0900",$C7:$C184,""),IF(K7:K184="2300-0830",$C7:$C184,""))</f>
        <v>CLARA JR
MASON HMO
VISHNU HMO
ZOBIA HMO</v>
      </c>
      <c r="U66" s="767" t="str" cm="1">
        <f t="array" ref="U66">_xlfn.TEXTJOIN(CHAR(10),TRUE,IF(L7:L184="2300-0900",$C7:$C184,""),IF(L7:L184="2300-0830",$C7:$C184,""))</f>
        <v>CLARA JR
MASON HMO
HARRISON HMO
BRIER HMO</v>
      </c>
      <c r="V66" s="89"/>
      <c r="W66" s="106">
        <v>1</v>
      </c>
    </row>
    <row r="67" spans="3:23" ht="14.1" customHeight="1">
      <c r="C67" s="411" t="s">
        <v>393</v>
      </c>
      <c r="D67" s="411" t="s">
        <v>152</v>
      </c>
      <c r="E67" s="537">
        <v>517752</v>
      </c>
      <c r="F67" s="575"/>
      <c r="G67" s="565"/>
      <c r="H67" s="565" t="s">
        <v>153</v>
      </c>
      <c r="I67" s="565"/>
      <c r="J67" s="565"/>
      <c r="K67" s="565" t="s">
        <v>91</v>
      </c>
      <c r="L67" s="577"/>
      <c r="N67" s="749"/>
      <c r="O67" s="746"/>
      <c r="P67" s="748"/>
      <c r="Q67" s="748"/>
      <c r="R67" s="748"/>
      <c r="S67" s="748"/>
      <c r="T67" s="748"/>
      <c r="U67" s="767"/>
      <c r="W67" s="89">
        <v>9</v>
      </c>
    </row>
    <row r="68" spans="3:23" ht="14.1" customHeight="1">
      <c r="C68" s="411" t="s">
        <v>394</v>
      </c>
      <c r="D68" s="411" t="s">
        <v>154</v>
      </c>
      <c r="E68" s="537">
        <v>609129</v>
      </c>
      <c r="F68" s="589"/>
      <c r="G68" s="590"/>
      <c r="H68" s="578" t="s">
        <v>530</v>
      </c>
      <c r="I68" s="590"/>
      <c r="J68" s="590"/>
      <c r="K68" s="565"/>
      <c r="L68" s="577" t="s">
        <v>91</v>
      </c>
      <c r="N68" s="749"/>
      <c r="O68" s="746"/>
      <c r="P68" s="748"/>
      <c r="Q68" s="748"/>
      <c r="R68" s="748"/>
      <c r="S68" s="748"/>
      <c r="T68" s="748"/>
      <c r="U68" s="767"/>
      <c r="W68" s="89"/>
    </row>
    <row r="69" spans="3:23" ht="14.1" customHeight="1">
      <c r="C69" s="411" t="s">
        <v>395</v>
      </c>
      <c r="D69" s="538" t="s">
        <v>156</v>
      </c>
      <c r="E69" s="539">
        <v>636554</v>
      </c>
      <c r="F69" s="575"/>
      <c r="G69" s="565"/>
      <c r="H69" s="565" t="s">
        <v>149</v>
      </c>
      <c r="I69" s="565"/>
      <c r="J69" s="565"/>
      <c r="K69" s="565"/>
      <c r="L69" s="577"/>
      <c r="N69" s="749"/>
      <c r="O69" s="746"/>
      <c r="P69" s="748"/>
      <c r="Q69" s="748"/>
      <c r="R69" s="748"/>
      <c r="S69" s="748"/>
      <c r="T69" s="748"/>
      <c r="U69" s="767"/>
      <c r="W69" s="89"/>
    </row>
    <row r="70" spans="3:23" ht="14.1" customHeight="1" thickBot="1">
      <c r="C70" s="893"/>
      <c r="D70" s="49"/>
      <c r="E70" s="534"/>
      <c r="F70" s="575"/>
      <c r="G70" s="565"/>
      <c r="H70" s="565"/>
      <c r="I70" s="565"/>
      <c r="J70" s="565"/>
      <c r="K70" s="565"/>
      <c r="L70" s="577"/>
      <c r="N70" s="749"/>
      <c r="O70" s="746"/>
      <c r="P70" s="748"/>
      <c r="Q70" s="748"/>
      <c r="R70" s="748"/>
      <c r="S70" s="748"/>
      <c r="T70" s="748"/>
      <c r="U70" s="767"/>
      <c r="W70" s="89"/>
    </row>
    <row r="71" spans="3:23" ht="14.1" customHeight="1">
      <c r="C71" s="724" t="s">
        <v>157</v>
      </c>
      <c r="D71" s="540" t="s">
        <v>157</v>
      </c>
      <c r="E71" s="54"/>
      <c r="F71" s="413"/>
      <c r="G71" s="414"/>
      <c r="H71" s="414"/>
      <c r="I71" s="414"/>
      <c r="J71" s="414"/>
      <c r="K71" s="414"/>
      <c r="L71" s="415"/>
      <c r="N71" s="749"/>
      <c r="O71" s="746"/>
      <c r="P71" s="748"/>
      <c r="Q71" s="748"/>
      <c r="R71" s="748"/>
      <c r="S71" s="748"/>
      <c r="T71" s="748"/>
      <c r="U71" s="767"/>
      <c r="W71" s="89"/>
    </row>
    <row r="72" spans="3:23" ht="14.1" customHeight="1">
      <c r="C72" s="541" t="s">
        <v>396</v>
      </c>
      <c r="D72" s="182" t="s">
        <v>159</v>
      </c>
      <c r="E72" s="615">
        <v>628440</v>
      </c>
      <c r="F72" s="618" t="s">
        <v>149</v>
      </c>
      <c r="G72" s="616" t="s">
        <v>530</v>
      </c>
      <c r="H72" s="632" t="s">
        <v>504</v>
      </c>
      <c r="I72" s="632" t="s">
        <v>504</v>
      </c>
      <c r="J72" s="618"/>
      <c r="K72" s="618"/>
      <c r="L72" s="618"/>
      <c r="N72" s="749"/>
      <c r="O72" s="746"/>
      <c r="P72" s="748"/>
      <c r="Q72" s="748"/>
      <c r="R72" s="748"/>
      <c r="S72" s="748"/>
      <c r="T72" s="748"/>
      <c r="U72" s="767"/>
      <c r="W72" s="89"/>
    </row>
    <row r="73" spans="3:23" ht="14.1" customHeight="1">
      <c r="C73" s="541" t="s">
        <v>397</v>
      </c>
      <c r="D73" s="183" t="s">
        <v>164</v>
      </c>
      <c r="E73" s="615">
        <v>653976</v>
      </c>
      <c r="F73" s="618"/>
      <c r="G73" s="620"/>
      <c r="H73" s="620"/>
      <c r="I73" s="618" t="s">
        <v>161</v>
      </c>
      <c r="J73" s="618" t="s">
        <v>161</v>
      </c>
      <c r="K73" s="618" t="s">
        <v>161</v>
      </c>
      <c r="L73" s="618" t="s">
        <v>161</v>
      </c>
      <c r="N73" s="749"/>
      <c r="O73" s="746"/>
      <c r="P73" s="748"/>
      <c r="Q73" s="748"/>
      <c r="R73" s="748"/>
      <c r="S73" s="748"/>
      <c r="T73" s="748"/>
      <c r="U73" s="767"/>
      <c r="W73" s="89"/>
    </row>
    <row r="74" spans="3:23" ht="14.1" customHeight="1">
      <c r="C74" s="85" t="s">
        <v>398</v>
      </c>
      <c r="D74" s="184" t="s">
        <v>166</v>
      </c>
      <c r="E74" s="615">
        <v>654362</v>
      </c>
      <c r="F74" s="618" t="s">
        <v>149</v>
      </c>
      <c r="G74" s="618" t="s">
        <v>149</v>
      </c>
      <c r="H74" s="618"/>
      <c r="I74" s="618" t="s">
        <v>149</v>
      </c>
      <c r="J74" s="624" t="s">
        <v>162</v>
      </c>
      <c r="K74" s="620"/>
      <c r="L74" s="620"/>
      <c r="N74" s="749"/>
      <c r="O74" s="746"/>
      <c r="P74" s="748"/>
      <c r="Q74" s="748"/>
      <c r="R74" s="748"/>
      <c r="S74" s="748"/>
      <c r="T74" s="748"/>
      <c r="U74" s="767"/>
      <c r="W74" s="89"/>
    </row>
    <row r="75" spans="3:23" ht="14.1" customHeight="1">
      <c r="C75" s="69" t="s">
        <v>399</v>
      </c>
      <c r="D75" s="184" t="s">
        <v>168</v>
      </c>
      <c r="E75" s="615">
        <v>615829</v>
      </c>
      <c r="F75" s="620"/>
      <c r="G75" s="620"/>
      <c r="H75" s="622"/>
      <c r="I75" s="622"/>
      <c r="J75" s="626"/>
      <c r="K75" s="618" t="s">
        <v>150</v>
      </c>
      <c r="L75" s="618" t="s">
        <v>150</v>
      </c>
      <c r="N75" s="528" t="s">
        <v>368</v>
      </c>
      <c r="O75" s="523" t="e">
        <f>INDEX($C10:$L190,MATCH("*NHJ*",F10:F193,0),1)</f>
        <v>#N/A</v>
      </c>
      <c r="P75" s="500" t="str">
        <f>INDEX($C10:$L190,MATCH("*NHJ*",G10:G193,0),1)</f>
        <v>BRIANNA HMO</v>
      </c>
      <c r="Q75" s="500" t="str">
        <f>INDEX($C10:$L190,MATCH("*NHJ*",H10:H193,0),1)</f>
        <v>PIN HMO</v>
      </c>
      <c r="R75" s="500" t="str">
        <f>INDEX($C10:$L190,MATCH("*NHJ*",I10:I193,0),1)</f>
        <v>ANKUSH HMO</v>
      </c>
      <c r="S75" s="500" t="str">
        <f>INDEX($C10:$L190,MATCH("*NHJ*",J10:J193,0),1)</f>
        <v>VISHNU HMO</v>
      </c>
      <c r="T75" s="500" t="str">
        <f>INDEX($C10:$L190,MATCH("*NHJ*",K10:K193,0),1)</f>
        <v>BRIER HMO</v>
      </c>
      <c r="U75" s="501" t="str">
        <f>INDEX($C10:$L190,MATCH("*NHJ*",L10:L193,0),1)</f>
        <v>ZOBIA HMO</v>
      </c>
      <c r="W75" s="89"/>
    </row>
    <row r="76" spans="3:23" ht="14.1" customHeight="1">
      <c r="C76" s="541" t="s">
        <v>401</v>
      </c>
      <c r="D76" s="894" t="s">
        <v>170</v>
      </c>
      <c r="E76" s="615">
        <v>619567</v>
      </c>
      <c r="F76" s="618" t="s">
        <v>161</v>
      </c>
      <c r="G76" s="618" t="s">
        <v>161</v>
      </c>
      <c r="H76" s="618" t="s">
        <v>161</v>
      </c>
      <c r="I76" s="690"/>
      <c r="J76" s="690"/>
      <c r="K76" s="618" t="s">
        <v>37</v>
      </c>
      <c r="L76" s="618" t="s">
        <v>149</v>
      </c>
      <c r="N76" s="768" t="s">
        <v>325</v>
      </c>
      <c r="O76" s="787" t="str" cm="1">
        <f t="array" ref="O76">_xlfn.TEXTJOIN(CHAR(10),TRUE,_xlfn._xlws.FILTER($C7:$C184,RIGHT(F7:F184,LEN("nSSJ"))="nSSJ",""))</f>
        <v>CLARE IR
LISA HMO</v>
      </c>
      <c r="P76" s="750" t="str" cm="1">
        <f t="array" ref="P76">_xlfn.TEXTJOIN(CHAR(10),TRUE,_xlfn._xlws.FILTER($C7:$C184,RIGHT(G7:G184,LEN("nSSJ"))="nSSJ",""))</f>
        <v>CLARE IR
ANKUSH HMO</v>
      </c>
      <c r="Q76" s="750" t="str" cm="1">
        <f t="array" ref="Q76">_xlfn.TEXTJOIN(CHAR(10),TRUE,_xlfn._xlws.FILTER($C7:$C184,RIGHT(H7:H184,LEN("nSSJ"))="nSSJ",""))</f>
        <v>AARON B. HMO</v>
      </c>
      <c r="R76" s="750" t="str" cm="1">
        <f t="array" ref="R76">_xlfn.TEXTJOIN(CHAR(10),TRUE,_xlfn._xlws.FILTER($C7:$C184,RIGHT(I7:I184,LEN("nSSJ"))="nSSJ",""))</f>
        <v>BRIANNA HMO</v>
      </c>
      <c r="S76" s="750" t="str" cm="1">
        <f t="array" ref="S76">_xlfn.TEXTJOIN(CHAR(10),TRUE,_xlfn._xlws.FILTER($C7:$C184,RIGHT(J7:J184,LEN("nSSJ"))="nSSJ",""))</f>
        <v>JOSHUA IR</v>
      </c>
      <c r="T76" s="750" t="str" cm="1">
        <f t="array" ref="T76">_xlfn.TEXTJOIN(CHAR(10),TRUE,_xlfn._xlws.FILTER($C7:$C184,RIGHT(K7:K184,LEN("nSSJ"))="nSSJ",""))</f>
        <v>JOSHUA IR
HARRISON HMO</v>
      </c>
      <c r="U76" s="788" t="str" cm="1">
        <f t="array" ref="U76">_xlfn.TEXTJOIN(CHAR(10),TRUE,_xlfn._xlws.FILTER($C7:$C184,RIGHT(L7:L184,LEN("nSSJ"))="nSSJ",""))</f>
        <v>JOSHUA IR
VISHNU HMO</v>
      </c>
      <c r="V76" s="34" t="s">
        <v>400</v>
      </c>
      <c r="W76" s="89">
        <v>1</v>
      </c>
    </row>
    <row r="77" spans="3:23" ht="14.1" customHeight="1" thickBot="1">
      <c r="C77" s="543" t="s">
        <v>403</v>
      </c>
      <c r="D77" s="183" t="s">
        <v>171</v>
      </c>
      <c r="E77" s="615">
        <v>626157</v>
      </c>
      <c r="F77" s="691" t="s">
        <v>172</v>
      </c>
      <c r="G77" s="621"/>
      <c r="H77" s="632"/>
      <c r="I77" s="632"/>
      <c r="J77" s="621"/>
      <c r="K77" s="691"/>
      <c r="L77" s="621"/>
      <c r="N77" s="769"/>
      <c r="O77" s="851"/>
      <c r="P77" s="852"/>
      <c r="Q77" s="852"/>
      <c r="R77" s="852"/>
      <c r="S77" s="852"/>
      <c r="T77" s="852"/>
      <c r="U77" s="853"/>
      <c r="V77" s="34" t="s">
        <v>402</v>
      </c>
      <c r="W77" s="89">
        <v>2</v>
      </c>
    </row>
    <row r="78" spans="3:23" ht="14.1" customHeight="1" thickBot="1">
      <c r="C78" s="69" t="s">
        <v>405</v>
      </c>
      <c r="D78" s="185" t="s">
        <v>173</v>
      </c>
      <c r="E78" s="615">
        <v>645122</v>
      </c>
      <c r="F78" s="620"/>
      <c r="G78" s="618" t="s">
        <v>150</v>
      </c>
      <c r="H78" s="690"/>
      <c r="I78" s="626"/>
      <c r="J78" s="622"/>
      <c r="K78" s="622"/>
      <c r="L78" s="622"/>
      <c r="N78" s="854" t="s">
        <v>406</v>
      </c>
      <c r="O78" s="110" t="str">
        <f>INDEX($C7:$L188,MATCH("*PRC",F7:F191,0),1)</f>
        <v>TARA K. SMS</v>
      </c>
      <c r="P78" s="111" t="str">
        <f>INDEX($C7:$L188,MATCH("*PRC",G7:G191,0),1)</f>
        <v>BRAD SMS</v>
      </c>
      <c r="Q78" s="111" t="str">
        <f>INDEX($C7:$L188,MATCH("*PRC",H7:H191,0),1)</f>
        <v>STEVE T SMS</v>
      </c>
      <c r="R78" s="111" t="str">
        <f>INDEX($C7:$L188,MATCH("*PRC",I7:I191,0),1)</f>
        <v>SCOTT SMS</v>
      </c>
      <c r="S78" s="111" t="str">
        <f>INDEX($C7:$L188,MATCH("*PRC",J7:J191,0),1)</f>
        <v>CHAMARA SMS</v>
      </c>
      <c r="T78" s="111" t="str">
        <f>INDEX($C7:$L188,MATCH("*PRC",K7:K191,0),1)</f>
        <v>MICHAEL SMS</v>
      </c>
      <c r="U78" s="111" t="str">
        <f>INDEX($C7:$L188,MATCH("*PRC",L7:L191,0),1)</f>
        <v>TITUS CMO</v>
      </c>
      <c r="W78" s="89"/>
    </row>
    <row r="79" spans="3:23" ht="14.1" customHeight="1" thickBot="1">
      <c r="C79" s="543" t="s">
        <v>407</v>
      </c>
      <c r="D79" s="186" t="s">
        <v>174</v>
      </c>
      <c r="E79" s="615">
        <v>615820</v>
      </c>
      <c r="F79" s="669" t="s">
        <v>538</v>
      </c>
      <c r="G79" s="669"/>
      <c r="H79" s="623"/>
      <c r="I79" s="623"/>
      <c r="J79" s="623"/>
      <c r="K79" s="623"/>
      <c r="L79" s="623"/>
      <c r="N79" s="106"/>
      <c r="O79" s="89"/>
      <c r="T79" s="855" t="str">
        <f>INDEX($C7:$L189,MATCH("*PGC",K7:K192,0),1)</f>
        <v>PAIGE SMS</v>
      </c>
      <c r="U79" s="856" t="str">
        <f>INDEX($C8:$L189,MATCH("*PGC",L8:L192,0),1)</f>
        <v>TARA J. SMS</v>
      </c>
      <c r="W79" s="89"/>
    </row>
    <row r="80" spans="3:23" ht="14.1" customHeight="1">
      <c r="C80" s="541" t="s">
        <v>408</v>
      </c>
      <c r="D80" s="544" t="s">
        <v>175</v>
      </c>
      <c r="E80" s="615">
        <v>624174</v>
      </c>
      <c r="F80" s="618" t="s">
        <v>150</v>
      </c>
      <c r="G80" s="618" t="s">
        <v>150</v>
      </c>
      <c r="H80" s="626"/>
      <c r="I80" s="626"/>
      <c r="J80" s="622"/>
      <c r="K80" s="622"/>
      <c r="L80" s="622"/>
      <c r="O80" s="89"/>
    </row>
    <row r="81" spans="3:22" ht="14.1" customHeight="1">
      <c r="C81" s="543"/>
      <c r="D81" s="545"/>
      <c r="E81" s="625"/>
      <c r="F81" s="618"/>
      <c r="G81" s="618"/>
      <c r="H81" s="619"/>
      <c r="I81" s="619"/>
      <c r="J81" s="617"/>
      <c r="K81" s="617"/>
      <c r="L81" s="617"/>
      <c r="O81" s="89"/>
      <c r="V81" s="89"/>
    </row>
    <row r="82" spans="3:22" ht="14.1" customHeight="1">
      <c r="C82" s="728" t="s">
        <v>176</v>
      </c>
      <c r="D82" s="728" t="s">
        <v>176</v>
      </c>
      <c r="E82" s="198"/>
      <c r="F82" s="732"/>
      <c r="G82" s="732"/>
      <c r="H82" s="732"/>
      <c r="I82" s="732"/>
      <c r="J82" s="732"/>
      <c r="K82" s="732"/>
      <c r="L82" s="732"/>
      <c r="O82" s="89"/>
      <c r="V82" s="89"/>
    </row>
    <row r="83" spans="3:22" ht="14.1" customHeight="1">
      <c r="C83" s="411" t="s">
        <v>409</v>
      </c>
      <c r="D83" s="546" t="s">
        <v>177</v>
      </c>
      <c r="E83" s="615">
        <v>637990</v>
      </c>
      <c r="F83" s="618" t="s">
        <v>149</v>
      </c>
      <c r="G83" s="618"/>
      <c r="H83" s="565" t="s">
        <v>192</v>
      </c>
      <c r="I83" s="618" t="s">
        <v>192</v>
      </c>
      <c r="J83" s="618"/>
      <c r="K83" s="618"/>
      <c r="L83" s="618"/>
      <c r="O83" s="89"/>
      <c r="V83" s="89"/>
    </row>
    <row r="84" spans="3:22" ht="14.1" customHeight="1">
      <c r="C84" s="86" t="s">
        <v>410</v>
      </c>
      <c r="D84" s="184" t="s">
        <v>179</v>
      </c>
      <c r="E84" s="615">
        <v>652867</v>
      </c>
      <c r="F84" s="565"/>
      <c r="G84" s="568"/>
      <c r="H84" s="565"/>
      <c r="I84" s="565" t="s">
        <v>160</v>
      </c>
      <c r="J84" s="565" t="s">
        <v>178</v>
      </c>
      <c r="K84" s="565" t="s">
        <v>178</v>
      </c>
      <c r="L84" s="565" t="s">
        <v>178</v>
      </c>
      <c r="O84" s="89"/>
      <c r="V84" s="89"/>
    </row>
    <row r="85" spans="3:22" ht="14.1" customHeight="1">
      <c r="C85" s="543" t="s">
        <v>411</v>
      </c>
      <c r="D85" s="547" t="s">
        <v>180</v>
      </c>
      <c r="E85" s="615">
        <v>638831</v>
      </c>
      <c r="F85" s="565"/>
      <c r="G85" s="616" t="s">
        <v>342</v>
      </c>
      <c r="H85" s="616" t="s">
        <v>359</v>
      </c>
      <c r="I85" s="616" t="s">
        <v>359</v>
      </c>
      <c r="J85" s="616" t="s">
        <v>359</v>
      </c>
      <c r="K85" s="565"/>
      <c r="L85" s="565"/>
      <c r="O85" s="89"/>
      <c r="V85" s="89"/>
    </row>
    <row r="86" spans="3:22" ht="14.1" customHeight="1">
      <c r="C86" s="411" t="s">
        <v>412</v>
      </c>
      <c r="D86" s="548" t="s">
        <v>182</v>
      </c>
      <c r="E86" s="615">
        <v>631314</v>
      </c>
      <c r="F86" s="619"/>
      <c r="G86" s="619"/>
      <c r="H86" s="578" t="s">
        <v>519</v>
      </c>
      <c r="I86" s="578" t="s">
        <v>442</v>
      </c>
      <c r="J86" s="617"/>
      <c r="K86" s="617"/>
      <c r="L86" s="617"/>
      <c r="O86" s="89"/>
      <c r="V86" s="89"/>
    </row>
    <row r="87" spans="3:22" ht="14.1" customHeight="1">
      <c r="C87" s="69" t="s">
        <v>414</v>
      </c>
      <c r="D87" s="548" t="s">
        <v>185</v>
      </c>
      <c r="E87" s="615">
        <v>631732</v>
      </c>
      <c r="F87" s="619"/>
      <c r="G87" s="626"/>
      <c r="H87" s="618" t="s">
        <v>150</v>
      </c>
      <c r="I87" s="617"/>
      <c r="J87" s="617"/>
      <c r="K87" s="618"/>
      <c r="L87" s="618" t="s">
        <v>150</v>
      </c>
      <c r="O87" s="89"/>
      <c r="V87" s="89"/>
    </row>
    <row r="88" spans="3:22" ht="14.1" customHeight="1">
      <c r="C88" s="541" t="s">
        <v>415</v>
      </c>
      <c r="D88" s="549" t="s">
        <v>186</v>
      </c>
      <c r="E88" s="615">
        <v>634876</v>
      </c>
      <c r="F88" s="618" t="s">
        <v>178</v>
      </c>
      <c r="G88" s="618" t="s">
        <v>178</v>
      </c>
      <c r="H88" s="617"/>
      <c r="I88" s="622"/>
      <c r="J88" s="617"/>
      <c r="K88" s="618" t="s">
        <v>184</v>
      </c>
      <c r="L88" s="618"/>
      <c r="O88" s="89"/>
      <c r="V88" s="89"/>
    </row>
    <row r="89" spans="3:22" ht="14.1" customHeight="1">
      <c r="C89" s="541"/>
      <c r="D89" s="187"/>
      <c r="E89" s="199"/>
      <c r="F89" s="618"/>
      <c r="G89" s="618"/>
      <c r="H89" s="617"/>
      <c r="I89" s="617"/>
      <c r="J89" s="617"/>
      <c r="K89" s="618"/>
      <c r="L89" s="618"/>
      <c r="O89" s="89"/>
      <c r="V89" s="89"/>
    </row>
    <row r="90" spans="3:22" ht="14.1" customHeight="1">
      <c r="C90" s="4" t="s">
        <v>189</v>
      </c>
      <c r="D90" s="4" t="s">
        <v>189</v>
      </c>
      <c r="E90" s="199"/>
      <c r="F90" s="444"/>
      <c r="G90" s="444"/>
      <c r="H90" s="444"/>
      <c r="I90" s="444"/>
      <c r="J90" s="444"/>
      <c r="K90" s="444"/>
      <c r="L90" s="444"/>
      <c r="O90" s="89"/>
      <c r="V90" s="89"/>
    </row>
    <row r="91" spans="3:22" ht="14.1" customHeight="1">
      <c r="C91" s="69" t="s">
        <v>416</v>
      </c>
      <c r="D91" s="188" t="s">
        <v>527</v>
      </c>
      <c r="E91" s="615">
        <v>648620</v>
      </c>
      <c r="F91" s="630"/>
      <c r="G91" s="630"/>
      <c r="H91" s="618" t="s">
        <v>150</v>
      </c>
      <c r="I91" s="618" t="s">
        <v>150</v>
      </c>
      <c r="J91" s="616" t="s">
        <v>359</v>
      </c>
      <c r="K91" s="629"/>
      <c r="L91" s="629"/>
      <c r="O91" s="34"/>
      <c r="P91" s="34"/>
      <c r="Q91" s="34"/>
      <c r="R91" s="34"/>
      <c r="S91" s="34"/>
      <c r="T91" s="34"/>
      <c r="U91" s="34"/>
    </row>
    <row r="92" spans="3:22" ht="14.1" customHeight="1">
      <c r="C92" s="550" t="s">
        <v>417</v>
      </c>
      <c r="D92" s="189" t="s">
        <v>193</v>
      </c>
      <c r="E92" s="615">
        <v>652357</v>
      </c>
      <c r="F92" s="621" t="s">
        <v>31</v>
      </c>
      <c r="G92" s="621"/>
      <c r="H92" s="621"/>
      <c r="I92" s="621"/>
      <c r="J92" s="621"/>
      <c r="K92" s="621"/>
      <c r="L92" s="621"/>
      <c r="O92" s="34"/>
      <c r="P92" s="34"/>
      <c r="Q92" s="34"/>
      <c r="R92" s="34"/>
      <c r="S92" s="34"/>
      <c r="T92" s="34"/>
      <c r="U92" s="34"/>
    </row>
    <row r="93" spans="3:22" ht="14.1" customHeight="1">
      <c r="C93" s="69" t="s">
        <v>418</v>
      </c>
      <c r="D93" s="551" t="s">
        <v>196</v>
      </c>
      <c r="E93" s="631">
        <v>703714</v>
      </c>
      <c r="F93" s="618" t="s">
        <v>192</v>
      </c>
      <c r="G93" s="618" t="s">
        <v>192</v>
      </c>
      <c r="H93" s="618" t="s">
        <v>192</v>
      </c>
      <c r="I93" s="618" t="s">
        <v>192</v>
      </c>
      <c r="J93" s="618"/>
      <c r="K93" s="618"/>
      <c r="L93" s="618"/>
      <c r="O93" s="89"/>
    </row>
    <row r="94" spans="3:22" ht="14.1" customHeight="1">
      <c r="C94" s="87" t="s">
        <v>419</v>
      </c>
      <c r="D94" s="189" t="s">
        <v>198</v>
      </c>
      <c r="E94" s="615">
        <v>655089</v>
      </c>
      <c r="F94" s="618"/>
      <c r="G94" s="618"/>
      <c r="H94" s="624" t="s">
        <v>160</v>
      </c>
      <c r="I94" s="618" t="s">
        <v>191</v>
      </c>
      <c r="J94" s="618"/>
      <c r="K94" s="618" t="s">
        <v>149</v>
      </c>
      <c r="L94" s="618" t="s">
        <v>149</v>
      </c>
      <c r="O94" s="34"/>
      <c r="P94" s="34"/>
      <c r="Q94" s="34"/>
      <c r="R94" s="34"/>
      <c r="S94" s="34"/>
    </row>
    <row r="95" spans="3:22" ht="14.1" customHeight="1">
      <c r="C95" s="69" t="s">
        <v>420</v>
      </c>
      <c r="D95" s="190" t="s">
        <v>199</v>
      </c>
      <c r="E95" s="615">
        <v>649364</v>
      </c>
      <c r="F95" s="618"/>
      <c r="G95" s="616" t="s">
        <v>530</v>
      </c>
      <c r="H95" s="618"/>
      <c r="I95" s="618" t="s">
        <v>149</v>
      </c>
      <c r="J95" s="618" t="s">
        <v>149</v>
      </c>
      <c r="K95" s="618"/>
      <c r="L95" s="618" t="s">
        <v>149</v>
      </c>
      <c r="O95" s="89"/>
    </row>
    <row r="96" spans="3:22" ht="14.1" customHeight="1">
      <c r="C96" s="543" t="s">
        <v>421</v>
      </c>
      <c r="D96" s="191" t="s">
        <v>200</v>
      </c>
      <c r="E96" s="615">
        <v>700872</v>
      </c>
      <c r="F96" s="616" t="s">
        <v>539</v>
      </c>
      <c r="G96" s="616" t="s">
        <v>342</v>
      </c>
      <c r="H96" s="618"/>
      <c r="I96" s="617"/>
      <c r="J96" s="618"/>
      <c r="K96" s="618" t="s">
        <v>149</v>
      </c>
      <c r="L96" s="618" t="s">
        <v>149</v>
      </c>
      <c r="O96" s="89"/>
    </row>
    <row r="97" spans="3:15" ht="14.1" customHeight="1">
      <c r="C97" s="543" t="s">
        <v>422</v>
      </c>
      <c r="D97" s="552" t="s">
        <v>202</v>
      </c>
      <c r="E97" s="631">
        <v>703861</v>
      </c>
      <c r="F97" s="618" t="s">
        <v>150</v>
      </c>
      <c r="G97" s="618" t="s">
        <v>150</v>
      </c>
      <c r="H97" s="618"/>
      <c r="I97" s="618" t="s">
        <v>149</v>
      </c>
      <c r="J97" s="618" t="s">
        <v>150</v>
      </c>
      <c r="K97" s="645"/>
      <c r="L97" s="645"/>
      <c r="O97" s="89"/>
    </row>
    <row r="98" spans="3:15" ht="14.1" customHeight="1">
      <c r="C98" s="543" t="s">
        <v>423</v>
      </c>
      <c r="D98" s="192" t="s">
        <v>204</v>
      </c>
      <c r="E98" s="615">
        <v>652868</v>
      </c>
      <c r="F98" s="618"/>
      <c r="G98" s="618"/>
      <c r="H98" s="618"/>
      <c r="I98" s="618"/>
      <c r="J98" s="618"/>
      <c r="K98" s="618" t="s">
        <v>540</v>
      </c>
      <c r="L98" s="618" t="s">
        <v>191</v>
      </c>
      <c r="O98" s="89"/>
    </row>
    <row r="99" spans="3:15" ht="14.1" customHeight="1">
      <c r="C99" s="543" t="s">
        <v>424</v>
      </c>
      <c r="D99" s="189" t="s">
        <v>205</v>
      </c>
      <c r="E99" s="615">
        <v>652998</v>
      </c>
      <c r="F99" s="618" t="s">
        <v>191</v>
      </c>
      <c r="G99" s="618" t="s">
        <v>150</v>
      </c>
      <c r="H99" s="617"/>
      <c r="I99" s="616" t="s">
        <v>342</v>
      </c>
      <c r="J99" s="616" t="s">
        <v>359</v>
      </c>
      <c r="K99" s="619"/>
      <c r="L99" s="617"/>
      <c r="O99" s="89"/>
    </row>
    <row r="100" spans="3:15" ht="14.1" customHeight="1">
      <c r="C100" s="543" t="s">
        <v>425</v>
      </c>
      <c r="D100" s="193" t="s">
        <v>206</v>
      </c>
      <c r="E100" s="631">
        <v>654959</v>
      </c>
      <c r="F100" s="568" t="s">
        <v>149</v>
      </c>
      <c r="G100" s="618"/>
      <c r="H100" s="618"/>
      <c r="I100" s="618" t="s">
        <v>150</v>
      </c>
      <c r="J100" s="618" t="s">
        <v>150</v>
      </c>
      <c r="K100" s="618" t="s">
        <v>150</v>
      </c>
      <c r="L100" s="617"/>
      <c r="O100" s="89"/>
    </row>
    <row r="101" spans="3:15" ht="14.1" customHeight="1">
      <c r="C101" s="85" t="s">
        <v>426</v>
      </c>
      <c r="D101" s="551" t="s">
        <v>207</v>
      </c>
      <c r="E101" s="615">
        <v>654981</v>
      </c>
      <c r="F101" s="618" t="s">
        <v>150</v>
      </c>
      <c r="G101" s="617"/>
      <c r="H101" s="618" t="s">
        <v>191</v>
      </c>
      <c r="I101" s="620"/>
      <c r="J101" s="618" t="s">
        <v>149</v>
      </c>
      <c r="K101" s="617"/>
      <c r="L101" s="617"/>
      <c r="O101" s="89"/>
    </row>
    <row r="102" spans="3:15" ht="14.1" customHeight="1">
      <c r="C102" s="85" t="s">
        <v>427</v>
      </c>
      <c r="D102" s="553" t="s">
        <v>208</v>
      </c>
      <c r="E102" s="615">
        <v>703795</v>
      </c>
      <c r="F102" s="618" t="s">
        <v>192</v>
      </c>
      <c r="G102" s="617"/>
      <c r="H102" s="617"/>
      <c r="I102" s="617"/>
      <c r="J102" s="617"/>
      <c r="K102" s="617"/>
      <c r="L102" s="617"/>
      <c r="O102" s="89"/>
    </row>
    <row r="103" spans="3:15" ht="14.1" customHeight="1">
      <c r="C103" s="730" t="s">
        <v>428</v>
      </c>
      <c r="D103" s="551" t="s">
        <v>209</v>
      </c>
      <c r="E103" s="615">
        <v>652364</v>
      </c>
      <c r="F103" s="618" t="s">
        <v>150</v>
      </c>
      <c r="G103" s="618" t="s">
        <v>541</v>
      </c>
      <c r="H103" s="620"/>
      <c r="I103" s="618"/>
      <c r="J103" s="618" t="s">
        <v>150</v>
      </c>
      <c r="K103" s="617"/>
      <c r="L103" s="617"/>
      <c r="O103" s="89"/>
    </row>
    <row r="104" spans="3:15" ht="14.1" customHeight="1">
      <c r="C104" s="543" t="s">
        <v>429</v>
      </c>
      <c r="D104" s="551" t="s">
        <v>210</v>
      </c>
      <c r="E104" s="615">
        <v>644433</v>
      </c>
      <c r="F104" s="621" t="s">
        <v>31</v>
      </c>
      <c r="G104" s="621"/>
      <c r="H104" s="621"/>
      <c r="I104" s="621"/>
      <c r="J104" s="621"/>
      <c r="K104" s="621"/>
      <c r="L104" s="621"/>
      <c r="O104" s="89"/>
    </row>
    <row r="105" spans="3:15" ht="14.1" customHeight="1">
      <c r="C105" s="87" t="s">
        <v>430</v>
      </c>
      <c r="D105" s="551" t="s">
        <v>211</v>
      </c>
      <c r="E105" s="615">
        <v>650602</v>
      </c>
      <c r="F105" s="619"/>
      <c r="G105" s="617"/>
      <c r="H105" s="617"/>
      <c r="I105" s="624" t="s">
        <v>165</v>
      </c>
      <c r="J105" s="618" t="s">
        <v>192</v>
      </c>
      <c r="K105" s="618" t="s">
        <v>192</v>
      </c>
      <c r="L105" s="618" t="s">
        <v>192</v>
      </c>
      <c r="O105" s="89"/>
    </row>
    <row r="106" spans="3:15" ht="14.1" customHeight="1">
      <c r="C106" s="87" t="s">
        <v>431</v>
      </c>
      <c r="D106" s="552" t="s">
        <v>212</v>
      </c>
      <c r="E106" s="631">
        <v>704893</v>
      </c>
      <c r="F106" s="620"/>
      <c r="G106" s="618" t="s">
        <v>192</v>
      </c>
      <c r="H106" s="618" t="s">
        <v>192</v>
      </c>
      <c r="I106" s="618" t="s">
        <v>192</v>
      </c>
      <c r="J106" s="618" t="s">
        <v>192</v>
      </c>
      <c r="K106" s="617"/>
      <c r="L106" s="617"/>
      <c r="O106" s="89"/>
    </row>
    <row r="107" spans="3:15" ht="14.1" customHeight="1">
      <c r="C107" s="87" t="s">
        <v>432</v>
      </c>
      <c r="D107" s="194" t="s">
        <v>214</v>
      </c>
      <c r="E107" s="615">
        <v>636733</v>
      </c>
      <c r="F107" s="621" t="s">
        <v>31</v>
      </c>
      <c r="G107" s="621"/>
      <c r="H107" s="621"/>
      <c r="I107" s="621"/>
      <c r="J107" s="621"/>
      <c r="K107" s="621"/>
      <c r="L107" s="621"/>
      <c r="O107" s="89"/>
    </row>
    <row r="108" spans="3:15" ht="14.1" customHeight="1">
      <c r="C108" s="69" t="s">
        <v>433</v>
      </c>
      <c r="D108" s="195" t="s">
        <v>216</v>
      </c>
      <c r="E108" s="200">
        <v>637770</v>
      </c>
      <c r="F108" s="206" t="s">
        <v>150</v>
      </c>
      <c r="G108" s="206" t="s">
        <v>150</v>
      </c>
      <c r="H108" s="216"/>
      <c r="I108" s="206" t="s">
        <v>542</v>
      </c>
      <c r="J108" s="206" t="s">
        <v>149</v>
      </c>
      <c r="K108" s="207"/>
      <c r="L108" s="207"/>
      <c r="O108" s="89"/>
    </row>
    <row r="109" spans="3:15" ht="14.1" customHeight="1">
      <c r="C109" s="543"/>
      <c r="D109" s="554"/>
      <c r="E109" s="625"/>
      <c r="F109" s="618"/>
      <c r="G109" s="618"/>
      <c r="H109" s="617"/>
      <c r="I109" s="618"/>
      <c r="J109" s="618"/>
      <c r="K109" s="619"/>
      <c r="L109" s="619"/>
      <c r="O109" s="89"/>
    </row>
    <row r="110" spans="3:15" ht="14.1" customHeight="1" thickBot="1">
      <c r="C110" s="543"/>
      <c r="D110" s="554"/>
      <c r="E110" s="166"/>
      <c r="F110" s="760" t="s">
        <v>218</v>
      </c>
      <c r="G110" s="761"/>
      <c r="H110" s="761"/>
      <c r="I110" s="761"/>
      <c r="J110" s="761"/>
      <c r="K110" s="761"/>
      <c r="L110" s="762"/>
      <c r="O110" s="89"/>
    </row>
    <row r="111" spans="3:15" ht="14.1" customHeight="1">
      <c r="C111" s="555" t="s">
        <v>434</v>
      </c>
      <c r="D111" s="167" t="s">
        <v>219</v>
      </c>
      <c r="E111" s="114"/>
      <c r="F111" s="71">
        <f t="shared" ref="F111:L111" si="4">F4</f>
        <v>46097</v>
      </c>
      <c r="G111" s="71">
        <f t="shared" si="4"/>
        <v>46098</v>
      </c>
      <c r="H111" s="71">
        <f t="shared" si="4"/>
        <v>46099</v>
      </c>
      <c r="I111" s="71">
        <f t="shared" si="4"/>
        <v>46100</v>
      </c>
      <c r="J111" s="71">
        <f t="shared" si="4"/>
        <v>46101</v>
      </c>
      <c r="K111" s="71">
        <f t="shared" si="4"/>
        <v>46102</v>
      </c>
      <c r="L111" s="71">
        <f t="shared" si="4"/>
        <v>46103</v>
      </c>
      <c r="O111" s="89"/>
    </row>
    <row r="112" spans="3:15" ht="14.1" customHeight="1">
      <c r="C112" s="556" t="s">
        <v>435</v>
      </c>
      <c r="D112" s="557" t="s">
        <v>220</v>
      </c>
      <c r="E112" s="633">
        <v>654686</v>
      </c>
      <c r="F112" s="565" t="s">
        <v>222</v>
      </c>
      <c r="G112" s="565" t="s">
        <v>223</v>
      </c>
      <c r="H112" s="565" t="s">
        <v>222</v>
      </c>
      <c r="I112" s="565" t="s">
        <v>221</v>
      </c>
      <c r="J112" s="303" t="s">
        <v>115</v>
      </c>
      <c r="K112" s="303"/>
      <c r="L112" s="303"/>
      <c r="O112" s="89"/>
    </row>
    <row r="113" spans="3:15" ht="14.1" customHeight="1">
      <c r="C113" s="556" t="s">
        <v>436</v>
      </c>
      <c r="D113" s="557" t="s">
        <v>227</v>
      </c>
      <c r="E113" s="633">
        <v>700581</v>
      </c>
      <c r="F113" s="565" t="s">
        <v>149</v>
      </c>
      <c r="G113" s="565" t="s">
        <v>221</v>
      </c>
      <c r="H113" s="565" t="s">
        <v>222</v>
      </c>
      <c r="I113" s="565" t="s">
        <v>223</v>
      </c>
      <c r="J113" s="565"/>
      <c r="K113" s="565"/>
      <c r="L113" s="565"/>
      <c r="O113" s="89"/>
    </row>
    <row r="114" spans="3:15" ht="14.1" customHeight="1">
      <c r="C114" s="88" t="s">
        <v>437</v>
      </c>
      <c r="D114" s="557" t="s">
        <v>228</v>
      </c>
      <c r="E114" s="633">
        <v>700540</v>
      </c>
      <c r="F114" s="565" t="s">
        <v>150</v>
      </c>
      <c r="G114" s="565" t="s">
        <v>150</v>
      </c>
      <c r="H114" s="565"/>
      <c r="I114" s="565" t="s">
        <v>149</v>
      </c>
      <c r="J114" s="565" t="s">
        <v>150</v>
      </c>
      <c r="K114" s="565"/>
      <c r="L114" s="565"/>
      <c r="O114" s="89"/>
    </row>
    <row r="115" spans="3:15" ht="14.1" customHeight="1">
      <c r="C115" s="556" t="s">
        <v>438</v>
      </c>
      <c r="D115" s="557" t="s">
        <v>230</v>
      </c>
      <c r="E115" s="633">
        <v>646665</v>
      </c>
      <c r="F115" s="565"/>
      <c r="G115" s="565" t="s">
        <v>224</v>
      </c>
      <c r="H115" s="565" t="s">
        <v>149</v>
      </c>
      <c r="I115" s="565" t="s">
        <v>226</v>
      </c>
      <c r="J115" s="565" t="s">
        <v>150</v>
      </c>
      <c r="K115" s="565"/>
      <c r="L115" s="565"/>
      <c r="O115" s="89"/>
    </row>
    <row r="116" spans="3:15" ht="14.1" customHeight="1">
      <c r="C116" s="556" t="s">
        <v>439</v>
      </c>
      <c r="D116" s="557" t="s">
        <v>231</v>
      </c>
      <c r="E116" s="633">
        <v>654598</v>
      </c>
      <c r="F116" s="578" t="s">
        <v>442</v>
      </c>
      <c r="G116" s="578" t="s">
        <v>442</v>
      </c>
      <c r="H116" s="565" t="s">
        <v>221</v>
      </c>
      <c r="I116" s="565" t="s">
        <v>222</v>
      </c>
      <c r="J116" s="565"/>
      <c r="K116" s="565"/>
      <c r="L116" s="565"/>
      <c r="O116" s="89"/>
    </row>
    <row r="117" spans="3:15" ht="14.1" customHeight="1">
      <c r="C117" s="556" t="s">
        <v>440</v>
      </c>
      <c r="D117" s="557" t="s">
        <v>232</v>
      </c>
      <c r="E117" s="633">
        <v>700591</v>
      </c>
      <c r="F117" s="578" t="s">
        <v>531</v>
      </c>
      <c r="G117" s="578" t="s">
        <v>359</v>
      </c>
      <c r="H117" s="578" t="s">
        <v>359</v>
      </c>
      <c r="I117" s="565"/>
      <c r="J117" s="565"/>
      <c r="K117" s="565"/>
      <c r="L117" s="565" t="s">
        <v>224</v>
      </c>
      <c r="O117" s="89"/>
    </row>
    <row r="118" spans="3:15" ht="14.1" customHeight="1">
      <c r="C118" s="556" t="s">
        <v>441</v>
      </c>
      <c r="D118" s="557" t="s">
        <v>233</v>
      </c>
      <c r="E118" s="633">
        <v>700648</v>
      </c>
      <c r="F118" s="565"/>
      <c r="G118" s="578" t="s">
        <v>530</v>
      </c>
      <c r="H118" s="578" t="s">
        <v>530</v>
      </c>
      <c r="I118" s="565"/>
      <c r="J118" s="565"/>
      <c r="K118" s="565" t="s">
        <v>222</v>
      </c>
      <c r="L118" s="565" t="s">
        <v>222</v>
      </c>
      <c r="O118" s="89"/>
    </row>
    <row r="119" spans="3:15" ht="14.1" customHeight="1">
      <c r="C119" s="556" t="s">
        <v>443</v>
      </c>
      <c r="D119" s="557" t="s">
        <v>234</v>
      </c>
      <c r="E119" s="633">
        <v>700653</v>
      </c>
      <c r="F119" s="565" t="s">
        <v>222</v>
      </c>
      <c r="G119" s="565"/>
      <c r="H119" s="565"/>
      <c r="I119" s="565"/>
      <c r="J119" s="565"/>
      <c r="K119" s="565" t="s">
        <v>224</v>
      </c>
      <c r="L119" s="565" t="s">
        <v>225</v>
      </c>
      <c r="O119" s="89"/>
    </row>
    <row r="120" spans="3:15" ht="14.1" customHeight="1">
      <c r="C120" s="556" t="s">
        <v>444</v>
      </c>
      <c r="D120" s="557" t="s">
        <v>235</v>
      </c>
      <c r="E120" s="633">
        <v>700604</v>
      </c>
      <c r="F120" s="635"/>
      <c r="G120" s="635"/>
      <c r="H120" s="635"/>
      <c r="I120" s="635"/>
      <c r="J120" s="635"/>
      <c r="K120" s="635"/>
      <c r="L120" s="635"/>
      <c r="O120" s="89"/>
    </row>
    <row r="121" spans="3:15" ht="14.1" customHeight="1">
      <c r="C121" s="556" t="s">
        <v>445</v>
      </c>
      <c r="D121" s="557" t="s">
        <v>236</v>
      </c>
      <c r="E121" s="633">
        <v>655170</v>
      </c>
      <c r="F121" s="565"/>
      <c r="G121" s="565"/>
      <c r="H121" s="565" t="s">
        <v>226</v>
      </c>
      <c r="I121" s="565"/>
      <c r="J121" s="565" t="s">
        <v>223</v>
      </c>
      <c r="K121" s="565" t="s">
        <v>222</v>
      </c>
      <c r="L121" s="565" t="s">
        <v>221</v>
      </c>
      <c r="O121" s="89"/>
    </row>
    <row r="122" spans="3:15" ht="14.1" customHeight="1">
      <c r="C122" s="556" t="s">
        <v>446</v>
      </c>
      <c r="D122" s="557" t="s">
        <v>237</v>
      </c>
      <c r="E122" s="633">
        <v>703000</v>
      </c>
      <c r="F122" s="565" t="s">
        <v>221</v>
      </c>
      <c r="G122" s="565"/>
      <c r="H122" s="565"/>
      <c r="I122" s="565"/>
      <c r="J122" s="565" t="s">
        <v>226</v>
      </c>
      <c r="K122" s="565" t="s">
        <v>150</v>
      </c>
      <c r="L122" s="565" t="s">
        <v>150</v>
      </c>
      <c r="O122" s="89"/>
    </row>
    <row r="123" spans="3:15" ht="14.1" customHeight="1">
      <c r="C123" s="556" t="s">
        <v>447</v>
      </c>
      <c r="D123" s="557" t="s">
        <v>238</v>
      </c>
      <c r="E123" s="633">
        <v>702770</v>
      </c>
      <c r="F123" s="565"/>
      <c r="G123" s="565"/>
      <c r="H123" s="565" t="s">
        <v>225</v>
      </c>
      <c r="I123" s="565"/>
      <c r="J123" s="578" t="s">
        <v>442</v>
      </c>
      <c r="K123" s="565" t="s">
        <v>222</v>
      </c>
      <c r="L123" s="565" t="s">
        <v>223</v>
      </c>
      <c r="O123" s="89"/>
    </row>
    <row r="124" spans="3:15" ht="14.1" customHeight="1">
      <c r="C124" s="556" t="s">
        <v>448</v>
      </c>
      <c r="D124" s="557" t="s">
        <v>239</v>
      </c>
      <c r="E124" s="633">
        <v>704108</v>
      </c>
      <c r="F124" s="565" t="s">
        <v>224</v>
      </c>
      <c r="G124" s="565" t="s">
        <v>150</v>
      </c>
      <c r="H124" s="565"/>
      <c r="I124" s="565" t="s">
        <v>225</v>
      </c>
      <c r="J124" s="565" t="s">
        <v>150</v>
      </c>
      <c r="K124" s="565"/>
      <c r="L124" s="565"/>
      <c r="O124" s="89"/>
    </row>
    <row r="125" spans="3:15" ht="14.1" customHeight="1">
      <c r="C125" s="556" t="s">
        <v>449</v>
      </c>
      <c r="D125" s="557" t="s">
        <v>240</v>
      </c>
      <c r="E125" s="633">
        <v>700734</v>
      </c>
      <c r="F125" s="565"/>
      <c r="G125" s="565"/>
      <c r="H125" s="565"/>
      <c r="I125" s="565"/>
      <c r="J125" s="565" t="s">
        <v>225</v>
      </c>
      <c r="K125" s="565" t="s">
        <v>149</v>
      </c>
      <c r="L125" s="578" t="s">
        <v>342</v>
      </c>
      <c r="O125" s="89"/>
    </row>
    <row r="126" spans="3:15" ht="14.1" customHeight="1">
      <c r="C126" s="556" t="s">
        <v>450</v>
      </c>
      <c r="D126" s="557" t="s">
        <v>241</v>
      </c>
      <c r="E126" s="633">
        <v>702035</v>
      </c>
      <c r="F126" s="635"/>
      <c r="G126" s="635"/>
      <c r="H126" s="635"/>
      <c r="I126" s="635"/>
      <c r="J126" s="635"/>
      <c r="K126" s="635"/>
      <c r="L126" s="635"/>
      <c r="O126" s="89"/>
    </row>
    <row r="127" spans="3:15" ht="14.1" customHeight="1">
      <c r="C127" s="556" t="s">
        <v>451</v>
      </c>
      <c r="D127" s="557" t="s">
        <v>242</v>
      </c>
      <c r="E127" s="633">
        <v>702779</v>
      </c>
      <c r="F127" s="578" t="s">
        <v>442</v>
      </c>
      <c r="G127" s="565"/>
      <c r="H127" s="565"/>
      <c r="I127" s="565" t="s">
        <v>150</v>
      </c>
      <c r="J127" s="565"/>
      <c r="K127" s="565" t="s">
        <v>225</v>
      </c>
      <c r="L127" s="565" t="s">
        <v>150</v>
      </c>
      <c r="O127" s="89"/>
    </row>
    <row r="128" spans="3:15" ht="14.1" customHeight="1">
      <c r="C128" s="556" t="s">
        <v>452</v>
      </c>
      <c r="D128" s="557" t="s">
        <v>243</v>
      </c>
      <c r="E128" s="633">
        <v>641339</v>
      </c>
      <c r="F128" s="565" t="s">
        <v>150</v>
      </c>
      <c r="G128" s="565"/>
      <c r="H128" s="565"/>
      <c r="I128" s="565"/>
      <c r="J128" s="565" t="s">
        <v>222</v>
      </c>
      <c r="K128" s="565" t="s">
        <v>221</v>
      </c>
      <c r="L128" s="565" t="s">
        <v>222</v>
      </c>
      <c r="O128" s="89"/>
    </row>
    <row r="129" spans="3:15" ht="14.1" customHeight="1">
      <c r="C129" s="556" t="s">
        <v>453</v>
      </c>
      <c r="D129" s="557" t="s">
        <v>244</v>
      </c>
      <c r="E129" s="633">
        <v>703783</v>
      </c>
      <c r="F129" s="565" t="s">
        <v>150</v>
      </c>
      <c r="G129" s="565" t="s">
        <v>222</v>
      </c>
      <c r="H129" s="565" t="s">
        <v>223</v>
      </c>
      <c r="I129" s="578" t="s">
        <v>442</v>
      </c>
      <c r="J129" s="565"/>
      <c r="K129" s="565"/>
      <c r="L129" s="565"/>
      <c r="O129" s="89"/>
    </row>
    <row r="130" spans="3:15" ht="14.1" customHeight="1">
      <c r="C130" s="556" t="s">
        <v>454</v>
      </c>
      <c r="D130" s="557" t="s">
        <v>245</v>
      </c>
      <c r="E130" s="625">
        <v>702087</v>
      </c>
      <c r="F130" s="566"/>
      <c r="G130" s="566"/>
      <c r="H130" s="566" t="s">
        <v>150</v>
      </c>
      <c r="I130" s="566" t="s">
        <v>150</v>
      </c>
      <c r="J130" s="566"/>
      <c r="K130" s="566"/>
      <c r="L130" s="566"/>
      <c r="O130" s="89"/>
    </row>
    <row r="131" spans="3:15" ht="14.1" customHeight="1">
      <c r="C131" s="556" t="s">
        <v>455</v>
      </c>
      <c r="D131" s="558" t="s">
        <v>246</v>
      </c>
      <c r="E131" s="625">
        <v>705039</v>
      </c>
      <c r="F131" s="566" t="s">
        <v>149</v>
      </c>
      <c r="G131" s="566"/>
      <c r="H131" s="566"/>
      <c r="I131" s="566"/>
      <c r="J131" s="566" t="s">
        <v>149</v>
      </c>
      <c r="K131" s="566" t="s">
        <v>150</v>
      </c>
      <c r="L131" s="566" t="s">
        <v>150</v>
      </c>
      <c r="O131" s="89"/>
    </row>
    <row r="132" spans="3:15" ht="14.1" customHeight="1">
      <c r="C132" s="556" t="s">
        <v>456</v>
      </c>
      <c r="D132" s="557" t="s">
        <v>247</v>
      </c>
      <c r="E132" s="625">
        <v>703186</v>
      </c>
      <c r="F132" s="565"/>
      <c r="G132" s="565"/>
      <c r="H132" s="565"/>
      <c r="I132" s="565" t="s">
        <v>224</v>
      </c>
      <c r="J132" s="565" t="s">
        <v>222</v>
      </c>
      <c r="K132" s="565" t="s">
        <v>223</v>
      </c>
      <c r="L132" s="565" t="s">
        <v>222</v>
      </c>
      <c r="O132" s="89"/>
    </row>
    <row r="133" spans="3:15" ht="14.1" customHeight="1">
      <c r="C133" s="556" t="s">
        <v>458</v>
      </c>
      <c r="D133" s="557" t="s">
        <v>248</v>
      </c>
      <c r="E133" s="625">
        <v>703168</v>
      </c>
      <c r="F133" s="635"/>
      <c r="G133" s="635"/>
      <c r="H133" s="635"/>
      <c r="I133" s="635"/>
      <c r="J133" s="635"/>
      <c r="K133" s="635"/>
      <c r="L133" s="635"/>
      <c r="O133" s="89"/>
    </row>
    <row r="134" spans="3:15" ht="14.1" customHeight="1">
      <c r="C134" s="556" t="s">
        <v>459</v>
      </c>
      <c r="D134" s="557" t="s">
        <v>249</v>
      </c>
      <c r="E134" s="625">
        <v>703270</v>
      </c>
      <c r="F134" s="565"/>
      <c r="G134" s="565"/>
      <c r="H134" s="578" t="s">
        <v>530</v>
      </c>
      <c r="I134" s="565"/>
      <c r="J134" s="565" t="s">
        <v>149</v>
      </c>
      <c r="K134" s="565" t="s">
        <v>150</v>
      </c>
      <c r="L134" s="565" t="s">
        <v>226</v>
      </c>
      <c r="O134" s="89"/>
    </row>
    <row r="135" spans="3:15" ht="14.1" customHeight="1">
      <c r="C135" s="556" t="s">
        <v>460</v>
      </c>
      <c r="D135" s="558" t="s">
        <v>251</v>
      </c>
      <c r="E135" s="625">
        <v>702481</v>
      </c>
      <c r="F135" s="565" t="s">
        <v>149</v>
      </c>
      <c r="G135" s="578" t="s">
        <v>530</v>
      </c>
      <c r="H135" s="565" t="s">
        <v>150</v>
      </c>
      <c r="I135" s="565"/>
      <c r="J135" s="565" t="s">
        <v>224</v>
      </c>
      <c r="K135" s="565"/>
      <c r="L135" s="565"/>
      <c r="O135" s="89"/>
    </row>
    <row r="136" spans="3:15" ht="14.1" customHeight="1">
      <c r="C136" s="556" t="s">
        <v>461</v>
      </c>
      <c r="D136" s="558" t="s">
        <v>252</v>
      </c>
      <c r="E136" s="625">
        <v>700682</v>
      </c>
      <c r="F136" s="634"/>
      <c r="G136" s="634"/>
      <c r="H136" s="634"/>
      <c r="I136" s="634"/>
      <c r="J136" s="634"/>
      <c r="K136" s="634"/>
      <c r="L136" s="634"/>
      <c r="O136" s="89"/>
    </row>
    <row r="137" spans="3:15" ht="14.1" customHeight="1">
      <c r="C137" s="556" t="s">
        <v>462</v>
      </c>
      <c r="D137" s="558" t="s">
        <v>253</v>
      </c>
      <c r="E137" s="625">
        <v>700721</v>
      </c>
      <c r="F137" s="634"/>
      <c r="G137" s="634"/>
      <c r="H137" s="634"/>
      <c r="I137" s="634" t="s">
        <v>543</v>
      </c>
      <c r="J137" s="634"/>
      <c r="K137" s="634"/>
      <c r="L137" s="634"/>
      <c r="O137" s="89"/>
    </row>
    <row r="138" spans="3:15" ht="14.1" customHeight="1">
      <c r="C138" s="556" t="s">
        <v>463</v>
      </c>
      <c r="D138" s="558" t="s">
        <v>254</v>
      </c>
      <c r="E138" s="625">
        <v>703820</v>
      </c>
      <c r="F138" s="634"/>
      <c r="G138" s="634"/>
      <c r="H138" s="634"/>
      <c r="I138" s="634"/>
      <c r="J138" s="634"/>
      <c r="K138" s="634"/>
      <c r="L138" s="634"/>
      <c r="O138" s="89"/>
    </row>
    <row r="139" spans="3:15" ht="14.1" customHeight="1">
      <c r="C139" s="556" t="s">
        <v>464</v>
      </c>
      <c r="D139" s="558" t="s">
        <v>255</v>
      </c>
      <c r="E139" s="625">
        <v>703788</v>
      </c>
      <c r="F139" s="634"/>
      <c r="G139" s="634"/>
      <c r="H139" s="634"/>
      <c r="I139" s="634"/>
      <c r="J139" s="634"/>
      <c r="K139" s="634"/>
      <c r="L139" s="634"/>
      <c r="O139" s="89"/>
    </row>
    <row r="140" spans="3:15" ht="14.1" customHeight="1">
      <c r="C140" s="556" t="s">
        <v>465</v>
      </c>
      <c r="D140" s="558" t="s">
        <v>256</v>
      </c>
      <c r="E140" s="625">
        <v>700646</v>
      </c>
      <c r="F140" s="565" t="s">
        <v>222</v>
      </c>
      <c r="G140" s="565"/>
      <c r="H140" s="565"/>
      <c r="I140" s="578" t="s">
        <v>359</v>
      </c>
      <c r="J140" s="565"/>
      <c r="K140" s="565" t="s">
        <v>149</v>
      </c>
      <c r="L140" s="565" t="s">
        <v>149</v>
      </c>
      <c r="O140" s="89"/>
    </row>
    <row r="141" spans="3:15" ht="14.1" customHeight="1">
      <c r="C141" s="556" t="s">
        <v>466</v>
      </c>
      <c r="D141" s="558" t="s">
        <v>257</v>
      </c>
      <c r="E141" s="633">
        <v>655539</v>
      </c>
      <c r="F141" s="634"/>
      <c r="G141" s="634"/>
      <c r="H141" s="634" t="s">
        <v>115</v>
      </c>
      <c r="I141" s="634"/>
      <c r="J141" s="634"/>
      <c r="K141" s="634"/>
      <c r="L141" s="634"/>
      <c r="O141" s="89"/>
    </row>
    <row r="142" spans="3:15" ht="14.1" customHeight="1">
      <c r="C142" s="556" t="s">
        <v>467</v>
      </c>
      <c r="D142" s="559" t="s">
        <v>258</v>
      </c>
      <c r="E142" s="633">
        <v>653933</v>
      </c>
      <c r="F142" s="565" t="s">
        <v>222</v>
      </c>
      <c r="G142" s="565"/>
      <c r="H142" s="565"/>
      <c r="I142" s="565"/>
      <c r="J142" s="565"/>
      <c r="K142" s="565" t="s">
        <v>150</v>
      </c>
      <c r="L142" s="565" t="s">
        <v>150</v>
      </c>
      <c r="O142" s="89"/>
    </row>
    <row r="143" spans="3:15" ht="14.1" customHeight="1">
      <c r="C143" s="556" t="s">
        <v>468</v>
      </c>
      <c r="D143" s="558" t="s">
        <v>259</v>
      </c>
      <c r="E143" s="636"/>
      <c r="F143" s="634"/>
      <c r="G143" s="634"/>
      <c r="H143" s="634"/>
      <c r="I143" s="634"/>
      <c r="J143" s="634"/>
      <c r="K143" s="634"/>
      <c r="L143" s="634"/>
      <c r="O143" s="89"/>
    </row>
    <row r="144" spans="3:15" ht="14.1" customHeight="1">
      <c r="C144" s="556"/>
      <c r="D144" s="286"/>
      <c r="E144" s="304"/>
      <c r="G144" s="566"/>
      <c r="H144" s="566"/>
      <c r="I144" s="566"/>
      <c r="J144" s="566"/>
      <c r="K144" s="566"/>
      <c r="L144" s="566"/>
      <c r="O144" s="89"/>
    </row>
    <row r="145" spans="3:15" ht="14.1" customHeight="1" thickBot="1">
      <c r="C145" s="560" t="s">
        <v>472</v>
      </c>
      <c r="D145" s="462" t="s">
        <v>260</v>
      </c>
      <c r="E145" s="463"/>
      <c r="F145" s="210"/>
      <c r="G145" s="578"/>
      <c r="H145" s="578"/>
      <c r="I145" s="578"/>
      <c r="J145" s="578"/>
      <c r="K145" s="578"/>
      <c r="L145" s="578"/>
      <c r="O145" s="89"/>
    </row>
    <row r="146" spans="3:15" ht="14.1" customHeight="1">
      <c r="C146" s="561" t="s">
        <v>473</v>
      </c>
      <c r="D146" s="196" t="s">
        <v>261</v>
      </c>
      <c r="E146" s="466">
        <v>703293</v>
      </c>
      <c r="F146" s="639" t="s">
        <v>149</v>
      </c>
      <c r="G146" s="578" t="s">
        <v>342</v>
      </c>
      <c r="H146" s="639"/>
      <c r="I146" s="639"/>
      <c r="J146" s="639"/>
      <c r="K146" s="639" t="s">
        <v>265</v>
      </c>
      <c r="L146" s="639" t="s">
        <v>265</v>
      </c>
      <c r="O146" s="89"/>
    </row>
    <row r="147" spans="3:15" ht="14.1" customHeight="1">
      <c r="C147" s="561" t="s">
        <v>474</v>
      </c>
      <c r="D147" s="562" t="s">
        <v>266</v>
      </c>
      <c r="E147" s="466">
        <v>703544</v>
      </c>
      <c r="F147" s="578" t="s">
        <v>442</v>
      </c>
      <c r="G147" s="639"/>
      <c r="H147" s="639"/>
      <c r="I147" s="639"/>
      <c r="J147" s="578" t="s">
        <v>342</v>
      </c>
      <c r="K147" s="578" t="s">
        <v>342</v>
      </c>
      <c r="L147" s="578" t="s">
        <v>342</v>
      </c>
      <c r="O147" s="89"/>
    </row>
    <row r="148" spans="3:15" ht="14.1" customHeight="1">
      <c r="C148" s="561" t="s">
        <v>475</v>
      </c>
      <c r="D148" s="562" t="s">
        <v>267</v>
      </c>
      <c r="E148" s="466">
        <v>703651</v>
      </c>
      <c r="F148" s="639" t="s">
        <v>150</v>
      </c>
      <c r="G148" s="639" t="s">
        <v>222</v>
      </c>
      <c r="H148" s="639" t="s">
        <v>222</v>
      </c>
      <c r="I148" s="639" t="s">
        <v>222</v>
      </c>
      <c r="J148" s="639"/>
      <c r="K148" s="639"/>
      <c r="L148" s="639"/>
      <c r="O148" s="89"/>
    </row>
    <row r="149" spans="3:15" ht="14.1" customHeight="1">
      <c r="C149" s="561" t="s">
        <v>477</v>
      </c>
      <c r="D149" s="562" t="s">
        <v>268</v>
      </c>
      <c r="E149" s="466">
        <v>703298</v>
      </c>
      <c r="F149" s="639"/>
      <c r="G149" s="639" t="s">
        <v>150</v>
      </c>
      <c r="H149" s="639" t="s">
        <v>150</v>
      </c>
      <c r="I149" s="639"/>
      <c r="J149" s="639" t="s">
        <v>149</v>
      </c>
      <c r="K149" s="578" t="s">
        <v>342</v>
      </c>
      <c r="L149" s="639"/>
      <c r="O149" s="89"/>
    </row>
    <row r="150" spans="3:15" ht="14.1" customHeight="1">
      <c r="C150" s="561" t="s">
        <v>478</v>
      </c>
      <c r="D150" s="562" t="s">
        <v>269</v>
      </c>
      <c r="E150" s="466">
        <v>703345</v>
      </c>
      <c r="F150" s="639"/>
      <c r="G150" s="639" t="s">
        <v>150</v>
      </c>
      <c r="H150" s="639" t="s">
        <v>150</v>
      </c>
      <c r="I150" s="639" t="s">
        <v>150</v>
      </c>
      <c r="J150" s="639" t="s">
        <v>150</v>
      </c>
      <c r="K150" s="639"/>
      <c r="L150" s="639"/>
      <c r="O150" s="89"/>
    </row>
    <row r="151" spans="3:15" ht="14.1" customHeight="1">
      <c r="C151" s="561" t="s">
        <v>479</v>
      </c>
      <c r="D151" s="562" t="s">
        <v>270</v>
      </c>
      <c r="E151" s="466">
        <v>703324</v>
      </c>
      <c r="F151" s="639"/>
      <c r="G151" s="639"/>
      <c r="H151" s="639" t="s">
        <v>149</v>
      </c>
      <c r="I151" s="639" t="s">
        <v>149</v>
      </c>
      <c r="J151" s="639"/>
      <c r="K151" s="639" t="s">
        <v>265</v>
      </c>
      <c r="L151" s="639" t="s">
        <v>265</v>
      </c>
      <c r="O151" s="89"/>
    </row>
    <row r="152" spans="3:15" ht="14.1" customHeight="1">
      <c r="C152" s="561" t="s">
        <v>480</v>
      </c>
      <c r="D152" s="562" t="s">
        <v>271</v>
      </c>
      <c r="E152" s="466">
        <v>703527</v>
      </c>
      <c r="F152" s="639" t="s">
        <v>149</v>
      </c>
      <c r="G152" s="639" t="s">
        <v>150</v>
      </c>
      <c r="H152" s="639" t="s">
        <v>150</v>
      </c>
      <c r="I152" s="639"/>
      <c r="J152" s="639" t="s">
        <v>150</v>
      </c>
      <c r="K152" s="639"/>
      <c r="L152" s="639"/>
      <c r="O152" s="89"/>
    </row>
    <row r="153" spans="3:15" ht="14.1" customHeight="1">
      <c r="C153" s="561" t="s">
        <v>481</v>
      </c>
      <c r="D153" s="562" t="s">
        <v>272</v>
      </c>
      <c r="E153" s="466">
        <v>703319</v>
      </c>
      <c r="F153" s="637" t="s">
        <v>263</v>
      </c>
      <c r="G153" s="637" t="s">
        <v>263</v>
      </c>
      <c r="H153" s="637" t="s">
        <v>263</v>
      </c>
      <c r="I153" s="637" t="s">
        <v>263</v>
      </c>
      <c r="J153" s="637" t="s">
        <v>263</v>
      </c>
      <c r="K153" s="637" t="s">
        <v>263</v>
      </c>
      <c r="L153" s="637" t="s">
        <v>263</v>
      </c>
      <c r="O153" s="89"/>
    </row>
    <row r="154" spans="3:15" ht="14.1" customHeight="1">
      <c r="C154" s="561" t="s">
        <v>482</v>
      </c>
      <c r="D154" s="562" t="s">
        <v>273</v>
      </c>
      <c r="E154" s="466">
        <v>703543</v>
      </c>
      <c r="F154" s="637" t="s">
        <v>263</v>
      </c>
      <c r="G154" s="637" t="s">
        <v>263</v>
      </c>
      <c r="H154" s="637" t="s">
        <v>263</v>
      </c>
      <c r="I154" s="637" t="s">
        <v>263</v>
      </c>
      <c r="J154" s="637" t="s">
        <v>263</v>
      </c>
      <c r="K154" s="637" t="s">
        <v>263</v>
      </c>
      <c r="L154" s="637" t="s">
        <v>263</v>
      </c>
      <c r="O154" s="89"/>
    </row>
    <row r="155" spans="3:15" ht="14.1" customHeight="1" thickBot="1">
      <c r="C155" s="561" t="s">
        <v>497</v>
      </c>
      <c r="D155" s="562" t="s">
        <v>274</v>
      </c>
      <c r="E155" s="466">
        <v>703530</v>
      </c>
      <c r="F155" s="639" t="s">
        <v>150</v>
      </c>
      <c r="G155" s="639"/>
      <c r="H155" s="639" t="s">
        <v>149</v>
      </c>
      <c r="I155" s="639" t="s">
        <v>149</v>
      </c>
      <c r="J155" s="639" t="s">
        <v>149</v>
      </c>
      <c r="K155" s="639"/>
      <c r="L155" s="639"/>
      <c r="O155" s="89"/>
    </row>
    <row r="156" spans="3:15" ht="14.1" customHeight="1">
      <c r="C156" s="561" t="s">
        <v>544</v>
      </c>
      <c r="D156" s="231" t="s">
        <v>545</v>
      </c>
      <c r="E156" s="288">
        <v>700626</v>
      </c>
      <c r="F156" s="237"/>
      <c r="G156" s="235" t="s">
        <v>149</v>
      </c>
      <c r="H156" s="289"/>
      <c r="I156" s="289"/>
      <c r="J156" s="289"/>
      <c r="K156" s="235"/>
      <c r="L156" s="236"/>
      <c r="O156" s="89"/>
    </row>
    <row r="157" spans="3:15" ht="14.1" customHeight="1">
      <c r="C157" s="561"/>
      <c r="D157" s="175"/>
      <c r="E157" s="114"/>
      <c r="F157" s="813" t="s">
        <v>275</v>
      </c>
      <c r="G157" s="814"/>
      <c r="H157" s="814"/>
      <c r="I157" s="814"/>
      <c r="J157" s="814"/>
      <c r="K157" s="814"/>
      <c r="L157" s="815"/>
      <c r="O157" s="89"/>
    </row>
    <row r="158" spans="3:15" ht="14.1" customHeight="1">
      <c r="C158" s="290"/>
      <c r="D158" s="175"/>
      <c r="E158" s="114"/>
      <c r="F158" s="291"/>
      <c r="G158" s="292"/>
      <c r="H158" s="292"/>
      <c r="I158" s="292"/>
      <c r="J158" s="292"/>
      <c r="K158" s="292"/>
      <c r="L158" s="293"/>
      <c r="O158" s="89"/>
    </row>
    <row r="159" spans="3:15" ht="14.1" customHeight="1">
      <c r="D159" s="476"/>
      <c r="E159" s="477"/>
      <c r="F159" s="641"/>
      <c r="G159" s="641"/>
      <c r="H159" s="641"/>
      <c r="I159" s="641"/>
      <c r="J159" s="641"/>
      <c r="K159" s="641"/>
      <c r="L159" s="641"/>
      <c r="O159" s="89"/>
    </row>
    <row r="160" spans="3:15" ht="14.1" customHeight="1">
      <c r="D160" s="479"/>
      <c r="E160" s="477"/>
      <c r="F160" s="641"/>
      <c r="G160" s="641"/>
      <c r="H160" s="641"/>
      <c r="I160" s="641"/>
      <c r="J160" s="641"/>
      <c r="K160" s="641"/>
      <c r="L160" s="641"/>
      <c r="O160" s="89"/>
    </row>
    <row r="161" spans="3:15" ht="14.1" customHeight="1">
      <c r="C161" s="563" t="s">
        <v>488</v>
      </c>
      <c r="D161" s="479" t="s">
        <v>488</v>
      </c>
      <c r="E161" s="477"/>
      <c r="F161" s="641"/>
      <c r="G161" s="641"/>
      <c r="H161" s="641"/>
      <c r="I161" s="641"/>
      <c r="J161" s="641"/>
      <c r="K161" s="641"/>
      <c r="L161" s="641"/>
      <c r="O161" s="89"/>
    </row>
    <row r="162" spans="3:15" ht="14.1" customHeight="1">
      <c r="C162" s="563"/>
      <c r="D162" s="563"/>
      <c r="E162" s="477"/>
      <c r="F162" s="641"/>
      <c r="G162" s="641"/>
      <c r="H162" s="641"/>
      <c r="I162" s="641"/>
      <c r="J162" s="641"/>
      <c r="K162" s="641"/>
      <c r="L162" s="641"/>
      <c r="O162" s="89"/>
    </row>
    <row r="163" spans="3:15" ht="14.1" customHeight="1">
      <c r="C163" s="563"/>
      <c r="D163" s="563"/>
      <c r="E163" s="477"/>
      <c r="F163" s="641"/>
      <c r="G163" s="641"/>
      <c r="H163" s="641"/>
      <c r="I163" s="641"/>
      <c r="J163" s="641"/>
      <c r="K163" s="641"/>
      <c r="L163" s="641"/>
      <c r="O163" s="89"/>
    </row>
    <row r="164" spans="3:15" ht="14.1" customHeight="1">
      <c r="C164" s="563"/>
      <c r="D164" s="563"/>
      <c r="E164" s="477"/>
      <c r="F164" s="641"/>
      <c r="G164" s="641"/>
      <c r="H164" s="641"/>
      <c r="I164" s="641"/>
      <c r="J164" s="641"/>
      <c r="K164" s="641"/>
      <c r="L164" s="641"/>
      <c r="O164" s="89"/>
    </row>
    <row r="165" spans="3:15" ht="14.1" customHeight="1">
      <c r="C165" s="563"/>
      <c r="D165" s="563"/>
      <c r="E165" s="477"/>
      <c r="G165" s="566"/>
      <c r="H165" s="566"/>
      <c r="I165" s="566"/>
      <c r="J165" s="566"/>
      <c r="K165" s="566"/>
      <c r="L165" s="566"/>
      <c r="O165" s="89"/>
    </row>
    <row r="166" spans="3:15" ht="14.1" customHeight="1">
      <c r="C166" s="563"/>
      <c r="D166" s="563"/>
      <c r="E166" s="477"/>
      <c r="G166" s="566"/>
      <c r="H166" s="566"/>
      <c r="I166" s="566"/>
      <c r="J166" s="566"/>
      <c r="K166" s="566"/>
      <c r="L166" s="566"/>
      <c r="O166" s="89"/>
    </row>
    <row r="167" spans="3:15" ht="14.1" customHeight="1">
      <c r="C167" s="563"/>
      <c r="D167" s="563"/>
      <c r="E167" s="477"/>
      <c r="G167" s="566"/>
      <c r="H167" s="566"/>
      <c r="I167" s="566"/>
      <c r="J167" s="566"/>
      <c r="K167" s="566"/>
      <c r="L167" s="566"/>
      <c r="O167" s="89"/>
    </row>
    <row r="168" spans="3:15" ht="14.1" customHeight="1">
      <c r="C168" s="563"/>
      <c r="D168" s="563"/>
      <c r="E168" s="477"/>
      <c r="F168" s="210"/>
      <c r="G168" s="578"/>
      <c r="H168" s="578"/>
      <c r="I168" s="578"/>
      <c r="J168" s="578"/>
      <c r="K168" s="578"/>
      <c r="L168" s="578"/>
      <c r="O168" s="89"/>
    </row>
    <row r="169" spans="3:15" ht="14.1" customHeight="1">
      <c r="C169" s="538" t="s">
        <v>1</v>
      </c>
      <c r="D169" s="538" t="s">
        <v>1</v>
      </c>
      <c r="E169" s="615"/>
      <c r="F169" s="565">
        <f>COUNTIF(F6:F167,"0800-1730*")+COUNTIF(F6:F167,"0800-1800*")+COUNTIF(F6:F167,"0730-*")-COUNTIF(F6:F167,"*0800-1730 CS*")-COUNTIF(F6:F167,"*0800-1800 CS*")-COUNTIF(F6:F167,"*0800-1730 PHNW*")-COUNTIF(F6:F167,"*0800-1730 DEMT*")-COUNTIF(F6:F167,"*0800-1730 DD*")</f>
        <v>15</v>
      </c>
      <c r="G169" s="565">
        <f>COUNTIF(G6:G167,"0800-1730*")+COUNTIF(G6:G167,"0800-1800*")+COUNTIF(G6:G167,"0730-*")-COUNTIF(G6:G167,"*0800-1730 CS*")-COUNTIF(G6:G167,"*0800-1800 CS*")-COUNTIF(G6:G167,"*0800-1730 PHNW*")-COUNTIF(G6:G167,"*0800-1730 DEMT*")-COUNTIF(G6:G167,"*0800-1730 DD*")</f>
        <v>10</v>
      </c>
      <c r="H169" s="565">
        <f>COUNTIF(H6:H167,"0800-1730*")+COUNTIF(H6:H167,"0800-1800*")+COUNTIF(H6:H167,"0730-*")-COUNTIF(H6:H167,"*0800-1730 CS*")-COUNTIF(H6:H167,"*0800-1800 CS*")-COUNTIF(H6:H167,"*0800-1730 PHNW*")-COUNTIF(H6:H167,"*0800-1730 DEMT*")-COUNTIF(H6:H167,"*0800-1730 DD*")</f>
        <v>12</v>
      </c>
      <c r="I169" s="565">
        <f>COUNTIF(I6:I167,"0800-1730*")+COUNTIF(I6:I167,"0800-1800*")+COUNTIF(I6:I167,"0730-*")-COUNTIF(I6:I167,"*0800-1730 CS*")-COUNTIF(I6:I167,"*0800-1800 CS*")-COUNTIF(I6:I167,"*0800-1730 PHNW*")-COUNTIF(I6:I167,"*0800-1730 DEMT*")-COUNTIF(I6:I167,"*0800-1730 DD*")</f>
        <v>13</v>
      </c>
      <c r="J169" s="565">
        <f>COUNTIF(J6:J167,"0800-1730*")+COUNTIF(J6:J167,"0800-1800*")+COUNTIF(J6:J167,"0730-*")-COUNTIF(J6:J167,"*0800-1730 CS*")-COUNTIF(J6:J167,"*0800-1800 CS*")-COUNTIF(J6:J167,"*0800-1730 PHNW*")-COUNTIF(J6:J167,"*0800-1730 DEMT*")-COUNTIF(J6:J167,"*0800-1730 DD*")</f>
        <v>15</v>
      </c>
      <c r="K169" s="565">
        <f>COUNTIF(K6:K167,"0800-1730*")+COUNTIF(K6:K167,"0800-1800*")+COUNTIF(K6:K167,"0730-*")-COUNTIF(K6:K167,"*0800-1730 CS*")-COUNTIF(K6:K167,"*0800-1800 CS*")-COUNTIF(K6:K167,"*0800-1730 PHNW*")-COUNTIF(K6:K167,"*0800-1730 DEMT*")-COUNTIF(K6:K167,"*0800-1730 DD*")</f>
        <v>11</v>
      </c>
      <c r="L169" s="565">
        <f>COUNTIF(L6:L167,"0800-1730*")+COUNTIF(L6:L167,"0800-1800*")+COUNTIF(L6:L167,"0730-*")-COUNTIF(L6:L167,"*0800-1730 CS*")-COUNTIF(L6:L167,"*0800-1800 CS*")-COUNTIF(L6:L167,"*0800-1730 PHNW*")-COUNTIF(L6:L167,"*0800-1730 DEMT*")-COUNTIF(L6:L167,"*0800-1730 DD*")</f>
        <v>12</v>
      </c>
      <c r="O169" s="89"/>
    </row>
    <row r="170" spans="3:15" ht="14.1" customHeight="1">
      <c r="C170" s="538" t="s">
        <v>276</v>
      </c>
      <c r="D170" s="538" t="s">
        <v>276</v>
      </c>
      <c r="E170" s="615"/>
      <c r="F170" s="65">
        <f>COUNTIF(F6:F167,"*SWA*")</f>
        <v>0</v>
      </c>
      <c r="G170" s="65">
        <f>COUNTIF(G6:G167,"*SWA*")</f>
        <v>0</v>
      </c>
      <c r="H170" s="65">
        <f>COUNTIF(H6:H167,"*SWA*")</f>
        <v>2</v>
      </c>
      <c r="I170" s="65">
        <f>COUNTIF(I6:I167,"*SWA*")</f>
        <v>2</v>
      </c>
      <c r="J170" s="65">
        <f>COUNTIF(J6:J167,"*SWA*")</f>
        <v>1</v>
      </c>
      <c r="K170" s="65">
        <f>COUNTIF(K6:K167,"*SWA*")</f>
        <v>1</v>
      </c>
      <c r="L170" s="65">
        <f>COUNTIF(L6:L167,"*SWA*")</f>
        <v>0</v>
      </c>
      <c r="O170" s="89"/>
    </row>
    <row r="171" spans="3:15" ht="14.1" customHeight="1">
      <c r="C171" s="538" t="s">
        <v>2</v>
      </c>
      <c r="D171" s="538" t="s">
        <v>2</v>
      </c>
      <c r="E171" s="615"/>
      <c r="F171" s="65">
        <f>COUNTIF(F6:F167,"*1400-*")+COUNTIF(F6:F167,"*1430-*")</f>
        <v>16</v>
      </c>
      <c r="G171" s="65">
        <f>COUNTIF(G6:G167,"*1400-*")+COUNTIF(G6:G167,"*1430-*")</f>
        <v>14</v>
      </c>
      <c r="H171" s="65">
        <f>COUNTIF(H6:H167,"*1400-*")+COUNTIF(H6:H167,"*1430-*")</f>
        <v>14</v>
      </c>
      <c r="I171" s="65">
        <f>COUNTIF(I6:I167,"*1400-*")+COUNTIF(I6:I167,"*1430-*")</f>
        <v>12</v>
      </c>
      <c r="J171" s="65">
        <f>COUNTIF(J6:J167,"*1400-*")+COUNTIF(J6:J167,"*1430-*")</f>
        <v>13</v>
      </c>
      <c r="K171" s="65">
        <f>COUNTIF(K6:K167,"*1400-*")+COUNTIF(K6:K167,"*1430-*")</f>
        <v>11</v>
      </c>
      <c r="L171" s="65">
        <f>COUNTIF(L6:L167,"*1400-*")+COUNTIF(L6:L167,"*1430-*")</f>
        <v>12</v>
      </c>
      <c r="O171" s="89"/>
    </row>
    <row r="172" spans="3:15" ht="14.1" customHeight="1">
      <c r="C172" s="538" t="s">
        <v>277</v>
      </c>
      <c r="D172" s="538" t="s">
        <v>277</v>
      </c>
      <c r="E172" s="615"/>
      <c r="F172" s="65">
        <f>COUNTIF(F7:F167,"*SWP*")</f>
        <v>0</v>
      </c>
      <c r="G172" s="65">
        <f>COUNTIF(G7:G167,"*SWP*")</f>
        <v>1</v>
      </c>
      <c r="H172" s="65">
        <f>COUNTIF(H7:H167,"*SWP*")</f>
        <v>1</v>
      </c>
      <c r="I172" s="65">
        <f>COUNTIF(I7:I167,"*SWP*")</f>
        <v>1</v>
      </c>
      <c r="J172" s="65">
        <f>COUNTIF(J7:J167,"*SWP*")</f>
        <v>0</v>
      </c>
      <c r="K172" s="65">
        <f>COUNTIF(K7:K167,"*SWP*")</f>
        <v>2</v>
      </c>
      <c r="L172" s="65">
        <f>COUNTIF(L7:L167,"*SWP*")</f>
        <v>3</v>
      </c>
      <c r="O172" s="89"/>
    </row>
    <row r="173" spans="3:15" ht="14.1" customHeight="1" thickBot="1">
      <c r="C173" s="881" t="s">
        <v>278</v>
      </c>
      <c r="D173" s="881" t="s">
        <v>278</v>
      </c>
      <c r="E173" s="615"/>
      <c r="F173" s="65">
        <f>COUNTIF(F6:F167,"2300-*")</f>
        <v>9</v>
      </c>
      <c r="G173" s="65">
        <f>COUNTIF(G6:G167,"2300-*")</f>
        <v>8</v>
      </c>
      <c r="H173" s="65">
        <f>COUNTIF(H6:H167,"2300-*")</f>
        <v>9</v>
      </c>
      <c r="I173" s="65">
        <f>COUNTIF(I6:I167,"2300-*")</f>
        <v>8</v>
      </c>
      <c r="J173" s="65">
        <f>COUNTIF(J6:J167,"2300-*")</f>
        <v>7</v>
      </c>
      <c r="K173" s="65">
        <f>COUNTIF(K6:K167,"2300-*")</f>
        <v>8</v>
      </c>
      <c r="L173" s="65">
        <f>COUNTIF(L6:L167,"2300-*")</f>
        <v>8</v>
      </c>
      <c r="O173" s="89"/>
    </row>
    <row r="174" spans="3:15" ht="14.1" customHeight="1">
      <c r="C174" s="84"/>
      <c r="D174" s="556"/>
      <c r="E174" s="615"/>
      <c r="F174" s="65"/>
      <c r="G174" s="565"/>
      <c r="H174" s="565"/>
      <c r="I174" s="565"/>
      <c r="J174" s="565"/>
      <c r="K174" s="565"/>
      <c r="L174" s="565"/>
      <c r="O174" s="89"/>
    </row>
    <row r="175" spans="3:15" ht="14.1" customHeight="1">
      <c r="C175" s="50"/>
      <c r="D175" s="556" t="s">
        <v>489</v>
      </c>
      <c r="E175" s="615"/>
      <c r="G175" s="566"/>
      <c r="H175" s="566"/>
      <c r="I175" s="566"/>
      <c r="J175" s="566"/>
      <c r="K175" s="566"/>
      <c r="L175" s="566"/>
      <c r="O175" s="89"/>
    </row>
    <row r="176" spans="3:15" ht="14.1" customHeight="1">
      <c r="C176" s="50"/>
      <c r="D176" s="139" t="s">
        <v>157</v>
      </c>
      <c r="E176" s="615"/>
      <c r="F176" s="882"/>
      <c r="G176" s="882"/>
      <c r="H176" s="883"/>
      <c r="I176" s="882"/>
      <c r="J176" s="882"/>
      <c r="K176" s="882"/>
      <c r="L176" s="882"/>
      <c r="O176" s="89"/>
    </row>
    <row r="177" spans="3:15" ht="14.1" customHeight="1">
      <c r="C177" s="50"/>
      <c r="D177" s="182" t="s">
        <v>159</v>
      </c>
      <c r="E177" s="615">
        <v>628440</v>
      </c>
      <c r="F177" s="882"/>
      <c r="G177" s="882"/>
      <c r="H177" s="884" t="s">
        <v>279</v>
      </c>
      <c r="I177" s="882"/>
      <c r="J177" s="882"/>
      <c r="K177" s="882"/>
      <c r="L177" s="882"/>
      <c r="O177" s="89"/>
    </row>
    <row r="178" spans="3:15" ht="14.1" customHeight="1">
      <c r="C178" s="50"/>
      <c r="D178" s="183" t="s">
        <v>164</v>
      </c>
      <c r="E178" s="615">
        <v>653976</v>
      </c>
      <c r="F178" s="882"/>
      <c r="G178" s="882"/>
      <c r="H178" s="884" t="s">
        <v>279</v>
      </c>
      <c r="I178" s="882"/>
      <c r="J178" s="882"/>
      <c r="K178" s="882"/>
      <c r="L178" s="882"/>
      <c r="O178" s="89"/>
    </row>
    <row r="179" spans="3:15" ht="14.1" customHeight="1">
      <c r="C179" s="50"/>
      <c r="D179" s="184" t="s">
        <v>166</v>
      </c>
      <c r="E179" s="615">
        <v>654362</v>
      </c>
      <c r="F179" s="882"/>
      <c r="G179" s="882"/>
      <c r="H179" s="884" t="s">
        <v>279</v>
      </c>
      <c r="I179" s="882"/>
      <c r="J179" s="882"/>
      <c r="K179" s="882"/>
      <c r="L179" s="882"/>
      <c r="O179" s="89"/>
    </row>
    <row r="180" spans="3:15" ht="14.1" customHeight="1">
      <c r="C180" s="50"/>
      <c r="D180" s="184" t="s">
        <v>168</v>
      </c>
      <c r="E180" s="615">
        <v>615829</v>
      </c>
      <c r="F180" s="882"/>
      <c r="G180" s="882"/>
      <c r="H180" s="884" t="s">
        <v>280</v>
      </c>
      <c r="I180" s="882"/>
      <c r="J180" s="882"/>
      <c r="K180" s="882"/>
      <c r="L180" s="882"/>
      <c r="O180" s="89"/>
    </row>
    <row r="181" spans="3:15" ht="14.1" customHeight="1">
      <c r="C181" s="50"/>
      <c r="D181" s="894" t="s">
        <v>170</v>
      </c>
      <c r="E181" s="615">
        <v>619567</v>
      </c>
      <c r="F181" s="882"/>
      <c r="G181" s="882"/>
      <c r="H181" s="884" t="s">
        <v>280</v>
      </c>
      <c r="I181" s="882"/>
      <c r="J181" s="882"/>
      <c r="K181" s="882"/>
      <c r="L181" s="882"/>
      <c r="O181" s="89"/>
    </row>
    <row r="182" spans="3:15" ht="14.1" customHeight="1">
      <c r="C182" s="50"/>
      <c r="D182" s="183" t="s">
        <v>171</v>
      </c>
      <c r="E182" s="615">
        <v>626157</v>
      </c>
      <c r="F182" s="882"/>
      <c r="G182" s="882"/>
      <c r="H182" s="884" t="s">
        <v>281</v>
      </c>
      <c r="I182" s="882"/>
      <c r="J182" s="882"/>
      <c r="K182" s="882"/>
      <c r="L182" s="882"/>
      <c r="O182" s="89"/>
    </row>
    <row r="183" spans="3:15" ht="14.1" customHeight="1">
      <c r="C183" s="50"/>
      <c r="D183" s="185" t="s">
        <v>173</v>
      </c>
      <c r="E183" s="615">
        <v>645122</v>
      </c>
      <c r="F183" s="882"/>
      <c r="G183" s="882"/>
      <c r="H183" s="884" t="s">
        <v>281</v>
      </c>
      <c r="I183" s="882"/>
      <c r="J183" s="882"/>
      <c r="K183" s="882"/>
      <c r="L183" s="882"/>
      <c r="O183" s="89"/>
    </row>
    <row r="184" spans="3:15" ht="14.1" customHeight="1">
      <c r="C184" s="50"/>
      <c r="D184" s="182" t="s">
        <v>174</v>
      </c>
      <c r="E184" s="615">
        <v>615820</v>
      </c>
      <c r="F184" s="882"/>
      <c r="G184" s="882"/>
      <c r="H184" s="884" t="s">
        <v>282</v>
      </c>
      <c r="I184" s="882"/>
      <c r="J184" s="882"/>
      <c r="K184" s="882"/>
      <c r="L184" s="882"/>
      <c r="O184" s="89"/>
    </row>
    <row r="185" spans="3:15" ht="14.1" customHeight="1" thickBot="1">
      <c r="C185" s="50"/>
      <c r="D185" s="197" t="s">
        <v>175</v>
      </c>
      <c r="E185" s="615">
        <v>624174</v>
      </c>
      <c r="F185" s="882"/>
      <c r="G185" s="882"/>
      <c r="H185" s="885" t="s">
        <v>283</v>
      </c>
      <c r="I185" s="882"/>
      <c r="J185" s="882"/>
      <c r="K185" s="882"/>
      <c r="L185" s="882"/>
      <c r="O185" s="89"/>
    </row>
    <row r="186" spans="3:15" ht="14.1" customHeight="1">
      <c r="C186" s="50"/>
      <c r="D186" s="70" t="s">
        <v>176</v>
      </c>
      <c r="E186" s="625"/>
      <c r="F186" s="882"/>
      <c r="G186" s="882"/>
      <c r="H186" s="883"/>
      <c r="I186" s="882"/>
      <c r="J186" s="882"/>
      <c r="K186" s="882"/>
      <c r="L186" s="882"/>
      <c r="O186" s="89"/>
    </row>
    <row r="187" spans="3:15" ht="14.1" customHeight="1">
      <c r="C187" s="50"/>
      <c r="D187" s="546" t="s">
        <v>177</v>
      </c>
      <c r="E187" s="615">
        <v>637990</v>
      </c>
      <c r="F187" s="882"/>
      <c r="G187" s="882"/>
      <c r="H187" s="884" t="s">
        <v>279</v>
      </c>
      <c r="I187" s="882"/>
      <c r="J187" s="882"/>
      <c r="K187" s="882"/>
      <c r="L187" s="882"/>
      <c r="O187" s="89"/>
    </row>
    <row r="188" spans="3:15" ht="14.1" customHeight="1">
      <c r="C188" s="50"/>
      <c r="D188" s="184" t="s">
        <v>179</v>
      </c>
      <c r="E188" s="615">
        <v>652867</v>
      </c>
      <c r="F188" s="882"/>
      <c r="G188" s="882"/>
      <c r="H188" s="884" t="s">
        <v>279</v>
      </c>
      <c r="I188" s="882"/>
      <c r="J188" s="882"/>
      <c r="K188" s="882"/>
      <c r="L188" s="882"/>
      <c r="O188" s="89"/>
    </row>
    <row r="189" spans="3:15" ht="14.1" customHeight="1">
      <c r="C189" s="50"/>
      <c r="D189" s="547" t="s">
        <v>180</v>
      </c>
      <c r="E189" s="615">
        <v>638831</v>
      </c>
      <c r="F189" s="882"/>
      <c r="G189" s="882"/>
      <c r="H189" s="884" t="s">
        <v>279</v>
      </c>
      <c r="I189" s="882"/>
      <c r="J189" s="882"/>
      <c r="K189" s="882"/>
      <c r="L189" s="882"/>
      <c r="O189" s="89"/>
    </row>
    <row r="190" spans="3:15" ht="14.1" customHeight="1">
      <c r="C190" s="50"/>
      <c r="D190" s="548" t="s">
        <v>182</v>
      </c>
      <c r="E190" s="615">
        <v>631314</v>
      </c>
      <c r="F190" s="882"/>
      <c r="G190" s="882"/>
      <c r="H190" s="884" t="s">
        <v>281</v>
      </c>
      <c r="I190" s="882"/>
      <c r="J190" s="882"/>
      <c r="K190" s="882"/>
      <c r="L190" s="882"/>
      <c r="O190" s="89"/>
    </row>
    <row r="191" spans="3:15" ht="14.1" customHeight="1">
      <c r="C191" s="50"/>
      <c r="D191" s="548" t="s">
        <v>185</v>
      </c>
      <c r="E191" s="615">
        <v>631732</v>
      </c>
      <c r="F191" s="882"/>
      <c r="G191" s="882"/>
      <c r="H191" s="884" t="s">
        <v>281</v>
      </c>
      <c r="I191" s="882"/>
      <c r="J191" s="882"/>
      <c r="K191" s="882"/>
      <c r="L191" s="882"/>
      <c r="O191" s="89"/>
    </row>
    <row r="192" spans="3:15" ht="14.1" customHeight="1">
      <c r="C192" s="50"/>
      <c r="D192" s="549" t="s">
        <v>186</v>
      </c>
      <c r="E192" s="615">
        <v>634876</v>
      </c>
      <c r="F192" s="882"/>
      <c r="G192" s="882"/>
      <c r="H192" s="884" t="s">
        <v>281</v>
      </c>
      <c r="I192" s="882"/>
      <c r="J192" s="882"/>
      <c r="K192" s="882"/>
      <c r="L192" s="882"/>
      <c r="O192" s="89"/>
    </row>
    <row r="193" spans="3:15" ht="14.1" customHeight="1">
      <c r="C193" s="50"/>
      <c r="D193" s="886" t="s">
        <v>189</v>
      </c>
      <c r="E193" s="615"/>
      <c r="F193" s="882"/>
      <c r="G193" s="882"/>
      <c r="H193" s="883"/>
      <c r="I193" s="882"/>
      <c r="J193" s="882"/>
      <c r="K193" s="882"/>
      <c r="L193" s="882"/>
      <c r="O193" s="89"/>
    </row>
    <row r="194" spans="3:15" ht="14.1" customHeight="1">
      <c r="C194" s="50"/>
      <c r="D194" s="188" t="s">
        <v>190</v>
      </c>
      <c r="E194" s="615">
        <v>648620</v>
      </c>
      <c r="F194" s="882"/>
      <c r="G194" s="882"/>
      <c r="H194" s="884" t="s">
        <v>279</v>
      </c>
      <c r="I194" s="882"/>
      <c r="J194" s="882"/>
      <c r="K194" s="882"/>
      <c r="L194" s="882"/>
      <c r="O194" s="89"/>
    </row>
    <row r="195" spans="3:15" ht="14.1" customHeight="1">
      <c r="C195" s="50"/>
      <c r="D195" s="189" t="s">
        <v>193</v>
      </c>
      <c r="E195" s="615">
        <v>652357</v>
      </c>
      <c r="F195" s="882"/>
      <c r="G195" s="882"/>
      <c r="H195" s="884" t="s">
        <v>279</v>
      </c>
      <c r="I195" s="882"/>
      <c r="J195" s="882"/>
      <c r="K195" s="882"/>
      <c r="L195" s="882"/>
      <c r="O195" s="89"/>
    </row>
    <row r="196" spans="3:15" ht="14.1" customHeight="1">
      <c r="C196" s="50"/>
      <c r="D196" s="551" t="s">
        <v>196</v>
      </c>
      <c r="E196" s="631">
        <v>703714</v>
      </c>
      <c r="F196" s="882"/>
      <c r="G196" s="882"/>
      <c r="H196" s="884" t="s">
        <v>279</v>
      </c>
      <c r="I196" s="882"/>
      <c r="J196" s="882"/>
      <c r="K196" s="882"/>
      <c r="L196" s="882"/>
      <c r="O196" s="89"/>
    </row>
    <row r="197" spans="3:15" ht="14.1" customHeight="1">
      <c r="C197" s="50"/>
      <c r="D197" s="189" t="s">
        <v>198</v>
      </c>
      <c r="E197" s="615">
        <v>655089</v>
      </c>
      <c r="F197" s="882"/>
      <c r="G197" s="882"/>
      <c r="H197" s="884" t="s">
        <v>279</v>
      </c>
      <c r="I197" s="882"/>
      <c r="J197" s="882"/>
      <c r="K197" s="882"/>
      <c r="L197" s="882"/>
      <c r="O197" s="89"/>
    </row>
    <row r="198" spans="3:15" ht="14.1" customHeight="1">
      <c r="C198" s="50"/>
      <c r="D198" s="190" t="s">
        <v>199</v>
      </c>
      <c r="E198" s="615">
        <v>649364</v>
      </c>
      <c r="F198" s="882"/>
      <c r="G198" s="882"/>
      <c r="H198" s="884" t="s">
        <v>280</v>
      </c>
      <c r="I198" s="882"/>
      <c r="J198" s="882"/>
      <c r="K198" s="882"/>
      <c r="L198" s="882"/>
      <c r="O198" s="89"/>
    </row>
    <row r="199" spans="3:15" ht="14.1" customHeight="1">
      <c r="C199" s="50"/>
      <c r="D199" s="191" t="s">
        <v>200</v>
      </c>
      <c r="E199" s="615">
        <v>700872</v>
      </c>
      <c r="F199" s="882"/>
      <c r="G199" s="882"/>
      <c r="H199" s="884" t="s">
        <v>279</v>
      </c>
      <c r="I199" s="882"/>
      <c r="J199" s="882"/>
      <c r="K199" s="882"/>
      <c r="L199" s="882"/>
      <c r="O199" s="89"/>
    </row>
    <row r="200" spans="3:15" ht="14.1" customHeight="1">
      <c r="C200" s="50"/>
      <c r="D200" s="552" t="s">
        <v>202</v>
      </c>
      <c r="E200" s="631">
        <v>703861</v>
      </c>
      <c r="F200" s="882"/>
      <c r="G200" s="882"/>
      <c r="H200" s="884" t="s">
        <v>279</v>
      </c>
      <c r="I200" s="882"/>
      <c r="J200" s="882"/>
      <c r="K200" s="882"/>
      <c r="L200" s="882"/>
      <c r="O200" s="89"/>
    </row>
    <row r="201" spans="3:15" ht="14.1" customHeight="1">
      <c r="C201" s="50"/>
      <c r="D201" s="192" t="s">
        <v>204</v>
      </c>
      <c r="E201" s="615">
        <v>652868</v>
      </c>
      <c r="F201" s="882"/>
      <c r="G201" s="882"/>
      <c r="H201" s="884" t="s">
        <v>280</v>
      </c>
      <c r="I201" s="882"/>
      <c r="J201" s="882"/>
      <c r="K201" s="882"/>
      <c r="L201" s="882"/>
      <c r="O201" s="89"/>
    </row>
    <row r="202" spans="3:15" ht="14.1" customHeight="1">
      <c r="C202" s="50"/>
      <c r="D202" s="189" t="s">
        <v>205</v>
      </c>
      <c r="E202" s="615">
        <v>652998</v>
      </c>
      <c r="F202" s="882"/>
      <c r="G202" s="882"/>
      <c r="H202" s="884" t="s">
        <v>280</v>
      </c>
      <c r="I202" s="882"/>
      <c r="J202" s="882"/>
      <c r="K202" s="882"/>
      <c r="L202" s="882"/>
      <c r="O202" s="89"/>
    </row>
    <row r="203" spans="3:15" ht="14.1" customHeight="1">
      <c r="C203" s="50"/>
      <c r="D203" s="193" t="s">
        <v>206</v>
      </c>
      <c r="E203" s="631">
        <v>654959</v>
      </c>
      <c r="F203" s="882"/>
      <c r="G203" s="882"/>
      <c r="H203" s="884" t="s">
        <v>279</v>
      </c>
      <c r="I203" s="882"/>
      <c r="J203" s="882"/>
      <c r="K203" s="882"/>
      <c r="L203" s="882"/>
      <c r="O203" s="89"/>
    </row>
    <row r="204" spans="3:15" ht="14.1" customHeight="1">
      <c r="C204" s="50"/>
      <c r="D204" s="551" t="s">
        <v>207</v>
      </c>
      <c r="E204" s="615">
        <v>654981</v>
      </c>
      <c r="F204" s="882"/>
      <c r="G204" s="882"/>
      <c r="H204" s="884" t="s">
        <v>280</v>
      </c>
      <c r="I204" s="882"/>
      <c r="J204" s="882"/>
      <c r="K204" s="882"/>
      <c r="L204" s="882"/>
      <c r="O204" s="89"/>
    </row>
    <row r="205" spans="3:15" ht="14.1" customHeight="1">
      <c r="C205" s="50"/>
      <c r="D205" s="553" t="s">
        <v>208</v>
      </c>
      <c r="E205" s="615">
        <v>703795</v>
      </c>
      <c r="F205" s="882"/>
      <c r="G205" s="882"/>
      <c r="H205" s="884" t="s">
        <v>280</v>
      </c>
      <c r="I205" s="882"/>
      <c r="J205" s="882"/>
      <c r="K205" s="882"/>
      <c r="L205" s="882"/>
      <c r="O205" s="89"/>
    </row>
    <row r="206" spans="3:15" ht="14.1" customHeight="1">
      <c r="C206" s="50"/>
      <c r="D206" s="551" t="s">
        <v>209</v>
      </c>
      <c r="E206" s="615">
        <v>652364</v>
      </c>
      <c r="F206" s="882"/>
      <c r="G206" s="882"/>
      <c r="H206" s="884" t="s">
        <v>280</v>
      </c>
      <c r="I206" s="882"/>
      <c r="J206" s="882"/>
      <c r="K206" s="882"/>
      <c r="L206" s="882"/>
      <c r="O206" s="89"/>
    </row>
    <row r="207" spans="3:15" ht="14.1" customHeight="1">
      <c r="C207" s="50"/>
      <c r="D207" s="551" t="s">
        <v>210</v>
      </c>
      <c r="E207" s="615">
        <v>644433</v>
      </c>
      <c r="F207" s="882"/>
      <c r="G207" s="882"/>
      <c r="H207" s="884" t="s">
        <v>281</v>
      </c>
      <c r="I207" s="882"/>
      <c r="J207" s="882"/>
      <c r="K207" s="882"/>
      <c r="L207" s="882"/>
      <c r="O207" s="89"/>
    </row>
    <row r="208" spans="3:15" ht="14.1" customHeight="1">
      <c r="C208" s="50"/>
      <c r="D208" s="551" t="s">
        <v>211</v>
      </c>
      <c r="E208" s="615">
        <v>650602</v>
      </c>
      <c r="F208" s="882"/>
      <c r="G208" s="882"/>
      <c r="H208" s="884" t="s">
        <v>281</v>
      </c>
      <c r="I208" s="882"/>
      <c r="J208" s="882"/>
      <c r="K208" s="882"/>
      <c r="L208" s="882"/>
      <c r="O208" s="89"/>
    </row>
    <row r="209" spans="3:15" ht="14.1" customHeight="1">
      <c r="C209" s="50"/>
      <c r="D209" s="552" t="s">
        <v>212</v>
      </c>
      <c r="E209" s="631">
        <v>704893</v>
      </c>
      <c r="F209" s="882"/>
      <c r="G209" s="882"/>
      <c r="H209" s="884" t="s">
        <v>279</v>
      </c>
      <c r="I209" s="882"/>
      <c r="J209" s="882"/>
      <c r="K209" s="882"/>
      <c r="L209" s="882"/>
      <c r="O209" s="89"/>
    </row>
    <row r="210" spans="3:15" ht="14.1" customHeight="1">
      <c r="C210" s="50"/>
      <c r="D210" s="194" t="s">
        <v>214</v>
      </c>
      <c r="E210" s="615">
        <v>636733</v>
      </c>
      <c r="F210" s="882"/>
      <c r="G210" s="882"/>
      <c r="H210" s="884" t="s">
        <v>280</v>
      </c>
      <c r="I210" s="882"/>
      <c r="J210" s="882"/>
      <c r="K210" s="882"/>
      <c r="L210" s="882"/>
      <c r="O210" s="89"/>
    </row>
    <row r="211" spans="3:15" ht="14.1" customHeight="1">
      <c r="C211" s="50"/>
      <c r="D211" s="192" t="s">
        <v>216</v>
      </c>
      <c r="E211" s="200">
        <v>637770</v>
      </c>
      <c r="F211" s="882"/>
      <c r="G211" s="882"/>
      <c r="H211" s="884" t="s">
        <v>279</v>
      </c>
      <c r="I211" s="882"/>
      <c r="J211" s="882"/>
      <c r="K211" s="882"/>
      <c r="L211" s="882"/>
      <c r="O211" s="89"/>
    </row>
    <row r="212" spans="3:15" ht="14.1" customHeight="1">
      <c r="C212" s="50"/>
      <c r="D212" s="56"/>
      <c r="E212" s="82"/>
      <c r="G212" s="566"/>
      <c r="H212" s="566"/>
      <c r="I212" s="566"/>
      <c r="J212" s="566"/>
      <c r="K212" s="566"/>
      <c r="L212" s="566"/>
      <c r="O212" s="89"/>
    </row>
    <row r="213" spans="3:15" ht="14.1" customHeight="1">
      <c r="C213" s="564"/>
      <c r="D213" s="564"/>
      <c r="E213" s="82"/>
      <c r="G213" s="566"/>
      <c r="H213" s="566"/>
      <c r="I213" s="566"/>
      <c r="J213" s="566"/>
      <c r="K213" s="566"/>
      <c r="L213" s="566"/>
      <c r="O213" s="89"/>
    </row>
    <row r="214" spans="3:15" ht="14.1" customHeight="1">
      <c r="C214" s="564"/>
      <c r="D214" s="564"/>
      <c r="E214" s="82"/>
      <c r="G214" s="566"/>
      <c r="H214" s="566"/>
      <c r="I214" s="566"/>
      <c r="J214" s="566"/>
      <c r="K214" s="566"/>
      <c r="L214" s="566"/>
      <c r="O214" s="89"/>
    </row>
    <row r="215" spans="3:15" ht="14.1" customHeight="1">
      <c r="D215" s="56"/>
      <c r="E215" s="82"/>
      <c r="G215" s="566"/>
      <c r="H215" s="566"/>
      <c r="I215" s="566"/>
      <c r="J215" s="566"/>
      <c r="K215" s="566"/>
      <c r="L215" s="566"/>
      <c r="O215" s="89"/>
    </row>
    <row r="216" spans="3:15" ht="14.1" customHeight="1">
      <c r="C216" s="564"/>
      <c r="D216" s="564"/>
      <c r="E216" s="82"/>
      <c r="G216" s="566"/>
      <c r="H216" s="566"/>
      <c r="I216" s="566"/>
      <c r="J216" s="566"/>
      <c r="K216" s="566"/>
      <c r="L216" s="566"/>
      <c r="O216" s="89"/>
    </row>
    <row r="217" spans="3:15" ht="14.1" customHeight="1">
      <c r="C217" s="564"/>
      <c r="D217" s="564"/>
      <c r="E217" s="82"/>
      <c r="G217" s="566"/>
      <c r="H217" s="566"/>
      <c r="I217" s="566"/>
      <c r="J217" s="566"/>
      <c r="K217" s="566"/>
      <c r="L217" s="566"/>
      <c r="O217" s="89"/>
    </row>
    <row r="218" spans="3:15" ht="14.1" customHeight="1">
      <c r="D218" s="56"/>
      <c r="E218" s="82"/>
      <c r="G218" s="566"/>
      <c r="H218" s="566"/>
      <c r="I218" s="566"/>
      <c r="J218" s="566"/>
      <c r="K218" s="566"/>
      <c r="L218" s="566"/>
      <c r="O218" s="89"/>
    </row>
    <row r="219" spans="3:15" ht="14.1" customHeight="1">
      <c r="C219" s="564"/>
      <c r="D219" s="564"/>
      <c r="E219" s="82"/>
      <c r="G219" s="566"/>
      <c r="H219" s="566"/>
      <c r="I219" s="566"/>
      <c r="J219" s="566"/>
      <c r="K219" s="566"/>
      <c r="L219" s="566"/>
      <c r="O219" s="89"/>
    </row>
    <row r="220" spans="3:15" ht="14.1" customHeight="1">
      <c r="C220" s="564"/>
      <c r="D220" s="564"/>
      <c r="E220" s="82"/>
      <c r="G220" s="566"/>
      <c r="H220" s="566"/>
      <c r="I220" s="566"/>
      <c r="J220" s="566"/>
      <c r="K220" s="566"/>
      <c r="L220" s="566"/>
      <c r="O220" s="89"/>
    </row>
    <row r="221" spans="3:15" ht="14.1" customHeight="1">
      <c r="D221" s="56"/>
      <c r="E221" s="82"/>
      <c r="G221" s="566"/>
      <c r="H221" s="566"/>
      <c r="I221" s="566"/>
      <c r="J221" s="566"/>
      <c r="K221" s="566"/>
      <c r="L221" s="566"/>
      <c r="O221" s="89"/>
    </row>
    <row r="222" spans="3:15" ht="14.1" customHeight="1">
      <c r="C222" s="564"/>
      <c r="D222" s="564"/>
      <c r="E222" s="82"/>
      <c r="G222" s="566"/>
      <c r="H222" s="566"/>
      <c r="I222" s="566"/>
      <c r="J222" s="566"/>
      <c r="K222" s="566"/>
      <c r="L222" s="566"/>
      <c r="O222" s="89"/>
    </row>
    <row r="223" spans="3:15" ht="14.1" customHeight="1">
      <c r="C223" s="564"/>
      <c r="D223" s="564"/>
      <c r="E223" s="82"/>
      <c r="F223" s="65"/>
      <c r="G223" s="65"/>
      <c r="H223" s="65"/>
      <c r="I223" s="65"/>
      <c r="J223" s="65"/>
      <c r="K223" s="65"/>
      <c r="L223" s="65"/>
      <c r="O223" s="89"/>
    </row>
    <row r="224" spans="3:15" ht="14.1" customHeight="1">
      <c r="D224" s="56"/>
      <c r="E224" s="82"/>
      <c r="F224" s="65"/>
      <c r="G224" s="65"/>
      <c r="H224" s="65"/>
      <c r="I224" s="65"/>
      <c r="J224" s="65"/>
      <c r="K224" s="65"/>
      <c r="L224" s="65"/>
      <c r="O224" s="89"/>
    </row>
    <row r="225" spans="3:15" ht="14.1" customHeight="1">
      <c r="C225" s="564"/>
      <c r="D225" s="564"/>
      <c r="E225" s="82"/>
      <c r="F225" s="65"/>
      <c r="G225" s="65"/>
      <c r="H225" s="65"/>
      <c r="I225" s="65"/>
      <c r="J225" s="65"/>
      <c r="K225" s="65"/>
      <c r="L225" s="65"/>
      <c r="O225" s="89"/>
    </row>
    <row r="226" spans="3:15" ht="14.1" customHeight="1">
      <c r="C226" s="564"/>
      <c r="D226" s="564"/>
      <c r="E226" s="82"/>
      <c r="F226" s="65"/>
      <c r="G226" s="65"/>
      <c r="H226" s="65"/>
      <c r="I226" s="65"/>
      <c r="J226" s="65"/>
      <c r="K226" s="65"/>
      <c r="L226" s="65"/>
      <c r="O226" s="89"/>
    </row>
    <row r="227" spans="3:15" ht="14.1" customHeight="1">
      <c r="D227" s="56"/>
      <c r="E227" s="82"/>
      <c r="F227" s="65"/>
      <c r="G227" s="65"/>
      <c r="H227" s="65"/>
      <c r="I227" s="65"/>
      <c r="J227" s="65"/>
      <c r="K227" s="65"/>
      <c r="L227" s="65"/>
      <c r="O227" s="89"/>
    </row>
    <row r="228" spans="3:15" ht="14.1" customHeight="1">
      <c r="C228" s="564"/>
      <c r="D228" s="564"/>
      <c r="E228" s="82"/>
      <c r="F228" s="65"/>
      <c r="G228" s="565"/>
      <c r="H228" s="565"/>
      <c r="I228" s="565"/>
      <c r="J228" s="565"/>
      <c r="K228" s="565"/>
      <c r="L228" s="565"/>
      <c r="O228" s="89"/>
    </row>
    <row r="229" spans="3:15" ht="14.1" customHeight="1">
      <c r="C229" s="564"/>
      <c r="D229" s="564"/>
      <c r="E229" s="82"/>
      <c r="G229" s="66"/>
      <c r="H229" s="66"/>
      <c r="I229" s="66"/>
      <c r="J229" s="66"/>
      <c r="K229" s="566"/>
      <c r="L229" s="566"/>
      <c r="O229" s="89"/>
    </row>
    <row r="230" spans="3:15" ht="14.1" customHeight="1">
      <c r="D230" s="56"/>
      <c r="E230" s="82"/>
      <c r="G230" s="66"/>
      <c r="H230" s="66"/>
      <c r="I230" s="66"/>
      <c r="J230" s="66"/>
      <c r="K230" s="66"/>
      <c r="L230" s="66"/>
      <c r="O230" s="89"/>
    </row>
    <row r="231" spans="3:15" ht="14.1" customHeight="1">
      <c r="C231" s="564"/>
      <c r="D231" s="564"/>
      <c r="E231" s="82"/>
      <c r="G231" s="66"/>
      <c r="H231" s="66"/>
      <c r="I231" s="66"/>
      <c r="J231" s="66"/>
      <c r="K231" s="66"/>
      <c r="L231" s="66"/>
      <c r="O231" s="89"/>
    </row>
    <row r="232" spans="3:15" ht="14.1" customHeight="1">
      <c r="C232" s="564"/>
      <c r="D232" s="564"/>
      <c r="E232" s="82"/>
      <c r="G232" s="66"/>
      <c r="H232" s="66"/>
      <c r="I232" s="66"/>
      <c r="J232" s="66"/>
      <c r="K232" s="66"/>
      <c r="L232" s="66"/>
      <c r="O232" s="89"/>
    </row>
    <row r="233" spans="3:15" ht="14.1" customHeight="1">
      <c r="D233" s="56"/>
      <c r="E233" s="82"/>
      <c r="G233" s="66"/>
      <c r="H233" s="66"/>
      <c r="I233" s="66"/>
      <c r="J233" s="66"/>
      <c r="K233" s="66"/>
      <c r="L233" s="66"/>
      <c r="O233" s="89"/>
    </row>
    <row r="234" spans="3:15" ht="14.1" customHeight="1">
      <c r="C234" s="564"/>
      <c r="D234" s="564"/>
      <c r="E234" s="82"/>
      <c r="G234" s="66"/>
      <c r="H234" s="66"/>
      <c r="I234" s="66"/>
      <c r="J234" s="66"/>
      <c r="K234" s="66"/>
      <c r="L234" s="66"/>
      <c r="O234" s="567"/>
    </row>
    <row r="235" spans="3:15" ht="14.1" customHeight="1">
      <c r="C235" s="564"/>
      <c r="D235" s="564"/>
      <c r="E235" s="82"/>
      <c r="G235" s="66"/>
      <c r="H235" s="66"/>
      <c r="I235" s="66"/>
      <c r="J235" s="66"/>
      <c r="K235" s="66"/>
      <c r="L235" s="66"/>
      <c r="O235" s="567"/>
    </row>
    <row r="236" spans="3:15" ht="14.1" customHeight="1">
      <c r="D236" s="56"/>
      <c r="E236" s="82"/>
      <c r="G236" s="66"/>
      <c r="H236" s="66"/>
      <c r="I236" s="66"/>
      <c r="J236" s="66"/>
      <c r="K236" s="66"/>
      <c r="L236" s="66"/>
      <c r="O236" s="567"/>
    </row>
    <row r="237" spans="3:15" ht="14.1" customHeight="1">
      <c r="C237" s="564"/>
      <c r="D237" s="564"/>
      <c r="E237" s="82"/>
      <c r="G237" s="73"/>
      <c r="H237" s="66"/>
      <c r="I237" s="66"/>
      <c r="J237" s="66"/>
      <c r="K237" s="66"/>
      <c r="L237" s="66"/>
      <c r="O237" s="567"/>
    </row>
    <row r="238" spans="3:15" ht="14.1" customHeight="1">
      <c r="C238" s="564"/>
      <c r="D238" s="564"/>
      <c r="E238" s="82"/>
      <c r="G238" s="66"/>
      <c r="H238" s="66"/>
      <c r="I238" s="66"/>
      <c r="J238" s="66"/>
      <c r="K238" s="66"/>
      <c r="L238" s="66"/>
      <c r="O238" s="567"/>
    </row>
    <row r="239" spans="3:15" ht="14.1" customHeight="1">
      <c r="D239" s="56"/>
      <c r="E239" s="82"/>
      <c r="G239" s="66"/>
      <c r="H239" s="66"/>
      <c r="I239" s="66"/>
      <c r="J239" s="66"/>
      <c r="K239" s="66"/>
      <c r="L239" s="66"/>
      <c r="O239" s="567"/>
    </row>
    <row r="240" spans="3:15" ht="14.1" customHeight="1">
      <c r="C240" s="564"/>
      <c r="D240" s="564"/>
      <c r="E240" s="82"/>
      <c r="G240" s="74"/>
      <c r="H240" s="66"/>
      <c r="I240" s="66"/>
      <c r="J240" s="66"/>
      <c r="K240" s="66"/>
      <c r="L240" s="66"/>
      <c r="O240" s="567"/>
    </row>
    <row r="241" spans="3:15" ht="14.1" customHeight="1">
      <c r="C241" s="564"/>
      <c r="D241" s="564"/>
      <c r="E241" s="82"/>
      <c r="G241" s="66"/>
      <c r="H241" s="66"/>
      <c r="I241" s="66"/>
      <c r="J241" s="66"/>
      <c r="K241" s="66"/>
      <c r="L241" s="66"/>
      <c r="O241" s="567"/>
    </row>
    <row r="242" spans="3:15" ht="14.1" customHeight="1">
      <c r="D242" s="56"/>
      <c r="E242" s="82"/>
      <c r="G242" s="66"/>
      <c r="H242" s="66"/>
      <c r="I242" s="66"/>
      <c r="J242" s="66"/>
      <c r="K242" s="66"/>
      <c r="L242" s="66"/>
      <c r="O242" s="567"/>
    </row>
    <row r="243" spans="3:15" ht="14.1" customHeight="1">
      <c r="C243" s="564"/>
      <c r="D243" s="564"/>
      <c r="E243" s="82"/>
      <c r="G243" s="566"/>
      <c r="H243" s="566"/>
      <c r="I243" s="566"/>
      <c r="J243" s="566"/>
      <c r="K243" s="566"/>
      <c r="L243" s="566"/>
      <c r="O243" s="567"/>
    </row>
    <row r="244" spans="3:15" ht="14.1" customHeight="1">
      <c r="C244" s="564"/>
      <c r="D244" s="564"/>
      <c r="E244" s="82"/>
      <c r="G244" s="566"/>
      <c r="H244" s="566"/>
      <c r="I244" s="566"/>
      <c r="J244" s="566"/>
      <c r="K244" s="566"/>
      <c r="L244" s="566"/>
      <c r="O244" s="567"/>
    </row>
    <row r="245" spans="3:15" ht="14.1" customHeight="1">
      <c r="D245" s="56"/>
      <c r="E245" s="82"/>
      <c r="G245" s="566"/>
      <c r="H245" s="566"/>
      <c r="I245" s="566"/>
      <c r="J245" s="566"/>
      <c r="K245" s="566"/>
      <c r="L245" s="566"/>
      <c r="O245" s="567"/>
    </row>
    <row r="246" spans="3:15" ht="14.1" customHeight="1">
      <c r="C246" s="564"/>
      <c r="D246" s="564"/>
      <c r="E246" s="82"/>
      <c r="G246" s="566"/>
      <c r="H246" s="566"/>
      <c r="I246" s="566"/>
      <c r="J246" s="566"/>
      <c r="K246" s="566"/>
      <c r="L246" s="566"/>
      <c r="O246" s="567"/>
    </row>
    <row r="247" spans="3:15" ht="14.1" customHeight="1">
      <c r="C247" s="564"/>
      <c r="D247" s="564"/>
      <c r="E247" s="82"/>
      <c r="G247" s="566"/>
      <c r="H247" s="566"/>
      <c r="I247" s="566"/>
      <c r="J247" s="566"/>
      <c r="K247" s="566"/>
      <c r="L247" s="566"/>
      <c r="O247" s="567"/>
    </row>
    <row r="248" spans="3:15" ht="14.1" customHeight="1">
      <c r="D248" s="56"/>
      <c r="E248" s="82"/>
      <c r="G248" s="566"/>
      <c r="H248" s="566"/>
      <c r="I248" s="566"/>
      <c r="J248" s="566"/>
      <c r="K248" s="566"/>
      <c r="L248" s="566"/>
      <c r="O248" s="567"/>
    </row>
    <row r="249" spans="3:15" ht="14.1" customHeight="1">
      <c r="C249" s="564"/>
      <c r="D249" s="564"/>
      <c r="E249" s="82"/>
      <c r="G249" s="566"/>
      <c r="H249" s="566"/>
      <c r="I249" s="566"/>
      <c r="J249" s="566"/>
      <c r="K249" s="566"/>
      <c r="L249" s="566"/>
      <c r="O249" s="567"/>
    </row>
    <row r="250" spans="3:15" ht="14.1" customHeight="1">
      <c r="C250" s="564"/>
      <c r="D250" s="564"/>
      <c r="E250" s="82"/>
      <c r="G250" s="566"/>
      <c r="H250" s="566"/>
      <c r="I250" s="566"/>
      <c r="J250" s="566"/>
      <c r="K250" s="566"/>
      <c r="L250" s="566"/>
      <c r="O250" s="567"/>
    </row>
    <row r="251" spans="3:15" ht="14.1" customHeight="1">
      <c r="D251" s="56"/>
      <c r="E251" s="82"/>
      <c r="F251" s="65"/>
      <c r="G251" s="565"/>
      <c r="H251" s="565"/>
      <c r="I251" s="565"/>
      <c r="J251" s="565"/>
      <c r="K251" s="565"/>
      <c r="L251" s="565"/>
      <c r="O251" s="567"/>
    </row>
    <row r="252" spans="3:15" ht="14.1" customHeight="1">
      <c r="C252" s="564"/>
      <c r="D252" s="564"/>
      <c r="E252" s="82"/>
      <c r="F252" s="65"/>
      <c r="G252" s="565"/>
      <c r="H252" s="565"/>
      <c r="I252" s="565"/>
      <c r="J252" s="565"/>
      <c r="K252" s="565"/>
      <c r="L252" s="565"/>
      <c r="O252" s="567"/>
    </row>
    <row r="253" spans="3:15" ht="14.1" customHeight="1">
      <c r="C253" s="564"/>
      <c r="D253" s="564"/>
      <c r="E253" s="82"/>
      <c r="F253" s="65"/>
      <c r="G253" s="565"/>
      <c r="H253" s="565"/>
      <c r="I253" s="565"/>
      <c r="J253" s="565"/>
      <c r="K253" s="565"/>
      <c r="L253" s="565"/>
      <c r="O253" s="567"/>
    </row>
    <row r="254" spans="3:15" ht="14.1" customHeight="1">
      <c r="D254" s="56"/>
      <c r="E254" s="82"/>
      <c r="F254" s="65"/>
      <c r="G254" s="565"/>
      <c r="H254" s="565"/>
      <c r="I254" s="565"/>
      <c r="J254" s="565"/>
      <c r="K254" s="565"/>
      <c r="L254" s="565"/>
      <c r="O254" s="567"/>
    </row>
    <row r="255" spans="3:15" ht="14.1" customHeight="1">
      <c r="C255" s="564"/>
      <c r="D255" s="564"/>
      <c r="E255" s="82"/>
      <c r="F255" s="65"/>
      <c r="G255" s="565"/>
      <c r="H255" s="565"/>
      <c r="I255" s="565"/>
      <c r="J255" s="565"/>
      <c r="K255" s="565"/>
      <c r="L255" s="565"/>
      <c r="O255" s="567"/>
    </row>
    <row r="256" spans="3:15" ht="14.1" customHeight="1">
      <c r="D256" s="564"/>
      <c r="E256" s="82"/>
      <c r="F256" s="65"/>
      <c r="G256" s="565"/>
      <c r="H256" s="565"/>
      <c r="I256" s="565"/>
      <c r="J256" s="565"/>
      <c r="K256" s="565"/>
      <c r="L256" s="565"/>
      <c r="O256" s="567"/>
    </row>
    <row r="257" spans="4:15" ht="14.1" customHeight="1">
      <c r="D257" s="56"/>
      <c r="E257" s="82"/>
      <c r="F257" s="65"/>
      <c r="G257" s="565"/>
      <c r="H257" s="565"/>
      <c r="I257" s="565"/>
      <c r="J257" s="565"/>
      <c r="K257" s="565"/>
      <c r="L257" s="565"/>
      <c r="O257" s="567"/>
    </row>
    <row r="258" spans="4:15" ht="14.1" customHeight="1">
      <c r="D258" s="564"/>
      <c r="E258" s="82"/>
      <c r="F258" s="65"/>
      <c r="G258" s="565"/>
      <c r="H258" s="565"/>
      <c r="I258" s="565"/>
      <c r="J258" s="565"/>
      <c r="K258" s="565"/>
      <c r="L258" s="565"/>
      <c r="O258" s="567"/>
    </row>
    <row r="259" spans="4:15" ht="14.1" customHeight="1">
      <c r="D259" s="564"/>
      <c r="E259" s="82"/>
      <c r="F259" s="65"/>
      <c r="G259" s="565"/>
      <c r="H259" s="565"/>
      <c r="I259" s="565"/>
      <c r="J259" s="565"/>
      <c r="K259" s="565"/>
      <c r="L259" s="565"/>
      <c r="O259" s="567"/>
    </row>
    <row r="260" spans="4:15" ht="14.1" customHeight="1">
      <c r="D260" s="56"/>
      <c r="E260" s="82"/>
      <c r="F260" s="65"/>
      <c r="G260" s="565"/>
      <c r="H260" s="565"/>
      <c r="I260" s="565"/>
      <c r="J260" s="565"/>
      <c r="K260" s="565"/>
      <c r="L260" s="565"/>
      <c r="O260" s="567"/>
    </row>
    <row r="261" spans="4:15" ht="14.1" customHeight="1">
      <c r="D261" s="564"/>
      <c r="E261" s="82"/>
      <c r="F261" s="65"/>
      <c r="G261" s="565"/>
      <c r="H261" s="565"/>
      <c r="I261" s="565"/>
      <c r="J261" s="565"/>
      <c r="K261" s="565"/>
      <c r="L261" s="565"/>
      <c r="O261" s="567"/>
    </row>
    <row r="262" spans="4:15" ht="14.1" customHeight="1">
      <c r="D262" s="564"/>
      <c r="E262" s="82"/>
      <c r="F262" s="65"/>
      <c r="G262" s="565"/>
      <c r="H262" s="565"/>
      <c r="I262" s="565"/>
      <c r="J262" s="565"/>
      <c r="K262" s="565"/>
      <c r="L262" s="565"/>
      <c r="O262" s="567"/>
    </row>
    <row r="263" spans="4:15" ht="14.1" customHeight="1">
      <c r="D263" s="56"/>
      <c r="E263" s="82"/>
      <c r="F263" s="65"/>
      <c r="G263" s="565"/>
      <c r="H263" s="565"/>
      <c r="I263" s="565"/>
      <c r="J263" s="565"/>
      <c r="K263" s="565"/>
      <c r="L263" s="565"/>
      <c r="O263" s="567"/>
    </row>
    <row r="264" spans="4:15" ht="14.1" customHeight="1">
      <c r="D264" s="564"/>
      <c r="E264" s="82"/>
      <c r="F264" s="65"/>
      <c r="G264" s="565"/>
      <c r="H264" s="565"/>
      <c r="I264" s="565"/>
      <c r="J264" s="565"/>
      <c r="K264" s="565"/>
      <c r="L264" s="565"/>
      <c r="O264" s="567"/>
    </row>
    <row r="265" spans="4:15" ht="14.1" customHeight="1">
      <c r="D265" s="556"/>
      <c r="E265" s="82"/>
      <c r="F265" s="65"/>
      <c r="G265" s="565"/>
      <c r="H265" s="565"/>
      <c r="I265" s="565"/>
      <c r="J265" s="565"/>
      <c r="K265" s="565"/>
      <c r="L265" s="565"/>
      <c r="O265" s="567"/>
    </row>
    <row r="266" spans="4:15" ht="14.1" customHeight="1">
      <c r="D266" s="556"/>
      <c r="E266" s="82"/>
      <c r="F266" s="65"/>
      <c r="G266" s="565"/>
      <c r="H266" s="565"/>
      <c r="I266" s="565"/>
      <c r="J266" s="565"/>
      <c r="K266" s="565"/>
      <c r="L266" s="565"/>
      <c r="O266" s="567"/>
    </row>
    <row r="267" spans="4:15" ht="14.1" customHeight="1">
      <c r="D267" s="556"/>
      <c r="E267" s="82"/>
      <c r="F267" s="65"/>
      <c r="G267" s="565"/>
      <c r="H267" s="565"/>
      <c r="I267" s="565"/>
      <c r="J267" s="565"/>
      <c r="K267" s="565"/>
      <c r="L267" s="565"/>
      <c r="O267" s="567"/>
    </row>
    <row r="268" spans="4:15" ht="14.1" customHeight="1">
      <c r="D268" s="556"/>
      <c r="E268" s="82"/>
      <c r="F268" s="65"/>
      <c r="G268" s="565"/>
      <c r="H268" s="565"/>
      <c r="I268" s="565"/>
      <c r="J268" s="565"/>
      <c r="K268" s="565"/>
      <c r="L268" s="565"/>
      <c r="O268" s="567"/>
    </row>
    <row r="269" spans="4:15" ht="14.1" customHeight="1">
      <c r="D269" s="556"/>
      <c r="E269" s="82"/>
      <c r="F269" s="65"/>
      <c r="G269" s="565"/>
      <c r="H269" s="565"/>
      <c r="I269" s="565"/>
      <c r="J269" s="565"/>
      <c r="K269" s="565"/>
      <c r="L269" s="565"/>
      <c r="O269" s="567"/>
    </row>
    <row r="270" spans="4:15" ht="14.1" customHeight="1">
      <c r="D270" s="556"/>
      <c r="E270" s="82"/>
      <c r="F270" s="65"/>
      <c r="G270" s="565"/>
      <c r="H270" s="565"/>
      <c r="I270" s="565"/>
      <c r="J270" s="565"/>
      <c r="K270" s="565"/>
      <c r="L270" s="565"/>
      <c r="O270" s="567"/>
    </row>
    <row r="271" spans="4:15" ht="14.1" customHeight="1">
      <c r="D271" s="556"/>
      <c r="E271" s="82"/>
      <c r="F271" s="65"/>
      <c r="G271" s="565"/>
      <c r="H271" s="565"/>
      <c r="I271" s="565"/>
      <c r="J271" s="565"/>
      <c r="K271" s="565"/>
      <c r="L271" s="565"/>
      <c r="O271" s="567"/>
    </row>
    <row r="272" spans="4:15" ht="14.1" customHeight="1">
      <c r="D272" s="556"/>
      <c r="E272" s="82"/>
      <c r="F272" s="65"/>
      <c r="G272" s="565"/>
      <c r="H272" s="565"/>
      <c r="I272" s="565"/>
      <c r="J272" s="565"/>
      <c r="K272" s="565"/>
      <c r="L272" s="565"/>
      <c r="O272" s="567"/>
    </row>
    <row r="273" spans="4:15" ht="14.1" customHeight="1">
      <c r="D273" s="556"/>
      <c r="E273" s="82"/>
      <c r="F273" s="65"/>
      <c r="G273" s="565"/>
      <c r="H273" s="565"/>
      <c r="I273" s="565"/>
      <c r="J273" s="565"/>
      <c r="K273" s="565"/>
      <c r="L273" s="565"/>
      <c r="O273" s="567"/>
    </row>
    <row r="274" spans="4:15" ht="14.1" customHeight="1">
      <c r="D274" s="556"/>
      <c r="E274" s="82"/>
      <c r="F274" s="65"/>
      <c r="G274" s="565"/>
      <c r="H274" s="565"/>
      <c r="I274" s="565"/>
      <c r="J274" s="565"/>
      <c r="K274" s="565"/>
      <c r="L274" s="565"/>
      <c r="O274" s="567"/>
    </row>
    <row r="275" spans="4:15" ht="14.1" customHeight="1">
      <c r="D275" s="556"/>
      <c r="E275" s="82"/>
      <c r="F275" s="65"/>
      <c r="G275" s="565"/>
      <c r="H275" s="565"/>
      <c r="I275" s="565"/>
      <c r="J275" s="565"/>
      <c r="K275" s="565"/>
      <c r="L275" s="565"/>
      <c r="O275" s="567"/>
    </row>
    <row r="276" spans="4:15" ht="14.1" customHeight="1">
      <c r="D276" s="556"/>
      <c r="E276" s="82"/>
      <c r="F276" s="65"/>
      <c r="G276" s="565"/>
      <c r="H276" s="565"/>
      <c r="I276" s="565"/>
      <c r="J276" s="565"/>
      <c r="K276" s="565"/>
      <c r="L276" s="565"/>
      <c r="O276" s="567"/>
    </row>
    <row r="277" spans="4:15" ht="14.1" customHeight="1">
      <c r="D277" s="556"/>
      <c r="E277" s="82"/>
      <c r="F277" s="65"/>
      <c r="G277" s="565"/>
      <c r="H277" s="565"/>
      <c r="I277" s="565"/>
      <c r="J277" s="565"/>
      <c r="K277" s="565"/>
      <c r="L277" s="565"/>
      <c r="O277" s="567"/>
    </row>
    <row r="278" spans="4:15" ht="14.1" customHeight="1">
      <c r="D278" s="556"/>
      <c r="E278" s="568"/>
      <c r="F278" s="65"/>
      <c r="G278" s="565"/>
      <c r="H278" s="565"/>
      <c r="I278" s="565"/>
      <c r="J278" s="565"/>
      <c r="K278" s="565"/>
      <c r="L278" s="565"/>
      <c r="O278" s="567"/>
    </row>
    <row r="279" spans="4:15" ht="14.1" customHeight="1">
      <c r="D279" s="556"/>
      <c r="E279" s="568"/>
      <c r="F279" s="65"/>
      <c r="G279" s="565"/>
      <c r="H279" s="565"/>
      <c r="I279" s="565"/>
      <c r="J279" s="565"/>
      <c r="K279" s="565"/>
      <c r="L279" s="565"/>
      <c r="O279" s="567"/>
    </row>
    <row r="280" spans="4:15" ht="14.1" customHeight="1">
      <c r="D280" s="556"/>
      <c r="E280" s="568"/>
      <c r="F280" s="65"/>
      <c r="G280" s="565"/>
      <c r="H280" s="565"/>
      <c r="I280" s="565"/>
      <c r="J280" s="565"/>
      <c r="K280" s="565"/>
      <c r="L280" s="565"/>
      <c r="O280" s="567"/>
    </row>
    <row r="281" spans="4:15">
      <c r="D281" s="556"/>
      <c r="E281" s="568"/>
      <c r="F281" s="65"/>
      <c r="G281" s="565"/>
      <c r="H281" s="565"/>
      <c r="I281" s="565"/>
      <c r="J281" s="565"/>
      <c r="K281" s="565"/>
      <c r="L281" s="565"/>
      <c r="O281" s="567"/>
    </row>
    <row r="282" spans="4:15">
      <c r="D282" s="556"/>
      <c r="E282" s="568"/>
      <c r="F282" s="65"/>
      <c r="G282" s="565"/>
      <c r="H282" s="565"/>
      <c r="I282" s="565"/>
      <c r="J282" s="565"/>
      <c r="K282" s="565"/>
      <c r="L282" s="565"/>
      <c r="O282" s="567"/>
    </row>
    <row r="283" spans="4:15">
      <c r="D283" s="556"/>
      <c r="E283" s="568"/>
      <c r="F283" s="65"/>
      <c r="G283" s="565"/>
      <c r="H283" s="565"/>
      <c r="I283" s="565"/>
      <c r="J283" s="565"/>
      <c r="K283" s="565"/>
      <c r="L283" s="565"/>
      <c r="O283" s="567"/>
    </row>
    <row r="284" spans="4:15">
      <c r="D284" s="556"/>
      <c r="E284" s="568"/>
      <c r="F284" s="65"/>
      <c r="G284" s="565"/>
      <c r="H284" s="565"/>
      <c r="I284" s="565"/>
      <c r="J284" s="565"/>
      <c r="K284" s="565"/>
      <c r="L284" s="565"/>
      <c r="O284" s="567"/>
    </row>
    <row r="285" spans="4:15">
      <c r="D285" s="556"/>
      <c r="E285" s="568"/>
      <c r="F285" s="65"/>
      <c r="G285" s="565"/>
      <c r="H285" s="565"/>
      <c r="I285" s="565"/>
      <c r="J285" s="565"/>
      <c r="K285" s="565"/>
      <c r="L285" s="565"/>
      <c r="O285" s="567"/>
    </row>
    <row r="286" spans="4:15">
      <c r="D286" s="556"/>
      <c r="E286" s="568"/>
      <c r="F286" s="65"/>
      <c r="G286" s="565"/>
      <c r="H286" s="565"/>
      <c r="I286" s="565"/>
      <c r="J286" s="565"/>
      <c r="K286" s="565"/>
      <c r="L286" s="565"/>
      <c r="O286" s="567"/>
    </row>
    <row r="287" spans="4:15">
      <c r="D287" s="556"/>
      <c r="E287" s="568"/>
      <c r="F287" s="65"/>
      <c r="G287" s="565"/>
      <c r="H287" s="565"/>
      <c r="I287" s="565"/>
      <c r="J287" s="565"/>
      <c r="K287" s="565"/>
      <c r="L287" s="565"/>
      <c r="O287" s="567"/>
    </row>
    <row r="288" spans="4:15">
      <c r="D288" s="556"/>
      <c r="E288" s="568"/>
      <c r="F288" s="65"/>
      <c r="G288" s="565"/>
      <c r="H288" s="565"/>
      <c r="I288" s="565"/>
      <c r="J288" s="565"/>
      <c r="K288" s="565"/>
      <c r="L288" s="565"/>
      <c r="O288" s="567"/>
    </row>
    <row r="289" spans="4:15">
      <c r="D289" s="556"/>
      <c r="E289" s="568"/>
      <c r="F289" s="65"/>
      <c r="G289" s="565"/>
      <c r="H289" s="565"/>
      <c r="I289" s="565"/>
      <c r="J289" s="565"/>
      <c r="K289" s="565"/>
      <c r="L289" s="565"/>
      <c r="O289" s="567"/>
    </row>
    <row r="290" spans="4:15">
      <c r="D290" s="556"/>
      <c r="E290" s="568"/>
      <c r="F290" s="65"/>
      <c r="G290" s="565"/>
      <c r="H290" s="565"/>
      <c r="I290" s="565"/>
      <c r="J290" s="565"/>
      <c r="K290" s="565"/>
      <c r="L290" s="565"/>
      <c r="O290" s="567"/>
    </row>
    <row r="291" spans="4:15">
      <c r="D291" s="556"/>
      <c r="E291" s="568"/>
      <c r="F291" s="65"/>
      <c r="G291" s="565"/>
      <c r="H291" s="565"/>
      <c r="I291" s="565"/>
      <c r="J291" s="565"/>
      <c r="K291" s="565"/>
      <c r="L291" s="565"/>
      <c r="O291" s="567"/>
    </row>
  </sheetData>
  <sheetProtection sheet="1" formatCells="0" formatColumns="0" formatRows="0" insertColumns="0" insertRows="0"/>
  <mergeCells count="95">
    <mergeCell ref="W49:W50"/>
    <mergeCell ref="P76:P77"/>
    <mergeCell ref="Q76:Q77"/>
    <mergeCell ref="R76:R77"/>
    <mergeCell ref="U21:U27"/>
    <mergeCell ref="W21:W27"/>
    <mergeCell ref="S28:S30"/>
    <mergeCell ref="T28:T30"/>
    <mergeCell ref="U28:U30"/>
    <mergeCell ref="W28:W30"/>
    <mergeCell ref="W36:W40"/>
    <mergeCell ref="S41:S47"/>
    <mergeCell ref="T41:T47"/>
    <mergeCell ref="U41:U47"/>
    <mergeCell ref="W41:W46"/>
    <mergeCell ref="W51:W58"/>
    <mergeCell ref="N28:N30"/>
    <mergeCell ref="O28:O30"/>
    <mergeCell ref="P28:P30"/>
    <mergeCell ref="Q28:Q30"/>
    <mergeCell ref="R28:R30"/>
    <mergeCell ref="N49:N50"/>
    <mergeCell ref="O49:O50"/>
    <mergeCell ref="P49:P50"/>
    <mergeCell ref="Q49:Q50"/>
    <mergeCell ref="O35:U35"/>
    <mergeCell ref="R49:R50"/>
    <mergeCell ref="S49:S50"/>
    <mergeCell ref="T49:T50"/>
    <mergeCell ref="U49:U50"/>
    <mergeCell ref="N41:N47"/>
    <mergeCell ref="O41:O47"/>
    <mergeCell ref="P41:P47"/>
    <mergeCell ref="Q41:Q47"/>
    <mergeCell ref="R41:R47"/>
    <mergeCell ref="S19:S20"/>
    <mergeCell ref="T19:T20"/>
    <mergeCell ref="U19:U20"/>
    <mergeCell ref="W19:W20"/>
    <mergeCell ref="N21:N27"/>
    <mergeCell ref="O21:O27"/>
    <mergeCell ref="P21:P27"/>
    <mergeCell ref="Q21:Q27"/>
    <mergeCell ref="R21:R27"/>
    <mergeCell ref="N19:N20"/>
    <mergeCell ref="O19:O20"/>
    <mergeCell ref="P19:P20"/>
    <mergeCell ref="Q19:Q20"/>
    <mergeCell ref="R19:R20"/>
    <mergeCell ref="S21:S27"/>
    <mergeCell ref="T21:T27"/>
    <mergeCell ref="S11:S17"/>
    <mergeCell ref="T11:T17"/>
    <mergeCell ref="U11:U17"/>
    <mergeCell ref="W11:W17"/>
    <mergeCell ref="F2:L2"/>
    <mergeCell ref="O2:U2"/>
    <mergeCell ref="O5:U5"/>
    <mergeCell ref="N11:N17"/>
    <mergeCell ref="O11:O17"/>
    <mergeCell ref="P11:P17"/>
    <mergeCell ref="Q11:Q17"/>
    <mergeCell ref="R11:R17"/>
    <mergeCell ref="R59:R62"/>
    <mergeCell ref="F110:L110"/>
    <mergeCell ref="N51:N58"/>
    <mergeCell ref="O51:O58"/>
    <mergeCell ref="P51:P58"/>
    <mergeCell ref="O64:U64"/>
    <mergeCell ref="N66:N74"/>
    <mergeCell ref="O66:O74"/>
    <mergeCell ref="P66:P74"/>
    <mergeCell ref="Q66:Q74"/>
    <mergeCell ref="R66:R74"/>
    <mergeCell ref="S66:S74"/>
    <mergeCell ref="T66:T74"/>
    <mergeCell ref="U66:U74"/>
    <mergeCell ref="N76:N77"/>
    <mergeCell ref="O76:O77"/>
    <mergeCell ref="F157:L157"/>
    <mergeCell ref="S76:S77"/>
    <mergeCell ref="T76:T77"/>
    <mergeCell ref="U76:U77"/>
    <mergeCell ref="S51:S58"/>
    <mergeCell ref="T51:T58"/>
    <mergeCell ref="U51:U58"/>
    <mergeCell ref="S59:S62"/>
    <mergeCell ref="T59:T62"/>
    <mergeCell ref="U59:U62"/>
    <mergeCell ref="Q51:Q58"/>
    <mergeCell ref="R51:R58"/>
    <mergeCell ref="N59:N62"/>
    <mergeCell ref="O59:O62"/>
    <mergeCell ref="P59:P62"/>
    <mergeCell ref="Q59:Q62"/>
  </mergeCells>
  <conditionalFormatting sqref="C256:C266">
    <cfRule type="containsText" dxfId="919" priority="99" operator="containsText" text="FL">
      <formula>NOT(ISERROR(SEARCH("FL",C256)))</formula>
    </cfRule>
    <cfRule type="containsText" dxfId="918" priority="100" operator="containsText" text="FT">
      <formula>NOT(ISERROR(SEARCH("FT",C256)))</formula>
    </cfRule>
    <cfRule type="containsText" dxfId="917" priority="101" operator="containsText" text="SS">
      <formula>NOT(ISERROR(SEARCH("SS",C256)))</formula>
    </cfRule>
    <cfRule type="containsText" dxfId="916" priority="102" operator="containsText" text="GR">
      <formula>NOT(ISERROR(SEARCH("GR",C256)))</formula>
    </cfRule>
    <cfRule type="containsText" dxfId="915" priority="103" operator="containsText" text="GO">
      <formula>NOT(ISERROR(SEARCH("GO",C256)))</formula>
    </cfRule>
  </conditionalFormatting>
  <conditionalFormatting sqref="D71 D109:D110">
    <cfRule type="containsText" dxfId="914" priority="91" operator="containsText" text="GR">
      <formula>NOT(ISERROR(SEARCH("GR",D71)))</formula>
    </cfRule>
  </conditionalFormatting>
  <conditionalFormatting sqref="D79:D80 D72:D77">
    <cfRule type="duplicateValues" dxfId="913" priority="81"/>
  </conditionalFormatting>
  <conditionalFormatting sqref="D83:D87">
    <cfRule type="duplicateValues" dxfId="912" priority="80"/>
  </conditionalFormatting>
  <conditionalFormatting sqref="D84:D85">
    <cfRule type="duplicateValues" dxfId="911" priority="77"/>
    <cfRule type="duplicateValues" dxfId="910" priority="78"/>
  </conditionalFormatting>
  <conditionalFormatting sqref="D88:D89">
    <cfRule type="duplicateValues" dxfId="909" priority="79"/>
  </conditionalFormatting>
  <conditionalFormatting sqref="D91">
    <cfRule type="duplicateValues" dxfId="908" priority="1"/>
  </conditionalFormatting>
  <conditionalFormatting sqref="D103:D106 D92:D101">
    <cfRule type="duplicateValues" dxfId="907" priority="75"/>
  </conditionalFormatting>
  <conditionalFormatting sqref="D106">
    <cfRule type="duplicateValues" dxfId="906" priority="73"/>
    <cfRule type="duplicateValues" dxfId="905" priority="74"/>
  </conditionalFormatting>
  <conditionalFormatting sqref="D108">
    <cfRule type="duplicateValues" dxfId="904" priority="76"/>
  </conditionalFormatting>
  <conditionalFormatting sqref="D184:D185 D177:D182">
    <cfRule type="duplicateValues" dxfId="903" priority="72"/>
  </conditionalFormatting>
  <conditionalFormatting sqref="D187:D191">
    <cfRule type="duplicateValues" dxfId="902" priority="71"/>
  </conditionalFormatting>
  <conditionalFormatting sqref="D188:D189">
    <cfRule type="duplicateValues" dxfId="901" priority="68"/>
    <cfRule type="duplicateValues" dxfId="900" priority="69"/>
  </conditionalFormatting>
  <conditionalFormatting sqref="D192">
    <cfRule type="duplicateValues" dxfId="899" priority="70"/>
  </conditionalFormatting>
  <conditionalFormatting sqref="D206:D209 D194:D204">
    <cfRule type="duplicateValues" dxfId="898" priority="66"/>
  </conditionalFormatting>
  <conditionalFormatting sqref="D209">
    <cfRule type="duplicateValues" dxfId="897" priority="64"/>
    <cfRule type="duplicateValues" dxfId="896" priority="65"/>
  </conditionalFormatting>
  <conditionalFormatting sqref="D211">
    <cfRule type="duplicateValues" dxfId="895" priority="67"/>
  </conditionalFormatting>
  <conditionalFormatting sqref="E8 E13">
    <cfRule type="containsText" dxfId="894" priority="92" operator="containsText" text="FC">
      <formula>NOT(ISERROR(SEARCH("FC",E8)))</formula>
    </cfRule>
    <cfRule type="containsText" dxfId="893" priority="93" operator="containsText" text="PAC">
      <formula>NOT(ISERROR(SEARCH("PAC",E8)))</formula>
    </cfRule>
    <cfRule type="containsText" dxfId="892" priority="94" operator="containsText" text="AA">
      <formula>NOT(ISERROR(SEARCH("AA",E8)))</formula>
    </cfRule>
    <cfRule type="containsText" dxfId="891" priority="95" operator="containsText" text="RC">
      <formula>NOT(ISERROR(SEARCH("RC",E8)))</formula>
    </cfRule>
    <cfRule type="containsText" dxfId="890" priority="96" operator="containsText" text="GC">
      <formula>NOT(ISERROR(SEARCH("GC",E8)))</formula>
    </cfRule>
    <cfRule type="containsText" dxfId="889" priority="97" operator="containsText" text="SSC">
      <formula>NOT(ISERROR(SEARCH("SSC",E8)))</formula>
    </cfRule>
    <cfRule type="containsText" dxfId="888" priority="98" operator="containsText" text="CSO">
      <formula>NOT(ISERROR(SEARCH("CSO",E8)))</formula>
    </cfRule>
  </conditionalFormatting>
  <conditionalFormatting sqref="E20 E26 E30">
    <cfRule type="containsText" dxfId="887" priority="104" operator="containsText" text="PAC">
      <formula>NOT(ISERROR(SEARCH("PAC",E20)))</formula>
    </cfRule>
    <cfRule type="containsText" dxfId="886" priority="105" operator="containsText" text="GC">
      <formula>NOT(ISERROR(SEARCH("GC",E20)))</formula>
    </cfRule>
  </conditionalFormatting>
  <conditionalFormatting sqref="E20 E26 E30:E31">
    <cfRule type="containsText" dxfId="885" priority="82" operator="containsText" text="PSSC">
      <formula>NOT(ISERROR(SEARCH("PSSC",E20)))</formula>
    </cfRule>
    <cfRule type="containsText" dxfId="884" priority="83" operator="containsText" text="ASSC">
      <formula>NOT(ISERROR(SEARCH("ASSC",E20)))</formula>
    </cfRule>
    <cfRule type="containsText" dxfId="883" priority="84" operator="containsText" text="CC">
      <formula>NOT(ISERROR(SEARCH("CC",E20)))</formula>
    </cfRule>
    <cfRule type="containsText" dxfId="882" priority="85" operator="containsText" text="CSO">
      <formula>NOT(ISERROR(SEARCH("CSO",E20)))</formula>
    </cfRule>
    <cfRule type="containsText" dxfId="881" priority="86" operator="containsText" text="FC">
      <formula>NOT(ISERROR(SEARCH("FC",E20)))</formula>
    </cfRule>
    <cfRule type="containsText" dxfId="880" priority="87" operator="containsText" text="RC">
      <formula>NOT(ISERROR(SEARCH("RC",E20)))</formula>
    </cfRule>
    <cfRule type="containsText" dxfId="879" priority="106" stopIfTrue="1" operator="containsText" text="AAC">
      <formula>NOT(ISERROR(SEARCH("AAC",E20)))</formula>
    </cfRule>
  </conditionalFormatting>
  <conditionalFormatting sqref="E20">
    <cfRule type="containsText" dxfId="878" priority="88" stopIfTrue="1" operator="containsText" text="AAC">
      <formula>NOT(ISERROR(SEARCH("AAC",E20)))</formula>
    </cfRule>
    <cfRule type="containsText" dxfId="877" priority="89" operator="containsText" text="PAC">
      <formula>NOT(ISERROR(SEARCH("PAC",E20)))</formula>
    </cfRule>
    <cfRule type="containsText" dxfId="876" priority="90" operator="containsText" text="GC">
      <formula>NOT(ISERROR(SEARCH("GC",E20)))</formula>
    </cfRule>
  </conditionalFormatting>
  <conditionalFormatting sqref="E50:E53">
    <cfRule type="containsText" dxfId="875" priority="10" operator="containsText" text="PSSC">
      <formula>NOT(ISERROR(SEARCH("PSSC",E50)))</formula>
    </cfRule>
    <cfRule type="containsText" dxfId="874" priority="11" operator="containsText" text="ASSC">
      <formula>NOT(ISERROR(SEARCH("ASSC",E50)))</formula>
    </cfRule>
    <cfRule type="containsText" dxfId="873" priority="12" operator="containsText" text="CC">
      <formula>NOT(ISERROR(SEARCH("CC",E50)))</formula>
    </cfRule>
    <cfRule type="containsText" dxfId="872" priority="13" operator="containsText" text="CSO">
      <formula>NOT(ISERROR(SEARCH("CSO",E50)))</formula>
    </cfRule>
    <cfRule type="containsText" dxfId="871" priority="14" operator="containsText" text="FC">
      <formula>NOT(ISERROR(SEARCH("FC",E50)))</formula>
    </cfRule>
    <cfRule type="containsText" dxfId="870" priority="15" operator="containsText" text="RC">
      <formula>NOT(ISERROR(SEARCH("RC",E50)))</formula>
    </cfRule>
    <cfRule type="containsText" dxfId="869" priority="16" operator="containsText" text="PAC">
      <formula>NOT(ISERROR(SEARCH("PAC",E50)))</formula>
    </cfRule>
    <cfRule type="containsText" dxfId="868" priority="17" operator="containsText" text="GC">
      <formula>NOT(ISERROR(SEARCH("GC",E50)))</formula>
    </cfRule>
    <cfRule type="containsText" dxfId="867" priority="18" stopIfTrue="1" operator="containsText" text="AAC">
      <formula>NOT(ISERROR(SEARCH("AAC",E50)))</formula>
    </cfRule>
  </conditionalFormatting>
  <conditionalFormatting sqref="F229:F242 G230:L242 G229:J229">
    <cfRule type="colorScale" priority="193">
      <colorScale>
        <cfvo type="num" val="0"/>
        <cfvo type="num" val="1"/>
        <cfvo type="num" val="2"/>
        <color theme="0"/>
        <color rgb="FFAFFC06"/>
        <color rgb="FFFF0000"/>
      </colorScale>
    </cfRule>
  </conditionalFormatting>
  <conditionalFormatting sqref="F88:G89">
    <cfRule type="containsText" dxfId="866" priority="38" operator="containsText" text="PL">
      <formula>NOT(ISERROR(SEARCH("PL",F88)))</formula>
    </cfRule>
    <cfRule type="containsText" dxfId="865" priority="39" operator="containsText" text="SW">
      <formula>NOT(ISERROR(SEARCH("SW",F88)))</formula>
    </cfRule>
    <cfRule type="containsText" dxfId="864" priority="40" operator="containsText" text="AT">
      <formula>NOT(ISERROR(SEARCH("AT",F88)))</formula>
    </cfRule>
    <cfRule type="containsText" dxfId="863" priority="41" operator="containsText" text="SS">
      <formula>NOT(ISERROR(SEARCH("SS",F88)))</formula>
    </cfRule>
  </conditionalFormatting>
  <conditionalFormatting sqref="F61:J61">
    <cfRule type="containsText" dxfId="862" priority="19" operator="containsText" text="CSO">
      <formula>NOT(ISERROR(SEARCH("CSO",F61)))</formula>
    </cfRule>
    <cfRule type="containsText" dxfId="861" priority="20" operator="containsText" text="FC">
      <formula>NOT(ISERROR(SEARCH("FC",F61)))</formula>
    </cfRule>
    <cfRule type="containsText" dxfId="860" priority="21" operator="containsText" text="SS">
      <formula>NOT(ISERROR(SEARCH("SS",F61)))</formula>
    </cfRule>
    <cfRule type="containsText" dxfId="859" priority="22" operator="containsText" text="RC">
      <formula>NOT(ISERROR(SEARCH("RC",F61)))</formula>
    </cfRule>
    <cfRule type="containsText" dxfId="858" priority="23" operator="containsText" text="PAC">
      <formula>NOT(ISERROR(SEARCH("PAC",F61)))</formula>
    </cfRule>
    <cfRule type="containsText" dxfId="857" priority="24" operator="containsText" text="AAC">
      <formula>NOT(ISERROR(SEARCH("AAC",F61)))</formula>
    </cfRule>
    <cfRule type="containsText" dxfId="856" priority="25" operator="containsText" text="GC">
      <formula>NOT(ISERROR(SEARCH("GC",F61)))</formula>
    </cfRule>
  </conditionalFormatting>
  <conditionalFormatting sqref="F63:J64">
    <cfRule type="cellIs" dxfId="855" priority="62" operator="lessThan">
      <formula>5</formula>
    </cfRule>
  </conditionalFormatting>
  <conditionalFormatting sqref="F8:L59">
    <cfRule type="containsText" dxfId="854" priority="44" operator="containsText" text="PAC">
      <formula>NOT(ISERROR(SEARCH("PAC",F8)))</formula>
    </cfRule>
    <cfRule type="containsText" dxfId="853" priority="45" operator="containsText" text="AAC">
      <formula>NOT(ISERROR(SEARCH("AAC",F8)))</formula>
    </cfRule>
    <cfRule type="containsText" dxfId="852" priority="46" operator="containsText" text="GC">
      <formula>NOT(ISERROR(SEARCH("GC",F8)))</formula>
    </cfRule>
    <cfRule type="containsText" dxfId="851" priority="47" operator="containsText" text="FC">
      <formula>NOT(ISERROR(SEARCH("FC",F8)))</formula>
    </cfRule>
    <cfRule type="containsText" dxfId="850" priority="48" operator="containsText" text="CC">
      <formula>NOT(ISERROR(SEARCH("CC",F8)))</formula>
    </cfRule>
    <cfRule type="containsText" dxfId="849" priority="49" operator="containsText" text="RC">
      <formula>NOT(ISERROR(SEARCH("RC",F8)))</formula>
    </cfRule>
    <cfRule type="containsText" dxfId="848" priority="50" operator="containsText" text="SSC">
      <formula>NOT(ISERROR(SEARCH("SSC",F8)))</formula>
    </cfRule>
    <cfRule type="containsText" dxfId="847" priority="51" operator="containsText" text="CSO">
      <formula>NOT(ISERROR(SEARCH("CSO",F8)))</formula>
    </cfRule>
  </conditionalFormatting>
  <conditionalFormatting sqref="F63:L63 F64:J64">
    <cfRule type="cellIs" dxfId="846" priority="63" operator="greaterThan">
      <formula>6</formula>
    </cfRule>
  </conditionalFormatting>
  <conditionalFormatting sqref="F66:L70">
    <cfRule type="containsText" dxfId="845" priority="42" operator="containsText" text="RC">
      <formula>NOT(ISERROR(SEARCH("RC",F66)))</formula>
    </cfRule>
    <cfRule type="containsText" dxfId="844" priority="43" operator="containsText" text="CC">
      <formula>NOT(ISERROR(SEARCH("CC",F66)))</formula>
    </cfRule>
  </conditionalFormatting>
  <conditionalFormatting sqref="F83:L85">
    <cfRule type="containsText" dxfId="843" priority="34" operator="containsText" text="PL">
      <formula>NOT(ISERROR(SEARCH("PL",F83)))</formula>
    </cfRule>
    <cfRule type="containsText" dxfId="842" priority="35" operator="containsText" text="SW">
      <formula>NOT(ISERROR(SEARCH("SW",F83)))</formula>
    </cfRule>
    <cfRule type="containsText" dxfId="841" priority="36" operator="containsText" text="AT">
      <formula>NOT(ISERROR(SEARCH("AT",F83)))</formula>
    </cfRule>
    <cfRule type="containsText" dxfId="840" priority="37" operator="containsText" text="SS">
      <formula>NOT(ISERROR(SEARCH("SS",F83)))</formula>
    </cfRule>
  </conditionalFormatting>
  <conditionalFormatting sqref="F170:L170">
    <cfRule type="cellIs" dxfId="839" priority="61" operator="greaterThan">
      <formula>3</formula>
    </cfRule>
  </conditionalFormatting>
  <conditionalFormatting sqref="F172:L172">
    <cfRule type="cellIs" dxfId="838" priority="60" operator="greaterThan">
      <formula>4</formula>
    </cfRule>
  </conditionalFormatting>
  <conditionalFormatting sqref="H86:I86">
    <cfRule type="containsText" dxfId="837" priority="30" operator="containsText" text="PL">
      <formula>NOT(ISERROR(SEARCH("PL",H86)))</formula>
    </cfRule>
    <cfRule type="containsText" dxfId="836" priority="31" operator="containsText" text="SW">
      <formula>NOT(ISERROR(SEARCH("SW",H86)))</formula>
    </cfRule>
    <cfRule type="containsText" dxfId="835" priority="32" operator="containsText" text="AT">
      <formula>NOT(ISERROR(SEARCH("AT",H86)))</formula>
    </cfRule>
    <cfRule type="containsText" dxfId="834" priority="33" operator="containsText" text="SS">
      <formula>NOT(ISERROR(SEARCH("SS",H86)))</formula>
    </cfRule>
  </conditionalFormatting>
  <conditionalFormatting sqref="K100">
    <cfRule type="containsText" dxfId="833" priority="2" operator="containsText" text="PL">
      <formula>NOT(ISERROR(SEARCH("PL",K100)))</formula>
    </cfRule>
    <cfRule type="containsText" dxfId="832" priority="3" operator="containsText" text="SW">
      <formula>NOT(ISERROR(SEARCH("SW",K100)))</formula>
    </cfRule>
    <cfRule type="containsText" dxfId="831" priority="4" operator="containsText" text="AT">
      <formula>NOT(ISERROR(SEARCH("AT",K100)))</formula>
    </cfRule>
    <cfRule type="containsText" dxfId="830" priority="5" operator="containsText" text="SS">
      <formula>NOT(ISERROR(SEARCH("SS",K100)))</formula>
    </cfRule>
  </conditionalFormatting>
  <conditionalFormatting sqref="K63:L64">
    <cfRule type="cellIs" dxfId="829" priority="52" operator="greaterThan">
      <formula>3</formula>
    </cfRule>
  </conditionalFormatting>
  <conditionalFormatting sqref="K87:L89">
    <cfRule type="containsText" dxfId="828" priority="26" operator="containsText" text="PL">
      <formula>NOT(ISERROR(SEARCH("PL",K87)))</formula>
    </cfRule>
    <cfRule type="containsText" dxfId="827" priority="27" operator="containsText" text="SW">
      <formula>NOT(ISERROR(SEARCH("SW",K87)))</formula>
    </cfRule>
    <cfRule type="containsText" dxfId="826" priority="28" operator="containsText" text="AT">
      <formula>NOT(ISERROR(SEARCH("AT",K87)))</formula>
    </cfRule>
    <cfRule type="containsText" dxfId="825" priority="29" operator="containsText" text="SS">
      <formula>NOT(ISERROR(SEARCH("SS",K87)))</formula>
    </cfRule>
  </conditionalFormatting>
  <conditionalFormatting sqref="L95">
    <cfRule type="containsText" dxfId="824" priority="6" operator="containsText" text="PL">
      <formula>NOT(ISERROR(SEARCH("PL",L95)))</formula>
    </cfRule>
    <cfRule type="containsText" dxfId="823" priority="7" operator="containsText" text="SW">
      <formula>NOT(ISERROR(SEARCH("SW",L95)))</formula>
    </cfRule>
    <cfRule type="containsText" dxfId="822" priority="8" operator="containsText" text="AT">
      <formula>NOT(ISERROR(SEARCH("AT",L95)))</formula>
    </cfRule>
    <cfRule type="containsText" dxfId="821" priority="9" operator="containsText" text="SS">
      <formula>NOT(ISERROR(SEARCH("SS",L95)))</formula>
    </cfRule>
  </conditionalFormatting>
  <conditionalFormatting sqref="N38:N40">
    <cfRule type="containsText" dxfId="820" priority="143" operator="containsText" text="NAMIT">
      <formula>NOT(ISERROR(SEARCH("NAMIT",N38)))</formula>
    </cfRule>
  </conditionalFormatting>
  <conditionalFormatting sqref="O6:U6">
    <cfRule type="notContainsErrors" dxfId="819" priority="147">
      <formula>NOT(ISERROR(O6))</formula>
    </cfRule>
  </conditionalFormatting>
  <conditionalFormatting sqref="O7:U7 O37:U37">
    <cfRule type="notContainsErrors" dxfId="818" priority="142">
      <formula>NOT(ISERROR(O7))</formula>
    </cfRule>
  </conditionalFormatting>
  <conditionalFormatting sqref="O8:U8">
    <cfRule type="notContainsErrors" dxfId="817" priority="145">
      <formula>NOT(ISERROR(O8))</formula>
    </cfRule>
  </conditionalFormatting>
  <conditionalFormatting sqref="O9:U9">
    <cfRule type="notContainsErrors" dxfId="816" priority="156">
      <formula>NOT(ISERROR(O9))</formula>
    </cfRule>
  </conditionalFormatting>
  <conditionalFormatting sqref="O10:U10">
    <cfRule type="notContainsErrors" dxfId="815" priority="137">
      <formula>NOT(ISERROR(O10))</formula>
    </cfRule>
  </conditionalFormatting>
  <conditionalFormatting sqref="O18:U18">
    <cfRule type="notContainsErrors" dxfId="814" priority="155">
      <formula>NOT(ISERROR(O18))</formula>
    </cfRule>
  </conditionalFormatting>
  <conditionalFormatting sqref="O36:U36">
    <cfRule type="notContainsErrors" dxfId="813" priority="148">
      <formula>NOT(ISERROR(O36))</formula>
    </cfRule>
  </conditionalFormatting>
  <conditionalFormatting sqref="O38:U38">
    <cfRule type="notContainsErrors" dxfId="812" priority="146">
      <formula>NOT(ISERROR(O38))</formula>
    </cfRule>
  </conditionalFormatting>
  <conditionalFormatting sqref="O39:U39">
    <cfRule type="notContainsErrors" dxfId="811" priority="139">
      <formula>NOT(ISERROR(O39))</formula>
    </cfRule>
  </conditionalFormatting>
  <conditionalFormatting sqref="O40:U40">
    <cfRule type="notContainsErrors" dxfId="810" priority="141">
      <formula>NOT(ISERROR(O40))</formula>
    </cfRule>
  </conditionalFormatting>
  <conditionalFormatting sqref="O48:U48">
    <cfRule type="notContainsErrors" dxfId="809" priority="140">
      <formula>NOT(ISERROR(O48))</formula>
    </cfRule>
  </conditionalFormatting>
  <conditionalFormatting sqref="O65:U65">
    <cfRule type="notContainsErrors" dxfId="808" priority="138">
      <formula>NOT(ISERROR(O65))</formula>
    </cfRule>
  </conditionalFormatting>
  <conditionalFormatting sqref="O75:U75">
    <cfRule type="notContainsErrors" dxfId="807" priority="144">
      <formula>NOT(ISERROR(O75))</formula>
    </cfRule>
  </conditionalFormatting>
  <conditionalFormatting sqref="V132:V1048576 P234:U1048576">
    <cfRule type="containsText" dxfId="806" priority="149" operator="containsText" text="SW">
      <formula>NOT(ISERROR(SEARCH("SW",P132)))</formula>
    </cfRule>
    <cfRule type="containsText" dxfId="805" priority="150" operator="containsText" text="FL">
      <formula>NOT(ISERROR(SEARCH("FL",P132)))</formula>
    </cfRule>
    <cfRule type="containsText" dxfId="804" priority="151" operator="containsText" text="FT">
      <formula>NOT(ISERROR(SEARCH("FT",P132)))</formula>
    </cfRule>
    <cfRule type="containsText" dxfId="803" priority="152" operator="containsText" text="SS">
      <formula>NOT(ISERROR(SEARCH("SS",P132)))</formula>
    </cfRule>
    <cfRule type="containsText" dxfId="802" priority="153" operator="containsText" text="GR">
      <formula>NOT(ISERROR(SEARCH("GR",P132)))</formula>
    </cfRule>
    <cfRule type="containsText" dxfId="801" priority="154" operator="containsText" text="GO">
      <formula>NOT(ISERROR(SEARCH("GO",P132)))</formula>
    </cfRule>
  </conditionalFormatting>
  <dataValidations count="1">
    <dataValidation type="list" allowBlank="1" showInputMessage="1" sqref="F133:L134 J135:L140 F112:G130 G135:H140 H113:H130 I112:J130 K113:L130" xr:uid="{4BBBFCE1-A6A6-D540-A0BE-4D5CDC3B4B57}">
      <formula1>#REF!</formula1>
    </dataValidation>
  </dataValidations>
  <pageMargins left="0.7" right="0.7" top="0.75" bottom="0.75" header="0.3" footer="0.3"/>
  <pageSetup paperSize="9" scale="6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9DC7-A2C6-8446-8DA4-6CE9CCA87E6B}">
  <sheetPr>
    <pageSetUpPr fitToPage="1"/>
  </sheetPr>
  <dimension ref="A1:W290"/>
  <sheetViews>
    <sheetView topLeftCell="H1" workbookViewId="0">
      <pane ySplit="4" topLeftCell="C84" activePane="bottomLeft" state="frozen"/>
      <selection pane="bottomLeft" activeCell="M1" sqref="M1"/>
      <selection activeCell="M1" sqref="M1"/>
    </sheetView>
  </sheetViews>
  <sheetFormatPr defaultColWidth="10.875" defaultRowHeight="14.25"/>
  <cols>
    <col min="1" max="2" width="10.875" style="56" hidden="1" customWidth="1"/>
    <col min="3" max="3" width="10.875" style="56" customWidth="1"/>
    <col min="4" max="4" width="15.5" style="72" customWidth="1"/>
    <col min="5" max="5" width="10.875" style="68" customWidth="1"/>
    <col min="6" max="6" width="10.875" style="66" customWidth="1"/>
    <col min="7" max="12" width="10.875" style="64" customWidth="1"/>
    <col min="13" max="13" width="10.875" style="56" customWidth="1"/>
    <col min="14" max="14" width="10.875" style="89" customWidth="1"/>
    <col min="15" max="15" width="10.875" style="112" customWidth="1"/>
    <col min="16" max="21" width="10.875" style="89" customWidth="1"/>
    <col min="22" max="23" width="10.875" style="34" customWidth="1"/>
    <col min="24" max="24" width="10.875" style="56" customWidth="1"/>
    <col min="25" max="16384" width="10.875" style="56"/>
  </cols>
  <sheetData>
    <row r="1" spans="1:23" ht="14.1" customHeight="1" thickBot="1">
      <c r="D1" s="57"/>
      <c r="E1" s="58"/>
      <c r="F1" s="59" t="str">
        <f t="shared" ref="F1:L1" si="0">CONCATENATE(F168,"-",F169,"-",F170,"-",F171,"-",F172)</f>
        <v>12-1-16-0-8</v>
      </c>
      <c r="G1" s="59" t="str">
        <f t="shared" si="0"/>
        <v>15-3-12-2-9</v>
      </c>
      <c r="H1" s="59" t="str">
        <f t="shared" si="0"/>
        <v>15-4-15-1-9</v>
      </c>
      <c r="I1" s="59" t="str">
        <f t="shared" si="0"/>
        <v>13-2-14-1-9</v>
      </c>
      <c r="J1" s="59" t="str">
        <f t="shared" si="0"/>
        <v>13-1-13-0-8</v>
      </c>
      <c r="K1" s="59" t="str">
        <f t="shared" si="0"/>
        <v>12-1-14-0-9</v>
      </c>
      <c r="L1" s="59" t="str">
        <f t="shared" si="0"/>
        <v>14-0-13-0-9</v>
      </c>
      <c r="O1" s="89" t="str">
        <f t="shared" ref="O1:U1" si="1">F1</f>
        <v>12-1-16-0-8</v>
      </c>
      <c r="P1" s="89" t="str">
        <f t="shared" si="1"/>
        <v>15-3-12-2-9</v>
      </c>
      <c r="Q1" s="89" t="str">
        <f t="shared" si="1"/>
        <v>15-4-15-1-9</v>
      </c>
      <c r="R1" s="89" t="str">
        <f t="shared" si="1"/>
        <v>13-2-14-1-9</v>
      </c>
      <c r="S1" s="89" t="str">
        <f t="shared" si="1"/>
        <v>13-1-13-0-8</v>
      </c>
      <c r="T1" s="89" t="str">
        <f t="shared" si="1"/>
        <v>12-1-14-0-9</v>
      </c>
      <c r="U1" s="89" t="str">
        <f t="shared" si="1"/>
        <v>14-0-13-0-9</v>
      </c>
    </row>
    <row r="2" spans="1:23" ht="14.1" customHeight="1" thickBot="1">
      <c r="C2" s="1" t="s">
        <v>0</v>
      </c>
      <c r="D2" s="1" t="s">
        <v>0</v>
      </c>
      <c r="E2" s="58"/>
      <c r="F2" s="802">
        <v>8</v>
      </c>
      <c r="G2" s="802"/>
      <c r="H2" s="802"/>
      <c r="I2" s="802"/>
      <c r="J2" s="802"/>
      <c r="K2" s="802"/>
      <c r="L2" s="802"/>
      <c r="O2" s="754">
        <f>F2</f>
        <v>8</v>
      </c>
      <c r="P2" s="755"/>
      <c r="Q2" s="755"/>
      <c r="R2" s="755"/>
      <c r="S2" s="755"/>
      <c r="T2" s="755"/>
      <c r="U2" s="756"/>
    </row>
    <row r="3" spans="1:23" ht="14.1" customHeight="1">
      <c r="A3" s="56" t="s">
        <v>297</v>
      </c>
      <c r="B3" s="56" t="s">
        <v>298</v>
      </c>
      <c r="C3" s="494" t="s">
        <v>299</v>
      </c>
      <c r="D3" s="494" t="s">
        <v>300</v>
      </c>
      <c r="E3" s="69" t="s">
        <v>5</v>
      </c>
      <c r="F3" s="22" t="s">
        <v>6</v>
      </c>
      <c r="G3" s="23" t="s">
        <v>7</v>
      </c>
      <c r="H3" s="23" t="s">
        <v>8</v>
      </c>
      <c r="I3" s="23" t="s">
        <v>9</v>
      </c>
      <c r="J3" s="23" t="s">
        <v>10</v>
      </c>
      <c r="K3" s="23" t="s">
        <v>11</v>
      </c>
      <c r="L3" s="24" t="s">
        <v>12</v>
      </c>
      <c r="O3" s="90" t="s">
        <v>6</v>
      </c>
      <c r="P3" s="91" t="s">
        <v>7</v>
      </c>
      <c r="Q3" s="91" t="s">
        <v>8</v>
      </c>
      <c r="R3" s="91" t="s">
        <v>9</v>
      </c>
      <c r="S3" s="91" t="s">
        <v>10</v>
      </c>
      <c r="T3" s="91" t="s">
        <v>11</v>
      </c>
      <c r="U3" s="92" t="s">
        <v>12</v>
      </c>
    </row>
    <row r="4" spans="1:23" ht="14.1" customHeight="1" thickBot="1">
      <c r="B4" s="56" t="s">
        <v>13</v>
      </c>
      <c r="C4" s="25"/>
      <c r="D4" s="25"/>
      <c r="E4" s="77"/>
      <c r="F4" s="26">
        <v>46104</v>
      </c>
      <c r="G4" s="27">
        <v>46105</v>
      </c>
      <c r="H4" s="27">
        <v>46106</v>
      </c>
      <c r="I4" s="27">
        <v>46107</v>
      </c>
      <c r="J4" s="27">
        <v>46108</v>
      </c>
      <c r="K4" s="27">
        <v>46109</v>
      </c>
      <c r="L4" s="27">
        <v>46110</v>
      </c>
      <c r="N4" s="93"/>
      <c r="O4" s="94">
        <f t="shared" ref="O4:U4" si="2">F4</f>
        <v>46104</v>
      </c>
      <c r="P4" s="95">
        <f t="shared" si="2"/>
        <v>46105</v>
      </c>
      <c r="Q4" s="95">
        <f t="shared" si="2"/>
        <v>46106</v>
      </c>
      <c r="R4" s="95">
        <f t="shared" si="2"/>
        <v>46107</v>
      </c>
      <c r="S4" s="95">
        <f t="shared" si="2"/>
        <v>46108</v>
      </c>
      <c r="T4" s="95">
        <f t="shared" si="2"/>
        <v>46109</v>
      </c>
      <c r="U4" s="96">
        <f t="shared" si="2"/>
        <v>46110</v>
      </c>
    </row>
    <row r="5" spans="1:23" ht="14.1" customHeight="1" thickBot="1">
      <c r="C5" s="2"/>
      <c r="D5" s="2"/>
      <c r="E5" s="81"/>
      <c r="F5" s="201"/>
      <c r="G5" s="202" t="s">
        <v>19</v>
      </c>
      <c r="H5" s="202"/>
      <c r="I5" s="60"/>
      <c r="J5" s="60"/>
      <c r="K5" s="60"/>
      <c r="L5" s="61"/>
      <c r="O5" s="757" t="s">
        <v>301</v>
      </c>
      <c r="P5" s="758"/>
      <c r="Q5" s="758"/>
      <c r="R5" s="758"/>
      <c r="S5" s="758"/>
      <c r="T5" s="758"/>
      <c r="U5" s="759"/>
      <c r="W5" s="34" t="s">
        <v>302</v>
      </c>
    </row>
    <row r="6" spans="1:23" ht="14.1" customHeight="1">
      <c r="C6" s="315" t="s">
        <v>26</v>
      </c>
      <c r="D6" s="315" t="s">
        <v>26</v>
      </c>
      <c r="E6" s="495"/>
      <c r="F6" s="317"/>
      <c r="G6" s="318"/>
      <c r="H6" s="318"/>
      <c r="I6" s="318"/>
      <c r="J6" s="318"/>
      <c r="K6" s="318"/>
      <c r="L6" s="319"/>
      <c r="N6" s="97" t="s">
        <v>303</v>
      </c>
      <c r="O6" s="98" t="str">
        <f t="shared" ref="O6:U6" si="3">INDEX($C7:$L187,MATCH("*AGC*",F7:F190,0),1)</f>
        <v>TARA K. SMS</v>
      </c>
      <c r="P6" s="99" t="str">
        <f t="shared" si="3"/>
        <v>TARA J. SMS</v>
      </c>
      <c r="Q6" s="99" t="str">
        <f t="shared" si="3"/>
        <v>RICHARD SMS</v>
      </c>
      <c r="R6" s="99" t="str">
        <f t="shared" si="3"/>
        <v>ERICA SMS</v>
      </c>
      <c r="S6" s="99" t="str">
        <f t="shared" si="3"/>
        <v>MADDY SMS</v>
      </c>
      <c r="T6" s="99" t="str">
        <f t="shared" si="3"/>
        <v>MAUREEN SMS</v>
      </c>
      <c r="U6" s="100" t="str">
        <f t="shared" si="3"/>
        <v>SCOTT SMS</v>
      </c>
      <c r="V6" s="34" t="s">
        <v>287</v>
      </c>
      <c r="W6" s="101"/>
    </row>
    <row r="7" spans="1:23" ht="14.1" customHeight="1">
      <c r="C7" s="496" t="s">
        <v>304</v>
      </c>
      <c r="D7" s="497" t="s">
        <v>27</v>
      </c>
      <c r="E7" s="498">
        <v>625982</v>
      </c>
      <c r="F7" s="569" t="s">
        <v>28</v>
      </c>
      <c r="G7" s="570"/>
      <c r="H7" s="570"/>
      <c r="I7" s="570"/>
      <c r="J7" s="570"/>
      <c r="K7" s="570"/>
      <c r="L7" s="571"/>
      <c r="N7" s="499" t="s">
        <v>305</v>
      </c>
      <c r="O7" s="102" t="str">
        <f t="shared" ref="O7:U7" si="4">INDEX($C7:$L187,MATCH("*AAC",F7:F189,0),1)</f>
        <v>SINDY SMS</v>
      </c>
      <c r="P7" s="500" t="str">
        <f t="shared" si="4"/>
        <v>MICHELLE SMS</v>
      </c>
      <c r="Q7" s="500" t="str">
        <f t="shared" si="4"/>
        <v>DIANA SMS</v>
      </c>
      <c r="R7" s="500" t="str">
        <f t="shared" si="4"/>
        <v xml:space="preserve">RACHEL SMS </v>
      </c>
      <c r="S7" s="500" t="str">
        <f t="shared" si="4"/>
        <v>RICHARD SMS</v>
      </c>
      <c r="T7" s="500" t="str">
        <f t="shared" si="4"/>
        <v>STEVE T SMS</v>
      </c>
      <c r="U7" s="501" t="str">
        <f t="shared" si="4"/>
        <v>ANDREW H SMS</v>
      </c>
      <c r="V7" s="34" t="s">
        <v>286</v>
      </c>
      <c r="W7" s="101"/>
    </row>
    <row r="8" spans="1:23" ht="14.1" customHeight="1">
      <c r="C8" s="497" t="s">
        <v>306</v>
      </c>
      <c r="D8" s="83" t="s">
        <v>29</v>
      </c>
      <c r="E8" s="502">
        <v>628936</v>
      </c>
      <c r="F8" s="211" t="s">
        <v>546</v>
      </c>
      <c r="G8" s="62" t="s">
        <v>547</v>
      </c>
      <c r="H8" s="62" t="s">
        <v>33</v>
      </c>
      <c r="I8" s="62" t="s">
        <v>33</v>
      </c>
      <c r="J8" s="62"/>
      <c r="K8" s="565"/>
      <c r="L8" s="577"/>
      <c r="N8" s="503" t="s">
        <v>307</v>
      </c>
      <c r="O8" s="102" t="e">
        <f t="shared" ref="O8:U8" si="5">INDEX($C7:$L187,MATCH("*ARC*",F7:F190,0),1)</f>
        <v>#N/A</v>
      </c>
      <c r="P8" s="500" t="str">
        <f t="shared" si="5"/>
        <v>STEVE T SMS</v>
      </c>
      <c r="Q8" s="500" t="str">
        <f t="shared" si="5"/>
        <v>NICOLA SMS</v>
      </c>
      <c r="R8" s="500" t="str">
        <f t="shared" si="5"/>
        <v>BEN SMS</v>
      </c>
      <c r="S8" s="500" t="str">
        <f t="shared" si="5"/>
        <v>JON SMS</v>
      </c>
      <c r="T8" s="500" t="e">
        <f t="shared" si="5"/>
        <v>#N/A</v>
      </c>
      <c r="U8" s="501" t="str">
        <f t="shared" si="5"/>
        <v>MADDY SMS</v>
      </c>
      <c r="V8" s="34" t="s">
        <v>285</v>
      </c>
      <c r="W8" s="101"/>
    </row>
    <row r="9" spans="1:23" ht="14.1" customHeight="1">
      <c r="C9" s="504" t="s">
        <v>308</v>
      </c>
      <c r="D9" s="723" t="s">
        <v>42</v>
      </c>
      <c r="E9" s="502">
        <v>628576</v>
      </c>
      <c r="F9" s="575" t="s">
        <v>33</v>
      </c>
      <c r="G9" s="565" t="s">
        <v>33</v>
      </c>
      <c r="H9" s="576"/>
      <c r="I9" s="566" t="s">
        <v>33</v>
      </c>
      <c r="J9" s="565" t="s">
        <v>43</v>
      </c>
      <c r="K9" s="565"/>
      <c r="L9" s="577" t="s">
        <v>37</v>
      </c>
      <c r="N9" s="505" t="s">
        <v>309</v>
      </c>
      <c r="O9" s="102" t="str">
        <f t="shared" ref="O9:U9" si="6">INDEX($C7:$L187,MATCH("*ASSC*",F7:F190,0),1)</f>
        <v>JULIA SMS</v>
      </c>
      <c r="P9" s="500" t="str">
        <f t="shared" si="6"/>
        <v>BRAD SMS</v>
      </c>
      <c r="Q9" s="500" t="str">
        <f t="shared" si="6"/>
        <v>QING SMS</v>
      </c>
      <c r="R9" s="500" t="str">
        <f t="shared" si="6"/>
        <v>JACQUELINE SMS</v>
      </c>
      <c r="S9" s="500" t="str">
        <f t="shared" si="6"/>
        <v>BEN SMS</v>
      </c>
      <c r="T9" s="500" t="str">
        <f t="shared" si="6"/>
        <v>SCOTT SMS</v>
      </c>
      <c r="U9" s="501" t="str">
        <f t="shared" si="6"/>
        <v>STEVE T SMS</v>
      </c>
      <c r="V9" s="34" t="s">
        <v>289</v>
      </c>
      <c r="W9" s="101"/>
    </row>
    <row r="10" spans="1:23" ht="14.1" customHeight="1">
      <c r="C10" s="504" t="s">
        <v>310</v>
      </c>
      <c r="D10" s="497" t="s">
        <v>45</v>
      </c>
      <c r="E10" s="506">
        <v>632647</v>
      </c>
      <c r="F10" s="575" t="s">
        <v>33</v>
      </c>
      <c r="G10" s="565" t="s">
        <v>33</v>
      </c>
      <c r="H10" s="565" t="s">
        <v>37</v>
      </c>
      <c r="I10" s="565"/>
      <c r="J10" s="576"/>
      <c r="K10" s="576"/>
      <c r="L10" s="579"/>
      <c r="N10" s="507" t="s">
        <v>311</v>
      </c>
      <c r="O10" s="102" t="str">
        <f t="shared" ref="O10:U10" si="7">INDEX($C6:$L186,MATCH("*ACC*",F6:F182,0),1)</f>
        <v>SUHAIL SMS</v>
      </c>
      <c r="P10" s="500" t="str">
        <f t="shared" si="7"/>
        <v>STEPHEN G SMS</v>
      </c>
      <c r="Q10" s="500" t="str">
        <f t="shared" si="7"/>
        <v>SAM CMO</v>
      </c>
      <c r="R10" s="500" t="e">
        <f t="shared" si="7"/>
        <v>#N/A</v>
      </c>
      <c r="S10" s="500" t="str">
        <f t="shared" si="7"/>
        <v>ANDY L  SMS</v>
      </c>
      <c r="T10" s="500" t="e">
        <f t="shared" si="7"/>
        <v>#N/A</v>
      </c>
      <c r="U10" s="501" t="str">
        <f t="shared" si="7"/>
        <v>SAM CMO</v>
      </c>
      <c r="V10" s="34" t="s">
        <v>288</v>
      </c>
      <c r="W10" s="101"/>
    </row>
    <row r="11" spans="1:23" ht="14.1" customHeight="1">
      <c r="C11" s="497" t="s">
        <v>312</v>
      </c>
      <c r="D11" s="497" t="s">
        <v>48</v>
      </c>
      <c r="E11" s="502">
        <v>279110</v>
      </c>
      <c r="F11" s="575" t="s">
        <v>33</v>
      </c>
      <c r="G11" s="565" t="s">
        <v>33</v>
      </c>
      <c r="H11" s="565" t="s">
        <v>47</v>
      </c>
      <c r="I11" s="565" t="s">
        <v>35</v>
      </c>
      <c r="J11" s="565"/>
      <c r="K11" s="565"/>
      <c r="L11" s="577"/>
      <c r="N11" s="733" t="s">
        <v>313</v>
      </c>
      <c r="O11" s="774" t="str" cm="1">
        <f t="array" ref="O11">_xlfn.TEXTJOIN(CHAR(10),TRUE,IF(F7:F110="0800-1800 AFC",$C7:$C110,""),IF(F7:F110="0800-1730 AFC",$C7:$C110,""),IF(F7:F110="0800-1800",$C7:$C110,""),IF(F7:F110="0800-1730",$C7:$C110,""))</f>
        <v>JACKIE SMS
WILLIAM SR
CHRISTINA JR
CHRISTOPHER JR</v>
      </c>
      <c r="P11" s="775" t="str" cm="1">
        <f t="array" ref="P11">_xlfn.TEXTJOIN(CHAR(10),TRUE,IF(G7:G110="0800-1800 AFC",$C7:$C110,""),IF(G7:G110="0800-1730 AFC",$C7:$C110,""),IF(G7:G110="0800-1800",$C7:$C110,""),IF(G7:G110="0800-1730",$C7:$C110,""))</f>
        <v>MARK SR
HANNAH IR
CHRISTOPHER JR
ADI JR</v>
      </c>
      <c r="Q11" s="775" t="str" cm="1">
        <f t="array" ref="Q11">_xlfn.TEXTJOIN(CHAR(10),TRUE,IF(H7:H110="0800-1800 AFC",$C7:$C110,""),IF(H7:H110="0800-1730 AFC",$C7:$C110,""),IF(H7:H110="0800-1800",$C7:$C110,""),IF(H7:H110="0800-1730",$C7:$C110,""))</f>
        <v>YAN SMS
HELEN SMS
TITUS CMO
SALEEM CMO</v>
      </c>
      <c r="R11" s="775" t="str" cm="1">
        <f t="array" ref="R11">_xlfn.TEXTJOIN(CHAR(10),TRUE,IF(I7:I110="0800-1800 AFC",$C7:$C110,""),IF(I7:I110="0800-1730 AFC",$C7:$C110,""),IF(I7:I110="0800-1800",$C7:$C110,""),IF(I7:I110="0800-1730",$C7:$C110,""))</f>
        <v>GIOVANA JR
ISOBEL JR
JEROME JR</v>
      </c>
      <c r="S11" s="775" t="str" cm="1">
        <f t="array" ref="S11">_xlfn.TEXTJOIN(CHAR(10),TRUE,IF(J7:J110="0800-1800 AFC",$C7:$C110,""),IF(J7:J110="0800-1730 AFC",$C7:$C110,""),IF(J7:J110="0800-1800",$C7:$C110,""),IF(J7:J110="0800-1730",$C7:$C110,""))</f>
        <v>JACQUELINE SMS
CHRISTOPHER JR
JEROME JR</v>
      </c>
      <c r="T11" s="775" t="str" cm="1">
        <f t="array" ref="T11">_xlfn.TEXTJOIN(CHAR(10),TRUE,IF(K7:K110="0800-1800 AFC",$C7:$C110,""),IF(K7:K110="0800-1730 AFC",$C7:$C110,""),IF(K7:K110="0800-1800",$C7:$C110,""),IF(K7:K110="0800-1730",$C7:$C110,""))</f>
        <v>AMY SR
JOSHUA IR
ADI JR</v>
      </c>
      <c r="U11" s="775" t="str" cm="1">
        <f t="array" ref="U11">_xlfn.TEXTJOIN(CHAR(10),TRUE,IF(L7:L110="0800-1800 AFC",$C7:$C110,""),IF(L7:L110="0800-1730 AFC",$C7:$C110,""),IF(L7:L110="0800-1800",$C7:$C110,""),IF(L7:L110="0800-1730",$C7:$C110,""))</f>
        <v>DENNIS SR
JOSHUA IR
ADI JR</v>
      </c>
      <c r="W11" s="772">
        <v>7</v>
      </c>
    </row>
    <row r="12" spans="1:23" ht="14.1" customHeight="1">
      <c r="C12" s="497" t="s">
        <v>314</v>
      </c>
      <c r="D12" s="497" t="s">
        <v>49</v>
      </c>
      <c r="E12" s="502">
        <v>213322</v>
      </c>
      <c r="F12" s="575" t="s">
        <v>50</v>
      </c>
      <c r="G12" s="565" t="s">
        <v>37</v>
      </c>
      <c r="H12" s="565" t="s">
        <v>44</v>
      </c>
      <c r="I12" s="565"/>
      <c r="J12" s="565"/>
      <c r="K12" s="565" t="s">
        <v>47</v>
      </c>
      <c r="L12" s="577" t="s">
        <v>40</v>
      </c>
      <c r="N12" s="734"/>
      <c r="O12" s="774"/>
      <c r="P12" s="775"/>
      <c r="Q12" s="775"/>
      <c r="R12" s="775"/>
      <c r="S12" s="775"/>
      <c r="T12" s="775"/>
      <c r="U12" s="775"/>
      <c r="W12" s="772"/>
    </row>
    <row r="13" spans="1:23" ht="14.1" customHeight="1">
      <c r="C13" s="497" t="s">
        <v>315</v>
      </c>
      <c r="D13" s="497" t="s">
        <v>51</v>
      </c>
      <c r="E13" s="502">
        <v>602997</v>
      </c>
      <c r="F13" s="595" t="s">
        <v>30</v>
      </c>
      <c r="G13" s="596"/>
      <c r="H13" s="596"/>
      <c r="I13" s="596"/>
      <c r="J13" s="596"/>
      <c r="K13" s="596"/>
      <c r="L13" s="597"/>
      <c r="N13" s="734"/>
      <c r="O13" s="774"/>
      <c r="P13" s="775"/>
      <c r="Q13" s="775"/>
      <c r="R13" s="775"/>
      <c r="S13" s="775"/>
      <c r="T13" s="775"/>
      <c r="U13" s="775"/>
      <c r="W13" s="772"/>
    </row>
    <row r="14" spans="1:23" ht="14.1" customHeight="1">
      <c r="C14" s="504" t="s">
        <v>316</v>
      </c>
      <c r="D14" s="504" t="s">
        <v>55</v>
      </c>
      <c r="E14" s="502">
        <v>646459</v>
      </c>
      <c r="F14" s="575"/>
      <c r="G14" s="566"/>
      <c r="H14" s="566" t="s">
        <v>40</v>
      </c>
      <c r="I14" s="566" t="s">
        <v>33</v>
      </c>
      <c r="J14" s="576"/>
      <c r="K14" s="565" t="s">
        <v>36</v>
      </c>
      <c r="L14" s="604" t="s">
        <v>38</v>
      </c>
      <c r="N14" s="734"/>
      <c r="O14" s="774"/>
      <c r="P14" s="775"/>
      <c r="Q14" s="775"/>
      <c r="R14" s="775"/>
      <c r="S14" s="775"/>
      <c r="T14" s="775"/>
      <c r="U14" s="775"/>
      <c r="W14" s="772"/>
    </row>
    <row r="15" spans="1:23" ht="14.1" customHeight="1">
      <c r="C15" s="497" t="s">
        <v>318</v>
      </c>
      <c r="D15" s="504" t="s">
        <v>56</v>
      </c>
      <c r="E15" s="502">
        <v>632594</v>
      </c>
      <c r="F15" s="581"/>
      <c r="G15" s="566" t="s">
        <v>50</v>
      </c>
      <c r="H15" s="566" t="s">
        <v>57</v>
      </c>
      <c r="I15" s="566"/>
      <c r="J15" s="565"/>
      <c r="K15" s="565" t="s">
        <v>38</v>
      </c>
      <c r="L15" s="577" t="s">
        <v>34</v>
      </c>
      <c r="N15" s="734"/>
      <c r="O15" s="774"/>
      <c r="P15" s="775"/>
      <c r="Q15" s="775"/>
      <c r="R15" s="775"/>
      <c r="S15" s="775"/>
      <c r="T15" s="775"/>
      <c r="U15" s="775"/>
      <c r="W15" s="772"/>
    </row>
    <row r="16" spans="1:23" ht="14.1" customHeight="1">
      <c r="C16" s="497" t="s">
        <v>319</v>
      </c>
      <c r="D16" s="497" t="s">
        <v>58</v>
      </c>
      <c r="E16" s="502">
        <v>541622</v>
      </c>
      <c r="F16" s="591" t="s">
        <v>342</v>
      </c>
      <c r="G16" s="578" t="s">
        <v>530</v>
      </c>
      <c r="H16" s="565" t="s">
        <v>33</v>
      </c>
      <c r="I16" s="565" t="s">
        <v>34</v>
      </c>
      <c r="J16" s="576"/>
      <c r="K16" s="583"/>
      <c r="L16" s="584"/>
      <c r="N16" s="734"/>
      <c r="O16" s="774"/>
      <c r="P16" s="775"/>
      <c r="Q16" s="775"/>
      <c r="R16" s="775"/>
      <c r="S16" s="775"/>
      <c r="T16" s="775"/>
      <c r="U16" s="775"/>
      <c r="W16" s="772"/>
    </row>
    <row r="17" spans="3:23" ht="14.1" customHeight="1">
      <c r="C17" s="504" t="s">
        <v>320</v>
      </c>
      <c r="D17" s="504" t="s">
        <v>59</v>
      </c>
      <c r="E17" s="508">
        <v>614941</v>
      </c>
      <c r="F17" s="575" t="s">
        <v>46</v>
      </c>
      <c r="G17" s="565"/>
      <c r="H17" s="590" t="s">
        <v>43</v>
      </c>
      <c r="I17" s="76" t="s">
        <v>50</v>
      </c>
      <c r="J17" s="565" t="s">
        <v>47</v>
      </c>
      <c r="K17" s="565"/>
      <c r="L17" s="577"/>
      <c r="N17" s="773"/>
      <c r="O17" s="774"/>
      <c r="P17" s="775"/>
      <c r="Q17" s="775"/>
      <c r="R17" s="775"/>
      <c r="S17" s="775"/>
      <c r="T17" s="775"/>
      <c r="U17" s="775"/>
      <c r="W17" s="772"/>
    </row>
    <row r="18" spans="3:23" ht="14.1" customHeight="1">
      <c r="C18" s="497" t="s">
        <v>321</v>
      </c>
      <c r="D18" s="497" t="s">
        <v>63</v>
      </c>
      <c r="E18" s="502">
        <v>600989</v>
      </c>
      <c r="F18" s="569" t="s">
        <v>28</v>
      </c>
      <c r="G18" s="570"/>
      <c r="H18" s="570"/>
      <c r="I18" s="570"/>
      <c r="J18" s="570"/>
      <c r="K18" s="570"/>
      <c r="L18" s="571"/>
      <c r="N18" s="510" t="s">
        <v>322</v>
      </c>
      <c r="O18" s="102" t="str">
        <f t="shared" ref="O18:U18" si="8">INDEX($C7:$L187,MATCH("*AHJ*",F7:F190,0),1)</f>
        <v>AARON B. HMO</v>
      </c>
      <c r="P18" s="102" t="str">
        <f t="shared" si="8"/>
        <v>LISA HMO</v>
      </c>
      <c r="Q18" s="102" t="e">
        <f t="shared" si="8"/>
        <v>#N/A</v>
      </c>
      <c r="R18" s="102" t="str">
        <f t="shared" si="8"/>
        <v>MILOS HMO</v>
      </c>
      <c r="S18" s="102" t="str">
        <f t="shared" si="8"/>
        <v>ZOBIA HMO</v>
      </c>
      <c r="T18" s="102" t="str">
        <f t="shared" si="8"/>
        <v>MASON HMO</v>
      </c>
      <c r="U18" s="102" t="str">
        <f t="shared" si="8"/>
        <v>WATHSALA HMO</v>
      </c>
      <c r="V18" s="34" t="s">
        <v>323</v>
      </c>
      <c r="W18" s="89">
        <v>1</v>
      </c>
    </row>
    <row r="19" spans="3:23" ht="14.1" customHeight="1">
      <c r="C19" s="511" t="s">
        <v>324</v>
      </c>
      <c r="D19" s="497" t="s">
        <v>64</v>
      </c>
      <c r="E19" s="502">
        <v>628578</v>
      </c>
      <c r="F19" s="682" t="s">
        <v>67</v>
      </c>
      <c r="G19" s="644"/>
      <c r="H19" s="683"/>
      <c r="I19" s="215"/>
      <c r="J19" s="644"/>
      <c r="K19" s="644"/>
      <c r="L19" s="684"/>
      <c r="N19" s="776" t="s">
        <v>325</v>
      </c>
      <c r="O19" s="777" t="str" cm="1">
        <f t="array" ref="O19">_xlfn.TEXTJOIN(CHAR(10),TRUE,_xlfn._xlws.FILTER($C7:$C183,RIGHT(F7:F183,LEN("ASSJ"))="ASSJ",""))</f>
        <v>PHILLIP HMO</v>
      </c>
      <c r="P19" s="750" t="str" cm="1">
        <f t="array" ref="P19">_xlfn.TEXTJOIN(CHAR(10),TRUE,_xlfn._xlws.FILTER($C7:$C183,RIGHT(G7:G183,LEN("ASSJ"))="ASSJ",""))</f>
        <v>AARON B. HMO</v>
      </c>
      <c r="Q19" s="750" t="str" cm="1">
        <f t="array" ref="Q19">_xlfn.TEXTJOIN(CHAR(10),TRUE,_xlfn._xlws.FILTER($C7:$C183,RIGHT(H7:H183,LEN("ASSJ"))="ASSJ",""))</f>
        <v>BRENDAN HMO</v>
      </c>
      <c r="R19" s="750" t="str" cm="1">
        <f t="array" ref="R19">_xlfn.TEXTJOIN(CHAR(10),TRUE,_xlfn._xlws.FILTER($C7:$C183,RIGHT(I7:I183,LEN("ASSJ"))="ASSJ",""))</f>
        <v>LISA HMO</v>
      </c>
      <c r="S19" s="750" t="str" cm="1">
        <f t="array" ref="S19">_xlfn.TEXTJOIN(CHAR(10),TRUE,_xlfn._xlws.FILTER($C7:$C183,RIGHT(J7:J183,LEN("ASSJ"))="ASSJ",""))</f>
        <v>AARON G. HMO</v>
      </c>
      <c r="T19" s="750" t="str" cm="1">
        <f t="array" ref="T19">_xlfn.TEXTJOIN(CHAR(10),TRUE,_xlfn._xlws.FILTER($C7:$C183,RIGHT(K7:K183,LEN("ASSJ"))="ASSJ",""))</f>
        <v>ANKUSH HMO</v>
      </c>
      <c r="U19" s="788" t="str" cm="1">
        <f t="array" ref="U19">_xlfn.TEXTJOIN(CHAR(10),TRUE,_xlfn._xlws.FILTER($C7:$C183,RIGHT(L7:L183,LEN("ASSJ"))="ASSJ",""))</f>
        <v>BRIANNA HMO</v>
      </c>
      <c r="V19" s="34" t="s">
        <v>326</v>
      </c>
      <c r="W19" s="772">
        <v>2</v>
      </c>
    </row>
    <row r="20" spans="3:23" ht="14.1" customHeight="1">
      <c r="C20" s="497" t="s">
        <v>327</v>
      </c>
      <c r="D20" s="504" t="s">
        <v>68</v>
      </c>
      <c r="E20" s="512">
        <v>628603</v>
      </c>
      <c r="F20" s="582" t="s">
        <v>69</v>
      </c>
      <c r="G20" s="576"/>
      <c r="H20" s="576"/>
      <c r="I20" s="576"/>
      <c r="J20" s="576"/>
      <c r="K20" s="583"/>
      <c r="L20" s="584"/>
      <c r="N20" s="776"/>
      <c r="O20" s="777"/>
      <c r="P20" s="750"/>
      <c r="Q20" s="750"/>
      <c r="R20" s="750"/>
      <c r="S20" s="750"/>
      <c r="T20" s="750"/>
      <c r="U20" s="788"/>
      <c r="W20" s="772"/>
    </row>
    <row r="21" spans="3:23" ht="14.1" customHeight="1">
      <c r="C21" s="513" t="s">
        <v>329</v>
      </c>
      <c r="D21" s="504" t="s">
        <v>71</v>
      </c>
      <c r="E21" s="113">
        <v>631416</v>
      </c>
      <c r="F21" s="582" t="s">
        <v>69</v>
      </c>
      <c r="G21" s="576"/>
      <c r="H21" s="576"/>
      <c r="I21" s="576"/>
      <c r="J21" s="576"/>
      <c r="K21" s="583"/>
      <c r="L21" s="584"/>
      <c r="N21" s="733" t="s">
        <v>330</v>
      </c>
      <c r="O21" s="777" t="str" cm="1">
        <f t="array" ref="O21">_xlfn.TEXTJOIN(CHAR(10),TRUE,IF(F111:F183="0800-1730",$C111:$C183,""))</f>
        <v>ANKUSH HMO
MILOS HMO</v>
      </c>
      <c r="P21" s="750" t="str" cm="1">
        <f t="array" ref="P21">_xlfn.TEXTJOIN(CHAR(10),TRUE,IF(G111:G183="0800-1730",$C111:$C183,""))</f>
        <v xml:space="preserve">BRIANNA HMO
NATHAN HMO
Peter INT
Jayce INT </v>
      </c>
      <c r="Q21" s="750" t="str" cm="1">
        <f t="array" ref="Q21">_xlfn.TEXTJOIN(CHAR(10),TRUE,IF(H111:H183="0800-1730",$C111:$C183,""))</f>
        <v xml:space="preserve">MILOS HMO
LISA HMO
Delia INT
Peter INT
Jayce INT </v>
      </c>
      <c r="R21" s="750" t="str" cm="1">
        <f t="array" ref="R21">_xlfn.TEXTJOIN(CHAR(10),TRUE,IF(I111:I183="0800-1730",$C111:$C183,""))</f>
        <v xml:space="preserve">AARON G. HMO
HARRISON HMO
Delia INT
Jayce INT </v>
      </c>
      <c r="S21" s="750" t="str" cm="1">
        <f t="array" ref="S21">_xlfn.TEXTJOIN(CHAR(10),TRUE,IF(J111:J183="0800-1730",$C111:$C183,""))</f>
        <v xml:space="preserve">BRENDAN HMO
Jason INT
Jayce INT </v>
      </c>
      <c r="T21" s="750" t="str" cm="1">
        <f t="array" ref="T21">_xlfn.TEXTJOIN(CHAR(10),TRUE,IF(K111:K183="0800-1730",$C111:$C183,""))</f>
        <v>BRIANNA HMO
TRAM HMO
Peter INT
Sewni INT</v>
      </c>
      <c r="U21" s="750" t="str" cm="1">
        <f t="array" ref="U21">_xlfn.TEXTJOIN(CHAR(10),TRUE,IF(L111:L183="0800-1730",$C111:$C183,""))</f>
        <v>MASON HMO
TRAM HMO
Peter INT
Sewni INT</v>
      </c>
      <c r="W21" s="772">
        <v>7</v>
      </c>
    </row>
    <row r="22" spans="3:23" ht="14.1" customHeight="1">
      <c r="C22" s="80" t="s">
        <v>331</v>
      </c>
      <c r="D22" s="514" t="s">
        <v>73</v>
      </c>
      <c r="E22" s="515">
        <v>613670</v>
      </c>
      <c r="F22" s="575" t="s">
        <v>34</v>
      </c>
      <c r="G22" s="565"/>
      <c r="H22" s="565" t="s">
        <v>33</v>
      </c>
      <c r="I22" s="565" t="s">
        <v>43</v>
      </c>
      <c r="J22" s="565" t="s">
        <v>35</v>
      </c>
      <c r="K22" s="565"/>
      <c r="L22" s="577"/>
      <c r="N22" s="734"/>
      <c r="O22" s="777"/>
      <c r="P22" s="750"/>
      <c r="Q22" s="750"/>
      <c r="R22" s="750"/>
      <c r="S22" s="750"/>
      <c r="T22" s="750"/>
      <c r="U22" s="750"/>
      <c r="W22" s="772"/>
    </row>
    <row r="23" spans="3:23" ht="14.1" customHeight="1">
      <c r="C23" s="511" t="s">
        <v>332</v>
      </c>
      <c r="D23" s="504" t="s">
        <v>76</v>
      </c>
      <c r="E23" s="516">
        <v>621988</v>
      </c>
      <c r="F23" s="682" t="s">
        <v>66</v>
      </c>
      <c r="G23" s="683"/>
      <c r="H23" s="215"/>
      <c r="I23" s="215"/>
      <c r="J23" s="644"/>
      <c r="K23" s="644"/>
      <c r="L23" s="684"/>
      <c r="N23" s="734"/>
      <c r="O23" s="777"/>
      <c r="P23" s="750"/>
      <c r="Q23" s="750"/>
      <c r="R23" s="750"/>
      <c r="S23" s="750"/>
      <c r="T23" s="750"/>
      <c r="U23" s="750"/>
      <c r="W23" s="772"/>
    </row>
    <row r="24" spans="3:23" ht="14.1" customHeight="1">
      <c r="C24" s="497" t="s">
        <v>333</v>
      </c>
      <c r="D24" s="497" t="s">
        <v>79</v>
      </c>
      <c r="E24" s="502">
        <v>609408</v>
      </c>
      <c r="F24" s="582" t="s">
        <v>77</v>
      </c>
      <c r="G24" s="576"/>
      <c r="H24" s="576"/>
      <c r="I24" s="576"/>
      <c r="J24" s="576"/>
      <c r="K24" s="576"/>
      <c r="L24" s="579"/>
      <c r="N24" s="734"/>
      <c r="O24" s="777"/>
      <c r="P24" s="750"/>
      <c r="Q24" s="750"/>
      <c r="R24" s="750"/>
      <c r="S24" s="750"/>
      <c r="T24" s="750"/>
      <c r="U24" s="750"/>
      <c r="W24" s="772"/>
    </row>
    <row r="25" spans="3:23" ht="14.1" customHeight="1">
      <c r="C25" s="511" t="s">
        <v>334</v>
      </c>
      <c r="D25" s="497" t="s">
        <v>81</v>
      </c>
      <c r="E25" s="516">
        <v>632646</v>
      </c>
      <c r="F25" s="595" t="s">
        <v>30</v>
      </c>
      <c r="G25" s="596"/>
      <c r="H25" s="596"/>
      <c r="I25" s="596"/>
      <c r="J25" s="596"/>
      <c r="K25" s="596"/>
      <c r="L25" s="597"/>
      <c r="N25" s="734"/>
      <c r="O25" s="777"/>
      <c r="P25" s="750"/>
      <c r="Q25" s="750"/>
      <c r="R25" s="750"/>
      <c r="S25" s="750"/>
      <c r="T25" s="750"/>
      <c r="U25" s="750"/>
      <c r="W25" s="772"/>
    </row>
    <row r="26" spans="3:23" ht="14.1" customHeight="1">
      <c r="C26" s="511" t="s">
        <v>335</v>
      </c>
      <c r="D26" s="497" t="s">
        <v>82</v>
      </c>
      <c r="E26" s="517">
        <v>634491</v>
      </c>
      <c r="F26" s="587" t="s">
        <v>77</v>
      </c>
      <c r="G26" s="588"/>
      <c r="H26" s="588"/>
      <c r="I26" s="588"/>
      <c r="J26" s="588"/>
      <c r="K26" s="588"/>
      <c r="L26" s="579"/>
      <c r="N26" s="734"/>
      <c r="O26" s="777"/>
      <c r="P26" s="750"/>
      <c r="Q26" s="750"/>
      <c r="R26" s="750"/>
      <c r="S26" s="750"/>
      <c r="T26" s="750"/>
      <c r="U26" s="750"/>
      <c r="W26" s="772"/>
    </row>
    <row r="27" spans="3:23" ht="14.1" customHeight="1" thickBot="1">
      <c r="C27" s="518" t="s">
        <v>83</v>
      </c>
      <c r="D27" s="518" t="s">
        <v>336</v>
      </c>
      <c r="E27" s="519"/>
      <c r="F27" s="316"/>
      <c r="G27" s="378"/>
      <c r="H27" s="378"/>
      <c r="I27" s="378"/>
      <c r="J27" s="378"/>
      <c r="K27" s="378"/>
      <c r="L27" s="319"/>
      <c r="N27" s="773"/>
      <c r="O27" s="777"/>
      <c r="P27" s="750"/>
      <c r="Q27" s="750"/>
      <c r="R27" s="750"/>
      <c r="S27" s="750"/>
      <c r="T27" s="750"/>
      <c r="U27" s="750"/>
      <c r="W27" s="772"/>
    </row>
    <row r="28" spans="3:23" ht="14.1" customHeight="1">
      <c r="C28" s="497" t="s">
        <v>337</v>
      </c>
      <c r="D28" s="497" t="s">
        <v>84</v>
      </c>
      <c r="E28" s="502">
        <v>502961</v>
      </c>
      <c r="F28" s="575" t="s">
        <v>95</v>
      </c>
      <c r="G28" s="565" t="s">
        <v>90</v>
      </c>
      <c r="H28" s="565"/>
      <c r="I28" s="565"/>
      <c r="J28" s="565"/>
      <c r="K28" s="565" t="s">
        <v>86</v>
      </c>
      <c r="L28" s="577"/>
      <c r="N28" s="778" t="s">
        <v>338</v>
      </c>
      <c r="O28" s="816" t="str" cm="1">
        <f t="array" ref="O28">_xlfn.TEXTJOIN(CHAR(10),TRUE,_xlfn._xlws.FILTER($C7:$C183,RIGHT(F7:F183,LEN("SWA"))="SWA",""))</f>
        <v>DESLIN JR</v>
      </c>
      <c r="P28" s="770" t="str" cm="1">
        <f t="array" ref="P28">_xlfn.TEXTJOIN(CHAR(10),TRUE,_xlfn._xlws.FILTER($C7:$C183,RIGHT(G7:G183,LEN("SWA"))="SWA",""))</f>
        <v>Delia INT
Jean-Luc INT
May INT</v>
      </c>
      <c r="Q28" s="770" t="str" cm="1">
        <f t="array" ref="Q28">_xlfn.TEXTJOIN(CHAR(10),TRUE,_xlfn._xlws.FILTER($C7:$C183,RIGHT(H7:H183,LEN("SWA"))="SWA",""))</f>
        <v>HEATHER CMO
HARRISON HMO
Iolanda INT
Jason INT</v>
      </c>
      <c r="R28" s="770" t="str" cm="1">
        <f t="array" ref="R28">_xlfn.TEXTJOIN(CHAR(10),TRUE,_xlfn._xlws.FILTER($C7:$C183,RIGHT(I7:I183,LEN("SWA"))="SWA",""))</f>
        <v>MARK SR
Peter INT</v>
      </c>
      <c r="S28" s="770" t="str" cm="1">
        <f t="array" ref="S28">_xlfn.TEXTJOIN(CHAR(10),TRUE,_xlfn._xlws.FILTER($C7:$C183,RIGHT(J7:J183,LEN("SWA"))="SWA",""))</f>
        <v>ADI JR</v>
      </c>
      <c r="T28" s="770" t="str" cm="1">
        <f t="array" ref="T28">_xlfn.TEXTJOIN(CHAR(10),TRUE,_xlfn._xlws.FILTER($C7:$C183,RIGHT(K7:K183,LEN("SWA"))="SWA",""))</f>
        <v>RAMI SMS</v>
      </c>
      <c r="U28" s="770" t="str" cm="1">
        <f t="array" ref="U28">_xlfn.TEXTJOIN(CHAR(10),TRUE,_xlfn._xlws.FILTER($C7:$C183,RIGHT(L7:L183,LEN("SWA"))="SWA",""))</f>
        <v/>
      </c>
      <c r="V28" s="34" t="s">
        <v>339</v>
      </c>
      <c r="W28" s="772">
        <v>3</v>
      </c>
    </row>
    <row r="29" spans="3:23" ht="14.1" customHeight="1">
      <c r="C29" s="497" t="s">
        <v>340</v>
      </c>
      <c r="D29" s="497" t="s">
        <v>96</v>
      </c>
      <c r="E29" s="502">
        <v>601096</v>
      </c>
      <c r="F29" s="589"/>
      <c r="G29" s="590" t="s">
        <v>43</v>
      </c>
      <c r="H29" s="590" t="s">
        <v>50</v>
      </c>
      <c r="I29" s="565"/>
      <c r="J29" s="590" t="s">
        <v>38</v>
      </c>
      <c r="K29" s="565"/>
      <c r="L29" s="577"/>
      <c r="N29" s="779"/>
      <c r="O29" s="737"/>
      <c r="P29" s="740"/>
      <c r="Q29" s="740"/>
      <c r="R29" s="740"/>
      <c r="S29" s="740"/>
      <c r="T29" s="740"/>
      <c r="U29" s="740"/>
      <c r="W29" s="772"/>
    </row>
    <row r="30" spans="3:23" ht="14.1" customHeight="1">
      <c r="C30" s="497" t="s">
        <v>341</v>
      </c>
      <c r="D30" s="497" t="s">
        <v>97</v>
      </c>
      <c r="E30" s="502">
        <v>260509</v>
      </c>
      <c r="F30" s="592" t="s">
        <v>98</v>
      </c>
      <c r="G30" s="593"/>
      <c r="H30" s="593"/>
      <c r="I30" s="593"/>
      <c r="J30" s="593"/>
      <c r="K30" s="593"/>
      <c r="L30" s="594"/>
      <c r="N30" s="779"/>
      <c r="O30" s="737"/>
      <c r="P30" s="740"/>
      <c r="Q30" s="740"/>
      <c r="R30" s="740"/>
      <c r="S30" s="740"/>
      <c r="T30" s="740"/>
      <c r="U30" s="740"/>
      <c r="W30" s="772"/>
    </row>
    <row r="31" spans="3:23" ht="14.1" customHeight="1" thickBot="1">
      <c r="C31" s="504" t="s">
        <v>343</v>
      </c>
      <c r="D31" s="504" t="s">
        <v>99</v>
      </c>
      <c r="E31" s="502">
        <v>603237</v>
      </c>
      <c r="F31" s="576" t="s">
        <v>33</v>
      </c>
      <c r="G31" s="565" t="s">
        <v>40</v>
      </c>
      <c r="H31" s="565"/>
      <c r="I31" s="565"/>
      <c r="J31" s="565"/>
      <c r="K31" s="565"/>
      <c r="L31" s="565" t="s">
        <v>36</v>
      </c>
      <c r="N31" s="780"/>
      <c r="O31" s="738"/>
      <c r="P31" s="741"/>
      <c r="Q31" s="741"/>
      <c r="R31" s="741"/>
      <c r="S31" s="741"/>
      <c r="T31" s="741"/>
      <c r="U31" s="741"/>
      <c r="V31" s="101"/>
      <c r="W31" s="101"/>
    </row>
    <row r="32" spans="3:23" ht="14.1" customHeight="1" thickBot="1">
      <c r="C32" s="520" t="s">
        <v>344</v>
      </c>
      <c r="D32" s="520" t="s">
        <v>101</v>
      </c>
      <c r="E32" s="502">
        <v>613781</v>
      </c>
      <c r="F32" s="582"/>
      <c r="G32" s="565" t="s">
        <v>32</v>
      </c>
      <c r="H32" s="565" t="s">
        <v>34</v>
      </c>
      <c r="I32" s="576"/>
      <c r="J32" s="565" t="s">
        <v>33</v>
      </c>
      <c r="K32" s="590"/>
      <c r="L32" s="651"/>
      <c r="N32" s="101"/>
      <c r="O32" s="101"/>
      <c r="P32" s="101"/>
      <c r="Q32" s="101"/>
      <c r="R32" s="101"/>
      <c r="S32" s="101"/>
      <c r="T32" s="101"/>
      <c r="U32" s="101"/>
      <c r="W32" s="89"/>
    </row>
    <row r="33" spans="3:23" ht="14.1" customHeight="1">
      <c r="C33" s="497" t="s">
        <v>346</v>
      </c>
      <c r="D33" s="497" t="s">
        <v>102</v>
      </c>
      <c r="E33" s="502">
        <v>611691</v>
      </c>
      <c r="F33" s="576" t="s">
        <v>2</v>
      </c>
      <c r="G33" s="565" t="s">
        <v>33</v>
      </c>
      <c r="H33" s="566" t="s">
        <v>35</v>
      </c>
      <c r="I33" s="565"/>
      <c r="J33" s="565" t="s">
        <v>32</v>
      </c>
      <c r="K33" s="565"/>
      <c r="L33" s="565"/>
      <c r="N33" s="103" t="s">
        <v>345</v>
      </c>
      <c r="O33" s="98" t="str">
        <f>F61</f>
        <v>REZA</v>
      </c>
      <c r="P33" s="98" t="str">
        <f>G61</f>
        <v>REZA</v>
      </c>
      <c r="Q33" s="98" t="str">
        <f t="shared" ref="Q33:S33" si="9">H61</f>
        <v>ARHHCHIE</v>
      </c>
      <c r="R33" s="98" t="str">
        <f t="shared" si="9"/>
        <v>REZA</v>
      </c>
      <c r="S33" s="98" t="str">
        <f t="shared" si="9"/>
        <v>JENNY</v>
      </c>
      <c r="T33" s="99"/>
      <c r="U33" s="100"/>
      <c r="W33" s="89"/>
    </row>
    <row r="34" spans="3:23" ht="14.1" customHeight="1" thickBot="1">
      <c r="C34" s="497" t="s">
        <v>348</v>
      </c>
      <c r="D34" s="504" t="s">
        <v>103</v>
      </c>
      <c r="E34" s="502">
        <v>634258</v>
      </c>
      <c r="F34" s="581" t="s">
        <v>38</v>
      </c>
      <c r="G34" s="565"/>
      <c r="H34" s="565"/>
      <c r="I34" s="578" t="s">
        <v>342</v>
      </c>
      <c r="J34" s="565" t="s">
        <v>37</v>
      </c>
      <c r="K34" s="565"/>
      <c r="L34" s="577"/>
      <c r="N34" s="887" t="s">
        <v>347</v>
      </c>
      <c r="O34" s="521" t="str" cm="1">
        <f t="array" ref="O34">_xlfn.TEXTJOIN(CHAR(10),TRUE,_xlfn._xlws.FILTER($C7:$C183,RIGHT(F7:F183,LEN("CSO"))="CSO",""))</f>
        <v>STEVE T SMS</v>
      </c>
      <c r="P34" s="888" t="str" cm="1">
        <f t="array" ref="P34">_xlfn.TEXTJOIN(CHAR(10),TRUE,_xlfn._xlws.FILTER($C7:$C183,RIGHT(G7:G183,LEN("CSO"))="CSO",""))</f>
        <v>ABI SMS</v>
      </c>
      <c r="Q34" s="888" t="str" cm="1">
        <f t="array" ref="Q34">_xlfn.TEXTJOIN(CHAR(10),TRUE,_xlfn._xlws.FILTER($C7:$C183,RIGHT(H7:H183,LEN("CSO"))="CSO",""))</f>
        <v>TARA J. SMS</v>
      </c>
      <c r="R34" s="888" t="str" cm="1">
        <f t="array" ref="R34">_xlfn.TEXTJOIN(CHAR(10),TRUE,_xlfn._xlws.FILTER($C7:$C183,RIGHT(I7:I183,LEN("CSO"))="CSO",""))</f>
        <v>RICHARD SMS</v>
      </c>
      <c r="S34" s="888" t="str" cm="1">
        <f t="array" ref="S34">_xlfn.TEXTJOIN(CHAR(10),TRUE,_xlfn._xlws.FILTER($C7:$C183,RIGHT(J7:J183,LEN("CSO"))="CSO",""))</f>
        <v>SUSAN SMS</v>
      </c>
      <c r="T34" s="888"/>
      <c r="U34" s="889"/>
      <c r="W34" s="89"/>
    </row>
    <row r="35" spans="3:23" ht="14.1" customHeight="1" thickBot="1">
      <c r="C35" s="504" t="s">
        <v>349</v>
      </c>
      <c r="D35" s="504" t="s">
        <v>104</v>
      </c>
      <c r="E35" s="506">
        <v>618946</v>
      </c>
      <c r="F35" s="575" t="s">
        <v>33</v>
      </c>
      <c r="G35" s="565"/>
      <c r="H35" s="576"/>
      <c r="I35" s="565"/>
      <c r="J35" s="576"/>
      <c r="K35" s="565" t="s">
        <v>40</v>
      </c>
      <c r="L35" s="577" t="s">
        <v>43</v>
      </c>
      <c r="O35" s="89"/>
      <c r="W35" s="89" t="s">
        <v>351</v>
      </c>
    </row>
    <row r="36" spans="3:23" ht="14.1" customHeight="1" thickBot="1">
      <c r="C36" s="504" t="s">
        <v>352</v>
      </c>
      <c r="D36" s="504" t="s">
        <v>109</v>
      </c>
      <c r="E36" s="502">
        <v>634702</v>
      </c>
      <c r="F36" s="592" t="s">
        <v>98</v>
      </c>
      <c r="G36" s="593"/>
      <c r="H36" s="593"/>
      <c r="I36" s="593"/>
      <c r="J36" s="593"/>
      <c r="K36" s="593"/>
      <c r="L36" s="594"/>
      <c r="O36" s="784" t="s">
        <v>350</v>
      </c>
      <c r="P36" s="785"/>
      <c r="Q36" s="785"/>
      <c r="R36" s="785"/>
      <c r="S36" s="785"/>
      <c r="T36" s="785"/>
      <c r="U36" s="786"/>
      <c r="V36" s="34" t="s">
        <v>293</v>
      </c>
      <c r="W36" s="772">
        <v>5</v>
      </c>
    </row>
    <row r="37" spans="3:23" ht="14.1" customHeight="1">
      <c r="C37" s="78" t="s">
        <v>353</v>
      </c>
      <c r="D37" s="504" t="s">
        <v>110</v>
      </c>
      <c r="E37" s="498">
        <v>648587</v>
      </c>
      <c r="F37" s="575" t="s">
        <v>33</v>
      </c>
      <c r="G37" s="65"/>
      <c r="H37" s="217"/>
      <c r="I37" s="65"/>
      <c r="J37" s="565"/>
      <c r="K37" s="598" t="s">
        <v>35</v>
      </c>
      <c r="L37" s="604" t="s">
        <v>46</v>
      </c>
      <c r="N37" s="104" t="s">
        <v>303</v>
      </c>
      <c r="O37" s="105" t="str">
        <f t="shared" ref="O37:U37" si="10">INDEX($C7:$L187,MATCH("*Pgc",F7:F190,0),1)</f>
        <v>DANIEL SMS</v>
      </c>
      <c r="P37" s="99" t="str">
        <f t="shared" si="10"/>
        <v>PAIGE SMS</v>
      </c>
      <c r="Q37" s="99" t="str">
        <f t="shared" si="10"/>
        <v>SUHAIL SMS</v>
      </c>
      <c r="R37" s="99" t="str">
        <f t="shared" si="10"/>
        <v>HELEN SMS</v>
      </c>
      <c r="S37" s="99" t="str">
        <f t="shared" si="10"/>
        <v>JEREMY SMS</v>
      </c>
      <c r="T37" s="99" t="str">
        <f t="shared" si="10"/>
        <v>QING SMS</v>
      </c>
      <c r="U37" s="100" t="str">
        <f t="shared" si="10"/>
        <v>BRAD SMS</v>
      </c>
      <c r="V37" s="34" t="s">
        <v>292</v>
      </c>
      <c r="W37" s="772"/>
    </row>
    <row r="38" spans="3:23" ht="14.1" customHeight="1">
      <c r="C38" s="78" t="s">
        <v>354</v>
      </c>
      <c r="D38" s="504" t="s">
        <v>111</v>
      </c>
      <c r="E38" s="498">
        <v>637933</v>
      </c>
      <c r="F38" s="581" t="s">
        <v>36</v>
      </c>
      <c r="G38" s="566"/>
      <c r="H38" s="576"/>
      <c r="I38" s="576"/>
      <c r="J38" s="566" t="s">
        <v>33</v>
      </c>
      <c r="K38" s="566"/>
      <c r="L38" s="598" t="s">
        <v>35</v>
      </c>
      <c r="N38" s="522" t="s">
        <v>305</v>
      </c>
      <c r="O38" s="523" t="str">
        <f t="shared" ref="O38:U38" si="11">INDEX($C7:$L187,MATCH("*PAC",F7:F189,0),1)</f>
        <v>JON SMS</v>
      </c>
      <c r="P38" s="500" t="str">
        <f t="shared" si="11"/>
        <v>JULIA SMS</v>
      </c>
      <c r="Q38" s="500" t="str">
        <f t="shared" si="11"/>
        <v>JEREMY SMS</v>
      </c>
      <c r="R38" s="500" t="str">
        <f t="shared" si="11"/>
        <v>SUHAIL SMS</v>
      </c>
      <c r="S38" s="500" t="str">
        <f t="shared" si="11"/>
        <v>TARA J. SMS</v>
      </c>
      <c r="T38" s="500" t="str">
        <f t="shared" si="11"/>
        <v>ABI SMS</v>
      </c>
      <c r="U38" s="501" t="str">
        <f t="shared" si="11"/>
        <v>QING SMS</v>
      </c>
      <c r="V38" s="34" t="s">
        <v>291</v>
      </c>
      <c r="W38" s="772"/>
    </row>
    <row r="39" spans="3:23" ht="14.1" customHeight="1">
      <c r="C39" s="504" t="s">
        <v>355</v>
      </c>
      <c r="D39" s="504" t="s">
        <v>112</v>
      </c>
      <c r="E39" s="506">
        <v>634394</v>
      </c>
      <c r="F39" s="581" t="s">
        <v>33</v>
      </c>
      <c r="G39" s="66"/>
      <c r="H39" s="566" t="s">
        <v>41</v>
      </c>
      <c r="I39" s="576"/>
      <c r="J39" s="566" t="s">
        <v>46</v>
      </c>
      <c r="K39" s="566"/>
      <c r="L39" s="598"/>
      <c r="N39" s="524" t="s">
        <v>307</v>
      </c>
      <c r="O39" s="523" t="str">
        <f t="shared" ref="O39:U39" si="12">INDEX($C7:$L187,MATCH("*PRC",F7:F190,0),1)</f>
        <v>JACQUELINE SMS</v>
      </c>
      <c r="P39" s="500" t="e">
        <f t="shared" si="12"/>
        <v>#N/A</v>
      </c>
      <c r="Q39" s="500" t="str">
        <f t="shared" si="12"/>
        <v>ANDY L  SMS</v>
      </c>
      <c r="R39" s="500" t="str">
        <f t="shared" si="12"/>
        <v>DIANA SMS</v>
      </c>
      <c r="S39" s="500" t="str">
        <f t="shared" si="12"/>
        <v>ERICA SMS</v>
      </c>
      <c r="T39" s="500" t="str">
        <f t="shared" si="12"/>
        <v>QAIS SMS</v>
      </c>
      <c r="U39" s="501" t="str">
        <f t="shared" si="12"/>
        <v>DANIEL SMS</v>
      </c>
      <c r="V39" s="34" t="s">
        <v>295</v>
      </c>
      <c r="W39" s="772"/>
    </row>
    <row r="40" spans="3:23" ht="14.1" customHeight="1">
      <c r="C40" s="497" t="s">
        <v>356</v>
      </c>
      <c r="D40" s="526" t="s">
        <v>113</v>
      </c>
      <c r="E40" s="502">
        <v>605686</v>
      </c>
      <c r="F40" s="611" t="s">
        <v>40</v>
      </c>
      <c r="G40" s="600" t="s">
        <v>38</v>
      </c>
      <c r="H40" s="601" t="s">
        <v>33</v>
      </c>
      <c r="I40" s="600"/>
      <c r="J40" s="600"/>
      <c r="K40" s="600"/>
      <c r="L40" s="603"/>
      <c r="N40" s="525" t="s">
        <v>309</v>
      </c>
      <c r="O40" s="523" t="str">
        <f t="shared" ref="O40:U40" si="13">INDEX($C7:$L187,MATCH("*PSSC",F7:F190,0),1)</f>
        <v>ERICA SMS</v>
      </c>
      <c r="P40" s="500" t="str">
        <f t="shared" si="13"/>
        <v>SUSAN SMS</v>
      </c>
      <c r="Q40" s="500" t="str">
        <f t="shared" si="13"/>
        <v>STEPHEN G SMS</v>
      </c>
      <c r="R40" s="500" t="str">
        <f t="shared" si="13"/>
        <v>ANASTASIA SMS</v>
      </c>
      <c r="S40" s="500" t="str">
        <f t="shared" si="13"/>
        <v>BARRY SMS</v>
      </c>
      <c r="T40" s="500" t="str">
        <f t="shared" si="13"/>
        <v>JACKIE SMS</v>
      </c>
      <c r="U40" s="501" t="str">
        <f t="shared" si="13"/>
        <v>ABI SMS</v>
      </c>
      <c r="V40" s="34" t="s">
        <v>294</v>
      </c>
      <c r="W40" s="772"/>
    </row>
    <row r="41" spans="3:23" ht="14.1" customHeight="1">
      <c r="C41" s="79" t="s">
        <v>358</v>
      </c>
      <c r="D41" s="497" t="s">
        <v>114</v>
      </c>
      <c r="E41" s="502">
        <v>119385</v>
      </c>
      <c r="F41" s="566"/>
      <c r="G41" s="566" t="s">
        <v>34</v>
      </c>
      <c r="H41" s="566"/>
      <c r="I41" s="565" t="s">
        <v>115</v>
      </c>
      <c r="J41" s="565" t="s">
        <v>50</v>
      </c>
      <c r="K41" s="565"/>
      <c r="L41" s="577"/>
      <c r="N41" s="527" t="s">
        <v>357</v>
      </c>
      <c r="O41" s="523" t="str">
        <f t="shared" ref="O41:U41" si="14">INDEX($C7:$L213,MATCH("*PCC*",F7:F201,0),1)</f>
        <v>RICHARD SMS</v>
      </c>
      <c r="P41" s="500" t="e">
        <f t="shared" si="14"/>
        <v>#N/A</v>
      </c>
      <c r="Q41" s="500" t="e">
        <f>INDEX($C7:$L213,MATCH("*PCC*",H7:H198,0),1)</f>
        <v>#N/A</v>
      </c>
      <c r="R41" s="500" t="str">
        <f t="shared" si="14"/>
        <v>TARA K. SMS</v>
      </c>
      <c r="S41" s="500" t="str">
        <f t="shared" si="14"/>
        <v>YAN SMS</v>
      </c>
      <c r="T41" s="500" t="e">
        <f t="shared" si="14"/>
        <v>#N/A</v>
      </c>
      <c r="U41" s="501" t="str">
        <f t="shared" si="14"/>
        <v>QAIS SMS</v>
      </c>
      <c r="W41" s="772">
        <v>7</v>
      </c>
    </row>
    <row r="42" spans="3:23" ht="14.1" customHeight="1">
      <c r="C42" s="504" t="s">
        <v>361</v>
      </c>
      <c r="D42" s="504" t="s">
        <v>116</v>
      </c>
      <c r="E42" s="502">
        <v>623962</v>
      </c>
      <c r="F42" s="575"/>
      <c r="G42" s="210" t="s">
        <v>359</v>
      </c>
      <c r="H42" s="65"/>
      <c r="I42" s="578" t="s">
        <v>342</v>
      </c>
      <c r="J42" s="565"/>
      <c r="K42" s="565"/>
      <c r="L42" s="604"/>
      <c r="N42" s="789" t="s">
        <v>360</v>
      </c>
      <c r="O42" s="787" t="str" cm="1">
        <f t="array" ref="O42">_xlfn.TEXTJOIN(CHAR(10),TRUE,IF(F7:F110="1430-0000 PFC",$C7:$C110,""),IF(F7:F110="1400-0000 PFC",$C7:$C110,""),IF(F7:F110="1430-0000",$C7:$C110,""))</f>
        <v>TITUS CMO
AMY SR
SHIV IR
GIOVANA JR
RACHEL JR</v>
      </c>
      <c r="P42" s="750" t="str" cm="1">
        <f t="array" ref="P42">_xlfn.TEXTJOIN(CHAR(10),TRUE,IF(G7:G110="1430-0000 PFC",$C7:$C110,""),IF(G7:G110="1400-0000 PFC",$C7:$C110,""),IF(G7:G110="1430-0000",$C7:$C110,""))</f>
        <v>WILLIAM SR
SUBARNA JR</v>
      </c>
      <c r="Q42" s="750" t="str" cm="1">
        <f t="array" ref="Q42">_xlfn.TEXTJOIN(CHAR(10),TRUE,IF(H7:H110="1430-0000 PFC",$C7:$C110,""),IF(H7:H110="1400-0000 PFC",$C7:$C110,""),IF(H7:H110="1430-0000",$C7:$C110,""))</f>
        <v>STEVE T SMS
MILES SR
HANNAH IR
DESLIN JR</v>
      </c>
      <c r="R42" s="750" t="str" cm="1">
        <f t="array" ref="R42">_xlfn.TEXTJOIN(CHAR(10),TRUE,IF(I7:I110="1430-0000 PFC",$C7:$C110,""),IF(I7:I110="1400-0000 PFC",$C7:$C110,""),IF(I7:I110="1430-0000",$C7:$C110,""))</f>
        <v>MILES SR
HANNAH IR
DESLIN JR
RACHEL JR</v>
      </c>
      <c r="S42" s="750" t="str" cm="1">
        <f t="array" ref="S42">_xlfn.TEXTJOIN(CHAR(10),TRUE,IF(J7:J110="1430-0000 PFC",$C7:$C110,""),IF(J7:J110="1400-0000 PFC",$C7:$C110,""),IF(J7:J110="1430-0000",$C7:$C110,""))</f>
        <v>TITUS CMO
MILES SR
CHRISTINA JR
DESLIN JR</v>
      </c>
      <c r="T42" s="750" t="str" cm="1">
        <f t="array" ref="T42">_xlfn.TEXTJOIN(CHAR(10),TRUE,IF(K7:K110="1430-0000 PFC",$C7:$C110,""),IF(K7:K110="1400-0000 PFC",$C7:$C110,""),IF(K7:K110="1430-0000",$C7:$C110,""))</f>
        <v>MILES SR
CLARE IR
CHRISTOPHER JR</v>
      </c>
      <c r="U42" s="788" t="str" cm="1">
        <f t="array" ref="U42">_xlfn.TEXTJOIN(CHAR(10),TRUE,IF(L7:L110="1430-0000 PFC",$C7:$C110,""),IF(L7:L110="1400-0000 PFC",$C7:$C110,""),IF(L7:L110="1430-0000",$C7:$C110,""))</f>
        <v>MILES SR
CLARE IR
GIOVANA JR</v>
      </c>
      <c r="W42" s="772"/>
    </row>
    <row r="43" spans="3:23" ht="14.1" customHeight="1">
      <c r="C43" s="497" t="s">
        <v>362</v>
      </c>
      <c r="D43" s="504" t="s">
        <v>117</v>
      </c>
      <c r="E43" s="508">
        <v>613725</v>
      </c>
      <c r="F43" s="576"/>
      <c r="G43" s="565" t="s">
        <v>36</v>
      </c>
      <c r="H43" s="565" t="s">
        <v>548</v>
      </c>
      <c r="I43" s="565"/>
      <c r="J43" s="565" t="s">
        <v>33</v>
      </c>
      <c r="K43" s="576"/>
      <c r="L43" s="579"/>
      <c r="N43" s="790"/>
      <c r="O43" s="787"/>
      <c r="P43" s="750"/>
      <c r="Q43" s="750"/>
      <c r="R43" s="750"/>
      <c r="S43" s="750"/>
      <c r="T43" s="750"/>
      <c r="U43" s="788"/>
      <c r="W43" s="772"/>
    </row>
    <row r="44" spans="3:23" ht="14.1" customHeight="1">
      <c r="C44" s="497" t="s">
        <v>363</v>
      </c>
      <c r="D44" s="504" t="s">
        <v>118</v>
      </c>
      <c r="E44" s="516">
        <v>612264</v>
      </c>
      <c r="F44" s="575"/>
      <c r="G44" s="565"/>
      <c r="H44" s="565"/>
      <c r="I44" s="565" t="s">
        <v>37</v>
      </c>
      <c r="J44" s="565" t="s">
        <v>40</v>
      </c>
      <c r="K44" s="576"/>
      <c r="L44" s="579"/>
      <c r="N44" s="790"/>
      <c r="O44" s="787"/>
      <c r="P44" s="750"/>
      <c r="Q44" s="750"/>
      <c r="R44" s="750"/>
      <c r="S44" s="750"/>
      <c r="T44" s="750"/>
      <c r="U44" s="788"/>
      <c r="W44" s="772"/>
    </row>
    <row r="45" spans="3:23" ht="14.1" customHeight="1">
      <c r="C45" s="497" t="s">
        <v>364</v>
      </c>
      <c r="D45" s="497" t="s">
        <v>119</v>
      </c>
      <c r="E45" s="502">
        <v>643950</v>
      </c>
      <c r="F45" s="572" t="s">
        <v>31</v>
      </c>
      <c r="G45" s="573"/>
      <c r="H45" s="573"/>
      <c r="I45" s="573"/>
      <c r="J45" s="573"/>
      <c r="K45" s="573"/>
      <c r="L45" s="574"/>
      <c r="N45" s="790"/>
      <c r="O45" s="787"/>
      <c r="P45" s="750"/>
      <c r="Q45" s="750"/>
      <c r="R45" s="750"/>
      <c r="S45" s="750"/>
      <c r="T45" s="750"/>
      <c r="U45" s="788"/>
      <c r="W45" s="772"/>
    </row>
    <row r="46" spans="3:23" ht="14.1" customHeight="1">
      <c r="C46" s="79" t="s">
        <v>365</v>
      </c>
      <c r="D46" s="723" t="s">
        <v>120</v>
      </c>
      <c r="E46" s="502">
        <v>618881</v>
      </c>
      <c r="F46" s="575" t="s">
        <v>47</v>
      </c>
      <c r="G46" s="565" t="s">
        <v>33</v>
      </c>
      <c r="H46" s="565"/>
      <c r="I46" s="565"/>
      <c r="J46" s="565"/>
      <c r="K46" s="565"/>
      <c r="L46" s="577"/>
      <c r="N46" s="790"/>
      <c r="O46" s="787"/>
      <c r="P46" s="750"/>
      <c r="Q46" s="750"/>
      <c r="R46" s="750"/>
      <c r="S46" s="750"/>
      <c r="T46" s="750"/>
      <c r="U46" s="788"/>
      <c r="W46" s="772"/>
    </row>
    <row r="47" spans="3:23" ht="14.1" customHeight="1">
      <c r="C47" s="497" t="s">
        <v>366</v>
      </c>
      <c r="D47" s="497" t="s">
        <v>122</v>
      </c>
      <c r="E47" s="508">
        <v>141658</v>
      </c>
      <c r="F47" s="575"/>
      <c r="G47" s="565" t="s">
        <v>47</v>
      </c>
      <c r="H47" s="578" t="s">
        <v>359</v>
      </c>
      <c r="I47" s="565"/>
      <c r="J47" s="565"/>
      <c r="K47" s="565"/>
      <c r="L47" s="577"/>
      <c r="N47" s="790"/>
      <c r="O47" s="787"/>
      <c r="P47" s="750"/>
      <c r="Q47" s="750"/>
      <c r="R47" s="750"/>
      <c r="S47" s="750"/>
      <c r="T47" s="750"/>
      <c r="U47" s="788"/>
      <c r="W47" s="101"/>
    </row>
    <row r="48" spans="3:23" ht="14.1" customHeight="1">
      <c r="C48" s="511" t="s">
        <v>367</v>
      </c>
      <c r="D48" s="504" t="s">
        <v>123</v>
      </c>
      <c r="E48" s="516">
        <v>654004</v>
      </c>
      <c r="F48" s="582"/>
      <c r="G48" s="565" t="s">
        <v>33</v>
      </c>
      <c r="H48" s="565"/>
      <c r="I48" s="565"/>
      <c r="J48" s="576"/>
      <c r="K48" s="565" t="s">
        <v>549</v>
      </c>
      <c r="L48" s="577"/>
      <c r="N48" s="791"/>
      <c r="O48" s="787"/>
      <c r="P48" s="750"/>
      <c r="Q48" s="750"/>
      <c r="R48" s="750"/>
      <c r="S48" s="750"/>
      <c r="T48" s="750"/>
      <c r="U48" s="788"/>
      <c r="V48" s="34" t="s">
        <v>369</v>
      </c>
      <c r="W48" s="89">
        <v>1</v>
      </c>
    </row>
    <row r="49" spans="3:23" ht="14.1" customHeight="1">
      <c r="C49" s="511" t="s">
        <v>370</v>
      </c>
      <c r="D49" s="504" t="s">
        <v>124</v>
      </c>
      <c r="E49" s="676">
        <v>655191</v>
      </c>
      <c r="F49" s="591" t="s">
        <v>342</v>
      </c>
      <c r="G49" s="565"/>
      <c r="H49" s="565"/>
      <c r="I49" s="565"/>
      <c r="J49" s="565" t="s">
        <v>34</v>
      </c>
      <c r="K49" s="565"/>
      <c r="L49" s="204"/>
      <c r="N49" s="528" t="s">
        <v>368</v>
      </c>
      <c r="O49" s="523" t="str">
        <f t="shared" ref="O49:U49" si="15">INDEX($C7:$L187,MATCH("*PHJ*",F7:F190,0),1)</f>
        <v>JEROME JR</v>
      </c>
      <c r="P49" s="500" t="str">
        <f t="shared" si="15"/>
        <v>GIOVANA JR</v>
      </c>
      <c r="Q49" s="500" t="e">
        <f t="shared" si="15"/>
        <v>#N/A</v>
      </c>
      <c r="R49" s="500" t="e">
        <f t="shared" si="15"/>
        <v>#N/A</v>
      </c>
      <c r="S49" s="500" t="e">
        <f t="shared" si="15"/>
        <v>#N/A</v>
      </c>
      <c r="T49" s="500" t="e">
        <f t="shared" si="15"/>
        <v>#N/A</v>
      </c>
      <c r="U49" s="501" t="e">
        <f t="shared" si="15"/>
        <v>#N/A</v>
      </c>
      <c r="V49" s="34" t="s">
        <v>372</v>
      </c>
      <c r="W49" s="772">
        <v>2</v>
      </c>
    </row>
    <row r="50" spans="3:23" ht="14.1" customHeight="1">
      <c r="C50" s="511" t="s">
        <v>373</v>
      </c>
      <c r="D50" s="504" t="s">
        <v>126</v>
      </c>
      <c r="E50" s="676">
        <v>653055</v>
      </c>
      <c r="F50" s="611" t="s">
        <v>43</v>
      </c>
      <c r="G50" s="75"/>
      <c r="H50" s="204"/>
      <c r="I50" s="75" t="s">
        <v>46</v>
      </c>
      <c r="J50" s="576"/>
      <c r="K50" s="600"/>
      <c r="L50" s="613"/>
      <c r="N50" s="792" t="s">
        <v>325</v>
      </c>
      <c r="O50" s="787" t="str" cm="1">
        <f t="array" ref="O50">_xlfn.TEXTJOIN(CHAR(10),TRUE,_xlfn._xlws.FILTER($C7:$C183,RIGHT(F7:F183,LEN("pSSJ"))="pSSJ",""))</f>
        <v>PIN HMO</v>
      </c>
      <c r="P50" s="750" t="str" cm="1">
        <f t="array" ref="P50">_xlfn.TEXTJOIN(CHAR(10),TRUE,_xlfn._xlws.FILTER($C7:$C183,RIGHT(G7:G183,LEN("pSSJ"))="pSSJ",""))</f>
        <v>AREEBA HMO</v>
      </c>
      <c r="Q50" s="750" t="str" cm="1">
        <f t="array" ref="Q50">_xlfn.TEXTJOIN(CHAR(10),TRUE,_xlfn._xlws.FILTER($C7:$C183,RIGHT(H7:H183,LEN("pSSJ"))="pSSJ",""))</f>
        <v>MASON HMO</v>
      </c>
      <c r="R50" s="750" t="str" cm="1">
        <f t="array" ref="R50">_xlfn.TEXTJOIN(CHAR(10),TRUE,_xlfn._xlws.FILTER($C7:$C183,RIGHT(I7:I183,LEN("pSSJ"))="pSSJ",""))</f>
        <v/>
      </c>
      <c r="S50" s="750" t="str" cm="1">
        <f t="array" ref="S50">_xlfn.TEXTJOIN(CHAR(10),TRUE,_xlfn._xlws.FILTER($C7:$C183,RIGHT(J7:J183,LEN("pSSJ"))="pSSJ",""))</f>
        <v>HARRISON HMO</v>
      </c>
      <c r="T50" s="750" t="str" cm="1">
        <f t="array" ref="T50">_xlfn.TEXTJOIN(CHAR(10),TRUE,_xlfn._xlws.FILTER($C7:$C183,RIGHT(K7:K183,LEN("pSSJ"))="pSSJ",""))</f>
        <v>BRIER HMO</v>
      </c>
      <c r="U50" s="788" t="str" cm="1">
        <f t="array" ref="U50">_xlfn.TEXTJOIN(CHAR(10),TRUE,_xlfn._xlws.FILTER($C7:$C183,RIGHT(L7:L183,LEN("pSSJ"))="pSSJ",""))</f>
        <v>ZOBIA HMO</v>
      </c>
      <c r="W50" s="772"/>
    </row>
    <row r="51" spans="3:23" ht="14.1" customHeight="1">
      <c r="C51" s="497" t="s">
        <v>374</v>
      </c>
      <c r="D51" s="340" t="s">
        <v>128</v>
      </c>
      <c r="E51" s="678">
        <v>650059</v>
      </c>
      <c r="F51" s="610"/>
      <c r="G51" s="610"/>
      <c r="H51" s="601" t="s">
        <v>38</v>
      </c>
      <c r="I51" s="600"/>
      <c r="J51" s="600" t="s">
        <v>36</v>
      </c>
      <c r="K51" s="610"/>
      <c r="L51" s="652"/>
      <c r="N51" s="792"/>
      <c r="O51" s="787"/>
      <c r="P51" s="750"/>
      <c r="Q51" s="750"/>
      <c r="R51" s="750"/>
      <c r="S51" s="750"/>
      <c r="T51" s="750"/>
      <c r="U51" s="788"/>
      <c r="W51" s="772">
        <v>8</v>
      </c>
    </row>
    <row r="52" spans="3:23" ht="14.1" customHeight="1">
      <c r="C52" s="497" t="s">
        <v>375</v>
      </c>
      <c r="D52" s="340" t="s">
        <v>129</v>
      </c>
      <c r="E52" s="678">
        <v>703067</v>
      </c>
      <c r="F52" s="692" t="s">
        <v>35</v>
      </c>
      <c r="G52" s="600" t="s">
        <v>33</v>
      </c>
      <c r="H52" s="612"/>
      <c r="I52" s="600" t="s">
        <v>40</v>
      </c>
      <c r="J52" s="600" t="s">
        <v>41</v>
      </c>
      <c r="K52" s="610"/>
      <c r="L52" s="603"/>
      <c r="N52" s="733" t="s">
        <v>330</v>
      </c>
      <c r="O52" s="736" t="str" cm="1">
        <f t="array" ref="O52">_xlfn.TEXTJOIN(CHAR(10),TRUE,IF(F111:F183="1430-0000",$C111:$C183,""))</f>
        <v>AARON G. HMO
CHRIS HMO
WILL HMO
WATHSALA HMO</v>
      </c>
      <c r="P52" s="739" t="str" cm="1">
        <f t="array" ref="P52">_xlfn.TEXTJOIN(CHAR(10),TRUE,IF(G111:G183="1430-0000",$C111:$C183,""))</f>
        <v>ANKUSH HMO
AARON G. HMO
PHILLIP HMO
PIN HMO
Jason INT</v>
      </c>
      <c r="Q52" s="739" t="str" cm="1">
        <f t="array" ref="Q52">_xlfn.TEXTJOIN(CHAR(10),TRUE,IF(H111:H183="1430-0000",$C111:$C183,""))</f>
        <v>BRIANNA HMO
ANKUSH HMO
AARON N. HMO
PHILLIP HMO
Jean-Luc INT
May INT</v>
      </c>
      <c r="R52" s="739" t="str" cm="1">
        <f t="array" ref="R52">_xlfn.TEXTJOIN(CHAR(10),TRUE,IF(I111:I183="1430-0000",$C111:$C183,""))</f>
        <v>MASON HMO
VISHNU HMO
PHILLIP HMO
NATHAN HMO
Iolanda INT</v>
      </c>
      <c r="S52" s="739" t="str" cm="1">
        <f t="array" ref="S52">_xlfn.TEXTJOIN(CHAR(10),TRUE,IF(J111:J183="1430-0000",$C111:$C183,""))</f>
        <v>MILOS HMO
LISA HMO
May INT</v>
      </c>
      <c r="T52" s="739" t="str" cm="1">
        <f t="array" ref="T52">_xlfn.TEXTJOIN(CHAR(10),TRUE,IF(K111:K183="1430-0000",$C111:$C183,""))</f>
        <v>AARON B. HMO
VISHNU HMO
ZOBIA HMO
HARRISON HMO
Jean-Luc INT
May INT</v>
      </c>
      <c r="U52" s="763" t="str" cm="1">
        <f t="array" ref="U52">_xlfn.TEXTJOIN(CHAR(10),TRUE,IF(L111:L183="1430-0000",$C111:$C183,""))</f>
        <v>AARON B. HMO
VISHNU HMO
BRIER HMO
Jean-Luc INT</v>
      </c>
      <c r="W52" s="772"/>
    </row>
    <row r="53" spans="3:23" ht="14.1" customHeight="1">
      <c r="C53" s="497" t="s">
        <v>376</v>
      </c>
      <c r="D53" s="340" t="s">
        <v>132</v>
      </c>
      <c r="E53" s="678">
        <v>703495</v>
      </c>
      <c r="F53" s="611" t="s">
        <v>32</v>
      </c>
      <c r="G53" s="600" t="s">
        <v>33</v>
      </c>
      <c r="H53" s="601" t="s">
        <v>36</v>
      </c>
      <c r="I53" s="600" t="s">
        <v>38</v>
      </c>
      <c r="J53" s="600"/>
      <c r="K53" s="600"/>
      <c r="L53" s="603"/>
      <c r="N53" s="734"/>
      <c r="O53" s="737"/>
      <c r="P53" s="740"/>
      <c r="Q53" s="740"/>
      <c r="R53" s="740"/>
      <c r="S53" s="740"/>
      <c r="T53" s="740"/>
      <c r="U53" s="764"/>
      <c r="W53" s="772"/>
    </row>
    <row r="54" spans="3:23" ht="14.1" customHeight="1">
      <c r="C54" s="504" t="s">
        <v>377</v>
      </c>
      <c r="D54" s="504" t="s">
        <v>133</v>
      </c>
      <c r="E54" s="502">
        <v>578275</v>
      </c>
      <c r="F54" s="581"/>
      <c r="G54" s="566"/>
      <c r="H54" s="566"/>
      <c r="I54" s="566"/>
      <c r="J54" s="566"/>
      <c r="K54" s="566" t="s">
        <v>85</v>
      </c>
      <c r="L54" s="598"/>
      <c r="N54" s="734"/>
      <c r="O54" s="737"/>
      <c r="P54" s="740"/>
      <c r="Q54" s="740"/>
      <c r="R54" s="740"/>
      <c r="S54" s="740"/>
      <c r="T54" s="740"/>
      <c r="U54" s="764"/>
      <c r="W54" s="772"/>
    </row>
    <row r="55" spans="3:23" ht="14.1" customHeight="1">
      <c r="C55" s="504" t="s">
        <v>378</v>
      </c>
      <c r="D55" s="497" t="s">
        <v>135</v>
      </c>
      <c r="E55" s="502">
        <v>644237</v>
      </c>
      <c r="F55" s="569" t="s">
        <v>28</v>
      </c>
      <c r="G55" s="570"/>
      <c r="H55" s="570"/>
      <c r="I55" s="570"/>
      <c r="J55" s="570"/>
      <c r="K55" s="570"/>
      <c r="L55" s="571"/>
      <c r="N55" s="734"/>
      <c r="O55" s="737"/>
      <c r="P55" s="740"/>
      <c r="Q55" s="740"/>
      <c r="R55" s="740"/>
      <c r="S55" s="740"/>
      <c r="T55" s="740"/>
      <c r="U55" s="764"/>
      <c r="W55" s="772"/>
    </row>
    <row r="56" spans="3:23" ht="14.1" customHeight="1">
      <c r="C56" s="497" t="s">
        <v>379</v>
      </c>
      <c r="D56" s="504" t="s">
        <v>136</v>
      </c>
      <c r="E56" s="502">
        <v>634259</v>
      </c>
      <c r="F56" s="575"/>
      <c r="G56" s="565"/>
      <c r="H56" s="565"/>
      <c r="I56" s="565"/>
      <c r="J56" s="565"/>
      <c r="K56" s="576"/>
      <c r="L56" s="577" t="s">
        <v>47</v>
      </c>
      <c r="N56" s="734"/>
      <c r="O56" s="737"/>
      <c r="P56" s="740"/>
      <c r="Q56" s="740"/>
      <c r="R56" s="740"/>
      <c r="S56" s="740"/>
      <c r="T56" s="740"/>
      <c r="U56" s="764"/>
      <c r="W56" s="772"/>
    </row>
    <row r="57" spans="3:23" ht="14.1" customHeight="1">
      <c r="C57" s="497" t="s">
        <v>380</v>
      </c>
      <c r="D57" s="526" t="s">
        <v>137</v>
      </c>
      <c r="E57" s="502">
        <v>418439</v>
      </c>
      <c r="F57" s="611"/>
      <c r="G57" s="75"/>
      <c r="H57" s="75" t="s">
        <v>41</v>
      </c>
      <c r="I57" s="565" t="s">
        <v>36</v>
      </c>
      <c r="J57" s="600"/>
      <c r="K57" s="600"/>
      <c r="L57" s="613"/>
      <c r="N57" s="734"/>
      <c r="O57" s="737"/>
      <c r="P57" s="740"/>
      <c r="Q57" s="740"/>
      <c r="R57" s="740"/>
      <c r="S57" s="740"/>
      <c r="T57" s="740"/>
      <c r="U57" s="764"/>
      <c r="W57" s="772"/>
    </row>
    <row r="58" spans="3:23" ht="14.1" customHeight="1">
      <c r="C58" s="511" t="s">
        <v>381</v>
      </c>
      <c r="D58" s="526" t="s">
        <v>138</v>
      </c>
      <c r="E58" s="498">
        <v>650974</v>
      </c>
      <c r="F58" s="591" t="s">
        <v>342</v>
      </c>
      <c r="G58" s="565" t="s">
        <v>139</v>
      </c>
      <c r="H58" s="583" t="s">
        <v>65</v>
      </c>
      <c r="I58" s="203"/>
      <c r="J58" s="576"/>
      <c r="K58" s="576"/>
      <c r="L58" s="579"/>
      <c r="N58" s="734"/>
      <c r="O58" s="737"/>
      <c r="P58" s="740"/>
      <c r="Q58" s="740"/>
      <c r="R58" s="740"/>
      <c r="S58" s="740"/>
      <c r="T58" s="740"/>
      <c r="U58" s="764"/>
      <c r="W58" s="772"/>
    </row>
    <row r="59" spans="3:23" ht="14.1" customHeight="1" thickBot="1">
      <c r="C59" s="511" t="s">
        <v>382</v>
      </c>
      <c r="D59" s="526" t="s">
        <v>535</v>
      </c>
      <c r="E59" s="498">
        <v>541888</v>
      </c>
      <c r="F59" s="211"/>
      <c r="G59" s="62"/>
      <c r="H59" s="62"/>
      <c r="I59" s="65" t="s">
        <v>47</v>
      </c>
      <c r="J59" s="62"/>
      <c r="K59" s="565"/>
      <c r="L59" s="577"/>
      <c r="N59" s="735"/>
      <c r="O59" s="738"/>
      <c r="P59" s="741"/>
      <c r="Q59" s="741"/>
      <c r="R59" s="741"/>
      <c r="S59" s="741"/>
      <c r="T59" s="741"/>
      <c r="U59" s="765"/>
      <c r="V59" s="34" t="s">
        <v>385</v>
      </c>
      <c r="W59" s="89">
        <v>4</v>
      </c>
    </row>
    <row r="60" spans="3:23" ht="14.1" customHeight="1">
      <c r="C60" s="531"/>
      <c r="D60" s="532"/>
      <c r="E60" s="515"/>
      <c r="F60" s="211"/>
      <c r="G60" s="62"/>
      <c r="H60" s="62"/>
      <c r="I60" s="62"/>
      <c r="J60" s="62"/>
      <c r="K60" s="565"/>
      <c r="L60" s="577"/>
      <c r="N60" s="742" t="s">
        <v>384</v>
      </c>
      <c r="O60" s="745" t="str" cm="1">
        <f t="array" ref="O60">_xlfn.TEXTJOIN(CHAR(10),TRUE,_xlfn._xlws.FILTER($C7:$C183,RIGHT(F7:F183,LEN("SWP"))="SWP",""))</f>
        <v/>
      </c>
      <c r="P60" s="747" t="str" cm="1">
        <f t="array" ref="P60">_xlfn.TEXTJOIN(CHAR(10),TRUE,_xlfn._xlws.FILTER($C7:$C183,RIGHT(G7:G183,LEN("SWP"))="SWP",""))</f>
        <v>JAMES SMS
ISOBEL JR</v>
      </c>
      <c r="Q60" s="747" t="str" cm="1">
        <f t="array" ref="Q60">_xlfn.TEXTJOIN(CHAR(10),TRUE,_xlfn._xlws.FILTER($C7:$C183,RIGHT(H7:H183,LEN("SWP"))="SWP",""))</f>
        <v>CHRISTINA JR</v>
      </c>
      <c r="R60" s="747" t="str" cm="1">
        <f t="array" ref="R60">_xlfn.TEXTJOIN(CHAR(10),TRUE,_xlfn._xlws.FILTER($C7:$C183,RIGHT(I7:I183,LEN("SWP"))="SWP",""))</f>
        <v>MIKHAR IR</v>
      </c>
      <c r="S60" s="747" t="str" cm="1">
        <f t="array" ref="S60">_xlfn.TEXTJOIN(CHAR(10),TRUE,_xlfn._xlws.FILTER($C7:$C183,RIGHT(J7:J183,LEN("SWP"))="SWP",""))</f>
        <v/>
      </c>
      <c r="T60" s="747" t="str" cm="1">
        <f t="array" ref="T60">_xlfn.TEXTJOIN(CHAR(10),TRUE,_xlfn._xlws.FILTER($C7:$C183,RIGHT(K7:K183,LEN("SWP"))="SWP",""))</f>
        <v/>
      </c>
      <c r="U60" s="766" t="str" cm="1">
        <f t="array" ref="U60">_xlfn.TEXTJOIN(CHAR(10),TRUE,_xlfn._xlws.FILTER($C7:$C183,RIGHT(L7:L183,LEN("SWP"))="SWP",""))</f>
        <v/>
      </c>
      <c r="W60" s="89"/>
    </row>
    <row r="61" spans="3:23" ht="14.1" customHeight="1">
      <c r="C61" s="530" t="s">
        <v>345</v>
      </c>
      <c r="D61" s="530" t="s">
        <v>345</v>
      </c>
      <c r="E61" s="533"/>
      <c r="F61" s="205" t="s">
        <v>142</v>
      </c>
      <c r="G61" s="614" t="s">
        <v>142</v>
      </c>
      <c r="H61" s="614" t="s">
        <v>550</v>
      </c>
      <c r="I61" s="614" t="s">
        <v>142</v>
      </c>
      <c r="J61" s="614" t="s">
        <v>515</v>
      </c>
      <c r="K61" s="62"/>
      <c r="L61" s="67"/>
      <c r="N61" s="743"/>
      <c r="O61" s="746"/>
      <c r="P61" s="748"/>
      <c r="Q61" s="748"/>
      <c r="R61" s="748"/>
      <c r="S61" s="748"/>
      <c r="T61" s="748"/>
      <c r="U61" s="767"/>
      <c r="W61" s="89"/>
    </row>
    <row r="62" spans="3:23" ht="14.1" customHeight="1">
      <c r="C62" s="31"/>
      <c r="D62" s="31"/>
      <c r="E62" s="534"/>
      <c r="F62" s="28"/>
      <c r="G62" s="29"/>
      <c r="H62" s="29"/>
      <c r="I62" s="29"/>
      <c r="J62" s="29"/>
      <c r="K62" s="29"/>
      <c r="L62" s="30"/>
      <c r="N62" s="743"/>
      <c r="O62" s="746"/>
      <c r="P62" s="748"/>
      <c r="Q62" s="748"/>
      <c r="R62" s="748"/>
      <c r="S62" s="748"/>
      <c r="T62" s="748"/>
      <c r="U62" s="767"/>
      <c r="W62" s="89"/>
    </row>
    <row r="63" spans="3:23" ht="14.1" customHeight="1" thickBot="1">
      <c r="C63" s="63"/>
      <c r="D63" s="411" t="s">
        <v>145</v>
      </c>
      <c r="E63" s="534"/>
      <c r="F63" s="565">
        <f>COUNTIF(F7:F60,"0800-*")+COUNTIF(F7:F60,"0730-*")-COUNTIF(F7:F60,"*0800-1730 CS*")-COUNTIF(F7:F60,"*0800-1730 PHNW*")-COUNTIF(F7:F60,"*0800-1730 DEMT*")-COUNTIF(F7:F60,"*0800-1730 EXAM*")-COUNTIF(F7:F60,"*0800-1800 CS*")-COUNTIF(F7:F60,"*0800-1800 PHNW*")</f>
        <v>5</v>
      </c>
      <c r="G63" s="565">
        <f>COUNTIF(G7:G60,"0800-*")+COUNTIF(G7:G60,"0730-*")-COUNTIF(G7:G60,"*0800-1730 CS*")-COUNTIF(G7:G60,"*0800-1730 PHNW*")-COUNTIF(G7:G60,"*0800-1730 DEMT*")-COUNTIF(G7:G60,"*0800-1730 EXAM*")-COUNTIF(G7:G60,"*0800-1800 CS*")-COUNTIF(G7:G60,"*0800-1800 PHNW*")</f>
        <v>5</v>
      </c>
      <c r="H63" s="565">
        <f>COUNTIF(H7:H60,"0800-1730*")+COUNTIF(H7:H60,"0800-1800*")+COUNTIF(H7:H60,"0730-*")-COUNTIF(H7:H60,"*0800-1730 CS*")-COUNTIF(H7:H60,"*0800-1730 PHNW*")-COUNTIF(H7:H60,"*0800-1730 DEMT*")-COUNTIF(H7:H60,"*0800-1730 EXAM*")-COUNTIF(H7:H60,"*0800-1800 CS*")-COUNTIF(H7:H60,"*0800-1800 PHNW*")</f>
        <v>6</v>
      </c>
      <c r="I63" s="565">
        <f>COUNTIF(I7:I60,"0800-*")+COUNTIF(I7:I60,"0730-*")-COUNTIF(I7:I60,"*0800-1730 CS*")-COUNTIF(I7:I60,"*0800-1730 PHNW*")-COUNTIF(I7:I60,"*0800-1730 DEMT*")-COUNTIF(I7:I60,"*0800-1730 EXAM*")-COUNTIF(I7:I60,"*0800-1800 CS*")-COUNTIF(I7:I60,"*0800-1800 PHNW*")</f>
        <v>4</v>
      </c>
      <c r="J63" s="565">
        <f>COUNTIF(J7:J60,"0800-*")+COUNTIF(J7:J60,"0730-*")-COUNTIF(J7:J60,"*0800-1730 CS*")-COUNTIF(J7:J60,"*0800-1730 PHNW*")-COUNTIF(J7:J60,"*0800-1730 DEMT*")-COUNTIF(J7:J60,"*0800-1730 EXAM*")-COUNTIF(J7:J60,"*0800-1800 CS*")-COUNTIF(J7:J60,"*0800-1800 PHNW*")</f>
        <v>6</v>
      </c>
      <c r="K63" s="565">
        <f>COUNTIF(K7:K60,"0800-*")+COUNTIF(K7:K60,"0730-*")</f>
        <v>4</v>
      </c>
      <c r="L63" s="577">
        <f>COUNTIF(L7:L60,"0800-*")+COUNTIF(L7:L60,"0730-*")</f>
        <v>4</v>
      </c>
      <c r="N63" s="744"/>
      <c r="O63" s="890"/>
      <c r="P63" s="891"/>
      <c r="Q63" s="891"/>
      <c r="R63" s="891"/>
      <c r="S63" s="891"/>
      <c r="T63" s="891"/>
      <c r="U63" s="892"/>
      <c r="W63" s="89"/>
    </row>
    <row r="64" spans="3:23" ht="14.1" customHeight="1" thickBot="1">
      <c r="C64" s="535"/>
      <c r="D64" s="411" t="s">
        <v>146</v>
      </c>
      <c r="E64" s="534"/>
      <c r="F64" s="575">
        <f t="shared" ref="F64:L64" si="16">COUNTIF(F7:F61,"*0000*")</f>
        <v>5</v>
      </c>
      <c r="G64" s="565">
        <f t="shared" si="16"/>
        <v>4</v>
      </c>
      <c r="H64" s="565">
        <f t="shared" si="16"/>
        <v>5</v>
      </c>
      <c r="I64" s="565">
        <f t="shared" si="16"/>
        <v>5</v>
      </c>
      <c r="J64" s="565">
        <f t="shared" si="16"/>
        <v>5</v>
      </c>
      <c r="K64" s="565">
        <f t="shared" si="16"/>
        <v>4</v>
      </c>
      <c r="L64" s="577">
        <f t="shared" si="16"/>
        <v>5</v>
      </c>
      <c r="N64" s="106"/>
      <c r="O64" s="34"/>
      <c r="P64" s="34"/>
      <c r="Q64" s="34"/>
      <c r="R64" s="34"/>
      <c r="S64" s="34"/>
      <c r="T64" s="34"/>
      <c r="U64" s="34"/>
      <c r="W64" s="89" t="s">
        <v>389</v>
      </c>
    </row>
    <row r="65" spans="3:23" ht="14.1" customHeight="1" thickBot="1">
      <c r="C65" s="407" t="s">
        <v>147</v>
      </c>
      <c r="D65" s="407" t="s">
        <v>147</v>
      </c>
      <c r="E65" s="534"/>
      <c r="F65" s="408"/>
      <c r="G65" s="409"/>
      <c r="H65" s="409"/>
      <c r="I65" s="409"/>
      <c r="J65" s="409"/>
      <c r="K65" s="409"/>
      <c r="L65" s="410"/>
      <c r="N65" s="106"/>
      <c r="O65" s="796" t="s">
        <v>388</v>
      </c>
      <c r="P65" s="797"/>
      <c r="Q65" s="797"/>
      <c r="R65" s="797"/>
      <c r="S65" s="797"/>
      <c r="T65" s="797"/>
      <c r="U65" s="798"/>
      <c r="V65" s="89"/>
      <c r="W65" s="106">
        <v>1</v>
      </c>
    </row>
    <row r="66" spans="3:23" ht="14.1" customHeight="1">
      <c r="C66" s="411" t="s">
        <v>391</v>
      </c>
      <c r="D66" s="411" t="s">
        <v>148</v>
      </c>
      <c r="E66" s="536">
        <v>609268</v>
      </c>
      <c r="F66" s="575" t="s">
        <v>150</v>
      </c>
      <c r="G66" s="576"/>
      <c r="H66" s="565" t="s">
        <v>149</v>
      </c>
      <c r="I66" s="565" t="s">
        <v>3</v>
      </c>
      <c r="J66" s="565" t="s">
        <v>150</v>
      </c>
      <c r="K66" s="565"/>
      <c r="L66" s="577"/>
      <c r="N66" s="104" t="s">
        <v>390</v>
      </c>
      <c r="O66" s="107" t="str">
        <f t="shared" ref="O66:U66" si="17">INDEX($C7:$L187,MATCH("*N1*",F7:F190,0),1)</f>
        <v>DENNIS SR</v>
      </c>
      <c r="P66" s="108" t="str">
        <f t="shared" si="17"/>
        <v>DENNIS SR</v>
      </c>
      <c r="Q66" s="108" t="str">
        <f t="shared" si="17"/>
        <v>DENNIS SR</v>
      </c>
      <c r="R66" s="108" t="str">
        <f t="shared" si="17"/>
        <v>DENNIS SR</v>
      </c>
      <c r="S66" s="108" t="str">
        <f t="shared" si="17"/>
        <v>PATRICK SR</v>
      </c>
      <c r="T66" s="108" t="str">
        <f t="shared" si="17"/>
        <v>WILLIAM SR</v>
      </c>
      <c r="U66" s="109" t="str">
        <f t="shared" si="17"/>
        <v>WILLIAM SR</v>
      </c>
      <c r="W66" s="89">
        <v>9</v>
      </c>
    </row>
    <row r="67" spans="3:23" ht="14.1" customHeight="1">
      <c r="C67" s="411" t="s">
        <v>393</v>
      </c>
      <c r="D67" s="411" t="s">
        <v>152</v>
      </c>
      <c r="E67" s="537">
        <v>517752</v>
      </c>
      <c r="F67" s="575"/>
      <c r="G67" s="565"/>
      <c r="H67" s="565" t="s">
        <v>153</v>
      </c>
      <c r="I67" s="565"/>
      <c r="J67" s="565"/>
      <c r="K67" s="576"/>
      <c r="L67" s="577"/>
      <c r="N67" s="749" t="s">
        <v>392</v>
      </c>
      <c r="O67" s="746" t="str" cm="1">
        <f t="array" ref="O67">_xlfn.TEXTJOIN(CHAR(10),TRUE,IF(F7:F183="2300-0900",$C7:$C183,""),IF(F7:F183="2300-0830",$C7:$C183,""))</f>
        <v>JESSICA JR
CRAIG JR
SYLVIA JR
VISHNU HMO
ZOBIA HMO</v>
      </c>
      <c r="P67" s="748" t="str" cm="1">
        <f t="array" ref="P67">_xlfn.TEXTJOIN(CHAR(10),TRUE,IF(G7:G183="2300-0900",$C7:$C183,""),IF(G7:G183="2300-0830",$C7:$C183,""))</f>
        <v>JESSICA JR
CRAIG JR
SYLVIA JR
DEVUNI HMO
MARYAM HMO
Nhan INT</v>
      </c>
      <c r="Q67" s="748" t="str" cm="1">
        <f t="array" ref="Q67">_xlfn.TEXTJOIN(CHAR(10),TRUE,IF(H7:H183="2300-0900",$C7:$C183,""),IF(H7:H183="2300-0830",$C7:$C183,""))</f>
        <v>JESSICA JR
CRAIG JR
SYLVIA JR
WILL HMO
WATHSALA HMO
Nhan INT</v>
      </c>
      <c r="R67" s="748" t="str" cm="1">
        <f t="array" ref="R67">_xlfn.TEXTJOIN(CHAR(10),TRUE,IF(I7:I183="2300-0900",$C7:$C183,""),IF(I7:I183="2300-0830",$C7:$C183,""))</f>
        <v>JESSICA JR
CRAIG JR
SYLVIA JR
DEVUNI HMO
MARYAM HMO
Nhan INT</v>
      </c>
      <c r="S67" s="748" t="str" cm="1">
        <f t="array" ref="S67">_xlfn.TEXTJOIN(CHAR(10),TRUE,IF(J7:J183="2300-0900",$C7:$C183,""),IF(J7:J183="2300-0830",$C7:$C183,""))</f>
        <v>POH JR
ISOBEL JR
AREEBA HMO
PIN HMO</v>
      </c>
      <c r="T67" s="748" t="str" cm="1">
        <f t="array" ref="T67">_xlfn.TEXTJOIN(CHAR(10),TRUE,IF(K7:K183="2300-0900",$C7:$C183,""),IF(K7:K183="2300-0830",$C7:$C183,""))</f>
        <v>POH JR
ISOBEL JR
AARON N. HMO
CHRIS HMO
Delia INT</v>
      </c>
      <c r="U67" s="767" t="str" cm="1">
        <f t="array" ref="U67">_xlfn.TEXTJOIN(CHAR(10),TRUE,IF(L7:L183="2300-0900",$C7:$C183,""),IF(L7:L183="2300-0830",$C7:$C183,""))</f>
        <v>POH JR
ISOBEL JR
BRENDAN HMO
AREEBA HMO
Delia INT</v>
      </c>
      <c r="W67" s="89"/>
    </row>
    <row r="68" spans="3:23" ht="14.1" customHeight="1">
      <c r="C68" s="411" t="s">
        <v>394</v>
      </c>
      <c r="D68" s="411" t="s">
        <v>154</v>
      </c>
      <c r="E68" s="537">
        <v>609129</v>
      </c>
      <c r="F68" s="589"/>
      <c r="G68" s="590"/>
      <c r="H68" s="565" t="s">
        <v>91</v>
      </c>
      <c r="I68" s="590"/>
      <c r="J68" s="590"/>
      <c r="K68" s="565"/>
      <c r="L68" s="577" t="s">
        <v>91</v>
      </c>
      <c r="N68" s="749"/>
      <c r="O68" s="746"/>
      <c r="P68" s="748"/>
      <c r="Q68" s="748"/>
      <c r="R68" s="748"/>
      <c r="S68" s="748"/>
      <c r="T68" s="748"/>
      <c r="U68" s="767"/>
      <c r="W68" s="89"/>
    </row>
    <row r="69" spans="3:23" ht="14.1" customHeight="1">
      <c r="C69" s="411" t="s">
        <v>395</v>
      </c>
      <c r="D69" s="538" t="s">
        <v>156</v>
      </c>
      <c r="E69" s="539">
        <v>636554</v>
      </c>
      <c r="F69" s="575"/>
      <c r="G69" s="565"/>
      <c r="H69" s="565" t="s">
        <v>149</v>
      </c>
      <c r="I69" s="565"/>
      <c r="J69" s="565"/>
      <c r="K69" s="565"/>
      <c r="L69" s="577"/>
      <c r="N69" s="749"/>
      <c r="O69" s="746"/>
      <c r="P69" s="748"/>
      <c r="Q69" s="748"/>
      <c r="R69" s="748"/>
      <c r="S69" s="748"/>
      <c r="T69" s="748"/>
      <c r="U69" s="767"/>
      <c r="W69" s="89"/>
    </row>
    <row r="70" spans="3:23" ht="14.1" customHeight="1" thickBot="1">
      <c r="C70" s="893"/>
      <c r="D70" s="49"/>
      <c r="E70" s="534"/>
      <c r="F70" s="575"/>
      <c r="G70" s="565"/>
      <c r="H70" s="565"/>
      <c r="I70" s="565"/>
      <c r="J70" s="565"/>
      <c r="K70" s="565"/>
      <c r="L70" s="577"/>
      <c r="N70" s="749"/>
      <c r="O70" s="746"/>
      <c r="P70" s="748"/>
      <c r="Q70" s="748"/>
      <c r="R70" s="748"/>
      <c r="S70" s="748"/>
      <c r="T70" s="748"/>
      <c r="U70" s="767"/>
      <c r="W70" s="89"/>
    </row>
    <row r="71" spans="3:23" ht="14.1" customHeight="1">
      <c r="C71" s="724" t="s">
        <v>157</v>
      </c>
      <c r="D71" s="540" t="s">
        <v>157</v>
      </c>
      <c r="E71" s="54"/>
      <c r="F71" s="413"/>
      <c r="G71" s="413"/>
      <c r="H71" s="414"/>
      <c r="I71" s="414"/>
      <c r="J71" s="414"/>
      <c r="K71" s="414"/>
      <c r="L71" s="415"/>
      <c r="N71" s="749"/>
      <c r="O71" s="746"/>
      <c r="P71" s="748"/>
      <c r="Q71" s="748"/>
      <c r="R71" s="748"/>
      <c r="S71" s="748"/>
      <c r="T71" s="748"/>
      <c r="U71" s="767"/>
      <c r="W71" s="89"/>
    </row>
    <row r="72" spans="3:23" ht="14.1" customHeight="1">
      <c r="C72" s="541" t="s">
        <v>396</v>
      </c>
      <c r="D72" s="182" t="s">
        <v>159</v>
      </c>
      <c r="E72" s="615">
        <v>628440</v>
      </c>
      <c r="F72" s="632" t="s">
        <v>504</v>
      </c>
      <c r="G72" s="617"/>
      <c r="H72" s="565"/>
      <c r="I72" s="565"/>
      <c r="J72" s="565" t="s">
        <v>161</v>
      </c>
      <c r="K72" s="616" t="s">
        <v>551</v>
      </c>
      <c r="L72" s="578" t="s">
        <v>442</v>
      </c>
      <c r="N72" s="749"/>
      <c r="O72" s="746"/>
      <c r="P72" s="748"/>
      <c r="Q72" s="748"/>
      <c r="R72" s="748"/>
      <c r="S72" s="748"/>
      <c r="T72" s="748"/>
      <c r="U72" s="767"/>
      <c r="W72" s="89"/>
    </row>
    <row r="73" spans="3:23" ht="14.1" customHeight="1">
      <c r="C73" s="541" t="s">
        <v>397</v>
      </c>
      <c r="D73" s="183" t="s">
        <v>164</v>
      </c>
      <c r="E73" s="615">
        <v>653976</v>
      </c>
      <c r="F73" s="618"/>
      <c r="G73" s="693"/>
      <c r="H73" s="618" t="s">
        <v>150</v>
      </c>
      <c r="I73" s="618" t="s">
        <v>150</v>
      </c>
      <c r="J73" s="618" t="s">
        <v>150</v>
      </c>
      <c r="K73" s="618" t="s">
        <v>150</v>
      </c>
      <c r="L73" s="618" t="s">
        <v>150</v>
      </c>
      <c r="N73" s="749"/>
      <c r="O73" s="746"/>
      <c r="P73" s="748"/>
      <c r="Q73" s="748"/>
      <c r="R73" s="748"/>
      <c r="S73" s="748"/>
      <c r="T73" s="748"/>
      <c r="U73" s="767"/>
      <c r="W73" s="89"/>
    </row>
    <row r="74" spans="3:23" ht="14.1" customHeight="1">
      <c r="C74" s="85" t="s">
        <v>398</v>
      </c>
      <c r="D74" s="184" t="s">
        <v>166</v>
      </c>
      <c r="E74" s="615">
        <v>654362</v>
      </c>
      <c r="F74" s="565" t="s">
        <v>161</v>
      </c>
      <c r="G74" s="565" t="s">
        <v>161</v>
      </c>
      <c r="H74" s="565" t="s">
        <v>161</v>
      </c>
      <c r="I74" s="565" t="s">
        <v>161</v>
      </c>
      <c r="J74" s="619"/>
      <c r="K74" s="619"/>
      <c r="L74" s="618" t="s">
        <v>149</v>
      </c>
      <c r="N74" s="749"/>
      <c r="O74" s="746"/>
      <c r="P74" s="748"/>
      <c r="Q74" s="748"/>
      <c r="R74" s="748"/>
      <c r="S74" s="748"/>
      <c r="T74" s="748"/>
      <c r="U74" s="767"/>
      <c r="W74" s="89"/>
    </row>
    <row r="75" spans="3:23" ht="14.1" customHeight="1">
      <c r="C75" s="69" t="s">
        <v>399</v>
      </c>
      <c r="D75" s="184" t="s">
        <v>168</v>
      </c>
      <c r="E75" s="615">
        <v>615829</v>
      </c>
      <c r="F75" s="617"/>
      <c r="G75" s="618" t="s">
        <v>149</v>
      </c>
      <c r="H75" s="617"/>
      <c r="I75" s="624" t="s">
        <v>163</v>
      </c>
      <c r="J75" s="620"/>
      <c r="K75" s="618"/>
      <c r="L75" s="618"/>
      <c r="N75" s="749"/>
      <c r="O75" s="746"/>
      <c r="P75" s="748"/>
      <c r="Q75" s="748"/>
      <c r="R75" s="748"/>
      <c r="S75" s="748"/>
      <c r="T75" s="748"/>
      <c r="U75" s="767"/>
      <c r="V75" s="34" t="s">
        <v>400</v>
      </c>
      <c r="W75" s="89">
        <v>1</v>
      </c>
    </row>
    <row r="76" spans="3:23" ht="14.1" customHeight="1">
      <c r="C76" s="541" t="s">
        <v>401</v>
      </c>
      <c r="D76" s="894" t="s">
        <v>170</v>
      </c>
      <c r="E76" s="615">
        <v>619567</v>
      </c>
      <c r="F76" s="618" t="s">
        <v>150</v>
      </c>
      <c r="G76" s="617"/>
      <c r="H76" s="617"/>
      <c r="I76" s="619"/>
      <c r="J76" s="622"/>
      <c r="K76" s="618" t="s">
        <v>149</v>
      </c>
      <c r="L76" s="626"/>
      <c r="N76" s="528" t="s">
        <v>368</v>
      </c>
      <c r="O76" s="523" t="str">
        <f t="shared" ref="O76:U76" si="18">INDEX($C10:$L189,MATCH("*NHJ*",F10:F192,0),1)</f>
        <v>MARYAM HMO</v>
      </c>
      <c r="P76" s="500" t="str">
        <f t="shared" si="18"/>
        <v>WILL HMO</v>
      </c>
      <c r="Q76" s="500" t="str">
        <f t="shared" si="18"/>
        <v>DEVUNI HMO</v>
      </c>
      <c r="R76" s="500" t="str">
        <f t="shared" si="18"/>
        <v>PIN HMO</v>
      </c>
      <c r="S76" s="500" t="str">
        <f t="shared" si="18"/>
        <v>CHRIS HMO</v>
      </c>
      <c r="T76" s="500" t="str">
        <f t="shared" si="18"/>
        <v>BRENDAN HMO</v>
      </c>
      <c r="U76" s="501" t="str">
        <f t="shared" si="18"/>
        <v>AARON N. HMO</v>
      </c>
      <c r="V76" s="34" t="s">
        <v>402</v>
      </c>
      <c r="W76" s="89">
        <v>2</v>
      </c>
    </row>
    <row r="77" spans="3:23" ht="14.1" customHeight="1">
      <c r="C77" s="543" t="s">
        <v>403</v>
      </c>
      <c r="D77" s="183" t="s">
        <v>171</v>
      </c>
      <c r="E77" s="615">
        <v>626157</v>
      </c>
      <c r="F77" s="622"/>
      <c r="G77" s="622"/>
      <c r="H77" s="622"/>
      <c r="I77" s="620"/>
      <c r="J77" s="668" t="s">
        <v>517</v>
      </c>
      <c r="K77" s="617"/>
      <c r="L77" s="617"/>
      <c r="N77" s="768" t="s">
        <v>325</v>
      </c>
      <c r="O77" s="787" t="str" cm="1">
        <f t="array" ref="O77">_xlfn.TEXTJOIN(CHAR(10),TRUE,_xlfn._xlws.FILTER($C7:$C183,RIGHT(F7:F183,LEN("nSSJ"))="nSSJ",""))</f>
        <v>BRIER HMO</v>
      </c>
      <c r="P77" s="750" t="str" cm="1">
        <f t="array" ref="P77">_xlfn.TEXTJOIN(CHAR(10),TRUE,_xlfn._xlws.FILTER($C7:$C183,RIGHT(G7:G183,LEN("nSSJ"))="nSSJ",""))</f>
        <v>WATHSALA HMO</v>
      </c>
      <c r="Q77" s="750" t="str" cm="1">
        <f t="array" ref="Q77">_xlfn.TEXTJOIN(CHAR(10),TRUE,_xlfn._xlws.FILTER($C7:$C183,RIGHT(H7:H183,LEN("nSSJ"))="nSSJ",""))</f>
        <v>MARYAM HMO</v>
      </c>
      <c r="R77" s="750" t="str" cm="1">
        <f t="array" ref="R77">_xlfn.TEXTJOIN(CHAR(10),TRUE,_xlfn._xlws.FILTER($C7:$C183,RIGHT(I7:I183,LEN("nSSJ"))="nSSJ",""))</f>
        <v>WILL HMO</v>
      </c>
      <c r="S77" s="750" t="str" cm="1">
        <f t="array" ref="S77">_xlfn.TEXTJOIN(CHAR(10),TRUE,_xlfn._xlws.FILTER($C7:$C183,RIGHT(J7:J183,LEN("nSSJ"))="nSSJ",""))</f>
        <v>MIKHAR IR
AARON N. HMO</v>
      </c>
      <c r="T77" s="750" t="str" cm="1">
        <f t="array" ref="T77">_xlfn.TEXTJOIN(CHAR(10),TRUE,_xlfn._xlws.FILTER($C7:$C183,RIGHT(K7:K183,LEN("nSSJ"))="nSSJ",""))</f>
        <v>MIKHAR IR
AREEBA HMO</v>
      </c>
      <c r="U77" s="788" t="str" cm="1">
        <f t="array" ref="U77">_xlfn.TEXTJOIN(CHAR(10),TRUE,_xlfn._xlws.FILTER($C7:$C183,RIGHT(L7:L183,LEN("nSSJ"))="nSSJ",""))</f>
        <v>MIKHAR IR
CHRIS HMO</v>
      </c>
      <c r="W77" s="89"/>
    </row>
    <row r="78" spans="3:23" ht="14.1" customHeight="1" thickBot="1">
      <c r="C78" s="69" t="s">
        <v>405</v>
      </c>
      <c r="D78" s="185" t="s">
        <v>173</v>
      </c>
      <c r="E78" s="615">
        <v>645122</v>
      </c>
      <c r="F78" s="618" t="s">
        <v>149</v>
      </c>
      <c r="G78" s="618" t="s">
        <v>150</v>
      </c>
      <c r="H78" s="617"/>
      <c r="I78" s="620"/>
      <c r="J78" s="619"/>
      <c r="K78" s="565" t="s">
        <v>161</v>
      </c>
      <c r="L78" s="565" t="s">
        <v>161</v>
      </c>
      <c r="N78" s="769"/>
      <c r="O78" s="895"/>
      <c r="P78" s="896"/>
      <c r="Q78" s="896"/>
      <c r="R78" s="896"/>
      <c r="S78" s="896"/>
      <c r="T78" s="896"/>
      <c r="U78" s="897"/>
      <c r="W78" s="89"/>
    </row>
    <row r="79" spans="3:23" ht="14.1" customHeight="1" thickBot="1">
      <c r="C79" s="543" t="s">
        <v>407</v>
      </c>
      <c r="D79" s="186" t="s">
        <v>174</v>
      </c>
      <c r="E79" s="615">
        <v>615820</v>
      </c>
      <c r="F79" s="617"/>
      <c r="G79" s="617"/>
      <c r="H79" s="617"/>
      <c r="I79" s="619"/>
      <c r="J79" s="616" t="s">
        <v>359</v>
      </c>
      <c r="K79" s="617"/>
      <c r="L79" s="617"/>
      <c r="N79" s="898" t="s">
        <v>406</v>
      </c>
      <c r="O79" s="110" t="str">
        <f t="shared" ref="O79:U79" si="19">INDEX($C7:$L187,MATCH("*PRC",F7:F190,0),1)</f>
        <v>JACQUELINE SMS</v>
      </c>
      <c r="P79" s="111" t="e">
        <f t="shared" si="19"/>
        <v>#N/A</v>
      </c>
      <c r="Q79" s="111" t="str">
        <f t="shared" si="19"/>
        <v>ANDY L  SMS</v>
      </c>
      <c r="R79" s="111" t="str">
        <f t="shared" si="19"/>
        <v>DIANA SMS</v>
      </c>
      <c r="S79" s="111" t="str">
        <f t="shared" si="19"/>
        <v>ERICA SMS</v>
      </c>
      <c r="T79" s="111" t="str">
        <f t="shared" si="19"/>
        <v>QAIS SMS</v>
      </c>
      <c r="U79" s="111" t="str">
        <f t="shared" si="19"/>
        <v>DANIEL SMS</v>
      </c>
    </row>
    <row r="80" spans="3:23" ht="14.1" customHeight="1" thickBot="1">
      <c r="C80" s="541" t="s">
        <v>408</v>
      </c>
      <c r="D80" s="544" t="s">
        <v>175</v>
      </c>
      <c r="E80" s="615">
        <v>624174</v>
      </c>
      <c r="F80" s="623" t="s">
        <v>31</v>
      </c>
      <c r="G80" s="623"/>
      <c r="H80" s="623"/>
      <c r="I80" s="623"/>
      <c r="J80" s="669"/>
      <c r="K80" s="669"/>
      <c r="L80" s="623"/>
      <c r="N80" s="106"/>
      <c r="O80" s="89"/>
      <c r="T80" s="899" t="str">
        <f>INDEX($C7:$L188,MATCH("*PGC",K7:K191,0),1)</f>
        <v>QING SMS</v>
      </c>
      <c r="U80" s="900" t="str">
        <f>INDEX($C8:$L188,MATCH("*PGC",L8:L191,0),1)</f>
        <v>BRAD SMS</v>
      </c>
      <c r="V80" s="89"/>
    </row>
    <row r="81" spans="3:22" ht="14.1" customHeight="1">
      <c r="C81" s="543"/>
      <c r="D81" s="545"/>
      <c r="E81" s="625"/>
      <c r="F81" s="617"/>
      <c r="G81" s="617"/>
      <c r="H81" s="617"/>
      <c r="I81" s="617"/>
      <c r="J81" s="619"/>
      <c r="K81" s="619"/>
      <c r="L81" s="617"/>
      <c r="O81" s="89"/>
      <c r="V81" s="89"/>
    </row>
    <row r="82" spans="3:22" ht="14.1" customHeight="1">
      <c r="C82" s="728" t="s">
        <v>176</v>
      </c>
      <c r="D82" s="728" t="s">
        <v>176</v>
      </c>
      <c r="E82" s="198"/>
      <c r="F82" s="305"/>
      <c r="G82" s="305"/>
      <c r="H82" s="305"/>
      <c r="I82" s="305"/>
      <c r="J82" s="305"/>
      <c r="K82" s="305"/>
      <c r="L82" s="305"/>
      <c r="O82" s="89"/>
      <c r="V82" s="89"/>
    </row>
    <row r="83" spans="3:22" ht="14.1" customHeight="1">
      <c r="C83" s="411" t="s">
        <v>409</v>
      </c>
      <c r="D83" s="546" t="s">
        <v>177</v>
      </c>
      <c r="E83" s="615">
        <v>637990</v>
      </c>
      <c r="F83" s="565"/>
      <c r="G83" s="618" t="s">
        <v>149</v>
      </c>
      <c r="H83" s="618" t="s">
        <v>150</v>
      </c>
      <c r="I83" s="618" t="s">
        <v>150</v>
      </c>
      <c r="J83" s="616" t="s">
        <v>359</v>
      </c>
      <c r="K83" s="565"/>
      <c r="L83" s="617"/>
      <c r="O83" s="89"/>
      <c r="V83" s="89"/>
    </row>
    <row r="84" spans="3:22" ht="14.1" customHeight="1">
      <c r="C84" s="86" t="s">
        <v>410</v>
      </c>
      <c r="D84" s="184" t="s">
        <v>179</v>
      </c>
      <c r="E84" s="615">
        <v>652867</v>
      </c>
      <c r="F84" s="618"/>
      <c r="G84" s="565"/>
      <c r="H84" s="616" t="s">
        <v>359</v>
      </c>
      <c r="I84" s="618"/>
      <c r="J84" s="616" t="s">
        <v>342</v>
      </c>
      <c r="K84" s="618" t="s">
        <v>149</v>
      </c>
      <c r="L84" s="618" t="s">
        <v>149</v>
      </c>
      <c r="O84" s="89"/>
      <c r="V84" s="89"/>
    </row>
    <row r="85" spans="3:22" ht="14.1" customHeight="1">
      <c r="C85" s="543" t="s">
        <v>411</v>
      </c>
      <c r="D85" s="547" t="s">
        <v>180</v>
      </c>
      <c r="E85" s="615">
        <v>638831</v>
      </c>
      <c r="F85" s="565"/>
      <c r="G85" s="618"/>
      <c r="H85" s="565"/>
      <c r="I85" s="565" t="s">
        <v>160</v>
      </c>
      <c r="J85" s="565" t="s">
        <v>178</v>
      </c>
      <c r="K85" s="565" t="s">
        <v>178</v>
      </c>
      <c r="L85" s="565" t="s">
        <v>178</v>
      </c>
      <c r="O85" s="89"/>
      <c r="V85" s="89"/>
    </row>
    <row r="86" spans="3:22" ht="14.1" customHeight="1">
      <c r="C86" s="411" t="s">
        <v>412</v>
      </c>
      <c r="D86" s="548" t="s">
        <v>182</v>
      </c>
      <c r="E86" s="615">
        <v>631314</v>
      </c>
      <c r="F86" s="617"/>
      <c r="G86" s="578" t="s">
        <v>359</v>
      </c>
      <c r="H86" s="617"/>
      <c r="I86" s="617"/>
      <c r="J86" s="619"/>
      <c r="K86" s="616" t="s">
        <v>342</v>
      </c>
      <c r="L86" s="616" t="s">
        <v>342</v>
      </c>
      <c r="O86" s="89"/>
      <c r="V86" s="89"/>
    </row>
    <row r="87" spans="3:22" ht="14.1" customHeight="1">
      <c r="C87" s="69" t="s">
        <v>414</v>
      </c>
      <c r="D87" s="548" t="s">
        <v>185</v>
      </c>
      <c r="E87" s="615">
        <v>631732</v>
      </c>
      <c r="F87" s="618" t="s">
        <v>150</v>
      </c>
      <c r="G87" s="622"/>
      <c r="H87" s="617"/>
      <c r="I87" s="617"/>
      <c r="J87" s="619"/>
      <c r="K87" s="619"/>
      <c r="L87" s="619"/>
      <c r="O87" s="89"/>
      <c r="V87" s="89"/>
    </row>
    <row r="88" spans="3:22" ht="14.1" customHeight="1">
      <c r="C88" s="541" t="s">
        <v>415</v>
      </c>
      <c r="D88" s="549" t="s">
        <v>186</v>
      </c>
      <c r="E88" s="615">
        <v>634876</v>
      </c>
      <c r="F88" s="619"/>
      <c r="G88" s="617"/>
      <c r="H88" s="619"/>
      <c r="I88" s="622"/>
      <c r="J88" s="619"/>
      <c r="K88" s="618" t="s">
        <v>150</v>
      </c>
      <c r="L88" s="618" t="s">
        <v>150</v>
      </c>
      <c r="O88" s="89"/>
      <c r="V88" s="89"/>
    </row>
    <row r="89" spans="3:22" ht="14.1" customHeight="1">
      <c r="C89" s="541"/>
      <c r="D89" s="187"/>
      <c r="E89" s="199"/>
      <c r="F89" s="619"/>
      <c r="G89" s="617"/>
      <c r="H89" s="619"/>
      <c r="I89" s="617"/>
      <c r="J89" s="619"/>
      <c r="K89" s="618"/>
      <c r="L89" s="618"/>
      <c r="O89" s="89"/>
      <c r="V89" s="89"/>
    </row>
    <row r="90" spans="3:22" ht="14.1" customHeight="1">
      <c r="C90" s="4" t="s">
        <v>189</v>
      </c>
      <c r="D90" s="4" t="s">
        <v>189</v>
      </c>
      <c r="E90" s="199"/>
      <c r="F90" s="444"/>
      <c r="G90" s="444"/>
      <c r="H90" s="444"/>
      <c r="I90" s="444"/>
      <c r="J90" s="444"/>
      <c r="K90" s="444"/>
      <c r="L90" s="444"/>
      <c r="O90" s="89"/>
    </row>
    <row r="91" spans="3:22" ht="14.1" customHeight="1">
      <c r="C91" s="69" t="s">
        <v>416</v>
      </c>
      <c r="D91" s="188" t="s">
        <v>527</v>
      </c>
      <c r="E91" s="615">
        <v>648620</v>
      </c>
      <c r="F91" s="568" t="s">
        <v>149</v>
      </c>
      <c r="G91" s="618"/>
      <c r="H91" s="624" t="s">
        <v>167</v>
      </c>
      <c r="I91" s="618" t="s">
        <v>552</v>
      </c>
      <c r="J91" s="618" t="s">
        <v>150</v>
      </c>
      <c r="K91" s="617"/>
      <c r="L91" s="617"/>
      <c r="O91" s="89"/>
    </row>
    <row r="92" spans="3:22" ht="14.1" customHeight="1">
      <c r="C92" s="550" t="s">
        <v>417</v>
      </c>
      <c r="D92" s="189" t="s">
        <v>193</v>
      </c>
      <c r="E92" s="615">
        <v>652357</v>
      </c>
      <c r="F92" s="621" t="s">
        <v>31</v>
      </c>
      <c r="G92" s="621"/>
      <c r="H92" s="621"/>
      <c r="I92" s="621"/>
      <c r="J92" s="621"/>
      <c r="K92" s="621"/>
      <c r="L92" s="621"/>
      <c r="O92" s="34"/>
      <c r="P92" s="34"/>
      <c r="Q92" s="34"/>
      <c r="R92" s="34"/>
      <c r="S92" s="34"/>
      <c r="T92" s="34"/>
      <c r="U92" s="34"/>
    </row>
    <row r="93" spans="3:22" ht="14.1" customHeight="1">
      <c r="C93" s="69" t="s">
        <v>418</v>
      </c>
      <c r="D93" s="551" t="s">
        <v>196</v>
      </c>
      <c r="E93" s="631">
        <v>703714</v>
      </c>
      <c r="F93" s="618" t="s">
        <v>149</v>
      </c>
      <c r="G93" s="618" t="s">
        <v>149</v>
      </c>
      <c r="H93" s="622"/>
      <c r="I93" s="617"/>
      <c r="J93" s="618" t="s">
        <v>149</v>
      </c>
      <c r="K93" s="618" t="s">
        <v>150</v>
      </c>
      <c r="L93" s="618"/>
      <c r="O93" s="34"/>
      <c r="P93" s="34"/>
      <c r="Q93" s="34"/>
      <c r="R93" s="34"/>
      <c r="S93" s="34"/>
      <c r="T93" s="34"/>
      <c r="U93" s="34"/>
    </row>
    <row r="94" spans="3:22" ht="14.1" customHeight="1">
      <c r="C94" s="87" t="s">
        <v>419</v>
      </c>
      <c r="D94" s="189" t="s">
        <v>198</v>
      </c>
      <c r="E94" s="615">
        <v>655089</v>
      </c>
      <c r="F94" s="624" t="s">
        <v>163</v>
      </c>
      <c r="G94" s="618"/>
      <c r="H94" s="618" t="s">
        <v>150</v>
      </c>
      <c r="I94" s="618" t="s">
        <v>150</v>
      </c>
      <c r="J94" s="618" t="s">
        <v>150</v>
      </c>
      <c r="K94" s="619"/>
      <c r="L94" s="619"/>
      <c r="O94" s="89"/>
    </row>
    <row r="95" spans="3:22" ht="14.1" customHeight="1">
      <c r="C95" s="69" t="s">
        <v>420</v>
      </c>
      <c r="D95" s="190" t="s">
        <v>199</v>
      </c>
      <c r="E95" s="615">
        <v>649364</v>
      </c>
      <c r="F95" s="618"/>
      <c r="G95" s="618"/>
      <c r="H95" s="618"/>
      <c r="I95" s="618"/>
      <c r="J95" s="618" t="s">
        <v>192</v>
      </c>
      <c r="K95" s="618" t="s">
        <v>192</v>
      </c>
      <c r="L95" s="618" t="s">
        <v>192</v>
      </c>
      <c r="O95" s="34"/>
      <c r="P95" s="34"/>
      <c r="Q95" s="34"/>
      <c r="R95" s="34"/>
      <c r="S95" s="34"/>
    </row>
    <row r="96" spans="3:22" ht="14.1" customHeight="1">
      <c r="C96" s="543" t="s">
        <v>421</v>
      </c>
      <c r="D96" s="191" t="s">
        <v>200</v>
      </c>
      <c r="E96" s="615">
        <v>700872</v>
      </c>
      <c r="F96" s="618" t="s">
        <v>150</v>
      </c>
      <c r="G96" s="618" t="s">
        <v>191</v>
      </c>
      <c r="H96" s="618"/>
      <c r="I96" s="618" t="s">
        <v>149</v>
      </c>
      <c r="J96" s="618"/>
      <c r="K96" s="618"/>
      <c r="L96" s="618" t="s">
        <v>150</v>
      </c>
      <c r="O96" s="89"/>
    </row>
    <row r="97" spans="3:15" ht="14.1" customHeight="1">
      <c r="C97" s="543" t="s">
        <v>422</v>
      </c>
      <c r="D97" s="552" t="s">
        <v>202</v>
      </c>
      <c r="E97" s="631">
        <v>703861</v>
      </c>
      <c r="F97" s="645"/>
      <c r="G97" s="624" t="s">
        <v>160</v>
      </c>
      <c r="H97" s="618"/>
      <c r="I97" s="618" t="s">
        <v>149</v>
      </c>
      <c r="J97" s="618" t="s">
        <v>192</v>
      </c>
      <c r="K97" s="618" t="s">
        <v>192</v>
      </c>
      <c r="L97" s="618" t="s">
        <v>192</v>
      </c>
      <c r="O97" s="89"/>
    </row>
    <row r="98" spans="3:15" ht="14.1" customHeight="1">
      <c r="C98" s="543" t="s">
        <v>423</v>
      </c>
      <c r="D98" s="192" t="s">
        <v>204</v>
      </c>
      <c r="E98" s="615">
        <v>652868</v>
      </c>
      <c r="F98" s="618"/>
      <c r="G98" s="618" t="s">
        <v>149</v>
      </c>
      <c r="H98" s="618"/>
      <c r="I98" s="618"/>
      <c r="J98" s="568" t="s">
        <v>529</v>
      </c>
      <c r="K98" s="618" t="s">
        <v>149</v>
      </c>
      <c r="L98" s="618" t="s">
        <v>149</v>
      </c>
      <c r="O98" s="89"/>
    </row>
    <row r="99" spans="3:15" ht="14.1" customHeight="1">
      <c r="C99" s="543" t="s">
        <v>424</v>
      </c>
      <c r="D99" s="189" t="s">
        <v>205</v>
      </c>
      <c r="E99" s="615">
        <v>652998</v>
      </c>
      <c r="F99" s="618" t="s">
        <v>192</v>
      </c>
      <c r="G99" s="618" t="s">
        <v>192</v>
      </c>
      <c r="H99" s="618" t="s">
        <v>192</v>
      </c>
      <c r="I99" s="618" t="s">
        <v>192</v>
      </c>
      <c r="J99" s="617"/>
      <c r="K99" s="617"/>
      <c r="L99" s="619"/>
      <c r="O99" s="89"/>
    </row>
    <row r="100" spans="3:15" ht="14.1" customHeight="1">
      <c r="C100" s="543" t="s">
        <v>425</v>
      </c>
      <c r="D100" s="193" t="s">
        <v>206</v>
      </c>
      <c r="E100" s="631">
        <v>654959</v>
      </c>
      <c r="F100" s="618" t="s">
        <v>192</v>
      </c>
      <c r="G100" s="618" t="s">
        <v>192</v>
      </c>
      <c r="H100" s="618" t="s">
        <v>192</v>
      </c>
      <c r="I100" s="618" t="s">
        <v>192</v>
      </c>
      <c r="J100" s="617"/>
      <c r="K100" s="617"/>
      <c r="L100" s="617"/>
      <c r="O100" s="89"/>
    </row>
    <row r="101" spans="3:15" ht="14.1" customHeight="1">
      <c r="C101" s="85" t="s">
        <v>426</v>
      </c>
      <c r="D101" s="551" t="s">
        <v>207</v>
      </c>
      <c r="E101" s="615">
        <v>654981</v>
      </c>
      <c r="F101" s="618" t="s">
        <v>192</v>
      </c>
      <c r="G101" s="618" t="s">
        <v>192</v>
      </c>
      <c r="H101" s="618" t="s">
        <v>192</v>
      </c>
      <c r="I101" s="618" t="s">
        <v>192</v>
      </c>
      <c r="J101" s="617"/>
      <c r="K101" s="617"/>
      <c r="L101" s="617"/>
      <c r="O101" s="89"/>
    </row>
    <row r="102" spans="3:15" ht="14.1" customHeight="1">
      <c r="C102" s="85" t="s">
        <v>427</v>
      </c>
      <c r="D102" s="553" t="s">
        <v>208</v>
      </c>
      <c r="E102" s="615">
        <v>703795</v>
      </c>
      <c r="F102" s="618" t="s">
        <v>150</v>
      </c>
      <c r="G102" s="617"/>
      <c r="H102" s="617"/>
      <c r="I102" s="618" t="s">
        <v>150</v>
      </c>
      <c r="J102" s="617"/>
      <c r="K102" s="617"/>
      <c r="L102" s="617"/>
      <c r="O102" s="89"/>
    </row>
    <row r="103" spans="3:15" ht="14.1" customHeight="1">
      <c r="C103" s="730" t="s">
        <v>428</v>
      </c>
      <c r="D103" s="551" t="s">
        <v>209</v>
      </c>
      <c r="E103" s="615">
        <v>652364</v>
      </c>
      <c r="F103" s="621" t="s">
        <v>31</v>
      </c>
      <c r="G103" s="621"/>
      <c r="H103" s="621"/>
      <c r="I103" s="621"/>
      <c r="J103" s="621"/>
      <c r="K103" s="621"/>
      <c r="L103" s="621"/>
      <c r="O103" s="89"/>
    </row>
    <row r="104" spans="3:15" ht="14.1" customHeight="1">
      <c r="C104" s="543" t="s">
        <v>429</v>
      </c>
      <c r="D104" s="551" t="s">
        <v>210</v>
      </c>
      <c r="E104" s="615">
        <v>644433</v>
      </c>
      <c r="F104" s="621" t="s">
        <v>31</v>
      </c>
      <c r="G104" s="621"/>
      <c r="H104" s="621"/>
      <c r="I104" s="621"/>
      <c r="J104" s="621"/>
      <c r="K104" s="621"/>
      <c r="L104" s="621"/>
      <c r="O104" s="89"/>
    </row>
    <row r="105" spans="3:15" ht="14.1" customHeight="1">
      <c r="C105" s="87" t="s">
        <v>430</v>
      </c>
      <c r="D105" s="551" t="s">
        <v>211</v>
      </c>
      <c r="E105" s="615">
        <v>650602</v>
      </c>
      <c r="F105" s="619"/>
      <c r="G105" s="617"/>
      <c r="H105" s="617"/>
      <c r="I105" s="616" t="s">
        <v>317</v>
      </c>
      <c r="J105" s="616" t="s">
        <v>342</v>
      </c>
      <c r="K105" s="616" t="s">
        <v>359</v>
      </c>
      <c r="L105" s="616" t="s">
        <v>359</v>
      </c>
      <c r="O105" s="89"/>
    </row>
    <row r="106" spans="3:15" ht="14.1" customHeight="1">
      <c r="C106" s="87" t="s">
        <v>431</v>
      </c>
      <c r="D106" s="552" t="s">
        <v>212</v>
      </c>
      <c r="E106" s="631">
        <v>704893</v>
      </c>
      <c r="F106" s="618" t="s">
        <v>191</v>
      </c>
      <c r="G106" s="622"/>
      <c r="H106" s="622"/>
      <c r="I106" s="618" t="s">
        <v>149</v>
      </c>
      <c r="J106" s="618" t="s">
        <v>149</v>
      </c>
      <c r="K106" s="617"/>
      <c r="L106" s="617"/>
      <c r="O106" s="89"/>
    </row>
    <row r="107" spans="3:15" ht="14.1" customHeight="1">
      <c r="C107" s="87" t="s">
        <v>432</v>
      </c>
      <c r="D107" s="194" t="s">
        <v>214</v>
      </c>
      <c r="E107" s="615">
        <v>636733</v>
      </c>
      <c r="F107" s="618"/>
      <c r="G107" s="618" t="s">
        <v>150</v>
      </c>
      <c r="H107" s="616" t="s">
        <v>490</v>
      </c>
      <c r="I107" s="618"/>
      <c r="J107" s="618"/>
      <c r="K107" s="617"/>
      <c r="L107" s="617"/>
      <c r="O107" s="89"/>
    </row>
    <row r="108" spans="3:15" ht="14.1" customHeight="1">
      <c r="C108" s="69" t="s">
        <v>433</v>
      </c>
      <c r="D108" s="195" t="s">
        <v>216</v>
      </c>
      <c r="E108" s="200">
        <v>637770</v>
      </c>
      <c r="F108" s="254" t="s">
        <v>553</v>
      </c>
      <c r="G108" s="254"/>
      <c r="H108" s="254"/>
      <c r="I108" s="254"/>
      <c r="J108" s="254"/>
      <c r="K108" s="254"/>
      <c r="L108" s="254"/>
      <c r="O108" s="89"/>
    </row>
    <row r="109" spans="3:15" ht="14.1" customHeight="1" thickBot="1">
      <c r="C109" s="543"/>
      <c r="D109" s="554"/>
      <c r="E109" s="166"/>
      <c r="F109" s="618"/>
      <c r="G109" s="618"/>
      <c r="H109" s="617"/>
      <c r="I109" s="618"/>
      <c r="J109" s="618"/>
      <c r="K109" s="619"/>
      <c r="L109" s="617"/>
      <c r="O109" s="89"/>
    </row>
    <row r="110" spans="3:15" ht="14.1" customHeight="1">
      <c r="C110" s="543"/>
      <c r="D110" s="554"/>
      <c r="E110" s="114"/>
      <c r="F110" s="760" t="s">
        <v>218</v>
      </c>
      <c r="G110" s="761"/>
      <c r="H110" s="761"/>
      <c r="I110" s="761"/>
      <c r="J110" s="761"/>
      <c r="K110" s="761"/>
      <c r="L110" s="762"/>
      <c r="O110" s="89"/>
    </row>
    <row r="111" spans="3:15" ht="14.1" customHeight="1">
      <c r="C111" s="555" t="s">
        <v>434</v>
      </c>
      <c r="D111" s="167" t="s">
        <v>219</v>
      </c>
      <c r="E111" s="633"/>
      <c r="F111" s="71">
        <f t="shared" ref="F111:L111" si="20">F4</f>
        <v>46104</v>
      </c>
      <c r="G111" s="71">
        <f t="shared" si="20"/>
        <v>46105</v>
      </c>
      <c r="H111" s="71">
        <f t="shared" si="20"/>
        <v>46106</v>
      </c>
      <c r="I111" s="71">
        <f t="shared" si="20"/>
        <v>46107</v>
      </c>
      <c r="J111" s="71">
        <f t="shared" si="20"/>
        <v>46108</v>
      </c>
      <c r="K111" s="71">
        <f t="shared" si="20"/>
        <v>46109</v>
      </c>
      <c r="L111" s="71">
        <f t="shared" si="20"/>
        <v>46110</v>
      </c>
      <c r="O111" s="89"/>
    </row>
    <row r="112" spans="3:15" ht="14.1" customHeight="1">
      <c r="C112" s="556" t="s">
        <v>435</v>
      </c>
      <c r="D112" s="557" t="s">
        <v>220</v>
      </c>
      <c r="E112" s="633">
        <v>654686</v>
      </c>
      <c r="F112" s="303"/>
      <c r="G112" s="303" t="s">
        <v>149</v>
      </c>
      <c r="H112" s="303" t="s">
        <v>150</v>
      </c>
      <c r="I112" s="303"/>
      <c r="J112" s="303"/>
      <c r="K112" s="565" t="s">
        <v>149</v>
      </c>
      <c r="L112" s="565" t="s">
        <v>224</v>
      </c>
      <c r="O112" s="89"/>
    </row>
    <row r="113" spans="3:15" ht="14.1" customHeight="1">
      <c r="C113" s="556" t="s">
        <v>436</v>
      </c>
      <c r="D113" s="557" t="s">
        <v>227</v>
      </c>
      <c r="E113" s="633">
        <v>700581</v>
      </c>
      <c r="F113" s="565" t="s">
        <v>149</v>
      </c>
      <c r="G113" s="565" t="s">
        <v>150</v>
      </c>
      <c r="H113" s="565" t="s">
        <v>150</v>
      </c>
      <c r="I113" s="565"/>
      <c r="J113" s="565"/>
      <c r="K113" s="565" t="s">
        <v>224</v>
      </c>
      <c r="L113" s="565"/>
      <c r="O113" s="89"/>
    </row>
    <row r="114" spans="3:15" ht="14.1" customHeight="1">
      <c r="C114" s="88" t="s">
        <v>437</v>
      </c>
      <c r="D114" s="557" t="s">
        <v>228</v>
      </c>
      <c r="E114" s="633">
        <v>700540</v>
      </c>
      <c r="F114" s="565" t="s">
        <v>150</v>
      </c>
      <c r="G114" s="565" t="s">
        <v>150</v>
      </c>
      <c r="H114" s="565"/>
      <c r="I114" s="565" t="s">
        <v>149</v>
      </c>
      <c r="J114" s="565" t="s">
        <v>224</v>
      </c>
      <c r="K114" s="565"/>
      <c r="L114" s="565"/>
      <c r="O114" s="89"/>
    </row>
    <row r="115" spans="3:15" ht="14.1" customHeight="1">
      <c r="C115" s="556" t="s">
        <v>438</v>
      </c>
      <c r="D115" s="557" t="s">
        <v>230</v>
      </c>
      <c r="E115" s="633">
        <v>646665</v>
      </c>
      <c r="F115" s="565"/>
      <c r="G115" s="565"/>
      <c r="H115" s="565" t="s">
        <v>224</v>
      </c>
      <c r="I115" s="565"/>
      <c r="J115" s="565" t="s">
        <v>149</v>
      </c>
      <c r="K115" s="565" t="s">
        <v>223</v>
      </c>
      <c r="L115" s="565" t="s">
        <v>222</v>
      </c>
      <c r="O115" s="89"/>
    </row>
    <row r="116" spans="3:15" ht="14.1" customHeight="1">
      <c r="C116" s="556" t="s">
        <v>439</v>
      </c>
      <c r="D116" s="557" t="s">
        <v>231</v>
      </c>
      <c r="E116" s="633">
        <v>654598</v>
      </c>
      <c r="F116" s="565" t="s">
        <v>225</v>
      </c>
      <c r="G116" s="565" t="s">
        <v>224</v>
      </c>
      <c r="H116" s="565"/>
      <c r="I116" s="565"/>
      <c r="J116" s="565"/>
      <c r="K116" s="565" t="s">
        <v>150</v>
      </c>
      <c r="L116" s="565" t="s">
        <v>150</v>
      </c>
      <c r="O116" s="89"/>
    </row>
    <row r="117" spans="3:15" ht="14.1" customHeight="1">
      <c r="C117" s="556" t="s">
        <v>440</v>
      </c>
      <c r="D117" s="557" t="s">
        <v>232</v>
      </c>
      <c r="E117" s="633">
        <v>700591</v>
      </c>
      <c r="F117" s="565"/>
      <c r="G117" s="565" t="s">
        <v>226</v>
      </c>
      <c r="H117" s="565"/>
      <c r="I117" s="565"/>
      <c r="J117" s="565" t="s">
        <v>222</v>
      </c>
      <c r="K117" s="565" t="s">
        <v>221</v>
      </c>
      <c r="L117" s="565" t="s">
        <v>222</v>
      </c>
      <c r="O117" s="89"/>
    </row>
    <row r="118" spans="3:15" ht="14.1" customHeight="1">
      <c r="C118" s="556" t="s">
        <v>441</v>
      </c>
      <c r="D118" s="557" t="s">
        <v>233</v>
      </c>
      <c r="E118" s="633">
        <v>700648</v>
      </c>
      <c r="F118" s="565"/>
      <c r="G118" s="565"/>
      <c r="H118" s="565" t="s">
        <v>226</v>
      </c>
      <c r="I118" s="565" t="s">
        <v>150</v>
      </c>
      <c r="J118" s="565"/>
      <c r="K118" s="565" t="s">
        <v>225</v>
      </c>
      <c r="L118" s="565" t="s">
        <v>149</v>
      </c>
      <c r="O118" s="89"/>
    </row>
    <row r="119" spans="3:15" ht="14.1" customHeight="1">
      <c r="C119" s="556" t="s">
        <v>443</v>
      </c>
      <c r="D119" s="557" t="s">
        <v>234</v>
      </c>
      <c r="E119" s="633">
        <v>700653</v>
      </c>
      <c r="F119" s="565" t="s">
        <v>149</v>
      </c>
      <c r="G119" s="565"/>
      <c r="H119" s="565" t="s">
        <v>149</v>
      </c>
      <c r="I119" s="565" t="s">
        <v>225</v>
      </c>
      <c r="J119" s="565" t="s">
        <v>150</v>
      </c>
      <c r="K119" s="565"/>
      <c r="L119" s="565"/>
      <c r="O119" s="89"/>
    </row>
    <row r="120" spans="3:15" ht="14.1" customHeight="1">
      <c r="C120" s="556" t="s">
        <v>444</v>
      </c>
      <c r="D120" s="557" t="s">
        <v>235</v>
      </c>
      <c r="E120" s="633">
        <v>700604</v>
      </c>
      <c r="F120" s="565"/>
      <c r="G120" s="565"/>
      <c r="H120" s="565" t="s">
        <v>150</v>
      </c>
      <c r="I120" s="565"/>
      <c r="J120" s="565" t="s">
        <v>221</v>
      </c>
      <c r="K120" s="565" t="s">
        <v>222</v>
      </c>
      <c r="L120" s="565" t="s">
        <v>223</v>
      </c>
      <c r="O120" s="89"/>
    </row>
    <row r="121" spans="3:15" ht="14.1" customHeight="1">
      <c r="C121" s="556" t="s">
        <v>445</v>
      </c>
      <c r="D121" s="557" t="s">
        <v>236</v>
      </c>
      <c r="E121" s="633">
        <v>655170</v>
      </c>
      <c r="F121" s="565" t="s">
        <v>222</v>
      </c>
      <c r="G121" s="565"/>
      <c r="H121" s="565"/>
      <c r="I121" s="565" t="s">
        <v>150</v>
      </c>
      <c r="J121" s="565"/>
      <c r="K121" s="565" t="s">
        <v>150</v>
      </c>
      <c r="L121" s="565" t="s">
        <v>150</v>
      </c>
      <c r="O121" s="89"/>
    </row>
    <row r="122" spans="3:15" ht="14.1" customHeight="1">
      <c r="C122" s="556" t="s">
        <v>446</v>
      </c>
      <c r="D122" s="557" t="s">
        <v>237</v>
      </c>
      <c r="E122" s="633">
        <v>703000</v>
      </c>
      <c r="F122" s="565"/>
      <c r="G122" s="565" t="s">
        <v>225</v>
      </c>
      <c r="H122" s="565" t="s">
        <v>149</v>
      </c>
      <c r="I122" s="565" t="s">
        <v>224</v>
      </c>
      <c r="J122" s="565" t="s">
        <v>150</v>
      </c>
      <c r="K122" s="565"/>
      <c r="L122" s="565"/>
      <c r="O122" s="89"/>
    </row>
    <row r="123" spans="3:15" ht="14.1" customHeight="1">
      <c r="C123" s="556" t="s">
        <v>447</v>
      </c>
      <c r="D123" s="557" t="s">
        <v>238</v>
      </c>
      <c r="E123" s="633">
        <v>702770</v>
      </c>
      <c r="F123" s="565" t="s">
        <v>222</v>
      </c>
      <c r="G123" s="565"/>
      <c r="H123" s="565"/>
      <c r="I123" s="565"/>
      <c r="J123" s="565" t="s">
        <v>225</v>
      </c>
      <c r="K123" s="565" t="s">
        <v>150</v>
      </c>
      <c r="L123" s="565" t="s">
        <v>226</v>
      </c>
      <c r="O123" s="89"/>
    </row>
    <row r="124" spans="3:15" ht="14.1" customHeight="1">
      <c r="C124" s="556" t="s">
        <v>448</v>
      </c>
      <c r="D124" s="557" t="s">
        <v>239</v>
      </c>
      <c r="E124" s="633">
        <v>704108</v>
      </c>
      <c r="F124" s="565" t="s">
        <v>224</v>
      </c>
      <c r="G124" s="565" t="s">
        <v>150</v>
      </c>
      <c r="H124" s="565" t="s">
        <v>150</v>
      </c>
      <c r="I124" s="565" t="s">
        <v>150</v>
      </c>
      <c r="J124" s="565"/>
      <c r="K124" s="565"/>
      <c r="L124" s="565"/>
      <c r="O124" s="89"/>
    </row>
    <row r="125" spans="3:15" ht="14.1" customHeight="1">
      <c r="C125" s="556" t="s">
        <v>449</v>
      </c>
      <c r="D125" s="557" t="s">
        <v>240</v>
      </c>
      <c r="E125" s="633">
        <v>700734</v>
      </c>
      <c r="F125" s="565" t="s">
        <v>150</v>
      </c>
      <c r="G125" s="565"/>
      <c r="H125" s="565"/>
      <c r="I125" s="565"/>
      <c r="J125" s="565" t="s">
        <v>223</v>
      </c>
      <c r="K125" s="565" t="s">
        <v>222</v>
      </c>
      <c r="L125" s="565" t="s">
        <v>221</v>
      </c>
      <c r="O125" s="89"/>
    </row>
    <row r="126" spans="3:15" ht="14.1" customHeight="1">
      <c r="C126" s="556" t="s">
        <v>450</v>
      </c>
      <c r="D126" s="557" t="s">
        <v>241</v>
      </c>
      <c r="E126" s="633">
        <v>702035</v>
      </c>
      <c r="F126" s="635"/>
      <c r="G126" s="635"/>
      <c r="H126" s="635"/>
      <c r="I126" s="635"/>
      <c r="J126" s="635"/>
      <c r="K126" s="635"/>
      <c r="L126" s="635"/>
      <c r="O126" s="89"/>
    </row>
    <row r="127" spans="3:15" ht="14.1" customHeight="1">
      <c r="C127" s="556" t="s">
        <v>451</v>
      </c>
      <c r="D127" s="557" t="s">
        <v>242</v>
      </c>
      <c r="E127" s="633">
        <v>702779</v>
      </c>
      <c r="F127" s="565"/>
      <c r="G127" s="565" t="s">
        <v>222</v>
      </c>
      <c r="H127" s="565" t="s">
        <v>223</v>
      </c>
      <c r="I127" s="565" t="s">
        <v>222</v>
      </c>
      <c r="J127" s="565"/>
      <c r="K127" s="565"/>
      <c r="L127" s="578" t="s">
        <v>359</v>
      </c>
      <c r="O127" s="89"/>
    </row>
    <row r="128" spans="3:15" ht="14.1" customHeight="1">
      <c r="C128" s="556" t="s">
        <v>452</v>
      </c>
      <c r="D128" s="557" t="s">
        <v>243</v>
      </c>
      <c r="E128" s="633">
        <v>641339</v>
      </c>
      <c r="F128" s="565"/>
      <c r="G128" s="565"/>
      <c r="H128" s="565" t="s">
        <v>229</v>
      </c>
      <c r="I128" s="565" t="s">
        <v>149</v>
      </c>
      <c r="J128" s="565" t="s">
        <v>226</v>
      </c>
      <c r="K128" s="565" t="s">
        <v>150</v>
      </c>
      <c r="L128" s="565"/>
      <c r="O128" s="89"/>
    </row>
    <row r="129" spans="3:15" ht="14.1" customHeight="1">
      <c r="C129" s="556" t="s">
        <v>453</v>
      </c>
      <c r="D129" s="557" t="s">
        <v>244</v>
      </c>
      <c r="E129" s="633">
        <v>703783</v>
      </c>
      <c r="F129" s="565" t="s">
        <v>226</v>
      </c>
      <c r="G129" s="565" t="s">
        <v>150</v>
      </c>
      <c r="H129" s="565"/>
      <c r="I129" s="565" t="s">
        <v>223</v>
      </c>
      <c r="J129" s="565" t="s">
        <v>222</v>
      </c>
      <c r="K129" s="565"/>
      <c r="L129" s="565"/>
      <c r="O129" s="89"/>
    </row>
    <row r="130" spans="3:15" ht="14.1" customHeight="1">
      <c r="C130" s="556" t="s">
        <v>454</v>
      </c>
      <c r="D130" s="557" t="s">
        <v>245</v>
      </c>
      <c r="E130" s="625">
        <v>702087</v>
      </c>
      <c r="F130" s="565"/>
      <c r="G130" s="565"/>
      <c r="H130" s="565"/>
      <c r="I130" s="565"/>
      <c r="J130" s="565"/>
      <c r="K130" s="565" t="s">
        <v>149</v>
      </c>
      <c r="L130" s="565" t="s">
        <v>149</v>
      </c>
      <c r="O130" s="89"/>
    </row>
    <row r="131" spans="3:15" ht="14.1" customHeight="1">
      <c r="C131" s="556" t="s">
        <v>455</v>
      </c>
      <c r="D131" s="558" t="s">
        <v>246</v>
      </c>
      <c r="E131" s="625">
        <v>705039</v>
      </c>
      <c r="F131" s="566"/>
      <c r="G131" s="566" t="s">
        <v>149</v>
      </c>
      <c r="H131" s="566"/>
      <c r="I131" s="566" t="s">
        <v>150</v>
      </c>
      <c r="J131" s="566"/>
      <c r="K131" s="566"/>
      <c r="L131" s="566"/>
      <c r="O131" s="89"/>
    </row>
    <row r="132" spans="3:15" ht="14.1" customHeight="1">
      <c r="C132" s="556" t="s">
        <v>456</v>
      </c>
      <c r="D132" s="557" t="s">
        <v>247</v>
      </c>
      <c r="E132" s="625">
        <v>703186</v>
      </c>
      <c r="F132" s="565" t="s">
        <v>221</v>
      </c>
      <c r="G132" s="565"/>
      <c r="H132" s="565"/>
      <c r="I132" s="565"/>
      <c r="J132" s="578" t="s">
        <v>342</v>
      </c>
      <c r="K132" s="565" t="s">
        <v>226</v>
      </c>
      <c r="L132" s="565" t="s">
        <v>150</v>
      </c>
      <c r="O132" s="89"/>
    </row>
    <row r="133" spans="3:15" ht="14.1" customHeight="1">
      <c r="C133" s="556" t="s">
        <v>458</v>
      </c>
      <c r="D133" s="557" t="s">
        <v>248</v>
      </c>
      <c r="E133" s="625">
        <v>703168</v>
      </c>
      <c r="F133" s="635"/>
      <c r="G133" s="635"/>
      <c r="H133" s="635"/>
      <c r="I133" s="635"/>
      <c r="J133" s="635"/>
      <c r="K133" s="635"/>
      <c r="L133" s="635"/>
      <c r="O133" s="89"/>
    </row>
    <row r="134" spans="3:15" ht="14.1" customHeight="1">
      <c r="C134" s="556" t="s">
        <v>459</v>
      </c>
      <c r="D134" s="557" t="s">
        <v>249</v>
      </c>
      <c r="E134" s="625">
        <v>703270</v>
      </c>
      <c r="F134" s="565" t="s">
        <v>150</v>
      </c>
      <c r="G134" s="565" t="s">
        <v>223</v>
      </c>
      <c r="H134" s="565" t="s">
        <v>222</v>
      </c>
      <c r="I134" s="565" t="s">
        <v>221</v>
      </c>
      <c r="J134" s="565"/>
      <c r="K134" s="565"/>
      <c r="L134" s="565"/>
      <c r="O134" s="89"/>
    </row>
    <row r="135" spans="3:15" ht="14.1" customHeight="1">
      <c r="C135" s="556" t="s">
        <v>460</v>
      </c>
      <c r="D135" s="558" t="s">
        <v>251</v>
      </c>
      <c r="E135" s="625">
        <v>702481</v>
      </c>
      <c r="F135" s="565" t="s">
        <v>223</v>
      </c>
      <c r="G135" s="565" t="s">
        <v>222</v>
      </c>
      <c r="H135" s="565" t="s">
        <v>221</v>
      </c>
      <c r="I135" s="565" t="s">
        <v>222</v>
      </c>
      <c r="J135" s="565"/>
      <c r="K135" s="565"/>
      <c r="L135" s="565"/>
      <c r="O135" s="89"/>
    </row>
    <row r="136" spans="3:15" ht="14.1" customHeight="1">
      <c r="C136" s="556" t="s">
        <v>461</v>
      </c>
      <c r="D136" s="558" t="s">
        <v>252</v>
      </c>
      <c r="E136" s="625">
        <v>700682</v>
      </c>
      <c r="F136" s="634"/>
      <c r="G136" s="634"/>
      <c r="H136" s="634"/>
      <c r="I136" s="634"/>
      <c r="J136" s="634"/>
      <c r="K136" s="634"/>
      <c r="L136" s="634"/>
      <c r="O136" s="89"/>
    </row>
    <row r="137" spans="3:15" ht="14.1" customHeight="1">
      <c r="C137" s="556" t="s">
        <v>462</v>
      </c>
      <c r="D137" s="558" t="s">
        <v>253</v>
      </c>
      <c r="E137" s="625">
        <v>700721</v>
      </c>
      <c r="F137" s="634"/>
      <c r="G137" s="634"/>
      <c r="H137" s="634"/>
      <c r="I137" s="634"/>
      <c r="J137" s="634"/>
      <c r="K137" s="634"/>
      <c r="L137" s="634"/>
      <c r="O137" s="89"/>
    </row>
    <row r="138" spans="3:15" ht="14.1" customHeight="1">
      <c r="C138" s="556" t="s">
        <v>463</v>
      </c>
      <c r="D138" s="558" t="s">
        <v>254</v>
      </c>
      <c r="E138" s="625">
        <v>703820</v>
      </c>
      <c r="F138" s="634"/>
      <c r="G138" s="634"/>
      <c r="H138" s="634"/>
      <c r="I138" s="634"/>
      <c r="J138" s="634"/>
      <c r="K138" s="634"/>
      <c r="L138" s="634"/>
      <c r="O138" s="89"/>
    </row>
    <row r="139" spans="3:15" ht="14.1" customHeight="1">
      <c r="C139" s="556" t="s">
        <v>464</v>
      </c>
      <c r="D139" s="558" t="s">
        <v>255</v>
      </c>
      <c r="E139" s="625">
        <v>703788</v>
      </c>
      <c r="F139" s="634"/>
      <c r="G139" s="634"/>
      <c r="H139" s="634"/>
      <c r="I139" s="634"/>
      <c r="J139" s="634"/>
      <c r="K139" s="634"/>
      <c r="L139" s="634"/>
      <c r="O139" s="89"/>
    </row>
    <row r="140" spans="3:15" ht="14.1" customHeight="1">
      <c r="C140" s="556" t="s">
        <v>465</v>
      </c>
      <c r="D140" s="558" t="s">
        <v>256</v>
      </c>
      <c r="E140" s="625">
        <v>700646</v>
      </c>
      <c r="F140" s="634"/>
      <c r="G140" s="634"/>
      <c r="H140" s="634"/>
      <c r="I140" s="634"/>
      <c r="J140" s="634"/>
      <c r="K140" s="634"/>
      <c r="L140" s="634"/>
      <c r="O140" s="89"/>
    </row>
    <row r="141" spans="3:15" ht="14.1" customHeight="1">
      <c r="C141" s="556" t="s">
        <v>466</v>
      </c>
      <c r="D141" s="558" t="s">
        <v>257</v>
      </c>
      <c r="E141" s="633">
        <v>655539</v>
      </c>
      <c r="F141" s="634"/>
      <c r="G141" s="634"/>
      <c r="H141" s="634"/>
      <c r="I141" s="634"/>
      <c r="J141" s="634"/>
      <c r="K141" s="634"/>
      <c r="L141" s="634"/>
      <c r="O141" s="89"/>
    </row>
    <row r="142" spans="3:15" ht="14.1" customHeight="1">
      <c r="C142" s="556" t="s">
        <v>467</v>
      </c>
      <c r="D142" s="559" t="s">
        <v>258</v>
      </c>
      <c r="E142" s="633">
        <v>653933</v>
      </c>
      <c r="F142" s="565" t="s">
        <v>150</v>
      </c>
      <c r="G142" s="565" t="s">
        <v>221</v>
      </c>
      <c r="H142" s="565" t="s">
        <v>222</v>
      </c>
      <c r="I142" s="565"/>
      <c r="J142" s="565"/>
      <c r="K142" s="565"/>
      <c r="L142" s="565" t="s">
        <v>225</v>
      </c>
      <c r="O142" s="89"/>
    </row>
    <row r="143" spans="3:15" ht="14.1" customHeight="1">
      <c r="C143" s="556" t="s">
        <v>468</v>
      </c>
      <c r="D143" s="558" t="s">
        <v>259</v>
      </c>
      <c r="E143" s="304"/>
      <c r="F143" s="634"/>
      <c r="G143" s="634"/>
      <c r="H143" s="634"/>
      <c r="I143" s="634"/>
      <c r="J143" s="634"/>
      <c r="K143" s="634"/>
      <c r="L143" s="634"/>
      <c r="O143" s="89"/>
    </row>
    <row r="144" spans="3:15" ht="14.1" customHeight="1">
      <c r="C144" s="556"/>
      <c r="D144" s="286"/>
      <c r="E144" s="477"/>
      <c r="G144" s="566"/>
      <c r="H144" s="566"/>
      <c r="I144" s="566"/>
      <c r="J144" s="566"/>
      <c r="K144" s="566"/>
      <c r="L144" s="566"/>
      <c r="O144" s="89"/>
    </row>
    <row r="145" spans="3:15" ht="14.1" customHeight="1">
      <c r="C145" s="560" t="s">
        <v>472</v>
      </c>
      <c r="D145" s="462" t="s">
        <v>260</v>
      </c>
      <c r="E145" s="463"/>
      <c r="F145" s="210"/>
      <c r="G145" s="578"/>
      <c r="H145" s="578"/>
      <c r="I145" s="578"/>
      <c r="J145" s="578"/>
      <c r="K145" s="578"/>
      <c r="L145" s="578"/>
      <c r="O145" s="89"/>
    </row>
    <row r="146" spans="3:15" ht="14.1" customHeight="1">
      <c r="C146" s="561" t="s">
        <v>554</v>
      </c>
      <c r="D146" s="694" t="s">
        <v>555</v>
      </c>
      <c r="E146" s="695">
        <v>703323</v>
      </c>
      <c r="F146" s="258" t="s">
        <v>263</v>
      </c>
      <c r="G146" s="258" t="s">
        <v>263</v>
      </c>
      <c r="H146" s="258" t="s">
        <v>263</v>
      </c>
      <c r="I146" s="258" t="s">
        <v>263</v>
      </c>
      <c r="J146" s="258" t="s">
        <v>263</v>
      </c>
      <c r="K146" s="258" t="s">
        <v>263</v>
      </c>
      <c r="L146" s="259" t="s">
        <v>263</v>
      </c>
      <c r="O146" s="89"/>
    </row>
    <row r="147" spans="3:15" ht="14.1" customHeight="1">
      <c r="C147" s="561" t="s">
        <v>556</v>
      </c>
      <c r="D147" s="307" t="s">
        <v>557</v>
      </c>
      <c r="E147" s="308">
        <v>703564</v>
      </c>
      <c r="F147" s="258" t="s">
        <v>263</v>
      </c>
      <c r="G147" s="258" t="s">
        <v>263</v>
      </c>
      <c r="H147" s="258" t="s">
        <v>263</v>
      </c>
      <c r="I147" s="258" t="s">
        <v>263</v>
      </c>
      <c r="J147" s="258" t="s">
        <v>263</v>
      </c>
      <c r="K147" s="258" t="s">
        <v>263</v>
      </c>
      <c r="L147" s="259" t="s">
        <v>263</v>
      </c>
      <c r="O147" s="89"/>
    </row>
    <row r="148" spans="3:15" ht="14.1" customHeight="1">
      <c r="C148" s="561" t="s">
        <v>558</v>
      </c>
      <c r="D148" s="307" t="s">
        <v>559</v>
      </c>
      <c r="E148" s="308">
        <v>703800</v>
      </c>
      <c r="F148" s="260" t="s">
        <v>560</v>
      </c>
      <c r="G148" s="261" t="s">
        <v>222</v>
      </c>
      <c r="H148" s="261" t="s">
        <v>222</v>
      </c>
      <c r="I148" s="261" t="s">
        <v>222</v>
      </c>
      <c r="J148" s="298" t="s">
        <v>471</v>
      </c>
      <c r="K148" s="261" t="s">
        <v>561</v>
      </c>
      <c r="L148" s="262" t="s">
        <v>561</v>
      </c>
      <c r="O148" s="89"/>
    </row>
    <row r="149" spans="3:15" ht="14.1" customHeight="1">
      <c r="C149" s="561" t="s">
        <v>562</v>
      </c>
      <c r="D149" s="307" t="s">
        <v>563</v>
      </c>
      <c r="E149" s="308">
        <v>703321</v>
      </c>
      <c r="F149" s="260" t="s">
        <v>560</v>
      </c>
      <c r="G149" s="261" t="s">
        <v>564</v>
      </c>
      <c r="H149" s="261" t="s">
        <v>149</v>
      </c>
      <c r="I149" s="261" t="s">
        <v>149</v>
      </c>
      <c r="J149" s="261" t="s">
        <v>561</v>
      </c>
      <c r="K149" s="261" t="s">
        <v>222</v>
      </c>
      <c r="L149" s="262" t="s">
        <v>222</v>
      </c>
      <c r="O149" s="89"/>
    </row>
    <row r="150" spans="3:15" ht="14.1" customHeight="1">
      <c r="C150" s="561" t="s">
        <v>565</v>
      </c>
      <c r="D150" s="307" t="s">
        <v>566</v>
      </c>
      <c r="E150" s="308">
        <v>703351</v>
      </c>
      <c r="F150" s="260" t="s">
        <v>560</v>
      </c>
      <c r="G150" s="261" t="s">
        <v>561</v>
      </c>
      <c r="H150" s="261" t="s">
        <v>567</v>
      </c>
      <c r="I150" s="261" t="s">
        <v>150</v>
      </c>
      <c r="J150" s="261" t="s">
        <v>561</v>
      </c>
      <c r="K150" s="261"/>
      <c r="L150" s="262"/>
      <c r="O150" s="89"/>
    </row>
    <row r="151" spans="3:15" ht="14.1" customHeight="1">
      <c r="C151" s="561" t="s">
        <v>568</v>
      </c>
      <c r="D151" s="307" t="s">
        <v>569</v>
      </c>
      <c r="E151" s="308">
        <v>703574</v>
      </c>
      <c r="F151" s="260" t="s">
        <v>560</v>
      </c>
      <c r="G151" s="261" t="s">
        <v>149</v>
      </c>
      <c r="H151" s="261" t="s">
        <v>149</v>
      </c>
      <c r="I151" s="261" t="s">
        <v>564</v>
      </c>
      <c r="J151" s="261" t="s">
        <v>561</v>
      </c>
      <c r="K151" s="261" t="s">
        <v>149</v>
      </c>
      <c r="L151" s="262" t="s">
        <v>149</v>
      </c>
      <c r="O151" s="89"/>
    </row>
    <row r="152" spans="3:15" ht="14.1" customHeight="1">
      <c r="C152" s="561" t="s">
        <v>570</v>
      </c>
      <c r="D152" s="307" t="s">
        <v>571</v>
      </c>
      <c r="E152" s="308">
        <v>703354</v>
      </c>
      <c r="F152" s="260" t="s">
        <v>560</v>
      </c>
      <c r="G152" s="261" t="s">
        <v>150</v>
      </c>
      <c r="H152" s="261" t="s">
        <v>567</v>
      </c>
      <c r="I152" s="261" t="s">
        <v>561</v>
      </c>
      <c r="J152" s="261" t="s">
        <v>149</v>
      </c>
      <c r="K152" s="261" t="s">
        <v>561</v>
      </c>
      <c r="L152" s="262" t="s">
        <v>561</v>
      </c>
      <c r="O152" s="89"/>
    </row>
    <row r="153" spans="3:15" ht="14.1" customHeight="1">
      <c r="C153" s="561" t="s">
        <v>572</v>
      </c>
      <c r="D153" s="307" t="s">
        <v>573</v>
      </c>
      <c r="E153" s="308">
        <v>703547</v>
      </c>
      <c r="F153" s="260" t="s">
        <v>560</v>
      </c>
      <c r="G153" s="298" t="s">
        <v>574</v>
      </c>
      <c r="H153" s="261"/>
      <c r="I153" s="261" t="s">
        <v>561</v>
      </c>
      <c r="J153" s="298" t="s">
        <v>317</v>
      </c>
      <c r="K153" s="261" t="s">
        <v>149</v>
      </c>
      <c r="L153" s="262" t="s">
        <v>149</v>
      </c>
      <c r="O153" s="89"/>
    </row>
    <row r="154" spans="3:15" ht="14.1" customHeight="1">
      <c r="C154" s="561" t="s">
        <v>575</v>
      </c>
      <c r="D154" s="307" t="s">
        <v>576</v>
      </c>
      <c r="E154" s="308">
        <v>703356</v>
      </c>
      <c r="F154" s="260" t="s">
        <v>560</v>
      </c>
      <c r="G154" s="261" t="s">
        <v>567</v>
      </c>
      <c r="H154" s="261" t="s">
        <v>150</v>
      </c>
      <c r="I154" s="261" t="s">
        <v>561</v>
      </c>
      <c r="J154" s="261" t="s">
        <v>561</v>
      </c>
      <c r="K154" s="261" t="s">
        <v>150</v>
      </c>
      <c r="L154" s="262" t="s">
        <v>150</v>
      </c>
      <c r="O154" s="89"/>
    </row>
    <row r="155" spans="3:15" ht="14.1" customHeight="1">
      <c r="C155" s="561" t="s">
        <v>577</v>
      </c>
      <c r="D155" s="307" t="s">
        <v>578</v>
      </c>
      <c r="E155" s="308">
        <v>703476</v>
      </c>
      <c r="F155" s="263" t="s">
        <v>560</v>
      </c>
      <c r="G155" s="264" t="s">
        <v>567</v>
      </c>
      <c r="H155" s="264" t="s">
        <v>150</v>
      </c>
      <c r="I155" s="264"/>
      <c r="J155" s="264" t="s">
        <v>150</v>
      </c>
      <c r="K155" s="264" t="s">
        <v>150</v>
      </c>
      <c r="L155" s="265" t="s">
        <v>561</v>
      </c>
      <c r="O155" s="89"/>
    </row>
    <row r="156" spans="3:15" ht="14.1" customHeight="1">
      <c r="C156" s="561" t="s">
        <v>579</v>
      </c>
      <c r="D156" s="231" t="s">
        <v>545</v>
      </c>
      <c r="E156" s="308">
        <v>700626</v>
      </c>
      <c r="F156" s="264"/>
      <c r="G156" s="296" t="s">
        <v>149</v>
      </c>
      <c r="H156" s="296" t="s">
        <v>149</v>
      </c>
      <c r="I156" s="296" t="s">
        <v>149</v>
      </c>
      <c r="J156" s="296" t="s">
        <v>149</v>
      </c>
      <c r="K156" s="296"/>
      <c r="L156" s="296"/>
      <c r="O156" s="89"/>
    </row>
    <row r="157" spans="3:15" ht="14.1" customHeight="1">
      <c r="C157" s="561"/>
      <c r="D157" s="175"/>
      <c r="E157" s="477"/>
      <c r="F157" s="793" t="s">
        <v>275</v>
      </c>
      <c r="G157" s="794"/>
      <c r="H157" s="794"/>
      <c r="I157" s="794"/>
      <c r="J157" s="794"/>
      <c r="K157" s="794"/>
      <c r="L157" s="795"/>
      <c r="O157" s="89"/>
    </row>
    <row r="158" spans="3:15" ht="14.1" customHeight="1">
      <c r="D158" s="476"/>
      <c r="E158" s="477"/>
      <c r="F158" s="566"/>
      <c r="G158" s="566"/>
      <c r="H158" s="566"/>
      <c r="I158" s="566"/>
      <c r="J158" s="566"/>
      <c r="K158" s="566"/>
      <c r="L158" s="566"/>
      <c r="O158" s="89"/>
    </row>
    <row r="159" spans="3:15" ht="14.1" customHeight="1">
      <c r="D159" s="479"/>
      <c r="E159" s="477"/>
      <c r="F159" s="566"/>
      <c r="G159" s="566"/>
      <c r="H159" s="566"/>
      <c r="I159" s="566"/>
      <c r="J159" s="566"/>
      <c r="K159" s="566"/>
      <c r="L159" s="566"/>
      <c r="O159" s="89"/>
    </row>
    <row r="160" spans="3:15" ht="14.1" customHeight="1">
      <c r="C160" s="563" t="s">
        <v>488</v>
      </c>
      <c r="D160" s="479" t="s">
        <v>488</v>
      </c>
      <c r="E160" s="477"/>
      <c r="F160" s="566"/>
      <c r="G160" s="566"/>
      <c r="H160" s="566"/>
      <c r="I160" s="566"/>
      <c r="J160" s="566"/>
      <c r="K160" s="566"/>
      <c r="L160" s="566"/>
      <c r="O160" s="89"/>
    </row>
    <row r="161" spans="3:15" ht="14.1" customHeight="1">
      <c r="C161" s="563"/>
      <c r="D161" s="563"/>
      <c r="E161" s="477"/>
      <c r="F161" s="566"/>
      <c r="G161" s="566"/>
      <c r="H161" s="566"/>
      <c r="I161" s="566"/>
      <c r="J161" s="566"/>
      <c r="K161" s="566"/>
      <c r="L161" s="566"/>
      <c r="O161" s="89"/>
    </row>
    <row r="162" spans="3:15" ht="14.1" customHeight="1">
      <c r="C162" s="563"/>
      <c r="D162" s="563"/>
      <c r="E162" s="477"/>
      <c r="F162" s="566"/>
      <c r="G162" s="566"/>
      <c r="H162" s="566"/>
      <c r="I162" s="566"/>
      <c r="J162" s="566"/>
      <c r="K162" s="566"/>
      <c r="L162" s="566"/>
      <c r="O162" s="89"/>
    </row>
    <row r="163" spans="3:15" ht="14.1" customHeight="1">
      <c r="C163" s="563"/>
      <c r="D163" s="563"/>
      <c r="E163" s="477"/>
      <c r="F163" s="566"/>
      <c r="G163" s="566"/>
      <c r="H163" s="566"/>
      <c r="I163" s="566"/>
      <c r="J163" s="566"/>
      <c r="K163" s="566"/>
      <c r="L163" s="566"/>
      <c r="O163" s="89"/>
    </row>
    <row r="164" spans="3:15" ht="14.1" customHeight="1">
      <c r="C164" s="563"/>
      <c r="D164" s="563"/>
      <c r="E164" s="477"/>
      <c r="G164" s="566"/>
      <c r="H164" s="566"/>
      <c r="I164" s="566"/>
      <c r="J164" s="566"/>
      <c r="K164" s="566"/>
      <c r="L164" s="566"/>
      <c r="O164" s="89"/>
    </row>
    <row r="165" spans="3:15" ht="14.1" customHeight="1">
      <c r="C165" s="563"/>
      <c r="D165" s="563"/>
      <c r="E165" s="477"/>
      <c r="G165" s="566"/>
      <c r="H165" s="566"/>
      <c r="I165" s="566"/>
      <c r="J165" s="566"/>
      <c r="K165" s="566"/>
      <c r="L165" s="566"/>
      <c r="O165" s="89"/>
    </row>
    <row r="166" spans="3:15" ht="14.1" customHeight="1">
      <c r="C166" s="563"/>
      <c r="D166" s="563"/>
      <c r="E166" s="477"/>
      <c r="G166" s="566"/>
      <c r="H166" s="566"/>
      <c r="I166" s="566"/>
      <c r="J166" s="566"/>
      <c r="K166" s="566"/>
      <c r="L166" s="566"/>
      <c r="O166" s="89"/>
    </row>
    <row r="167" spans="3:15" ht="14.1" customHeight="1">
      <c r="C167" s="563"/>
      <c r="D167" s="563"/>
      <c r="E167" s="615"/>
      <c r="F167" s="210"/>
      <c r="G167" s="578"/>
      <c r="H167" s="578"/>
      <c r="I167" s="578"/>
      <c r="J167" s="578"/>
      <c r="K167" s="578"/>
      <c r="L167" s="578"/>
      <c r="O167" s="89"/>
    </row>
    <row r="168" spans="3:15" ht="14.1" customHeight="1">
      <c r="C168" s="538" t="s">
        <v>1</v>
      </c>
      <c r="D168" s="538" t="s">
        <v>1</v>
      </c>
      <c r="E168" s="615"/>
      <c r="F168" s="565">
        <f t="shared" ref="F168:L168" si="21">COUNTIF(F6:F166,"0800-1730*")+COUNTIF(F6:F166,"0800-1800*")+COUNTIF(F6:F166,"0730-*")-COUNTIF(F6:F166,"*0800-1730 CS*")-COUNTIF(F6:F166,"*0800-1800 CS*")-COUNTIF(F6:F166,"*0800-1730 PHNW*")-COUNTIF(F6:F166,"*0800-1730 DEMT*")-COUNTIF(F6:F166,"*0800-1730 DD*")</f>
        <v>12</v>
      </c>
      <c r="G168" s="565">
        <f t="shared" si="21"/>
        <v>15</v>
      </c>
      <c r="H168" s="565">
        <f t="shared" si="21"/>
        <v>15</v>
      </c>
      <c r="I168" s="565">
        <f t="shared" si="21"/>
        <v>13</v>
      </c>
      <c r="J168" s="565">
        <f t="shared" si="21"/>
        <v>13</v>
      </c>
      <c r="K168" s="565">
        <f t="shared" si="21"/>
        <v>12</v>
      </c>
      <c r="L168" s="565">
        <f t="shared" si="21"/>
        <v>14</v>
      </c>
      <c r="O168" s="89"/>
    </row>
    <row r="169" spans="3:15" ht="14.1" customHeight="1">
      <c r="C169" s="538" t="s">
        <v>276</v>
      </c>
      <c r="D169" s="538" t="s">
        <v>276</v>
      </c>
      <c r="E169" s="615"/>
      <c r="F169" s="65">
        <f t="shared" ref="F169:L169" si="22">COUNTIF(F6:F166,"*SWA*")</f>
        <v>1</v>
      </c>
      <c r="G169" s="65">
        <f t="shared" si="22"/>
        <v>3</v>
      </c>
      <c r="H169" s="65">
        <f t="shared" si="22"/>
        <v>4</v>
      </c>
      <c r="I169" s="65">
        <f t="shared" si="22"/>
        <v>2</v>
      </c>
      <c r="J169" s="65">
        <f t="shared" si="22"/>
        <v>1</v>
      </c>
      <c r="K169" s="65">
        <f t="shared" si="22"/>
        <v>1</v>
      </c>
      <c r="L169" s="65">
        <f t="shared" si="22"/>
        <v>0</v>
      </c>
      <c r="O169" s="89"/>
    </row>
    <row r="170" spans="3:15" ht="14.1" customHeight="1">
      <c r="C170" s="538" t="s">
        <v>2</v>
      </c>
      <c r="D170" s="538" t="s">
        <v>2</v>
      </c>
      <c r="E170" s="615"/>
      <c r="F170" s="65">
        <f t="shared" ref="F170:L170" si="23">COUNTIF(F6:F166,"*1400-*")+COUNTIF(F6:F166,"*1430-*")</f>
        <v>16</v>
      </c>
      <c r="G170" s="65">
        <f t="shared" si="23"/>
        <v>12</v>
      </c>
      <c r="H170" s="65">
        <f t="shared" si="23"/>
        <v>15</v>
      </c>
      <c r="I170" s="65">
        <f t="shared" si="23"/>
        <v>14</v>
      </c>
      <c r="J170" s="65">
        <f t="shared" si="23"/>
        <v>13</v>
      </c>
      <c r="K170" s="65">
        <f t="shared" si="23"/>
        <v>14</v>
      </c>
      <c r="L170" s="65">
        <f t="shared" si="23"/>
        <v>13</v>
      </c>
      <c r="O170" s="89"/>
    </row>
    <row r="171" spans="3:15" ht="14.1" customHeight="1">
      <c r="C171" s="538" t="s">
        <v>277</v>
      </c>
      <c r="D171" s="538" t="s">
        <v>277</v>
      </c>
      <c r="E171" s="615"/>
      <c r="F171" s="65">
        <f t="shared" ref="F171:L171" si="24">COUNTIF(F7:F166,"*SWP*")</f>
        <v>0</v>
      </c>
      <c r="G171" s="65">
        <f t="shared" si="24"/>
        <v>2</v>
      </c>
      <c r="H171" s="65">
        <f t="shared" si="24"/>
        <v>1</v>
      </c>
      <c r="I171" s="65">
        <f t="shared" si="24"/>
        <v>1</v>
      </c>
      <c r="J171" s="65">
        <f t="shared" si="24"/>
        <v>0</v>
      </c>
      <c r="K171" s="65">
        <f t="shared" si="24"/>
        <v>0</v>
      </c>
      <c r="L171" s="65">
        <f t="shared" si="24"/>
        <v>0</v>
      </c>
      <c r="O171" s="89"/>
    </row>
    <row r="172" spans="3:15" ht="14.1" customHeight="1" thickBot="1">
      <c r="C172" s="901" t="s">
        <v>278</v>
      </c>
      <c r="D172" s="901" t="s">
        <v>278</v>
      </c>
      <c r="E172" s="615"/>
      <c r="F172" s="65">
        <f t="shared" ref="F172:L172" si="25">COUNTIF(F6:F166,"2300-*")</f>
        <v>8</v>
      </c>
      <c r="G172" s="65">
        <f t="shared" si="25"/>
        <v>9</v>
      </c>
      <c r="H172" s="65">
        <f t="shared" si="25"/>
        <v>9</v>
      </c>
      <c r="I172" s="65">
        <f t="shared" si="25"/>
        <v>9</v>
      </c>
      <c r="J172" s="65">
        <f t="shared" si="25"/>
        <v>8</v>
      </c>
      <c r="K172" s="65">
        <f t="shared" si="25"/>
        <v>9</v>
      </c>
      <c r="L172" s="65">
        <f t="shared" si="25"/>
        <v>9</v>
      </c>
      <c r="O172" s="89"/>
    </row>
    <row r="173" spans="3:15" ht="14.1" customHeight="1">
      <c r="C173" s="84"/>
      <c r="D173" s="556"/>
      <c r="E173" s="615"/>
      <c r="F173" s="65"/>
      <c r="G173" s="565"/>
      <c r="H173" s="565"/>
      <c r="I173" s="565"/>
      <c r="J173" s="565"/>
      <c r="K173" s="565"/>
      <c r="L173" s="565"/>
      <c r="O173" s="89"/>
    </row>
    <row r="174" spans="3:15" ht="14.1" customHeight="1">
      <c r="C174" s="50"/>
      <c r="D174" s="556" t="s">
        <v>489</v>
      </c>
      <c r="E174" s="615"/>
      <c r="G174" s="566"/>
      <c r="H174" s="566"/>
      <c r="I174" s="566"/>
      <c r="J174" s="566"/>
      <c r="K174" s="566"/>
      <c r="L174" s="566"/>
      <c r="O174" s="89"/>
    </row>
    <row r="175" spans="3:15" ht="14.1" customHeight="1">
      <c r="C175" s="50"/>
      <c r="D175" s="139" t="s">
        <v>157</v>
      </c>
      <c r="E175" s="615">
        <v>628440</v>
      </c>
      <c r="F175" s="902"/>
      <c r="G175" s="902"/>
      <c r="H175" s="903"/>
      <c r="I175" s="902"/>
      <c r="J175" s="902"/>
      <c r="K175" s="902"/>
      <c r="L175" s="902"/>
      <c r="O175" s="89"/>
    </row>
    <row r="176" spans="3:15" ht="14.1" customHeight="1">
      <c r="C176" s="50"/>
      <c r="D176" s="182" t="s">
        <v>159</v>
      </c>
      <c r="E176" s="615">
        <v>653976</v>
      </c>
      <c r="F176" s="902"/>
      <c r="G176" s="902"/>
      <c r="H176" s="904" t="s">
        <v>279</v>
      </c>
      <c r="I176" s="902"/>
      <c r="J176" s="902"/>
      <c r="K176" s="902"/>
      <c r="L176" s="902"/>
      <c r="O176" s="89"/>
    </row>
    <row r="177" spans="3:15" ht="14.1" customHeight="1">
      <c r="C177" s="50"/>
      <c r="D177" s="183" t="s">
        <v>164</v>
      </c>
      <c r="E177" s="615">
        <v>654362</v>
      </c>
      <c r="F177" s="902"/>
      <c r="G177" s="902"/>
      <c r="H177" s="904" t="s">
        <v>279</v>
      </c>
      <c r="I177" s="902"/>
      <c r="J177" s="902"/>
      <c r="K177" s="902"/>
      <c r="L177" s="902"/>
      <c r="O177" s="89"/>
    </row>
    <row r="178" spans="3:15" ht="14.1" customHeight="1">
      <c r="C178" s="50"/>
      <c r="D178" s="184" t="s">
        <v>166</v>
      </c>
      <c r="E178" s="615">
        <v>615829</v>
      </c>
      <c r="F178" s="902"/>
      <c r="G178" s="902"/>
      <c r="H178" s="904" t="s">
        <v>279</v>
      </c>
      <c r="I178" s="902"/>
      <c r="J178" s="902"/>
      <c r="K178" s="902"/>
      <c r="L178" s="902"/>
      <c r="O178" s="89"/>
    </row>
    <row r="179" spans="3:15" ht="14.1" customHeight="1">
      <c r="C179" s="50"/>
      <c r="D179" s="184" t="s">
        <v>168</v>
      </c>
      <c r="E179" s="615">
        <v>619567</v>
      </c>
      <c r="F179" s="902"/>
      <c r="G179" s="902"/>
      <c r="H179" s="904" t="s">
        <v>280</v>
      </c>
      <c r="I179" s="902"/>
      <c r="J179" s="902"/>
      <c r="K179" s="902"/>
      <c r="L179" s="902"/>
      <c r="O179" s="89"/>
    </row>
    <row r="180" spans="3:15" ht="14.1" customHeight="1">
      <c r="C180" s="50"/>
      <c r="D180" s="894" t="s">
        <v>170</v>
      </c>
      <c r="E180" s="615">
        <v>626157</v>
      </c>
      <c r="F180" s="902"/>
      <c r="G180" s="902"/>
      <c r="H180" s="904" t="s">
        <v>280</v>
      </c>
      <c r="I180" s="902"/>
      <c r="J180" s="902"/>
      <c r="K180" s="902"/>
      <c r="L180" s="902"/>
      <c r="O180" s="89"/>
    </row>
    <row r="181" spans="3:15" ht="14.1" customHeight="1">
      <c r="C181" s="50"/>
      <c r="D181" s="183" t="s">
        <v>171</v>
      </c>
      <c r="E181" s="615">
        <v>645122</v>
      </c>
      <c r="F181" s="902"/>
      <c r="G181" s="902"/>
      <c r="H181" s="904" t="s">
        <v>281</v>
      </c>
      <c r="I181" s="902"/>
      <c r="J181" s="902"/>
      <c r="K181" s="902"/>
      <c r="L181" s="902"/>
      <c r="O181" s="89"/>
    </row>
    <row r="182" spans="3:15" ht="14.1" customHeight="1">
      <c r="C182" s="50"/>
      <c r="D182" s="185" t="s">
        <v>173</v>
      </c>
      <c r="E182" s="615">
        <v>615820</v>
      </c>
      <c r="F182" s="902"/>
      <c r="G182" s="902"/>
      <c r="H182" s="904" t="s">
        <v>281</v>
      </c>
      <c r="I182" s="902"/>
      <c r="J182" s="902"/>
      <c r="K182" s="902"/>
      <c r="L182" s="902"/>
      <c r="O182" s="89"/>
    </row>
    <row r="183" spans="3:15" ht="14.1" customHeight="1">
      <c r="C183" s="50"/>
      <c r="D183" s="182" t="s">
        <v>174</v>
      </c>
      <c r="E183" s="615">
        <v>624174</v>
      </c>
      <c r="F183" s="902"/>
      <c r="G183" s="902"/>
      <c r="H183" s="904" t="s">
        <v>282</v>
      </c>
      <c r="I183" s="902"/>
      <c r="J183" s="902"/>
      <c r="K183" s="902"/>
      <c r="L183" s="902"/>
      <c r="O183" s="89"/>
    </row>
    <row r="184" spans="3:15" ht="14.1" customHeight="1" thickBot="1">
      <c r="C184" s="50"/>
      <c r="D184" s="197" t="s">
        <v>175</v>
      </c>
      <c r="E184" s="625"/>
      <c r="F184" s="902"/>
      <c r="G184" s="902"/>
      <c r="H184" s="905" t="s">
        <v>283</v>
      </c>
      <c r="I184" s="902"/>
      <c r="J184" s="902"/>
      <c r="K184" s="902"/>
      <c r="L184" s="902"/>
      <c r="O184" s="89"/>
    </row>
    <row r="185" spans="3:15" ht="14.1" customHeight="1">
      <c r="C185" s="50"/>
      <c r="D185" s="70" t="s">
        <v>176</v>
      </c>
      <c r="E185" s="615">
        <v>637990</v>
      </c>
      <c r="F185" s="902"/>
      <c r="G185" s="902"/>
      <c r="H185" s="903"/>
      <c r="I185" s="902"/>
      <c r="J185" s="902"/>
      <c r="K185" s="902"/>
      <c r="L185" s="902"/>
      <c r="O185" s="89"/>
    </row>
    <row r="186" spans="3:15" ht="14.1" customHeight="1">
      <c r="C186" s="50"/>
      <c r="D186" s="546" t="s">
        <v>177</v>
      </c>
      <c r="E186" s="615">
        <v>652867</v>
      </c>
      <c r="F186" s="902"/>
      <c r="G186" s="902"/>
      <c r="H186" s="904" t="s">
        <v>279</v>
      </c>
      <c r="I186" s="902"/>
      <c r="J186" s="902"/>
      <c r="K186" s="902"/>
      <c r="L186" s="902"/>
      <c r="O186" s="89"/>
    </row>
    <row r="187" spans="3:15" ht="14.1" customHeight="1">
      <c r="C187" s="50"/>
      <c r="D187" s="184" t="s">
        <v>179</v>
      </c>
      <c r="E187" s="615">
        <v>638831</v>
      </c>
      <c r="F187" s="902"/>
      <c r="G187" s="902"/>
      <c r="H187" s="904" t="s">
        <v>279</v>
      </c>
      <c r="I187" s="902"/>
      <c r="J187" s="902"/>
      <c r="K187" s="902"/>
      <c r="L187" s="902"/>
      <c r="O187" s="89"/>
    </row>
    <row r="188" spans="3:15" ht="14.1" customHeight="1">
      <c r="C188" s="50"/>
      <c r="D188" s="547" t="s">
        <v>180</v>
      </c>
      <c r="E188" s="615">
        <v>631314</v>
      </c>
      <c r="F188" s="902"/>
      <c r="G188" s="902"/>
      <c r="H188" s="904" t="s">
        <v>279</v>
      </c>
      <c r="I188" s="902"/>
      <c r="J188" s="902"/>
      <c r="K188" s="902"/>
      <c r="L188" s="902"/>
      <c r="O188" s="89"/>
    </row>
    <row r="189" spans="3:15" ht="14.1" customHeight="1">
      <c r="C189" s="50"/>
      <c r="D189" s="548" t="s">
        <v>182</v>
      </c>
      <c r="E189" s="615">
        <v>631732</v>
      </c>
      <c r="F189" s="902"/>
      <c r="G189" s="902"/>
      <c r="H189" s="904" t="s">
        <v>281</v>
      </c>
      <c r="I189" s="902"/>
      <c r="J189" s="902"/>
      <c r="K189" s="902"/>
      <c r="L189" s="902"/>
      <c r="O189" s="89"/>
    </row>
    <row r="190" spans="3:15" ht="14.1" customHeight="1">
      <c r="C190" s="50"/>
      <c r="D190" s="548" t="s">
        <v>185</v>
      </c>
      <c r="E190" s="615">
        <v>634876</v>
      </c>
      <c r="F190" s="902"/>
      <c r="G190" s="902"/>
      <c r="H190" s="904" t="s">
        <v>281</v>
      </c>
      <c r="I190" s="902"/>
      <c r="J190" s="902"/>
      <c r="K190" s="902"/>
      <c r="L190" s="902"/>
      <c r="O190" s="89"/>
    </row>
    <row r="191" spans="3:15" ht="14.1" customHeight="1">
      <c r="C191" s="50"/>
      <c r="D191" s="549" t="s">
        <v>186</v>
      </c>
      <c r="E191" s="615"/>
      <c r="F191" s="902"/>
      <c r="G191" s="902"/>
      <c r="H191" s="904" t="s">
        <v>281</v>
      </c>
      <c r="I191" s="902"/>
      <c r="J191" s="902"/>
      <c r="K191" s="902"/>
      <c r="L191" s="902"/>
      <c r="O191" s="89"/>
    </row>
    <row r="192" spans="3:15" ht="14.1" customHeight="1">
      <c r="C192" s="50"/>
      <c r="D192" s="906" t="s">
        <v>189</v>
      </c>
      <c r="E192" s="615">
        <v>648620</v>
      </c>
      <c r="F192" s="902"/>
      <c r="G192" s="902"/>
      <c r="H192" s="903"/>
      <c r="I192" s="902"/>
      <c r="J192" s="902"/>
      <c r="K192" s="902"/>
      <c r="L192" s="902"/>
      <c r="O192" s="89"/>
    </row>
    <row r="193" spans="3:15" ht="14.1" customHeight="1">
      <c r="C193" s="50"/>
      <c r="D193" s="188" t="s">
        <v>190</v>
      </c>
      <c r="E193" s="615">
        <v>652357</v>
      </c>
      <c r="F193" s="902"/>
      <c r="G193" s="902"/>
      <c r="H193" s="904" t="s">
        <v>279</v>
      </c>
      <c r="I193" s="902"/>
      <c r="J193" s="902"/>
      <c r="K193" s="902"/>
      <c r="L193" s="902"/>
      <c r="O193" s="89"/>
    </row>
    <row r="194" spans="3:15" ht="14.1" customHeight="1">
      <c r="C194" s="50"/>
      <c r="D194" s="189" t="s">
        <v>193</v>
      </c>
      <c r="E194" s="631">
        <v>703714</v>
      </c>
      <c r="F194" s="902"/>
      <c r="G194" s="902"/>
      <c r="H194" s="904" t="s">
        <v>279</v>
      </c>
      <c r="I194" s="902"/>
      <c r="J194" s="902"/>
      <c r="K194" s="902"/>
      <c r="L194" s="902"/>
      <c r="O194" s="89"/>
    </row>
    <row r="195" spans="3:15" ht="14.1" customHeight="1">
      <c r="C195" s="50"/>
      <c r="D195" s="551" t="s">
        <v>196</v>
      </c>
      <c r="E195" s="615">
        <v>655089</v>
      </c>
      <c r="F195" s="902"/>
      <c r="G195" s="902"/>
      <c r="H195" s="904" t="s">
        <v>279</v>
      </c>
      <c r="I195" s="902"/>
      <c r="J195" s="902"/>
      <c r="K195" s="902"/>
      <c r="L195" s="902"/>
      <c r="O195" s="89"/>
    </row>
    <row r="196" spans="3:15" ht="14.1" customHeight="1">
      <c r="C196" s="50"/>
      <c r="D196" s="189" t="s">
        <v>198</v>
      </c>
      <c r="E196" s="615">
        <v>649364</v>
      </c>
      <c r="F196" s="902"/>
      <c r="G196" s="902"/>
      <c r="H196" s="904" t="s">
        <v>279</v>
      </c>
      <c r="I196" s="902"/>
      <c r="J196" s="902"/>
      <c r="K196" s="902"/>
      <c r="L196" s="902"/>
      <c r="O196" s="89"/>
    </row>
    <row r="197" spans="3:15" ht="14.1" customHeight="1">
      <c r="C197" s="50"/>
      <c r="D197" s="190" t="s">
        <v>199</v>
      </c>
      <c r="E197" s="615">
        <v>700872</v>
      </c>
      <c r="F197" s="902"/>
      <c r="G197" s="902"/>
      <c r="H197" s="904" t="s">
        <v>280</v>
      </c>
      <c r="I197" s="902"/>
      <c r="J197" s="902"/>
      <c r="K197" s="902"/>
      <c r="L197" s="902"/>
      <c r="O197" s="89"/>
    </row>
    <row r="198" spans="3:15" ht="14.1" customHeight="1">
      <c r="C198" s="50"/>
      <c r="D198" s="191" t="s">
        <v>200</v>
      </c>
      <c r="E198" s="631">
        <v>703861</v>
      </c>
      <c r="F198" s="902"/>
      <c r="G198" s="902"/>
      <c r="H198" s="904" t="s">
        <v>279</v>
      </c>
      <c r="I198" s="902"/>
      <c r="J198" s="902"/>
      <c r="K198" s="902"/>
      <c r="L198" s="902"/>
      <c r="O198" s="89"/>
    </row>
    <row r="199" spans="3:15" ht="14.1" customHeight="1">
      <c r="C199" s="50"/>
      <c r="D199" s="552" t="s">
        <v>202</v>
      </c>
      <c r="E199" s="615">
        <v>652868</v>
      </c>
      <c r="F199" s="902"/>
      <c r="G199" s="902"/>
      <c r="H199" s="904" t="s">
        <v>279</v>
      </c>
      <c r="I199" s="902"/>
      <c r="J199" s="902"/>
      <c r="K199" s="902"/>
      <c r="L199" s="902"/>
      <c r="O199" s="89"/>
    </row>
    <row r="200" spans="3:15" ht="14.1" customHeight="1">
      <c r="C200" s="50"/>
      <c r="D200" s="192" t="s">
        <v>204</v>
      </c>
      <c r="E200" s="615">
        <v>652998</v>
      </c>
      <c r="F200" s="902"/>
      <c r="G200" s="902"/>
      <c r="H200" s="904" t="s">
        <v>280</v>
      </c>
      <c r="I200" s="902"/>
      <c r="J200" s="902"/>
      <c r="K200" s="902"/>
      <c r="L200" s="902"/>
      <c r="O200" s="89"/>
    </row>
    <row r="201" spans="3:15" ht="14.1" customHeight="1">
      <c r="C201" s="50"/>
      <c r="D201" s="189" t="s">
        <v>205</v>
      </c>
      <c r="E201" s="631">
        <v>654959</v>
      </c>
      <c r="F201" s="902"/>
      <c r="G201" s="902"/>
      <c r="H201" s="904" t="s">
        <v>280</v>
      </c>
      <c r="I201" s="902"/>
      <c r="J201" s="902"/>
      <c r="K201" s="902"/>
      <c r="L201" s="902"/>
      <c r="O201" s="89"/>
    </row>
    <row r="202" spans="3:15" ht="14.1" customHeight="1">
      <c r="C202" s="50"/>
      <c r="D202" s="193" t="s">
        <v>206</v>
      </c>
      <c r="E202" s="615">
        <v>654981</v>
      </c>
      <c r="F202" s="902"/>
      <c r="G202" s="902"/>
      <c r="H202" s="904" t="s">
        <v>279</v>
      </c>
      <c r="I202" s="902"/>
      <c r="J202" s="902"/>
      <c r="K202" s="902"/>
      <c r="L202" s="902"/>
      <c r="O202" s="89"/>
    </row>
    <row r="203" spans="3:15" ht="14.1" customHeight="1">
      <c r="C203" s="50"/>
      <c r="D203" s="551" t="s">
        <v>207</v>
      </c>
      <c r="E203" s="615">
        <v>703795</v>
      </c>
      <c r="F203" s="902"/>
      <c r="G203" s="902"/>
      <c r="H203" s="904" t="s">
        <v>280</v>
      </c>
      <c r="I203" s="902"/>
      <c r="J203" s="902"/>
      <c r="K203" s="902"/>
      <c r="L203" s="902"/>
      <c r="O203" s="89"/>
    </row>
    <row r="204" spans="3:15" ht="14.1" customHeight="1">
      <c r="C204" s="50"/>
      <c r="D204" s="553" t="s">
        <v>208</v>
      </c>
      <c r="E204" s="615">
        <v>652364</v>
      </c>
      <c r="F204" s="902"/>
      <c r="G204" s="902"/>
      <c r="H204" s="904" t="s">
        <v>280</v>
      </c>
      <c r="I204" s="902"/>
      <c r="J204" s="902"/>
      <c r="K204" s="902"/>
      <c r="L204" s="902"/>
      <c r="O204" s="89"/>
    </row>
    <row r="205" spans="3:15" ht="14.1" customHeight="1">
      <c r="C205" s="50"/>
      <c r="D205" s="551" t="s">
        <v>209</v>
      </c>
      <c r="E205" s="615">
        <v>644433</v>
      </c>
      <c r="F205" s="902"/>
      <c r="G205" s="902"/>
      <c r="H205" s="904" t="s">
        <v>280</v>
      </c>
      <c r="I205" s="902"/>
      <c r="J205" s="902"/>
      <c r="K205" s="902"/>
      <c r="L205" s="902"/>
      <c r="O205" s="89"/>
    </row>
    <row r="206" spans="3:15" ht="14.1" customHeight="1">
      <c r="C206" s="50"/>
      <c r="D206" s="551" t="s">
        <v>210</v>
      </c>
      <c r="E206" s="615">
        <v>650602</v>
      </c>
      <c r="F206" s="902"/>
      <c r="G206" s="902"/>
      <c r="H206" s="904" t="s">
        <v>281</v>
      </c>
      <c r="I206" s="902"/>
      <c r="J206" s="902"/>
      <c r="K206" s="902"/>
      <c r="L206" s="902"/>
      <c r="O206" s="89"/>
    </row>
    <row r="207" spans="3:15" ht="14.1" customHeight="1">
      <c r="C207" s="50"/>
      <c r="D207" s="551" t="s">
        <v>211</v>
      </c>
      <c r="E207" s="631">
        <v>704893</v>
      </c>
      <c r="F207" s="902"/>
      <c r="G207" s="902"/>
      <c r="H207" s="904" t="s">
        <v>281</v>
      </c>
      <c r="I207" s="902"/>
      <c r="J207" s="902"/>
      <c r="K207" s="902"/>
      <c r="L207" s="902"/>
      <c r="O207" s="89"/>
    </row>
    <row r="208" spans="3:15" ht="14.1" customHeight="1">
      <c r="C208" s="50"/>
      <c r="D208" s="552" t="s">
        <v>212</v>
      </c>
      <c r="E208" s="615">
        <v>636733</v>
      </c>
      <c r="F208" s="902"/>
      <c r="G208" s="902"/>
      <c r="H208" s="904" t="s">
        <v>279</v>
      </c>
      <c r="I208" s="902"/>
      <c r="J208" s="902"/>
      <c r="K208" s="902"/>
      <c r="L208" s="902"/>
      <c r="O208" s="89"/>
    </row>
    <row r="209" spans="3:15" ht="14.1" customHeight="1">
      <c r="C209" s="50"/>
      <c r="D209" s="194" t="s">
        <v>214</v>
      </c>
      <c r="E209" s="200">
        <v>637770</v>
      </c>
      <c r="F209" s="902"/>
      <c r="G209" s="902"/>
      <c r="H209" s="904" t="s">
        <v>280</v>
      </c>
      <c r="I209" s="902"/>
      <c r="J209" s="902"/>
      <c r="K209" s="902"/>
      <c r="L209" s="902"/>
      <c r="O209" s="89"/>
    </row>
    <row r="210" spans="3:15" ht="14.1" customHeight="1">
      <c r="C210" s="50"/>
      <c r="D210" s="192" t="s">
        <v>216</v>
      </c>
      <c r="E210" s="82"/>
      <c r="F210" s="902"/>
      <c r="G210" s="902"/>
      <c r="H210" s="904" t="s">
        <v>279</v>
      </c>
      <c r="I210" s="902"/>
      <c r="J210" s="902"/>
      <c r="K210" s="902"/>
      <c r="L210" s="902"/>
      <c r="O210" s="89"/>
    </row>
    <row r="211" spans="3:15" ht="14.1" customHeight="1">
      <c r="C211" s="50"/>
      <c r="D211" s="56"/>
      <c r="E211" s="82"/>
      <c r="G211" s="566"/>
      <c r="H211" s="566"/>
      <c r="I211" s="566"/>
      <c r="J211" s="566"/>
      <c r="K211" s="566"/>
      <c r="L211" s="566"/>
      <c r="O211" s="89"/>
    </row>
    <row r="212" spans="3:15" ht="14.1" customHeight="1">
      <c r="C212" s="907"/>
      <c r="D212" s="907"/>
      <c r="E212" s="82"/>
      <c r="G212" s="566"/>
      <c r="H212" s="566"/>
      <c r="I212" s="566"/>
      <c r="J212" s="566"/>
      <c r="K212" s="566"/>
      <c r="L212" s="566"/>
      <c r="O212" s="89"/>
    </row>
    <row r="213" spans="3:15" ht="14.1" customHeight="1">
      <c r="C213" s="907"/>
      <c r="D213" s="907"/>
      <c r="E213" s="82"/>
      <c r="G213" s="566"/>
      <c r="H213" s="566"/>
      <c r="I213" s="566"/>
      <c r="J213" s="566"/>
      <c r="K213" s="566"/>
      <c r="L213" s="566"/>
      <c r="O213" s="89"/>
    </row>
    <row r="214" spans="3:15" ht="14.1" customHeight="1">
      <c r="D214" s="56"/>
      <c r="E214" s="82"/>
      <c r="G214" s="566"/>
      <c r="H214" s="566"/>
      <c r="I214" s="566"/>
      <c r="J214" s="566"/>
      <c r="K214" s="566"/>
      <c r="L214" s="566"/>
      <c r="O214" s="89"/>
    </row>
    <row r="215" spans="3:15" ht="14.1" customHeight="1">
      <c r="C215" s="907"/>
      <c r="D215" s="907"/>
      <c r="E215" s="82"/>
      <c r="G215" s="566"/>
      <c r="H215" s="566"/>
      <c r="I215" s="566"/>
      <c r="J215" s="566"/>
      <c r="K215" s="566"/>
      <c r="L215" s="566"/>
      <c r="O215" s="89"/>
    </row>
    <row r="216" spans="3:15" ht="14.1" customHeight="1">
      <c r="C216" s="907"/>
      <c r="D216" s="907"/>
      <c r="E216" s="82"/>
      <c r="G216" s="566"/>
      <c r="H216" s="566"/>
      <c r="I216" s="566"/>
      <c r="J216" s="566"/>
      <c r="K216" s="566"/>
      <c r="L216" s="566"/>
      <c r="O216" s="89"/>
    </row>
    <row r="217" spans="3:15" ht="14.1" customHeight="1">
      <c r="D217" s="56"/>
      <c r="E217" s="82"/>
      <c r="G217" s="566"/>
      <c r="H217" s="566"/>
      <c r="I217" s="566"/>
      <c r="J217" s="566"/>
      <c r="K217" s="566"/>
      <c r="L217" s="566"/>
      <c r="O217" s="89"/>
    </row>
    <row r="218" spans="3:15" ht="14.1" customHeight="1">
      <c r="C218" s="907"/>
      <c r="D218" s="907"/>
      <c r="E218" s="82"/>
      <c r="G218" s="566"/>
      <c r="H218" s="566"/>
      <c r="I218" s="566"/>
      <c r="J218" s="566"/>
      <c r="K218" s="566"/>
      <c r="L218" s="566"/>
      <c r="O218" s="89"/>
    </row>
    <row r="219" spans="3:15" ht="14.1" customHeight="1">
      <c r="C219" s="907"/>
      <c r="D219" s="907"/>
      <c r="E219" s="82"/>
      <c r="G219" s="566"/>
      <c r="H219" s="566"/>
      <c r="I219" s="566"/>
      <c r="J219" s="566"/>
      <c r="K219" s="566"/>
      <c r="L219" s="566"/>
      <c r="O219" s="89"/>
    </row>
    <row r="220" spans="3:15" ht="14.1" customHeight="1">
      <c r="D220" s="56"/>
      <c r="E220" s="82"/>
      <c r="G220" s="566"/>
      <c r="H220" s="566"/>
      <c r="I220" s="566"/>
      <c r="J220" s="566"/>
      <c r="K220" s="566"/>
      <c r="L220" s="566"/>
      <c r="O220" s="89"/>
    </row>
    <row r="221" spans="3:15" ht="14.1" customHeight="1">
      <c r="C221" s="907"/>
      <c r="D221" s="907"/>
      <c r="E221" s="82"/>
      <c r="G221" s="566"/>
      <c r="H221" s="566"/>
      <c r="I221" s="566"/>
      <c r="J221" s="566"/>
      <c r="K221" s="566"/>
      <c r="L221" s="566"/>
      <c r="O221" s="89"/>
    </row>
    <row r="222" spans="3:15" ht="14.1" customHeight="1">
      <c r="C222" s="907"/>
      <c r="D222" s="907"/>
      <c r="E222" s="82"/>
      <c r="F222" s="65"/>
      <c r="G222" s="65"/>
      <c r="H222" s="65"/>
      <c r="I222" s="65"/>
      <c r="J222" s="65"/>
      <c r="K222" s="65"/>
      <c r="L222" s="65"/>
      <c r="O222" s="89"/>
    </row>
    <row r="223" spans="3:15" ht="14.1" customHeight="1">
      <c r="D223" s="56"/>
      <c r="E223" s="82"/>
      <c r="F223" s="65"/>
      <c r="G223" s="65"/>
      <c r="H223" s="65"/>
      <c r="I223" s="65"/>
      <c r="J223" s="65"/>
      <c r="K223" s="65"/>
      <c r="L223" s="65"/>
      <c r="O223" s="89"/>
    </row>
    <row r="224" spans="3:15" ht="14.1" customHeight="1">
      <c r="C224" s="907"/>
      <c r="D224" s="907"/>
      <c r="E224" s="82"/>
      <c r="F224" s="65"/>
      <c r="G224" s="65"/>
      <c r="H224" s="65"/>
      <c r="I224" s="65"/>
      <c r="J224" s="65"/>
      <c r="K224" s="65"/>
      <c r="L224" s="65"/>
      <c r="O224" s="89"/>
    </row>
    <row r="225" spans="3:15" ht="14.1" customHeight="1">
      <c r="C225" s="907"/>
      <c r="D225" s="907"/>
      <c r="E225" s="82"/>
      <c r="F225" s="65"/>
      <c r="G225" s="65"/>
      <c r="H225" s="65"/>
      <c r="I225" s="65"/>
      <c r="J225" s="65"/>
      <c r="K225" s="65"/>
      <c r="L225" s="65"/>
      <c r="O225" s="89"/>
    </row>
    <row r="226" spans="3:15" ht="14.1" customHeight="1">
      <c r="D226" s="56"/>
      <c r="E226" s="82"/>
      <c r="F226" s="65"/>
      <c r="G226" s="65"/>
      <c r="H226" s="65"/>
      <c r="I226" s="65"/>
      <c r="J226" s="65"/>
      <c r="K226" s="65"/>
      <c r="L226" s="65"/>
      <c r="O226" s="89"/>
    </row>
    <row r="227" spans="3:15" ht="14.1" customHeight="1">
      <c r="C227" s="907"/>
      <c r="D227" s="907"/>
      <c r="E227" s="82"/>
      <c r="F227" s="65"/>
      <c r="G227" s="565"/>
      <c r="H227" s="565"/>
      <c r="I227" s="565"/>
      <c r="J227" s="565"/>
      <c r="K227" s="565"/>
      <c r="L227" s="565"/>
      <c r="O227" s="89"/>
    </row>
    <row r="228" spans="3:15" ht="14.1" customHeight="1">
      <c r="C228" s="907"/>
      <c r="D228" s="907"/>
      <c r="E228" s="82"/>
      <c r="G228" s="66"/>
      <c r="H228" s="66"/>
      <c r="I228" s="66"/>
      <c r="J228" s="66"/>
      <c r="K228" s="566"/>
      <c r="L228" s="566"/>
      <c r="O228" s="89"/>
    </row>
    <row r="229" spans="3:15" ht="14.1" customHeight="1">
      <c r="D229" s="56"/>
      <c r="E229" s="82"/>
      <c r="G229" s="66"/>
      <c r="H229" s="66"/>
      <c r="I229" s="66"/>
      <c r="J229" s="66"/>
      <c r="K229" s="66"/>
      <c r="L229" s="66"/>
      <c r="O229" s="89"/>
    </row>
    <row r="230" spans="3:15" ht="14.1" customHeight="1">
      <c r="C230" s="907"/>
      <c r="D230" s="907"/>
      <c r="E230" s="82"/>
      <c r="G230" s="66"/>
      <c r="H230" s="66"/>
      <c r="I230" s="66"/>
      <c r="J230" s="66"/>
      <c r="K230" s="66"/>
      <c r="L230" s="66"/>
      <c r="O230" s="89"/>
    </row>
    <row r="231" spans="3:15" ht="14.1" customHeight="1">
      <c r="C231" s="907"/>
      <c r="D231" s="907"/>
      <c r="E231" s="82"/>
      <c r="G231" s="66"/>
      <c r="H231" s="66"/>
      <c r="I231" s="66"/>
      <c r="J231" s="66"/>
      <c r="K231" s="66"/>
      <c r="L231" s="66"/>
      <c r="O231" s="89"/>
    </row>
    <row r="232" spans="3:15" ht="14.1" customHeight="1">
      <c r="D232" s="56"/>
      <c r="E232" s="82"/>
      <c r="G232" s="66"/>
      <c r="H232" s="66"/>
      <c r="I232" s="66"/>
      <c r="J232" s="66"/>
      <c r="K232" s="66"/>
      <c r="L232" s="66"/>
      <c r="O232" s="89"/>
    </row>
    <row r="233" spans="3:15" ht="14.1" customHeight="1">
      <c r="C233" s="907"/>
      <c r="D233" s="907"/>
      <c r="E233" s="82"/>
      <c r="G233" s="66"/>
      <c r="H233" s="66"/>
      <c r="I233" s="66"/>
      <c r="J233" s="66"/>
      <c r="K233" s="66"/>
      <c r="L233" s="66"/>
      <c r="O233" s="89"/>
    </row>
    <row r="234" spans="3:15" ht="14.1" customHeight="1">
      <c r="C234" s="907"/>
      <c r="D234" s="907"/>
      <c r="E234" s="82"/>
      <c r="G234" s="66"/>
      <c r="H234" s="66"/>
      <c r="I234" s="66"/>
      <c r="J234" s="66"/>
      <c r="K234" s="66"/>
      <c r="L234" s="66"/>
      <c r="O234" s="908"/>
    </row>
    <row r="235" spans="3:15" ht="14.1" customHeight="1">
      <c r="D235" s="56"/>
      <c r="E235" s="82"/>
      <c r="G235" s="66"/>
      <c r="H235" s="66"/>
      <c r="I235" s="66"/>
      <c r="J235" s="66"/>
      <c r="K235" s="66"/>
      <c r="L235" s="66"/>
      <c r="O235" s="908"/>
    </row>
    <row r="236" spans="3:15" ht="14.1" customHeight="1">
      <c r="C236" s="907"/>
      <c r="D236" s="907"/>
      <c r="E236" s="82"/>
      <c r="G236" s="73"/>
      <c r="H236" s="66"/>
      <c r="I236" s="66"/>
      <c r="J236" s="66"/>
      <c r="K236" s="66"/>
      <c r="L236" s="66"/>
      <c r="O236" s="908"/>
    </row>
    <row r="237" spans="3:15" ht="14.1" customHeight="1">
      <c r="C237" s="907"/>
      <c r="D237" s="907"/>
      <c r="E237" s="82"/>
      <c r="G237" s="66"/>
      <c r="H237" s="66"/>
      <c r="I237" s="66"/>
      <c r="J237" s="66"/>
      <c r="K237" s="66"/>
      <c r="L237" s="66"/>
      <c r="O237" s="908"/>
    </row>
    <row r="238" spans="3:15" ht="14.1" customHeight="1">
      <c r="D238" s="56"/>
      <c r="E238" s="82"/>
      <c r="G238" s="66"/>
      <c r="H238" s="66"/>
      <c r="I238" s="66"/>
      <c r="J238" s="66"/>
      <c r="K238" s="66"/>
      <c r="L238" s="66"/>
      <c r="O238" s="908"/>
    </row>
    <row r="239" spans="3:15" ht="14.1" customHeight="1">
      <c r="C239" s="907"/>
      <c r="D239" s="907"/>
      <c r="E239" s="82"/>
      <c r="G239" s="74"/>
      <c r="H239" s="66"/>
      <c r="I239" s="66"/>
      <c r="J239" s="66"/>
      <c r="K239" s="66"/>
      <c r="L239" s="66"/>
      <c r="O239" s="908"/>
    </row>
    <row r="240" spans="3:15" ht="14.1" customHeight="1">
      <c r="C240" s="907"/>
      <c r="D240" s="907"/>
      <c r="E240" s="82"/>
      <c r="G240" s="66"/>
      <c r="H240" s="66"/>
      <c r="I240" s="66"/>
      <c r="J240" s="66"/>
      <c r="K240" s="66"/>
      <c r="L240" s="66"/>
      <c r="O240" s="908"/>
    </row>
    <row r="241" spans="3:15" ht="14.1" customHeight="1">
      <c r="D241" s="56"/>
      <c r="E241" s="82"/>
      <c r="G241" s="66"/>
      <c r="H241" s="66"/>
      <c r="I241" s="66"/>
      <c r="J241" s="66"/>
      <c r="K241" s="66"/>
      <c r="L241" s="66"/>
      <c r="O241" s="908"/>
    </row>
    <row r="242" spans="3:15" ht="14.1" customHeight="1">
      <c r="C242" s="907"/>
      <c r="D242" s="907"/>
      <c r="E242" s="82"/>
      <c r="G242" s="566"/>
      <c r="H242" s="566"/>
      <c r="I242" s="566"/>
      <c r="J242" s="566"/>
      <c r="K242" s="566"/>
      <c r="L242" s="566"/>
      <c r="O242" s="908"/>
    </row>
    <row r="243" spans="3:15" ht="14.1" customHeight="1">
      <c r="C243" s="907"/>
      <c r="D243" s="907"/>
      <c r="E243" s="82"/>
      <c r="G243" s="566"/>
      <c r="H243" s="566"/>
      <c r="I243" s="566"/>
      <c r="J243" s="566"/>
      <c r="K243" s="566"/>
      <c r="L243" s="566"/>
      <c r="O243" s="908"/>
    </row>
    <row r="244" spans="3:15" ht="14.1" customHeight="1">
      <c r="D244" s="56"/>
      <c r="E244" s="82"/>
      <c r="G244" s="566"/>
      <c r="H244" s="566"/>
      <c r="I244" s="566"/>
      <c r="J244" s="566"/>
      <c r="K244" s="566"/>
      <c r="L244" s="566"/>
      <c r="O244" s="908"/>
    </row>
    <row r="245" spans="3:15" ht="14.1" customHeight="1">
      <c r="C245" s="907"/>
      <c r="D245" s="907"/>
      <c r="E245" s="82"/>
      <c r="G245" s="566"/>
      <c r="H245" s="566"/>
      <c r="I245" s="566"/>
      <c r="J245" s="566"/>
      <c r="K245" s="566"/>
      <c r="L245" s="566"/>
      <c r="O245" s="908"/>
    </row>
    <row r="246" spans="3:15" ht="14.1" customHeight="1">
      <c r="C246" s="907"/>
      <c r="D246" s="907"/>
      <c r="E246" s="82"/>
      <c r="G246" s="566"/>
      <c r="H246" s="566"/>
      <c r="I246" s="566"/>
      <c r="J246" s="566"/>
      <c r="K246" s="566"/>
      <c r="L246" s="566"/>
      <c r="O246" s="908"/>
    </row>
    <row r="247" spans="3:15" ht="14.1" customHeight="1">
      <c r="D247" s="56"/>
      <c r="E247" s="82"/>
      <c r="G247" s="566"/>
      <c r="H247" s="566"/>
      <c r="I247" s="566"/>
      <c r="J247" s="566"/>
      <c r="K247" s="566"/>
      <c r="L247" s="566"/>
      <c r="O247" s="908"/>
    </row>
    <row r="248" spans="3:15" ht="14.1" customHeight="1">
      <c r="C248" s="907"/>
      <c r="D248" s="907"/>
      <c r="E248" s="82"/>
      <c r="G248" s="566"/>
      <c r="H248" s="566"/>
      <c r="I248" s="566"/>
      <c r="J248" s="566"/>
      <c r="K248" s="566"/>
      <c r="L248" s="566"/>
      <c r="O248" s="908"/>
    </row>
    <row r="249" spans="3:15" ht="14.1" customHeight="1">
      <c r="C249" s="907"/>
      <c r="D249" s="907"/>
      <c r="E249" s="82"/>
      <c r="G249" s="566"/>
      <c r="H249" s="566"/>
      <c r="I249" s="566"/>
      <c r="J249" s="566"/>
      <c r="K249" s="566"/>
      <c r="L249" s="566"/>
      <c r="O249" s="908"/>
    </row>
    <row r="250" spans="3:15" ht="14.1" customHeight="1">
      <c r="D250" s="56"/>
      <c r="E250" s="82"/>
      <c r="F250" s="65"/>
      <c r="G250" s="565"/>
      <c r="H250" s="565"/>
      <c r="I250" s="565"/>
      <c r="J250" s="565"/>
      <c r="K250" s="565"/>
      <c r="L250" s="565"/>
      <c r="O250" s="908"/>
    </row>
    <row r="251" spans="3:15" ht="14.1" customHeight="1">
      <c r="C251" s="907"/>
      <c r="D251" s="907"/>
      <c r="E251" s="82"/>
      <c r="F251" s="65"/>
      <c r="G251" s="565"/>
      <c r="H251" s="565"/>
      <c r="I251" s="565"/>
      <c r="J251" s="565"/>
      <c r="K251" s="565"/>
      <c r="L251" s="565"/>
      <c r="O251" s="908"/>
    </row>
    <row r="252" spans="3:15" ht="14.1" customHeight="1">
      <c r="C252" s="907"/>
      <c r="D252" s="907"/>
      <c r="E252" s="82"/>
      <c r="F252" s="65"/>
      <c r="G252" s="565"/>
      <c r="H252" s="565"/>
      <c r="I252" s="565"/>
      <c r="J252" s="565"/>
      <c r="K252" s="565"/>
      <c r="L252" s="565"/>
      <c r="O252" s="908"/>
    </row>
    <row r="253" spans="3:15" ht="14.1" customHeight="1">
      <c r="D253" s="56"/>
      <c r="E253" s="82"/>
      <c r="F253" s="65"/>
      <c r="G253" s="565"/>
      <c r="H253" s="565"/>
      <c r="I253" s="565"/>
      <c r="J253" s="565"/>
      <c r="K253" s="565"/>
      <c r="L253" s="565"/>
      <c r="O253" s="908"/>
    </row>
    <row r="254" spans="3:15" ht="14.1" customHeight="1">
      <c r="C254" s="907"/>
      <c r="D254" s="907"/>
      <c r="E254" s="82"/>
      <c r="F254" s="65"/>
      <c r="G254" s="565"/>
      <c r="H254" s="565"/>
      <c r="I254" s="565"/>
      <c r="J254" s="565"/>
      <c r="K254" s="565"/>
      <c r="L254" s="565"/>
      <c r="O254" s="908"/>
    </row>
    <row r="255" spans="3:15" ht="14.1" customHeight="1">
      <c r="D255" s="907"/>
      <c r="E255" s="82"/>
      <c r="F255" s="65"/>
      <c r="G255" s="565"/>
      <c r="H255" s="565"/>
      <c r="I255" s="565"/>
      <c r="J255" s="565"/>
      <c r="K255" s="565"/>
      <c r="L255" s="565"/>
      <c r="O255" s="908"/>
    </row>
    <row r="256" spans="3:15" ht="14.1" customHeight="1">
      <c r="D256" s="56"/>
      <c r="E256" s="82"/>
      <c r="F256" s="65"/>
      <c r="G256" s="565"/>
      <c r="H256" s="565"/>
      <c r="I256" s="565"/>
      <c r="J256" s="565"/>
      <c r="K256" s="565"/>
      <c r="L256" s="565"/>
      <c r="O256" s="908"/>
    </row>
    <row r="257" spans="4:15" ht="14.1" customHeight="1">
      <c r="D257" s="907"/>
      <c r="E257" s="82"/>
      <c r="F257" s="65"/>
      <c r="G257" s="565"/>
      <c r="H257" s="565"/>
      <c r="I257" s="565"/>
      <c r="J257" s="565"/>
      <c r="K257" s="565"/>
      <c r="L257" s="565"/>
      <c r="O257" s="908"/>
    </row>
    <row r="258" spans="4:15" ht="14.1" customHeight="1">
      <c r="D258" s="907"/>
      <c r="E258" s="82"/>
      <c r="F258" s="65"/>
      <c r="G258" s="565"/>
      <c r="H258" s="565"/>
      <c r="I258" s="565"/>
      <c r="J258" s="565"/>
      <c r="K258" s="565"/>
      <c r="L258" s="565"/>
      <c r="O258" s="908"/>
    </row>
    <row r="259" spans="4:15" ht="14.1" customHeight="1">
      <c r="D259" s="56"/>
      <c r="E259" s="82"/>
      <c r="F259" s="65"/>
      <c r="G259" s="565"/>
      <c r="H259" s="565"/>
      <c r="I259" s="565"/>
      <c r="J259" s="565"/>
      <c r="K259" s="565"/>
      <c r="L259" s="565"/>
      <c r="O259" s="908"/>
    </row>
    <row r="260" spans="4:15" ht="14.1" customHeight="1">
      <c r="D260" s="907"/>
      <c r="E260" s="82"/>
      <c r="F260" s="65"/>
      <c r="G260" s="565"/>
      <c r="H260" s="565"/>
      <c r="I260" s="565"/>
      <c r="J260" s="565"/>
      <c r="K260" s="565"/>
      <c r="L260" s="565"/>
      <c r="O260" s="908"/>
    </row>
    <row r="261" spans="4:15" ht="14.1" customHeight="1">
      <c r="D261" s="907"/>
      <c r="E261" s="82"/>
      <c r="F261" s="65"/>
      <c r="G261" s="565"/>
      <c r="H261" s="565"/>
      <c r="I261" s="565"/>
      <c r="J261" s="565"/>
      <c r="K261" s="565"/>
      <c r="L261" s="565"/>
      <c r="O261" s="908"/>
    </row>
    <row r="262" spans="4:15" ht="14.1" customHeight="1">
      <c r="D262" s="56"/>
      <c r="E262" s="82"/>
      <c r="F262" s="65"/>
      <c r="G262" s="565"/>
      <c r="H262" s="565"/>
      <c r="I262" s="565"/>
      <c r="J262" s="565"/>
      <c r="K262" s="565"/>
      <c r="L262" s="565"/>
      <c r="O262" s="908"/>
    </row>
    <row r="263" spans="4:15" ht="14.1" customHeight="1">
      <c r="D263" s="907"/>
      <c r="E263" s="82"/>
      <c r="F263" s="65"/>
      <c r="G263" s="565"/>
      <c r="H263" s="565"/>
      <c r="I263" s="565"/>
      <c r="J263" s="565"/>
      <c r="K263" s="565"/>
      <c r="L263" s="565"/>
      <c r="O263" s="908"/>
    </row>
    <row r="264" spans="4:15" ht="14.1" customHeight="1">
      <c r="D264" s="556"/>
      <c r="E264" s="82"/>
      <c r="F264" s="65"/>
      <c r="G264" s="565"/>
      <c r="H264" s="565"/>
      <c r="I264" s="565"/>
      <c r="J264" s="565"/>
      <c r="K264" s="565"/>
      <c r="L264" s="565"/>
      <c r="O264" s="908"/>
    </row>
    <row r="265" spans="4:15" ht="14.1" customHeight="1">
      <c r="D265" s="556"/>
      <c r="E265" s="82"/>
      <c r="F265" s="65"/>
      <c r="G265" s="565"/>
      <c r="H265" s="565"/>
      <c r="I265" s="565"/>
      <c r="J265" s="565"/>
      <c r="K265" s="565"/>
      <c r="L265" s="565"/>
      <c r="O265" s="908"/>
    </row>
    <row r="266" spans="4:15" ht="14.1" customHeight="1">
      <c r="D266" s="556"/>
      <c r="E266" s="82"/>
      <c r="F266" s="65"/>
      <c r="G266" s="565"/>
      <c r="H266" s="565"/>
      <c r="I266" s="565"/>
      <c r="J266" s="565"/>
      <c r="K266" s="565"/>
      <c r="L266" s="565"/>
      <c r="O266" s="908"/>
    </row>
    <row r="267" spans="4:15" ht="14.1" customHeight="1">
      <c r="D267" s="556"/>
      <c r="E267" s="82"/>
      <c r="F267" s="65"/>
      <c r="G267" s="565"/>
      <c r="H267" s="565"/>
      <c r="I267" s="565"/>
      <c r="J267" s="565"/>
      <c r="K267" s="565"/>
      <c r="L267" s="565"/>
      <c r="O267" s="908"/>
    </row>
    <row r="268" spans="4:15" ht="14.1" customHeight="1">
      <c r="D268" s="556"/>
      <c r="E268" s="82"/>
      <c r="F268" s="65"/>
      <c r="G268" s="565"/>
      <c r="H268" s="565"/>
      <c r="I268" s="565"/>
      <c r="J268" s="565"/>
      <c r="K268" s="565"/>
      <c r="L268" s="565"/>
      <c r="O268" s="908"/>
    </row>
    <row r="269" spans="4:15" ht="14.1" customHeight="1">
      <c r="D269" s="556"/>
      <c r="E269" s="82"/>
      <c r="F269" s="65"/>
      <c r="G269" s="565"/>
      <c r="H269" s="565"/>
      <c r="I269" s="565"/>
      <c r="J269" s="565"/>
      <c r="K269" s="565"/>
      <c r="L269" s="565"/>
      <c r="O269" s="908"/>
    </row>
    <row r="270" spans="4:15" ht="14.1" customHeight="1">
      <c r="D270" s="556"/>
      <c r="E270" s="82"/>
      <c r="F270" s="65"/>
      <c r="G270" s="565"/>
      <c r="H270" s="565"/>
      <c r="I270" s="565"/>
      <c r="J270" s="565"/>
      <c r="K270" s="565"/>
      <c r="L270" s="565"/>
      <c r="O270" s="908"/>
    </row>
    <row r="271" spans="4:15" ht="14.1" customHeight="1">
      <c r="D271" s="556"/>
      <c r="E271" s="82"/>
      <c r="F271" s="65"/>
      <c r="G271" s="565"/>
      <c r="H271" s="565"/>
      <c r="I271" s="565"/>
      <c r="J271" s="565"/>
      <c r="K271" s="565"/>
      <c r="L271" s="565"/>
      <c r="O271" s="908"/>
    </row>
    <row r="272" spans="4:15" ht="14.1" customHeight="1">
      <c r="D272" s="556"/>
      <c r="E272" s="82"/>
      <c r="F272" s="65"/>
      <c r="G272" s="565"/>
      <c r="H272" s="565"/>
      <c r="I272" s="565"/>
      <c r="J272" s="565"/>
      <c r="K272" s="565"/>
      <c r="L272" s="565"/>
      <c r="O272" s="908"/>
    </row>
    <row r="273" spans="4:15" ht="14.1" customHeight="1">
      <c r="D273" s="556"/>
      <c r="E273" s="82"/>
      <c r="F273" s="65"/>
      <c r="G273" s="565"/>
      <c r="H273" s="565"/>
      <c r="I273" s="565"/>
      <c r="J273" s="565"/>
      <c r="K273" s="565"/>
      <c r="L273" s="565"/>
      <c r="O273" s="908"/>
    </row>
    <row r="274" spans="4:15" ht="14.1" customHeight="1">
      <c r="D274" s="556"/>
      <c r="E274" s="82"/>
      <c r="F274" s="65"/>
      <c r="G274" s="565"/>
      <c r="H274" s="565"/>
      <c r="I274" s="565"/>
      <c r="J274" s="565"/>
      <c r="K274" s="565"/>
      <c r="L274" s="565"/>
      <c r="O274" s="908"/>
    </row>
    <row r="275" spans="4:15" ht="14.1" customHeight="1">
      <c r="D275" s="556"/>
      <c r="E275" s="82"/>
      <c r="F275" s="65"/>
      <c r="G275" s="565"/>
      <c r="H275" s="565"/>
      <c r="I275" s="565"/>
      <c r="J275" s="565"/>
      <c r="K275" s="565"/>
      <c r="L275" s="565"/>
      <c r="O275" s="908"/>
    </row>
    <row r="276" spans="4:15" ht="14.1" customHeight="1">
      <c r="D276" s="556"/>
      <c r="E276" s="568"/>
      <c r="F276" s="65"/>
      <c r="G276" s="565"/>
      <c r="H276" s="565"/>
      <c r="I276" s="565"/>
      <c r="J276" s="565"/>
      <c r="K276" s="565"/>
      <c r="L276" s="565"/>
      <c r="O276" s="908"/>
    </row>
    <row r="277" spans="4:15" ht="14.1" customHeight="1">
      <c r="D277" s="556"/>
      <c r="E277" s="568"/>
      <c r="F277" s="65"/>
      <c r="G277" s="565"/>
      <c r="H277" s="565"/>
      <c r="I277" s="565"/>
      <c r="J277" s="565"/>
      <c r="K277" s="565"/>
      <c r="L277" s="565"/>
      <c r="O277" s="908"/>
    </row>
    <row r="278" spans="4:15" ht="14.1" customHeight="1">
      <c r="D278" s="556"/>
      <c r="E278" s="568"/>
      <c r="F278" s="65"/>
      <c r="G278" s="565"/>
      <c r="H278" s="565"/>
      <c r="I278" s="565"/>
      <c r="J278" s="565"/>
      <c r="K278" s="565"/>
      <c r="L278" s="565"/>
      <c r="O278" s="908"/>
    </row>
    <row r="279" spans="4:15">
      <c r="D279" s="556"/>
      <c r="E279" s="568"/>
      <c r="F279" s="65"/>
      <c r="G279" s="565"/>
      <c r="H279" s="565"/>
      <c r="I279" s="565"/>
      <c r="J279" s="565"/>
      <c r="K279" s="565"/>
      <c r="L279" s="565"/>
      <c r="O279" s="908"/>
    </row>
    <row r="280" spans="4:15">
      <c r="D280" s="556"/>
      <c r="E280" s="568"/>
      <c r="F280" s="65"/>
      <c r="G280" s="565"/>
      <c r="H280" s="565"/>
      <c r="I280" s="565"/>
      <c r="J280" s="565"/>
      <c r="K280" s="565"/>
      <c r="L280" s="565"/>
      <c r="O280" s="908"/>
    </row>
    <row r="281" spans="4:15">
      <c r="D281" s="556"/>
      <c r="E281" s="568"/>
      <c r="F281" s="65"/>
      <c r="G281" s="565"/>
      <c r="H281" s="565"/>
      <c r="I281" s="565"/>
      <c r="J281" s="565"/>
      <c r="K281" s="565"/>
      <c r="L281" s="565"/>
      <c r="O281" s="908"/>
    </row>
    <row r="282" spans="4:15">
      <c r="D282" s="556"/>
      <c r="E282" s="568"/>
      <c r="F282" s="65"/>
      <c r="G282" s="565"/>
      <c r="H282" s="565"/>
      <c r="I282" s="565"/>
      <c r="J282" s="565"/>
      <c r="K282" s="565"/>
      <c r="L282" s="565"/>
      <c r="O282" s="908"/>
    </row>
    <row r="283" spans="4:15">
      <c r="D283" s="556"/>
      <c r="E283" s="568"/>
      <c r="F283" s="65"/>
      <c r="G283" s="565"/>
      <c r="H283" s="565"/>
      <c r="I283" s="565"/>
      <c r="J283" s="565"/>
      <c r="K283" s="565"/>
      <c r="L283" s="565"/>
      <c r="O283" s="908"/>
    </row>
    <row r="284" spans="4:15">
      <c r="D284" s="556"/>
      <c r="E284" s="568"/>
      <c r="F284" s="65"/>
      <c r="G284" s="565"/>
      <c r="H284" s="565"/>
      <c r="I284" s="565"/>
      <c r="J284" s="565"/>
      <c r="K284" s="565"/>
      <c r="L284" s="565"/>
      <c r="O284" s="908"/>
    </row>
    <row r="285" spans="4:15">
      <c r="D285" s="556"/>
      <c r="E285" s="568"/>
      <c r="F285" s="65"/>
      <c r="G285" s="565"/>
      <c r="H285" s="565"/>
      <c r="I285" s="565"/>
      <c r="J285" s="565"/>
      <c r="K285" s="565"/>
      <c r="L285" s="565"/>
      <c r="O285" s="908"/>
    </row>
    <row r="286" spans="4:15">
      <c r="D286" s="556"/>
      <c r="E286" s="568"/>
      <c r="F286" s="65"/>
      <c r="G286" s="565"/>
      <c r="H286" s="565"/>
      <c r="I286" s="565"/>
      <c r="J286" s="565"/>
      <c r="K286" s="565"/>
      <c r="L286" s="565"/>
      <c r="O286" s="908"/>
    </row>
    <row r="287" spans="4:15">
      <c r="D287" s="556"/>
      <c r="E287" s="568"/>
      <c r="F287" s="65"/>
      <c r="G287" s="565"/>
      <c r="H287" s="565"/>
      <c r="I287" s="565"/>
      <c r="J287" s="565"/>
      <c r="K287" s="565"/>
      <c r="L287" s="565"/>
      <c r="O287" s="908"/>
    </row>
    <row r="288" spans="4:15">
      <c r="D288" s="556"/>
      <c r="E288" s="568"/>
      <c r="F288" s="65"/>
      <c r="G288" s="565"/>
      <c r="H288" s="565"/>
      <c r="I288" s="565"/>
      <c r="J288" s="565"/>
      <c r="K288" s="565"/>
      <c r="L288" s="565"/>
      <c r="O288" s="908"/>
    </row>
    <row r="289" spans="4:15">
      <c r="D289" s="556"/>
      <c r="E289" s="568"/>
      <c r="F289" s="65"/>
      <c r="G289" s="565"/>
      <c r="H289" s="565"/>
      <c r="I289" s="565"/>
      <c r="J289" s="565"/>
      <c r="K289" s="565"/>
      <c r="L289" s="565"/>
      <c r="O289" s="908"/>
    </row>
    <row r="290" spans="4:15">
      <c r="D290" s="556"/>
      <c r="E290" s="568"/>
      <c r="F290" s="65"/>
      <c r="G290" s="565"/>
      <c r="H290" s="565"/>
      <c r="I290" s="565"/>
      <c r="J290" s="565"/>
      <c r="K290" s="565"/>
      <c r="L290" s="565"/>
      <c r="O290" s="908"/>
    </row>
  </sheetData>
  <sheetProtection sheet="1" formatCells="0" formatColumns="0" formatRows="0" insertColumns="0" insertRows="0"/>
  <mergeCells count="95">
    <mergeCell ref="T28:T31"/>
    <mergeCell ref="U28:U31"/>
    <mergeCell ref="F157:L157"/>
    <mergeCell ref="N28:N31"/>
    <mergeCell ref="O28:O31"/>
    <mergeCell ref="P28:P31"/>
    <mergeCell ref="Q28:Q31"/>
    <mergeCell ref="N50:N51"/>
    <mergeCell ref="O50:O51"/>
    <mergeCell ref="R50:R51"/>
    <mergeCell ref="S50:S51"/>
    <mergeCell ref="T50:T51"/>
    <mergeCell ref="U50:U51"/>
    <mergeCell ref="N42:N48"/>
    <mergeCell ref="O42:O48"/>
    <mergeCell ref="P42:P48"/>
    <mergeCell ref="W49:W50"/>
    <mergeCell ref="P77:P78"/>
    <mergeCell ref="Q77:Q78"/>
    <mergeCell ref="R77:R78"/>
    <mergeCell ref="U21:U27"/>
    <mergeCell ref="W21:W27"/>
    <mergeCell ref="W28:W30"/>
    <mergeCell ref="W36:W40"/>
    <mergeCell ref="S42:S48"/>
    <mergeCell ref="T42:T48"/>
    <mergeCell ref="U42:U48"/>
    <mergeCell ref="W41:W46"/>
    <mergeCell ref="W51:W58"/>
    <mergeCell ref="P50:P51"/>
    <mergeCell ref="Q50:Q51"/>
    <mergeCell ref="O36:U36"/>
    <mergeCell ref="Q42:Q48"/>
    <mergeCell ref="R42:R48"/>
    <mergeCell ref="S19:S20"/>
    <mergeCell ref="R28:R31"/>
    <mergeCell ref="S28:S31"/>
    <mergeCell ref="T19:T20"/>
    <mergeCell ref="U19:U20"/>
    <mergeCell ref="W19:W20"/>
    <mergeCell ref="N21:N27"/>
    <mergeCell ref="O21:O27"/>
    <mergeCell ref="P21:P27"/>
    <mergeCell ref="Q21:Q27"/>
    <mergeCell ref="R21:R27"/>
    <mergeCell ref="N19:N20"/>
    <mergeCell ref="O19:O20"/>
    <mergeCell ref="P19:P20"/>
    <mergeCell ref="Q19:Q20"/>
    <mergeCell ref="R19:R20"/>
    <mergeCell ref="S21:S27"/>
    <mergeCell ref="T21:T27"/>
    <mergeCell ref="S11:S17"/>
    <mergeCell ref="T11:T17"/>
    <mergeCell ref="U11:U17"/>
    <mergeCell ref="W11:W17"/>
    <mergeCell ref="F2:L2"/>
    <mergeCell ref="O2:U2"/>
    <mergeCell ref="O5:U5"/>
    <mergeCell ref="N11:N17"/>
    <mergeCell ref="O11:O17"/>
    <mergeCell ref="P11:P17"/>
    <mergeCell ref="Q11:Q17"/>
    <mergeCell ref="R11:R17"/>
    <mergeCell ref="F110:L110"/>
    <mergeCell ref="N52:N59"/>
    <mergeCell ref="O52:O59"/>
    <mergeCell ref="P52:P59"/>
    <mergeCell ref="O65:U65"/>
    <mergeCell ref="N67:N75"/>
    <mergeCell ref="O67:O75"/>
    <mergeCell ref="P67:P75"/>
    <mergeCell ref="Q67:Q75"/>
    <mergeCell ref="R67:R75"/>
    <mergeCell ref="S67:S75"/>
    <mergeCell ref="T67:T75"/>
    <mergeCell ref="U67:U75"/>
    <mergeCell ref="N77:N78"/>
    <mergeCell ref="O77:O78"/>
    <mergeCell ref="Q52:Q59"/>
    <mergeCell ref="R52:R59"/>
    <mergeCell ref="N60:N63"/>
    <mergeCell ref="O60:O63"/>
    <mergeCell ref="P60:P63"/>
    <mergeCell ref="Q60:Q63"/>
    <mergeCell ref="R60:R63"/>
    <mergeCell ref="S77:S78"/>
    <mergeCell ref="T77:T78"/>
    <mergeCell ref="U77:U78"/>
    <mergeCell ref="S52:S59"/>
    <mergeCell ref="T52:T59"/>
    <mergeCell ref="U52:U59"/>
    <mergeCell ref="S60:S63"/>
    <mergeCell ref="T60:T63"/>
    <mergeCell ref="U60:U63"/>
  </mergeCells>
  <conditionalFormatting sqref="C255:C265">
    <cfRule type="containsText" dxfId="800" priority="131" operator="containsText" text="FL">
      <formula>NOT(ISERROR(SEARCH("FL",C255)))</formula>
    </cfRule>
    <cfRule type="containsText" dxfId="799" priority="132" operator="containsText" text="FT">
      <formula>NOT(ISERROR(SEARCH("FT",C255)))</formula>
    </cfRule>
    <cfRule type="containsText" dxfId="798" priority="133" operator="containsText" text="SS">
      <formula>NOT(ISERROR(SEARCH("SS",C255)))</formula>
    </cfRule>
    <cfRule type="containsText" dxfId="797" priority="134" operator="containsText" text="GR">
      <formula>NOT(ISERROR(SEARCH("GR",C255)))</formula>
    </cfRule>
    <cfRule type="containsText" dxfId="796" priority="135" operator="containsText" text="GO">
      <formula>NOT(ISERROR(SEARCH("GO",C255)))</formula>
    </cfRule>
  </conditionalFormatting>
  <conditionalFormatting sqref="D71 D109:D110">
    <cfRule type="containsText" dxfId="795" priority="123" operator="containsText" text="GR">
      <formula>NOT(ISERROR(SEARCH("GR",D71)))</formula>
    </cfRule>
  </conditionalFormatting>
  <conditionalFormatting sqref="D79:D80 D72:D77">
    <cfRule type="duplicateValues" dxfId="794" priority="113"/>
  </conditionalFormatting>
  <conditionalFormatting sqref="D83:D87">
    <cfRule type="duplicateValues" dxfId="793" priority="112"/>
  </conditionalFormatting>
  <conditionalFormatting sqref="D84:D85">
    <cfRule type="duplicateValues" dxfId="792" priority="109"/>
    <cfRule type="duplicateValues" dxfId="791" priority="110"/>
  </conditionalFormatting>
  <conditionalFormatting sqref="D88:D89">
    <cfRule type="duplicateValues" dxfId="790" priority="111"/>
  </conditionalFormatting>
  <conditionalFormatting sqref="D91">
    <cfRule type="duplicateValues" dxfId="789" priority="1"/>
  </conditionalFormatting>
  <conditionalFormatting sqref="D103:D106 D92:D101">
    <cfRule type="duplicateValues" dxfId="788" priority="107"/>
  </conditionalFormatting>
  <conditionalFormatting sqref="D106">
    <cfRule type="duplicateValues" dxfId="787" priority="105"/>
    <cfRule type="duplicateValues" dxfId="786" priority="106"/>
  </conditionalFormatting>
  <conditionalFormatting sqref="D108">
    <cfRule type="duplicateValues" dxfId="785" priority="108"/>
  </conditionalFormatting>
  <conditionalFormatting sqref="D183:D184 D176:D181">
    <cfRule type="duplicateValues" dxfId="784" priority="104"/>
  </conditionalFormatting>
  <conditionalFormatting sqref="D186:D190">
    <cfRule type="duplicateValues" dxfId="783" priority="103"/>
  </conditionalFormatting>
  <conditionalFormatting sqref="D187:D188">
    <cfRule type="duplicateValues" dxfId="782" priority="100"/>
    <cfRule type="duplicateValues" dxfId="781" priority="101"/>
  </conditionalFormatting>
  <conditionalFormatting sqref="D191">
    <cfRule type="duplicateValues" dxfId="780" priority="102"/>
  </conditionalFormatting>
  <conditionalFormatting sqref="D205:D208 D193:D203">
    <cfRule type="duplicateValues" dxfId="779" priority="98"/>
  </conditionalFormatting>
  <conditionalFormatting sqref="D208">
    <cfRule type="duplicateValues" dxfId="778" priority="96"/>
    <cfRule type="duplicateValues" dxfId="777" priority="97"/>
  </conditionalFormatting>
  <conditionalFormatting sqref="D210">
    <cfRule type="duplicateValues" dxfId="776" priority="99"/>
  </conditionalFormatting>
  <conditionalFormatting sqref="E8 E13">
    <cfRule type="containsText" dxfId="775" priority="124" operator="containsText" text="FC">
      <formula>NOT(ISERROR(SEARCH("FC",E8)))</formula>
    </cfRule>
    <cfRule type="containsText" dxfId="774" priority="125" operator="containsText" text="PAC">
      <formula>NOT(ISERROR(SEARCH("PAC",E8)))</formula>
    </cfRule>
    <cfRule type="containsText" dxfId="773" priority="126" operator="containsText" text="AA">
      <formula>NOT(ISERROR(SEARCH("AA",E8)))</formula>
    </cfRule>
    <cfRule type="containsText" dxfId="772" priority="127" operator="containsText" text="RC">
      <formula>NOT(ISERROR(SEARCH("RC",E8)))</formula>
    </cfRule>
    <cfRule type="containsText" dxfId="771" priority="128" operator="containsText" text="GC">
      <formula>NOT(ISERROR(SEARCH("GC",E8)))</formula>
    </cfRule>
    <cfRule type="containsText" dxfId="770" priority="129" operator="containsText" text="SSC">
      <formula>NOT(ISERROR(SEARCH("SSC",E8)))</formula>
    </cfRule>
    <cfRule type="containsText" dxfId="769" priority="130" operator="containsText" text="CSO">
      <formula>NOT(ISERROR(SEARCH("CSO",E8)))</formula>
    </cfRule>
  </conditionalFormatting>
  <conditionalFormatting sqref="E20 E26 E30">
    <cfRule type="containsText" dxfId="768" priority="136" operator="containsText" text="PAC">
      <formula>NOT(ISERROR(SEARCH("PAC",E20)))</formula>
    </cfRule>
    <cfRule type="containsText" dxfId="767" priority="137" operator="containsText" text="GC">
      <formula>NOT(ISERROR(SEARCH("GC",E20)))</formula>
    </cfRule>
  </conditionalFormatting>
  <conditionalFormatting sqref="E20 E26 E30:E31">
    <cfRule type="containsText" dxfId="766" priority="114" operator="containsText" text="PSSC">
      <formula>NOT(ISERROR(SEARCH("PSSC",E20)))</formula>
    </cfRule>
    <cfRule type="containsText" dxfId="765" priority="115" operator="containsText" text="ASSC">
      <formula>NOT(ISERROR(SEARCH("ASSC",E20)))</formula>
    </cfRule>
    <cfRule type="containsText" dxfId="764" priority="116" operator="containsText" text="CC">
      <formula>NOT(ISERROR(SEARCH("CC",E20)))</formula>
    </cfRule>
    <cfRule type="containsText" dxfId="763" priority="117" operator="containsText" text="CSO">
      <formula>NOT(ISERROR(SEARCH("CSO",E20)))</formula>
    </cfRule>
    <cfRule type="containsText" dxfId="762" priority="118" operator="containsText" text="FC">
      <formula>NOT(ISERROR(SEARCH("FC",E20)))</formula>
    </cfRule>
    <cfRule type="containsText" dxfId="761" priority="119" operator="containsText" text="RC">
      <formula>NOT(ISERROR(SEARCH("RC",E20)))</formula>
    </cfRule>
    <cfRule type="containsText" dxfId="760" priority="138" stopIfTrue="1" operator="containsText" text="AAC">
      <formula>NOT(ISERROR(SEARCH("AAC",E20)))</formula>
    </cfRule>
  </conditionalFormatting>
  <conditionalFormatting sqref="E20">
    <cfRule type="containsText" dxfId="759" priority="120" stopIfTrue="1" operator="containsText" text="AAC">
      <formula>NOT(ISERROR(SEARCH("AAC",E20)))</formula>
    </cfRule>
    <cfRule type="containsText" dxfId="758" priority="121" operator="containsText" text="PAC">
      <formula>NOT(ISERROR(SEARCH("PAC",E20)))</formula>
    </cfRule>
    <cfRule type="containsText" dxfId="757" priority="122" operator="containsText" text="GC">
      <formula>NOT(ISERROR(SEARCH("GC",E20)))</formula>
    </cfRule>
  </conditionalFormatting>
  <conditionalFormatting sqref="E50:E53">
    <cfRule type="containsText" dxfId="756" priority="10" operator="containsText" text="PSSC">
      <formula>NOT(ISERROR(SEARCH("PSSC",E50)))</formula>
    </cfRule>
    <cfRule type="containsText" dxfId="755" priority="11" operator="containsText" text="ASSC">
      <formula>NOT(ISERROR(SEARCH("ASSC",E50)))</formula>
    </cfRule>
    <cfRule type="containsText" dxfId="754" priority="12" operator="containsText" text="CC">
      <formula>NOT(ISERROR(SEARCH("CC",E50)))</formula>
    </cfRule>
    <cfRule type="containsText" dxfId="753" priority="13" operator="containsText" text="CSO">
      <formula>NOT(ISERROR(SEARCH("CSO",E50)))</formula>
    </cfRule>
    <cfRule type="containsText" dxfId="752" priority="14" operator="containsText" text="FC">
      <formula>NOT(ISERROR(SEARCH("FC",E50)))</formula>
    </cfRule>
    <cfRule type="containsText" dxfId="751" priority="15" operator="containsText" text="RC">
      <formula>NOT(ISERROR(SEARCH("RC",E50)))</formula>
    </cfRule>
    <cfRule type="containsText" dxfId="750" priority="16" operator="containsText" text="PAC">
      <formula>NOT(ISERROR(SEARCH("PAC",E50)))</formula>
    </cfRule>
    <cfRule type="containsText" dxfId="749" priority="17" operator="containsText" text="GC">
      <formula>NOT(ISERROR(SEARCH("GC",E50)))</formula>
    </cfRule>
    <cfRule type="containsText" dxfId="748" priority="18" stopIfTrue="1" operator="containsText" text="AAC">
      <formula>NOT(ISERROR(SEARCH("AAC",E50)))</formula>
    </cfRule>
  </conditionalFormatting>
  <conditionalFormatting sqref="F87">
    <cfRule type="containsText" dxfId="747" priority="50" operator="containsText" text="PL">
      <formula>NOT(ISERROR(SEARCH("PL",F87)))</formula>
    </cfRule>
    <cfRule type="containsText" dxfId="746" priority="51" operator="containsText" text="SW">
      <formula>NOT(ISERROR(SEARCH("SW",F87)))</formula>
    </cfRule>
    <cfRule type="containsText" dxfId="745" priority="52" operator="containsText" text="AT">
      <formula>NOT(ISERROR(SEARCH("AT",F87)))</formula>
    </cfRule>
    <cfRule type="containsText" dxfId="744" priority="53" operator="containsText" text="SS">
      <formula>NOT(ISERROR(SEARCH("SS",F87)))</formula>
    </cfRule>
  </conditionalFormatting>
  <conditionalFormatting sqref="F228:F241 G229:L241 G228:J228">
    <cfRule type="colorScale" priority="225">
      <colorScale>
        <cfvo type="num" val="0"/>
        <cfvo type="num" val="1"/>
        <cfvo type="num" val="2"/>
        <color theme="0"/>
        <color rgb="FFAFFC06"/>
        <color rgb="FFFF0000"/>
      </colorScale>
    </cfRule>
  </conditionalFormatting>
  <conditionalFormatting sqref="F61:J61">
    <cfRule type="containsText" dxfId="743" priority="43" operator="containsText" text="CSO">
      <formula>NOT(ISERROR(SEARCH("CSO",F61)))</formula>
    </cfRule>
    <cfRule type="containsText" dxfId="742" priority="44" operator="containsText" text="FC">
      <formula>NOT(ISERROR(SEARCH("FC",F61)))</formula>
    </cfRule>
    <cfRule type="containsText" dxfId="741" priority="45" operator="containsText" text="SS">
      <formula>NOT(ISERROR(SEARCH("SS",F61)))</formula>
    </cfRule>
    <cfRule type="containsText" dxfId="740" priority="46" operator="containsText" text="RC">
      <formula>NOT(ISERROR(SEARCH("RC",F61)))</formula>
    </cfRule>
    <cfRule type="containsText" dxfId="739" priority="47" operator="containsText" text="PAC">
      <formula>NOT(ISERROR(SEARCH("PAC",F61)))</formula>
    </cfRule>
    <cfRule type="containsText" dxfId="738" priority="48" operator="containsText" text="AAC">
      <formula>NOT(ISERROR(SEARCH("AAC",F61)))</formula>
    </cfRule>
    <cfRule type="containsText" dxfId="737" priority="49" operator="containsText" text="GC">
      <formula>NOT(ISERROR(SEARCH("GC",F61)))</formula>
    </cfRule>
  </conditionalFormatting>
  <conditionalFormatting sqref="F63:J64">
    <cfRule type="cellIs" dxfId="736" priority="94" operator="lessThan">
      <formula>5</formula>
    </cfRule>
  </conditionalFormatting>
  <conditionalFormatting sqref="F83:K83">
    <cfRule type="containsText" dxfId="735" priority="66" operator="containsText" text="PL">
      <formula>NOT(ISERROR(SEARCH("PL",F83)))</formula>
    </cfRule>
    <cfRule type="containsText" dxfId="734" priority="67" operator="containsText" text="SW">
      <formula>NOT(ISERROR(SEARCH("SW",F83)))</formula>
    </cfRule>
    <cfRule type="containsText" dxfId="733" priority="68" operator="containsText" text="AT">
      <formula>NOT(ISERROR(SEARCH("AT",F83)))</formula>
    </cfRule>
    <cfRule type="containsText" dxfId="732" priority="69" operator="containsText" text="SS">
      <formula>NOT(ISERROR(SEARCH("SS",F83)))</formula>
    </cfRule>
  </conditionalFormatting>
  <conditionalFormatting sqref="F8:L58">
    <cfRule type="containsText" dxfId="731" priority="2" operator="containsText" text="PAC">
      <formula>NOT(ISERROR(SEARCH("PAC",F8)))</formula>
    </cfRule>
    <cfRule type="containsText" dxfId="730" priority="3" operator="containsText" text="AAC">
      <formula>NOT(ISERROR(SEARCH("AAC",F8)))</formula>
    </cfRule>
    <cfRule type="containsText" dxfId="729" priority="4" operator="containsText" text="GC">
      <formula>NOT(ISERROR(SEARCH("GC",F8)))</formula>
    </cfRule>
    <cfRule type="containsText" dxfId="728" priority="5" operator="containsText" text="FC">
      <formula>NOT(ISERROR(SEARCH("FC",F8)))</formula>
    </cfRule>
    <cfRule type="containsText" dxfId="727" priority="6" operator="containsText" text="CC">
      <formula>NOT(ISERROR(SEARCH("CC",F8)))</formula>
    </cfRule>
    <cfRule type="containsText" dxfId="726" priority="7" operator="containsText" text="RC">
      <formula>NOT(ISERROR(SEARCH("RC",F8)))</formula>
    </cfRule>
    <cfRule type="containsText" dxfId="725" priority="8" operator="containsText" text="SSC">
      <formula>NOT(ISERROR(SEARCH("SSC",F8)))</formula>
    </cfRule>
    <cfRule type="containsText" dxfId="724" priority="9" operator="containsText" text="CSO">
      <formula>NOT(ISERROR(SEARCH("CSO",F8)))</formula>
    </cfRule>
  </conditionalFormatting>
  <conditionalFormatting sqref="F63:L63 F64:J64">
    <cfRule type="cellIs" dxfId="723" priority="95" operator="greaterThan">
      <formula>6</formula>
    </cfRule>
  </conditionalFormatting>
  <conditionalFormatting sqref="F66:L70">
    <cfRule type="containsText" dxfId="722" priority="74" operator="containsText" text="RC">
      <formula>NOT(ISERROR(SEARCH("RC",F66)))</formula>
    </cfRule>
    <cfRule type="containsText" dxfId="721" priority="75" operator="containsText" text="CC">
      <formula>NOT(ISERROR(SEARCH("CC",F66)))</formula>
    </cfRule>
  </conditionalFormatting>
  <conditionalFormatting sqref="F84:L85">
    <cfRule type="containsText" dxfId="720" priority="70" operator="containsText" text="PL">
      <formula>NOT(ISERROR(SEARCH("PL",F84)))</formula>
    </cfRule>
    <cfRule type="containsText" dxfId="719" priority="71" operator="containsText" text="SW">
      <formula>NOT(ISERROR(SEARCH("SW",F84)))</formula>
    </cfRule>
    <cfRule type="containsText" dxfId="718" priority="72" operator="containsText" text="AT">
      <formula>NOT(ISERROR(SEARCH("AT",F84)))</formula>
    </cfRule>
    <cfRule type="containsText" dxfId="717" priority="73" operator="containsText" text="SS">
      <formula>NOT(ISERROR(SEARCH("SS",F84)))</formula>
    </cfRule>
  </conditionalFormatting>
  <conditionalFormatting sqref="F169:L169">
    <cfRule type="cellIs" dxfId="716" priority="93" operator="greaterThan">
      <formula>3</formula>
    </cfRule>
  </conditionalFormatting>
  <conditionalFormatting sqref="F171:L171">
    <cfRule type="cellIs" dxfId="715" priority="92" operator="greaterThan">
      <formula>4</formula>
    </cfRule>
  </conditionalFormatting>
  <conditionalFormatting sqref="G86">
    <cfRule type="containsText" dxfId="714" priority="54" operator="containsText" text="PL">
      <formula>NOT(ISERROR(SEARCH("PL",G86)))</formula>
    </cfRule>
    <cfRule type="containsText" dxfId="713" priority="55" operator="containsText" text="SW">
      <formula>NOT(ISERROR(SEARCH("SW",G86)))</formula>
    </cfRule>
    <cfRule type="containsText" dxfId="712" priority="56" operator="containsText" text="AT">
      <formula>NOT(ISERROR(SEARCH("AT",G86)))</formula>
    </cfRule>
    <cfRule type="containsText" dxfId="711" priority="57" operator="containsText" text="SS">
      <formula>NOT(ISERROR(SEARCH("SS",G86)))</formula>
    </cfRule>
  </conditionalFormatting>
  <conditionalFormatting sqref="I59">
    <cfRule type="containsText" dxfId="710" priority="19" operator="containsText" text="PAC">
      <formula>NOT(ISERROR(SEARCH("PAC",I59)))</formula>
    </cfRule>
    <cfRule type="containsText" dxfId="709" priority="20" operator="containsText" text="AAC">
      <formula>NOT(ISERROR(SEARCH("AAC",I59)))</formula>
    </cfRule>
    <cfRule type="containsText" dxfId="708" priority="21" operator="containsText" text="GC">
      <formula>NOT(ISERROR(SEARCH("GC",I59)))</formula>
    </cfRule>
    <cfRule type="containsText" dxfId="707" priority="22" operator="containsText" text="FC">
      <formula>NOT(ISERROR(SEARCH("FC",I59)))</formula>
    </cfRule>
    <cfRule type="containsText" dxfId="706" priority="23" operator="containsText" text="CC">
      <formula>NOT(ISERROR(SEARCH("CC",I59)))</formula>
    </cfRule>
    <cfRule type="containsText" dxfId="705" priority="24" operator="containsText" text="RC">
      <formula>NOT(ISERROR(SEARCH("RC",I59)))</formula>
    </cfRule>
    <cfRule type="containsText" dxfId="704" priority="25" operator="containsText" text="SSC">
      <formula>NOT(ISERROR(SEARCH("SSC",I59)))</formula>
    </cfRule>
    <cfRule type="containsText" dxfId="703" priority="26" operator="containsText" text="CSO">
      <formula>NOT(ISERROR(SEARCH("CSO",I59)))</formula>
    </cfRule>
  </conditionalFormatting>
  <conditionalFormatting sqref="K63:L64">
    <cfRule type="cellIs" dxfId="702" priority="84" operator="greaterThan">
      <formula>3</formula>
    </cfRule>
  </conditionalFormatting>
  <conditionalFormatting sqref="K86:L86">
    <cfRule type="containsText" dxfId="701" priority="58" operator="containsText" text="PL">
      <formula>NOT(ISERROR(SEARCH("PL",K86)))</formula>
    </cfRule>
    <cfRule type="containsText" dxfId="700" priority="59" operator="containsText" text="SW">
      <formula>NOT(ISERROR(SEARCH("SW",K86)))</formula>
    </cfRule>
    <cfRule type="containsText" dxfId="699" priority="60" operator="containsText" text="AT">
      <formula>NOT(ISERROR(SEARCH("AT",K86)))</formula>
    </cfRule>
    <cfRule type="containsText" dxfId="698" priority="61" operator="containsText" text="SS">
      <formula>NOT(ISERROR(SEARCH("SS",K86)))</formula>
    </cfRule>
  </conditionalFormatting>
  <conditionalFormatting sqref="K88:L89">
    <cfRule type="containsText" dxfId="697" priority="62" operator="containsText" text="PL">
      <formula>NOT(ISERROR(SEARCH("PL",K88)))</formula>
    </cfRule>
    <cfRule type="containsText" dxfId="696" priority="63" operator="containsText" text="SW">
      <formula>NOT(ISERROR(SEARCH("SW",K88)))</formula>
    </cfRule>
    <cfRule type="containsText" dxfId="695" priority="64" operator="containsText" text="AT">
      <formula>NOT(ISERROR(SEARCH("AT",K88)))</formula>
    </cfRule>
    <cfRule type="containsText" dxfId="694" priority="65" operator="containsText" text="SS">
      <formula>NOT(ISERROR(SEARCH("SS",K88)))</formula>
    </cfRule>
  </conditionalFormatting>
  <conditionalFormatting sqref="N39:N41">
    <cfRule type="containsText" dxfId="693" priority="175" operator="containsText" text="NAMIT">
      <formula>NOT(ISERROR(SEARCH("NAMIT",N39)))</formula>
    </cfRule>
  </conditionalFormatting>
  <conditionalFormatting sqref="O6:U6">
    <cfRule type="notContainsErrors" dxfId="692" priority="179">
      <formula>NOT(ISERROR(O6))</formula>
    </cfRule>
  </conditionalFormatting>
  <conditionalFormatting sqref="O7:U7 O38:U38">
    <cfRule type="notContainsErrors" dxfId="691" priority="174">
      <formula>NOT(ISERROR(O7))</formula>
    </cfRule>
  </conditionalFormatting>
  <conditionalFormatting sqref="O8:U8">
    <cfRule type="notContainsErrors" dxfId="690" priority="177">
      <formula>NOT(ISERROR(O8))</formula>
    </cfRule>
  </conditionalFormatting>
  <conditionalFormatting sqref="O9:U9">
    <cfRule type="notContainsErrors" dxfId="689" priority="188">
      <formula>NOT(ISERROR(O9))</formula>
    </cfRule>
  </conditionalFormatting>
  <conditionalFormatting sqref="O10:U10">
    <cfRule type="notContainsErrors" dxfId="688" priority="169">
      <formula>NOT(ISERROR(O10))</formula>
    </cfRule>
  </conditionalFormatting>
  <conditionalFormatting sqref="O18:U18">
    <cfRule type="notContainsErrors" dxfId="687" priority="187">
      <formula>NOT(ISERROR(O18))</formula>
    </cfRule>
  </conditionalFormatting>
  <conditionalFormatting sqref="O37:U37">
    <cfRule type="notContainsErrors" dxfId="686" priority="180">
      <formula>NOT(ISERROR(O37))</formula>
    </cfRule>
  </conditionalFormatting>
  <conditionalFormatting sqref="O39:U39">
    <cfRule type="notContainsErrors" dxfId="685" priority="178">
      <formula>NOT(ISERROR(O39))</formula>
    </cfRule>
  </conditionalFormatting>
  <conditionalFormatting sqref="O40:U40">
    <cfRule type="notContainsErrors" dxfId="684" priority="171">
      <formula>NOT(ISERROR(O40))</formula>
    </cfRule>
  </conditionalFormatting>
  <conditionalFormatting sqref="O41:U41">
    <cfRule type="notContainsErrors" dxfId="683" priority="173">
      <formula>NOT(ISERROR(O41))</formula>
    </cfRule>
  </conditionalFormatting>
  <conditionalFormatting sqref="O49:U49">
    <cfRule type="notContainsErrors" dxfId="682" priority="172">
      <formula>NOT(ISERROR(O49))</formula>
    </cfRule>
  </conditionalFormatting>
  <conditionalFormatting sqref="O66:U66">
    <cfRule type="notContainsErrors" dxfId="681" priority="170">
      <formula>NOT(ISERROR(O66))</formula>
    </cfRule>
  </conditionalFormatting>
  <conditionalFormatting sqref="O76:U76">
    <cfRule type="notContainsErrors" dxfId="680" priority="176">
      <formula>NOT(ISERROR(O76))</formula>
    </cfRule>
  </conditionalFormatting>
  <conditionalFormatting sqref="V131:V1048576 P234:U1048576">
    <cfRule type="containsText" dxfId="679" priority="181" operator="containsText" text="SW">
      <formula>NOT(ISERROR(SEARCH("SW",P131)))</formula>
    </cfRule>
    <cfRule type="containsText" dxfId="678" priority="182" operator="containsText" text="FL">
      <formula>NOT(ISERROR(SEARCH("FL",P131)))</formula>
    </cfRule>
    <cfRule type="containsText" dxfId="677" priority="183" operator="containsText" text="FT">
      <formula>NOT(ISERROR(SEARCH("FT",P131)))</formula>
    </cfRule>
    <cfRule type="containsText" dxfId="676" priority="184" operator="containsText" text="SS">
      <formula>NOT(ISERROR(SEARCH("SS",P131)))</formula>
    </cfRule>
    <cfRule type="containsText" dxfId="675" priority="185" operator="containsText" text="GR">
      <formula>NOT(ISERROR(SEARCH("GR",P131)))</formula>
    </cfRule>
    <cfRule type="containsText" dxfId="674" priority="186" operator="containsText" text="GO">
      <formula>NOT(ISERROR(SEARCH("GO",P131)))</formula>
    </cfRule>
  </conditionalFormatting>
  <dataValidations count="1">
    <dataValidation type="list" allowBlank="1" showInputMessage="1" sqref="F133:L134 J135:L140 F112:G130 G135:H140 H113:H130 I112:J130 K113:L130" xr:uid="{45631137-C780-3F46-BBC6-009DAEBB5669}">
      <formula1>#REF!</formula1>
    </dataValidation>
  </dataValidations>
  <pageMargins left="0.7" right="0.7" top="0.75" bottom="0.75" header="0.3" footer="0.3"/>
  <pageSetup paperSize="9" scale="6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3F1FF-5136-464C-953E-716955441E36}">
  <sheetPr>
    <tabColor theme="0"/>
    <pageSetUpPr fitToPage="1"/>
  </sheetPr>
  <dimension ref="A1:W290"/>
  <sheetViews>
    <sheetView zoomScaleNormal="100" workbookViewId="0">
      <pane ySplit="4" topLeftCell="C82" activePane="bottomLeft" state="frozen"/>
      <selection pane="bottomLeft" activeCell="L71" sqref="L71"/>
    </sheetView>
  </sheetViews>
  <sheetFormatPr defaultColWidth="10.875" defaultRowHeight="14.25"/>
  <cols>
    <col min="1" max="2" width="10.875" style="56" hidden="1" customWidth="1"/>
    <col min="3" max="3" width="14.625" style="56" customWidth="1"/>
    <col min="4" max="4" width="15.5" style="72" customWidth="1"/>
    <col min="5" max="5" width="10.875" style="68" customWidth="1"/>
    <col min="6" max="6" width="10.875" style="66" customWidth="1"/>
    <col min="7" max="12" width="10.875" style="64" customWidth="1"/>
    <col min="13" max="13" width="10.875" style="56" customWidth="1"/>
    <col min="14" max="14" width="10.875" style="89" customWidth="1"/>
    <col min="15" max="15" width="10.875" style="112" customWidth="1"/>
    <col min="16" max="21" width="10.875" style="89" customWidth="1"/>
    <col min="22" max="23" width="10.875" style="34" customWidth="1"/>
    <col min="24" max="24" width="10.875" style="56" customWidth="1"/>
    <col min="25" max="16384" width="10.875" style="56"/>
  </cols>
  <sheetData>
    <row r="1" spans="1:23" ht="14.1" customHeight="1" thickBot="1">
      <c r="D1" s="57"/>
      <c r="E1" s="58"/>
      <c r="F1" s="59" t="str">
        <f t="shared" ref="F1:L1" si="0">CONCATENATE(F168,"-",F169,"-",F170,"-",F171,"-",F172)</f>
        <v>14-0-15-0-8</v>
      </c>
      <c r="G1" s="59" t="str">
        <f t="shared" si="0"/>
        <v>14-1-16-1-8</v>
      </c>
      <c r="H1" s="59" t="str">
        <f t="shared" si="0"/>
        <v>13-0-13-2-8</v>
      </c>
      <c r="I1" s="59" t="str">
        <f t="shared" si="0"/>
        <v>15-0-14-2-8</v>
      </c>
      <c r="J1" s="59" t="str">
        <f t="shared" si="0"/>
        <v>16-0-15-1-9</v>
      </c>
      <c r="K1" s="59" t="str">
        <f t="shared" si="0"/>
        <v>14-0-12-1-8</v>
      </c>
      <c r="L1" s="59" t="str">
        <f t="shared" si="0"/>
        <v>15-0-11-1-9</v>
      </c>
      <c r="O1" s="89" t="str">
        <f t="shared" ref="O1:U1" si="1">F1</f>
        <v>14-0-15-0-8</v>
      </c>
      <c r="P1" s="89" t="str">
        <f t="shared" si="1"/>
        <v>14-1-16-1-8</v>
      </c>
      <c r="Q1" s="89" t="str">
        <f t="shared" si="1"/>
        <v>13-0-13-2-8</v>
      </c>
      <c r="R1" s="89" t="str">
        <f t="shared" si="1"/>
        <v>15-0-14-2-8</v>
      </c>
      <c r="S1" s="89" t="str">
        <f t="shared" si="1"/>
        <v>16-0-15-1-9</v>
      </c>
      <c r="T1" s="89" t="str">
        <f t="shared" si="1"/>
        <v>14-0-12-1-8</v>
      </c>
      <c r="U1" s="89" t="str">
        <f t="shared" si="1"/>
        <v>15-0-11-1-9</v>
      </c>
    </row>
    <row r="2" spans="1:23" ht="14.1" customHeight="1" thickBot="1">
      <c r="C2" s="1" t="s">
        <v>0</v>
      </c>
      <c r="D2" s="1" t="s">
        <v>0</v>
      </c>
      <c r="E2" s="58"/>
      <c r="F2" s="802">
        <v>9</v>
      </c>
      <c r="G2" s="802"/>
      <c r="H2" s="802"/>
      <c r="I2" s="802"/>
      <c r="J2" s="802"/>
      <c r="K2" s="802"/>
      <c r="L2" s="802"/>
      <c r="O2" s="754">
        <f>F2</f>
        <v>9</v>
      </c>
      <c r="P2" s="755"/>
      <c r="Q2" s="755"/>
      <c r="R2" s="755"/>
      <c r="S2" s="755"/>
      <c r="T2" s="755"/>
      <c r="U2" s="756"/>
    </row>
    <row r="3" spans="1:23" ht="14.1" customHeight="1">
      <c r="A3" s="56" t="s">
        <v>297</v>
      </c>
      <c r="B3" s="56" t="s">
        <v>298</v>
      </c>
      <c r="C3" s="494" t="s">
        <v>299</v>
      </c>
      <c r="D3" s="494" t="s">
        <v>300</v>
      </c>
      <c r="E3" s="69" t="s">
        <v>5</v>
      </c>
      <c r="F3" s="22" t="s">
        <v>6</v>
      </c>
      <c r="G3" s="23" t="s">
        <v>7</v>
      </c>
      <c r="H3" s="23" t="s">
        <v>8</v>
      </c>
      <c r="I3" s="23" t="s">
        <v>9</v>
      </c>
      <c r="J3" s="23" t="s">
        <v>10</v>
      </c>
      <c r="K3" s="23" t="s">
        <v>11</v>
      </c>
      <c r="L3" s="24" t="s">
        <v>12</v>
      </c>
      <c r="O3" s="90" t="s">
        <v>6</v>
      </c>
      <c r="P3" s="91" t="s">
        <v>7</v>
      </c>
      <c r="Q3" s="91" t="s">
        <v>8</v>
      </c>
      <c r="R3" s="91" t="s">
        <v>9</v>
      </c>
      <c r="S3" s="91" t="s">
        <v>10</v>
      </c>
      <c r="T3" s="91" t="s">
        <v>11</v>
      </c>
      <c r="U3" s="92" t="s">
        <v>12</v>
      </c>
    </row>
    <row r="4" spans="1:23" ht="14.1" customHeight="1" thickBot="1">
      <c r="B4" s="56" t="s">
        <v>13</v>
      </c>
      <c r="C4" s="25"/>
      <c r="D4" s="25"/>
      <c r="E4" s="77"/>
      <c r="F4" s="26">
        <v>46111</v>
      </c>
      <c r="G4" s="27">
        <v>46112</v>
      </c>
      <c r="H4" s="27">
        <v>46113</v>
      </c>
      <c r="I4" s="27">
        <v>46114</v>
      </c>
      <c r="J4" s="27">
        <v>46115</v>
      </c>
      <c r="K4" s="27">
        <v>46116</v>
      </c>
      <c r="L4" s="27">
        <v>46117</v>
      </c>
      <c r="N4" s="93"/>
      <c r="O4" s="94">
        <f t="shared" ref="O4:U4" si="2">F4</f>
        <v>46111</v>
      </c>
      <c r="P4" s="95">
        <f t="shared" si="2"/>
        <v>46112</v>
      </c>
      <c r="Q4" s="95">
        <f t="shared" si="2"/>
        <v>46113</v>
      </c>
      <c r="R4" s="95">
        <f t="shared" si="2"/>
        <v>46114</v>
      </c>
      <c r="S4" s="95">
        <f t="shared" si="2"/>
        <v>46115</v>
      </c>
      <c r="T4" s="95">
        <f t="shared" si="2"/>
        <v>46116</v>
      </c>
      <c r="U4" s="96">
        <f t="shared" si="2"/>
        <v>46117</v>
      </c>
    </row>
    <row r="5" spans="1:23" ht="14.1" customHeight="1" thickBot="1">
      <c r="C5" s="2"/>
      <c r="D5" s="2"/>
      <c r="E5" s="81"/>
      <c r="F5" s="201"/>
      <c r="G5" s="60"/>
      <c r="H5" s="60"/>
      <c r="I5" s="60"/>
      <c r="J5" s="219" t="s">
        <v>20</v>
      </c>
      <c r="K5" s="219" t="s">
        <v>21</v>
      </c>
      <c r="L5" s="220" t="s">
        <v>22</v>
      </c>
      <c r="O5" s="757" t="s">
        <v>301</v>
      </c>
      <c r="P5" s="758"/>
      <c r="Q5" s="758"/>
      <c r="R5" s="758"/>
      <c r="S5" s="758"/>
      <c r="T5" s="758"/>
      <c r="U5" s="759"/>
      <c r="W5" s="34" t="s">
        <v>302</v>
      </c>
    </row>
    <row r="6" spans="1:23" ht="14.1" customHeight="1">
      <c r="C6" s="315" t="s">
        <v>26</v>
      </c>
      <c r="D6" s="315" t="s">
        <v>26</v>
      </c>
      <c r="E6" s="495"/>
      <c r="F6" s="317"/>
      <c r="G6" s="318"/>
      <c r="H6" s="318"/>
      <c r="I6" s="318"/>
      <c r="J6" s="318"/>
      <c r="K6" s="318"/>
      <c r="L6" s="319"/>
      <c r="N6" s="97" t="s">
        <v>303</v>
      </c>
      <c r="O6" s="98" t="str">
        <f t="shared" ref="O6:U6" si="3">INDEX($C7:$L187,MATCH("*AGC*",F7:F190,0),1)</f>
        <v>JACKIE SMS</v>
      </c>
      <c r="P6" s="99" t="str">
        <f t="shared" si="3"/>
        <v>TARA J. SMS</v>
      </c>
      <c r="Q6" s="99" t="str">
        <f t="shared" si="3"/>
        <v>ANDREW H SMS</v>
      </c>
      <c r="R6" s="99" t="str">
        <f t="shared" si="3"/>
        <v>CHAMARA SMS</v>
      </c>
      <c r="S6" s="99" t="str">
        <f t="shared" si="3"/>
        <v>ANASTASIA SMS</v>
      </c>
      <c r="T6" s="99" t="str">
        <f t="shared" si="3"/>
        <v>YAN SMS</v>
      </c>
      <c r="U6" s="100" t="str">
        <f t="shared" si="3"/>
        <v>TARA J. SMS</v>
      </c>
      <c r="V6" s="34" t="s">
        <v>287</v>
      </c>
      <c r="W6" s="101"/>
    </row>
    <row r="7" spans="1:23" ht="14.1" customHeight="1">
      <c r="C7" s="496" t="s">
        <v>304</v>
      </c>
      <c r="D7" s="497" t="s">
        <v>27</v>
      </c>
      <c r="E7" s="498">
        <v>625982</v>
      </c>
      <c r="F7" s="569" t="s">
        <v>28</v>
      </c>
      <c r="G7" s="570"/>
      <c r="H7" s="570"/>
      <c r="I7" s="570"/>
      <c r="J7" s="570"/>
      <c r="K7" s="570"/>
      <c r="L7" s="571"/>
      <c r="N7" s="499" t="s">
        <v>305</v>
      </c>
      <c r="O7" s="102" t="str">
        <f t="shared" ref="O7:U7" si="4">INDEX($C7:$L187,MATCH("*AAC",F7:F189,0),1)</f>
        <v>YAN SMS</v>
      </c>
      <c r="P7" s="500" t="str">
        <f t="shared" si="4"/>
        <v>SCOTT SMS</v>
      </c>
      <c r="Q7" s="500" t="str">
        <f t="shared" si="4"/>
        <v>MAUREEN SMS</v>
      </c>
      <c r="R7" s="500" t="str">
        <f t="shared" si="4"/>
        <v>ABI SMS</v>
      </c>
      <c r="S7" s="500" t="str">
        <f t="shared" si="4"/>
        <v>RAMI SMS</v>
      </c>
      <c r="T7" s="500" t="str">
        <f t="shared" si="4"/>
        <v>SUSAN SMS</v>
      </c>
      <c r="U7" s="501" t="str">
        <f t="shared" si="4"/>
        <v>VARUNA SMS</v>
      </c>
      <c r="V7" s="34" t="s">
        <v>286</v>
      </c>
      <c r="W7" s="101"/>
    </row>
    <row r="8" spans="1:23" ht="14.1" customHeight="1">
      <c r="C8" s="497" t="s">
        <v>306</v>
      </c>
      <c r="D8" s="83" t="s">
        <v>29</v>
      </c>
      <c r="E8" s="502">
        <v>628936</v>
      </c>
      <c r="F8" s="211"/>
      <c r="G8" s="62" t="s">
        <v>33</v>
      </c>
      <c r="H8" s="62" t="s">
        <v>33</v>
      </c>
      <c r="I8" s="62" t="s">
        <v>38</v>
      </c>
      <c r="J8" s="221" t="s">
        <v>39</v>
      </c>
      <c r="K8" s="675"/>
      <c r="L8" s="696"/>
      <c r="N8" s="503" t="s">
        <v>307</v>
      </c>
      <c r="O8" s="102" t="str">
        <f t="shared" ref="O8:U8" si="5">INDEX($C7:$L187,MATCH("*ARC*",F7:F190,0),1)</f>
        <v>MICHAEL SMS</v>
      </c>
      <c r="P8" s="500" t="str">
        <f t="shared" si="5"/>
        <v>STEVE T SMS</v>
      </c>
      <c r="Q8" s="500" t="str">
        <f t="shared" si="5"/>
        <v>QING SMS</v>
      </c>
      <c r="R8" s="500" t="str">
        <f t="shared" si="5"/>
        <v>JON SMS</v>
      </c>
      <c r="S8" s="500" t="str">
        <f t="shared" si="5"/>
        <v>YAN SMS</v>
      </c>
      <c r="T8" s="500" t="str">
        <f t="shared" si="5"/>
        <v>VARUNA SMS</v>
      </c>
      <c r="U8" s="501" t="str">
        <f t="shared" si="5"/>
        <v>QING SMS</v>
      </c>
      <c r="V8" s="34" t="s">
        <v>285</v>
      </c>
      <c r="W8" s="101"/>
    </row>
    <row r="9" spans="1:23" ht="14.1" customHeight="1">
      <c r="C9" s="504" t="s">
        <v>308</v>
      </c>
      <c r="D9" s="723" t="s">
        <v>42</v>
      </c>
      <c r="E9" s="502">
        <v>628576</v>
      </c>
      <c r="F9" s="572" t="s">
        <v>31</v>
      </c>
      <c r="G9" s="573"/>
      <c r="H9" s="573"/>
      <c r="I9" s="573"/>
      <c r="J9" s="573"/>
      <c r="K9" s="573"/>
      <c r="L9" s="574"/>
      <c r="N9" s="505" t="s">
        <v>309</v>
      </c>
      <c r="O9" s="102" t="str">
        <f t="shared" ref="O9:U9" si="6">INDEX($C7:$L187,MATCH("*ASSC*",F7:F190,0),1)</f>
        <v>SINDY SMS</v>
      </c>
      <c r="P9" s="500" t="str">
        <f t="shared" si="6"/>
        <v>BRAD SMS</v>
      </c>
      <c r="Q9" s="500" t="str">
        <f t="shared" si="6"/>
        <v>ANDY L  SMS</v>
      </c>
      <c r="R9" s="500" t="str">
        <f t="shared" si="6"/>
        <v xml:space="preserve">RACHEL SMS </v>
      </c>
      <c r="S9" s="500" t="str">
        <f t="shared" si="6"/>
        <v>HELEN SMS</v>
      </c>
      <c r="T9" s="500" t="str">
        <f t="shared" si="6"/>
        <v>MICHELLE SMS</v>
      </c>
      <c r="U9" s="501" t="str">
        <f t="shared" si="6"/>
        <v>SUSAN SMS</v>
      </c>
      <c r="V9" s="34" t="s">
        <v>289</v>
      </c>
      <c r="W9" s="101"/>
    </row>
    <row r="10" spans="1:23" ht="14.1" customHeight="1">
      <c r="C10" s="504" t="s">
        <v>310</v>
      </c>
      <c r="D10" s="497" t="s">
        <v>45</v>
      </c>
      <c r="E10" s="506">
        <v>632647</v>
      </c>
      <c r="F10" s="572" t="s">
        <v>31</v>
      </c>
      <c r="G10" s="573"/>
      <c r="H10" s="573"/>
      <c r="I10" s="573"/>
      <c r="J10" s="573"/>
      <c r="K10" s="573"/>
      <c r="L10" s="574"/>
      <c r="N10" s="507" t="s">
        <v>311</v>
      </c>
      <c r="O10" s="102" t="str">
        <f t="shared" ref="O10:U10" si="7">INDEX($C6:$L186,MATCH("*ACC*",F6:F182,0),1)</f>
        <v>JULIA SMS</v>
      </c>
      <c r="P10" s="500" t="e">
        <f t="shared" si="7"/>
        <v>#N/A</v>
      </c>
      <c r="Q10" s="500" t="str">
        <f t="shared" si="7"/>
        <v>SAM CMO</v>
      </c>
      <c r="R10" s="500" t="str">
        <f t="shared" si="7"/>
        <v>PATRICK SR</v>
      </c>
      <c r="S10" s="500" t="str">
        <f t="shared" si="7"/>
        <v>ANDRE SMS</v>
      </c>
      <c r="T10" s="500" t="e">
        <f t="shared" si="7"/>
        <v>#N/A</v>
      </c>
      <c r="U10" s="501" t="str">
        <f t="shared" si="7"/>
        <v>SAM CMO</v>
      </c>
      <c r="V10" s="34" t="s">
        <v>288</v>
      </c>
      <c r="W10" s="101"/>
    </row>
    <row r="11" spans="1:23" ht="14.1" customHeight="1">
      <c r="C11" s="497" t="s">
        <v>312</v>
      </c>
      <c r="D11" s="497" t="s">
        <v>48</v>
      </c>
      <c r="E11" s="502">
        <v>279110</v>
      </c>
      <c r="F11" s="572" t="s">
        <v>31</v>
      </c>
      <c r="G11" s="573"/>
      <c r="H11" s="573"/>
      <c r="I11" s="573"/>
      <c r="J11" s="573"/>
      <c r="K11" s="573"/>
      <c r="L11" s="574"/>
      <c r="N11" s="733" t="s">
        <v>313</v>
      </c>
      <c r="O11" s="774" t="str" cm="1">
        <f t="array" ref="O11">_xlfn.TEXTJOIN(CHAR(10),TRUE,IF(F7:F110="0800-1800 AFC",$C7:$C110,""),IF(F7:F110="0800-1730 AFC",$C7:$C110,""),IF(F7:F110="0800-1800",$C7:$C110,""),IF(F7:F110="0800-1730",$C7:$C110,""))</f>
        <v>SHIV IR
CHRISTOPHER JR
JEROME JR</v>
      </c>
      <c r="P11" s="775" t="str" cm="1">
        <f t="array" ref="P11">_xlfn.TEXTJOIN(CHAR(10),TRUE,IF(G7:G110="0800-1800 AFC",$C7:$C110,""),IF(G7:G110="0800-1730 AFC",$C7:$C110,""),IF(G7:G110="0800-1800",$C7:$C110,""),IF(G7:G110="0800-1730",$C7:$C110,""))</f>
        <v>CLARE IR
CHRISTOPHER JR
CRAIG JR
JEROME JR</v>
      </c>
      <c r="Q11" s="775" t="str" cm="1">
        <f t="array" ref="Q11">_xlfn.TEXTJOIN(CHAR(10),TRUE,IF(H7:H110="0800-1800 AFC",$C7:$C110,""),IF(H7:H110="0800-1730 AFC",$C7:$C110,""),IF(H7:H110="0800-1800",$C7:$C110,""),IF(H7:H110="0800-1730",$C7:$C110,""))</f>
        <v>HELEN SMS
TITUS CMO</v>
      </c>
      <c r="R11" s="775" t="str" cm="1">
        <f t="array" ref="R11">_xlfn.TEXTJOIN(CHAR(10),TRUE,IF(I7:I110="0800-1800 AFC",$C7:$C110,""),IF(I7:I110="0800-1730 AFC",$C7:$C110,""),IF(I7:I110="0800-1800",$C7:$C110,""),IF(I7:I110="0800-1730",$C7:$C110,""))</f>
        <v>HANNAH IR
JOSHUA IR
CHRISTOPHER JR</v>
      </c>
      <c r="S11" s="775" t="str" cm="1">
        <f t="array" ref="S11">_xlfn.TEXTJOIN(CHAR(10),TRUE,IF(J7:J110="0800-1800 AFC",$C7:$C110,""),IF(J7:J110="0800-1730 AFC",$C7:$C110,""),IF(J7:J110="0800-1800",$C7:$C110,""),IF(J7:J110="0800-1730",$C7:$C110,""))</f>
        <v>HANNAH IR
JOSHUA IR
CHRISTOPHER JR
JEROME JR</v>
      </c>
      <c r="T11" s="775" t="str" cm="1">
        <f t="array" ref="T11">_xlfn.TEXTJOIN(CHAR(10),TRUE,IF(K7:K110="0800-1800 AFC",$C7:$C110,""),IF(K7:K110="0800-1730 AFC",$C7:$C110,""),IF(K7:K110="0800-1800",$C7:$C110,""),IF(K7:K110="0800-1730",$C7:$C110,""))</f>
        <v>MILES SR
MIKHAR IR
POH JR
JEROME JR</v>
      </c>
      <c r="U11" s="775" t="str" cm="1">
        <f t="array" ref="U11">_xlfn.TEXTJOIN(CHAR(10),TRUE,IF(L7:L110="0800-1800 AFC",$C7:$C110,""),IF(L7:L110="0800-1730 AFC",$C7:$C110,""),IF(L7:L110="0800-1800",$C7:$C110,""),IF(L7:L110="0800-1730",$C7:$C110,""))</f>
        <v>MILES SR
MIKHAR IR
POH JR
JEROME JR</v>
      </c>
      <c r="W11" s="772">
        <v>7</v>
      </c>
    </row>
    <row r="12" spans="1:23" ht="14.1" customHeight="1">
      <c r="C12" s="497" t="s">
        <v>314</v>
      </c>
      <c r="D12" s="497" t="s">
        <v>49</v>
      </c>
      <c r="E12" s="502">
        <v>213322</v>
      </c>
      <c r="F12" s="575"/>
      <c r="G12" s="565" t="s">
        <v>37</v>
      </c>
      <c r="H12" s="565" t="s">
        <v>38</v>
      </c>
      <c r="I12" s="565"/>
      <c r="J12" s="675" t="s">
        <v>39</v>
      </c>
      <c r="K12" s="675"/>
      <c r="L12" s="696"/>
      <c r="N12" s="734"/>
      <c r="O12" s="774"/>
      <c r="P12" s="775"/>
      <c r="Q12" s="775"/>
      <c r="R12" s="775"/>
      <c r="S12" s="775"/>
      <c r="T12" s="775"/>
      <c r="U12" s="775"/>
      <c r="W12" s="772"/>
    </row>
    <row r="13" spans="1:23" ht="14.1" customHeight="1">
      <c r="C13" s="497" t="s">
        <v>315</v>
      </c>
      <c r="D13" s="497" t="s">
        <v>51</v>
      </c>
      <c r="E13" s="502">
        <v>602997</v>
      </c>
      <c r="F13" s="572" t="s">
        <v>31</v>
      </c>
      <c r="G13" s="573"/>
      <c r="H13" s="573"/>
      <c r="I13" s="573"/>
      <c r="J13" s="573"/>
      <c r="K13" s="573"/>
      <c r="L13" s="574"/>
      <c r="N13" s="734"/>
      <c r="O13" s="774"/>
      <c r="P13" s="775"/>
      <c r="Q13" s="775"/>
      <c r="R13" s="775"/>
      <c r="S13" s="775"/>
      <c r="T13" s="775"/>
      <c r="U13" s="775"/>
      <c r="W13" s="772"/>
    </row>
    <row r="14" spans="1:23" ht="14.1" customHeight="1">
      <c r="C14" s="504" t="s">
        <v>316</v>
      </c>
      <c r="D14" s="504" t="s">
        <v>55</v>
      </c>
      <c r="E14" s="502">
        <v>646459</v>
      </c>
      <c r="F14" s="575"/>
      <c r="G14" s="566"/>
      <c r="H14" s="566" t="s">
        <v>37</v>
      </c>
      <c r="I14" s="566" t="s">
        <v>34</v>
      </c>
      <c r="J14" s="576" t="s">
        <v>39</v>
      </c>
      <c r="K14" s="675"/>
      <c r="L14" s="696" t="s">
        <v>37</v>
      </c>
      <c r="N14" s="734"/>
      <c r="O14" s="774"/>
      <c r="P14" s="775"/>
      <c r="Q14" s="775"/>
      <c r="R14" s="775"/>
      <c r="S14" s="775"/>
      <c r="T14" s="775"/>
      <c r="U14" s="775"/>
      <c r="W14" s="772"/>
    </row>
    <row r="15" spans="1:23" ht="14.1" customHeight="1">
      <c r="C15" s="497" t="s">
        <v>318</v>
      </c>
      <c r="D15" s="504" t="s">
        <v>56</v>
      </c>
      <c r="E15" s="502">
        <v>632594</v>
      </c>
      <c r="F15" s="575"/>
      <c r="G15" s="565"/>
      <c r="H15" s="565"/>
      <c r="I15" s="565" t="s">
        <v>47</v>
      </c>
      <c r="J15" s="675" t="s">
        <v>39</v>
      </c>
      <c r="K15" s="675" t="s">
        <v>36</v>
      </c>
      <c r="L15" s="675" t="s">
        <v>34</v>
      </c>
      <c r="N15" s="734"/>
      <c r="O15" s="774"/>
      <c r="P15" s="775"/>
      <c r="Q15" s="775"/>
      <c r="R15" s="775"/>
      <c r="S15" s="775"/>
      <c r="T15" s="775"/>
      <c r="U15" s="775"/>
      <c r="W15" s="772"/>
    </row>
    <row r="16" spans="1:23" ht="14.1" customHeight="1">
      <c r="C16" s="497" t="s">
        <v>319</v>
      </c>
      <c r="D16" s="497" t="s">
        <v>58</v>
      </c>
      <c r="E16" s="502">
        <v>541622</v>
      </c>
      <c r="F16" s="582"/>
      <c r="G16" s="576"/>
      <c r="H16" s="576"/>
      <c r="I16" s="565" t="s">
        <v>50</v>
      </c>
      <c r="J16" s="675" t="s">
        <v>43</v>
      </c>
      <c r="K16" s="675" t="s">
        <v>38</v>
      </c>
      <c r="L16" s="675" t="s">
        <v>35</v>
      </c>
      <c r="N16" s="734"/>
      <c r="O16" s="774"/>
      <c r="P16" s="775"/>
      <c r="Q16" s="775"/>
      <c r="R16" s="775"/>
      <c r="S16" s="775"/>
      <c r="T16" s="775"/>
      <c r="U16" s="775"/>
      <c r="W16" s="772"/>
    </row>
    <row r="17" spans="3:23" ht="14.1" customHeight="1">
      <c r="C17" s="504" t="s">
        <v>320</v>
      </c>
      <c r="D17" s="504" t="s">
        <v>59</v>
      </c>
      <c r="E17" s="508">
        <v>614941</v>
      </c>
      <c r="F17" s="582" t="s">
        <v>62</v>
      </c>
      <c r="G17" s="576"/>
      <c r="H17" s="583"/>
      <c r="I17" s="203"/>
      <c r="J17" s="576"/>
      <c r="K17" s="576"/>
      <c r="L17" s="579"/>
      <c r="N17" s="773"/>
      <c r="O17" s="774"/>
      <c r="P17" s="775"/>
      <c r="Q17" s="775"/>
      <c r="R17" s="775"/>
      <c r="S17" s="775"/>
      <c r="T17" s="775"/>
      <c r="U17" s="775"/>
      <c r="W17" s="772"/>
    </row>
    <row r="18" spans="3:23" ht="14.1" customHeight="1">
      <c r="C18" s="497" t="s">
        <v>321</v>
      </c>
      <c r="D18" s="497" t="s">
        <v>63</v>
      </c>
      <c r="E18" s="502">
        <v>600989</v>
      </c>
      <c r="F18" s="582" t="s">
        <v>62</v>
      </c>
      <c r="G18" s="576"/>
      <c r="H18" s="583"/>
      <c r="I18" s="203"/>
      <c r="J18" s="576"/>
      <c r="K18" s="576"/>
      <c r="L18" s="579"/>
      <c r="N18" s="510" t="s">
        <v>322</v>
      </c>
      <c r="O18" s="102" t="str">
        <f t="shared" ref="O18:U18" si="8">INDEX($C7:$L187,MATCH("*AHJ*",F7:F190,0),1)</f>
        <v>MASON HMO</v>
      </c>
      <c r="P18" s="102" t="str">
        <f t="shared" si="8"/>
        <v>ANKUSH HMO</v>
      </c>
      <c r="Q18" s="102" t="str">
        <f t="shared" si="8"/>
        <v>WILL HMO</v>
      </c>
      <c r="R18" s="102" t="str">
        <f t="shared" si="8"/>
        <v>BRIER HMO</v>
      </c>
      <c r="S18" s="102" t="str">
        <f t="shared" si="8"/>
        <v>DEVUNI HMO</v>
      </c>
      <c r="T18" s="102" t="str">
        <f t="shared" si="8"/>
        <v>MASON HMO</v>
      </c>
      <c r="U18" s="102" t="str">
        <f t="shared" si="8"/>
        <v>PIN HMO</v>
      </c>
      <c r="V18" s="34" t="s">
        <v>323</v>
      </c>
      <c r="W18" s="89">
        <v>1</v>
      </c>
    </row>
    <row r="19" spans="3:23" ht="14.1" customHeight="1">
      <c r="C19" s="511" t="s">
        <v>324</v>
      </c>
      <c r="D19" s="497" t="s">
        <v>64</v>
      </c>
      <c r="E19" s="502">
        <v>628578</v>
      </c>
      <c r="F19" s="591" t="s">
        <v>342</v>
      </c>
      <c r="G19" s="590"/>
      <c r="H19" s="210" t="s">
        <v>342</v>
      </c>
      <c r="I19" s="210" t="s">
        <v>342</v>
      </c>
      <c r="J19" s="675" t="s">
        <v>39</v>
      </c>
      <c r="K19" s="576"/>
      <c r="L19" s="697"/>
      <c r="N19" s="776" t="s">
        <v>325</v>
      </c>
      <c r="O19" s="777" t="str" cm="1">
        <f t="array" ref="O19">_xlfn.TEXTJOIN(CHAR(10),TRUE,_xlfn._xlws.FILTER($C7:$C183,RIGHT(F7:F183,LEN("ASSJ"))="ASSJ",""))</f>
        <v>HARRISON HMO</v>
      </c>
      <c r="P19" s="750" t="str" cm="1">
        <f t="array" ref="P19">_xlfn.TEXTJOIN(CHAR(10),TRUE,_xlfn._xlws.FILTER($C7:$C183,RIGHT(G7:G183,LEN("ASSJ"))="ASSJ",""))</f>
        <v>WILL HMO</v>
      </c>
      <c r="Q19" s="750" t="str" cm="1">
        <f t="array" ref="Q19">_xlfn.TEXTJOIN(CHAR(10),TRUE,_xlfn._xlws.FILTER($C7:$C183,RIGHT(H7:H183,LEN("ASSJ"))="ASSJ",""))</f>
        <v>ZOBIA HMO</v>
      </c>
      <c r="R19" s="750" t="str" cm="1">
        <f t="array" ref="R19">_xlfn.TEXTJOIN(CHAR(10),TRUE,_xlfn._xlws.FILTER($C7:$C183,RIGHT(I7:I183,LEN("ASSJ"))="ASSJ",""))</f>
        <v>PIN HMO</v>
      </c>
      <c r="S19" s="750" t="str" cm="1">
        <f t="array" ref="S19">_xlfn.TEXTJOIN(CHAR(10),TRUE,_xlfn._xlws.FILTER($C7:$C183,RIGHT(J7:J183,LEN("ASSJ"))="ASSJ",""))</f>
        <v>CHRIS HMO</v>
      </c>
      <c r="T19" s="750" t="str" cm="1">
        <f t="array" ref="T19">_xlfn.TEXTJOIN(CHAR(10),TRUE,_xlfn._xlws.FILTER($C7:$C183,RIGHT(K7:K183,LEN("ASSJ"))="ASSJ",""))</f>
        <v>AREEBA HMO</v>
      </c>
      <c r="U19" s="788" t="str" cm="1">
        <f t="array" ref="U19">_xlfn.TEXTJOIN(CHAR(10),TRUE,_xlfn._xlws.FILTER($C7:$C183,RIGHT(L7:L183,LEN("ASSJ"))="ASSJ",""))</f>
        <v>MASON HMO</v>
      </c>
      <c r="V19" s="34" t="s">
        <v>326</v>
      </c>
      <c r="W19" s="772">
        <v>2</v>
      </c>
    </row>
    <row r="20" spans="3:23" ht="14.1" customHeight="1">
      <c r="C20" s="497" t="s">
        <v>327</v>
      </c>
      <c r="D20" s="504" t="s">
        <v>68</v>
      </c>
      <c r="E20" s="512">
        <v>628603</v>
      </c>
      <c r="F20" s="582"/>
      <c r="G20" s="565" t="s">
        <v>36</v>
      </c>
      <c r="H20" s="565" t="s">
        <v>33</v>
      </c>
      <c r="I20" s="565" t="s">
        <v>43</v>
      </c>
      <c r="J20" s="675" t="s">
        <v>46</v>
      </c>
      <c r="K20" s="675"/>
      <c r="L20" s="696"/>
      <c r="N20" s="776"/>
      <c r="O20" s="777"/>
      <c r="P20" s="750"/>
      <c r="Q20" s="750"/>
      <c r="R20" s="750"/>
      <c r="S20" s="750"/>
      <c r="T20" s="750"/>
      <c r="U20" s="788"/>
      <c r="W20" s="772"/>
    </row>
    <row r="21" spans="3:23" ht="14.1" customHeight="1">
      <c r="C21" s="513" t="s">
        <v>329</v>
      </c>
      <c r="D21" s="504" t="s">
        <v>71</v>
      </c>
      <c r="E21" s="113">
        <v>631416</v>
      </c>
      <c r="F21" s="575"/>
      <c r="G21" s="565"/>
      <c r="H21" s="576"/>
      <c r="I21" s="204"/>
      <c r="J21" s="675"/>
      <c r="K21" s="675" t="s">
        <v>34</v>
      </c>
      <c r="L21" s="675" t="s">
        <v>38</v>
      </c>
      <c r="N21" s="733" t="s">
        <v>330</v>
      </c>
      <c r="O21" s="777" t="str" cm="1">
        <f t="array" ref="O21">_xlfn.TEXTJOIN(CHAR(10),TRUE,IF(F111:F183="0800-1730",$C111:$C183,""))</f>
        <v>LISA HMO
WATHSALA HMO
Jason INT
Jayce INT</v>
      </c>
      <c r="P21" s="750" t="str" cm="1">
        <f t="array" ref="P21">_xlfn.TEXTJOIN(CHAR(10),TRUE,IF(G111:G183="0800-1730",$C111:$C183,""))</f>
        <v>ZOBIA HMO
TRAM HMO
Jason INT
May INT</v>
      </c>
      <c r="Q21" s="750" t="str" cm="1">
        <f t="array" ref="Q21">_xlfn.TEXTJOIN(CHAR(10),TRUE,IF(H111:H183="0800-1730",$C111:$C183,""))</f>
        <v>BRIER HMO
SHUNING HMO
Nathan INT
Jean-Luc INT</v>
      </c>
      <c r="R21" s="750" t="str" cm="1">
        <f t="array" ref="R21">_xlfn.TEXTJOIN(CHAR(10),TRUE,IF(I111:I183="0800-1730",$C111:$C183,""))</f>
        <v>AARON B. HMO
ZOBIA HMO
Nathan INT
Jean-Luc INT
Jayce INT</v>
      </c>
      <c r="S21" s="750" t="str" cm="1">
        <f t="array" ref="S21">_xlfn.TEXTJOIN(CHAR(10),TRUE,IF(J111:J183="0800-1730",$C111:$C183,""))</f>
        <v>AARON B. HMO
WILL HMO
Nathan INT
Iolanda INT
Jayce INT</v>
      </c>
      <c r="T21" s="750" t="str" cm="1">
        <f t="array" ref="T21">_xlfn.TEXTJOIN(CHAR(10),TRUE,IF(K111:K183="0800-1730",$C111:$C183,""))</f>
        <v>PIN HMO
WATHSALA HMO
Iolanda INT
Jean-Luc INT</v>
      </c>
      <c r="U21" s="750" t="str" cm="1">
        <f t="array" ref="U21">_xlfn.TEXTJOIN(CHAR(10),TRUE,IF(L111:L183="0800-1730",$C111:$C183,""))</f>
        <v>BRENDAN HMO
WATHSALA HMO
Iolanda INT
Jean-Luc INT</v>
      </c>
      <c r="W21" s="772">
        <v>7</v>
      </c>
    </row>
    <row r="22" spans="3:23" ht="14.1" customHeight="1">
      <c r="C22" s="80" t="s">
        <v>331</v>
      </c>
      <c r="D22" s="514" t="s">
        <v>73</v>
      </c>
      <c r="E22" s="515">
        <v>613670</v>
      </c>
      <c r="F22" s="582" t="s">
        <v>74</v>
      </c>
      <c r="G22" s="576"/>
      <c r="H22" s="576"/>
      <c r="I22" s="576"/>
      <c r="J22" s="576"/>
      <c r="K22" s="576"/>
      <c r="L22" s="579"/>
      <c r="N22" s="734"/>
      <c r="O22" s="777"/>
      <c r="P22" s="750"/>
      <c r="Q22" s="750"/>
      <c r="R22" s="750"/>
      <c r="S22" s="750"/>
      <c r="T22" s="750"/>
      <c r="U22" s="750"/>
      <c r="W22" s="772"/>
    </row>
    <row r="23" spans="3:23" ht="14.1" customHeight="1">
      <c r="C23" s="511" t="s">
        <v>332</v>
      </c>
      <c r="D23" s="504" t="s">
        <v>76</v>
      </c>
      <c r="E23" s="516">
        <v>621988</v>
      </c>
      <c r="F23" s="685" t="s">
        <v>78</v>
      </c>
      <c r="G23" s="686"/>
      <c r="H23" s="686"/>
      <c r="I23" s="686"/>
      <c r="J23" s="686"/>
      <c r="K23" s="686"/>
      <c r="L23" s="687"/>
      <c r="N23" s="734"/>
      <c r="O23" s="777"/>
      <c r="P23" s="750"/>
      <c r="Q23" s="750"/>
      <c r="R23" s="750"/>
      <c r="S23" s="750"/>
      <c r="T23" s="750"/>
      <c r="U23" s="750"/>
      <c r="W23" s="772"/>
    </row>
    <row r="24" spans="3:23" ht="14.1" customHeight="1">
      <c r="C24" s="497" t="s">
        <v>333</v>
      </c>
      <c r="D24" s="497" t="s">
        <v>79</v>
      </c>
      <c r="E24" s="502">
        <v>609408</v>
      </c>
      <c r="F24" s="575" t="s">
        <v>580</v>
      </c>
      <c r="G24" s="565" t="s">
        <v>46</v>
      </c>
      <c r="H24" s="565" t="s">
        <v>57</v>
      </c>
      <c r="I24" s="565"/>
      <c r="J24" s="675" t="s">
        <v>39</v>
      </c>
      <c r="K24" s="675"/>
      <c r="L24" s="696"/>
      <c r="N24" s="734"/>
      <c r="O24" s="777"/>
      <c r="P24" s="750"/>
      <c r="Q24" s="750"/>
      <c r="R24" s="750"/>
      <c r="S24" s="750"/>
      <c r="T24" s="750"/>
      <c r="U24" s="750"/>
      <c r="W24" s="772"/>
    </row>
    <row r="25" spans="3:23" ht="14.1" customHeight="1">
      <c r="C25" s="511" t="s">
        <v>334</v>
      </c>
      <c r="D25" s="497" t="s">
        <v>81</v>
      </c>
      <c r="E25" s="516">
        <v>632646</v>
      </c>
      <c r="F25" s="587" t="s">
        <v>77</v>
      </c>
      <c r="G25" s="588"/>
      <c r="H25" s="588"/>
      <c r="I25" s="588"/>
      <c r="J25" s="588"/>
      <c r="K25" s="588"/>
      <c r="L25" s="579"/>
      <c r="N25" s="734"/>
      <c r="O25" s="777"/>
      <c r="P25" s="750"/>
      <c r="Q25" s="750"/>
      <c r="R25" s="750"/>
      <c r="S25" s="750"/>
      <c r="T25" s="750"/>
      <c r="U25" s="750"/>
      <c r="W25" s="772"/>
    </row>
    <row r="26" spans="3:23" ht="14.1" customHeight="1">
      <c r="C26" s="511" t="s">
        <v>335</v>
      </c>
      <c r="D26" s="497" t="s">
        <v>82</v>
      </c>
      <c r="E26" s="517">
        <v>634491</v>
      </c>
      <c r="F26" s="585" t="s">
        <v>33</v>
      </c>
      <c r="G26" s="586"/>
      <c r="H26" s="679" t="s">
        <v>581</v>
      </c>
      <c r="I26" s="586"/>
      <c r="J26" s="698"/>
      <c r="K26" s="698"/>
      <c r="L26" s="696"/>
      <c r="N26" s="734"/>
      <c r="O26" s="777"/>
      <c r="P26" s="750"/>
      <c r="Q26" s="750"/>
      <c r="R26" s="750"/>
      <c r="S26" s="750"/>
      <c r="T26" s="750"/>
      <c r="U26" s="750"/>
      <c r="W26" s="772"/>
    </row>
    <row r="27" spans="3:23" ht="14.1" customHeight="1" thickBot="1">
      <c r="C27" s="518" t="s">
        <v>83</v>
      </c>
      <c r="D27" s="518" t="s">
        <v>336</v>
      </c>
      <c r="E27" s="519"/>
      <c r="F27" s="316"/>
      <c r="G27" s="378"/>
      <c r="H27" s="378"/>
      <c r="I27" s="378"/>
      <c r="J27" s="378"/>
      <c r="K27" s="378"/>
      <c r="L27" s="319"/>
      <c r="N27" s="773"/>
      <c r="O27" s="777"/>
      <c r="P27" s="750"/>
      <c r="Q27" s="750"/>
      <c r="R27" s="750"/>
      <c r="S27" s="750"/>
      <c r="T27" s="750"/>
      <c r="U27" s="750"/>
      <c r="W27" s="772"/>
    </row>
    <row r="28" spans="3:23" ht="14.1" customHeight="1">
      <c r="C28" s="497" t="s">
        <v>337</v>
      </c>
      <c r="D28" s="497" t="s">
        <v>84</v>
      </c>
      <c r="E28" s="502">
        <v>502961</v>
      </c>
      <c r="F28" s="575" t="s">
        <v>85</v>
      </c>
      <c r="G28" s="565" t="s">
        <v>92</v>
      </c>
      <c r="H28" s="565"/>
      <c r="I28" s="565"/>
      <c r="J28" s="675"/>
      <c r="K28" s="675"/>
      <c r="L28" s="696"/>
      <c r="N28" s="778" t="s">
        <v>338</v>
      </c>
      <c r="O28" s="781" t="str" cm="1">
        <f t="array" ref="O28">_xlfn.TEXTJOIN(CHAR(10),TRUE,_xlfn._xlws.FILTER($C7:$C183,RIGHT(F7:F183,LEN("SWA"))="SWA",""))</f>
        <v/>
      </c>
      <c r="P28" s="770" t="str" cm="1">
        <f t="array" ref="P28">_xlfn.TEXTJOIN(CHAR(10),TRUE,_xlfn._xlws.FILTER($C7:$C183,RIGHT(G7:G183,LEN("SWA"))="SWA",""))</f>
        <v>Nathan INT</v>
      </c>
      <c r="Q28" s="770" t="str" cm="1">
        <f t="array" ref="Q28">_xlfn.TEXTJOIN(CHAR(10),TRUE,_xlfn._xlws.FILTER($C7:$C183,RIGHT(H7:H183,LEN("SWA"))="SWA",""))</f>
        <v/>
      </c>
      <c r="R28" s="770" t="str" cm="1">
        <f t="array" ref="R28">_xlfn.TEXTJOIN(CHAR(10),TRUE,_xlfn._xlws.FILTER($C7:$C183,RIGHT(I7:I183,LEN("SWA"))="SWA",""))</f>
        <v/>
      </c>
      <c r="S28" s="770" t="str" cm="1">
        <f t="array" ref="S28">_xlfn.TEXTJOIN(CHAR(10),TRUE,_xlfn._xlws.FILTER($C7:$C183,RIGHT(J7:J183,LEN("SWA"))="SWA",""))</f>
        <v/>
      </c>
      <c r="T28" s="770" t="str" cm="1">
        <f t="array" ref="T28">_xlfn.TEXTJOIN(CHAR(10),TRUE,_xlfn._xlws.FILTER($C7:$C183,RIGHT(K7:K183,LEN("SWA"))="SWA",""))</f>
        <v/>
      </c>
      <c r="U28" s="771" t="str" cm="1">
        <f t="array" ref="U28">_xlfn.TEXTJOIN(CHAR(10),TRUE,_xlfn._xlws.FILTER($C7:$C183,RIGHT(L7:L183,LEN("SWA"))="SWA",""))</f>
        <v/>
      </c>
      <c r="V28" s="34" t="s">
        <v>339</v>
      </c>
      <c r="W28" s="772">
        <v>3</v>
      </c>
    </row>
    <row r="29" spans="3:23" ht="14.1" customHeight="1">
      <c r="C29" s="497" t="s">
        <v>340</v>
      </c>
      <c r="D29" s="497" t="s">
        <v>96</v>
      </c>
      <c r="E29" s="502">
        <v>601096</v>
      </c>
      <c r="F29" s="589"/>
      <c r="G29" s="590" t="s">
        <v>43</v>
      </c>
      <c r="H29" s="590" t="s">
        <v>35</v>
      </c>
      <c r="I29" s="565"/>
      <c r="J29" s="699" t="s">
        <v>39</v>
      </c>
      <c r="K29" s="675"/>
      <c r="L29" s="675" t="s">
        <v>43</v>
      </c>
      <c r="N29" s="779"/>
      <c r="O29" s="782"/>
      <c r="P29" s="740"/>
      <c r="Q29" s="740"/>
      <c r="R29" s="740"/>
      <c r="S29" s="740"/>
      <c r="T29" s="740"/>
      <c r="U29" s="764"/>
      <c r="W29" s="772"/>
    </row>
    <row r="30" spans="3:23" ht="14.1" customHeight="1" thickBot="1">
      <c r="C30" s="497" t="s">
        <v>341</v>
      </c>
      <c r="D30" s="497" t="s">
        <v>97</v>
      </c>
      <c r="E30" s="502">
        <v>260509</v>
      </c>
      <c r="F30" s="582"/>
      <c r="G30" s="565" t="s">
        <v>34</v>
      </c>
      <c r="H30" s="565" t="s">
        <v>33</v>
      </c>
      <c r="I30" s="565"/>
      <c r="J30" s="675" t="s">
        <v>32</v>
      </c>
      <c r="K30" s="675"/>
      <c r="L30" s="696"/>
      <c r="N30" s="780"/>
      <c r="O30" s="783"/>
      <c r="P30" s="741"/>
      <c r="Q30" s="741"/>
      <c r="R30" s="741"/>
      <c r="S30" s="741"/>
      <c r="T30" s="741"/>
      <c r="U30" s="765"/>
      <c r="W30" s="772"/>
    </row>
    <row r="31" spans="3:23" ht="14.1" customHeight="1" thickBot="1">
      <c r="C31" s="504" t="s">
        <v>343</v>
      </c>
      <c r="D31" s="504" t="s">
        <v>99</v>
      </c>
      <c r="E31" s="502">
        <v>603237</v>
      </c>
      <c r="F31" s="576"/>
      <c r="G31" s="565" t="s">
        <v>40</v>
      </c>
      <c r="H31" s="578" t="s">
        <v>531</v>
      </c>
      <c r="I31" s="565"/>
      <c r="J31" s="675" t="s">
        <v>39</v>
      </c>
      <c r="K31" s="675"/>
      <c r="L31" s="675" t="s">
        <v>36</v>
      </c>
      <c r="N31" s="101"/>
      <c r="O31" s="101"/>
      <c r="P31" s="101"/>
      <c r="Q31" s="101"/>
      <c r="R31" s="101"/>
      <c r="S31" s="101"/>
      <c r="T31" s="101"/>
      <c r="U31" s="101"/>
      <c r="V31" s="101"/>
      <c r="W31" s="101"/>
    </row>
    <row r="32" spans="3:23" ht="14.1" customHeight="1">
      <c r="C32" s="520" t="s">
        <v>344</v>
      </c>
      <c r="D32" s="520" t="s">
        <v>101</v>
      </c>
      <c r="E32" s="502">
        <v>613781</v>
      </c>
      <c r="F32" s="592" t="s">
        <v>98</v>
      </c>
      <c r="G32" s="593"/>
      <c r="H32" s="593"/>
      <c r="I32" s="593"/>
      <c r="J32" s="593"/>
      <c r="K32" s="593"/>
      <c r="L32" s="594"/>
      <c r="N32" s="103" t="s">
        <v>345</v>
      </c>
      <c r="O32" s="98" t="str">
        <f>F61</f>
        <v>REZA</v>
      </c>
      <c r="P32" s="98" t="str">
        <f>G61</f>
        <v>REZA</v>
      </c>
      <c r="Q32" s="98" t="str">
        <f t="shared" ref="Q32:S32" si="9">H61</f>
        <v>VALERIE</v>
      </c>
      <c r="R32" s="98" t="str">
        <f t="shared" si="9"/>
        <v>REZA</v>
      </c>
      <c r="S32" s="249" t="str">
        <f t="shared" si="9"/>
        <v>ALISHA PHNW</v>
      </c>
      <c r="T32" s="99"/>
      <c r="U32" s="100"/>
      <c r="W32" s="89"/>
    </row>
    <row r="33" spans="3:23" ht="14.1" customHeight="1" thickBot="1">
      <c r="C33" s="497" t="s">
        <v>346</v>
      </c>
      <c r="D33" s="497" t="s">
        <v>102</v>
      </c>
      <c r="E33" s="502">
        <v>611691</v>
      </c>
      <c r="F33" s="576"/>
      <c r="G33" s="565"/>
      <c r="H33" s="565" t="s">
        <v>40</v>
      </c>
      <c r="I33" s="565" t="s">
        <v>35</v>
      </c>
      <c r="J33" s="675" t="s">
        <v>39</v>
      </c>
      <c r="K33" s="675"/>
      <c r="L33" s="675"/>
      <c r="N33" s="909" t="s">
        <v>347</v>
      </c>
      <c r="O33" s="521" t="str" cm="1">
        <f t="array" ref="O33">_xlfn.TEXTJOIN(CHAR(10),TRUE,_xlfn._xlws.FILTER($C7:$C183,RIGHT(F7:F183,LEN("CSO"))="CSO",""))</f>
        <v>TARA K. SMS</v>
      </c>
      <c r="P33" s="910" t="str" cm="1">
        <f t="array" ref="P33">_xlfn.TEXTJOIN(CHAR(10),TRUE,_xlfn._xlws.FILTER($C7:$C183,RIGHT(G7:G183,LEN("CSO"))="CSO",""))</f>
        <v>JON SMS</v>
      </c>
      <c r="Q33" s="910" t="str" cm="1">
        <f t="array" ref="Q33">_xlfn.TEXTJOIN(CHAR(10),TRUE,_xlfn._xlws.FILTER($C7:$C183,RIGHT(H7:H183,LEN("CSO"))="CSO",""))</f>
        <v>QAIS SMS</v>
      </c>
      <c r="R33" s="910" t="str" cm="1">
        <f t="array" ref="R33">_xlfn.TEXTJOIN(CHAR(10),TRUE,_xlfn._xlws.FILTER($C7:$C183,RIGHT(I7:I183,LEN("CSO"))="CSO",""))</f>
        <v>ANASTASIA SMS</v>
      </c>
      <c r="S33" s="910" t="str" cm="1">
        <f t="array" ref="S33">_xlfn.TEXTJOIN(CHAR(10),TRUE,_xlfn._xlws.FILTER($C7:$C183,RIGHT(J7:J183,LEN("CSO"))="CSO",""))</f>
        <v/>
      </c>
      <c r="T33" s="910"/>
      <c r="U33" s="911"/>
      <c r="W33" s="89"/>
    </row>
    <row r="34" spans="3:23" ht="14.1" customHeight="1" thickBot="1">
      <c r="C34" s="497" t="s">
        <v>348</v>
      </c>
      <c r="D34" s="504" t="s">
        <v>103</v>
      </c>
      <c r="E34" s="502">
        <v>634258</v>
      </c>
      <c r="F34" s="575" t="s">
        <v>36</v>
      </c>
      <c r="G34" s="65" t="s">
        <v>50</v>
      </c>
      <c r="H34" s="565"/>
      <c r="I34" s="565" t="s">
        <v>521</v>
      </c>
      <c r="J34" s="675"/>
      <c r="K34" s="675"/>
      <c r="L34" s="696"/>
      <c r="O34" s="89"/>
      <c r="W34" s="89"/>
    </row>
    <row r="35" spans="3:23" ht="14.1" customHeight="1" thickBot="1">
      <c r="C35" s="504" t="s">
        <v>349</v>
      </c>
      <c r="D35" s="504" t="s">
        <v>104</v>
      </c>
      <c r="E35" s="506">
        <v>618946</v>
      </c>
      <c r="F35" s="575"/>
      <c r="G35" s="565" t="s">
        <v>47</v>
      </c>
      <c r="H35" s="576"/>
      <c r="I35" s="565" t="s">
        <v>36</v>
      </c>
      <c r="J35" s="675" t="s">
        <v>39</v>
      </c>
      <c r="K35" s="675"/>
      <c r="L35" s="576"/>
      <c r="O35" s="784" t="s">
        <v>350</v>
      </c>
      <c r="P35" s="785"/>
      <c r="Q35" s="785"/>
      <c r="R35" s="785"/>
      <c r="S35" s="785"/>
      <c r="T35" s="785"/>
      <c r="U35" s="786"/>
      <c r="W35" s="89" t="s">
        <v>351</v>
      </c>
    </row>
    <row r="36" spans="3:23" ht="14.1" customHeight="1">
      <c r="C36" s="504" t="s">
        <v>352</v>
      </c>
      <c r="D36" s="504" t="s">
        <v>109</v>
      </c>
      <c r="E36" s="502">
        <v>634702</v>
      </c>
      <c r="F36" s="592" t="s">
        <v>98</v>
      </c>
      <c r="G36" s="593"/>
      <c r="H36" s="593"/>
      <c r="I36" s="593"/>
      <c r="J36" s="593"/>
      <c r="K36" s="675"/>
      <c r="L36" s="697"/>
      <c r="N36" s="104" t="s">
        <v>303</v>
      </c>
      <c r="O36" s="105" t="str">
        <f t="shared" ref="O36:U36" si="10">INDEX($C7:$L187,MATCH("*Pgc",F7:F190,0),1)</f>
        <v>JON SMS</v>
      </c>
      <c r="P36" s="99" t="str">
        <f t="shared" si="10"/>
        <v>CHAMARA SMS</v>
      </c>
      <c r="Q36" s="99" t="str">
        <f t="shared" si="10"/>
        <v>RAMI SMS</v>
      </c>
      <c r="R36" s="99" t="str">
        <f t="shared" si="10"/>
        <v>SCOTT SMS</v>
      </c>
      <c r="S36" s="99" t="str">
        <f t="shared" si="10"/>
        <v>JULIA SMS</v>
      </c>
      <c r="T36" s="99" t="str">
        <f t="shared" si="10"/>
        <v>ABI SMS</v>
      </c>
      <c r="U36" s="100" t="str">
        <f t="shared" si="10"/>
        <v>BRAD SMS</v>
      </c>
      <c r="V36" s="34" t="s">
        <v>293</v>
      </c>
      <c r="W36" s="772">
        <v>5</v>
      </c>
    </row>
    <row r="37" spans="3:23" ht="14.1" customHeight="1">
      <c r="C37" s="78" t="s">
        <v>353</v>
      </c>
      <c r="D37" s="504" t="s">
        <v>110</v>
      </c>
      <c r="E37" s="498">
        <v>648587</v>
      </c>
      <c r="F37" s="575"/>
      <c r="G37" s="65"/>
      <c r="H37" s="65" t="s">
        <v>50</v>
      </c>
      <c r="I37" s="65"/>
      <c r="J37" s="675" t="s">
        <v>38</v>
      </c>
      <c r="K37" s="675" t="s">
        <v>35</v>
      </c>
      <c r="L37" s="697"/>
      <c r="N37" s="522" t="s">
        <v>305</v>
      </c>
      <c r="O37" s="523" t="str">
        <f t="shared" ref="O37:U37" si="11">INDEX($C7:$L187,MATCH("*PAC",F7:F189,0),1)</f>
        <v>BARRY SMS</v>
      </c>
      <c r="P37" s="500" t="str">
        <f t="shared" si="11"/>
        <v>JACKIE SMS</v>
      </c>
      <c r="Q37" s="500" t="str">
        <f t="shared" si="11"/>
        <v>STEVE T SMS</v>
      </c>
      <c r="R37" s="500" t="str">
        <f t="shared" si="11"/>
        <v>JAMES SMS</v>
      </c>
      <c r="S37" s="500" t="str">
        <f t="shared" si="11"/>
        <v>QAIS SMS</v>
      </c>
      <c r="T37" s="500" t="str">
        <f t="shared" si="11"/>
        <v>ANASTASIA SMS</v>
      </c>
      <c r="U37" s="501" t="str">
        <f t="shared" si="11"/>
        <v>JIMMY SMS</v>
      </c>
      <c r="V37" s="34" t="s">
        <v>292</v>
      </c>
      <c r="W37" s="772"/>
    </row>
    <row r="38" spans="3:23" ht="14.1" customHeight="1">
      <c r="C38" s="78" t="s">
        <v>354</v>
      </c>
      <c r="D38" s="504" t="s">
        <v>111</v>
      </c>
      <c r="E38" s="498">
        <v>637933</v>
      </c>
      <c r="F38" s="576"/>
      <c r="G38" s="578" t="s">
        <v>317</v>
      </c>
      <c r="H38" s="576"/>
      <c r="I38" s="576" t="s">
        <v>33</v>
      </c>
      <c r="J38" s="675" t="s">
        <v>34</v>
      </c>
      <c r="K38" s="675"/>
      <c r="L38" s="696"/>
      <c r="N38" s="524" t="s">
        <v>307</v>
      </c>
      <c r="O38" s="523" t="e">
        <f t="shared" ref="O38:U38" si="12">INDEX($C7:$L187,MATCH("*PRC",F7:F190,0),1)</f>
        <v>#N/A</v>
      </c>
      <c r="P38" s="500" t="str">
        <f t="shared" si="12"/>
        <v>SINDY SMS</v>
      </c>
      <c r="Q38" s="500" t="str">
        <f t="shared" si="12"/>
        <v>TARA J. SMS</v>
      </c>
      <c r="R38" s="500" t="str">
        <f t="shared" si="12"/>
        <v>ANDY L  SMS</v>
      </c>
      <c r="S38" s="500" t="str">
        <f t="shared" si="12"/>
        <v>TARA K. SMS</v>
      </c>
      <c r="T38" s="500" t="str">
        <f t="shared" si="12"/>
        <v>QAIS SMS</v>
      </c>
      <c r="U38" s="501" t="str">
        <f t="shared" si="12"/>
        <v>ANASTASIA SMS</v>
      </c>
      <c r="V38" s="34" t="s">
        <v>291</v>
      </c>
      <c r="W38" s="772"/>
    </row>
    <row r="39" spans="3:23" ht="14.1" customHeight="1">
      <c r="C39" s="504" t="s">
        <v>355</v>
      </c>
      <c r="D39" s="504" t="s">
        <v>112</v>
      </c>
      <c r="E39" s="506">
        <v>634394</v>
      </c>
      <c r="F39" s="581" t="s">
        <v>47</v>
      </c>
      <c r="G39" s="66"/>
      <c r="H39" s="566"/>
      <c r="I39" s="566"/>
      <c r="J39" s="675" t="s">
        <v>37</v>
      </c>
      <c r="K39" s="675" t="s">
        <v>43</v>
      </c>
      <c r="L39" s="696"/>
      <c r="N39" s="525" t="s">
        <v>309</v>
      </c>
      <c r="O39" s="523" t="str">
        <f t="shared" ref="O39:U39" si="13">INDEX($C7:$L187,MATCH("*PSSC",F7:F190,0),1)</f>
        <v>RAMI SMS</v>
      </c>
      <c r="P39" s="500" t="str">
        <f t="shared" si="13"/>
        <v>ANDRE SMS</v>
      </c>
      <c r="Q39" s="500" t="e">
        <f t="shared" si="13"/>
        <v>#N/A</v>
      </c>
      <c r="R39" s="500" t="str">
        <f t="shared" si="13"/>
        <v>QING SMS</v>
      </c>
      <c r="S39" s="500" t="str">
        <f t="shared" si="13"/>
        <v>DANIEL SMS</v>
      </c>
      <c r="T39" s="500" t="str">
        <f t="shared" si="13"/>
        <v>JIMMY SMS</v>
      </c>
      <c r="U39" s="501" t="str">
        <f t="shared" si="13"/>
        <v>ABI SMS</v>
      </c>
      <c r="V39" s="34" t="s">
        <v>295</v>
      </c>
      <c r="W39" s="772"/>
    </row>
    <row r="40" spans="3:23" ht="14.1" customHeight="1">
      <c r="C40" s="497" t="s">
        <v>356</v>
      </c>
      <c r="D40" s="526" t="s">
        <v>113</v>
      </c>
      <c r="E40" s="502">
        <v>605686</v>
      </c>
      <c r="F40" s="611" t="s">
        <v>32</v>
      </c>
      <c r="G40" s="600"/>
      <c r="H40" s="602" t="s">
        <v>531</v>
      </c>
      <c r="I40" s="600"/>
      <c r="J40" s="675" t="s">
        <v>36</v>
      </c>
      <c r="K40" s="700"/>
      <c r="L40" s="701"/>
      <c r="N40" s="527" t="s">
        <v>357</v>
      </c>
      <c r="O40" s="523" t="str">
        <f t="shared" ref="O40:U40" si="14">INDEX($C7:$L213,MATCH("*PCC*",F7:F201,0),1)</f>
        <v>DENNIS SR</v>
      </c>
      <c r="P40" s="500" t="str">
        <f t="shared" si="14"/>
        <v>MICHAEL SMS</v>
      </c>
      <c r="Q40" s="500" t="e">
        <f>INDEX($C7:$L213,MATCH("*PCC*",H7:H198,0),1)</f>
        <v>#N/A</v>
      </c>
      <c r="R40" s="500" t="str">
        <f t="shared" si="14"/>
        <v>BEN SMS</v>
      </c>
      <c r="S40" s="500" t="str">
        <f t="shared" si="14"/>
        <v>CHAMARA SMS</v>
      </c>
      <c r="T40" s="500" t="e">
        <f t="shared" si="14"/>
        <v>#N/A</v>
      </c>
      <c r="U40" s="501" t="e">
        <f t="shared" si="14"/>
        <v>#N/A</v>
      </c>
      <c r="V40" s="34" t="s">
        <v>294</v>
      </c>
      <c r="W40" s="772"/>
    </row>
    <row r="41" spans="3:23" ht="14.1" customHeight="1">
      <c r="C41" s="79" t="s">
        <v>358</v>
      </c>
      <c r="D41" s="497" t="s">
        <v>114</v>
      </c>
      <c r="E41" s="502">
        <v>119385</v>
      </c>
      <c r="F41" s="566"/>
      <c r="G41" s="566"/>
      <c r="H41" s="566"/>
      <c r="I41" s="565"/>
      <c r="J41" s="675"/>
      <c r="K41" s="675" t="s">
        <v>47</v>
      </c>
      <c r="L41" s="675" t="s">
        <v>40</v>
      </c>
      <c r="N41" s="789" t="s">
        <v>360</v>
      </c>
      <c r="O41" s="787" t="str" cm="1">
        <f t="array" ref="O41">_xlfn.TEXTJOIN(CHAR(10),TRUE,IF(F7:F110="1430-0000 PFC",$C7:$C110,""),IF(F7:F110="1400-0000 PFC",$C7:$C110,""),IF(F7:F110="1430-0000",$C7:$C110,""))</f>
        <v>AMY SR
HANNAH IR
JOSHUA IR</v>
      </c>
      <c r="P41" s="750" t="str" cm="1">
        <f t="array" ref="P41">_xlfn.TEXTJOIN(CHAR(10),TRUE,IF(G7:G110="1430-0000 PFC",$C7:$C110,""),IF(G7:G110="1400-0000 PFC",$C7:$C110,""),IF(G7:G110="1430-0000",$C7:$C110,""))</f>
        <v>MILES SR
DENNIS SR
HANNAH IR
JOSHUA IR</v>
      </c>
      <c r="Q41" s="750" t="str" cm="1">
        <f t="array" ref="Q41">_xlfn.TEXTJOIN(CHAR(10),TRUE,IF(H7:H110="1430-0000 PFC",$C7:$C110,""),IF(H7:H110="1400-0000 PFC",$C7:$C110,""),IF(H7:H110="1430-0000",$C7:$C110,""))</f>
        <v>AMY SR
MIKHAR IR
CLARE IR</v>
      </c>
      <c r="R41" s="750" t="str" cm="1">
        <f t="array" ref="R41">_xlfn.TEXTJOIN(CHAR(10),TRUE,IF(I7:I110="1430-0000 PFC",$C7:$C110,""),IF(I7:I110="1400-0000 PFC",$C7:$C110,""),IF(I7:I110="1430-0000",$C7:$C110,""))</f>
        <v>TITUS CMO
AMY SR
MIKHAR IR
ISOBEL JR</v>
      </c>
      <c r="S41" s="750" t="str" cm="1">
        <f t="array" ref="S41">_xlfn.TEXTJOIN(CHAR(10),TRUE,IF(J7:J110="1430-0000 PFC",$C7:$C110,""),IF(J7:J110="1400-0000 PFC",$C7:$C110,""),IF(J7:J110="1430-0000",$C7:$C110,""))</f>
        <v>TITUS CMO
AMY SR
RACHEL JR</v>
      </c>
      <c r="T41" s="750" t="str" cm="1">
        <f t="array" ref="T41">_xlfn.TEXTJOIN(CHAR(10),TRUE,IF(K7:K110="1430-0000 PFC",$C7:$C110,""),IF(K7:K110="1400-0000 PFC",$C7:$C110,""),IF(K7:K110="1430-0000",$C7:$C110,""))</f>
        <v>SALEEM CMO
RACHEL JR</v>
      </c>
      <c r="U41" s="788" t="str" cm="1">
        <f t="array" ref="U41">_xlfn.TEXTJOIN(CHAR(10),TRUE,IF(L7:L110="1430-0000 PFC",$C7:$C110,""),IF(L7:L110="1400-0000 PFC",$C7:$C110,""),IF(L7:L110="1430-0000",$C7:$C110,""))</f>
        <v>SALEEM CMO
SYLVIA JR
RACHEL JR</v>
      </c>
      <c r="W41" s="772">
        <v>7</v>
      </c>
    </row>
    <row r="42" spans="3:23" ht="14.1" customHeight="1">
      <c r="C42" s="504" t="s">
        <v>361</v>
      </c>
      <c r="D42" s="504" t="s">
        <v>116</v>
      </c>
      <c r="E42" s="502">
        <v>623962</v>
      </c>
      <c r="F42" s="575"/>
      <c r="G42" s="65"/>
      <c r="H42" s="65"/>
      <c r="I42" s="65"/>
      <c r="J42" s="675"/>
      <c r="K42" s="675" t="s">
        <v>37</v>
      </c>
      <c r="L42" s="675" t="s">
        <v>47</v>
      </c>
      <c r="N42" s="790"/>
      <c r="O42" s="787"/>
      <c r="P42" s="750"/>
      <c r="Q42" s="750"/>
      <c r="R42" s="750"/>
      <c r="S42" s="750"/>
      <c r="T42" s="750"/>
      <c r="U42" s="788"/>
      <c r="W42" s="772"/>
    </row>
    <row r="43" spans="3:23" ht="14.1" customHeight="1">
      <c r="C43" s="497" t="s">
        <v>362</v>
      </c>
      <c r="D43" s="504" t="s">
        <v>117</v>
      </c>
      <c r="E43" s="508">
        <v>613725</v>
      </c>
      <c r="F43" s="572" t="s">
        <v>31</v>
      </c>
      <c r="G43" s="573"/>
      <c r="H43" s="573"/>
      <c r="I43" s="573"/>
      <c r="J43" s="573"/>
      <c r="K43" s="573"/>
      <c r="L43" s="574"/>
      <c r="N43" s="790"/>
      <c r="O43" s="787"/>
      <c r="P43" s="750"/>
      <c r="Q43" s="750"/>
      <c r="R43" s="750"/>
      <c r="S43" s="750"/>
      <c r="T43" s="750"/>
      <c r="U43" s="788"/>
      <c r="W43" s="772"/>
    </row>
    <row r="44" spans="3:23" ht="14.1" customHeight="1">
      <c r="C44" s="497" t="s">
        <v>363</v>
      </c>
      <c r="D44" s="504" t="s">
        <v>118</v>
      </c>
      <c r="E44" s="516">
        <v>612264</v>
      </c>
      <c r="F44" s="575"/>
      <c r="G44" s="565"/>
      <c r="H44" s="565"/>
      <c r="I44" s="565" t="s">
        <v>46</v>
      </c>
      <c r="J44" s="675" t="s">
        <v>39</v>
      </c>
      <c r="K44" s="675"/>
      <c r="L44" s="696"/>
      <c r="N44" s="790"/>
      <c r="O44" s="787"/>
      <c r="P44" s="750"/>
      <c r="Q44" s="750"/>
      <c r="R44" s="750"/>
      <c r="S44" s="750"/>
      <c r="T44" s="750"/>
      <c r="U44" s="788"/>
      <c r="W44" s="772"/>
    </row>
    <row r="45" spans="3:23" ht="14.1" customHeight="1">
      <c r="C45" s="497" t="s">
        <v>364</v>
      </c>
      <c r="D45" s="497" t="s">
        <v>119</v>
      </c>
      <c r="E45" s="502">
        <v>643950</v>
      </c>
      <c r="F45" s="572" t="s">
        <v>31</v>
      </c>
      <c r="G45" s="573"/>
      <c r="H45" s="573"/>
      <c r="I45" s="573"/>
      <c r="J45" s="573"/>
      <c r="K45" s="573"/>
      <c r="L45" s="574"/>
      <c r="N45" s="790"/>
      <c r="O45" s="787"/>
      <c r="P45" s="750"/>
      <c r="Q45" s="750"/>
      <c r="R45" s="750"/>
      <c r="S45" s="750"/>
      <c r="T45" s="750"/>
      <c r="U45" s="788"/>
      <c r="W45" s="772"/>
    </row>
    <row r="46" spans="3:23" ht="14.1" customHeight="1">
      <c r="C46" s="79" t="s">
        <v>365</v>
      </c>
      <c r="D46" s="723" t="s">
        <v>120</v>
      </c>
      <c r="E46" s="502">
        <v>618881</v>
      </c>
      <c r="F46" s="575" t="s">
        <v>40</v>
      </c>
      <c r="G46" s="565" t="s">
        <v>35</v>
      </c>
      <c r="H46" s="565"/>
      <c r="I46" s="565"/>
      <c r="J46" s="675"/>
      <c r="K46" s="675"/>
      <c r="L46" s="675"/>
      <c r="N46" s="790"/>
      <c r="O46" s="787"/>
      <c r="P46" s="750"/>
      <c r="Q46" s="750"/>
      <c r="R46" s="750"/>
      <c r="S46" s="750"/>
      <c r="T46" s="750"/>
      <c r="U46" s="788"/>
      <c r="W46" s="772"/>
    </row>
    <row r="47" spans="3:23" ht="14.1" customHeight="1">
      <c r="C47" s="497" t="s">
        <v>366</v>
      </c>
      <c r="D47" s="497" t="s">
        <v>122</v>
      </c>
      <c r="E47" s="508">
        <v>141658</v>
      </c>
      <c r="F47" s="575"/>
      <c r="G47" s="565"/>
      <c r="H47" s="565" t="s">
        <v>167</v>
      </c>
      <c r="I47" s="565"/>
      <c r="J47" s="675"/>
      <c r="K47" s="644" t="s">
        <v>40</v>
      </c>
      <c r="L47" s="696"/>
      <c r="N47" s="791"/>
      <c r="O47" s="787"/>
      <c r="P47" s="750"/>
      <c r="Q47" s="750"/>
      <c r="R47" s="750"/>
      <c r="S47" s="750"/>
      <c r="T47" s="750"/>
      <c r="U47" s="788"/>
      <c r="W47" s="101"/>
    </row>
    <row r="48" spans="3:23" ht="14.1" customHeight="1">
      <c r="C48" s="511" t="s">
        <v>367</v>
      </c>
      <c r="D48" s="504" t="s">
        <v>123</v>
      </c>
      <c r="E48" s="516">
        <v>654004</v>
      </c>
      <c r="F48" s="575" t="s">
        <v>34</v>
      </c>
      <c r="G48" s="565"/>
      <c r="H48" s="565" t="s">
        <v>36</v>
      </c>
      <c r="I48" s="565"/>
      <c r="J48" s="675" t="s">
        <v>47</v>
      </c>
      <c r="K48" s="675"/>
      <c r="L48" s="579"/>
      <c r="N48" s="528" t="s">
        <v>368</v>
      </c>
      <c r="O48" s="523" t="str">
        <f t="shared" ref="O48:U48" si="15">INDEX($C7:$L187,MATCH("*PHJ*",F7:F190,0),1)</f>
        <v>RACHEL JR</v>
      </c>
      <c r="P48" s="500" t="e">
        <f t="shared" si="15"/>
        <v>#N/A</v>
      </c>
      <c r="Q48" s="500" t="str">
        <f t="shared" si="15"/>
        <v>ISOBEL JR</v>
      </c>
      <c r="R48" s="500" t="str">
        <f t="shared" si="15"/>
        <v>GIOVANA JR</v>
      </c>
      <c r="S48" s="500" t="str">
        <f t="shared" si="15"/>
        <v>ISOBEL JR</v>
      </c>
      <c r="T48" s="500" t="str">
        <f t="shared" si="15"/>
        <v>JESSICA JR</v>
      </c>
      <c r="U48" s="501" t="e">
        <f t="shared" si="15"/>
        <v>#N/A</v>
      </c>
      <c r="V48" s="34" t="s">
        <v>369</v>
      </c>
      <c r="W48" s="89">
        <v>1</v>
      </c>
    </row>
    <row r="49" spans="3:23" ht="14.1" customHeight="1">
      <c r="C49" s="511" t="s">
        <v>370</v>
      </c>
      <c r="D49" s="504" t="s">
        <v>124</v>
      </c>
      <c r="E49" s="676">
        <v>655191</v>
      </c>
      <c r="F49" s="575" t="s">
        <v>38</v>
      </c>
      <c r="G49" s="565" t="s">
        <v>33</v>
      </c>
      <c r="H49" s="204"/>
      <c r="I49" s="576" t="s">
        <v>125</v>
      </c>
      <c r="J49" s="576"/>
      <c r="K49" s="675"/>
      <c r="L49" s="696"/>
      <c r="N49" s="792" t="s">
        <v>325</v>
      </c>
      <c r="O49" s="787" t="str" cm="1">
        <f t="array" ref="O49">_xlfn.TEXTJOIN(CHAR(10),TRUE,_xlfn._xlws.FILTER($C7:$C183,RIGHT(F7:F183,LEN("pSSJ"))="pSSJ",""))</f>
        <v>AARON B. HMO</v>
      </c>
      <c r="P49" s="750" t="str" cm="1">
        <f t="array" ref="P49">_xlfn.TEXTJOIN(CHAR(10),TRUE,_xlfn._xlws.FILTER($C7:$C183,RIGHT(G7:G183,LEN("pSSJ"))="pSSJ",""))</f>
        <v>WATHSALA HMO</v>
      </c>
      <c r="Q49" s="750" t="str" cm="1">
        <f t="array" ref="Q49">_xlfn.TEXTJOIN(CHAR(10),TRUE,_xlfn._xlws.FILTER($C7:$C183,RIGHT(H7:H183,LEN("pSSJ"))="pSSJ",""))</f>
        <v>BRIANNA HMO</v>
      </c>
      <c r="R49" s="750" t="str" cm="1">
        <f t="array" ref="R49">_xlfn.TEXTJOIN(CHAR(10),TRUE,_xlfn._xlws.FILTER($C7:$C183,RIGHT(I7:I183,LEN("pSSJ"))="pSSJ",""))</f>
        <v>AARON N. HMO</v>
      </c>
      <c r="S49" s="750" t="str" cm="1">
        <f t="array" ref="S49">_xlfn.TEXTJOIN(CHAR(10),TRUE,_xlfn._xlws.FILTER($C7:$C183,RIGHT(J7:J183,LEN("pSSJ"))="pSSJ",""))</f>
        <v>BRIER HMO</v>
      </c>
      <c r="T49" s="750" t="str" cm="1">
        <f t="array" ref="T49">_xlfn.TEXTJOIN(CHAR(10),TRUE,_xlfn._xlws.FILTER($C7:$C183,RIGHT(K7:K183,LEN("pSSJ"))="pSSJ",""))</f>
        <v>DEVUNI HMO</v>
      </c>
      <c r="U49" s="788" t="str" cm="1">
        <f t="array" ref="U49">_xlfn.TEXTJOIN(CHAR(10),TRUE,_xlfn._xlws.FILTER($C7:$C183,RIGHT(L7:L183,LEN("pSSJ"))="pSSJ",""))</f>
        <v/>
      </c>
      <c r="V49" s="34" t="s">
        <v>372</v>
      </c>
      <c r="W49" s="772">
        <v>2</v>
      </c>
    </row>
    <row r="50" spans="3:23" ht="14.1" customHeight="1">
      <c r="C50" s="511" t="s">
        <v>373</v>
      </c>
      <c r="D50" s="504" t="s">
        <v>126</v>
      </c>
      <c r="E50" s="676">
        <v>653055</v>
      </c>
      <c r="F50" s="611" t="s">
        <v>50</v>
      </c>
      <c r="G50" s="204"/>
      <c r="H50" s="75"/>
      <c r="I50" s="204"/>
      <c r="J50" s="675" t="s">
        <v>35</v>
      </c>
      <c r="K50" s="700"/>
      <c r="L50" s="702"/>
      <c r="N50" s="792"/>
      <c r="O50" s="787"/>
      <c r="P50" s="750"/>
      <c r="Q50" s="750"/>
      <c r="R50" s="750"/>
      <c r="S50" s="750"/>
      <c r="T50" s="750"/>
      <c r="U50" s="788"/>
      <c r="W50" s="772"/>
    </row>
    <row r="51" spans="3:23" ht="14.1" customHeight="1">
      <c r="C51" s="497" t="s">
        <v>374</v>
      </c>
      <c r="D51" s="340" t="s">
        <v>128</v>
      </c>
      <c r="E51" s="512">
        <v>650059</v>
      </c>
      <c r="F51" s="572" t="s">
        <v>31</v>
      </c>
      <c r="G51" s="573"/>
      <c r="H51" s="573"/>
      <c r="I51" s="573"/>
      <c r="J51" s="573"/>
      <c r="K51" s="573"/>
      <c r="L51" s="574"/>
      <c r="N51" s="733" t="s">
        <v>330</v>
      </c>
      <c r="O51" s="736" t="str" cm="1">
        <f t="array" ref="O51">_xlfn.TEXTJOIN(CHAR(10),TRUE,IF(F111:F183="1430-0000",$C111:$C183,""))</f>
        <v>AARON G. HMO
DEVUNI HMO
BRIER HMO
Iolanda INT
Peter INT</v>
      </c>
      <c r="P51" s="739" t="str" cm="1">
        <f t="array" ref="P51">_xlfn.TEXTJOIN(CHAR(10),TRUE,IF(G111:G183="1430-0000",$C111:$C183,""))</f>
        <v>AARON B. HMO
MASON HMO
HARRISON HMO
PIN HMO
Iolanda INT
Peter INT</v>
      </c>
      <c r="Q51" s="739" t="str" cm="1">
        <f t="array" ref="Q51">_xlfn.TEXTJOIN(CHAR(10),TRUE,IF(H111:H183="1430-0000",$C111:$C183,""))</f>
        <v>ANKUSH HMO
HARRISON HMO
TRAM HMO
Iolanda INT
May INT</v>
      </c>
      <c r="R51" s="739" t="str" cm="1">
        <f t="array" ref="R51">_xlfn.TEXTJOIN(CHAR(10),TRUE,IF(I111:I183="1430-0000",$C111:$C183,""))</f>
        <v>BRENDAN HMO
PHILLIP HMO
May INT</v>
      </c>
      <c r="S51" s="739" t="str" cm="1">
        <f t="array" ref="S51">_xlfn.TEXTJOIN(CHAR(10),TRUE,IF(J111:J183="1430-0000",$C111:$C183,""))</f>
        <v>BRENDAN HMO
ZOBIA HMO
HARRISON HMO
Delia INT
Jason INT</v>
      </c>
      <c r="T51" s="739" t="str" cm="1">
        <f t="array" ref="T51">_xlfn.TEXTJOIN(CHAR(10),TRUE,IF(K111:K183="1430-0000",$C111:$C183,""))</f>
        <v>AARON N. HMO
CHRIS HMO
WILL HMO
Jason INT</v>
      </c>
      <c r="U51" s="763" t="str" cm="1">
        <f t="array" ref="U51">_xlfn.TEXTJOIN(CHAR(10),TRUE,IF(L111:L183="1430-0000",$C111:$C183,""))</f>
        <v>AREEBA HMO
CHRIS HMO
DEVUNI HMO
Jason INT</v>
      </c>
      <c r="W51" s="772">
        <v>8</v>
      </c>
    </row>
    <row r="52" spans="3:23" ht="14.1" customHeight="1">
      <c r="C52" s="497" t="s">
        <v>375</v>
      </c>
      <c r="D52" s="340" t="s">
        <v>129</v>
      </c>
      <c r="E52" s="512">
        <v>703067</v>
      </c>
      <c r="F52" s="608" t="s">
        <v>74</v>
      </c>
      <c r="G52" s="610"/>
      <c r="H52" s="612"/>
      <c r="I52" s="610"/>
      <c r="J52" s="610"/>
      <c r="K52" s="576"/>
      <c r="L52" s="579"/>
      <c r="N52" s="734"/>
      <c r="O52" s="737"/>
      <c r="P52" s="740"/>
      <c r="Q52" s="740"/>
      <c r="R52" s="740"/>
      <c r="S52" s="740"/>
      <c r="T52" s="740"/>
      <c r="U52" s="764"/>
      <c r="W52" s="772"/>
    </row>
    <row r="53" spans="3:23" ht="14.1" customHeight="1">
      <c r="C53" s="497" t="s">
        <v>376</v>
      </c>
      <c r="D53" s="340" t="s">
        <v>132</v>
      </c>
      <c r="E53" s="512">
        <v>703495</v>
      </c>
      <c r="F53" s="611"/>
      <c r="G53" s="600"/>
      <c r="H53" s="601"/>
      <c r="I53" s="610"/>
      <c r="J53" s="610"/>
      <c r="K53" s="576"/>
      <c r="L53" s="579"/>
      <c r="N53" s="734"/>
      <c r="O53" s="737"/>
      <c r="P53" s="740"/>
      <c r="Q53" s="740"/>
      <c r="R53" s="740"/>
      <c r="S53" s="740"/>
      <c r="T53" s="740"/>
      <c r="U53" s="764"/>
      <c r="W53" s="772"/>
    </row>
    <row r="54" spans="3:23" ht="14.1" customHeight="1">
      <c r="C54" s="504" t="s">
        <v>377</v>
      </c>
      <c r="D54" s="504" t="s">
        <v>133</v>
      </c>
      <c r="E54" s="502">
        <v>578275</v>
      </c>
      <c r="F54" s="581"/>
      <c r="G54" s="566"/>
      <c r="H54" s="566" t="s">
        <v>134</v>
      </c>
      <c r="I54" s="566"/>
      <c r="J54" s="675"/>
      <c r="K54" s="675"/>
      <c r="L54" s="696"/>
      <c r="N54" s="734"/>
      <c r="O54" s="737"/>
      <c r="P54" s="740"/>
      <c r="Q54" s="740"/>
      <c r="R54" s="740"/>
      <c r="S54" s="740"/>
      <c r="T54" s="740"/>
      <c r="U54" s="764"/>
      <c r="W54" s="772"/>
    </row>
    <row r="55" spans="3:23" ht="14.1" customHeight="1">
      <c r="C55" s="504" t="s">
        <v>378</v>
      </c>
      <c r="D55" s="497" t="s">
        <v>135</v>
      </c>
      <c r="E55" s="502">
        <v>644237</v>
      </c>
      <c r="F55" s="569" t="s">
        <v>28</v>
      </c>
      <c r="G55" s="570"/>
      <c r="H55" s="570"/>
      <c r="I55" s="570"/>
      <c r="J55" s="675"/>
      <c r="K55" s="675"/>
      <c r="L55" s="696"/>
      <c r="N55" s="734"/>
      <c r="O55" s="737"/>
      <c r="P55" s="740"/>
      <c r="Q55" s="740"/>
      <c r="R55" s="740"/>
      <c r="S55" s="740"/>
      <c r="T55" s="740"/>
      <c r="U55" s="764"/>
      <c r="W55" s="772"/>
    </row>
    <row r="56" spans="3:23" ht="14.1" customHeight="1">
      <c r="C56" s="497" t="s">
        <v>379</v>
      </c>
      <c r="D56" s="504" t="s">
        <v>136</v>
      </c>
      <c r="E56" s="502">
        <v>634259</v>
      </c>
      <c r="F56" s="575"/>
      <c r="G56" s="565"/>
      <c r="H56" s="565" t="s">
        <v>43</v>
      </c>
      <c r="I56" s="565"/>
      <c r="J56" s="675"/>
      <c r="K56" s="675"/>
      <c r="L56" s="696"/>
      <c r="N56" s="734"/>
      <c r="O56" s="737"/>
      <c r="P56" s="740"/>
      <c r="Q56" s="740"/>
      <c r="R56" s="740"/>
      <c r="S56" s="740"/>
      <c r="T56" s="740"/>
      <c r="U56" s="764"/>
      <c r="W56" s="772"/>
    </row>
    <row r="57" spans="3:23" ht="14.1" customHeight="1">
      <c r="C57" s="497" t="s">
        <v>380</v>
      </c>
      <c r="D57" s="526" t="s">
        <v>137</v>
      </c>
      <c r="E57" s="502">
        <v>418439</v>
      </c>
      <c r="F57" s="611"/>
      <c r="G57" s="75"/>
      <c r="H57" s="75" t="s">
        <v>41</v>
      </c>
      <c r="I57" s="75"/>
      <c r="J57" s="675" t="s">
        <v>40</v>
      </c>
      <c r="K57" s="700"/>
      <c r="L57" s="702"/>
      <c r="N57" s="734"/>
      <c r="O57" s="737"/>
      <c r="P57" s="740"/>
      <c r="Q57" s="740"/>
      <c r="R57" s="740"/>
      <c r="S57" s="740"/>
      <c r="T57" s="740"/>
      <c r="U57" s="764"/>
      <c r="W57" s="772"/>
    </row>
    <row r="58" spans="3:23" ht="14.1" customHeight="1" thickBot="1">
      <c r="C58" s="511" t="s">
        <v>381</v>
      </c>
      <c r="D58" s="526" t="s">
        <v>138</v>
      </c>
      <c r="E58" s="498">
        <v>650974</v>
      </c>
      <c r="F58" s="575"/>
      <c r="G58" s="65"/>
      <c r="H58" s="65"/>
      <c r="I58" s="65"/>
      <c r="J58" s="675"/>
      <c r="K58" s="675"/>
      <c r="L58" s="697"/>
      <c r="N58" s="735"/>
      <c r="O58" s="738"/>
      <c r="P58" s="741"/>
      <c r="Q58" s="741"/>
      <c r="R58" s="741"/>
      <c r="S58" s="741"/>
      <c r="T58" s="741"/>
      <c r="U58" s="765"/>
      <c r="W58" s="772"/>
    </row>
    <row r="59" spans="3:23" ht="14.1" customHeight="1">
      <c r="C59" s="511" t="s">
        <v>382</v>
      </c>
      <c r="D59" s="526" t="s">
        <v>535</v>
      </c>
      <c r="E59" s="498">
        <v>541888</v>
      </c>
      <c r="F59" s="575"/>
      <c r="G59" s="565"/>
      <c r="H59" s="565"/>
      <c r="I59" s="565" t="s">
        <v>40</v>
      </c>
      <c r="J59" s="565"/>
      <c r="K59" s="565"/>
      <c r="L59" s="565"/>
      <c r="N59" s="742" t="s">
        <v>384</v>
      </c>
      <c r="O59" s="745" t="str" cm="1">
        <f t="array" ref="O59">_xlfn.TEXTJOIN(CHAR(10),TRUE,_xlfn._xlws.FILTER($C7:$C183,RIGHT(F7:F183,LEN("SWP"))="SWP",""))</f>
        <v/>
      </c>
      <c r="P59" s="747" t="str" cm="1">
        <f t="array" ref="P59">_xlfn.TEXTJOIN(CHAR(10),TRUE,_xlfn._xlws.FILTER($C7:$C183,RIGHT(G7:G183,LEN("SWP"))="SWP",""))</f>
        <v>GIOVANA JR</v>
      </c>
      <c r="Q59" s="747" t="str" cm="1">
        <f t="array" ref="Q59">_xlfn.TEXTJOIN(CHAR(10),TRUE,_xlfn._xlws.FILTER($C7:$C183,RIGHT(H7:H183,LEN("SWP"))="SWP",""))</f>
        <v>MICHELLE SMS
DENNIS SR</v>
      </c>
      <c r="R59" s="747" t="str" cm="1">
        <f t="array" ref="R59">_xlfn.TEXTJOIN(CHAR(10),TRUE,_xlfn._xlws.FILTER($C7:$C183,RIGHT(I7:I183,LEN("SWP"))="SWP",""))</f>
        <v>POH JR
SUBARNA JR</v>
      </c>
      <c r="S59" s="747" t="str" cm="1">
        <f t="array" ref="S59">_xlfn.TEXTJOIN(CHAR(10),TRUE,_xlfn._xlws.FILTER($C7:$C183,RIGHT(J7:J183,LEN("SWP"))="SWP",""))</f>
        <v>LAURA JR</v>
      </c>
      <c r="T59" s="747" t="str" cm="1">
        <f t="array" ref="T59">_xlfn.TEXTJOIN(CHAR(10),TRUE,_xlfn._xlws.FILTER($C7:$C183,RIGHT(K7:K183,LEN("SWP"))="SWP",""))</f>
        <v>SYLVIA JR</v>
      </c>
      <c r="U59" s="766" t="str" cm="1">
        <f t="array" ref="U59">_xlfn.TEXTJOIN(CHAR(10),TRUE,_xlfn._xlws.FILTER($C7:$C183,RIGHT(L7:L183,LEN("SWP"))="SWP",""))</f>
        <v>JESSICA JR</v>
      </c>
      <c r="V59" s="34" t="s">
        <v>385</v>
      </c>
      <c r="W59" s="89">
        <v>4</v>
      </c>
    </row>
    <row r="60" spans="3:23" ht="14.1" customHeight="1">
      <c r="C60" s="531"/>
      <c r="D60" s="532"/>
      <c r="E60" s="515"/>
      <c r="F60" s="575"/>
      <c r="G60" s="565"/>
      <c r="H60" s="565"/>
      <c r="I60" s="565"/>
      <c r="J60" s="565"/>
      <c r="K60" s="565"/>
      <c r="L60" s="565"/>
      <c r="N60" s="743"/>
      <c r="O60" s="746"/>
      <c r="P60" s="748"/>
      <c r="Q60" s="748"/>
      <c r="R60" s="748"/>
      <c r="S60" s="748"/>
      <c r="T60" s="748"/>
      <c r="U60" s="767"/>
      <c r="W60" s="89"/>
    </row>
    <row r="61" spans="3:23" ht="14.1" customHeight="1">
      <c r="C61" s="530" t="s">
        <v>345</v>
      </c>
      <c r="D61" s="530" t="s">
        <v>345</v>
      </c>
      <c r="E61" s="533"/>
      <c r="F61" s="205" t="s">
        <v>142</v>
      </c>
      <c r="G61" s="614" t="s">
        <v>142</v>
      </c>
      <c r="H61" s="614" t="s">
        <v>582</v>
      </c>
      <c r="I61" s="614" t="s">
        <v>142</v>
      </c>
      <c r="J61" s="703" t="s">
        <v>583</v>
      </c>
      <c r="K61" s="62"/>
      <c r="L61" s="67"/>
      <c r="N61" s="743"/>
      <c r="O61" s="746"/>
      <c r="P61" s="748"/>
      <c r="Q61" s="748"/>
      <c r="R61" s="748"/>
      <c r="S61" s="748"/>
      <c r="T61" s="748"/>
      <c r="U61" s="767"/>
      <c r="W61" s="89"/>
    </row>
    <row r="62" spans="3:23" ht="14.1" customHeight="1" thickBot="1">
      <c r="C62" s="31"/>
      <c r="D62" s="31"/>
      <c r="E62" s="534"/>
      <c r="F62" s="28"/>
      <c r="G62" s="29"/>
      <c r="H62" s="29"/>
      <c r="I62" s="29"/>
      <c r="J62" s="29"/>
      <c r="K62" s="29"/>
      <c r="L62" s="30"/>
      <c r="N62" s="744"/>
      <c r="O62" s="912"/>
      <c r="P62" s="913"/>
      <c r="Q62" s="913"/>
      <c r="R62" s="913"/>
      <c r="S62" s="913"/>
      <c r="T62" s="913"/>
      <c r="U62" s="914"/>
      <c r="W62" s="89"/>
    </row>
    <row r="63" spans="3:23" ht="14.1" customHeight="1" thickBot="1">
      <c r="C63" s="63"/>
      <c r="D63" s="411" t="s">
        <v>145</v>
      </c>
      <c r="E63" s="534"/>
      <c r="F63" s="565">
        <f>COUNTIF(F7:F60,"0800-*")+COUNTIF(F7:F60,"0730-*")-COUNTIF(F7:F60,"*0800-1730 CS*")-COUNTIF(F7:F60,"*0800-1730 PHNW*")-COUNTIF(F7:F60,"*0800-1730 DEMT*")-COUNTIF(F7:F60,"*0800-1730 EXAM*")-COUNTIF(F7:F60,"*0800-1800 CS*")-COUNTIF(F7:F60,"*0800-1800 PHNW*")</f>
        <v>4</v>
      </c>
      <c r="G63" s="565">
        <f>COUNTIF(G7:G60,"0800-*")+COUNTIF(G7:G60,"0730-*")-COUNTIF(G7:G60,"*0800-1730 CS*")-COUNTIF(G7:G60,"*0800-1730 PHNW*")-COUNTIF(G7:G60,"*0800-1730 DEMT*")-COUNTIF(G7:G60,"*0800-1730 EXAM*")-COUNTIF(G7:G60,"*0800-1800 CS*")-COUNTIF(G7:G60,"*0800-1800 PHNW*")</f>
        <v>4</v>
      </c>
      <c r="H63" s="565">
        <f>COUNTIF(H7:H60,"0800-*")+COUNTIF(H7:H60,"0730-*")-COUNTIF(H7:H60,"*0800-1730 CS*")-COUNTIF(H7:H60,"*0800-1730 PHNW*")-COUNTIF(H7:H60,"*0800-1730 DEMT*")-COUNTIF(H7:H60,"*0800-1730 EXAM*")-COUNTIF(H7:H60,"*0800-1800 CS*")-COUNTIF(H7:H60,"*0800-1800 PHNW*")</f>
        <v>5</v>
      </c>
      <c r="I63" s="565">
        <f>COUNTIF(I7:I60,"0800-*")+COUNTIF(I7:I60,"0730-*")-COUNTIF(I7:I60,"*0800-1730 CS*")-COUNTIF(I7:I60,"*0800-1730 PHNW*")-COUNTIF(I7:I60,"*0800-1730 DEMT*")-COUNTIF(I7:I60,"*0800-1730 EXAM*")-COUNTIF(I7:I60,"*0800-1800 CS*")-COUNTIF(I7:I60,"*0800-1800 PHNW*")</f>
        <v>4</v>
      </c>
      <c r="J63" s="565">
        <f>COUNTIF(J7:J60,"0800-*")+COUNTIF(J7:J60,"0730-*")-COUNTIF(J7:J60,"*0800-1730 CS*")-COUNTIF(J7:J60,"*0800-1730 PHNW*")-COUNTIF(J7:J60,"*0800-1730 DEMT*")-COUNTIF(J7:J60,"*0800-1730 EXAM*")-COUNTIF(J7:J60,"*0800-1800 CS*")-COUNTIF(J7:J60,"*0800-1800 PHNW*")</f>
        <v>5</v>
      </c>
      <c r="K63" s="565">
        <f>COUNTIF(K7:K60,"0800-*")+COUNTIF(K7:K60,"0730-*")</f>
        <v>4</v>
      </c>
      <c r="L63" s="577">
        <f>COUNTIF(L7:L60,"0800-*")+COUNTIF(L7:L60,"0730-*")</f>
        <v>4</v>
      </c>
      <c r="N63" s="106"/>
      <c r="O63" s="34"/>
      <c r="P63" s="34"/>
      <c r="Q63" s="34"/>
      <c r="R63" s="34"/>
      <c r="S63" s="34"/>
      <c r="T63" s="34"/>
      <c r="U63" s="34"/>
      <c r="W63" s="89"/>
    </row>
    <row r="64" spans="3:23" ht="14.1" customHeight="1" thickBot="1">
      <c r="C64" s="535"/>
      <c r="D64" s="411" t="s">
        <v>146</v>
      </c>
      <c r="E64" s="534"/>
      <c r="F64" s="575">
        <f t="shared" ref="F64:L64" si="16">COUNTIF(F7:F61,"*0000*")</f>
        <v>4</v>
      </c>
      <c r="G64" s="565">
        <f t="shared" si="16"/>
        <v>5</v>
      </c>
      <c r="H64" s="565">
        <f t="shared" si="16"/>
        <v>4</v>
      </c>
      <c r="I64" s="565">
        <f t="shared" si="16"/>
        <v>5</v>
      </c>
      <c r="J64" s="565">
        <f t="shared" si="16"/>
        <v>5</v>
      </c>
      <c r="K64" s="565">
        <f t="shared" si="16"/>
        <v>4</v>
      </c>
      <c r="L64" s="577">
        <f t="shared" si="16"/>
        <v>4</v>
      </c>
      <c r="N64" s="106"/>
      <c r="O64" s="796" t="s">
        <v>388</v>
      </c>
      <c r="P64" s="797"/>
      <c r="Q64" s="797"/>
      <c r="R64" s="797"/>
      <c r="S64" s="797"/>
      <c r="T64" s="797"/>
      <c r="U64" s="798"/>
      <c r="W64" s="89" t="s">
        <v>389</v>
      </c>
    </row>
    <row r="65" spans="3:23" ht="14.1" customHeight="1">
      <c r="C65" s="407" t="s">
        <v>147</v>
      </c>
      <c r="D65" s="407" t="s">
        <v>147</v>
      </c>
      <c r="E65" s="534"/>
      <c r="F65" s="408"/>
      <c r="G65" s="409"/>
      <c r="H65" s="409"/>
      <c r="I65" s="409"/>
      <c r="J65" s="409"/>
      <c r="K65" s="409"/>
      <c r="L65" s="410"/>
      <c r="N65" s="104" t="s">
        <v>390</v>
      </c>
      <c r="O65" s="107" t="str">
        <f t="shared" ref="O65:U65" si="17">INDEX($C7:$L187,MATCH("*N1*",F7:F190,0),1)</f>
        <v>JOSEPH SR</v>
      </c>
      <c r="P65" s="108" t="str">
        <f t="shared" si="17"/>
        <v>JOSEPH SR</v>
      </c>
      <c r="Q65" s="108" t="str">
        <f t="shared" si="17"/>
        <v>JOSEPH SR</v>
      </c>
      <c r="R65" s="108" t="str">
        <f t="shared" si="17"/>
        <v>MARK SR</v>
      </c>
      <c r="S65" s="108" t="str">
        <f t="shared" si="17"/>
        <v>MARK SR</v>
      </c>
      <c r="T65" s="108" t="str">
        <f t="shared" si="17"/>
        <v>MARK SR</v>
      </c>
      <c r="U65" s="109" t="str">
        <f t="shared" si="17"/>
        <v>MARK SR</v>
      </c>
      <c r="V65" s="89"/>
      <c r="W65" s="106">
        <v>1</v>
      </c>
    </row>
    <row r="66" spans="3:23" ht="14.1" customHeight="1">
      <c r="C66" s="411" t="s">
        <v>391</v>
      </c>
      <c r="D66" s="411" t="s">
        <v>148</v>
      </c>
      <c r="E66" s="536">
        <v>609268</v>
      </c>
      <c r="F66" s="575" t="s">
        <v>37</v>
      </c>
      <c r="G66" s="576"/>
      <c r="H66" s="565" t="s">
        <v>149</v>
      </c>
      <c r="I66" s="565" t="s">
        <v>150</v>
      </c>
      <c r="J66" s="565" t="s">
        <v>150</v>
      </c>
      <c r="K66" s="565"/>
      <c r="L66" s="577"/>
      <c r="N66" s="749" t="s">
        <v>392</v>
      </c>
      <c r="O66" s="746" t="str" cm="1">
        <f t="array" ref="O66">_xlfn.TEXTJOIN(CHAR(10),TRUE,IF(F7:F183="2300-0900",$C7:$C183,""),IF(F7:F183="2300-0830",$C7:$C183,""))</f>
        <v>CHRISTINA JR
DESLIN JR
AARON N. HMO
CHRIS HMO
Delia INT</v>
      </c>
      <c r="P66" s="748" t="str" cm="1">
        <f t="array" ref="P66">_xlfn.TEXTJOIN(CHAR(10),TRUE,IF(G7:G183="2300-0900",$C7:$C183,""),IF(G7:G183="2300-0830",$C7:$C183,""))</f>
        <v>CHRISTINA JR
DESLIN JR
LISA HMO
NATHAN HMO
Delia INT</v>
      </c>
      <c r="Q66" s="748" t="str" cm="1">
        <f t="array" ref="Q66">_xlfn.TEXTJOIN(CHAR(10),TRUE,IF(H7:H183="2300-0900",$C7:$C183,""),IF(H7:H183="2300-0830",$C7:$C183,""))</f>
        <v>SHIV IR
CHRISTINA JR
DESLIN JR
VISHNU HMO
Sewni INT</v>
      </c>
      <c r="R66" s="748" t="str" cm="1">
        <f t="array" ref="R66">_xlfn.TEXTJOIN(CHAR(10),TRUE,IF(I7:I183="2300-0900",$C7:$C183,""),IF(I7:I183="2300-0830",$C7:$C183,""))</f>
        <v>CHRISTINA JR
DESLIN JR
LISA HMO
NATHAN HMO
Sewni INT</v>
      </c>
      <c r="S66" s="748" t="str" cm="1">
        <f t="array" ref="S66">_xlfn.TEXTJOIN(CHAR(10),TRUE,IF(J7:J183="2300-0900",$C7:$C183,""),IF(J7:J183="2300-0830",$C7:$C183,""))</f>
        <v>GIOVANA JR
PAUL JR
BRIANNA HMO
SHUNING HMO
Sewni INT</v>
      </c>
      <c r="T66" s="748" t="str" cm="1">
        <f t="array" ref="T66">_xlfn.TEXTJOIN(CHAR(10),TRUE,IF(K7:K183="2300-0900",$C7:$C183,""),IF(K7:K183="2300-0830",$C7:$C183,""))</f>
        <v>GIOVANA JR
PHILLIP HMO
SHUNING HMO
Sewni INT</v>
      </c>
      <c r="U66" s="767" t="str" cm="1">
        <f t="array" ref="U66">_xlfn.TEXTJOIN(CHAR(10),TRUE,IF(L7:L183="2300-0900",$C7:$C183,""),IF(L7:L183="2300-0830",$C7:$C183,""))</f>
        <v>GIOVANA JR
LAURA JR
BRIANNA HMO
SHUNING HMO
Peter INT</v>
      </c>
      <c r="W66" s="89">
        <v>9</v>
      </c>
    </row>
    <row r="67" spans="3:23" ht="14.1" customHeight="1">
      <c r="C67" s="411" t="s">
        <v>393</v>
      </c>
      <c r="D67" s="411" t="s">
        <v>152</v>
      </c>
      <c r="E67" s="704">
        <v>517752</v>
      </c>
      <c r="F67" s="572" t="s">
        <v>31</v>
      </c>
      <c r="G67" s="573"/>
      <c r="H67" s="573"/>
      <c r="I67" s="573"/>
      <c r="J67" s="573"/>
      <c r="K67" s="573"/>
      <c r="L67" s="574"/>
      <c r="N67" s="749"/>
      <c r="O67" s="746"/>
      <c r="P67" s="748"/>
      <c r="Q67" s="748"/>
      <c r="R67" s="748"/>
      <c r="S67" s="748"/>
      <c r="T67" s="748"/>
      <c r="U67" s="767"/>
      <c r="W67" s="89"/>
    </row>
    <row r="68" spans="3:23" ht="14.1" customHeight="1">
      <c r="C68" s="411" t="s">
        <v>394</v>
      </c>
      <c r="D68" s="411" t="s">
        <v>154</v>
      </c>
      <c r="E68" s="537">
        <v>609129</v>
      </c>
      <c r="F68" s="589"/>
      <c r="G68" s="590"/>
      <c r="H68" s="565" t="s">
        <v>91</v>
      </c>
      <c r="I68" s="590"/>
      <c r="J68" s="590"/>
      <c r="K68" s="565"/>
      <c r="L68" s="577" t="s">
        <v>91</v>
      </c>
      <c r="N68" s="749"/>
      <c r="O68" s="746"/>
      <c r="P68" s="748"/>
      <c r="Q68" s="748"/>
      <c r="R68" s="748"/>
      <c r="S68" s="748"/>
      <c r="T68" s="748"/>
      <c r="U68" s="767"/>
      <c r="W68" s="89"/>
    </row>
    <row r="69" spans="3:23" ht="14.1" customHeight="1">
      <c r="C69" s="411" t="s">
        <v>395</v>
      </c>
      <c r="D69" s="538" t="s">
        <v>156</v>
      </c>
      <c r="E69" s="705">
        <v>636554</v>
      </c>
      <c r="F69" s="575"/>
      <c r="G69" s="565"/>
      <c r="H69" s="578" t="s">
        <v>342</v>
      </c>
      <c r="I69" s="565"/>
      <c r="J69" s="565"/>
      <c r="K69" s="565" t="s">
        <v>150</v>
      </c>
      <c r="L69" s="577" t="s">
        <v>150</v>
      </c>
      <c r="N69" s="749"/>
      <c r="O69" s="746"/>
      <c r="P69" s="748"/>
      <c r="Q69" s="748"/>
      <c r="R69" s="748"/>
      <c r="S69" s="748"/>
      <c r="T69" s="748"/>
      <c r="U69" s="767"/>
      <c r="W69" s="89"/>
    </row>
    <row r="70" spans="3:23" ht="14.1" customHeight="1">
      <c r="C70" s="915"/>
      <c r="D70" s="49"/>
      <c r="E70" s="534"/>
      <c r="F70" s="575"/>
      <c r="G70" s="565"/>
      <c r="H70" s="565"/>
      <c r="I70" s="565"/>
      <c r="J70" s="565"/>
      <c r="K70" s="565"/>
      <c r="L70" s="577"/>
      <c r="N70" s="749"/>
      <c r="O70" s="746"/>
      <c r="P70" s="748"/>
      <c r="Q70" s="748"/>
      <c r="R70" s="748"/>
      <c r="S70" s="748"/>
      <c r="T70" s="748"/>
      <c r="U70" s="767"/>
      <c r="W70" s="89"/>
    </row>
    <row r="71" spans="3:23" ht="14.1" customHeight="1">
      <c r="C71" s="724" t="s">
        <v>157</v>
      </c>
      <c r="D71" s="540" t="s">
        <v>157</v>
      </c>
      <c r="E71" s="54"/>
      <c r="F71" s="413"/>
      <c r="G71" s="414"/>
      <c r="H71" s="414"/>
      <c r="I71" s="414"/>
      <c r="J71" s="414"/>
      <c r="K71" s="414"/>
      <c r="L71" s="415"/>
      <c r="N71" s="749"/>
      <c r="O71" s="746"/>
      <c r="P71" s="748"/>
      <c r="Q71" s="748"/>
      <c r="R71" s="748"/>
      <c r="S71" s="748"/>
      <c r="T71" s="748"/>
      <c r="U71" s="767"/>
      <c r="W71" s="89"/>
    </row>
    <row r="72" spans="3:23" ht="14.1" customHeight="1">
      <c r="C72" s="541" t="s">
        <v>396</v>
      </c>
      <c r="D72" s="182" t="s">
        <v>159</v>
      </c>
      <c r="E72" s="615">
        <v>628440</v>
      </c>
      <c r="F72" s="618"/>
      <c r="G72" s="618"/>
      <c r="H72" s="618"/>
      <c r="I72" s="618" t="s">
        <v>32</v>
      </c>
      <c r="J72" s="616" t="s">
        <v>342</v>
      </c>
      <c r="K72" s="616" t="s">
        <v>359</v>
      </c>
      <c r="L72" s="616" t="s">
        <v>584</v>
      </c>
      <c r="N72" s="749"/>
      <c r="O72" s="746"/>
      <c r="P72" s="748"/>
      <c r="Q72" s="748"/>
      <c r="R72" s="748"/>
      <c r="S72" s="748"/>
      <c r="T72" s="748"/>
      <c r="U72" s="767"/>
      <c r="W72" s="89"/>
    </row>
    <row r="73" spans="3:23" ht="14.1" customHeight="1">
      <c r="C73" s="541" t="s">
        <v>397</v>
      </c>
      <c r="D73" s="183" t="s">
        <v>164</v>
      </c>
      <c r="E73" s="615">
        <v>653976</v>
      </c>
      <c r="F73" s="618" t="s">
        <v>585</v>
      </c>
      <c r="G73" s="618" t="s">
        <v>150</v>
      </c>
      <c r="H73" s="618"/>
      <c r="I73" s="618" t="s">
        <v>585</v>
      </c>
      <c r="J73" s="618"/>
      <c r="K73" s="618" t="s">
        <v>149</v>
      </c>
      <c r="L73" s="618" t="s">
        <v>149</v>
      </c>
      <c r="N73" s="749"/>
      <c r="O73" s="746"/>
      <c r="P73" s="748"/>
      <c r="Q73" s="748"/>
      <c r="R73" s="748"/>
      <c r="S73" s="748"/>
      <c r="T73" s="748"/>
      <c r="U73" s="767"/>
      <c r="W73" s="89"/>
    </row>
    <row r="74" spans="3:23" ht="14.1" customHeight="1">
      <c r="C74" s="85" t="s">
        <v>398</v>
      </c>
      <c r="D74" s="184" t="s">
        <v>166</v>
      </c>
      <c r="E74" s="615">
        <v>654362</v>
      </c>
      <c r="F74" s="618" t="s">
        <v>46</v>
      </c>
      <c r="G74" s="618" t="s">
        <v>150</v>
      </c>
      <c r="H74" s="624" t="s">
        <v>167</v>
      </c>
      <c r="I74" s="617"/>
      <c r="J74" s="622"/>
      <c r="K74" s="622"/>
      <c r="L74" s="622"/>
      <c r="N74" s="749"/>
      <c r="O74" s="746"/>
      <c r="P74" s="748"/>
      <c r="Q74" s="748"/>
      <c r="R74" s="748"/>
      <c r="S74" s="748"/>
      <c r="T74" s="748"/>
      <c r="U74" s="767"/>
      <c r="W74" s="89"/>
    </row>
    <row r="75" spans="3:23" ht="14.1" customHeight="1">
      <c r="C75" s="69" t="s">
        <v>399</v>
      </c>
      <c r="D75" s="184" t="s">
        <v>168</v>
      </c>
      <c r="E75" s="615">
        <v>615829</v>
      </c>
      <c r="F75" s="618"/>
      <c r="G75" s="619"/>
      <c r="H75" s="619"/>
      <c r="I75" s="618" t="s">
        <v>161</v>
      </c>
      <c r="J75" s="618" t="s">
        <v>161</v>
      </c>
      <c r="K75" s="618" t="s">
        <v>161</v>
      </c>
      <c r="L75" s="618" t="s">
        <v>161</v>
      </c>
      <c r="N75" s="528" t="s">
        <v>368</v>
      </c>
      <c r="O75" s="523" t="str">
        <f t="shared" ref="O75:U75" si="18">INDEX($C10:$L189,MATCH("*NHJ*",F10:F192,0),1)</f>
        <v>AREEBA HMO</v>
      </c>
      <c r="P75" s="500" t="str">
        <f t="shared" si="18"/>
        <v>VISHNU HMO</v>
      </c>
      <c r="Q75" s="500" t="str">
        <f t="shared" si="18"/>
        <v>NATHAN HMO</v>
      </c>
      <c r="R75" s="500" t="str">
        <f t="shared" si="18"/>
        <v>AARON G. HMO</v>
      </c>
      <c r="S75" s="500" t="str">
        <f t="shared" si="18"/>
        <v>PHILLIP HMO</v>
      </c>
      <c r="T75" s="500" t="str">
        <f t="shared" si="18"/>
        <v>ANKUSH HMO</v>
      </c>
      <c r="U75" s="501" t="str">
        <f t="shared" si="18"/>
        <v>PHILLIP HMO</v>
      </c>
      <c r="V75" s="34" t="s">
        <v>400</v>
      </c>
      <c r="W75" s="89">
        <v>1</v>
      </c>
    </row>
    <row r="76" spans="3:23" ht="14.1" customHeight="1">
      <c r="C76" s="541" t="s">
        <v>401</v>
      </c>
      <c r="D76" s="916" t="s">
        <v>170</v>
      </c>
      <c r="E76" s="615">
        <v>619567</v>
      </c>
      <c r="F76" s="618" t="s">
        <v>150</v>
      </c>
      <c r="G76" s="617"/>
      <c r="H76" s="618" t="s">
        <v>150</v>
      </c>
      <c r="I76" s="618" t="s">
        <v>150</v>
      </c>
      <c r="J76" s="618" t="s">
        <v>150</v>
      </c>
      <c r="K76" s="619"/>
      <c r="L76" s="619"/>
      <c r="N76" s="768" t="s">
        <v>325</v>
      </c>
      <c r="O76" s="787" t="str" cm="1">
        <f t="array" ref="O76">_xlfn.TEXTJOIN(CHAR(10),TRUE,_xlfn._xlws.FILTER($C7:$C183,RIGHT(F7:F183,LEN("nSSJ"))="nSSJ",""))</f>
        <v>BRENDAN HMO</v>
      </c>
      <c r="P76" s="750" t="str" cm="1">
        <f t="array" ref="P76">_xlfn.TEXTJOIN(CHAR(10),TRUE,_xlfn._xlws.FILTER($C7:$C183,RIGHT(G7:G183,LEN("nSSJ"))="nSSJ",""))</f>
        <v>AARON G. HMO</v>
      </c>
      <c r="Q76" s="750" t="str" cm="1">
        <f t="array" ref="Q76">_xlfn.TEXTJOIN(CHAR(10),TRUE,_xlfn._xlws.FILTER($C7:$C183,RIGHT(H7:H183,LEN("nSSJ"))="nSSJ",""))</f>
        <v>LISA HMO</v>
      </c>
      <c r="R76" s="750" t="str" cm="1">
        <f t="array" ref="R76">_xlfn.TEXTJOIN(CHAR(10),TRUE,_xlfn._xlws.FILTER($C7:$C183,RIGHT(I7:I183,LEN("nSSJ"))="nSSJ",""))</f>
        <v>VISHNU HMO</v>
      </c>
      <c r="S76" s="750" t="str" cm="1">
        <f t="array" ref="S76">_xlfn.TEXTJOIN(CHAR(10),TRUE,_xlfn._xlws.FILTER($C7:$C183,RIGHT(J7:J183,LEN("nSSJ"))="nSSJ",""))</f>
        <v>SUBARNA JR
NATHAN HMO</v>
      </c>
      <c r="T76" s="750" t="str" cm="1">
        <f t="array" ref="T76">_xlfn.TEXTJOIN(CHAR(10),TRUE,_xlfn._xlws.FILTER($C7:$C183,RIGHT(K7:K183,LEN("nSSJ"))="nSSJ",""))</f>
        <v>SUBARNA JR
BRIANNA HMO</v>
      </c>
      <c r="U76" s="788" t="str" cm="1">
        <f t="array" ref="U76">_xlfn.TEXTJOIN(CHAR(10),TRUE,_xlfn._xlws.FILTER($C7:$C183,RIGHT(L7:L183,LEN("nSSJ"))="nSSJ",""))</f>
        <v>SUBARNA JR
ANKUSH HMO</v>
      </c>
      <c r="V76" s="34" t="s">
        <v>402</v>
      </c>
      <c r="W76" s="89">
        <v>2</v>
      </c>
    </row>
    <row r="77" spans="3:23" ht="14.1" customHeight="1" thickBot="1">
      <c r="C77" s="543" t="s">
        <v>403</v>
      </c>
      <c r="D77" s="183" t="s">
        <v>171</v>
      </c>
      <c r="E77" s="615">
        <v>626157</v>
      </c>
      <c r="F77" s="618" t="s">
        <v>161</v>
      </c>
      <c r="G77" s="618" t="s">
        <v>161</v>
      </c>
      <c r="H77" s="618" t="s">
        <v>161</v>
      </c>
      <c r="I77" s="617"/>
      <c r="J77" s="617"/>
      <c r="K77" s="617"/>
      <c r="L77" s="617"/>
      <c r="N77" s="769"/>
      <c r="O77" s="917"/>
      <c r="P77" s="918"/>
      <c r="Q77" s="918"/>
      <c r="R77" s="918"/>
      <c r="S77" s="918"/>
      <c r="T77" s="918"/>
      <c r="U77" s="919"/>
      <c r="W77" s="89"/>
    </row>
    <row r="78" spans="3:23" ht="14.1" customHeight="1" thickBot="1">
      <c r="C78" s="69" t="s">
        <v>405</v>
      </c>
      <c r="D78" s="185" t="s">
        <v>173</v>
      </c>
      <c r="E78" s="615">
        <v>645122</v>
      </c>
      <c r="F78" s="617"/>
      <c r="G78" s="617"/>
      <c r="H78" s="617"/>
      <c r="I78" s="619"/>
      <c r="J78" s="617"/>
      <c r="K78" s="617"/>
      <c r="L78" s="619"/>
      <c r="N78" s="920" t="s">
        <v>406</v>
      </c>
      <c r="O78" s="110" t="e">
        <f t="shared" ref="O78:U78" si="19">INDEX($C7:$L187,MATCH("*PRC",F7:F190,0),1)</f>
        <v>#N/A</v>
      </c>
      <c r="P78" s="111" t="str">
        <f t="shared" si="19"/>
        <v>SINDY SMS</v>
      </c>
      <c r="Q78" s="111" t="str">
        <f t="shared" si="19"/>
        <v>TARA J. SMS</v>
      </c>
      <c r="R78" s="111" t="str">
        <f t="shared" si="19"/>
        <v>ANDY L  SMS</v>
      </c>
      <c r="S78" s="111" t="str">
        <f t="shared" si="19"/>
        <v>TARA K. SMS</v>
      </c>
      <c r="T78" s="111" t="str">
        <f t="shared" si="19"/>
        <v>QAIS SMS</v>
      </c>
      <c r="U78" s="111" t="str">
        <f t="shared" si="19"/>
        <v>ANASTASIA SMS</v>
      </c>
      <c r="W78" s="89"/>
    </row>
    <row r="79" spans="3:23" ht="14.1" customHeight="1" thickBot="1">
      <c r="C79" s="543" t="s">
        <v>407</v>
      </c>
      <c r="D79" s="186" t="s">
        <v>174</v>
      </c>
      <c r="E79" s="615">
        <v>615820</v>
      </c>
      <c r="F79" s="617"/>
      <c r="G79" s="616" t="s">
        <v>317</v>
      </c>
      <c r="H79" s="619"/>
      <c r="I79" s="619"/>
      <c r="J79" s="619"/>
      <c r="K79" s="617"/>
      <c r="L79" s="617"/>
      <c r="N79" s="106"/>
      <c r="O79" s="89"/>
      <c r="T79" s="921" t="str">
        <f>INDEX($C7:$L188,MATCH("*PGC",K7:K191,0),1)</f>
        <v>ABI SMS</v>
      </c>
      <c r="U79" s="922" t="str">
        <f>INDEX($C8:$L188,MATCH("*PGC",L8:L191,0),1)</f>
        <v>BRAD SMS</v>
      </c>
    </row>
    <row r="80" spans="3:23" ht="14.1" customHeight="1">
      <c r="C80" s="541" t="s">
        <v>408</v>
      </c>
      <c r="D80" s="544" t="s">
        <v>175</v>
      </c>
      <c r="E80" s="615">
        <v>624174</v>
      </c>
      <c r="F80" s="623" t="s">
        <v>31</v>
      </c>
      <c r="G80" s="623"/>
      <c r="H80" s="623"/>
      <c r="I80" s="669"/>
      <c r="J80" s="623"/>
      <c r="K80" s="623"/>
      <c r="L80" s="669"/>
      <c r="O80" s="89"/>
      <c r="V80" s="89"/>
    </row>
    <row r="81" spans="3:22" ht="14.1" customHeight="1">
      <c r="C81" s="543"/>
      <c r="D81" s="545"/>
      <c r="E81" s="625"/>
      <c r="F81" s="617"/>
      <c r="G81" s="617"/>
      <c r="H81" s="617"/>
      <c r="I81" s="619"/>
      <c r="J81" s="617"/>
      <c r="K81" s="617"/>
      <c r="L81" s="619"/>
      <c r="O81" s="89"/>
      <c r="V81" s="89"/>
    </row>
    <row r="82" spans="3:22" ht="14.1" customHeight="1">
      <c r="C82" s="728" t="s">
        <v>176</v>
      </c>
      <c r="D82" s="728" t="s">
        <v>176</v>
      </c>
      <c r="E82" s="198"/>
      <c r="F82" s="305"/>
      <c r="G82" s="305"/>
      <c r="H82" s="305"/>
      <c r="I82" s="305"/>
      <c r="J82" s="305"/>
      <c r="K82" s="305"/>
      <c r="L82" s="305"/>
      <c r="O82" s="89"/>
      <c r="V82" s="89"/>
    </row>
    <row r="83" spans="3:22" ht="14.1" customHeight="1">
      <c r="C83" s="411" t="s">
        <v>409</v>
      </c>
      <c r="D83" s="546" t="s">
        <v>177</v>
      </c>
      <c r="E83" s="615">
        <v>637990</v>
      </c>
      <c r="F83" s="618" t="s">
        <v>150</v>
      </c>
      <c r="G83" s="618" t="s">
        <v>150</v>
      </c>
      <c r="H83" s="617"/>
      <c r="I83" s="565" t="s">
        <v>149</v>
      </c>
      <c r="J83" s="565" t="s">
        <v>149</v>
      </c>
      <c r="K83" s="620"/>
      <c r="L83" s="620"/>
      <c r="O83" s="89"/>
      <c r="V83" s="89"/>
    </row>
    <row r="84" spans="3:22" ht="14.1" customHeight="1">
      <c r="C84" s="86" t="s">
        <v>410</v>
      </c>
      <c r="D84" s="184" t="s">
        <v>179</v>
      </c>
      <c r="E84" s="615">
        <v>652867</v>
      </c>
      <c r="F84" s="618" t="s">
        <v>150</v>
      </c>
      <c r="G84" s="618" t="s">
        <v>150</v>
      </c>
      <c r="H84" s="618"/>
      <c r="I84" s="565" t="s">
        <v>149</v>
      </c>
      <c r="J84" s="618" t="s">
        <v>149</v>
      </c>
      <c r="K84" s="617"/>
      <c r="L84" s="617"/>
      <c r="O84" s="89"/>
      <c r="V84" s="89"/>
    </row>
    <row r="85" spans="3:22" ht="14.1" customHeight="1">
      <c r="C85" s="543" t="s">
        <v>411</v>
      </c>
      <c r="D85" s="547" t="s">
        <v>180</v>
      </c>
      <c r="E85" s="615">
        <v>638831</v>
      </c>
      <c r="F85" s="618"/>
      <c r="G85" s="565"/>
      <c r="H85" s="565" t="s">
        <v>150</v>
      </c>
      <c r="I85" s="565" t="s">
        <v>150</v>
      </c>
      <c r="J85" s="618"/>
      <c r="K85" s="618" t="s">
        <v>149</v>
      </c>
      <c r="L85" s="618" t="s">
        <v>149</v>
      </c>
      <c r="O85" s="89"/>
      <c r="V85" s="89"/>
    </row>
    <row r="86" spans="3:22" ht="14.1" customHeight="1">
      <c r="C86" s="411" t="s">
        <v>412</v>
      </c>
      <c r="D86" s="548" t="s">
        <v>182</v>
      </c>
      <c r="E86" s="615">
        <v>631314</v>
      </c>
      <c r="F86" s="617"/>
      <c r="G86" s="617"/>
      <c r="H86" s="578" t="s">
        <v>531</v>
      </c>
      <c r="I86" s="617"/>
      <c r="J86" s="706"/>
      <c r="K86" s="706"/>
      <c r="L86" s="706"/>
      <c r="O86" s="89"/>
      <c r="V86" s="89"/>
    </row>
    <row r="87" spans="3:22" ht="14.1" customHeight="1">
      <c r="C87" s="69" t="s">
        <v>414</v>
      </c>
      <c r="D87" s="548" t="s">
        <v>185</v>
      </c>
      <c r="E87" s="615">
        <v>631732</v>
      </c>
      <c r="F87" s="565" t="s">
        <v>149</v>
      </c>
      <c r="G87" s="622"/>
      <c r="H87" s="617" t="s">
        <v>192</v>
      </c>
      <c r="I87" s="565"/>
      <c r="J87" s="618"/>
      <c r="K87" s="707"/>
      <c r="L87" s="707"/>
      <c r="O87" s="89"/>
      <c r="V87" s="89"/>
    </row>
    <row r="88" spans="3:22" ht="14.1" customHeight="1">
      <c r="C88" s="541" t="s">
        <v>415</v>
      </c>
      <c r="D88" s="549" t="s">
        <v>186</v>
      </c>
      <c r="E88" s="615">
        <v>634876</v>
      </c>
      <c r="F88" s="619"/>
      <c r="G88" s="565" t="s">
        <v>149</v>
      </c>
      <c r="H88" s="618" t="s">
        <v>150</v>
      </c>
      <c r="I88" s="626"/>
      <c r="J88" s="619"/>
      <c r="K88" s="622"/>
      <c r="L88" s="622"/>
      <c r="O88" s="89"/>
      <c r="V88" s="89"/>
    </row>
    <row r="89" spans="3:22" ht="14.1" customHeight="1">
      <c r="C89" s="541"/>
      <c r="D89" s="187"/>
      <c r="E89" s="199"/>
      <c r="F89" s="619"/>
      <c r="G89" s="565"/>
      <c r="H89" s="618"/>
      <c r="I89" s="619"/>
      <c r="J89" s="619"/>
      <c r="K89" s="617"/>
      <c r="L89" s="617"/>
      <c r="O89" s="89"/>
      <c r="V89" s="89"/>
    </row>
    <row r="90" spans="3:22" ht="14.1" customHeight="1">
      <c r="C90" s="4" t="s">
        <v>189</v>
      </c>
      <c r="D90" s="4" t="s">
        <v>189</v>
      </c>
      <c r="E90" s="199"/>
      <c r="F90" s="444"/>
      <c r="G90" s="444"/>
      <c r="H90" s="444"/>
      <c r="I90" s="444"/>
      <c r="J90" s="444"/>
      <c r="K90" s="444"/>
      <c r="L90" s="444"/>
      <c r="O90" s="89"/>
    </row>
    <row r="91" spans="3:22" ht="14.1" customHeight="1">
      <c r="C91" s="69" t="s">
        <v>416</v>
      </c>
      <c r="D91" s="188" t="s">
        <v>527</v>
      </c>
      <c r="E91" s="615">
        <v>648620</v>
      </c>
      <c r="F91" s="618" t="s">
        <v>192</v>
      </c>
      <c r="G91" s="618" t="s">
        <v>192</v>
      </c>
      <c r="H91" s="618" t="s">
        <v>192</v>
      </c>
      <c r="I91" s="618" t="s">
        <v>192</v>
      </c>
      <c r="J91" s="630"/>
      <c r="K91" s="617"/>
      <c r="L91" s="617"/>
      <c r="O91" s="34"/>
      <c r="P91" s="34"/>
      <c r="Q91" s="34"/>
      <c r="R91" s="34"/>
      <c r="S91" s="34"/>
      <c r="T91" s="34"/>
      <c r="U91" s="34"/>
    </row>
    <row r="92" spans="3:22" ht="14.1" customHeight="1">
      <c r="C92" s="550" t="s">
        <v>417</v>
      </c>
      <c r="D92" s="189" t="s">
        <v>193</v>
      </c>
      <c r="E92" s="615">
        <v>652357</v>
      </c>
      <c r="F92" s="616" t="s">
        <v>586</v>
      </c>
      <c r="G92" s="616" t="s">
        <v>586</v>
      </c>
      <c r="H92" s="616" t="s">
        <v>586</v>
      </c>
      <c r="I92" s="616" t="s">
        <v>586</v>
      </c>
      <c r="J92" s="617"/>
      <c r="K92" s="630"/>
      <c r="L92" s="630"/>
      <c r="O92" s="34"/>
      <c r="P92" s="34"/>
      <c r="Q92" s="34"/>
      <c r="R92" s="34"/>
      <c r="S92" s="34"/>
      <c r="T92" s="34"/>
      <c r="U92" s="34"/>
    </row>
    <row r="93" spans="3:22" ht="14.1" customHeight="1">
      <c r="C93" s="69" t="s">
        <v>418</v>
      </c>
      <c r="D93" s="551" t="s">
        <v>196</v>
      </c>
      <c r="E93" s="631">
        <v>703714</v>
      </c>
      <c r="F93" s="618" t="s">
        <v>149</v>
      </c>
      <c r="G93" s="618" t="s">
        <v>149</v>
      </c>
      <c r="H93" s="618"/>
      <c r="I93" s="618" t="s">
        <v>149</v>
      </c>
      <c r="J93" s="618" t="s">
        <v>149</v>
      </c>
      <c r="K93" s="618"/>
      <c r="L93" s="618"/>
      <c r="O93" s="89"/>
    </row>
    <row r="94" spans="3:22" ht="14.1" customHeight="1">
      <c r="C94" s="87" t="s">
        <v>419</v>
      </c>
      <c r="D94" s="189" t="s">
        <v>198</v>
      </c>
      <c r="E94" s="615">
        <v>655089</v>
      </c>
      <c r="F94" s="618" t="s">
        <v>192</v>
      </c>
      <c r="G94" s="618" t="s">
        <v>192</v>
      </c>
      <c r="H94" s="618" t="s">
        <v>192</v>
      </c>
      <c r="I94" s="618" t="s">
        <v>192</v>
      </c>
      <c r="J94" s="619"/>
      <c r="K94" s="617"/>
      <c r="L94" s="617"/>
      <c r="O94" s="34"/>
      <c r="P94" s="34"/>
      <c r="Q94" s="34"/>
      <c r="R94" s="34"/>
      <c r="S94" s="34"/>
    </row>
    <row r="95" spans="3:22" ht="14.1" customHeight="1">
      <c r="C95" s="69" t="s">
        <v>420</v>
      </c>
      <c r="D95" s="190" t="s">
        <v>199</v>
      </c>
      <c r="E95" s="615">
        <v>649364</v>
      </c>
      <c r="F95" s="617"/>
      <c r="G95" s="618"/>
      <c r="H95" s="618"/>
      <c r="I95" s="624" t="s">
        <v>160</v>
      </c>
      <c r="J95" s="618"/>
      <c r="K95" s="618" t="s">
        <v>149</v>
      </c>
      <c r="L95" s="618" t="s">
        <v>149</v>
      </c>
      <c r="O95" s="89"/>
    </row>
    <row r="96" spans="3:22" ht="14.1" customHeight="1">
      <c r="C96" s="543" t="s">
        <v>421</v>
      </c>
      <c r="D96" s="191" t="s">
        <v>200</v>
      </c>
      <c r="E96" s="615">
        <v>700872</v>
      </c>
      <c r="F96" s="618"/>
      <c r="G96" s="624" t="s">
        <v>183</v>
      </c>
      <c r="H96" s="618"/>
      <c r="I96" s="618" t="s">
        <v>191</v>
      </c>
      <c r="J96" s="618" t="s">
        <v>192</v>
      </c>
      <c r="K96" s="618" t="s">
        <v>192</v>
      </c>
      <c r="L96" s="620" t="s">
        <v>192</v>
      </c>
      <c r="O96" s="89"/>
    </row>
    <row r="97" spans="3:15" ht="14.1" customHeight="1">
      <c r="C97" s="543" t="s">
        <v>422</v>
      </c>
      <c r="D97" s="552" t="s">
        <v>202</v>
      </c>
      <c r="E97" s="631">
        <v>703861</v>
      </c>
      <c r="F97" s="618"/>
      <c r="G97" s="618"/>
      <c r="H97" s="618" t="s">
        <v>191</v>
      </c>
      <c r="I97" s="618" t="s">
        <v>150</v>
      </c>
      <c r="J97" s="618" t="s">
        <v>191</v>
      </c>
      <c r="K97" s="645"/>
      <c r="L97" s="645"/>
      <c r="O97" s="89"/>
    </row>
    <row r="98" spans="3:15" ht="14.1" customHeight="1">
      <c r="C98" s="543" t="s">
        <v>423</v>
      </c>
      <c r="D98" s="192" t="s">
        <v>204</v>
      </c>
      <c r="E98" s="615">
        <v>652868</v>
      </c>
      <c r="F98" s="616" t="s">
        <v>359</v>
      </c>
      <c r="G98" s="616" t="s">
        <v>359</v>
      </c>
      <c r="H98" s="618"/>
      <c r="I98" s="618"/>
      <c r="J98" s="618"/>
      <c r="K98" s="618"/>
      <c r="L98" s="618"/>
      <c r="O98" s="89"/>
    </row>
    <row r="99" spans="3:15" ht="14.1" customHeight="1">
      <c r="C99" s="543" t="s">
        <v>424</v>
      </c>
      <c r="D99" s="189" t="s">
        <v>205</v>
      </c>
      <c r="E99" s="615">
        <v>652998</v>
      </c>
      <c r="F99" s="619"/>
      <c r="G99" s="617"/>
      <c r="H99" s="617"/>
      <c r="I99" s="619"/>
      <c r="J99" s="620"/>
      <c r="K99" s="618" t="s">
        <v>191</v>
      </c>
      <c r="L99" s="624" t="s">
        <v>167</v>
      </c>
      <c r="O99" s="89"/>
    </row>
    <row r="100" spans="3:15" ht="14.1" customHeight="1">
      <c r="C100" s="543" t="s">
        <v>425</v>
      </c>
      <c r="D100" s="193" t="s">
        <v>206</v>
      </c>
      <c r="E100" s="631">
        <v>654959</v>
      </c>
      <c r="F100" s="616" t="s">
        <v>574</v>
      </c>
      <c r="G100" s="618" t="s">
        <v>149</v>
      </c>
      <c r="H100" s="618"/>
      <c r="I100" s="617"/>
      <c r="J100" s="618"/>
      <c r="K100" s="616" t="s">
        <v>359</v>
      </c>
      <c r="L100" s="578" t="s">
        <v>531</v>
      </c>
      <c r="O100" s="89"/>
    </row>
    <row r="101" spans="3:15" ht="14.1" customHeight="1">
      <c r="C101" s="85" t="s">
        <v>426</v>
      </c>
      <c r="D101" s="551" t="s">
        <v>207</v>
      </c>
      <c r="E101" s="615">
        <v>654981</v>
      </c>
      <c r="F101" s="617"/>
      <c r="G101" s="618"/>
      <c r="H101" s="618"/>
      <c r="I101" s="617"/>
      <c r="J101" s="618"/>
      <c r="K101" s="624" t="s">
        <v>167</v>
      </c>
      <c r="L101" s="618" t="s">
        <v>150</v>
      </c>
      <c r="O101" s="89"/>
    </row>
    <row r="102" spans="3:15" ht="14.1" customHeight="1">
      <c r="C102" s="85" t="s">
        <v>427</v>
      </c>
      <c r="D102" s="553" t="s">
        <v>208</v>
      </c>
      <c r="E102" s="615">
        <v>703795</v>
      </c>
      <c r="F102" s="618" t="s">
        <v>191</v>
      </c>
      <c r="G102" s="617"/>
      <c r="H102" s="617"/>
      <c r="I102" s="617"/>
      <c r="J102" s="618" t="s">
        <v>150</v>
      </c>
      <c r="K102" s="618" t="s">
        <v>150</v>
      </c>
      <c r="L102" s="618" t="s">
        <v>150</v>
      </c>
      <c r="O102" s="89"/>
    </row>
    <row r="103" spans="3:15" ht="14.1" customHeight="1">
      <c r="C103" s="730" t="s">
        <v>428</v>
      </c>
      <c r="D103" s="551" t="s">
        <v>209</v>
      </c>
      <c r="E103" s="615">
        <v>652364</v>
      </c>
      <c r="F103" s="617"/>
      <c r="G103" s="618"/>
      <c r="H103" s="618"/>
      <c r="I103" s="618"/>
      <c r="J103" s="618" t="s">
        <v>192</v>
      </c>
      <c r="K103" s="578" t="s">
        <v>519</v>
      </c>
      <c r="L103" s="618"/>
      <c r="O103" s="89"/>
    </row>
    <row r="104" spans="3:15" ht="14.1" customHeight="1">
      <c r="C104" s="543" t="s">
        <v>429</v>
      </c>
      <c r="D104" s="551" t="s">
        <v>210</v>
      </c>
      <c r="E104" s="615">
        <v>644433</v>
      </c>
      <c r="F104" s="617"/>
      <c r="G104" s="617"/>
      <c r="H104" s="617"/>
      <c r="I104" s="618"/>
      <c r="J104" s="624" t="s">
        <v>183</v>
      </c>
      <c r="K104" s="617"/>
      <c r="L104" s="618" t="s">
        <v>192</v>
      </c>
      <c r="O104" s="89"/>
    </row>
    <row r="105" spans="3:15" ht="14.1" customHeight="1">
      <c r="C105" s="87" t="s">
        <v>430</v>
      </c>
      <c r="D105" s="551" t="s">
        <v>211</v>
      </c>
      <c r="E105" s="615">
        <v>650602</v>
      </c>
      <c r="F105" s="617"/>
      <c r="G105" s="617"/>
      <c r="H105" s="617"/>
      <c r="I105" s="617"/>
      <c r="J105" s="617"/>
      <c r="K105" s="617"/>
      <c r="L105" s="617"/>
      <c r="O105" s="89"/>
    </row>
    <row r="106" spans="3:15" ht="14.1" customHeight="1">
      <c r="C106" s="87" t="s">
        <v>431</v>
      </c>
      <c r="D106" s="552" t="s">
        <v>212</v>
      </c>
      <c r="E106" s="631">
        <v>704893</v>
      </c>
      <c r="F106" s="618" t="s">
        <v>149</v>
      </c>
      <c r="G106" s="618" t="s">
        <v>149</v>
      </c>
      <c r="H106" s="617"/>
      <c r="I106" s="617"/>
      <c r="J106" s="618" t="s">
        <v>149</v>
      </c>
      <c r="K106" s="618" t="s">
        <v>149</v>
      </c>
      <c r="L106" s="618" t="s">
        <v>149</v>
      </c>
      <c r="O106" s="89"/>
    </row>
    <row r="107" spans="3:15" ht="14.1" customHeight="1">
      <c r="C107" s="87" t="s">
        <v>432</v>
      </c>
      <c r="D107" s="194" t="s">
        <v>214</v>
      </c>
      <c r="E107" s="615">
        <v>636733</v>
      </c>
      <c r="F107" s="618"/>
      <c r="G107" s="618"/>
      <c r="H107" s="617"/>
      <c r="I107" s="624" t="s">
        <v>160</v>
      </c>
      <c r="J107" s="565" t="s">
        <v>178</v>
      </c>
      <c r="K107" s="565" t="s">
        <v>178</v>
      </c>
      <c r="L107" s="565" t="s">
        <v>178</v>
      </c>
      <c r="O107" s="89"/>
    </row>
    <row r="108" spans="3:15" ht="14.1" customHeight="1">
      <c r="C108" s="69" t="s">
        <v>433</v>
      </c>
      <c r="D108" s="195" t="s">
        <v>216</v>
      </c>
      <c r="E108" s="200">
        <v>637770</v>
      </c>
      <c r="F108" s="254" t="s">
        <v>553</v>
      </c>
      <c r="G108" s="254"/>
      <c r="H108" s="254"/>
      <c r="I108" s="254"/>
      <c r="J108" s="254"/>
      <c r="K108" s="254"/>
      <c r="L108" s="254"/>
      <c r="O108" s="89"/>
    </row>
    <row r="109" spans="3:15" ht="14.1" customHeight="1">
      <c r="C109" s="543"/>
      <c r="D109" s="554"/>
      <c r="E109" s="200"/>
      <c r="F109" s="617"/>
      <c r="G109" s="617"/>
      <c r="H109" s="617"/>
      <c r="I109" s="617"/>
      <c r="J109" s="617"/>
      <c r="K109" s="617"/>
      <c r="L109" s="617"/>
      <c r="O109" s="89"/>
    </row>
    <row r="110" spans="3:15" ht="14.1" customHeight="1" thickBot="1">
      <c r="C110" s="543"/>
      <c r="D110" s="554"/>
      <c r="E110" s="166"/>
      <c r="F110" s="760" t="s">
        <v>218</v>
      </c>
      <c r="G110" s="761"/>
      <c r="H110" s="761"/>
      <c r="I110" s="761"/>
      <c r="J110" s="761"/>
      <c r="K110" s="761"/>
      <c r="L110" s="762"/>
      <c r="O110" s="89"/>
    </row>
    <row r="111" spans="3:15" ht="14.1" customHeight="1">
      <c r="C111" s="555" t="s">
        <v>434</v>
      </c>
      <c r="D111" s="167" t="s">
        <v>219</v>
      </c>
      <c r="E111" s="114"/>
      <c r="F111" s="71">
        <f t="shared" ref="F111:L111" si="20">F4</f>
        <v>46111</v>
      </c>
      <c r="G111" s="71">
        <f t="shared" si="20"/>
        <v>46112</v>
      </c>
      <c r="H111" s="71">
        <f t="shared" si="20"/>
        <v>46113</v>
      </c>
      <c r="I111" s="71">
        <f t="shared" si="20"/>
        <v>46114</v>
      </c>
      <c r="J111" s="71">
        <f t="shared" si="20"/>
        <v>46115</v>
      </c>
      <c r="K111" s="71">
        <f t="shared" si="20"/>
        <v>46116</v>
      </c>
      <c r="L111" s="71">
        <f t="shared" si="20"/>
        <v>46117</v>
      </c>
      <c r="O111" s="89"/>
    </row>
    <row r="112" spans="3:15" ht="14.1" customHeight="1">
      <c r="C112" s="556" t="s">
        <v>435</v>
      </c>
      <c r="D112" s="557" t="s">
        <v>220</v>
      </c>
      <c r="E112" s="633">
        <v>654686</v>
      </c>
      <c r="F112" s="303"/>
      <c r="G112" s="303"/>
      <c r="H112" s="303" t="s">
        <v>226</v>
      </c>
      <c r="I112" s="303"/>
      <c r="J112" s="565" t="s">
        <v>222</v>
      </c>
      <c r="K112" s="565" t="s">
        <v>221</v>
      </c>
      <c r="L112" s="565" t="s">
        <v>222</v>
      </c>
      <c r="O112" s="89"/>
    </row>
    <row r="113" spans="3:15" ht="14.1" customHeight="1">
      <c r="C113" s="556" t="s">
        <v>436</v>
      </c>
      <c r="D113" s="557" t="s">
        <v>227</v>
      </c>
      <c r="E113" s="633">
        <v>700581</v>
      </c>
      <c r="F113" s="565"/>
      <c r="G113" s="565" t="s">
        <v>225</v>
      </c>
      <c r="H113" s="565" t="s">
        <v>150</v>
      </c>
      <c r="I113" s="565"/>
      <c r="J113" s="565"/>
      <c r="K113" s="565" t="s">
        <v>223</v>
      </c>
      <c r="L113" s="565" t="s">
        <v>221</v>
      </c>
      <c r="O113" s="89"/>
    </row>
    <row r="114" spans="3:15" ht="14.1" customHeight="1">
      <c r="C114" s="88" t="s">
        <v>437</v>
      </c>
      <c r="D114" s="557" t="s">
        <v>228</v>
      </c>
      <c r="E114" s="633">
        <v>700540</v>
      </c>
      <c r="F114" s="565" t="s">
        <v>150</v>
      </c>
      <c r="G114" s="565" t="s">
        <v>221</v>
      </c>
      <c r="H114" s="578" t="s">
        <v>519</v>
      </c>
      <c r="I114" s="565" t="s">
        <v>223</v>
      </c>
      <c r="J114" s="565"/>
      <c r="K114" s="213"/>
      <c r="L114" s="565"/>
      <c r="O114" s="89"/>
    </row>
    <row r="115" spans="3:15" ht="14.1" customHeight="1">
      <c r="C115" s="556" t="s">
        <v>438</v>
      </c>
      <c r="D115" s="557" t="s">
        <v>230</v>
      </c>
      <c r="E115" s="633">
        <v>646665</v>
      </c>
      <c r="F115" s="565" t="s">
        <v>221</v>
      </c>
      <c r="G115" s="565"/>
      <c r="H115" s="565"/>
      <c r="I115" s="565" t="s">
        <v>150</v>
      </c>
      <c r="J115" s="565" t="s">
        <v>150</v>
      </c>
      <c r="K115" s="565"/>
      <c r="L115" s="565" t="s">
        <v>149</v>
      </c>
      <c r="O115" s="89"/>
    </row>
    <row r="116" spans="3:15" ht="14.1" customHeight="1">
      <c r="C116" s="556" t="s">
        <v>439</v>
      </c>
      <c r="D116" s="557" t="s">
        <v>231</v>
      </c>
      <c r="E116" s="633">
        <v>654598</v>
      </c>
      <c r="F116" s="565" t="s">
        <v>226</v>
      </c>
      <c r="G116" s="565" t="s">
        <v>150</v>
      </c>
      <c r="H116" s="565"/>
      <c r="I116" s="565" t="s">
        <v>149</v>
      </c>
      <c r="J116" s="565" t="s">
        <v>149</v>
      </c>
      <c r="K116" s="565"/>
      <c r="L116" s="565"/>
      <c r="O116" s="89"/>
    </row>
    <row r="117" spans="3:15" ht="14.1" customHeight="1">
      <c r="C117" s="556" t="s">
        <v>440</v>
      </c>
      <c r="D117" s="557" t="s">
        <v>232</v>
      </c>
      <c r="E117" s="633">
        <v>700591</v>
      </c>
      <c r="F117" s="565" t="s">
        <v>223</v>
      </c>
      <c r="G117" s="565"/>
      <c r="H117" s="565"/>
      <c r="I117" s="578" t="s">
        <v>359</v>
      </c>
      <c r="J117" s="565"/>
      <c r="K117" s="565" t="s">
        <v>224</v>
      </c>
      <c r="L117" s="565" t="s">
        <v>150</v>
      </c>
      <c r="O117" s="89"/>
    </row>
    <row r="118" spans="3:15" ht="14.1" customHeight="1">
      <c r="C118" s="556" t="s">
        <v>441</v>
      </c>
      <c r="D118" s="557" t="s">
        <v>233</v>
      </c>
      <c r="E118" s="633">
        <v>700648</v>
      </c>
      <c r="F118" s="565" t="s">
        <v>225</v>
      </c>
      <c r="G118" s="565" t="s">
        <v>150</v>
      </c>
      <c r="H118" s="565"/>
      <c r="I118" s="565"/>
      <c r="J118" s="565"/>
      <c r="K118" s="565" t="s">
        <v>225</v>
      </c>
      <c r="L118" s="565" t="s">
        <v>224</v>
      </c>
      <c r="O118" s="89"/>
    </row>
    <row r="119" spans="3:15" ht="14.1" customHeight="1">
      <c r="C119" s="556" t="s">
        <v>443</v>
      </c>
      <c r="D119" s="557" t="s">
        <v>234</v>
      </c>
      <c r="E119" s="633">
        <v>700653</v>
      </c>
      <c r="F119" s="635"/>
      <c r="G119" s="635"/>
      <c r="H119" s="635"/>
      <c r="I119" s="635"/>
      <c r="J119" s="635"/>
      <c r="K119" s="635"/>
      <c r="L119" s="635"/>
      <c r="O119" s="89"/>
    </row>
    <row r="120" spans="3:15" ht="14.1" customHeight="1">
      <c r="C120" s="556" t="s">
        <v>444</v>
      </c>
      <c r="D120" s="557" t="s">
        <v>235</v>
      </c>
      <c r="E120" s="633">
        <v>700604</v>
      </c>
      <c r="F120" s="565" t="s">
        <v>222</v>
      </c>
      <c r="G120" s="565"/>
      <c r="H120" s="565"/>
      <c r="I120" s="565" t="s">
        <v>226</v>
      </c>
      <c r="J120" s="565"/>
      <c r="K120" s="565" t="s">
        <v>150</v>
      </c>
      <c r="L120" s="578" t="s">
        <v>531</v>
      </c>
      <c r="O120" s="89"/>
    </row>
    <row r="121" spans="3:15" ht="14.1" customHeight="1">
      <c r="C121" s="556" t="s">
        <v>445</v>
      </c>
      <c r="D121" s="557" t="s">
        <v>236</v>
      </c>
      <c r="E121" s="633">
        <v>655170</v>
      </c>
      <c r="F121" s="578" t="s">
        <v>359</v>
      </c>
      <c r="G121" s="565" t="s">
        <v>223</v>
      </c>
      <c r="H121" s="565" t="s">
        <v>222</v>
      </c>
      <c r="I121" s="565" t="s">
        <v>221</v>
      </c>
      <c r="J121" s="565"/>
      <c r="K121" s="565"/>
      <c r="L121" s="565"/>
      <c r="O121" s="89"/>
    </row>
    <row r="122" spans="3:15" ht="14.1" customHeight="1">
      <c r="C122" s="556" t="s">
        <v>446</v>
      </c>
      <c r="D122" s="557" t="s">
        <v>237</v>
      </c>
      <c r="E122" s="633">
        <v>703000</v>
      </c>
      <c r="F122" s="565" t="s">
        <v>149</v>
      </c>
      <c r="G122" s="565" t="s">
        <v>222</v>
      </c>
      <c r="H122" s="565" t="s">
        <v>221</v>
      </c>
      <c r="I122" s="565" t="s">
        <v>222</v>
      </c>
      <c r="J122" s="565"/>
      <c r="K122" s="565"/>
      <c r="L122" s="565"/>
      <c r="O122" s="89"/>
    </row>
    <row r="123" spans="3:15" ht="14.1" customHeight="1">
      <c r="C123" s="556" t="s">
        <v>447</v>
      </c>
      <c r="D123" s="557" t="s">
        <v>238</v>
      </c>
      <c r="E123" s="633">
        <v>702770</v>
      </c>
      <c r="F123" s="565"/>
      <c r="G123" s="565" t="s">
        <v>149</v>
      </c>
      <c r="H123" s="565" t="s">
        <v>224</v>
      </c>
      <c r="I123" s="565" t="s">
        <v>149</v>
      </c>
      <c r="J123" s="565" t="s">
        <v>150</v>
      </c>
      <c r="K123" s="565"/>
      <c r="L123" s="565"/>
      <c r="O123" s="89"/>
    </row>
    <row r="124" spans="3:15" ht="14.1" customHeight="1">
      <c r="C124" s="556" t="s">
        <v>448</v>
      </c>
      <c r="D124" s="557" t="s">
        <v>239</v>
      </c>
      <c r="E124" s="633">
        <v>704108</v>
      </c>
      <c r="F124" s="565"/>
      <c r="G124" s="565"/>
      <c r="H124" s="565"/>
      <c r="I124" s="565" t="s">
        <v>150</v>
      </c>
      <c r="J124" s="565" t="s">
        <v>223</v>
      </c>
      <c r="K124" s="565" t="s">
        <v>222</v>
      </c>
      <c r="L124" s="565" t="s">
        <v>223</v>
      </c>
      <c r="O124" s="89"/>
    </row>
    <row r="125" spans="3:15" ht="14.1" customHeight="1">
      <c r="C125" s="556" t="s">
        <v>449</v>
      </c>
      <c r="D125" s="557" t="s">
        <v>240</v>
      </c>
      <c r="E125" s="633">
        <v>700734</v>
      </c>
      <c r="F125" s="565" t="s">
        <v>222</v>
      </c>
      <c r="G125" s="565"/>
      <c r="H125" s="565"/>
      <c r="I125" s="565"/>
      <c r="J125" s="565" t="s">
        <v>224</v>
      </c>
      <c r="K125" s="565" t="s">
        <v>150</v>
      </c>
      <c r="L125" s="565" t="s">
        <v>150</v>
      </c>
      <c r="O125" s="89"/>
    </row>
    <row r="126" spans="3:15" ht="14.1" customHeight="1">
      <c r="C126" s="556" t="s">
        <v>450</v>
      </c>
      <c r="D126" s="557" t="s">
        <v>241</v>
      </c>
      <c r="E126" s="633">
        <v>702035</v>
      </c>
      <c r="F126" s="635"/>
      <c r="G126" s="635"/>
      <c r="H126" s="635"/>
      <c r="I126" s="635"/>
      <c r="J126" s="635"/>
      <c r="K126" s="635"/>
      <c r="L126" s="635"/>
      <c r="O126" s="89"/>
    </row>
    <row r="127" spans="3:15" ht="14.1" customHeight="1">
      <c r="C127" s="556" t="s">
        <v>451</v>
      </c>
      <c r="D127" s="557" t="s">
        <v>242</v>
      </c>
      <c r="E127" s="633">
        <v>702779</v>
      </c>
      <c r="F127" s="565" t="s">
        <v>150</v>
      </c>
      <c r="G127" s="565"/>
      <c r="H127" s="565"/>
      <c r="I127" s="565"/>
      <c r="J127" s="565" t="s">
        <v>225</v>
      </c>
      <c r="K127" s="565" t="s">
        <v>226</v>
      </c>
      <c r="L127" s="565" t="s">
        <v>150</v>
      </c>
      <c r="O127" s="89"/>
    </row>
    <row r="128" spans="3:15" ht="14.1" customHeight="1">
      <c r="C128" s="556" t="s">
        <v>452</v>
      </c>
      <c r="D128" s="557" t="s">
        <v>243</v>
      </c>
      <c r="E128" s="633">
        <v>641339</v>
      </c>
      <c r="F128" s="565" t="s">
        <v>224</v>
      </c>
      <c r="G128" s="565" t="s">
        <v>150</v>
      </c>
      <c r="H128" s="565" t="s">
        <v>150</v>
      </c>
      <c r="I128" s="565"/>
      <c r="J128" s="565" t="s">
        <v>150</v>
      </c>
      <c r="K128" s="565"/>
      <c r="L128" s="565"/>
      <c r="O128" s="89"/>
    </row>
    <row r="129" spans="3:15" ht="14.1" customHeight="1">
      <c r="C129" s="556" t="s">
        <v>453</v>
      </c>
      <c r="D129" s="557" t="s">
        <v>244</v>
      </c>
      <c r="E129" s="633">
        <v>703783</v>
      </c>
      <c r="F129" s="565"/>
      <c r="G129" s="565" t="s">
        <v>150</v>
      </c>
      <c r="H129" s="565"/>
      <c r="I129" s="565" t="s">
        <v>224</v>
      </c>
      <c r="J129" s="565"/>
      <c r="K129" s="565" t="s">
        <v>149</v>
      </c>
      <c r="L129" s="565" t="s">
        <v>225</v>
      </c>
      <c r="O129" s="89"/>
    </row>
    <row r="130" spans="3:15" ht="14.1" customHeight="1">
      <c r="C130" s="556" t="s">
        <v>454</v>
      </c>
      <c r="D130" s="557" t="s">
        <v>245</v>
      </c>
      <c r="E130" s="625">
        <v>702087</v>
      </c>
      <c r="F130" s="565"/>
      <c r="G130" s="565" t="s">
        <v>149</v>
      </c>
      <c r="H130" s="565" t="s">
        <v>150</v>
      </c>
      <c r="I130" s="565"/>
      <c r="J130" s="565"/>
      <c r="K130" s="565"/>
      <c r="L130" s="565"/>
      <c r="O130" s="89"/>
    </row>
    <row r="131" spans="3:15" ht="14.1" customHeight="1">
      <c r="C131" s="556" t="s">
        <v>455</v>
      </c>
      <c r="D131" s="558" t="s">
        <v>246</v>
      </c>
      <c r="E131" s="625">
        <v>705039</v>
      </c>
      <c r="F131" s="565"/>
      <c r="G131" s="565" t="s">
        <v>222</v>
      </c>
      <c r="H131" s="565" t="s">
        <v>223</v>
      </c>
      <c r="I131" s="565" t="s">
        <v>222</v>
      </c>
      <c r="J131" s="565" t="s">
        <v>221</v>
      </c>
      <c r="K131" s="565"/>
      <c r="L131" s="565"/>
      <c r="O131" s="89"/>
    </row>
    <row r="132" spans="3:15" ht="14.1" customHeight="1">
      <c r="C132" s="556" t="s">
        <v>456</v>
      </c>
      <c r="D132" s="557" t="s">
        <v>247</v>
      </c>
      <c r="E132" s="625">
        <v>703186</v>
      </c>
      <c r="F132" s="565" t="s">
        <v>150</v>
      </c>
      <c r="G132" s="565"/>
      <c r="H132" s="565" t="s">
        <v>149</v>
      </c>
      <c r="I132" s="565" t="s">
        <v>225</v>
      </c>
      <c r="J132" s="565" t="s">
        <v>226</v>
      </c>
      <c r="K132" s="565"/>
      <c r="L132" s="565"/>
      <c r="O132" s="89"/>
    </row>
    <row r="133" spans="3:15" ht="14.1" customHeight="1">
      <c r="C133" s="556" t="s">
        <v>458</v>
      </c>
      <c r="D133" s="557" t="s">
        <v>248</v>
      </c>
      <c r="E133" s="625">
        <v>703168</v>
      </c>
      <c r="F133" s="635"/>
      <c r="G133" s="635"/>
      <c r="H133" s="635"/>
      <c r="I133" s="635"/>
      <c r="J133" s="635"/>
      <c r="K133" s="635"/>
      <c r="L133" s="635"/>
      <c r="O133" s="89"/>
    </row>
    <row r="134" spans="3:15" ht="14.1" customHeight="1">
      <c r="C134" s="556" t="s">
        <v>459</v>
      </c>
      <c r="D134" s="557" t="s">
        <v>249</v>
      </c>
      <c r="E134" s="625">
        <v>703270</v>
      </c>
      <c r="F134" s="565"/>
      <c r="G134" s="565" t="s">
        <v>224</v>
      </c>
      <c r="H134" s="565" t="s">
        <v>225</v>
      </c>
      <c r="I134" s="565"/>
      <c r="J134" s="565" t="s">
        <v>149</v>
      </c>
      <c r="K134" s="565" t="s">
        <v>150</v>
      </c>
      <c r="L134" s="565"/>
      <c r="O134" s="89"/>
    </row>
    <row r="135" spans="3:15" ht="14.1" customHeight="1">
      <c r="C135" s="556" t="s">
        <v>460</v>
      </c>
      <c r="D135" s="558" t="s">
        <v>251</v>
      </c>
      <c r="E135" s="625">
        <v>702481</v>
      </c>
      <c r="F135" s="635"/>
      <c r="G135" s="635"/>
      <c r="H135" s="635"/>
      <c r="I135" s="635"/>
      <c r="J135" s="635"/>
      <c r="K135" s="635"/>
      <c r="L135" s="635"/>
      <c r="O135" s="89"/>
    </row>
    <row r="136" spans="3:15" ht="14.1" customHeight="1">
      <c r="C136" s="556" t="s">
        <v>461</v>
      </c>
      <c r="D136" s="558" t="s">
        <v>252</v>
      </c>
      <c r="E136" s="625">
        <v>700682</v>
      </c>
      <c r="F136" s="634"/>
      <c r="G136" s="634"/>
      <c r="H136" s="634"/>
      <c r="I136" s="634"/>
      <c r="J136" s="634"/>
      <c r="K136" s="634"/>
      <c r="L136" s="634"/>
      <c r="O136" s="89"/>
    </row>
    <row r="137" spans="3:15" ht="14.1" customHeight="1">
      <c r="C137" s="556" t="s">
        <v>462</v>
      </c>
      <c r="D137" s="558" t="s">
        <v>253</v>
      </c>
      <c r="E137" s="625">
        <v>700721</v>
      </c>
      <c r="F137" s="634"/>
      <c r="G137" s="634"/>
      <c r="H137" s="634"/>
      <c r="I137" s="634"/>
      <c r="J137" s="634"/>
      <c r="K137" s="634"/>
      <c r="L137" s="634"/>
      <c r="O137" s="89"/>
    </row>
    <row r="138" spans="3:15" ht="14.1" customHeight="1">
      <c r="C138" s="556" t="s">
        <v>463</v>
      </c>
      <c r="D138" s="558" t="s">
        <v>254</v>
      </c>
      <c r="E138" s="625">
        <v>703820</v>
      </c>
      <c r="F138" s="634"/>
      <c r="G138" s="634"/>
      <c r="H138" s="634"/>
      <c r="I138" s="634"/>
      <c r="J138" s="634"/>
      <c r="K138" s="634"/>
      <c r="L138" s="634"/>
      <c r="O138" s="89"/>
    </row>
    <row r="139" spans="3:15" ht="14.1" customHeight="1">
      <c r="C139" s="556" t="s">
        <v>464</v>
      </c>
      <c r="D139" s="558" t="s">
        <v>255</v>
      </c>
      <c r="E139" s="625">
        <v>703788</v>
      </c>
      <c r="F139" s="565"/>
      <c r="G139" s="565"/>
      <c r="H139" s="565" t="s">
        <v>149</v>
      </c>
      <c r="I139" s="565"/>
      <c r="J139" s="565" t="s">
        <v>222</v>
      </c>
      <c r="K139" s="565" t="s">
        <v>222</v>
      </c>
      <c r="L139" s="565" t="s">
        <v>222</v>
      </c>
      <c r="O139" s="89"/>
    </row>
    <row r="140" spans="3:15" ht="14.1" customHeight="1">
      <c r="C140" s="556" t="s">
        <v>465</v>
      </c>
      <c r="D140" s="558" t="s">
        <v>256</v>
      </c>
      <c r="E140" s="625">
        <v>700646</v>
      </c>
      <c r="F140" s="634"/>
      <c r="G140" s="634"/>
      <c r="H140" s="634"/>
      <c r="I140" s="634"/>
      <c r="J140" s="634"/>
      <c r="K140" s="634"/>
      <c r="L140" s="634"/>
      <c r="O140" s="89"/>
    </row>
    <row r="141" spans="3:15" ht="14.1" customHeight="1">
      <c r="C141" s="556" t="s">
        <v>466</v>
      </c>
      <c r="D141" s="558" t="s">
        <v>257</v>
      </c>
      <c r="E141" s="633">
        <v>655539</v>
      </c>
      <c r="F141" s="634"/>
      <c r="G141" s="634"/>
      <c r="H141" s="634"/>
      <c r="I141" s="634"/>
      <c r="J141" s="634"/>
      <c r="K141" s="634"/>
      <c r="L141" s="634"/>
      <c r="O141" s="89"/>
    </row>
    <row r="142" spans="3:15" ht="14.1" customHeight="1">
      <c r="C142" s="556" t="s">
        <v>467</v>
      </c>
      <c r="D142" s="559" t="s">
        <v>258</v>
      </c>
      <c r="E142" s="633">
        <v>653933</v>
      </c>
      <c r="F142" s="565" t="s">
        <v>149</v>
      </c>
      <c r="G142" s="565" t="s">
        <v>226</v>
      </c>
      <c r="H142" s="565"/>
      <c r="I142" s="565"/>
      <c r="J142" s="565"/>
      <c r="K142" s="565" t="s">
        <v>149</v>
      </c>
      <c r="L142" s="565" t="s">
        <v>149</v>
      </c>
      <c r="O142" s="89"/>
    </row>
    <row r="143" spans="3:15" ht="14.1" customHeight="1">
      <c r="C143" s="556" t="s">
        <v>468</v>
      </c>
      <c r="D143" s="558" t="s">
        <v>259</v>
      </c>
      <c r="E143" s="636"/>
      <c r="F143" s="634"/>
      <c r="G143" s="634"/>
      <c r="H143" s="634"/>
      <c r="I143" s="634"/>
      <c r="J143" s="634"/>
      <c r="K143" s="634"/>
      <c r="L143" s="634"/>
      <c r="O143" s="89"/>
    </row>
    <row r="144" spans="3:15" ht="14.1" customHeight="1">
      <c r="C144" s="556"/>
      <c r="D144" s="286"/>
      <c r="E144" s="304"/>
      <c r="G144" s="566"/>
      <c r="H144" s="566"/>
      <c r="I144" s="566"/>
      <c r="J144" s="566"/>
      <c r="K144" s="566"/>
      <c r="L144" s="566"/>
      <c r="O144" s="89"/>
    </row>
    <row r="145" spans="3:15" ht="14.1" customHeight="1">
      <c r="C145" s="560" t="s">
        <v>472</v>
      </c>
      <c r="D145" s="462" t="s">
        <v>260</v>
      </c>
      <c r="E145" s="463"/>
      <c r="F145" s="210"/>
      <c r="G145" s="578"/>
      <c r="H145" s="578"/>
      <c r="I145" s="578"/>
      <c r="J145" s="578"/>
      <c r="K145" s="578"/>
      <c r="L145" s="578"/>
      <c r="O145" s="89"/>
    </row>
    <row r="146" spans="3:15" ht="14.1" customHeight="1">
      <c r="C146" s="561" t="s">
        <v>554</v>
      </c>
      <c r="D146" s="694" t="s">
        <v>555</v>
      </c>
      <c r="E146" s="695">
        <v>703323</v>
      </c>
      <c r="F146" s="258" t="s">
        <v>263</v>
      </c>
      <c r="G146" s="258" t="s">
        <v>263</v>
      </c>
      <c r="H146" s="258" t="s">
        <v>263</v>
      </c>
      <c r="I146" s="258" t="s">
        <v>263</v>
      </c>
      <c r="J146" s="258" t="s">
        <v>263</v>
      </c>
      <c r="K146" s="258" t="s">
        <v>263</v>
      </c>
      <c r="L146" s="266" t="s">
        <v>263</v>
      </c>
      <c r="O146" s="89"/>
    </row>
    <row r="147" spans="3:15" ht="14.1" customHeight="1">
      <c r="C147" s="561" t="s">
        <v>556</v>
      </c>
      <c r="D147" s="307" t="s">
        <v>557</v>
      </c>
      <c r="E147" s="308">
        <v>703564</v>
      </c>
      <c r="F147" s="258" t="s">
        <v>263</v>
      </c>
      <c r="G147" s="258" t="s">
        <v>263</v>
      </c>
      <c r="H147" s="258" t="s">
        <v>263</v>
      </c>
      <c r="I147" s="258" t="s">
        <v>263</v>
      </c>
      <c r="J147" s="258" t="s">
        <v>263</v>
      </c>
      <c r="K147" s="258" t="s">
        <v>263</v>
      </c>
      <c r="L147" s="266" t="s">
        <v>263</v>
      </c>
      <c r="O147" s="89"/>
    </row>
    <row r="148" spans="3:15" ht="14.1" customHeight="1">
      <c r="C148" s="561" t="s">
        <v>587</v>
      </c>
      <c r="D148" s="307" t="s">
        <v>559</v>
      </c>
      <c r="E148" s="308">
        <v>703800</v>
      </c>
      <c r="F148" s="261" t="s">
        <v>561</v>
      </c>
      <c r="G148" s="261" t="s">
        <v>564</v>
      </c>
      <c r="H148" s="261" t="s">
        <v>149</v>
      </c>
      <c r="I148" s="261" t="s">
        <v>149</v>
      </c>
      <c r="J148" s="261" t="s">
        <v>149</v>
      </c>
      <c r="K148" s="261" t="s">
        <v>561</v>
      </c>
      <c r="L148" s="267" t="s">
        <v>561</v>
      </c>
      <c r="O148" s="89"/>
    </row>
    <row r="149" spans="3:15" ht="14.1" customHeight="1">
      <c r="C149" s="561" t="s">
        <v>562</v>
      </c>
      <c r="D149" s="307" t="s">
        <v>563</v>
      </c>
      <c r="E149" s="308">
        <v>703321</v>
      </c>
      <c r="F149" s="261" t="s">
        <v>222</v>
      </c>
      <c r="G149" s="261" t="s">
        <v>222</v>
      </c>
      <c r="H149" s="261" t="s">
        <v>561</v>
      </c>
      <c r="I149" s="261" t="s">
        <v>561</v>
      </c>
      <c r="J149" s="261" t="s">
        <v>150</v>
      </c>
      <c r="K149" s="261" t="s">
        <v>561</v>
      </c>
      <c r="L149" s="267" t="s">
        <v>561</v>
      </c>
      <c r="O149" s="89"/>
    </row>
    <row r="150" spans="3:15" ht="14.1" customHeight="1">
      <c r="C150" s="561" t="s">
        <v>565</v>
      </c>
      <c r="D150" s="307" t="s">
        <v>566</v>
      </c>
      <c r="E150" s="308">
        <v>703351</v>
      </c>
      <c r="F150" s="261" t="s">
        <v>150</v>
      </c>
      <c r="G150" s="261" t="s">
        <v>150</v>
      </c>
      <c r="H150" s="261" t="s">
        <v>150</v>
      </c>
      <c r="I150" s="261" t="s">
        <v>561</v>
      </c>
      <c r="J150" s="261" t="s">
        <v>149</v>
      </c>
      <c r="K150" s="261" t="s">
        <v>149</v>
      </c>
      <c r="L150" s="267" t="s">
        <v>149</v>
      </c>
      <c r="O150" s="89"/>
    </row>
    <row r="151" spans="3:15" ht="14.1" customHeight="1">
      <c r="C151" s="561" t="s">
        <v>568</v>
      </c>
      <c r="D151" s="307" t="s">
        <v>569</v>
      </c>
      <c r="E151" s="308">
        <v>703574</v>
      </c>
      <c r="F151" s="261" t="s">
        <v>150</v>
      </c>
      <c r="G151" s="261" t="s">
        <v>150</v>
      </c>
      <c r="H151" s="261" t="s">
        <v>561</v>
      </c>
      <c r="I151" s="261" t="s">
        <v>561</v>
      </c>
      <c r="J151" s="261" t="s">
        <v>561</v>
      </c>
      <c r="K151" s="261" t="s">
        <v>561</v>
      </c>
      <c r="L151" s="267" t="s">
        <v>222</v>
      </c>
      <c r="O151" s="89"/>
    </row>
    <row r="152" spans="3:15" ht="14.1" customHeight="1">
      <c r="C152" s="561" t="s">
        <v>570</v>
      </c>
      <c r="D152" s="307" t="s">
        <v>571</v>
      </c>
      <c r="E152" s="308">
        <v>703354</v>
      </c>
      <c r="F152" s="261" t="s">
        <v>149</v>
      </c>
      <c r="G152" s="261" t="s">
        <v>149</v>
      </c>
      <c r="H152" s="261" t="s">
        <v>561</v>
      </c>
      <c r="I152" s="261" t="s">
        <v>561</v>
      </c>
      <c r="J152" s="261" t="s">
        <v>150</v>
      </c>
      <c r="K152" s="261" t="s">
        <v>150</v>
      </c>
      <c r="L152" s="267" t="s">
        <v>150</v>
      </c>
      <c r="O152" s="89"/>
    </row>
    <row r="153" spans="3:15" ht="14.1" customHeight="1">
      <c r="C153" s="561" t="s">
        <v>572</v>
      </c>
      <c r="D153" s="307" t="s">
        <v>573</v>
      </c>
      <c r="E153" s="308">
        <v>703547</v>
      </c>
      <c r="F153" s="261" t="s">
        <v>561</v>
      </c>
      <c r="G153" s="261" t="s">
        <v>561</v>
      </c>
      <c r="H153" s="261" t="s">
        <v>222</v>
      </c>
      <c r="I153" s="261" t="s">
        <v>222</v>
      </c>
      <c r="J153" s="261" t="s">
        <v>222</v>
      </c>
      <c r="K153" s="261" t="s">
        <v>222</v>
      </c>
      <c r="L153" s="267" t="s">
        <v>561</v>
      </c>
      <c r="O153" s="89"/>
    </row>
    <row r="154" spans="3:15" ht="14.1" customHeight="1">
      <c r="C154" s="561" t="s">
        <v>575</v>
      </c>
      <c r="D154" s="307" t="s">
        <v>576</v>
      </c>
      <c r="E154" s="308">
        <v>703356</v>
      </c>
      <c r="F154" s="261" t="s">
        <v>561</v>
      </c>
      <c r="G154" s="261" t="s">
        <v>561</v>
      </c>
      <c r="H154" s="261" t="s">
        <v>149</v>
      </c>
      <c r="I154" s="261" t="s">
        <v>149</v>
      </c>
      <c r="J154" s="261" t="s">
        <v>561</v>
      </c>
      <c r="K154" s="261" t="s">
        <v>149</v>
      </c>
      <c r="L154" s="267" t="s">
        <v>149</v>
      </c>
      <c r="O154" s="89"/>
    </row>
    <row r="155" spans="3:15" ht="14.1" customHeight="1">
      <c r="C155" s="561" t="s">
        <v>577</v>
      </c>
      <c r="D155" s="307" t="s">
        <v>578</v>
      </c>
      <c r="E155" s="308">
        <v>703476</v>
      </c>
      <c r="F155" s="299" t="s">
        <v>530</v>
      </c>
      <c r="G155" s="264" t="s">
        <v>149</v>
      </c>
      <c r="H155" s="264" t="s">
        <v>150</v>
      </c>
      <c r="I155" s="264" t="s">
        <v>150</v>
      </c>
      <c r="J155" s="264" t="s">
        <v>561</v>
      </c>
      <c r="K155" s="264" t="s">
        <v>561</v>
      </c>
      <c r="L155" s="268" t="s">
        <v>561</v>
      </c>
      <c r="O155" s="89"/>
    </row>
    <row r="156" spans="3:15" ht="14.1" customHeight="1">
      <c r="C156" s="561" t="s">
        <v>484</v>
      </c>
      <c r="D156" s="295" t="s">
        <v>485</v>
      </c>
      <c r="E156" s="308">
        <v>700626</v>
      </c>
      <c r="F156" s="296" t="s">
        <v>149</v>
      </c>
      <c r="G156" s="296"/>
      <c r="H156" s="301" t="s">
        <v>530</v>
      </c>
      <c r="I156" s="296" t="s">
        <v>149</v>
      </c>
      <c r="J156" s="296" t="s">
        <v>149</v>
      </c>
      <c r="K156" s="296"/>
      <c r="L156" s="296"/>
      <c r="O156" s="89"/>
    </row>
    <row r="157" spans="3:15" ht="14.1" customHeight="1">
      <c r="C157" s="561"/>
      <c r="D157" s="175"/>
      <c r="E157" s="114"/>
      <c r="F157" s="793" t="s">
        <v>275</v>
      </c>
      <c r="G157" s="794"/>
      <c r="H157" s="794"/>
      <c r="I157" s="794"/>
      <c r="J157" s="794"/>
      <c r="K157" s="794"/>
      <c r="L157" s="795"/>
      <c r="O157" s="89"/>
    </row>
    <row r="158" spans="3:15" ht="14.1" customHeight="1">
      <c r="D158" s="476"/>
      <c r="E158" s="477"/>
      <c r="F158" s="566"/>
      <c r="G158" s="566"/>
      <c r="H158" s="566"/>
      <c r="I158" s="566"/>
      <c r="J158" s="566"/>
      <c r="K158" s="566"/>
      <c r="L158" s="566"/>
      <c r="O158" s="89"/>
    </row>
    <row r="159" spans="3:15" ht="14.1" customHeight="1">
      <c r="D159" s="479"/>
      <c r="E159" s="477"/>
      <c r="F159" s="566"/>
      <c r="G159" s="566"/>
      <c r="H159" s="566"/>
      <c r="I159" s="566"/>
      <c r="J159" s="566"/>
      <c r="K159" s="566"/>
      <c r="L159" s="566"/>
      <c r="O159" s="89"/>
    </row>
    <row r="160" spans="3:15" ht="14.1" customHeight="1">
      <c r="C160" s="563" t="s">
        <v>488</v>
      </c>
      <c r="D160" s="479" t="s">
        <v>488</v>
      </c>
      <c r="E160" s="477"/>
      <c r="F160" s="566"/>
      <c r="G160" s="566"/>
      <c r="H160" s="566"/>
      <c r="I160" s="566"/>
      <c r="J160" s="566"/>
      <c r="K160" s="566"/>
      <c r="L160" s="566"/>
      <c r="O160" s="89"/>
    </row>
    <row r="161" spans="3:15" ht="14.1" customHeight="1">
      <c r="C161" s="563"/>
      <c r="D161" s="563"/>
      <c r="E161" s="477"/>
      <c r="F161" s="566"/>
      <c r="G161" s="566"/>
      <c r="H161" s="566"/>
      <c r="I161" s="566"/>
      <c r="J161" s="566"/>
      <c r="K161" s="566"/>
      <c r="L161" s="566"/>
      <c r="O161" s="89"/>
    </row>
    <row r="162" spans="3:15" ht="14.1" customHeight="1">
      <c r="C162" s="563"/>
      <c r="D162" s="563"/>
      <c r="E162" s="477"/>
      <c r="F162" s="566"/>
      <c r="G162" s="566"/>
      <c r="H162" s="566"/>
      <c r="I162" s="566"/>
      <c r="J162" s="566"/>
      <c r="K162" s="566"/>
      <c r="L162" s="566"/>
      <c r="O162" s="89"/>
    </row>
    <row r="163" spans="3:15" ht="14.1" customHeight="1">
      <c r="C163" s="563"/>
      <c r="D163" s="563"/>
      <c r="E163" s="477"/>
      <c r="F163" s="566"/>
      <c r="G163" s="566"/>
      <c r="H163" s="566"/>
      <c r="I163" s="566"/>
      <c r="J163" s="566"/>
      <c r="K163" s="566"/>
      <c r="L163" s="566"/>
      <c r="O163" s="89"/>
    </row>
    <row r="164" spans="3:15" ht="14.1" customHeight="1">
      <c r="C164" s="563"/>
      <c r="D164" s="563"/>
      <c r="E164" s="477"/>
      <c r="G164" s="566"/>
      <c r="H164" s="566"/>
      <c r="I164" s="566"/>
      <c r="J164" s="566"/>
      <c r="K164" s="566"/>
      <c r="L164" s="566"/>
      <c r="O164" s="89"/>
    </row>
    <row r="165" spans="3:15" ht="14.1" customHeight="1">
      <c r="C165" s="563"/>
      <c r="D165" s="563"/>
      <c r="E165" s="477"/>
      <c r="G165" s="566"/>
      <c r="H165" s="566"/>
      <c r="I165" s="566"/>
      <c r="J165" s="566"/>
      <c r="K165" s="566"/>
      <c r="L165" s="566"/>
      <c r="O165" s="89"/>
    </row>
    <row r="166" spans="3:15" ht="14.1" customHeight="1">
      <c r="C166" s="563"/>
      <c r="D166" s="563"/>
      <c r="E166" s="477"/>
      <c r="G166" s="566"/>
      <c r="H166" s="566"/>
      <c r="I166" s="566"/>
      <c r="J166" s="566"/>
      <c r="K166" s="566"/>
      <c r="L166" s="566"/>
      <c r="O166" s="89"/>
    </row>
    <row r="167" spans="3:15" ht="14.1" customHeight="1">
      <c r="C167" s="563"/>
      <c r="D167" s="563"/>
      <c r="E167" s="477"/>
      <c r="F167" s="210"/>
      <c r="G167" s="578"/>
      <c r="H167" s="578"/>
      <c r="I167" s="578"/>
      <c r="J167" s="578"/>
      <c r="K167" s="578"/>
      <c r="L167" s="578"/>
      <c r="O167" s="89"/>
    </row>
    <row r="168" spans="3:15" ht="14.1" customHeight="1">
      <c r="C168" s="538" t="s">
        <v>1</v>
      </c>
      <c r="D168" s="538" t="s">
        <v>1</v>
      </c>
      <c r="E168" s="615"/>
      <c r="F168" s="565">
        <f t="shared" ref="F168:L168" si="21">COUNTIF(F6:F166,"0800-1730*")+COUNTIF(F6:F166,"0800-1800*")+COUNTIF(F6:F166,"0730-*")-COUNTIF(F6:F166,"*0800-1730 CS*")-COUNTIF(F6:F166,"*0800-1800 CS*")-COUNTIF(F6:F166,"*0800-1730 PHNW*")-COUNTIF(F6:F166,"*0800-1730 DEMT*")-COUNTIF(F6:F166,"*0800-1730 DD*")</f>
        <v>14</v>
      </c>
      <c r="G168" s="565">
        <f t="shared" si="21"/>
        <v>14</v>
      </c>
      <c r="H168" s="565">
        <f t="shared" si="21"/>
        <v>13</v>
      </c>
      <c r="I168" s="565">
        <f t="shared" si="21"/>
        <v>15</v>
      </c>
      <c r="J168" s="565">
        <f t="shared" si="21"/>
        <v>16</v>
      </c>
      <c r="K168" s="565">
        <f t="shared" si="21"/>
        <v>14</v>
      </c>
      <c r="L168" s="565">
        <f t="shared" si="21"/>
        <v>15</v>
      </c>
      <c r="O168" s="89"/>
    </row>
    <row r="169" spans="3:15" ht="14.1" customHeight="1">
      <c r="C169" s="538" t="s">
        <v>276</v>
      </c>
      <c r="D169" s="538" t="s">
        <v>276</v>
      </c>
      <c r="E169" s="615"/>
      <c r="F169" s="65">
        <f t="shared" ref="F169:L169" si="22">COUNTIF(F6:F166,"*SWA*")</f>
        <v>0</v>
      </c>
      <c r="G169" s="65">
        <f t="shared" si="22"/>
        <v>1</v>
      </c>
      <c r="H169" s="65">
        <f t="shared" si="22"/>
        <v>0</v>
      </c>
      <c r="I169" s="65">
        <f t="shared" si="22"/>
        <v>0</v>
      </c>
      <c r="J169" s="65">
        <f t="shared" si="22"/>
        <v>0</v>
      </c>
      <c r="K169" s="65">
        <f t="shared" si="22"/>
        <v>0</v>
      </c>
      <c r="L169" s="65">
        <f t="shared" si="22"/>
        <v>0</v>
      </c>
      <c r="O169" s="89"/>
    </row>
    <row r="170" spans="3:15" ht="14.1" customHeight="1">
      <c r="C170" s="538" t="s">
        <v>2</v>
      </c>
      <c r="D170" s="538" t="s">
        <v>2</v>
      </c>
      <c r="E170" s="615"/>
      <c r="F170" s="65">
        <f t="shared" ref="F170:L170" si="23">COUNTIF(F6:F166,"*1400-*")+COUNTIF(F6:F166,"*1430-*")</f>
        <v>15</v>
      </c>
      <c r="G170" s="65">
        <f t="shared" si="23"/>
        <v>16</v>
      </c>
      <c r="H170" s="65">
        <f t="shared" si="23"/>
        <v>13</v>
      </c>
      <c r="I170" s="65">
        <f t="shared" si="23"/>
        <v>14</v>
      </c>
      <c r="J170" s="65">
        <f t="shared" si="23"/>
        <v>15</v>
      </c>
      <c r="K170" s="65">
        <f t="shared" si="23"/>
        <v>12</v>
      </c>
      <c r="L170" s="65">
        <f t="shared" si="23"/>
        <v>11</v>
      </c>
      <c r="O170" s="89"/>
    </row>
    <row r="171" spans="3:15" ht="14.1" customHeight="1">
      <c r="C171" s="538" t="s">
        <v>277</v>
      </c>
      <c r="D171" s="538" t="s">
        <v>277</v>
      </c>
      <c r="E171" s="615"/>
      <c r="F171" s="65">
        <f t="shared" ref="F171:L171" si="24">COUNTIF(F7:F166,"*SWP*")</f>
        <v>0</v>
      </c>
      <c r="G171" s="65">
        <f t="shared" si="24"/>
        <v>1</v>
      </c>
      <c r="H171" s="65">
        <f t="shared" si="24"/>
        <v>2</v>
      </c>
      <c r="I171" s="65">
        <f t="shared" si="24"/>
        <v>2</v>
      </c>
      <c r="J171" s="65">
        <f t="shared" si="24"/>
        <v>1</v>
      </c>
      <c r="K171" s="65">
        <f t="shared" si="24"/>
        <v>1</v>
      </c>
      <c r="L171" s="65">
        <f t="shared" si="24"/>
        <v>1</v>
      </c>
      <c r="O171" s="89"/>
    </row>
    <row r="172" spans="3:15" ht="14.1" customHeight="1" thickBot="1">
      <c r="C172" s="923" t="s">
        <v>278</v>
      </c>
      <c r="D172" s="923" t="s">
        <v>278</v>
      </c>
      <c r="E172" s="615"/>
      <c r="F172" s="65">
        <f t="shared" ref="F172:L172" si="25">COUNTIF(F6:F166,"2300-*")</f>
        <v>8</v>
      </c>
      <c r="G172" s="65">
        <f t="shared" si="25"/>
        <v>8</v>
      </c>
      <c r="H172" s="65">
        <f t="shared" si="25"/>
        <v>8</v>
      </c>
      <c r="I172" s="65">
        <f t="shared" si="25"/>
        <v>8</v>
      </c>
      <c r="J172" s="65">
        <f t="shared" si="25"/>
        <v>9</v>
      </c>
      <c r="K172" s="65">
        <f t="shared" si="25"/>
        <v>8</v>
      </c>
      <c r="L172" s="65">
        <f t="shared" si="25"/>
        <v>9</v>
      </c>
      <c r="O172" s="89"/>
    </row>
    <row r="173" spans="3:15" ht="14.1" customHeight="1">
      <c r="C173" s="84"/>
      <c r="D173" s="556"/>
      <c r="E173" s="615"/>
      <c r="F173" s="65"/>
      <c r="G173" s="565"/>
      <c r="H173" s="565"/>
      <c r="I173" s="565"/>
      <c r="J173" s="565"/>
      <c r="K173" s="565"/>
      <c r="L173" s="565"/>
      <c r="O173" s="89"/>
    </row>
    <row r="174" spans="3:15" ht="14.1" customHeight="1">
      <c r="C174" s="50"/>
      <c r="D174" s="556" t="s">
        <v>489</v>
      </c>
      <c r="E174" s="615"/>
      <c r="G174" s="566"/>
      <c r="H174" s="566"/>
      <c r="I174" s="566"/>
      <c r="J174" s="566"/>
      <c r="K174" s="566"/>
      <c r="L174" s="566"/>
      <c r="O174" s="89"/>
    </row>
    <row r="175" spans="3:15" ht="14.1" customHeight="1">
      <c r="C175" s="50"/>
      <c r="D175" s="139" t="s">
        <v>157</v>
      </c>
      <c r="E175" s="615"/>
      <c r="F175" s="924"/>
      <c r="G175" s="924"/>
      <c r="H175" s="925"/>
      <c r="I175" s="924"/>
      <c r="J175" s="924"/>
      <c r="K175" s="924"/>
      <c r="L175" s="924"/>
      <c r="O175" s="89"/>
    </row>
    <row r="176" spans="3:15" ht="14.1" customHeight="1">
      <c r="C176" s="50"/>
      <c r="D176" s="182" t="s">
        <v>159</v>
      </c>
      <c r="E176" s="615">
        <v>628440</v>
      </c>
      <c r="F176" s="924"/>
      <c r="G176" s="924"/>
      <c r="H176" s="926" t="s">
        <v>279</v>
      </c>
      <c r="I176" s="924"/>
      <c r="J176" s="924"/>
      <c r="K176" s="924"/>
      <c r="L176" s="924"/>
      <c r="O176" s="89"/>
    </row>
    <row r="177" spans="3:15" ht="14.1" customHeight="1">
      <c r="C177" s="50"/>
      <c r="D177" s="183" t="s">
        <v>164</v>
      </c>
      <c r="E177" s="615">
        <v>653976</v>
      </c>
      <c r="F177" s="924"/>
      <c r="G177" s="924"/>
      <c r="H177" s="926" t="s">
        <v>279</v>
      </c>
      <c r="I177" s="924"/>
      <c r="J177" s="924"/>
      <c r="K177" s="924"/>
      <c r="L177" s="924"/>
      <c r="O177" s="89"/>
    </row>
    <row r="178" spans="3:15" ht="14.1" customHeight="1">
      <c r="C178" s="50"/>
      <c r="D178" s="184" t="s">
        <v>166</v>
      </c>
      <c r="E178" s="615">
        <v>654362</v>
      </c>
      <c r="F178" s="924"/>
      <c r="G178" s="924"/>
      <c r="H178" s="926" t="s">
        <v>279</v>
      </c>
      <c r="I178" s="924"/>
      <c r="J178" s="924"/>
      <c r="K178" s="924"/>
      <c r="L178" s="924"/>
      <c r="O178" s="89"/>
    </row>
    <row r="179" spans="3:15" ht="14.1" customHeight="1">
      <c r="C179" s="50"/>
      <c r="D179" s="184" t="s">
        <v>168</v>
      </c>
      <c r="E179" s="615">
        <v>615829</v>
      </c>
      <c r="F179" s="924"/>
      <c r="G179" s="924"/>
      <c r="H179" s="926" t="s">
        <v>280</v>
      </c>
      <c r="I179" s="924"/>
      <c r="J179" s="924"/>
      <c r="K179" s="924"/>
      <c r="L179" s="924"/>
      <c r="O179" s="89"/>
    </row>
    <row r="180" spans="3:15" ht="14.1" customHeight="1">
      <c r="C180" s="50"/>
      <c r="D180" s="916" t="s">
        <v>170</v>
      </c>
      <c r="E180" s="615">
        <v>619567</v>
      </c>
      <c r="F180" s="924"/>
      <c r="G180" s="924"/>
      <c r="H180" s="926" t="s">
        <v>280</v>
      </c>
      <c r="I180" s="924"/>
      <c r="J180" s="924"/>
      <c r="K180" s="924"/>
      <c r="L180" s="924"/>
      <c r="O180" s="89"/>
    </row>
    <row r="181" spans="3:15" ht="14.1" customHeight="1">
      <c r="C181" s="50"/>
      <c r="D181" s="183" t="s">
        <v>171</v>
      </c>
      <c r="E181" s="615">
        <v>626157</v>
      </c>
      <c r="F181" s="924"/>
      <c r="G181" s="924"/>
      <c r="H181" s="926" t="s">
        <v>281</v>
      </c>
      <c r="I181" s="924"/>
      <c r="J181" s="924"/>
      <c r="K181" s="924"/>
      <c r="L181" s="924"/>
      <c r="O181" s="89"/>
    </row>
    <row r="182" spans="3:15" ht="14.1" customHeight="1">
      <c r="C182" s="50"/>
      <c r="D182" s="185" t="s">
        <v>173</v>
      </c>
      <c r="E182" s="615">
        <v>645122</v>
      </c>
      <c r="F182" s="924"/>
      <c r="G182" s="924"/>
      <c r="H182" s="926" t="s">
        <v>281</v>
      </c>
      <c r="I182" s="924"/>
      <c r="J182" s="924"/>
      <c r="K182" s="924"/>
      <c r="L182" s="924"/>
      <c r="O182" s="89"/>
    </row>
    <row r="183" spans="3:15" ht="14.1" customHeight="1">
      <c r="C183" s="50"/>
      <c r="D183" s="182" t="s">
        <v>174</v>
      </c>
      <c r="E183" s="615">
        <v>615820</v>
      </c>
      <c r="F183" s="924"/>
      <c r="G183" s="924"/>
      <c r="H183" s="926" t="s">
        <v>282</v>
      </c>
      <c r="I183" s="924"/>
      <c r="J183" s="924"/>
      <c r="K183" s="924"/>
      <c r="L183" s="924"/>
      <c r="O183" s="89"/>
    </row>
    <row r="184" spans="3:15" ht="14.1" customHeight="1" thickBot="1">
      <c r="C184" s="50"/>
      <c r="D184" s="197" t="s">
        <v>175</v>
      </c>
      <c r="E184" s="615">
        <v>624174</v>
      </c>
      <c r="F184" s="924"/>
      <c r="G184" s="924"/>
      <c r="H184" s="927" t="s">
        <v>283</v>
      </c>
      <c r="I184" s="924"/>
      <c r="J184" s="924"/>
      <c r="K184" s="924"/>
      <c r="L184" s="924"/>
      <c r="O184" s="89"/>
    </row>
    <row r="185" spans="3:15" ht="14.1" customHeight="1">
      <c r="C185" s="50"/>
      <c r="D185" s="70" t="s">
        <v>176</v>
      </c>
      <c r="E185" s="625"/>
      <c r="F185" s="924"/>
      <c r="G185" s="924"/>
      <c r="H185" s="925"/>
      <c r="I185" s="924"/>
      <c r="J185" s="924"/>
      <c r="K185" s="924"/>
      <c r="L185" s="924"/>
      <c r="O185" s="89"/>
    </row>
    <row r="186" spans="3:15" ht="14.1" customHeight="1">
      <c r="C186" s="50"/>
      <c r="D186" s="546" t="s">
        <v>177</v>
      </c>
      <c r="E186" s="615">
        <v>637990</v>
      </c>
      <c r="F186" s="924"/>
      <c r="G186" s="924"/>
      <c r="H186" s="926" t="s">
        <v>279</v>
      </c>
      <c r="I186" s="924"/>
      <c r="J186" s="924"/>
      <c r="K186" s="924"/>
      <c r="L186" s="924"/>
      <c r="O186" s="89"/>
    </row>
    <row r="187" spans="3:15" ht="14.1" customHeight="1">
      <c r="C187" s="50"/>
      <c r="D187" s="184" t="s">
        <v>179</v>
      </c>
      <c r="E187" s="615">
        <v>652867</v>
      </c>
      <c r="F187" s="924"/>
      <c r="G187" s="924"/>
      <c r="H187" s="926" t="s">
        <v>279</v>
      </c>
      <c r="I187" s="924"/>
      <c r="J187" s="924"/>
      <c r="K187" s="924"/>
      <c r="L187" s="924"/>
      <c r="O187" s="89"/>
    </row>
    <row r="188" spans="3:15" ht="14.1" customHeight="1">
      <c r="C188" s="50"/>
      <c r="D188" s="547" t="s">
        <v>180</v>
      </c>
      <c r="E188" s="615">
        <v>638831</v>
      </c>
      <c r="F188" s="924"/>
      <c r="G188" s="924"/>
      <c r="H188" s="926" t="s">
        <v>279</v>
      </c>
      <c r="I188" s="924"/>
      <c r="J188" s="924"/>
      <c r="K188" s="924"/>
      <c r="L188" s="924"/>
      <c r="O188" s="89"/>
    </row>
    <row r="189" spans="3:15" ht="14.1" customHeight="1">
      <c r="C189" s="50"/>
      <c r="D189" s="548" t="s">
        <v>182</v>
      </c>
      <c r="E189" s="615">
        <v>631314</v>
      </c>
      <c r="F189" s="924"/>
      <c r="G189" s="924"/>
      <c r="H189" s="926" t="s">
        <v>281</v>
      </c>
      <c r="I189" s="924"/>
      <c r="J189" s="924"/>
      <c r="K189" s="924"/>
      <c r="L189" s="924"/>
      <c r="O189" s="89"/>
    </row>
    <row r="190" spans="3:15" ht="14.1" customHeight="1">
      <c r="C190" s="50"/>
      <c r="D190" s="548" t="s">
        <v>185</v>
      </c>
      <c r="E190" s="615">
        <v>631732</v>
      </c>
      <c r="F190" s="924"/>
      <c r="G190" s="924"/>
      <c r="H190" s="926" t="s">
        <v>281</v>
      </c>
      <c r="I190" s="924"/>
      <c r="J190" s="924"/>
      <c r="K190" s="924"/>
      <c r="L190" s="924"/>
      <c r="O190" s="89"/>
    </row>
    <row r="191" spans="3:15" ht="14.1" customHeight="1">
      <c r="C191" s="50"/>
      <c r="D191" s="549" t="s">
        <v>186</v>
      </c>
      <c r="E191" s="615">
        <v>634876</v>
      </c>
      <c r="F191" s="924"/>
      <c r="G191" s="924"/>
      <c r="H191" s="926" t="s">
        <v>281</v>
      </c>
      <c r="I191" s="924"/>
      <c r="J191" s="924"/>
      <c r="K191" s="924"/>
      <c r="L191" s="924"/>
      <c r="O191" s="89"/>
    </row>
    <row r="192" spans="3:15" ht="14.1" customHeight="1">
      <c r="C192" s="50"/>
      <c r="D192" s="928" t="s">
        <v>189</v>
      </c>
      <c r="E192" s="615"/>
      <c r="F192" s="924"/>
      <c r="G192" s="924"/>
      <c r="H192" s="925"/>
      <c r="I192" s="924"/>
      <c r="J192" s="924"/>
      <c r="K192" s="924"/>
      <c r="L192" s="924"/>
      <c r="O192" s="89"/>
    </row>
    <row r="193" spans="3:15" ht="14.1" customHeight="1">
      <c r="C193" s="50"/>
      <c r="D193" s="188" t="s">
        <v>190</v>
      </c>
      <c r="E193" s="615">
        <v>648620</v>
      </c>
      <c r="F193" s="924"/>
      <c r="G193" s="924"/>
      <c r="H193" s="926" t="s">
        <v>279</v>
      </c>
      <c r="I193" s="924"/>
      <c r="J193" s="924"/>
      <c r="K193" s="924"/>
      <c r="L193" s="924"/>
      <c r="O193" s="89"/>
    </row>
    <row r="194" spans="3:15" ht="14.1" customHeight="1">
      <c r="C194" s="50"/>
      <c r="D194" s="189" t="s">
        <v>193</v>
      </c>
      <c r="E194" s="615">
        <v>652357</v>
      </c>
      <c r="F194" s="924"/>
      <c r="G194" s="924"/>
      <c r="H194" s="926" t="s">
        <v>279</v>
      </c>
      <c r="I194" s="924"/>
      <c r="J194" s="924"/>
      <c r="K194" s="924"/>
      <c r="L194" s="924"/>
      <c r="O194" s="89"/>
    </row>
    <row r="195" spans="3:15" ht="14.1" customHeight="1">
      <c r="C195" s="50"/>
      <c r="D195" s="551" t="s">
        <v>196</v>
      </c>
      <c r="E195" s="615">
        <v>703714</v>
      </c>
      <c r="F195" s="924"/>
      <c r="G195" s="924"/>
      <c r="H195" s="926" t="s">
        <v>279</v>
      </c>
      <c r="I195" s="924"/>
      <c r="J195" s="924"/>
      <c r="K195" s="924"/>
      <c r="L195" s="924"/>
      <c r="O195" s="89"/>
    </row>
    <row r="196" spans="3:15" ht="14.1" customHeight="1">
      <c r="C196" s="50"/>
      <c r="D196" s="189" t="s">
        <v>198</v>
      </c>
      <c r="E196" s="615">
        <v>655089</v>
      </c>
      <c r="F196" s="924"/>
      <c r="G196" s="924"/>
      <c r="H196" s="926" t="s">
        <v>279</v>
      </c>
      <c r="I196" s="924"/>
      <c r="J196" s="924"/>
      <c r="K196" s="924"/>
      <c r="L196" s="924"/>
      <c r="O196" s="89"/>
    </row>
    <row r="197" spans="3:15" ht="14.1" customHeight="1">
      <c r="C197" s="50"/>
      <c r="D197" s="190" t="s">
        <v>199</v>
      </c>
      <c r="E197" s="615">
        <v>649364</v>
      </c>
      <c r="F197" s="924"/>
      <c r="G197" s="924"/>
      <c r="H197" s="926" t="s">
        <v>280</v>
      </c>
      <c r="I197" s="924"/>
      <c r="J197" s="924"/>
      <c r="K197" s="924"/>
      <c r="L197" s="924"/>
      <c r="O197" s="89"/>
    </row>
    <row r="198" spans="3:15" ht="14.1" customHeight="1">
      <c r="C198" s="50"/>
      <c r="D198" s="191" t="s">
        <v>200</v>
      </c>
      <c r="E198" s="615">
        <v>700872</v>
      </c>
      <c r="F198" s="924"/>
      <c r="G198" s="924"/>
      <c r="H198" s="926" t="s">
        <v>279</v>
      </c>
      <c r="I198" s="924"/>
      <c r="J198" s="924"/>
      <c r="K198" s="924"/>
      <c r="L198" s="924"/>
      <c r="O198" s="89"/>
    </row>
    <row r="199" spans="3:15" ht="14.1" customHeight="1">
      <c r="C199" s="50"/>
      <c r="D199" s="552" t="s">
        <v>202</v>
      </c>
      <c r="E199" s="615">
        <v>703861</v>
      </c>
      <c r="F199" s="924"/>
      <c r="G199" s="924"/>
      <c r="H199" s="926" t="s">
        <v>279</v>
      </c>
      <c r="I199" s="924"/>
      <c r="J199" s="924"/>
      <c r="K199" s="924"/>
      <c r="L199" s="924"/>
      <c r="O199" s="89"/>
    </row>
    <row r="200" spans="3:15" ht="14.1" customHeight="1">
      <c r="C200" s="50"/>
      <c r="D200" s="192" t="s">
        <v>204</v>
      </c>
      <c r="E200" s="615">
        <v>652868</v>
      </c>
      <c r="F200" s="924"/>
      <c r="G200" s="924"/>
      <c r="H200" s="926" t="s">
        <v>280</v>
      </c>
      <c r="I200" s="924"/>
      <c r="J200" s="924"/>
      <c r="K200" s="924"/>
      <c r="L200" s="924"/>
      <c r="O200" s="89"/>
    </row>
    <row r="201" spans="3:15" ht="14.1" customHeight="1">
      <c r="C201" s="50"/>
      <c r="D201" s="189" t="s">
        <v>205</v>
      </c>
      <c r="E201" s="615">
        <v>652998</v>
      </c>
      <c r="F201" s="924"/>
      <c r="G201" s="924"/>
      <c r="H201" s="926" t="s">
        <v>280</v>
      </c>
      <c r="I201" s="924"/>
      <c r="J201" s="924"/>
      <c r="K201" s="924"/>
      <c r="L201" s="924"/>
      <c r="O201" s="89"/>
    </row>
    <row r="202" spans="3:15" ht="14.1" customHeight="1">
      <c r="C202" s="50"/>
      <c r="D202" s="193" t="s">
        <v>206</v>
      </c>
      <c r="E202" s="615">
        <v>654959</v>
      </c>
      <c r="F202" s="924"/>
      <c r="G202" s="924"/>
      <c r="H202" s="926" t="s">
        <v>279</v>
      </c>
      <c r="I202" s="924"/>
      <c r="J202" s="924"/>
      <c r="K202" s="924"/>
      <c r="L202" s="924"/>
      <c r="O202" s="89"/>
    </row>
    <row r="203" spans="3:15" ht="14.1" customHeight="1">
      <c r="C203" s="50"/>
      <c r="D203" s="551" t="s">
        <v>207</v>
      </c>
      <c r="E203" s="615">
        <v>654981</v>
      </c>
      <c r="F203" s="924"/>
      <c r="G203" s="924"/>
      <c r="H203" s="926" t="s">
        <v>280</v>
      </c>
      <c r="I203" s="924"/>
      <c r="J203" s="924"/>
      <c r="K203" s="924"/>
      <c r="L203" s="924"/>
      <c r="O203" s="89"/>
    </row>
    <row r="204" spans="3:15" ht="14.1" customHeight="1">
      <c r="C204" s="50"/>
      <c r="D204" s="553" t="s">
        <v>208</v>
      </c>
      <c r="E204" s="615">
        <v>703795</v>
      </c>
      <c r="F204" s="924"/>
      <c r="G204" s="924"/>
      <c r="H204" s="926" t="s">
        <v>280</v>
      </c>
      <c r="I204" s="924"/>
      <c r="J204" s="924"/>
      <c r="K204" s="924"/>
      <c r="L204" s="924"/>
      <c r="O204" s="89"/>
    </row>
    <row r="205" spans="3:15" ht="14.1" customHeight="1">
      <c r="C205" s="50"/>
      <c r="D205" s="551" t="s">
        <v>209</v>
      </c>
      <c r="E205" s="615">
        <v>652364</v>
      </c>
      <c r="F205" s="924"/>
      <c r="G205" s="924"/>
      <c r="H205" s="926" t="s">
        <v>280</v>
      </c>
      <c r="I205" s="924"/>
      <c r="J205" s="924"/>
      <c r="K205" s="924"/>
      <c r="L205" s="924"/>
      <c r="O205" s="89"/>
    </row>
    <row r="206" spans="3:15" ht="14.1" customHeight="1">
      <c r="C206" s="50"/>
      <c r="D206" s="551" t="s">
        <v>210</v>
      </c>
      <c r="E206" s="615">
        <v>644433</v>
      </c>
      <c r="F206" s="924"/>
      <c r="G206" s="924"/>
      <c r="H206" s="926" t="s">
        <v>281</v>
      </c>
      <c r="I206" s="924"/>
      <c r="J206" s="924"/>
      <c r="K206" s="924"/>
      <c r="L206" s="924"/>
      <c r="O206" s="89"/>
    </row>
    <row r="207" spans="3:15" ht="14.1" customHeight="1">
      <c r="C207" s="50"/>
      <c r="D207" s="551" t="s">
        <v>211</v>
      </c>
      <c r="E207" s="615">
        <v>650602</v>
      </c>
      <c r="F207" s="924"/>
      <c r="G207" s="924"/>
      <c r="H207" s="926" t="s">
        <v>281</v>
      </c>
      <c r="I207" s="924"/>
      <c r="J207" s="924"/>
      <c r="K207" s="924"/>
      <c r="L207" s="924"/>
      <c r="O207" s="89"/>
    </row>
    <row r="208" spans="3:15" ht="14.1" customHeight="1">
      <c r="C208" s="50"/>
      <c r="D208" s="552" t="s">
        <v>212</v>
      </c>
      <c r="E208" s="615">
        <v>704893</v>
      </c>
      <c r="F208" s="924"/>
      <c r="G208" s="924"/>
      <c r="H208" s="926" t="s">
        <v>279</v>
      </c>
      <c r="I208" s="924"/>
      <c r="J208" s="924"/>
      <c r="K208" s="924"/>
      <c r="L208" s="924"/>
      <c r="O208" s="89"/>
    </row>
    <row r="209" spans="3:15" ht="14.1" customHeight="1">
      <c r="C209" s="50"/>
      <c r="D209" s="194" t="s">
        <v>214</v>
      </c>
      <c r="E209" s="615">
        <v>636733</v>
      </c>
      <c r="F209" s="924"/>
      <c r="G209" s="924"/>
      <c r="H209" s="926" t="s">
        <v>280</v>
      </c>
      <c r="I209" s="924"/>
      <c r="J209" s="924"/>
      <c r="K209" s="924"/>
      <c r="L209" s="924"/>
      <c r="O209" s="89"/>
    </row>
    <row r="210" spans="3:15" ht="14.1" customHeight="1">
      <c r="C210" s="50"/>
      <c r="D210" s="192" t="s">
        <v>216</v>
      </c>
      <c r="E210" s="200">
        <v>637770</v>
      </c>
      <c r="F210" s="924"/>
      <c r="G210" s="924"/>
      <c r="H210" s="926" t="s">
        <v>279</v>
      </c>
      <c r="I210" s="924"/>
      <c r="J210" s="924"/>
      <c r="K210" s="924"/>
      <c r="L210" s="924"/>
      <c r="O210" s="89"/>
    </row>
    <row r="211" spans="3:15" ht="14.1" customHeight="1">
      <c r="C211" s="50"/>
      <c r="D211" s="56"/>
      <c r="E211" s="82"/>
      <c r="G211" s="566"/>
      <c r="H211" s="566"/>
      <c r="I211" s="566"/>
      <c r="J211" s="566"/>
      <c r="K211" s="566"/>
      <c r="L211" s="566"/>
      <c r="O211" s="89"/>
    </row>
    <row r="212" spans="3:15" ht="14.1" customHeight="1">
      <c r="C212" s="564"/>
      <c r="D212" s="564"/>
      <c r="E212" s="82"/>
      <c r="G212" s="566"/>
      <c r="H212" s="566"/>
      <c r="I212" s="566"/>
      <c r="J212" s="566"/>
      <c r="K212" s="566"/>
      <c r="L212" s="566"/>
      <c r="O212" s="89"/>
    </row>
    <row r="213" spans="3:15" ht="14.1" customHeight="1">
      <c r="C213" s="564"/>
      <c r="D213" s="564"/>
      <c r="E213" s="82"/>
      <c r="G213" s="566"/>
      <c r="H213" s="566"/>
      <c r="I213" s="566"/>
      <c r="J213" s="566"/>
      <c r="K213" s="566"/>
      <c r="L213" s="566"/>
      <c r="O213" s="89"/>
    </row>
    <row r="214" spans="3:15" ht="14.1" customHeight="1">
      <c r="D214" s="56"/>
      <c r="E214" s="82"/>
      <c r="G214" s="566"/>
      <c r="H214" s="566"/>
      <c r="I214" s="566"/>
      <c r="J214" s="566"/>
      <c r="K214" s="566"/>
      <c r="L214" s="566"/>
      <c r="O214" s="89"/>
    </row>
    <row r="215" spans="3:15" ht="14.1" customHeight="1">
      <c r="C215" s="564"/>
      <c r="D215" s="564"/>
      <c r="E215" s="82"/>
      <c r="G215" s="566"/>
      <c r="H215" s="566"/>
      <c r="I215" s="566"/>
      <c r="J215" s="566"/>
      <c r="K215" s="566"/>
      <c r="L215" s="566"/>
      <c r="O215" s="89"/>
    </row>
    <row r="216" spans="3:15" ht="14.1" customHeight="1">
      <c r="C216" s="564"/>
      <c r="D216" s="564"/>
      <c r="E216" s="82"/>
      <c r="G216" s="566"/>
      <c r="H216" s="566"/>
      <c r="I216" s="566"/>
      <c r="J216" s="566"/>
      <c r="K216" s="566"/>
      <c r="L216" s="566"/>
      <c r="O216" s="89"/>
    </row>
    <row r="217" spans="3:15" ht="14.1" customHeight="1">
      <c r="D217" s="56"/>
      <c r="E217" s="82"/>
      <c r="G217" s="566"/>
      <c r="H217" s="566"/>
      <c r="I217" s="566"/>
      <c r="J217" s="566"/>
      <c r="K217" s="566"/>
      <c r="L217" s="566"/>
      <c r="O217" s="89"/>
    </row>
    <row r="218" spans="3:15" ht="14.1" customHeight="1">
      <c r="C218" s="564"/>
      <c r="D218" s="564"/>
      <c r="E218" s="82"/>
      <c r="G218" s="566"/>
      <c r="H218" s="566"/>
      <c r="I218" s="566"/>
      <c r="J218" s="566"/>
      <c r="K218" s="566"/>
      <c r="L218" s="566"/>
      <c r="O218" s="89"/>
    </row>
    <row r="219" spans="3:15" ht="14.1" customHeight="1">
      <c r="C219" s="564"/>
      <c r="D219" s="564"/>
      <c r="E219" s="82"/>
      <c r="G219" s="566"/>
      <c r="H219" s="566"/>
      <c r="I219" s="566"/>
      <c r="J219" s="566"/>
      <c r="K219" s="566"/>
      <c r="L219" s="566"/>
      <c r="O219" s="89"/>
    </row>
    <row r="220" spans="3:15" ht="14.1" customHeight="1">
      <c r="D220" s="56"/>
      <c r="E220" s="82"/>
      <c r="G220" s="566"/>
      <c r="H220" s="566"/>
      <c r="I220" s="566"/>
      <c r="J220" s="566"/>
      <c r="K220" s="566"/>
      <c r="L220" s="566"/>
      <c r="O220" s="89"/>
    </row>
    <row r="221" spans="3:15" ht="14.1" customHeight="1">
      <c r="C221" s="564"/>
      <c r="D221" s="564"/>
      <c r="E221" s="82"/>
      <c r="G221" s="566"/>
      <c r="H221" s="566"/>
      <c r="I221" s="566"/>
      <c r="J221" s="566"/>
      <c r="K221" s="566"/>
      <c r="L221" s="566"/>
      <c r="O221" s="89"/>
    </row>
    <row r="222" spans="3:15" ht="14.1" customHeight="1">
      <c r="C222" s="564"/>
      <c r="D222" s="564"/>
      <c r="E222" s="82"/>
      <c r="F222" s="65"/>
      <c r="G222" s="65"/>
      <c r="H222" s="65"/>
      <c r="I222" s="65"/>
      <c r="J222" s="65"/>
      <c r="K222" s="65"/>
      <c r="L222" s="65"/>
      <c r="O222" s="89"/>
    </row>
    <row r="223" spans="3:15" ht="14.1" customHeight="1">
      <c r="D223" s="56"/>
      <c r="E223" s="82"/>
      <c r="F223" s="65"/>
      <c r="G223" s="65"/>
      <c r="H223" s="65"/>
      <c r="I223" s="65"/>
      <c r="J223" s="65"/>
      <c r="K223" s="65"/>
      <c r="L223" s="65"/>
      <c r="O223" s="89"/>
    </row>
    <row r="224" spans="3:15" ht="14.1" customHeight="1">
      <c r="C224" s="564"/>
      <c r="D224" s="564"/>
      <c r="E224" s="82"/>
      <c r="F224" s="65"/>
      <c r="G224" s="65"/>
      <c r="H224" s="65"/>
      <c r="I224" s="65"/>
      <c r="J224" s="65"/>
      <c r="K224" s="65"/>
      <c r="L224" s="65"/>
      <c r="O224" s="89"/>
    </row>
    <row r="225" spans="3:15" ht="14.1" customHeight="1">
      <c r="C225" s="564"/>
      <c r="D225" s="564"/>
      <c r="E225" s="82"/>
      <c r="F225" s="65"/>
      <c r="G225" s="65"/>
      <c r="H225" s="65"/>
      <c r="I225" s="65"/>
      <c r="J225" s="65"/>
      <c r="K225" s="65"/>
      <c r="L225" s="65"/>
      <c r="O225" s="89"/>
    </row>
    <row r="226" spans="3:15" ht="14.1" customHeight="1">
      <c r="D226" s="56"/>
      <c r="E226" s="82"/>
      <c r="F226" s="65"/>
      <c r="G226" s="65"/>
      <c r="H226" s="65"/>
      <c r="I226" s="65"/>
      <c r="J226" s="65"/>
      <c r="K226" s="65"/>
      <c r="L226" s="65"/>
      <c r="O226" s="89"/>
    </row>
    <row r="227" spans="3:15" ht="14.1" customHeight="1">
      <c r="C227" s="564"/>
      <c r="D227" s="564"/>
      <c r="E227" s="82"/>
      <c r="F227" s="65"/>
      <c r="G227" s="565"/>
      <c r="H227" s="565"/>
      <c r="I227" s="565"/>
      <c r="J227" s="565"/>
      <c r="K227" s="565"/>
      <c r="L227" s="565"/>
      <c r="O227" s="89"/>
    </row>
    <row r="228" spans="3:15" ht="14.1" customHeight="1">
      <c r="C228" s="564"/>
      <c r="D228" s="564"/>
      <c r="E228" s="82"/>
      <c r="G228" s="66"/>
      <c r="H228" s="66"/>
      <c r="I228" s="66"/>
      <c r="J228" s="66"/>
      <c r="K228" s="566"/>
      <c r="L228" s="566"/>
      <c r="O228" s="89"/>
    </row>
    <row r="229" spans="3:15" ht="14.1" customHeight="1">
      <c r="D229" s="56"/>
      <c r="E229" s="82"/>
      <c r="G229" s="66"/>
      <c r="H229" s="66"/>
      <c r="I229" s="66"/>
      <c r="J229" s="66"/>
      <c r="K229" s="66"/>
      <c r="L229" s="66"/>
      <c r="O229" s="89"/>
    </row>
    <row r="230" spans="3:15" ht="14.1" customHeight="1">
      <c r="C230" s="564"/>
      <c r="D230" s="564"/>
      <c r="E230" s="82"/>
      <c r="G230" s="66"/>
      <c r="H230" s="66"/>
      <c r="I230" s="66"/>
      <c r="J230" s="66"/>
      <c r="K230" s="66"/>
      <c r="L230" s="66"/>
      <c r="O230" s="89"/>
    </row>
    <row r="231" spans="3:15" ht="14.1" customHeight="1">
      <c r="C231" s="564"/>
      <c r="D231" s="564"/>
      <c r="E231" s="82"/>
      <c r="G231" s="66"/>
      <c r="H231" s="66"/>
      <c r="I231" s="66"/>
      <c r="J231" s="66"/>
      <c r="K231" s="66"/>
      <c r="L231" s="66"/>
      <c r="O231" s="89"/>
    </row>
    <row r="232" spans="3:15" ht="14.1" customHeight="1">
      <c r="D232" s="56"/>
      <c r="E232" s="82"/>
      <c r="G232" s="66"/>
      <c r="H232" s="66"/>
      <c r="I232" s="66"/>
      <c r="J232" s="66"/>
      <c r="K232" s="66"/>
      <c r="L232" s="66"/>
      <c r="O232" s="89"/>
    </row>
    <row r="233" spans="3:15" ht="14.1" customHeight="1">
      <c r="C233" s="564"/>
      <c r="D233" s="564"/>
      <c r="E233" s="82"/>
      <c r="G233" s="66"/>
      <c r="H233" s="66"/>
      <c r="I233" s="66"/>
      <c r="J233" s="66"/>
      <c r="K233" s="66"/>
      <c r="L233" s="66"/>
      <c r="O233" s="567"/>
    </row>
    <row r="234" spans="3:15" ht="14.1" customHeight="1">
      <c r="C234" s="564"/>
      <c r="D234" s="564"/>
      <c r="E234" s="82"/>
      <c r="G234" s="66"/>
      <c r="H234" s="66"/>
      <c r="I234" s="66"/>
      <c r="J234" s="66"/>
      <c r="K234" s="66"/>
      <c r="L234" s="66"/>
      <c r="O234" s="567"/>
    </row>
    <row r="235" spans="3:15" ht="14.1" customHeight="1">
      <c r="D235" s="56"/>
      <c r="E235" s="82"/>
      <c r="G235" s="66"/>
      <c r="H235" s="66"/>
      <c r="I235" s="66"/>
      <c r="J235" s="66"/>
      <c r="K235" s="66"/>
      <c r="L235" s="66"/>
      <c r="O235" s="567"/>
    </row>
    <row r="236" spans="3:15" ht="14.1" customHeight="1">
      <c r="C236" s="564"/>
      <c r="D236" s="564"/>
      <c r="E236" s="82"/>
      <c r="G236" s="73"/>
      <c r="H236" s="66"/>
      <c r="I236" s="66"/>
      <c r="J236" s="66"/>
      <c r="K236" s="66"/>
      <c r="L236" s="66"/>
      <c r="O236" s="567"/>
    </row>
    <row r="237" spans="3:15" ht="14.1" customHeight="1">
      <c r="C237" s="564"/>
      <c r="D237" s="564"/>
      <c r="E237" s="82"/>
      <c r="G237" s="66"/>
      <c r="H237" s="66"/>
      <c r="I237" s="66"/>
      <c r="J237" s="66"/>
      <c r="K237" s="66"/>
      <c r="L237" s="66"/>
      <c r="O237" s="567"/>
    </row>
    <row r="238" spans="3:15" ht="14.1" customHeight="1">
      <c r="D238" s="56"/>
      <c r="E238" s="82"/>
      <c r="G238" s="66"/>
      <c r="H238" s="66"/>
      <c r="I238" s="66"/>
      <c r="J238" s="66"/>
      <c r="K238" s="66"/>
      <c r="L238" s="66"/>
      <c r="O238" s="567"/>
    </row>
    <row r="239" spans="3:15" ht="14.1" customHeight="1">
      <c r="C239" s="564"/>
      <c r="D239" s="564"/>
      <c r="E239" s="82"/>
      <c r="G239" s="74"/>
      <c r="H239" s="66"/>
      <c r="I239" s="66"/>
      <c r="J239" s="66"/>
      <c r="K239" s="66"/>
      <c r="L239" s="66"/>
      <c r="O239" s="567"/>
    </row>
    <row r="240" spans="3:15" ht="14.1" customHeight="1">
      <c r="C240" s="564"/>
      <c r="D240" s="564"/>
      <c r="E240" s="82"/>
      <c r="G240" s="66"/>
      <c r="H240" s="66"/>
      <c r="I240" s="66"/>
      <c r="J240" s="66"/>
      <c r="K240" s="66"/>
      <c r="L240" s="66"/>
      <c r="O240" s="567"/>
    </row>
    <row r="241" spans="3:15" ht="14.1" customHeight="1">
      <c r="D241" s="56"/>
      <c r="E241" s="82"/>
      <c r="G241" s="66"/>
      <c r="H241" s="66"/>
      <c r="I241" s="66"/>
      <c r="J241" s="66"/>
      <c r="K241" s="66"/>
      <c r="L241" s="66"/>
      <c r="O241" s="567"/>
    </row>
    <row r="242" spans="3:15" ht="14.1" customHeight="1">
      <c r="C242" s="564"/>
      <c r="D242" s="564"/>
      <c r="E242" s="82"/>
      <c r="G242" s="566"/>
      <c r="H242" s="566"/>
      <c r="I242" s="566"/>
      <c r="J242" s="566"/>
      <c r="K242" s="566"/>
      <c r="L242" s="566"/>
      <c r="O242" s="567"/>
    </row>
    <row r="243" spans="3:15" ht="14.1" customHeight="1">
      <c r="C243" s="564"/>
      <c r="D243" s="564"/>
      <c r="E243" s="82"/>
      <c r="G243" s="566"/>
      <c r="H243" s="566"/>
      <c r="I243" s="566"/>
      <c r="J243" s="566"/>
      <c r="K243" s="566"/>
      <c r="L243" s="566"/>
      <c r="O243" s="567"/>
    </row>
    <row r="244" spans="3:15" ht="14.1" customHeight="1">
      <c r="D244" s="56"/>
      <c r="E244" s="82"/>
      <c r="G244" s="566"/>
      <c r="H244" s="566"/>
      <c r="I244" s="566"/>
      <c r="J244" s="566"/>
      <c r="K244" s="566"/>
      <c r="L244" s="566"/>
      <c r="O244" s="567"/>
    </row>
    <row r="245" spans="3:15" ht="14.1" customHeight="1">
      <c r="C245" s="564"/>
      <c r="D245" s="564"/>
      <c r="E245" s="82"/>
      <c r="G245" s="566"/>
      <c r="H245" s="566"/>
      <c r="I245" s="566"/>
      <c r="J245" s="566"/>
      <c r="K245" s="566"/>
      <c r="L245" s="566"/>
      <c r="O245" s="567"/>
    </row>
    <row r="246" spans="3:15" ht="14.1" customHeight="1">
      <c r="C246" s="564"/>
      <c r="D246" s="564"/>
      <c r="E246" s="82"/>
      <c r="G246" s="566"/>
      <c r="H246" s="566"/>
      <c r="I246" s="566"/>
      <c r="J246" s="566"/>
      <c r="K246" s="566"/>
      <c r="L246" s="566"/>
      <c r="O246" s="567"/>
    </row>
    <row r="247" spans="3:15" ht="14.1" customHeight="1">
      <c r="D247" s="56"/>
      <c r="E247" s="82"/>
      <c r="G247" s="566"/>
      <c r="H247" s="566"/>
      <c r="I247" s="566"/>
      <c r="J247" s="566"/>
      <c r="K247" s="566"/>
      <c r="L247" s="566"/>
      <c r="O247" s="567"/>
    </row>
    <row r="248" spans="3:15" ht="14.1" customHeight="1">
      <c r="C248" s="564"/>
      <c r="D248" s="564"/>
      <c r="E248" s="82"/>
      <c r="G248" s="566"/>
      <c r="H248" s="566"/>
      <c r="I248" s="566"/>
      <c r="J248" s="566"/>
      <c r="K248" s="566"/>
      <c r="L248" s="566"/>
      <c r="O248" s="567"/>
    </row>
    <row r="249" spans="3:15" ht="14.1" customHeight="1">
      <c r="C249" s="564"/>
      <c r="D249" s="564"/>
      <c r="E249" s="82"/>
      <c r="G249" s="566"/>
      <c r="H249" s="566"/>
      <c r="I249" s="566"/>
      <c r="J249" s="566"/>
      <c r="K249" s="566"/>
      <c r="L249" s="566"/>
      <c r="O249" s="567"/>
    </row>
    <row r="250" spans="3:15" ht="14.1" customHeight="1">
      <c r="D250" s="56"/>
      <c r="E250" s="82"/>
      <c r="F250" s="65"/>
      <c r="G250" s="565"/>
      <c r="H250" s="565"/>
      <c r="I250" s="565"/>
      <c r="J250" s="565"/>
      <c r="K250" s="565"/>
      <c r="L250" s="565"/>
      <c r="O250" s="567"/>
    </row>
    <row r="251" spans="3:15" ht="14.1" customHeight="1">
      <c r="C251" s="564"/>
      <c r="D251" s="564"/>
      <c r="E251" s="82"/>
      <c r="F251" s="65"/>
      <c r="G251" s="565"/>
      <c r="H251" s="565"/>
      <c r="I251" s="565"/>
      <c r="J251" s="565"/>
      <c r="K251" s="565"/>
      <c r="L251" s="565"/>
      <c r="O251" s="567"/>
    </row>
    <row r="252" spans="3:15" ht="14.1" customHeight="1">
      <c r="C252" s="564"/>
      <c r="D252" s="564"/>
      <c r="E252" s="82"/>
      <c r="F252" s="65"/>
      <c r="G252" s="565"/>
      <c r="H252" s="565"/>
      <c r="I252" s="565"/>
      <c r="J252" s="565"/>
      <c r="K252" s="565"/>
      <c r="L252" s="565"/>
      <c r="O252" s="567"/>
    </row>
    <row r="253" spans="3:15" ht="14.1" customHeight="1">
      <c r="D253" s="56"/>
      <c r="E253" s="82"/>
      <c r="F253" s="65"/>
      <c r="G253" s="565"/>
      <c r="H253" s="565"/>
      <c r="I253" s="565"/>
      <c r="J253" s="565"/>
      <c r="K253" s="565"/>
      <c r="L253" s="565"/>
      <c r="O253" s="567"/>
    </row>
    <row r="254" spans="3:15" ht="14.1" customHeight="1">
      <c r="C254" s="564"/>
      <c r="D254" s="564"/>
      <c r="E254" s="82"/>
      <c r="F254" s="65"/>
      <c r="G254" s="565"/>
      <c r="H254" s="565"/>
      <c r="I254" s="565"/>
      <c r="J254" s="565"/>
      <c r="K254" s="565"/>
      <c r="L254" s="565"/>
      <c r="O254" s="567"/>
    </row>
    <row r="255" spans="3:15" ht="14.1" customHeight="1">
      <c r="D255" s="564"/>
      <c r="E255" s="82"/>
      <c r="F255" s="65"/>
      <c r="G255" s="565"/>
      <c r="H255" s="565"/>
      <c r="I255" s="565"/>
      <c r="J255" s="565"/>
      <c r="K255" s="565"/>
      <c r="L255" s="565"/>
      <c r="O255" s="567"/>
    </row>
    <row r="256" spans="3:15" ht="14.1" customHeight="1">
      <c r="D256" s="56"/>
      <c r="E256" s="82"/>
      <c r="F256" s="65"/>
      <c r="G256" s="565"/>
      <c r="H256" s="565"/>
      <c r="I256" s="565"/>
      <c r="J256" s="565"/>
      <c r="K256" s="565"/>
      <c r="L256" s="565"/>
      <c r="O256" s="567"/>
    </row>
    <row r="257" spans="4:15" ht="14.1" customHeight="1">
      <c r="D257" s="564"/>
      <c r="E257" s="82"/>
      <c r="F257" s="65"/>
      <c r="G257" s="565"/>
      <c r="H257" s="565"/>
      <c r="I257" s="565"/>
      <c r="J257" s="565"/>
      <c r="K257" s="565"/>
      <c r="L257" s="565"/>
      <c r="O257" s="567"/>
    </row>
    <row r="258" spans="4:15" ht="14.1" customHeight="1">
      <c r="D258" s="564"/>
      <c r="E258" s="82"/>
      <c r="F258" s="65"/>
      <c r="G258" s="565"/>
      <c r="H258" s="565"/>
      <c r="I258" s="565"/>
      <c r="J258" s="565"/>
      <c r="K258" s="565"/>
      <c r="L258" s="565"/>
      <c r="O258" s="567"/>
    </row>
    <row r="259" spans="4:15" ht="14.1" customHeight="1">
      <c r="D259" s="56"/>
      <c r="E259" s="82"/>
      <c r="F259" s="65"/>
      <c r="G259" s="565"/>
      <c r="H259" s="565"/>
      <c r="I259" s="565"/>
      <c r="J259" s="565"/>
      <c r="K259" s="565"/>
      <c r="L259" s="565"/>
      <c r="O259" s="567"/>
    </row>
    <row r="260" spans="4:15" ht="14.1" customHeight="1">
      <c r="D260" s="564"/>
      <c r="E260" s="82"/>
      <c r="F260" s="65"/>
      <c r="G260" s="565"/>
      <c r="H260" s="565"/>
      <c r="I260" s="565"/>
      <c r="J260" s="565"/>
      <c r="K260" s="565"/>
      <c r="L260" s="565"/>
      <c r="O260" s="567"/>
    </row>
    <row r="261" spans="4:15" ht="14.1" customHeight="1">
      <c r="D261" s="564"/>
      <c r="E261" s="82"/>
      <c r="F261" s="65"/>
      <c r="G261" s="565"/>
      <c r="H261" s="565"/>
      <c r="I261" s="565"/>
      <c r="J261" s="565"/>
      <c r="K261" s="565"/>
      <c r="L261" s="565"/>
      <c r="O261" s="567"/>
    </row>
    <row r="262" spans="4:15" ht="14.1" customHeight="1">
      <c r="D262" s="56"/>
      <c r="E262" s="82"/>
      <c r="F262" s="65"/>
      <c r="G262" s="565"/>
      <c r="H262" s="565"/>
      <c r="I262" s="565"/>
      <c r="J262" s="565"/>
      <c r="K262" s="565"/>
      <c r="L262" s="565"/>
      <c r="O262" s="567"/>
    </row>
    <row r="263" spans="4:15" ht="14.1" customHeight="1">
      <c r="D263" s="564"/>
      <c r="E263" s="82"/>
      <c r="F263" s="65"/>
      <c r="G263" s="565"/>
      <c r="H263" s="565"/>
      <c r="I263" s="565"/>
      <c r="J263" s="565"/>
      <c r="K263" s="565"/>
      <c r="L263" s="565"/>
      <c r="O263" s="567"/>
    </row>
    <row r="264" spans="4:15" ht="14.1" customHeight="1">
      <c r="D264" s="556"/>
      <c r="E264" s="82"/>
      <c r="F264" s="65"/>
      <c r="G264" s="565"/>
      <c r="H264" s="565"/>
      <c r="I264" s="565"/>
      <c r="J264" s="565"/>
      <c r="K264" s="565"/>
      <c r="L264" s="565"/>
      <c r="O264" s="567"/>
    </row>
    <row r="265" spans="4:15" ht="14.1" customHeight="1">
      <c r="D265" s="556"/>
      <c r="E265" s="82"/>
      <c r="F265" s="65"/>
      <c r="G265" s="565"/>
      <c r="H265" s="565"/>
      <c r="I265" s="565"/>
      <c r="J265" s="565"/>
      <c r="K265" s="565"/>
      <c r="L265" s="565"/>
      <c r="O265" s="567"/>
    </row>
    <row r="266" spans="4:15" ht="14.1" customHeight="1">
      <c r="D266" s="556"/>
      <c r="E266" s="82"/>
      <c r="F266" s="65"/>
      <c r="G266" s="565"/>
      <c r="H266" s="565"/>
      <c r="I266" s="565"/>
      <c r="J266" s="565"/>
      <c r="K266" s="565"/>
      <c r="L266" s="565"/>
      <c r="O266" s="567"/>
    </row>
    <row r="267" spans="4:15" ht="14.1" customHeight="1">
      <c r="D267" s="556"/>
      <c r="E267" s="82"/>
      <c r="F267" s="65"/>
      <c r="G267" s="565"/>
      <c r="H267" s="565"/>
      <c r="I267" s="565"/>
      <c r="J267" s="565"/>
      <c r="K267" s="565"/>
      <c r="L267" s="565"/>
      <c r="O267" s="567"/>
    </row>
    <row r="268" spans="4:15" ht="14.1" customHeight="1">
      <c r="D268" s="556"/>
      <c r="E268" s="82"/>
      <c r="F268" s="65"/>
      <c r="G268" s="565"/>
      <c r="H268" s="565"/>
      <c r="I268" s="565"/>
      <c r="J268" s="565"/>
      <c r="K268" s="565"/>
      <c r="L268" s="565"/>
      <c r="O268" s="567"/>
    </row>
    <row r="269" spans="4:15" ht="14.1" customHeight="1">
      <c r="D269" s="556"/>
      <c r="E269" s="82"/>
      <c r="F269" s="65"/>
      <c r="G269" s="565"/>
      <c r="H269" s="565"/>
      <c r="I269" s="565"/>
      <c r="J269" s="565"/>
      <c r="K269" s="565"/>
      <c r="L269" s="565"/>
      <c r="O269" s="567"/>
    </row>
    <row r="270" spans="4:15" ht="14.1" customHeight="1">
      <c r="D270" s="556"/>
      <c r="E270" s="82"/>
      <c r="F270" s="65"/>
      <c r="G270" s="565"/>
      <c r="H270" s="565"/>
      <c r="I270" s="565"/>
      <c r="J270" s="565"/>
      <c r="K270" s="565"/>
      <c r="L270" s="565"/>
      <c r="O270" s="567"/>
    </row>
    <row r="271" spans="4:15" ht="14.1" customHeight="1">
      <c r="D271" s="556"/>
      <c r="E271" s="82"/>
      <c r="F271" s="65"/>
      <c r="G271" s="565"/>
      <c r="H271" s="565"/>
      <c r="I271" s="565"/>
      <c r="J271" s="565"/>
      <c r="K271" s="565"/>
      <c r="L271" s="565"/>
      <c r="O271" s="567"/>
    </row>
    <row r="272" spans="4:15" ht="14.1" customHeight="1">
      <c r="D272" s="556"/>
      <c r="E272" s="82"/>
      <c r="F272" s="65"/>
      <c r="G272" s="565"/>
      <c r="H272" s="565"/>
      <c r="I272" s="565"/>
      <c r="J272" s="565"/>
      <c r="K272" s="565"/>
      <c r="L272" s="565"/>
      <c r="O272" s="567"/>
    </row>
    <row r="273" spans="4:15" ht="14.1" customHeight="1">
      <c r="D273" s="556"/>
      <c r="E273" s="82"/>
      <c r="F273" s="65"/>
      <c r="G273" s="565"/>
      <c r="H273" s="565"/>
      <c r="I273" s="565"/>
      <c r="J273" s="565"/>
      <c r="K273" s="565"/>
      <c r="L273" s="565"/>
      <c r="O273" s="567"/>
    </row>
    <row r="274" spans="4:15" ht="14.1" customHeight="1">
      <c r="D274" s="556"/>
      <c r="E274" s="82"/>
      <c r="F274" s="65"/>
      <c r="G274" s="565"/>
      <c r="H274" s="565"/>
      <c r="I274" s="565"/>
      <c r="J274" s="565"/>
      <c r="K274" s="565"/>
      <c r="L274" s="565"/>
      <c r="O274" s="567"/>
    </row>
    <row r="275" spans="4:15" ht="14.1" customHeight="1">
      <c r="D275" s="556"/>
      <c r="E275" s="82"/>
      <c r="F275" s="65"/>
      <c r="G275" s="565"/>
      <c r="H275" s="565"/>
      <c r="I275" s="565"/>
      <c r="J275" s="565"/>
      <c r="K275" s="565"/>
      <c r="L275" s="565"/>
      <c r="O275" s="567"/>
    </row>
    <row r="276" spans="4:15" ht="14.1" customHeight="1">
      <c r="D276" s="556"/>
      <c r="E276" s="82"/>
      <c r="F276" s="65"/>
      <c r="G276" s="565"/>
      <c r="H276" s="565"/>
      <c r="I276" s="565"/>
      <c r="J276" s="565"/>
      <c r="K276" s="565"/>
      <c r="L276" s="565"/>
      <c r="O276" s="567"/>
    </row>
    <row r="277" spans="4:15" ht="14.1" customHeight="1">
      <c r="D277" s="556"/>
      <c r="E277" s="568"/>
      <c r="F277" s="65"/>
      <c r="G277" s="565"/>
      <c r="H277" s="565"/>
      <c r="I277" s="565"/>
      <c r="J277" s="565"/>
      <c r="K277" s="565"/>
      <c r="L277" s="565"/>
      <c r="O277" s="567"/>
    </row>
    <row r="278" spans="4:15" ht="14.1" customHeight="1">
      <c r="D278" s="556"/>
      <c r="E278" s="568"/>
      <c r="F278" s="65"/>
      <c r="G278" s="565"/>
      <c r="H278" s="565"/>
      <c r="I278" s="565"/>
      <c r="J278" s="565"/>
      <c r="K278" s="565"/>
      <c r="L278" s="565"/>
      <c r="O278" s="567"/>
    </row>
    <row r="279" spans="4:15">
      <c r="D279" s="556"/>
      <c r="E279" s="568"/>
      <c r="F279" s="65"/>
      <c r="G279" s="565"/>
      <c r="H279" s="565"/>
      <c r="I279" s="565"/>
      <c r="J279" s="565"/>
      <c r="K279" s="565"/>
      <c r="L279" s="565"/>
      <c r="O279" s="567"/>
    </row>
    <row r="280" spans="4:15">
      <c r="D280" s="556"/>
      <c r="E280" s="568"/>
      <c r="F280" s="65"/>
      <c r="G280" s="565"/>
      <c r="H280" s="565"/>
      <c r="I280" s="565"/>
      <c r="J280" s="565"/>
      <c r="K280" s="565"/>
      <c r="L280" s="565"/>
      <c r="O280" s="567"/>
    </row>
    <row r="281" spans="4:15">
      <c r="D281" s="556"/>
      <c r="E281" s="568"/>
      <c r="F281" s="65"/>
      <c r="G281" s="565"/>
      <c r="H281" s="565"/>
      <c r="I281" s="565"/>
      <c r="J281" s="565"/>
      <c r="K281" s="565"/>
      <c r="L281" s="565"/>
      <c r="O281" s="567"/>
    </row>
    <row r="282" spans="4:15">
      <c r="D282" s="556"/>
      <c r="E282" s="568"/>
      <c r="F282" s="65"/>
      <c r="G282" s="565"/>
      <c r="H282" s="565"/>
      <c r="I282" s="565"/>
      <c r="J282" s="565"/>
      <c r="K282" s="565"/>
      <c r="L282" s="565"/>
      <c r="O282" s="567"/>
    </row>
    <row r="283" spans="4:15">
      <c r="D283" s="556"/>
      <c r="E283" s="568"/>
      <c r="F283" s="65"/>
      <c r="G283" s="565"/>
      <c r="H283" s="565"/>
      <c r="I283" s="565"/>
      <c r="J283" s="565"/>
      <c r="K283" s="565"/>
      <c r="L283" s="565"/>
      <c r="O283" s="567"/>
    </row>
    <row r="284" spans="4:15">
      <c r="D284" s="556"/>
      <c r="E284" s="568"/>
      <c r="F284" s="65"/>
      <c r="G284" s="565"/>
      <c r="H284" s="565"/>
      <c r="I284" s="565"/>
      <c r="J284" s="565"/>
      <c r="K284" s="565"/>
      <c r="L284" s="565"/>
      <c r="O284" s="567"/>
    </row>
    <row r="285" spans="4:15">
      <c r="D285" s="556"/>
      <c r="E285" s="568"/>
      <c r="F285" s="65"/>
      <c r="G285" s="565"/>
      <c r="H285" s="565"/>
      <c r="I285" s="565"/>
      <c r="J285" s="565"/>
      <c r="K285" s="565"/>
      <c r="L285" s="565"/>
      <c r="O285" s="567"/>
    </row>
    <row r="286" spans="4:15">
      <c r="D286" s="556"/>
      <c r="E286" s="568"/>
      <c r="F286" s="65"/>
      <c r="G286" s="565"/>
      <c r="H286" s="565"/>
      <c r="I286" s="565"/>
      <c r="J286" s="565"/>
      <c r="K286" s="565"/>
      <c r="L286" s="565"/>
      <c r="O286" s="567"/>
    </row>
    <row r="287" spans="4:15">
      <c r="D287" s="556"/>
      <c r="E287" s="568"/>
      <c r="F287" s="65"/>
      <c r="G287" s="565"/>
      <c r="H287" s="565"/>
      <c r="I287" s="565"/>
      <c r="J287" s="565"/>
      <c r="K287" s="565"/>
      <c r="L287" s="565"/>
      <c r="O287" s="567"/>
    </row>
    <row r="288" spans="4:15">
      <c r="D288" s="556"/>
      <c r="E288" s="568"/>
      <c r="F288" s="65"/>
      <c r="G288" s="565"/>
      <c r="H288" s="565"/>
      <c r="I288" s="565"/>
      <c r="J288" s="565"/>
      <c r="K288" s="565"/>
      <c r="L288" s="565"/>
      <c r="O288" s="567"/>
    </row>
    <row r="289" spans="4:15">
      <c r="D289" s="556"/>
      <c r="E289" s="568"/>
      <c r="F289" s="65"/>
      <c r="G289" s="565"/>
      <c r="H289" s="565"/>
      <c r="I289" s="565"/>
      <c r="J289" s="565"/>
      <c r="K289" s="565"/>
      <c r="L289" s="565"/>
      <c r="O289" s="567"/>
    </row>
    <row r="290" spans="4:15">
      <c r="D290" s="556"/>
      <c r="E290" s="568"/>
      <c r="F290" s="65"/>
      <c r="G290" s="565"/>
      <c r="H290" s="565"/>
      <c r="I290" s="565"/>
      <c r="J290" s="565"/>
      <c r="K290" s="565"/>
      <c r="L290" s="565"/>
      <c r="O290" s="567"/>
    </row>
  </sheetData>
  <sheetProtection sheet="1" formatCells="0" formatColumns="0" formatRows="0" insertColumns="0" insertRows="0"/>
  <mergeCells count="95">
    <mergeCell ref="F157:L157"/>
    <mergeCell ref="N76:N77"/>
    <mergeCell ref="O76:O77"/>
    <mergeCell ref="P76:P77"/>
    <mergeCell ref="Q76:Q77"/>
    <mergeCell ref="T49:T50"/>
    <mergeCell ref="U49:U50"/>
    <mergeCell ref="W49:W50"/>
    <mergeCell ref="S59:S62"/>
    <mergeCell ref="T59:T62"/>
    <mergeCell ref="W36:W40"/>
    <mergeCell ref="N41:N47"/>
    <mergeCell ref="O41:O47"/>
    <mergeCell ref="P41:P47"/>
    <mergeCell ref="Q41:Q47"/>
    <mergeCell ref="R41:R47"/>
    <mergeCell ref="S41:S47"/>
    <mergeCell ref="T41:T47"/>
    <mergeCell ref="U41:U47"/>
    <mergeCell ref="W41:W46"/>
    <mergeCell ref="T21:T27"/>
    <mergeCell ref="U21:U27"/>
    <mergeCell ref="W21:W27"/>
    <mergeCell ref="N28:N30"/>
    <mergeCell ref="O28:O30"/>
    <mergeCell ref="P28:P30"/>
    <mergeCell ref="Q28:Q30"/>
    <mergeCell ref="R28:R30"/>
    <mergeCell ref="S28:S30"/>
    <mergeCell ref="T28:T30"/>
    <mergeCell ref="U28:U30"/>
    <mergeCell ref="W28:W30"/>
    <mergeCell ref="S21:S27"/>
    <mergeCell ref="O49:O50"/>
    <mergeCell ref="P49:P50"/>
    <mergeCell ref="Q49:Q50"/>
    <mergeCell ref="R49:R50"/>
    <mergeCell ref="S49:S50"/>
    <mergeCell ref="O35:U35"/>
    <mergeCell ref="F110:L110"/>
    <mergeCell ref="N19:N20"/>
    <mergeCell ref="O19:O20"/>
    <mergeCell ref="P19:P20"/>
    <mergeCell ref="Q19:Q20"/>
    <mergeCell ref="R19:R20"/>
    <mergeCell ref="S19:S20"/>
    <mergeCell ref="T19:T20"/>
    <mergeCell ref="U19:U20"/>
    <mergeCell ref="N59:N62"/>
    <mergeCell ref="O59:O62"/>
    <mergeCell ref="P59:P62"/>
    <mergeCell ref="Q59:Q62"/>
    <mergeCell ref="N66:N74"/>
    <mergeCell ref="N49:N50"/>
    <mergeCell ref="F2:L2"/>
    <mergeCell ref="O2:U2"/>
    <mergeCell ref="O5:U5"/>
    <mergeCell ref="N11:N17"/>
    <mergeCell ref="O11:O17"/>
    <mergeCell ref="P11:P17"/>
    <mergeCell ref="Q11:Q17"/>
    <mergeCell ref="R11:R17"/>
    <mergeCell ref="S11:S17"/>
    <mergeCell ref="T11:T17"/>
    <mergeCell ref="U11:U17"/>
    <mergeCell ref="W11:W17"/>
    <mergeCell ref="N51:N58"/>
    <mergeCell ref="O51:O58"/>
    <mergeCell ref="P51:P58"/>
    <mergeCell ref="Q51:Q58"/>
    <mergeCell ref="R51:R58"/>
    <mergeCell ref="S51:S58"/>
    <mergeCell ref="T51:T58"/>
    <mergeCell ref="U51:U58"/>
    <mergeCell ref="W51:W58"/>
    <mergeCell ref="W19:W20"/>
    <mergeCell ref="N21:N27"/>
    <mergeCell ref="O21:O27"/>
    <mergeCell ref="P21:P27"/>
    <mergeCell ref="Q21:Q27"/>
    <mergeCell ref="R21:R27"/>
    <mergeCell ref="T76:T77"/>
    <mergeCell ref="U76:U77"/>
    <mergeCell ref="U59:U62"/>
    <mergeCell ref="O64:U64"/>
    <mergeCell ref="S66:S74"/>
    <mergeCell ref="T66:T74"/>
    <mergeCell ref="U66:U74"/>
    <mergeCell ref="R59:R62"/>
    <mergeCell ref="O66:O74"/>
    <mergeCell ref="P66:P74"/>
    <mergeCell ref="Q66:Q74"/>
    <mergeCell ref="R66:R74"/>
    <mergeCell ref="S76:S77"/>
    <mergeCell ref="R76:R77"/>
  </mergeCells>
  <conditionalFormatting sqref="C255:C265">
    <cfRule type="containsText" dxfId="673" priority="135" operator="containsText" text="FL">
      <formula>NOT(ISERROR(SEARCH("FL",C255)))</formula>
    </cfRule>
    <cfRule type="containsText" dxfId="672" priority="136" operator="containsText" text="FT">
      <formula>NOT(ISERROR(SEARCH("FT",C255)))</formula>
    </cfRule>
    <cfRule type="containsText" dxfId="671" priority="137" operator="containsText" text="SS">
      <formula>NOT(ISERROR(SEARCH("SS",C255)))</formula>
    </cfRule>
    <cfRule type="containsText" dxfId="670" priority="138" operator="containsText" text="GR">
      <formula>NOT(ISERROR(SEARCH("GR",C255)))</formula>
    </cfRule>
    <cfRule type="containsText" dxfId="669" priority="139" operator="containsText" text="GO">
      <formula>NOT(ISERROR(SEARCH("GO",C255)))</formula>
    </cfRule>
  </conditionalFormatting>
  <conditionalFormatting sqref="D71 D109:D110">
    <cfRule type="containsText" dxfId="668" priority="127" operator="containsText" text="GR">
      <formula>NOT(ISERROR(SEARCH("GR",D71)))</formula>
    </cfRule>
  </conditionalFormatting>
  <conditionalFormatting sqref="D79:D80 D72:D77">
    <cfRule type="duplicateValues" dxfId="667" priority="117"/>
  </conditionalFormatting>
  <conditionalFormatting sqref="D83:D87">
    <cfRule type="duplicateValues" dxfId="666" priority="116"/>
  </conditionalFormatting>
  <conditionalFormatting sqref="D84:D85">
    <cfRule type="duplicateValues" dxfId="665" priority="113"/>
    <cfRule type="duplicateValues" dxfId="664" priority="114"/>
  </conditionalFormatting>
  <conditionalFormatting sqref="D88:D89">
    <cfRule type="duplicateValues" dxfId="663" priority="115"/>
  </conditionalFormatting>
  <conditionalFormatting sqref="D91">
    <cfRule type="duplicateValues" dxfId="662" priority="9"/>
  </conditionalFormatting>
  <conditionalFormatting sqref="D103:D106 D92:D101">
    <cfRule type="duplicateValues" dxfId="661" priority="111"/>
  </conditionalFormatting>
  <conditionalFormatting sqref="D106">
    <cfRule type="duplicateValues" dxfId="660" priority="109"/>
    <cfRule type="duplicateValues" dxfId="659" priority="110"/>
  </conditionalFormatting>
  <conditionalFormatting sqref="D108">
    <cfRule type="duplicateValues" dxfId="658" priority="112"/>
  </conditionalFormatting>
  <conditionalFormatting sqref="D183:D184 D176:D181">
    <cfRule type="duplicateValues" dxfId="657" priority="108"/>
  </conditionalFormatting>
  <conditionalFormatting sqref="D186:D190">
    <cfRule type="duplicateValues" dxfId="656" priority="107"/>
  </conditionalFormatting>
  <conditionalFormatting sqref="D187:D188">
    <cfRule type="duplicateValues" dxfId="655" priority="104"/>
    <cfRule type="duplicateValues" dxfId="654" priority="105"/>
  </conditionalFormatting>
  <conditionalFormatting sqref="D191">
    <cfRule type="duplicateValues" dxfId="653" priority="106"/>
  </conditionalFormatting>
  <conditionalFormatting sqref="D205:D208 D193:D203">
    <cfRule type="duplicateValues" dxfId="652" priority="102"/>
  </conditionalFormatting>
  <conditionalFormatting sqref="D208">
    <cfRule type="duplicateValues" dxfId="651" priority="100"/>
    <cfRule type="duplicateValues" dxfId="650" priority="101"/>
  </conditionalFormatting>
  <conditionalFormatting sqref="D210">
    <cfRule type="duplicateValues" dxfId="649" priority="103"/>
  </conditionalFormatting>
  <conditionalFormatting sqref="E8 E13">
    <cfRule type="containsText" dxfId="648" priority="128" operator="containsText" text="FC">
      <formula>NOT(ISERROR(SEARCH("FC",E8)))</formula>
    </cfRule>
    <cfRule type="containsText" dxfId="647" priority="129" operator="containsText" text="PAC">
      <formula>NOT(ISERROR(SEARCH("PAC",E8)))</formula>
    </cfRule>
    <cfRule type="containsText" dxfId="646" priority="130" operator="containsText" text="AA">
      <formula>NOT(ISERROR(SEARCH("AA",E8)))</formula>
    </cfRule>
    <cfRule type="containsText" dxfId="645" priority="131" operator="containsText" text="RC">
      <formula>NOT(ISERROR(SEARCH("RC",E8)))</formula>
    </cfRule>
    <cfRule type="containsText" dxfId="644" priority="132" operator="containsText" text="GC">
      <formula>NOT(ISERROR(SEARCH("GC",E8)))</formula>
    </cfRule>
    <cfRule type="containsText" dxfId="643" priority="133" operator="containsText" text="SSC">
      <formula>NOT(ISERROR(SEARCH("SSC",E8)))</formula>
    </cfRule>
    <cfRule type="containsText" dxfId="642" priority="134" operator="containsText" text="CSO">
      <formula>NOT(ISERROR(SEARCH("CSO",E8)))</formula>
    </cfRule>
  </conditionalFormatting>
  <conditionalFormatting sqref="E20 E26 E30">
    <cfRule type="containsText" dxfId="641" priority="140" operator="containsText" text="PAC">
      <formula>NOT(ISERROR(SEARCH("PAC",E20)))</formula>
    </cfRule>
    <cfRule type="containsText" dxfId="640" priority="141" operator="containsText" text="GC">
      <formula>NOT(ISERROR(SEARCH("GC",E20)))</formula>
    </cfRule>
  </conditionalFormatting>
  <conditionalFormatting sqref="E20 E26 E30:E31">
    <cfRule type="containsText" dxfId="639" priority="118" operator="containsText" text="PSSC">
      <formula>NOT(ISERROR(SEARCH("PSSC",E20)))</formula>
    </cfRule>
    <cfRule type="containsText" dxfId="638" priority="119" operator="containsText" text="ASSC">
      <formula>NOT(ISERROR(SEARCH("ASSC",E20)))</formula>
    </cfRule>
    <cfRule type="containsText" dxfId="637" priority="120" operator="containsText" text="CC">
      <formula>NOT(ISERROR(SEARCH("CC",E20)))</formula>
    </cfRule>
    <cfRule type="containsText" dxfId="636" priority="121" operator="containsText" text="CSO">
      <formula>NOT(ISERROR(SEARCH("CSO",E20)))</formula>
    </cfRule>
    <cfRule type="containsText" dxfId="635" priority="122" operator="containsText" text="FC">
      <formula>NOT(ISERROR(SEARCH("FC",E20)))</formula>
    </cfRule>
    <cfRule type="containsText" dxfId="634" priority="123" operator="containsText" text="RC">
      <formula>NOT(ISERROR(SEARCH("RC",E20)))</formula>
    </cfRule>
    <cfRule type="containsText" dxfId="633" priority="142" stopIfTrue="1" operator="containsText" text="AAC">
      <formula>NOT(ISERROR(SEARCH("AAC",E20)))</formula>
    </cfRule>
  </conditionalFormatting>
  <conditionalFormatting sqref="E20">
    <cfRule type="containsText" dxfId="632" priority="124" stopIfTrue="1" operator="containsText" text="AAC">
      <formula>NOT(ISERROR(SEARCH("AAC",E20)))</formula>
    </cfRule>
    <cfRule type="containsText" dxfId="631" priority="125" operator="containsText" text="PAC">
      <formula>NOT(ISERROR(SEARCH("PAC",E20)))</formula>
    </cfRule>
    <cfRule type="containsText" dxfId="630" priority="126" operator="containsText" text="GC">
      <formula>NOT(ISERROR(SEARCH("GC",E20)))</formula>
    </cfRule>
  </conditionalFormatting>
  <conditionalFormatting sqref="E50:E53">
    <cfRule type="containsText" dxfId="629" priority="10" operator="containsText" text="PSSC">
      <formula>NOT(ISERROR(SEARCH("PSSC",E50)))</formula>
    </cfRule>
    <cfRule type="containsText" dxfId="628" priority="11" operator="containsText" text="ASSC">
      <formula>NOT(ISERROR(SEARCH("ASSC",E50)))</formula>
    </cfRule>
    <cfRule type="containsText" dxfId="627" priority="12" operator="containsText" text="CC">
      <formula>NOT(ISERROR(SEARCH("CC",E50)))</formula>
    </cfRule>
    <cfRule type="containsText" dxfId="626" priority="13" operator="containsText" text="CSO">
      <formula>NOT(ISERROR(SEARCH("CSO",E50)))</formula>
    </cfRule>
    <cfRule type="containsText" dxfId="625" priority="14" operator="containsText" text="FC">
      <formula>NOT(ISERROR(SEARCH("FC",E50)))</formula>
    </cfRule>
    <cfRule type="containsText" dxfId="624" priority="15" operator="containsText" text="RC">
      <formula>NOT(ISERROR(SEARCH("RC",E50)))</formula>
    </cfRule>
    <cfRule type="containsText" dxfId="623" priority="16" operator="containsText" text="PAC">
      <formula>NOT(ISERROR(SEARCH("PAC",E50)))</formula>
    </cfRule>
    <cfRule type="containsText" dxfId="622" priority="17" operator="containsText" text="GC">
      <formula>NOT(ISERROR(SEARCH("GC",E50)))</formula>
    </cfRule>
    <cfRule type="containsText" dxfId="621" priority="18" stopIfTrue="1" operator="containsText" text="AAC">
      <formula>NOT(ISERROR(SEARCH("AAC",E50)))</formula>
    </cfRule>
  </conditionalFormatting>
  <conditionalFormatting sqref="F87">
    <cfRule type="containsText" dxfId="620" priority="54" operator="containsText" text="PL">
      <formula>NOT(ISERROR(SEARCH("PL",F87)))</formula>
    </cfRule>
    <cfRule type="containsText" dxfId="619" priority="55" operator="containsText" text="SW">
      <formula>NOT(ISERROR(SEARCH("SW",F87)))</formula>
    </cfRule>
    <cfRule type="containsText" dxfId="618" priority="56" operator="containsText" text="AT">
      <formula>NOT(ISERROR(SEARCH("AT",F87)))</formula>
    </cfRule>
    <cfRule type="containsText" dxfId="617" priority="57" operator="containsText" text="SS">
      <formula>NOT(ISERROR(SEARCH("SS",F87)))</formula>
    </cfRule>
  </conditionalFormatting>
  <conditionalFormatting sqref="F228:F241 G229:L241 G228:J228">
    <cfRule type="colorScale" priority="229">
      <colorScale>
        <cfvo type="num" val="0"/>
        <cfvo type="num" val="1"/>
        <cfvo type="num" val="2"/>
        <color theme="0"/>
        <color rgb="FFAFFC06"/>
        <color rgb="FFFF0000"/>
      </colorScale>
    </cfRule>
  </conditionalFormatting>
  <conditionalFormatting sqref="F83:G83">
    <cfRule type="containsText" dxfId="616" priority="46" operator="containsText" text="PL">
      <formula>NOT(ISERROR(SEARCH("PL",F83)))</formula>
    </cfRule>
    <cfRule type="containsText" dxfId="615" priority="47" operator="containsText" text="SW">
      <formula>NOT(ISERROR(SEARCH("SW",F83)))</formula>
    </cfRule>
    <cfRule type="containsText" dxfId="614" priority="48" operator="containsText" text="AT">
      <formula>NOT(ISERROR(SEARCH("AT",F83)))</formula>
    </cfRule>
    <cfRule type="containsText" dxfId="613" priority="49" operator="containsText" text="SS">
      <formula>NOT(ISERROR(SEARCH("SS",F83)))</formula>
    </cfRule>
  </conditionalFormatting>
  <conditionalFormatting sqref="F61:J61">
    <cfRule type="containsText" dxfId="612" priority="27" operator="containsText" text="CSO">
      <formula>NOT(ISERROR(SEARCH("CSO",F61)))</formula>
    </cfRule>
    <cfRule type="containsText" dxfId="611" priority="28" operator="containsText" text="FC">
      <formula>NOT(ISERROR(SEARCH("FC",F61)))</formula>
    </cfRule>
    <cfRule type="containsText" dxfId="610" priority="29" operator="containsText" text="SS">
      <formula>NOT(ISERROR(SEARCH("SS",F61)))</formula>
    </cfRule>
    <cfRule type="containsText" dxfId="609" priority="30" operator="containsText" text="RC">
      <formula>NOT(ISERROR(SEARCH("RC",F61)))</formula>
    </cfRule>
    <cfRule type="containsText" dxfId="608" priority="31" operator="containsText" text="PAC">
      <formula>NOT(ISERROR(SEARCH("PAC",F61)))</formula>
    </cfRule>
    <cfRule type="containsText" dxfId="607" priority="32" operator="containsText" text="AAC">
      <formula>NOT(ISERROR(SEARCH("AAC",F61)))</formula>
    </cfRule>
    <cfRule type="containsText" dxfId="606" priority="33" operator="containsText" text="GC">
      <formula>NOT(ISERROR(SEARCH("GC",F61)))</formula>
    </cfRule>
  </conditionalFormatting>
  <conditionalFormatting sqref="F63:J64">
    <cfRule type="cellIs" dxfId="605" priority="98" operator="lessThan">
      <formula>5</formula>
    </cfRule>
  </conditionalFormatting>
  <conditionalFormatting sqref="F84:J84">
    <cfRule type="containsText" dxfId="604" priority="70" operator="containsText" text="PL">
      <formula>NOT(ISERROR(SEARCH("PL",F84)))</formula>
    </cfRule>
    <cfRule type="containsText" dxfId="603" priority="71" operator="containsText" text="SW">
      <formula>NOT(ISERROR(SEARCH("SW",F84)))</formula>
    </cfRule>
    <cfRule type="containsText" dxfId="602" priority="72" operator="containsText" text="AT">
      <formula>NOT(ISERROR(SEARCH("AT",F84)))</formula>
    </cfRule>
    <cfRule type="containsText" dxfId="601" priority="73" operator="containsText" text="SS">
      <formula>NOT(ISERROR(SEARCH("SS",F84)))</formula>
    </cfRule>
  </conditionalFormatting>
  <conditionalFormatting sqref="F8:L58">
    <cfRule type="containsText" dxfId="600" priority="80" operator="containsText" text="PAC">
      <formula>NOT(ISERROR(SEARCH("PAC",F8)))</formula>
    </cfRule>
    <cfRule type="containsText" dxfId="599" priority="81" operator="containsText" text="AAC">
      <formula>NOT(ISERROR(SEARCH("AAC",F8)))</formula>
    </cfRule>
    <cfRule type="containsText" dxfId="598" priority="82" operator="containsText" text="GC">
      <formula>NOT(ISERROR(SEARCH("GC",F8)))</formula>
    </cfRule>
    <cfRule type="containsText" dxfId="597" priority="83" operator="containsText" text="FC">
      <formula>NOT(ISERROR(SEARCH("FC",F8)))</formula>
    </cfRule>
    <cfRule type="containsText" dxfId="596" priority="84" operator="containsText" text="CC">
      <formula>NOT(ISERROR(SEARCH("CC",F8)))</formula>
    </cfRule>
    <cfRule type="containsText" dxfId="595" priority="85" operator="containsText" text="RC">
      <formula>NOT(ISERROR(SEARCH("RC",F8)))</formula>
    </cfRule>
    <cfRule type="containsText" dxfId="594" priority="86" operator="containsText" text="SSC">
      <formula>NOT(ISERROR(SEARCH("SSC",F8)))</formula>
    </cfRule>
    <cfRule type="containsText" dxfId="593" priority="87" operator="containsText" text="CSO">
      <formula>NOT(ISERROR(SEARCH("CSO",F8)))</formula>
    </cfRule>
  </conditionalFormatting>
  <conditionalFormatting sqref="F63:L63 F64:J64">
    <cfRule type="cellIs" dxfId="592" priority="99" operator="greaterThan">
      <formula>6</formula>
    </cfRule>
  </conditionalFormatting>
  <conditionalFormatting sqref="F66:L66 F68:L70">
    <cfRule type="containsText" dxfId="591" priority="79" operator="containsText" text="CC">
      <formula>NOT(ISERROR(SEARCH("CC",F66)))</formula>
    </cfRule>
  </conditionalFormatting>
  <conditionalFormatting sqref="F66:L70">
    <cfRule type="containsText" dxfId="590" priority="39" operator="containsText" text="RC">
      <formula>NOT(ISERROR(SEARCH("RC",F66)))</formula>
    </cfRule>
  </conditionalFormatting>
  <conditionalFormatting sqref="F67:L67">
    <cfRule type="containsText" dxfId="589" priority="34" operator="containsText" text="PAC">
      <formula>NOT(ISERROR(SEARCH("PAC",F67)))</formula>
    </cfRule>
    <cfRule type="containsText" dxfId="588" priority="35" operator="containsText" text="AAC">
      <formula>NOT(ISERROR(SEARCH("AAC",F67)))</formula>
    </cfRule>
    <cfRule type="containsText" dxfId="587" priority="36" operator="containsText" text="GC">
      <formula>NOT(ISERROR(SEARCH("GC",F67)))</formula>
    </cfRule>
    <cfRule type="containsText" dxfId="586" priority="37" operator="containsText" text="FC">
      <formula>NOT(ISERROR(SEARCH("FC",F67)))</formula>
    </cfRule>
    <cfRule type="containsText" dxfId="585" priority="38" operator="containsText" text="CC">
      <formula>NOT(ISERROR(SEARCH("CC",F67)))</formula>
    </cfRule>
    <cfRule type="containsText" dxfId="584" priority="40" operator="containsText" text="SSC">
      <formula>NOT(ISERROR(SEARCH("SSC",F67)))</formula>
    </cfRule>
    <cfRule type="containsText" dxfId="583" priority="41" operator="containsText" text="CSO">
      <formula>NOT(ISERROR(SEARCH("CSO",F67)))</formula>
    </cfRule>
  </conditionalFormatting>
  <conditionalFormatting sqref="F85:L85">
    <cfRule type="containsText" dxfId="582" priority="66" operator="containsText" text="PL">
      <formula>NOT(ISERROR(SEARCH("PL",F85)))</formula>
    </cfRule>
    <cfRule type="containsText" dxfId="581" priority="67" operator="containsText" text="SW">
      <formula>NOT(ISERROR(SEARCH("SW",F85)))</formula>
    </cfRule>
    <cfRule type="containsText" dxfId="580" priority="68" operator="containsText" text="AT">
      <formula>NOT(ISERROR(SEARCH("AT",F85)))</formula>
    </cfRule>
    <cfRule type="containsText" dxfId="579" priority="69" operator="containsText" text="SS">
      <formula>NOT(ISERROR(SEARCH("SS",F85)))</formula>
    </cfRule>
  </conditionalFormatting>
  <conditionalFormatting sqref="F169:L169">
    <cfRule type="cellIs" dxfId="578" priority="97" operator="greaterThan">
      <formula>3</formula>
    </cfRule>
  </conditionalFormatting>
  <conditionalFormatting sqref="F171:L171">
    <cfRule type="cellIs" dxfId="577" priority="96" operator="greaterThan">
      <formula>4</formula>
    </cfRule>
  </conditionalFormatting>
  <conditionalFormatting sqref="G88:H89">
    <cfRule type="containsText" dxfId="576" priority="62" operator="containsText" text="PL">
      <formula>NOT(ISERROR(SEARCH("PL",G88)))</formula>
    </cfRule>
    <cfRule type="containsText" dxfId="575" priority="63" operator="containsText" text="SW">
      <formula>NOT(ISERROR(SEARCH("SW",G88)))</formula>
    </cfRule>
    <cfRule type="containsText" dxfId="574" priority="64" operator="containsText" text="AT">
      <formula>NOT(ISERROR(SEARCH("AT",G88)))</formula>
    </cfRule>
    <cfRule type="containsText" dxfId="573" priority="65" operator="containsText" text="SS">
      <formula>NOT(ISERROR(SEARCH("SS",G88)))</formula>
    </cfRule>
  </conditionalFormatting>
  <conditionalFormatting sqref="H86">
    <cfRule type="containsText" dxfId="572" priority="58" operator="containsText" text="PL">
      <formula>NOT(ISERROR(SEARCH("PL",H86)))</formula>
    </cfRule>
    <cfRule type="containsText" dxfId="571" priority="59" operator="containsText" text="SW">
      <formula>NOT(ISERROR(SEARCH("SW",H86)))</formula>
    </cfRule>
    <cfRule type="containsText" dxfId="570" priority="60" operator="containsText" text="AT">
      <formula>NOT(ISERROR(SEARCH("AT",H86)))</formula>
    </cfRule>
    <cfRule type="containsText" dxfId="569" priority="61" operator="containsText" text="SS">
      <formula>NOT(ISERROR(SEARCH("SS",H86)))</formula>
    </cfRule>
  </conditionalFormatting>
  <conditionalFormatting sqref="I59">
    <cfRule type="containsText" dxfId="568" priority="19" operator="containsText" text="PAC">
      <formula>NOT(ISERROR(SEARCH("PAC",I59)))</formula>
    </cfRule>
    <cfRule type="containsText" dxfId="567" priority="20" operator="containsText" text="AAC">
      <formula>NOT(ISERROR(SEARCH("AAC",I59)))</formula>
    </cfRule>
    <cfRule type="containsText" dxfId="566" priority="21" operator="containsText" text="GC">
      <formula>NOT(ISERROR(SEARCH("GC",I59)))</formula>
    </cfRule>
    <cfRule type="containsText" dxfId="565" priority="22" operator="containsText" text="FC">
      <formula>NOT(ISERROR(SEARCH("FC",I59)))</formula>
    </cfRule>
    <cfRule type="containsText" dxfId="564" priority="23" operator="containsText" text="CC">
      <formula>NOT(ISERROR(SEARCH("CC",I59)))</formula>
    </cfRule>
    <cfRule type="containsText" dxfId="563" priority="24" operator="containsText" text="RC">
      <formula>NOT(ISERROR(SEARCH("RC",I59)))</formula>
    </cfRule>
    <cfRule type="containsText" dxfId="562" priority="25" operator="containsText" text="SSC">
      <formula>NOT(ISERROR(SEARCH("SSC",I59)))</formula>
    </cfRule>
    <cfRule type="containsText" dxfId="561" priority="26" operator="containsText" text="CSO">
      <formula>NOT(ISERROR(SEARCH("CSO",I59)))</formula>
    </cfRule>
  </conditionalFormatting>
  <conditionalFormatting sqref="I83:J83">
    <cfRule type="containsText" dxfId="560" priority="42" operator="containsText" text="PL">
      <formula>NOT(ISERROR(SEARCH("PL",I83)))</formula>
    </cfRule>
    <cfRule type="containsText" dxfId="559" priority="43" operator="containsText" text="SW">
      <formula>NOT(ISERROR(SEARCH("SW",I83)))</formula>
    </cfRule>
    <cfRule type="containsText" dxfId="558" priority="44" operator="containsText" text="AT">
      <formula>NOT(ISERROR(SEARCH("AT",I83)))</formula>
    </cfRule>
    <cfRule type="containsText" dxfId="557" priority="45" operator="containsText" text="SS">
      <formula>NOT(ISERROR(SEARCH("SS",I83)))</formula>
    </cfRule>
  </conditionalFormatting>
  <conditionalFormatting sqref="I87:J87">
    <cfRule type="containsText" dxfId="556" priority="50" operator="containsText" text="PL">
      <formula>NOT(ISERROR(SEARCH("PL",I87)))</formula>
    </cfRule>
    <cfRule type="containsText" dxfId="555" priority="51" operator="containsText" text="SW">
      <formula>NOT(ISERROR(SEARCH("SW",I87)))</formula>
    </cfRule>
    <cfRule type="containsText" dxfId="554" priority="52" operator="containsText" text="AT">
      <formula>NOT(ISERROR(SEARCH("AT",I87)))</formula>
    </cfRule>
    <cfRule type="containsText" dxfId="553" priority="53" operator="containsText" text="SS">
      <formula>NOT(ISERROR(SEARCH("SS",I87)))</formula>
    </cfRule>
  </conditionalFormatting>
  <conditionalFormatting sqref="J107:L107">
    <cfRule type="containsText" dxfId="552" priority="74" operator="containsText" text="PL">
      <formula>NOT(ISERROR(SEARCH("PL",J107)))</formula>
    </cfRule>
    <cfRule type="containsText" dxfId="551" priority="75" operator="containsText" text="SW">
      <formula>NOT(ISERROR(SEARCH("SW",J107)))</formula>
    </cfRule>
    <cfRule type="containsText" dxfId="550" priority="76" operator="containsText" text="AT">
      <formula>NOT(ISERROR(SEARCH("AT",J107)))</formula>
    </cfRule>
    <cfRule type="containsText" dxfId="549" priority="77" operator="containsText" text="SS">
      <formula>NOT(ISERROR(SEARCH("SS",J107)))</formula>
    </cfRule>
  </conditionalFormatting>
  <conditionalFormatting sqref="K63:L64">
    <cfRule type="cellIs" dxfId="548" priority="88" operator="greaterThan">
      <formula>3</formula>
    </cfRule>
  </conditionalFormatting>
  <conditionalFormatting sqref="L100">
    <cfRule type="containsText" dxfId="547" priority="5" operator="containsText" text="PL">
      <formula>NOT(ISERROR(SEARCH("PL",L100)))</formula>
    </cfRule>
    <cfRule type="containsText" dxfId="546" priority="6" operator="containsText" text="SW">
      <formula>NOT(ISERROR(SEARCH("SW",L100)))</formula>
    </cfRule>
    <cfRule type="containsText" dxfId="545" priority="7" operator="containsText" text="AT">
      <formula>NOT(ISERROR(SEARCH("AT",L100)))</formula>
    </cfRule>
    <cfRule type="containsText" dxfId="544" priority="8" operator="containsText" text="SS">
      <formula>NOT(ISERROR(SEARCH("SS",L100)))</formula>
    </cfRule>
  </conditionalFormatting>
  <conditionalFormatting sqref="L120">
    <cfRule type="containsText" dxfId="543" priority="1" operator="containsText" text="PL">
      <formula>NOT(ISERROR(SEARCH("PL",L120)))</formula>
    </cfRule>
    <cfRule type="containsText" dxfId="542" priority="2" operator="containsText" text="SW">
      <formula>NOT(ISERROR(SEARCH("SW",L120)))</formula>
    </cfRule>
    <cfRule type="containsText" dxfId="541" priority="3" operator="containsText" text="AT">
      <formula>NOT(ISERROR(SEARCH("AT",L120)))</formula>
    </cfRule>
    <cfRule type="containsText" dxfId="540" priority="4" operator="containsText" text="SS">
      <formula>NOT(ISERROR(SEARCH("SS",L120)))</formula>
    </cfRule>
  </conditionalFormatting>
  <conditionalFormatting sqref="N38:N40">
    <cfRule type="containsText" dxfId="539" priority="179" operator="containsText" text="NAMIT">
      <formula>NOT(ISERROR(SEARCH("NAMIT",N38)))</formula>
    </cfRule>
  </conditionalFormatting>
  <conditionalFormatting sqref="O6:U6">
    <cfRule type="notContainsErrors" dxfId="538" priority="183">
      <formula>NOT(ISERROR(O6))</formula>
    </cfRule>
  </conditionalFormatting>
  <conditionalFormatting sqref="O7:U7 O37:U37">
    <cfRule type="notContainsErrors" dxfId="537" priority="178">
      <formula>NOT(ISERROR(O7))</formula>
    </cfRule>
  </conditionalFormatting>
  <conditionalFormatting sqref="O8:U8">
    <cfRule type="notContainsErrors" dxfId="536" priority="181">
      <formula>NOT(ISERROR(O8))</formula>
    </cfRule>
  </conditionalFormatting>
  <conditionalFormatting sqref="O9:U9">
    <cfRule type="notContainsErrors" dxfId="535" priority="192">
      <formula>NOT(ISERROR(O9))</formula>
    </cfRule>
  </conditionalFormatting>
  <conditionalFormatting sqref="O10:U10">
    <cfRule type="notContainsErrors" dxfId="534" priority="173">
      <formula>NOT(ISERROR(O10))</formula>
    </cfRule>
  </conditionalFormatting>
  <conditionalFormatting sqref="O18:U18">
    <cfRule type="notContainsErrors" dxfId="533" priority="191">
      <formula>NOT(ISERROR(O18))</formula>
    </cfRule>
  </conditionalFormatting>
  <conditionalFormatting sqref="O36:U36">
    <cfRule type="notContainsErrors" dxfId="532" priority="184">
      <formula>NOT(ISERROR(O36))</formula>
    </cfRule>
  </conditionalFormatting>
  <conditionalFormatting sqref="O38:U38">
    <cfRule type="notContainsErrors" dxfId="531" priority="182">
      <formula>NOT(ISERROR(O38))</formula>
    </cfRule>
  </conditionalFormatting>
  <conditionalFormatting sqref="O39:U39">
    <cfRule type="notContainsErrors" dxfId="530" priority="175">
      <formula>NOT(ISERROR(O39))</formula>
    </cfRule>
  </conditionalFormatting>
  <conditionalFormatting sqref="O40:U40">
    <cfRule type="notContainsErrors" dxfId="529" priority="177">
      <formula>NOT(ISERROR(O40))</formula>
    </cfRule>
  </conditionalFormatting>
  <conditionalFormatting sqref="O48:U48">
    <cfRule type="notContainsErrors" dxfId="528" priority="176">
      <formula>NOT(ISERROR(O48))</formula>
    </cfRule>
  </conditionalFormatting>
  <conditionalFormatting sqref="O65:U65">
    <cfRule type="notContainsErrors" dxfId="527" priority="174">
      <formula>NOT(ISERROR(O65))</formula>
    </cfRule>
  </conditionalFormatting>
  <conditionalFormatting sqref="O75:U75">
    <cfRule type="notContainsErrors" dxfId="526" priority="180">
      <formula>NOT(ISERROR(O75))</formula>
    </cfRule>
  </conditionalFormatting>
  <conditionalFormatting sqref="V131:V1048576 P233:U1048576">
    <cfRule type="containsText" dxfId="525" priority="185" operator="containsText" text="SW">
      <formula>NOT(ISERROR(SEARCH("SW",P131)))</formula>
    </cfRule>
    <cfRule type="containsText" dxfId="524" priority="186" operator="containsText" text="FL">
      <formula>NOT(ISERROR(SEARCH("FL",P131)))</formula>
    </cfRule>
    <cfRule type="containsText" dxfId="523" priority="187" operator="containsText" text="FT">
      <formula>NOT(ISERROR(SEARCH("FT",P131)))</formula>
    </cfRule>
    <cfRule type="containsText" dxfId="522" priority="188" operator="containsText" text="SS">
      <formula>NOT(ISERROR(SEARCH("SS",P131)))</formula>
    </cfRule>
    <cfRule type="containsText" dxfId="521" priority="189" operator="containsText" text="GR">
      <formula>NOT(ISERROR(SEARCH("GR",P131)))</formula>
    </cfRule>
    <cfRule type="containsText" dxfId="520" priority="190" operator="containsText" text="GO">
      <formula>NOT(ISERROR(SEARCH("GO",P131)))</formula>
    </cfRule>
  </conditionalFormatting>
  <dataValidations count="1">
    <dataValidation type="list" allowBlank="1" showInputMessage="1" sqref="F133:L134 J135:L140 F112:G130 G135:H140 H113:H130 I112:J130 K113:L130" xr:uid="{A230F6B3-9744-5C4C-B637-9905827DF1CF}">
      <formula1>#REF!</formula1>
    </dataValidation>
  </dataValidations>
  <pageMargins left="0.7" right="0.7" top="0.75" bottom="0.75" header="0.3" footer="0.3"/>
  <pageSetup paperSize="9" scale="6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AA873-1893-2745-9417-8198B9404111}">
  <sheetPr>
    <tabColor theme="0"/>
    <pageSetUpPr fitToPage="1"/>
  </sheetPr>
  <dimension ref="A1:W291"/>
  <sheetViews>
    <sheetView topLeftCell="G1" zoomScaleNormal="100" workbookViewId="0">
      <pane ySplit="4" topLeftCell="C88" activePane="bottomLeft" state="frozen"/>
      <selection pane="bottomLeft" activeCell="M144" sqref="M144"/>
      <selection activeCell="I1" sqref="I1"/>
    </sheetView>
  </sheetViews>
  <sheetFormatPr defaultColWidth="9" defaultRowHeight="14.25"/>
  <cols>
    <col min="1" max="2" width="10.875" style="56" hidden="1" customWidth="1"/>
    <col min="3" max="3" width="18" style="56" customWidth="1"/>
    <col min="4" max="4" width="24.375" style="72" customWidth="1"/>
    <col min="5" max="5" width="10.875" style="68"/>
    <col min="6" max="6" width="12.875" style="66" customWidth="1"/>
    <col min="7" max="10" width="12.875" style="64" customWidth="1"/>
    <col min="11" max="11" width="12.125" style="64" customWidth="1"/>
    <col min="12" max="12" width="12.625" style="64" customWidth="1"/>
    <col min="13" max="13" width="10.875" style="56"/>
    <col min="14" max="14" width="14.875" style="89" customWidth="1"/>
    <col min="15" max="15" width="15.375" style="112" customWidth="1"/>
    <col min="16" max="21" width="15.375" style="89" customWidth="1"/>
    <col min="22" max="22" width="12.875" style="34" customWidth="1"/>
    <col min="23" max="23" width="9" style="34"/>
    <col min="24" max="16384" width="9" style="56"/>
  </cols>
  <sheetData>
    <row r="1" spans="1:23" ht="14.1" customHeight="1" thickBot="1">
      <c r="D1" s="57"/>
      <c r="E1" s="58"/>
      <c r="F1" s="59" t="str">
        <f t="shared" ref="F1:L1" si="0">CONCATENATE(F169,"-",F170,"-",F171,"-",F172,"-",F173)</f>
        <v>15-1-16-0-9</v>
      </c>
      <c r="G1" s="59" t="str">
        <f t="shared" si="0"/>
        <v>14-4-13-2-9</v>
      </c>
      <c r="H1" s="59" t="str">
        <f t="shared" si="0"/>
        <v>15-2-15-0-9</v>
      </c>
      <c r="I1" s="59" t="str">
        <f t="shared" si="0"/>
        <v>16-0-15-0-9</v>
      </c>
      <c r="J1" s="59" t="str">
        <f t="shared" si="0"/>
        <v>12-1-12-1-8</v>
      </c>
      <c r="K1" s="59" t="str">
        <f t="shared" si="0"/>
        <v>12-0-14-0-9</v>
      </c>
      <c r="L1" s="59" t="str">
        <f t="shared" si="0"/>
        <v>13-0-13-0-8</v>
      </c>
      <c r="O1" s="89" t="str">
        <f t="shared" ref="O1:U1" si="1">F1</f>
        <v>15-1-16-0-9</v>
      </c>
      <c r="P1" s="89" t="str">
        <f t="shared" si="1"/>
        <v>14-4-13-2-9</v>
      </c>
      <c r="Q1" s="89" t="str">
        <f t="shared" si="1"/>
        <v>15-2-15-0-9</v>
      </c>
      <c r="R1" s="89" t="str">
        <f t="shared" si="1"/>
        <v>16-0-15-0-9</v>
      </c>
      <c r="S1" s="89" t="str">
        <f t="shared" si="1"/>
        <v>12-1-12-1-8</v>
      </c>
      <c r="T1" s="89" t="str">
        <f t="shared" si="1"/>
        <v>12-0-14-0-9</v>
      </c>
      <c r="U1" s="89" t="str">
        <f t="shared" si="1"/>
        <v>13-0-13-0-8</v>
      </c>
    </row>
    <row r="2" spans="1:23" ht="14.1" customHeight="1" thickBot="1">
      <c r="C2" s="1" t="s">
        <v>0</v>
      </c>
      <c r="D2" s="1" t="s">
        <v>0</v>
      </c>
      <c r="E2" s="58"/>
      <c r="F2" s="802">
        <v>10</v>
      </c>
      <c r="G2" s="802"/>
      <c r="H2" s="802"/>
      <c r="I2" s="802"/>
      <c r="J2" s="802"/>
      <c r="K2" s="802"/>
      <c r="L2" s="802"/>
      <c r="O2" s="754">
        <f>F2</f>
        <v>10</v>
      </c>
      <c r="P2" s="755"/>
      <c r="Q2" s="755"/>
      <c r="R2" s="755"/>
      <c r="S2" s="755"/>
      <c r="T2" s="755"/>
      <c r="U2" s="756"/>
    </row>
    <row r="3" spans="1:23" ht="14.1" customHeight="1">
      <c r="A3" s="56" t="s">
        <v>297</v>
      </c>
      <c r="B3" s="56" t="s">
        <v>298</v>
      </c>
      <c r="C3" s="494" t="s">
        <v>299</v>
      </c>
      <c r="D3" s="494" t="s">
        <v>300</v>
      </c>
      <c r="E3" s="69" t="s">
        <v>5</v>
      </c>
      <c r="F3" s="22" t="s">
        <v>6</v>
      </c>
      <c r="G3" s="23" t="s">
        <v>7</v>
      </c>
      <c r="H3" s="23" t="s">
        <v>8</v>
      </c>
      <c r="I3" s="23" t="s">
        <v>9</v>
      </c>
      <c r="J3" s="23" t="s">
        <v>10</v>
      </c>
      <c r="K3" s="23" t="s">
        <v>11</v>
      </c>
      <c r="L3" s="24" t="s">
        <v>12</v>
      </c>
      <c r="O3" s="90" t="s">
        <v>6</v>
      </c>
      <c r="P3" s="91" t="s">
        <v>7</v>
      </c>
      <c r="Q3" s="91" t="s">
        <v>8</v>
      </c>
      <c r="R3" s="91" t="s">
        <v>9</v>
      </c>
      <c r="S3" s="91" t="s">
        <v>10</v>
      </c>
      <c r="T3" s="91" t="s">
        <v>11</v>
      </c>
      <c r="U3" s="92" t="s">
        <v>12</v>
      </c>
    </row>
    <row r="4" spans="1:23" ht="14.1" customHeight="1" thickBot="1">
      <c r="B4" s="56" t="s">
        <v>13</v>
      </c>
      <c r="C4" s="25"/>
      <c r="D4" s="25"/>
      <c r="E4" s="77"/>
      <c r="F4" s="26">
        <v>46118</v>
      </c>
      <c r="G4" s="27">
        <v>46119</v>
      </c>
      <c r="H4" s="27">
        <v>46120</v>
      </c>
      <c r="I4" s="27">
        <v>46121</v>
      </c>
      <c r="J4" s="27">
        <v>46122</v>
      </c>
      <c r="K4" s="27">
        <v>46123</v>
      </c>
      <c r="L4" s="27">
        <v>46124</v>
      </c>
      <c r="N4" s="93"/>
      <c r="O4" s="94">
        <f t="shared" ref="O4:U4" si="2">F4</f>
        <v>46118</v>
      </c>
      <c r="P4" s="95">
        <f t="shared" si="2"/>
        <v>46119</v>
      </c>
      <c r="Q4" s="95">
        <f t="shared" si="2"/>
        <v>46120</v>
      </c>
      <c r="R4" s="95">
        <f t="shared" si="2"/>
        <v>46121</v>
      </c>
      <c r="S4" s="95">
        <f t="shared" si="2"/>
        <v>46122</v>
      </c>
      <c r="T4" s="95">
        <f t="shared" si="2"/>
        <v>46123</v>
      </c>
      <c r="U4" s="96">
        <f t="shared" si="2"/>
        <v>46124</v>
      </c>
    </row>
    <row r="5" spans="1:23" ht="14.1" customHeight="1" thickBot="1">
      <c r="C5" s="2"/>
      <c r="D5" s="2"/>
      <c r="E5" s="81"/>
      <c r="F5" s="214" t="s">
        <v>23</v>
      </c>
      <c r="G5" s="223" t="s">
        <v>24</v>
      </c>
      <c r="H5" s="223"/>
      <c r="I5" s="223"/>
      <c r="J5" s="223"/>
      <c r="K5" s="223"/>
      <c r="L5" s="224"/>
      <c r="O5" s="757" t="s">
        <v>301</v>
      </c>
      <c r="P5" s="758"/>
      <c r="Q5" s="758"/>
      <c r="R5" s="758"/>
      <c r="S5" s="758"/>
      <c r="T5" s="758"/>
      <c r="U5" s="759"/>
      <c r="W5" s="34" t="s">
        <v>302</v>
      </c>
    </row>
    <row r="6" spans="1:23" ht="14.1" customHeight="1">
      <c r="C6" s="315" t="s">
        <v>26</v>
      </c>
      <c r="D6" s="315" t="s">
        <v>26</v>
      </c>
      <c r="E6" s="495"/>
      <c r="F6" s="317"/>
      <c r="G6" s="318"/>
      <c r="H6" s="318"/>
      <c r="I6" s="318"/>
      <c r="J6" s="318"/>
      <c r="K6" s="318"/>
      <c r="L6" s="319"/>
      <c r="N6" s="97" t="s">
        <v>303</v>
      </c>
      <c r="O6" s="98" t="str">
        <f t="shared" ref="O6:U6" si="3">INDEX($C7:$L188,MATCH("*AGC*",F7:F191,0),1)</f>
        <v>STEVE T SMS</v>
      </c>
      <c r="P6" s="99" t="str">
        <f t="shared" si="3"/>
        <v>MICHELLE SMS</v>
      </c>
      <c r="Q6" s="99" t="str">
        <f t="shared" si="3"/>
        <v>RICHARD SMS</v>
      </c>
      <c r="R6" s="99" t="str">
        <f t="shared" si="3"/>
        <v>JULIA SMS</v>
      </c>
      <c r="S6" s="99" t="str">
        <f t="shared" si="3"/>
        <v>JACQUELINE SMS</v>
      </c>
      <c r="T6" s="99" t="str">
        <f t="shared" si="3"/>
        <v>ANDRE SMS</v>
      </c>
      <c r="U6" s="100" t="str">
        <f t="shared" si="3"/>
        <v>RAMI SMS</v>
      </c>
      <c r="V6" s="34" t="s">
        <v>287</v>
      </c>
      <c r="W6" s="101"/>
    </row>
    <row r="7" spans="1:23" ht="14.1" customHeight="1">
      <c r="C7" s="496" t="s">
        <v>304</v>
      </c>
      <c r="D7" s="497" t="s">
        <v>27</v>
      </c>
      <c r="E7" s="498">
        <v>625982</v>
      </c>
      <c r="F7" s="569" t="s">
        <v>28</v>
      </c>
      <c r="G7" s="570"/>
      <c r="H7" s="570"/>
      <c r="I7" s="570"/>
      <c r="J7" s="570"/>
      <c r="K7" s="570"/>
      <c r="L7" s="571"/>
      <c r="N7" s="499" t="s">
        <v>305</v>
      </c>
      <c r="O7" s="102" t="str">
        <f t="shared" ref="O7:U7" si="4">INDEX($C7:$L188,MATCH("*AAC",F7:F190,0),1)</f>
        <v>QING SMS</v>
      </c>
      <c r="P7" s="500" t="str">
        <f t="shared" si="4"/>
        <v>TARA K. SMS</v>
      </c>
      <c r="Q7" s="500" t="str">
        <f t="shared" si="4"/>
        <v>NICOLA SMS</v>
      </c>
      <c r="R7" s="500" t="str">
        <f t="shared" si="4"/>
        <v>TARA J. SMS</v>
      </c>
      <c r="S7" s="500" t="str">
        <f t="shared" si="4"/>
        <v>BEN SMS</v>
      </c>
      <c r="T7" s="500" t="str">
        <f t="shared" si="4"/>
        <v>QAIS SMS</v>
      </c>
      <c r="U7" s="501" t="str">
        <f t="shared" si="4"/>
        <v>ABI SMS</v>
      </c>
      <c r="V7" s="34" t="s">
        <v>286</v>
      </c>
      <c r="W7" s="101"/>
    </row>
    <row r="8" spans="1:23" ht="14.1" customHeight="1">
      <c r="C8" s="497" t="s">
        <v>306</v>
      </c>
      <c r="D8" s="83" t="s">
        <v>29</v>
      </c>
      <c r="E8" s="502">
        <v>628936</v>
      </c>
      <c r="F8" s="672" t="s">
        <v>39</v>
      </c>
      <c r="G8" s="62" t="s">
        <v>33</v>
      </c>
      <c r="H8" s="62" t="s">
        <v>33</v>
      </c>
      <c r="I8" s="565" t="s">
        <v>41</v>
      </c>
      <c r="J8" s="225"/>
      <c r="K8" s="576"/>
      <c r="L8" s="579"/>
      <c r="N8" s="503" t="s">
        <v>307</v>
      </c>
      <c r="O8" s="102" t="str">
        <f t="shared" ref="O8:U8" si="5">INDEX($C7:$L188,MATCH("*ARC*",F7:F191,0),1)</f>
        <v>BARRY SMS</v>
      </c>
      <c r="P8" s="500" t="str">
        <f t="shared" si="5"/>
        <v>STEPHEN G SMS</v>
      </c>
      <c r="Q8" s="500" t="str">
        <f t="shared" si="5"/>
        <v>BRAD SMS</v>
      </c>
      <c r="R8" s="500" t="e">
        <f t="shared" si="5"/>
        <v>#N/A</v>
      </c>
      <c r="S8" s="500" t="str">
        <f t="shared" si="5"/>
        <v>PAIGE SMS</v>
      </c>
      <c r="T8" s="500" t="e">
        <f t="shared" si="5"/>
        <v>#N/A</v>
      </c>
      <c r="U8" s="501" t="e">
        <f t="shared" si="5"/>
        <v>#N/A</v>
      </c>
      <c r="V8" s="34" t="s">
        <v>285</v>
      </c>
      <c r="W8" s="101"/>
    </row>
    <row r="9" spans="1:23" ht="14.1" customHeight="1">
      <c r="C9" s="504" t="s">
        <v>308</v>
      </c>
      <c r="D9" s="723" t="s">
        <v>42</v>
      </c>
      <c r="E9" s="502">
        <v>628576</v>
      </c>
      <c r="F9" s="572" t="s">
        <v>31</v>
      </c>
      <c r="G9" s="573"/>
      <c r="H9" s="573"/>
      <c r="I9" s="573"/>
      <c r="J9" s="573"/>
      <c r="K9" s="573"/>
      <c r="L9" s="574"/>
      <c r="N9" s="505" t="s">
        <v>309</v>
      </c>
      <c r="O9" s="102" t="str">
        <f t="shared" ref="O9:U9" si="6">INDEX($C7:$L188,MATCH("*ASSC*",F7:F191,0),1)</f>
        <v>ERICA SMS</v>
      </c>
      <c r="P9" s="500" t="str">
        <f t="shared" si="6"/>
        <v>ANDY L  SMS</v>
      </c>
      <c r="Q9" s="500" t="str">
        <f t="shared" si="6"/>
        <v>DAVID SMS</v>
      </c>
      <c r="R9" s="500" t="str">
        <f t="shared" si="6"/>
        <v>SINDY SMS</v>
      </c>
      <c r="S9" s="500" t="str">
        <f t="shared" si="6"/>
        <v>YAN SMS</v>
      </c>
      <c r="T9" s="500" t="str">
        <f t="shared" si="6"/>
        <v>RAMI SMS</v>
      </c>
      <c r="U9" s="501" t="str">
        <f t="shared" si="6"/>
        <v>ANDRE SMS</v>
      </c>
      <c r="V9" s="34" t="s">
        <v>289</v>
      </c>
      <c r="W9" s="101"/>
    </row>
    <row r="10" spans="1:23" ht="14.1" customHeight="1">
      <c r="C10" s="504" t="s">
        <v>310</v>
      </c>
      <c r="D10" s="497" t="s">
        <v>45</v>
      </c>
      <c r="E10" s="506">
        <v>632647</v>
      </c>
      <c r="F10" s="672" t="s">
        <v>39</v>
      </c>
      <c r="G10" s="565" t="s">
        <v>33</v>
      </c>
      <c r="H10" s="75" t="s">
        <v>47</v>
      </c>
      <c r="I10" s="565" t="s">
        <v>38</v>
      </c>
      <c r="J10" s="565" t="s">
        <v>34</v>
      </c>
      <c r="K10" s="565"/>
      <c r="L10" s="577"/>
      <c r="N10" s="507" t="s">
        <v>311</v>
      </c>
      <c r="O10" s="102" t="e">
        <f t="shared" ref="O10:U10" si="7">INDEX($C6:$L187,MATCH("*ACC*",F6:F183,0),1)</f>
        <v>#N/A</v>
      </c>
      <c r="P10" s="500" t="str">
        <f t="shared" si="7"/>
        <v>QING SMS</v>
      </c>
      <c r="Q10" s="500" t="e">
        <f t="shared" si="7"/>
        <v>#N/A</v>
      </c>
      <c r="R10" s="500" t="str">
        <f t="shared" si="7"/>
        <v xml:space="preserve">RACHEL SMS </v>
      </c>
      <c r="S10" s="500" t="e">
        <f t="shared" si="7"/>
        <v>#N/A</v>
      </c>
      <c r="T10" s="500" t="e">
        <f t="shared" si="7"/>
        <v>#N/A</v>
      </c>
      <c r="U10" s="501" t="str">
        <f t="shared" si="7"/>
        <v>SAM CMO</v>
      </c>
      <c r="V10" s="34" t="s">
        <v>288</v>
      </c>
      <c r="W10" s="101"/>
    </row>
    <row r="11" spans="1:23" ht="14.1" customHeight="1">
      <c r="C11" s="497" t="s">
        <v>312</v>
      </c>
      <c r="D11" s="497" t="s">
        <v>48</v>
      </c>
      <c r="E11" s="502">
        <v>279110</v>
      </c>
      <c r="F11" s="572" t="s">
        <v>31</v>
      </c>
      <c r="G11" s="573"/>
      <c r="H11" s="573"/>
      <c r="I11" s="573"/>
      <c r="J11" s="573"/>
      <c r="K11" s="573"/>
      <c r="L11" s="574"/>
      <c r="N11" s="733" t="s">
        <v>313</v>
      </c>
      <c r="O11" s="774" t="str" cm="1">
        <f t="array" ref="O11">_xlfn.TEXTJOIN(CHAR(10),TRUE,IF(F7:F110="0800-1800 AFC",$C7:$C110,""),IF(F7:F110="0800-1730 AFC",$C7:$C110,""),IF(F7:F110="0800-1800",$C7:$C110,""),IF(F7:F110="0800-1730",$C7:$C110,""))</f>
        <v>TITUS CMO
CHRISTOPHER JR
DESLIN JR
JEROME JR</v>
      </c>
      <c r="P11" s="775" t="str" cm="1">
        <f t="array" ref="P11">_xlfn.TEXTJOIN(CHAR(10),TRUE,IF(G7:G110="0800-1800 AFC",$C7:$C110,""),IF(G7:G110="0800-1730 AFC",$C7:$C110,""),IF(G7:G110="0800-1800",$C7:$C110,""),IF(G7:G110="0800-1730",$C7:$C110,""))</f>
        <v>PATRICK SR
CHRISTINA JR
DESLIN JR</v>
      </c>
      <c r="Q11" s="775" t="str" cm="1">
        <f t="array" ref="Q11">_xlfn.TEXTJOIN(CHAR(10),TRUE,IF(H7:H110="0800-1800 AFC",$C7:$C110,""),IF(H7:H110="0800-1730 AFC",$C7:$C110,""),IF(H7:H110="0800-1800",$C7:$C110,""),IF(H7:H110="0800-1730",$C7:$C110,""))</f>
        <v>ANASTASIA SMS
TITUS CMO
SALEEM CMO</v>
      </c>
      <c r="R11" s="775" t="str" cm="1">
        <f t="array" ref="R11">_xlfn.TEXTJOIN(CHAR(10),TRUE,IF(I7:I110="0800-1800 AFC",$C7:$C110,""),IF(I7:I110="0800-1730 AFC",$C7:$C110,""),IF(I7:I110="0800-1800",$C7:$C110,""),IF(I7:I110="0800-1730",$C7:$C110,""))</f>
        <v>JAMES SMS
MILES SR
DENNIS SR
CRAIG JR
SYLVIA JR
JEROME JR</v>
      </c>
      <c r="S11" s="775" t="str" cm="1">
        <f t="array" ref="S11">_xlfn.TEXTJOIN(CHAR(10),TRUE,IF(J7:J110="0800-1800 AFC",$C7:$C110,""),IF(J7:J110="0800-1730 AFC",$C7:$C110,""),IF(J7:J110="0800-1800",$C7:$C110,""),IF(J7:J110="0800-1730",$C7:$C110,""))</f>
        <v>DENNIS SR
CRAIG JR
SYLVIA JR</v>
      </c>
      <c r="T11" s="775" t="str" cm="1">
        <f t="array" ref="T11">_xlfn.TEXTJOIN(CHAR(10),TRUE,IF(K7:K110="0800-1800 AFC",$C7:$C110,""),IF(K7:K110="0800-1730 AFC",$C7:$C110,""),IF(K7:K110="0800-1800",$C7:$C110,""),IF(K7:K110="0800-1730",$C7:$C110,""))</f>
        <v>MILES SR
CHRISTINA JR
GIOVANA JR
ISOBEL JR</v>
      </c>
      <c r="U11" s="775" t="str" cm="1">
        <f t="array" ref="U11">_xlfn.TEXTJOIN(CHAR(10),TRUE,IF(L7:L110="0800-1800 AFC",$C7:$C110,""),IF(L7:L110="0800-1730 AFC",$C7:$C110,""),IF(L7:L110="0800-1800",$C7:$C110,""),IF(L7:L110="0800-1730",$C7:$C110,""))</f>
        <v>MARK SR
CHRISTINA JR
GIOVANA JR
ISOBEL JR</v>
      </c>
      <c r="W11" s="772">
        <v>7</v>
      </c>
    </row>
    <row r="12" spans="1:23" ht="14.1" customHeight="1">
      <c r="C12" s="497" t="s">
        <v>314</v>
      </c>
      <c r="D12" s="497" t="s">
        <v>49</v>
      </c>
      <c r="E12" s="502">
        <v>213322</v>
      </c>
      <c r="F12" s="675" t="s">
        <v>43</v>
      </c>
      <c r="G12" s="565" t="s">
        <v>50</v>
      </c>
      <c r="H12" s="565" t="s">
        <v>34</v>
      </c>
      <c r="I12" s="565"/>
      <c r="J12" s="565" t="s">
        <v>38</v>
      </c>
      <c r="K12" s="576"/>
      <c r="L12" s="579"/>
      <c r="N12" s="734"/>
      <c r="O12" s="774"/>
      <c r="P12" s="775"/>
      <c r="Q12" s="775"/>
      <c r="R12" s="775"/>
      <c r="S12" s="775"/>
      <c r="T12" s="775"/>
      <c r="U12" s="775"/>
      <c r="W12" s="772"/>
    </row>
    <row r="13" spans="1:23" ht="14.1" customHeight="1">
      <c r="C13" s="497" t="s">
        <v>315</v>
      </c>
      <c r="D13" s="497" t="s">
        <v>51</v>
      </c>
      <c r="E13" s="502">
        <v>602997</v>
      </c>
      <c r="F13" s="672" t="s">
        <v>39</v>
      </c>
      <c r="G13" s="565" t="s">
        <v>52</v>
      </c>
      <c r="H13" s="565" t="s">
        <v>40</v>
      </c>
      <c r="I13" s="576"/>
      <c r="J13" s="565" t="s">
        <v>36</v>
      </c>
      <c r="K13" s="565"/>
      <c r="L13" s="577"/>
      <c r="N13" s="734"/>
      <c r="O13" s="774"/>
      <c r="P13" s="775"/>
      <c r="Q13" s="775"/>
      <c r="R13" s="775"/>
      <c r="S13" s="775"/>
      <c r="T13" s="775"/>
      <c r="U13" s="775"/>
      <c r="W13" s="772"/>
    </row>
    <row r="14" spans="1:23" ht="14.1" customHeight="1">
      <c r="C14" s="504" t="s">
        <v>316</v>
      </c>
      <c r="D14" s="504" t="s">
        <v>55</v>
      </c>
      <c r="E14" s="502">
        <v>646459</v>
      </c>
      <c r="F14" s="675" t="s">
        <v>47</v>
      </c>
      <c r="G14" s="566" t="s">
        <v>32</v>
      </c>
      <c r="H14" s="578" t="s">
        <v>359</v>
      </c>
      <c r="I14" s="566" t="s">
        <v>33</v>
      </c>
      <c r="J14" s="576"/>
      <c r="K14" s="576"/>
      <c r="L14" s="580"/>
      <c r="N14" s="734"/>
      <c r="O14" s="774"/>
      <c r="P14" s="775"/>
      <c r="Q14" s="775"/>
      <c r="R14" s="775"/>
      <c r="S14" s="775"/>
      <c r="T14" s="775"/>
      <c r="U14" s="775"/>
      <c r="W14" s="772"/>
    </row>
    <row r="15" spans="1:23" ht="14.1" customHeight="1">
      <c r="C15" s="497" t="s">
        <v>318</v>
      </c>
      <c r="D15" s="504" t="s">
        <v>56</v>
      </c>
      <c r="E15" s="502">
        <v>632594</v>
      </c>
      <c r="F15" s="672" t="s">
        <v>39</v>
      </c>
      <c r="G15" s="566"/>
      <c r="H15" s="566" t="s">
        <v>57</v>
      </c>
      <c r="I15" s="566"/>
      <c r="J15" s="565" t="s">
        <v>35</v>
      </c>
      <c r="K15" s="565"/>
      <c r="L15" s="577" t="s">
        <v>47</v>
      </c>
      <c r="N15" s="734"/>
      <c r="O15" s="774"/>
      <c r="P15" s="775"/>
      <c r="Q15" s="775"/>
      <c r="R15" s="775"/>
      <c r="S15" s="775"/>
      <c r="T15" s="775"/>
      <c r="U15" s="775"/>
      <c r="W15" s="772"/>
    </row>
    <row r="16" spans="1:23" ht="14.1" customHeight="1">
      <c r="C16" s="497" t="s">
        <v>319</v>
      </c>
      <c r="D16" s="497" t="s">
        <v>58</v>
      </c>
      <c r="E16" s="502">
        <v>541622</v>
      </c>
      <c r="F16" s="582" t="s">
        <v>39</v>
      </c>
      <c r="G16" s="565"/>
      <c r="H16" s="565" t="s">
        <v>41</v>
      </c>
      <c r="I16" s="565" t="s">
        <v>34</v>
      </c>
      <c r="J16" s="578" t="s">
        <v>359</v>
      </c>
      <c r="K16" s="583"/>
      <c r="L16" s="584"/>
      <c r="N16" s="734"/>
      <c r="O16" s="774"/>
      <c r="P16" s="775"/>
      <c r="Q16" s="775"/>
      <c r="R16" s="775"/>
      <c r="S16" s="775"/>
      <c r="T16" s="775"/>
      <c r="U16" s="775"/>
      <c r="W16" s="772"/>
    </row>
    <row r="17" spans="3:23" ht="14.1" customHeight="1">
      <c r="C17" s="504" t="s">
        <v>320</v>
      </c>
      <c r="D17" s="504" t="s">
        <v>59</v>
      </c>
      <c r="E17" s="508">
        <v>614941</v>
      </c>
      <c r="F17" s="616" t="s">
        <v>342</v>
      </c>
      <c r="G17" s="565" t="s">
        <v>33</v>
      </c>
      <c r="H17" s="590" t="s">
        <v>43</v>
      </c>
      <c r="I17" s="76" t="s">
        <v>36</v>
      </c>
      <c r="J17" s="565"/>
      <c r="K17" s="565"/>
      <c r="L17" s="577"/>
      <c r="N17" s="773"/>
      <c r="O17" s="774"/>
      <c r="P17" s="775"/>
      <c r="Q17" s="775"/>
      <c r="R17" s="775"/>
      <c r="S17" s="775"/>
      <c r="T17" s="775"/>
      <c r="U17" s="775"/>
      <c r="W17" s="772"/>
    </row>
    <row r="18" spans="3:23" ht="14.1" customHeight="1">
      <c r="C18" s="497" t="s">
        <v>321</v>
      </c>
      <c r="D18" s="497" t="s">
        <v>63</v>
      </c>
      <c r="E18" s="502">
        <v>600989</v>
      </c>
      <c r="F18" s="569" t="s">
        <v>28</v>
      </c>
      <c r="G18" s="570"/>
      <c r="H18" s="570"/>
      <c r="I18" s="570"/>
      <c r="J18" s="570"/>
      <c r="K18" s="570"/>
      <c r="L18" s="571"/>
      <c r="N18" s="510" t="s">
        <v>322</v>
      </c>
      <c r="O18" s="102" t="str">
        <f t="shared" ref="O18:U18" si="8">INDEX($C7:$L188,MATCH("*AHJ*",F7:F191,0),1)</f>
        <v>AREEBA HMO</v>
      </c>
      <c r="P18" s="102" t="str">
        <f t="shared" si="8"/>
        <v>AREEBA HMO</v>
      </c>
      <c r="Q18" s="102" t="str">
        <f t="shared" si="8"/>
        <v>JOYDEEP HMO</v>
      </c>
      <c r="R18" s="102" t="str">
        <f t="shared" si="8"/>
        <v>AARON N. HMO</v>
      </c>
      <c r="S18" s="102" t="str">
        <f t="shared" si="8"/>
        <v>LISA HMO</v>
      </c>
      <c r="T18" s="102" t="str">
        <f t="shared" si="8"/>
        <v>ANKUSH HMO</v>
      </c>
      <c r="U18" s="102" t="str">
        <f t="shared" si="8"/>
        <v>AARON N. HMO</v>
      </c>
      <c r="V18" s="34" t="s">
        <v>323</v>
      </c>
      <c r="W18" s="89">
        <v>1</v>
      </c>
    </row>
    <row r="19" spans="3:23" ht="14.1" customHeight="1">
      <c r="C19" s="511" t="s">
        <v>324</v>
      </c>
      <c r="D19" s="497" t="s">
        <v>64</v>
      </c>
      <c r="E19" s="502">
        <v>628578</v>
      </c>
      <c r="F19" s="582" t="s">
        <v>65</v>
      </c>
      <c r="G19" s="576"/>
      <c r="H19" s="583"/>
      <c r="I19" s="203"/>
      <c r="J19" s="576"/>
      <c r="K19" s="576"/>
      <c r="L19" s="580"/>
      <c r="N19" s="776" t="s">
        <v>325</v>
      </c>
      <c r="O19" s="777" t="str" cm="1">
        <f t="array" ref="O19">_xlfn.TEXTJOIN(CHAR(10),TRUE,_xlfn._xlws.FILTER($C7:$C184,RIGHT(F7:F184,LEN("ASSJ"))="ASSJ",""))</f>
        <v xml:space="preserve">BRENDON HMO </v>
      </c>
      <c r="P19" s="750" t="str" cm="1">
        <f t="array" ref="P19">_xlfn.TEXTJOIN(CHAR(10),TRUE,_xlfn._xlws.FILTER($C7:$C184,RIGHT(G7:G184,LEN("ASSJ"))="ASSJ",""))</f>
        <v/>
      </c>
      <c r="Q19" s="750" t="str" cm="1">
        <f t="array" ref="Q19">_xlfn.TEXTJOIN(CHAR(10),TRUE,_xlfn._xlws.FILTER($C7:$C184,RIGHT(H7:H184,LEN("ASSJ"))="ASSJ",""))</f>
        <v>VISHNU HMO</v>
      </c>
      <c r="R19" s="750" t="str" cm="1">
        <f t="array" ref="R19">_xlfn.TEXTJOIN(CHAR(10),TRUE,_xlfn._xlws.FILTER($C7:$C184,RIGHT(I7:I184,LEN("ASSJ"))="ASSJ",""))</f>
        <v>CHRIS HMO</v>
      </c>
      <c r="S19" s="750" t="str" cm="1">
        <f t="array" ref="S19">_xlfn.TEXTJOIN(CHAR(10),TRUE,_xlfn._xlws.FILTER($C7:$C184,RIGHT(J7:J184,LEN("ASSJ"))="ASSJ",""))</f>
        <v>MASON HMO</v>
      </c>
      <c r="T19" s="750" t="str" cm="1">
        <f t="array" ref="T19">_xlfn.TEXTJOIN(CHAR(10),TRUE,_xlfn._xlws.FILTER($C7:$C184,RIGHT(K7:K184,LEN("ASSJ"))="ASSJ",""))</f>
        <v>AARON N. HMO</v>
      </c>
      <c r="U19" s="788" t="str" cm="1">
        <f t="array" ref="U19">_xlfn.TEXTJOIN(CHAR(10),TRUE,_xlfn._xlws.FILTER($C7:$C184,RIGHT(L7:L184,LEN("ASSJ"))="ASSJ",""))</f>
        <v>CHRIS HMO</v>
      </c>
      <c r="V19" s="34" t="s">
        <v>326</v>
      </c>
      <c r="W19" s="772">
        <v>2</v>
      </c>
    </row>
    <row r="20" spans="3:23" ht="14.1" customHeight="1">
      <c r="C20" s="497" t="s">
        <v>327</v>
      </c>
      <c r="D20" s="504" t="s">
        <v>68</v>
      </c>
      <c r="E20" s="512">
        <v>628603</v>
      </c>
      <c r="F20" s="592" t="s">
        <v>70</v>
      </c>
      <c r="G20" s="593"/>
      <c r="H20" s="593"/>
      <c r="I20" s="593"/>
      <c r="J20" s="593"/>
      <c r="K20" s="643"/>
      <c r="L20" s="708"/>
      <c r="N20" s="776"/>
      <c r="O20" s="777"/>
      <c r="P20" s="750"/>
      <c r="Q20" s="750"/>
      <c r="R20" s="750"/>
      <c r="S20" s="750"/>
      <c r="T20" s="750"/>
      <c r="U20" s="788"/>
      <c r="W20" s="772"/>
    </row>
    <row r="21" spans="3:23" ht="14.1" customHeight="1">
      <c r="C21" s="513" t="s">
        <v>329</v>
      </c>
      <c r="D21" s="504" t="s">
        <v>71</v>
      </c>
      <c r="E21" s="113">
        <v>631416</v>
      </c>
      <c r="F21" s="582" t="s">
        <v>69</v>
      </c>
      <c r="G21" s="576"/>
      <c r="H21" s="576"/>
      <c r="I21" s="576"/>
      <c r="J21" s="576"/>
      <c r="K21" s="583"/>
      <c r="L21" s="584"/>
      <c r="N21" s="733" t="s">
        <v>330</v>
      </c>
      <c r="O21" s="777" t="str" cm="1">
        <f t="array" ref="O21">_xlfn.TEXTJOIN(CHAR(10),TRUE,IF(F111:F184="0800-1730",$C111:$C184,""))</f>
        <v xml:space="preserve">LISA HMO
ZOBIA HMO
Jean-Luc INT
May INT
Jayce Int </v>
      </c>
      <c r="P21" s="750" t="str" cm="1">
        <f t="array" ref="P21">_xlfn.TEXTJOIN(CHAR(10),TRUE,IF(G111:G184="0800-1730",$C111:$C184,""))</f>
        <v xml:space="preserve">BRENDON HMO 
HARRISON HMO
Jason INT
Jean-Luc INT
Jayce Int </v>
      </c>
      <c r="Q21" s="750" t="str" cm="1">
        <f t="array" ref="Q21">_xlfn.TEXTJOIN(CHAR(10),TRUE,IF(H111:H184="0800-1730",$C111:$C184,""))</f>
        <v xml:space="preserve">BRENDON HMO 
AREEBA HMO
Elana INT
Tong INT
Jason INT
Jayce Int </v>
      </c>
      <c r="R21" s="750" t="str" cm="1">
        <f t="array" ref="R21">_xlfn.TEXTJOIN(CHAR(10),TRUE,IF(I111:I184="0800-1730",$C111:$C184,""))</f>
        <v xml:space="preserve">MASON HMO
Tong INT
May INT
Jayce Int </v>
      </c>
      <c r="S21" s="750" t="str" cm="1">
        <f t="array" ref="S21">_xlfn.TEXTJOIN(CHAR(10),TRUE,IF(J111:J184="0800-1730",$C111:$C184,""))</f>
        <v>BRIANNA HMO
Tong INT
May INT</v>
      </c>
      <c r="T21" s="750" t="str" cm="1">
        <f t="array" ref="T21">_xlfn.TEXTJOIN(CHAR(10),TRUE,IF(K111:K184="0800-1730",$C111:$C184,""))</f>
        <v>CHRIS HMO
HARRISON HMO
Elana INT</v>
      </c>
      <c r="U21" s="750" t="str" cm="1">
        <f t="array" ref="U21">_xlfn.TEXTJOIN(CHAR(10),TRUE,IF(L111:L184="0800-1730",$C111:$C184,""))</f>
        <v>ANKUSH HMO
SHUNING HMO
Elana INT</v>
      </c>
      <c r="W21" s="772">
        <v>7</v>
      </c>
    </row>
    <row r="22" spans="3:23" ht="14.1" customHeight="1">
      <c r="C22" s="80" t="s">
        <v>331</v>
      </c>
      <c r="D22" s="514" t="s">
        <v>73</v>
      </c>
      <c r="E22" s="515">
        <v>613670</v>
      </c>
      <c r="F22" s="565" t="s">
        <v>40</v>
      </c>
      <c r="G22" s="565"/>
      <c r="H22" s="565"/>
      <c r="I22" s="565"/>
      <c r="J22" s="565" t="s">
        <v>50</v>
      </c>
      <c r="K22" s="565" t="s">
        <v>38</v>
      </c>
      <c r="L22" s="577" t="s">
        <v>35</v>
      </c>
      <c r="N22" s="734"/>
      <c r="O22" s="777"/>
      <c r="P22" s="750"/>
      <c r="Q22" s="750"/>
      <c r="R22" s="750"/>
      <c r="S22" s="750"/>
      <c r="T22" s="750"/>
      <c r="U22" s="750"/>
      <c r="W22" s="772"/>
    </row>
    <row r="23" spans="3:23" ht="14.1" customHeight="1">
      <c r="C23" s="511" t="s">
        <v>332</v>
      </c>
      <c r="D23" s="504" t="s">
        <v>76</v>
      </c>
      <c r="E23" s="516">
        <v>621988</v>
      </c>
      <c r="F23" s="682" t="s">
        <v>66</v>
      </c>
      <c r="G23" s="683"/>
      <c r="H23" s="215"/>
      <c r="I23" s="215"/>
      <c r="J23" s="644"/>
      <c r="K23" s="644"/>
      <c r="L23" s="684"/>
      <c r="N23" s="734"/>
      <c r="O23" s="777"/>
      <c r="P23" s="750"/>
      <c r="Q23" s="750"/>
      <c r="R23" s="750"/>
      <c r="S23" s="750"/>
      <c r="T23" s="750"/>
      <c r="U23" s="750"/>
      <c r="W23" s="772"/>
    </row>
    <row r="24" spans="3:23" ht="14.1" customHeight="1">
      <c r="C24" s="497" t="s">
        <v>333</v>
      </c>
      <c r="D24" s="497" t="s">
        <v>79</v>
      </c>
      <c r="E24" s="502">
        <v>609408</v>
      </c>
      <c r="F24" s="592" t="s">
        <v>80</v>
      </c>
      <c r="G24" s="593"/>
      <c r="H24" s="593"/>
      <c r="I24" s="593"/>
      <c r="J24" s="593"/>
      <c r="K24" s="593"/>
      <c r="L24" s="574"/>
      <c r="N24" s="734"/>
      <c r="O24" s="777"/>
      <c r="P24" s="750"/>
      <c r="Q24" s="750"/>
      <c r="R24" s="750"/>
      <c r="S24" s="750"/>
      <c r="T24" s="750"/>
      <c r="U24" s="750"/>
      <c r="W24" s="772"/>
    </row>
    <row r="25" spans="3:23" ht="14.1" customHeight="1">
      <c r="C25" s="511" t="s">
        <v>334</v>
      </c>
      <c r="D25" s="497" t="s">
        <v>81</v>
      </c>
      <c r="E25" s="516">
        <v>632646</v>
      </c>
      <c r="F25" s="648" t="s">
        <v>502</v>
      </c>
      <c r="G25" s="586"/>
      <c r="H25" s="586" t="s">
        <v>33</v>
      </c>
      <c r="I25" s="586"/>
      <c r="J25" s="709" t="s">
        <v>588</v>
      </c>
      <c r="K25" s="586"/>
      <c r="L25" s="710" t="s">
        <v>588</v>
      </c>
      <c r="N25" s="734"/>
      <c r="O25" s="777"/>
      <c r="P25" s="750"/>
      <c r="Q25" s="750"/>
      <c r="R25" s="750"/>
      <c r="S25" s="750"/>
      <c r="T25" s="750"/>
      <c r="U25" s="750"/>
      <c r="W25" s="772"/>
    </row>
    <row r="26" spans="3:23" ht="14.1" customHeight="1">
      <c r="C26" s="511" t="s">
        <v>335</v>
      </c>
      <c r="D26" s="497" t="s">
        <v>82</v>
      </c>
      <c r="E26" s="517">
        <v>634491</v>
      </c>
      <c r="F26" s="587" t="s">
        <v>77</v>
      </c>
      <c r="G26" s="588" t="s">
        <v>589</v>
      </c>
      <c r="H26" s="588"/>
      <c r="I26" s="588"/>
      <c r="J26" s="588"/>
      <c r="K26" s="588"/>
      <c r="L26" s="579"/>
      <c r="N26" s="734"/>
      <c r="O26" s="777"/>
      <c r="P26" s="750"/>
      <c r="Q26" s="750"/>
      <c r="R26" s="750"/>
      <c r="S26" s="750"/>
      <c r="T26" s="750"/>
      <c r="U26" s="750"/>
      <c r="W26" s="772"/>
    </row>
    <row r="27" spans="3:23" ht="14.1" customHeight="1" thickBot="1">
      <c r="C27" s="518" t="s">
        <v>83</v>
      </c>
      <c r="D27" s="518" t="s">
        <v>336</v>
      </c>
      <c r="E27" s="519"/>
      <c r="F27" s="316"/>
      <c r="G27" s="378"/>
      <c r="H27" s="378"/>
      <c r="I27" s="378"/>
      <c r="J27" s="378"/>
      <c r="K27" s="378"/>
      <c r="L27" s="319"/>
      <c r="N27" s="773"/>
      <c r="O27" s="777"/>
      <c r="P27" s="750"/>
      <c r="Q27" s="750"/>
      <c r="R27" s="750"/>
      <c r="S27" s="750"/>
      <c r="T27" s="750"/>
      <c r="U27" s="750"/>
      <c r="W27" s="772"/>
    </row>
    <row r="28" spans="3:23" ht="14.1" customHeight="1">
      <c r="C28" s="497" t="s">
        <v>337</v>
      </c>
      <c r="D28" s="497" t="s">
        <v>84</v>
      </c>
      <c r="E28" s="502">
        <v>502961</v>
      </c>
      <c r="F28" s="572" t="s">
        <v>31</v>
      </c>
      <c r="G28" s="573"/>
      <c r="H28" s="573"/>
      <c r="I28" s="573"/>
      <c r="J28" s="573"/>
      <c r="K28" s="573"/>
      <c r="L28" s="574"/>
      <c r="N28" s="255" t="s">
        <v>338</v>
      </c>
      <c r="O28" s="816" t="str" cm="1">
        <f t="array" ref="O28">_xlfn.TEXTJOIN(CHAR(10),TRUE,_xlfn._xlws.FILTER($C7:$C184,RIGHT(F7:F184,LEN("SWA"))="SWA",""))</f>
        <v>AARON G. HMO</v>
      </c>
      <c r="P28" s="770" t="str" cm="1">
        <f t="array" ref="P28">_xlfn.TEXTJOIN(CHAR(10),TRUE,_xlfn._xlws.FILTER($C7:$C184,RIGHT(G7:G184,LEN("SWA"))="SWA",""))</f>
        <v>JESSICA JR
AARON G. HMO
Elana INT
Tong INT</v>
      </c>
      <c r="Q28" s="770" t="str" cm="1">
        <f t="array" ref="Q28">_xlfn.TEXTJOIN(CHAR(10),TRUE,_xlfn._xlws.FILTER($C7:$C184,RIGHT(H7:H184,LEN("SWA"))="SWA",""))</f>
        <v>HEATHER CMO
PIN HMO</v>
      </c>
      <c r="R28" s="770" t="str" cm="1">
        <f t="array" ref="R28">_xlfn.TEXTJOIN(CHAR(10),TRUE,_xlfn._xlws.FILTER($C7:$C184,RIGHT(I7:I184,LEN("SWA"))="SWA",""))</f>
        <v/>
      </c>
      <c r="S28" s="770" t="str" cm="1">
        <f t="array" ref="S28">_xlfn.TEXTJOIN(CHAR(10),TRUE,_xlfn._xlws.FILTER($C7:$C184,RIGHT(J7:J184,LEN("SWA"))="SWA",""))</f>
        <v>PHILLIP HMO</v>
      </c>
      <c r="T28" s="770" t="str" cm="1">
        <f t="array" ref="T28">_xlfn.TEXTJOIN(CHAR(10),TRUE,_xlfn._xlws.FILTER($C7:$C184,RIGHT(K7:K184,LEN("SWA"))="SWA",""))</f>
        <v/>
      </c>
      <c r="U28" s="771" t="str" cm="1">
        <f t="array" ref="U28">_xlfn.TEXTJOIN(CHAR(10),TRUE,_xlfn._xlws.FILTER($C7:$C184,RIGHT(L7:L184,LEN("SWA"))="SWA",""))</f>
        <v/>
      </c>
      <c r="V28" s="34" t="s">
        <v>339</v>
      </c>
      <c r="W28" s="772">
        <v>3</v>
      </c>
    </row>
    <row r="29" spans="3:23" ht="14.1" customHeight="1">
      <c r="C29" s="497" t="s">
        <v>340</v>
      </c>
      <c r="D29" s="497" t="s">
        <v>96</v>
      </c>
      <c r="E29" s="502">
        <v>601096</v>
      </c>
      <c r="F29" s="675" t="s">
        <v>35</v>
      </c>
      <c r="G29" s="590" t="s">
        <v>548</v>
      </c>
      <c r="H29" s="590" t="s">
        <v>33</v>
      </c>
      <c r="I29" s="565" t="s">
        <v>47</v>
      </c>
      <c r="J29" s="583"/>
      <c r="K29" s="576"/>
      <c r="L29" s="579"/>
      <c r="N29" s="256"/>
      <c r="O29" s="737"/>
      <c r="P29" s="740"/>
      <c r="Q29" s="740"/>
      <c r="R29" s="740"/>
      <c r="S29" s="740"/>
      <c r="T29" s="740"/>
      <c r="U29" s="764"/>
      <c r="W29" s="772"/>
    </row>
    <row r="30" spans="3:23" ht="14.1" customHeight="1">
      <c r="C30" s="497" t="s">
        <v>341</v>
      </c>
      <c r="D30" s="497" t="s">
        <v>97</v>
      </c>
      <c r="E30" s="502">
        <v>260509</v>
      </c>
      <c r="F30" s="672" t="s">
        <v>39</v>
      </c>
      <c r="G30" s="565"/>
      <c r="H30" s="565"/>
      <c r="I30" s="565" t="s">
        <v>35</v>
      </c>
      <c r="J30" s="565"/>
      <c r="K30" s="565" t="s">
        <v>43</v>
      </c>
      <c r="L30" s="566" t="s">
        <v>40</v>
      </c>
      <c r="N30" s="256"/>
      <c r="O30" s="737"/>
      <c r="P30" s="740"/>
      <c r="Q30" s="740"/>
      <c r="R30" s="740"/>
      <c r="S30" s="740"/>
      <c r="T30" s="740"/>
      <c r="U30" s="764"/>
      <c r="W30" s="772"/>
    </row>
    <row r="31" spans="3:23" ht="14.1" customHeight="1" thickBot="1">
      <c r="C31" s="504" t="s">
        <v>343</v>
      </c>
      <c r="D31" s="504" t="s">
        <v>99</v>
      </c>
      <c r="E31" s="502">
        <v>603237</v>
      </c>
      <c r="F31" s="675" t="s">
        <v>38</v>
      </c>
      <c r="G31" s="565" t="s">
        <v>33</v>
      </c>
      <c r="H31" s="565" t="s">
        <v>37</v>
      </c>
      <c r="I31" s="576" t="s">
        <v>100</v>
      </c>
      <c r="J31" s="576"/>
      <c r="K31" s="576"/>
      <c r="L31" s="576"/>
      <c r="N31" s="257"/>
      <c r="O31" s="738"/>
      <c r="P31" s="741"/>
      <c r="Q31" s="741"/>
      <c r="R31" s="741"/>
      <c r="S31" s="741"/>
      <c r="T31" s="741"/>
      <c r="U31" s="765"/>
      <c r="V31" s="101"/>
      <c r="W31" s="101"/>
    </row>
    <row r="32" spans="3:23" ht="14.1" customHeight="1" thickBot="1">
      <c r="C32" s="520" t="s">
        <v>344</v>
      </c>
      <c r="D32" s="520" t="s">
        <v>101</v>
      </c>
      <c r="E32" s="502">
        <v>613781</v>
      </c>
      <c r="F32" s="672" t="s">
        <v>39</v>
      </c>
      <c r="G32" s="565" t="s">
        <v>37</v>
      </c>
      <c r="H32" s="565" t="s">
        <v>38</v>
      </c>
      <c r="I32" s="576"/>
      <c r="J32" s="576"/>
      <c r="K32" s="583"/>
      <c r="L32" s="584"/>
      <c r="N32" s="101"/>
      <c r="O32" s="101"/>
      <c r="P32" s="101"/>
      <c r="Q32" s="101"/>
      <c r="R32" s="101"/>
      <c r="S32" s="101"/>
      <c r="T32" s="101"/>
      <c r="U32" s="101"/>
      <c r="W32" s="89"/>
    </row>
    <row r="33" spans="3:23" ht="14.1" customHeight="1">
      <c r="C33" s="497" t="s">
        <v>346</v>
      </c>
      <c r="D33" s="497" t="s">
        <v>102</v>
      </c>
      <c r="E33" s="502">
        <v>611691</v>
      </c>
      <c r="F33" s="675"/>
      <c r="G33" s="565" t="s">
        <v>40</v>
      </c>
      <c r="H33" s="566" t="s">
        <v>35</v>
      </c>
      <c r="I33" s="565" t="s">
        <v>50</v>
      </c>
      <c r="J33" s="576" t="s">
        <v>2</v>
      </c>
      <c r="K33" s="565"/>
      <c r="L33" s="565"/>
      <c r="N33" s="103" t="s">
        <v>345</v>
      </c>
      <c r="O33" s="249" t="str">
        <f>F61</f>
        <v>REZA PHNW</v>
      </c>
      <c r="P33" s="98" t="str">
        <f>G61</f>
        <v>REZA</v>
      </c>
      <c r="Q33" s="98" t="str">
        <f t="shared" ref="Q33:S33" si="9">H61</f>
        <v>VALERIE</v>
      </c>
      <c r="R33" s="98" t="str">
        <f t="shared" si="9"/>
        <v>REZA</v>
      </c>
      <c r="S33" s="98" t="str">
        <f t="shared" si="9"/>
        <v>JENNY</v>
      </c>
      <c r="T33" s="99"/>
      <c r="U33" s="100"/>
      <c r="W33" s="89"/>
    </row>
    <row r="34" spans="3:23" ht="14.1" customHeight="1" thickBot="1">
      <c r="C34" s="497" t="s">
        <v>348</v>
      </c>
      <c r="D34" s="504" t="s">
        <v>103</v>
      </c>
      <c r="E34" s="502">
        <v>634258</v>
      </c>
      <c r="F34" s="675" t="s">
        <v>36</v>
      </c>
      <c r="G34" s="565"/>
      <c r="H34" s="565" t="s">
        <v>33</v>
      </c>
      <c r="I34" s="578" t="s">
        <v>342</v>
      </c>
      <c r="J34" s="565"/>
      <c r="K34" s="565"/>
      <c r="L34" s="577"/>
      <c r="N34" s="929" t="s">
        <v>347</v>
      </c>
      <c r="O34" s="521" t="str" cm="1">
        <f t="array" ref="O34">_xlfn.TEXTJOIN(CHAR(10),TRUE,_xlfn._xlws.FILTER($C7:$C184,RIGHT(F7:F184,LEN("CSO"))="CSO",""))</f>
        <v/>
      </c>
      <c r="P34" s="910" t="str" cm="1">
        <f t="array" ref="P34">_xlfn.TEXTJOIN(CHAR(10),TRUE,_xlfn._xlws.FILTER($C7:$C184,RIGHT(G7:G184,LEN("CSO"))="CSO",""))</f>
        <v>STEVE T SMS</v>
      </c>
      <c r="Q34" s="910" t="str" cm="1">
        <f t="array" ref="Q34">_xlfn.TEXTJOIN(CHAR(10),TRUE,_xlfn._xlws.FILTER($C7:$C184,RIGHT(H7:H184,LEN("CSO"))="CSO",""))</f>
        <v>JULIA SMS</v>
      </c>
      <c r="R34" s="910" t="str" cm="1">
        <f t="array" ref="R34">_xlfn.TEXTJOIN(CHAR(10),TRUE,_xlfn._xlws.FILTER($C7:$C184,RIGHT(I7:I184,LEN("CSO"))="CSO",""))</f>
        <v>ANDY L  SMS</v>
      </c>
      <c r="S34" s="910" t="str" cm="1">
        <f t="array" ref="S34">_xlfn.TEXTJOIN(CHAR(10),TRUE,_xlfn._xlws.FILTER($C7:$C184,RIGHT(J7:J184,LEN("CSO"))="CSO",""))</f>
        <v>ERICA SMS</v>
      </c>
      <c r="T34" s="910"/>
      <c r="U34" s="930"/>
      <c r="W34" s="89"/>
    </row>
    <row r="35" spans="3:23" ht="14.1" customHeight="1" thickBot="1">
      <c r="C35" s="504" t="s">
        <v>349</v>
      </c>
      <c r="D35" s="504" t="s">
        <v>104</v>
      </c>
      <c r="E35" s="506">
        <v>618946</v>
      </c>
      <c r="F35" s="672" t="s">
        <v>39</v>
      </c>
      <c r="G35" s="565" t="s">
        <v>35</v>
      </c>
      <c r="H35" s="576"/>
      <c r="I35" s="596" t="s">
        <v>107</v>
      </c>
      <c r="J35" s="596"/>
      <c r="K35" s="596"/>
      <c r="L35" s="597"/>
      <c r="O35" s="89"/>
      <c r="W35" s="89" t="s">
        <v>351</v>
      </c>
    </row>
    <row r="36" spans="3:23" ht="14.1" customHeight="1" thickBot="1">
      <c r="C36" s="504" t="s">
        <v>352</v>
      </c>
      <c r="D36" s="504" t="s">
        <v>109</v>
      </c>
      <c r="E36" s="502">
        <v>634702</v>
      </c>
      <c r="F36" s="592" t="s">
        <v>98</v>
      </c>
      <c r="G36" s="593"/>
      <c r="H36" s="593"/>
      <c r="I36" s="593"/>
      <c r="J36" s="593"/>
      <c r="K36" s="593"/>
      <c r="L36" s="594"/>
      <c r="O36" s="784" t="s">
        <v>350</v>
      </c>
      <c r="P36" s="785"/>
      <c r="Q36" s="785"/>
      <c r="R36" s="785"/>
      <c r="S36" s="785"/>
      <c r="T36" s="785"/>
      <c r="U36" s="786"/>
      <c r="V36" s="34" t="s">
        <v>293</v>
      </c>
      <c r="W36" s="772">
        <v>5</v>
      </c>
    </row>
    <row r="37" spans="3:23" ht="14.1" customHeight="1">
      <c r="C37" s="78" t="s">
        <v>353</v>
      </c>
      <c r="D37" s="504" t="s">
        <v>110</v>
      </c>
      <c r="E37" s="498">
        <v>648587</v>
      </c>
      <c r="F37" s="672" t="s">
        <v>39</v>
      </c>
      <c r="G37" s="65"/>
      <c r="H37" s="65"/>
      <c r="I37" s="65" t="s">
        <v>46</v>
      </c>
      <c r="J37" s="565"/>
      <c r="K37" s="565" t="s">
        <v>47</v>
      </c>
      <c r="L37" s="578" t="s">
        <v>342</v>
      </c>
      <c r="N37" s="104" t="s">
        <v>303</v>
      </c>
      <c r="O37" s="105" t="str">
        <f t="shared" ref="O37:U37" si="10">INDEX($C7:$L188,MATCH("*Pgc",F7:F191,0),1)</f>
        <v>JON SMS</v>
      </c>
      <c r="P37" s="99" t="str">
        <f t="shared" si="10"/>
        <v>PAIGE SMS</v>
      </c>
      <c r="Q37" s="99" t="str">
        <f t="shared" si="10"/>
        <v>YAN SMS</v>
      </c>
      <c r="R37" s="99" t="str">
        <f t="shared" si="10"/>
        <v>RICHARD SMS</v>
      </c>
      <c r="S37" s="99" t="str">
        <f t="shared" si="10"/>
        <v>DAVID SMS</v>
      </c>
      <c r="T37" s="99" t="str">
        <f t="shared" si="10"/>
        <v>BARRY SMS</v>
      </c>
      <c r="U37" s="100" t="str">
        <f t="shared" si="10"/>
        <v>JACQUELINE SMS</v>
      </c>
      <c r="V37" s="34" t="s">
        <v>292</v>
      </c>
      <c r="W37" s="772"/>
    </row>
    <row r="38" spans="3:23" ht="14.1" customHeight="1">
      <c r="C38" s="78" t="s">
        <v>354</v>
      </c>
      <c r="D38" s="504" t="s">
        <v>111</v>
      </c>
      <c r="E38" s="498">
        <v>637933</v>
      </c>
      <c r="F38" s="572" t="s">
        <v>31</v>
      </c>
      <c r="G38" s="573"/>
      <c r="H38" s="573"/>
      <c r="I38" s="573"/>
      <c r="J38" s="573"/>
      <c r="K38" s="573"/>
      <c r="L38" s="574"/>
      <c r="N38" s="522" t="s">
        <v>305</v>
      </c>
      <c r="O38" s="523" t="str">
        <f t="shared" ref="O38:U38" si="11">INDEX($C7:$L188,MATCH("*PAC",F7:F190,0),1)</f>
        <v>BRAD SMS</v>
      </c>
      <c r="P38" s="500" t="str">
        <f t="shared" si="11"/>
        <v>JULIA SMS</v>
      </c>
      <c r="Q38" s="500" t="str">
        <f t="shared" si="11"/>
        <v>STEPHEN G SMS</v>
      </c>
      <c r="R38" s="500" t="str">
        <f t="shared" si="11"/>
        <v>NICOLA SMS</v>
      </c>
      <c r="S38" s="500" t="str">
        <f t="shared" si="11"/>
        <v>STEVE T SMS</v>
      </c>
      <c r="T38" s="500" t="str">
        <f t="shared" si="11"/>
        <v>ERICA SMS</v>
      </c>
      <c r="U38" s="501" t="e">
        <f t="shared" si="11"/>
        <v>#N/A</v>
      </c>
      <c r="V38" s="34" t="s">
        <v>291</v>
      </c>
      <c r="W38" s="772"/>
    </row>
    <row r="39" spans="3:23" ht="14.1" customHeight="1">
      <c r="C39" s="504" t="s">
        <v>355</v>
      </c>
      <c r="D39" s="504" t="s">
        <v>112</v>
      </c>
      <c r="E39" s="506">
        <v>634394</v>
      </c>
      <c r="F39" s="581"/>
      <c r="G39" s="66" t="s">
        <v>33</v>
      </c>
      <c r="H39" s="566" t="s">
        <v>36</v>
      </c>
      <c r="I39" s="576"/>
      <c r="J39" s="566" t="s">
        <v>40</v>
      </c>
      <c r="K39" s="576"/>
      <c r="L39" s="579"/>
      <c r="N39" s="524" t="s">
        <v>307</v>
      </c>
      <c r="O39" s="523" t="str">
        <f t="shared" ref="O39:U39" si="12">INDEX($C7:$L188,MATCH("*PRC",F7:F191,0),1)</f>
        <v>TARA J. SMS</v>
      </c>
      <c r="P39" s="500" t="str">
        <f t="shared" si="12"/>
        <v>SCOTT SMS</v>
      </c>
      <c r="Q39" s="500" t="str">
        <f t="shared" si="12"/>
        <v>ANDY L  SMS</v>
      </c>
      <c r="R39" s="500" t="str">
        <f t="shared" si="12"/>
        <v>ANDRE SMS</v>
      </c>
      <c r="S39" s="500" t="str">
        <f t="shared" si="12"/>
        <v>ABI SMS</v>
      </c>
      <c r="T39" s="500" t="str">
        <f t="shared" si="12"/>
        <v>TITUS CMO</v>
      </c>
      <c r="U39" s="501" t="str">
        <f t="shared" si="12"/>
        <v>ERICA SMS</v>
      </c>
      <c r="V39" s="34" t="s">
        <v>295</v>
      </c>
      <c r="W39" s="772"/>
    </row>
    <row r="40" spans="3:23" ht="14.1" customHeight="1">
      <c r="C40" s="497" t="s">
        <v>356</v>
      </c>
      <c r="D40" s="526" t="s">
        <v>113</v>
      </c>
      <c r="E40" s="502">
        <v>605686</v>
      </c>
      <c r="F40" s="672" t="s">
        <v>39</v>
      </c>
      <c r="G40" s="600" t="s">
        <v>38</v>
      </c>
      <c r="H40" s="601" t="s">
        <v>50</v>
      </c>
      <c r="I40" s="600" t="s">
        <v>43</v>
      </c>
      <c r="J40" s="600"/>
      <c r="K40" s="600"/>
      <c r="L40" s="603"/>
      <c r="N40" s="525" t="s">
        <v>309</v>
      </c>
      <c r="O40" s="523" t="str">
        <f t="shared" ref="O40:U40" si="13">INDEX($C7:$L188,MATCH("*PSSC",F7:F191,0),1)</f>
        <v>VARUNA SMS</v>
      </c>
      <c r="P40" s="500" t="str">
        <f t="shared" si="13"/>
        <v>JEREMY SMS</v>
      </c>
      <c r="Q40" s="500" t="str">
        <f t="shared" si="13"/>
        <v>STEVE T SMS</v>
      </c>
      <c r="R40" s="500" t="str">
        <f t="shared" si="13"/>
        <v>ANASTASIA SMS</v>
      </c>
      <c r="S40" s="500" t="str">
        <f t="shared" si="13"/>
        <v>NICOLA SMS</v>
      </c>
      <c r="T40" s="500" t="str">
        <f t="shared" si="13"/>
        <v>JACQUELINE SMS</v>
      </c>
      <c r="U40" s="501" t="str">
        <f t="shared" si="13"/>
        <v>BARRY SMS</v>
      </c>
      <c r="V40" s="34" t="s">
        <v>294</v>
      </c>
      <c r="W40" s="772"/>
    </row>
    <row r="41" spans="3:23" ht="14.1" customHeight="1">
      <c r="C41" s="79" t="s">
        <v>358</v>
      </c>
      <c r="D41" s="497" t="s">
        <v>114</v>
      </c>
      <c r="E41" s="502">
        <v>119385</v>
      </c>
      <c r="F41" s="566"/>
      <c r="G41" s="578" t="s">
        <v>359</v>
      </c>
      <c r="H41" s="566"/>
      <c r="I41" s="565"/>
      <c r="J41" s="578" t="s">
        <v>342</v>
      </c>
      <c r="K41" s="565"/>
      <c r="L41" s="577"/>
      <c r="N41" s="527" t="s">
        <v>357</v>
      </c>
      <c r="O41" s="523" t="e">
        <f t="shared" ref="O41:U41" si="14">INDEX($C7:$L214,MATCH("*PCC*",F7:F202,0),1)</f>
        <v>#N/A</v>
      </c>
      <c r="P41" s="500" t="e">
        <f t="shared" si="14"/>
        <v>#N/A</v>
      </c>
      <c r="Q41" s="500" t="str">
        <f>INDEX($C7:$L214,MATCH("*PCC*",H7:H199,0),1)</f>
        <v>AFTAB SMS</v>
      </c>
      <c r="R41" s="500" t="str">
        <f t="shared" si="14"/>
        <v>QAIS SMS</v>
      </c>
      <c r="S41" s="500" t="e">
        <f t="shared" si="14"/>
        <v>#N/A</v>
      </c>
      <c r="T41" s="500" t="e">
        <f t="shared" si="14"/>
        <v>#N/A</v>
      </c>
      <c r="U41" s="501" t="str">
        <f t="shared" si="14"/>
        <v>TITUS CMO</v>
      </c>
      <c r="W41" s="772">
        <v>7</v>
      </c>
    </row>
    <row r="42" spans="3:23" ht="14.1" customHeight="1">
      <c r="C42" s="504" t="s">
        <v>361</v>
      </c>
      <c r="D42" s="504" t="s">
        <v>116</v>
      </c>
      <c r="E42" s="502">
        <v>623962</v>
      </c>
      <c r="F42" s="675" t="s">
        <v>34</v>
      </c>
      <c r="G42" s="65"/>
      <c r="H42" s="65"/>
      <c r="I42" s="65" t="s">
        <v>33</v>
      </c>
      <c r="J42" s="565"/>
      <c r="K42" s="565"/>
      <c r="L42" s="604"/>
      <c r="N42" s="789" t="s">
        <v>360</v>
      </c>
      <c r="O42" s="787" t="str" cm="1">
        <f t="array" ref="O42">_xlfn.TEXTJOIN(CHAR(10),TRUE,IF(F7:F110="1430-0000 PFC",$C7:$C110,""),IF(F7:F110="1400-0000 PFC",$C7:$C110,""),IF(F7:F110="1430-0000",$C7:$C110,""))</f>
        <v>MILES SR
MIKHAR IR
POH JR
ADI JR
CRAIG JR</v>
      </c>
      <c r="P42" s="750" t="str" cm="1">
        <f t="array" ref="P42">_xlfn.TEXTJOIN(CHAR(10),TRUE,IF(G7:G110="1430-0000 PFC",$C7:$C110,""),IF(G7:G110="1400-0000 PFC",$C7:$C110,""),IF(G7:G110="1430-0000",$C7:$C110,""))</f>
        <v>MILES SR
JEROME JR</v>
      </c>
      <c r="Q42" s="750" t="str" cm="1">
        <f t="array" ref="Q42">_xlfn.TEXTJOIN(CHAR(10),TRUE,IF(H7:H110="1430-0000 PFC",$C7:$C110,""),IF(H7:H110="1400-0000 PFC",$C7:$C110,""),IF(H7:H110="1430-0000",$C7:$C110,""))</f>
        <v>PATRICK SR
ISOBEL JR
PAUL JR</v>
      </c>
      <c r="R42" s="750" t="str" cm="1">
        <f t="array" ref="R42">_xlfn.TEXTJOIN(CHAR(10),TRUE,IF(I7:I110="1430-0000 PFC",$C7:$C110,""),IF(I7:I110="1400-0000 PFC",$C7:$C110,""),IF(I7:I110="1430-0000",$C7:$C110,""))</f>
        <v>PATRICK SR
GIOVANA JR
ISOBEL JR</v>
      </c>
      <c r="S42" s="750" t="str" cm="1">
        <f t="array" ref="S42">_xlfn.TEXTJOIN(CHAR(10),TRUE,IF(J7:J110="1430-0000 PFC",$C7:$C110,""),IF(J7:J110="1400-0000 PFC",$C7:$C110,""),IF(J7:J110="1430-0000",$C7:$C110,""))</f>
        <v>PATRICK SR
JEROME JR</v>
      </c>
      <c r="T42" s="750" t="str" cm="1">
        <f t="array" ref="T42">_xlfn.TEXTJOIN(CHAR(10),TRUE,IF(K7:K110="1430-0000 PFC",$C7:$C110,""),IF(K7:K110="1400-0000 PFC",$C7:$C110,""),IF(K7:K110="1430-0000",$C7:$C110,""))</f>
        <v>DENNIS SR
POH JR
JEROME JR</v>
      </c>
      <c r="U42" s="788" t="str" cm="1">
        <f t="array" ref="U42">_xlfn.TEXTJOIN(CHAR(10),TRUE,IF(L7:L110="1430-0000 PFC",$C7:$C110,""),IF(L7:L110="1400-0000 PFC",$C7:$C110,""),IF(L7:L110="1430-0000",$C7:$C110,""))</f>
        <v>DENNIS SR
JEROME JR
SUBARNA JR</v>
      </c>
      <c r="W42" s="772"/>
    </row>
    <row r="43" spans="3:23" ht="14.1" customHeight="1">
      <c r="C43" s="497" t="s">
        <v>362</v>
      </c>
      <c r="D43" s="504" t="s">
        <v>117</v>
      </c>
      <c r="E43" s="508">
        <v>613725</v>
      </c>
      <c r="F43" s="672" t="s">
        <v>39</v>
      </c>
      <c r="G43" s="565" t="s">
        <v>36</v>
      </c>
      <c r="H43" s="576"/>
      <c r="I43" s="565"/>
      <c r="J43" s="565" t="s">
        <v>37</v>
      </c>
      <c r="K43" s="565"/>
      <c r="L43" s="577"/>
      <c r="N43" s="790"/>
      <c r="O43" s="787"/>
      <c r="P43" s="750"/>
      <c r="Q43" s="750"/>
      <c r="R43" s="750"/>
      <c r="S43" s="750"/>
      <c r="T43" s="750"/>
      <c r="U43" s="788"/>
      <c r="W43" s="772"/>
    </row>
    <row r="44" spans="3:23" ht="14.1" customHeight="1">
      <c r="C44" s="497" t="s">
        <v>363</v>
      </c>
      <c r="D44" s="504" t="s">
        <v>118</v>
      </c>
      <c r="E44" s="516">
        <v>612264</v>
      </c>
      <c r="F44" s="575"/>
      <c r="G44" s="565"/>
      <c r="H44" s="565"/>
      <c r="I44" s="565" t="s">
        <v>33</v>
      </c>
      <c r="J44" s="565" t="s">
        <v>47</v>
      </c>
      <c r="K44" s="576"/>
      <c r="L44" s="579"/>
      <c r="N44" s="790"/>
      <c r="O44" s="787"/>
      <c r="P44" s="750"/>
      <c r="Q44" s="750"/>
      <c r="R44" s="750"/>
      <c r="S44" s="750"/>
      <c r="T44" s="750"/>
      <c r="U44" s="788"/>
      <c r="W44" s="772"/>
    </row>
    <row r="45" spans="3:23" ht="14.1" customHeight="1">
      <c r="C45" s="497" t="s">
        <v>364</v>
      </c>
      <c r="D45" s="497" t="s">
        <v>119</v>
      </c>
      <c r="E45" s="502">
        <v>643950</v>
      </c>
      <c r="F45" s="672" t="s">
        <v>39</v>
      </c>
      <c r="G45" s="576"/>
      <c r="H45" s="565" t="s">
        <v>46</v>
      </c>
      <c r="I45" s="576"/>
      <c r="J45" s="576"/>
      <c r="K45" s="565"/>
      <c r="L45" s="577"/>
      <c r="N45" s="790"/>
      <c r="O45" s="787"/>
      <c r="P45" s="750"/>
      <c r="Q45" s="750"/>
      <c r="R45" s="750"/>
      <c r="S45" s="750"/>
      <c r="T45" s="750"/>
      <c r="U45" s="788"/>
      <c r="W45" s="772"/>
    </row>
    <row r="46" spans="3:23" ht="14.1" customHeight="1">
      <c r="C46" s="79" t="s">
        <v>365</v>
      </c>
      <c r="D46" s="723" t="s">
        <v>120</v>
      </c>
      <c r="E46" s="502">
        <v>618881</v>
      </c>
      <c r="F46" s="677" t="s">
        <v>39</v>
      </c>
      <c r="G46" s="565"/>
      <c r="H46" s="565"/>
      <c r="I46" s="62" t="s">
        <v>40</v>
      </c>
      <c r="J46" s="565"/>
      <c r="K46" s="565"/>
      <c r="L46" s="577"/>
      <c r="N46" s="790"/>
      <c r="O46" s="787"/>
      <c r="P46" s="750"/>
      <c r="Q46" s="750"/>
      <c r="R46" s="750"/>
      <c r="S46" s="750"/>
      <c r="T46" s="750"/>
      <c r="U46" s="788"/>
      <c r="W46" s="772"/>
    </row>
    <row r="47" spans="3:23" ht="14.1" customHeight="1">
      <c r="C47" s="497" t="s">
        <v>366</v>
      </c>
      <c r="D47" s="497" t="s">
        <v>122</v>
      </c>
      <c r="E47" s="508">
        <v>141658</v>
      </c>
      <c r="F47" s="677" t="s">
        <v>39</v>
      </c>
      <c r="G47" s="565" t="s">
        <v>43</v>
      </c>
      <c r="H47" s="565"/>
      <c r="I47" s="565"/>
      <c r="J47" s="565"/>
      <c r="K47" s="565"/>
      <c r="L47" s="577"/>
      <c r="N47" s="790"/>
      <c r="O47" s="787"/>
      <c r="P47" s="750"/>
      <c r="Q47" s="750"/>
      <c r="R47" s="750"/>
      <c r="S47" s="750"/>
      <c r="T47" s="750"/>
      <c r="U47" s="788"/>
      <c r="W47" s="101"/>
    </row>
    <row r="48" spans="3:23" ht="14.1" customHeight="1">
      <c r="C48" s="511" t="s">
        <v>367</v>
      </c>
      <c r="D48" s="504" t="s">
        <v>123</v>
      </c>
      <c r="E48" s="516">
        <v>654004</v>
      </c>
      <c r="F48" s="575"/>
      <c r="G48" s="565"/>
      <c r="H48" s="566"/>
      <c r="I48" s="565"/>
      <c r="J48" s="576"/>
      <c r="K48" s="565" t="s">
        <v>40</v>
      </c>
      <c r="L48" s="577" t="s">
        <v>43</v>
      </c>
      <c r="N48" s="791"/>
      <c r="O48" s="787"/>
      <c r="P48" s="750"/>
      <c r="Q48" s="750"/>
      <c r="R48" s="750"/>
      <c r="S48" s="750"/>
      <c r="T48" s="750"/>
      <c r="U48" s="788"/>
      <c r="V48" s="34" t="s">
        <v>369</v>
      </c>
      <c r="W48" s="89">
        <v>1</v>
      </c>
    </row>
    <row r="49" spans="3:23" ht="14.1" customHeight="1">
      <c r="C49" s="511" t="s">
        <v>370</v>
      </c>
      <c r="D49" s="504" t="s">
        <v>124</v>
      </c>
      <c r="E49" s="676">
        <v>655191</v>
      </c>
      <c r="F49" s="675" t="s">
        <v>37</v>
      </c>
      <c r="G49" s="565"/>
      <c r="H49" s="565"/>
      <c r="I49" s="204"/>
      <c r="J49" s="565"/>
      <c r="K49" s="565" t="s">
        <v>36</v>
      </c>
      <c r="L49" s="577" t="s">
        <v>34</v>
      </c>
      <c r="N49" s="528" t="s">
        <v>368</v>
      </c>
      <c r="O49" s="523" t="str">
        <f t="shared" ref="O49:U49" si="15">INDEX($C7:$L188,MATCH("*PHJ*",F7:F191,0),1)</f>
        <v>SYLVIA JR</v>
      </c>
      <c r="P49" s="500" t="e">
        <f t="shared" si="15"/>
        <v>#N/A</v>
      </c>
      <c r="Q49" s="500" t="str">
        <f t="shared" si="15"/>
        <v>DESLIN JR</v>
      </c>
      <c r="R49" s="500" t="str">
        <f t="shared" si="15"/>
        <v>RACHEL JR</v>
      </c>
      <c r="S49" s="500" t="e">
        <f t="shared" si="15"/>
        <v>#N/A</v>
      </c>
      <c r="T49" s="500" t="str">
        <f t="shared" si="15"/>
        <v>SUBARNA JR</v>
      </c>
      <c r="U49" s="501" t="e">
        <f t="shared" si="15"/>
        <v>#N/A</v>
      </c>
      <c r="V49" s="34" t="s">
        <v>372</v>
      </c>
      <c r="W49" s="772">
        <v>2</v>
      </c>
    </row>
    <row r="50" spans="3:23" ht="14.1" customHeight="1">
      <c r="C50" s="511" t="s">
        <v>373</v>
      </c>
      <c r="D50" s="504" t="s">
        <v>126</v>
      </c>
      <c r="E50" s="676">
        <v>653055</v>
      </c>
      <c r="F50" s="677" t="s">
        <v>39</v>
      </c>
      <c r="G50" s="75" t="s">
        <v>47</v>
      </c>
      <c r="H50" s="204"/>
      <c r="I50" s="75"/>
      <c r="J50" s="204"/>
      <c r="K50" s="600"/>
      <c r="L50" s="613"/>
      <c r="N50" s="792" t="s">
        <v>325</v>
      </c>
      <c r="O50" s="787" t="str" cm="1">
        <f t="array" ref="O50">_xlfn.TEXTJOIN(CHAR(10),TRUE,_xlfn._xlws.FILTER($C7:$C184,RIGHT(F7:F184,LEN("pSSJ"))="pSSJ",""))</f>
        <v>PIN HMO</v>
      </c>
      <c r="P50" s="750" t="str" cm="1">
        <f t="array" ref="P50">_xlfn.TEXTJOIN(CHAR(10),TRUE,_xlfn._xlws.FILTER($C7:$C184,RIGHT(G7:G184,LEN("pSSJ"))="pSSJ",""))</f>
        <v>AARON N. HMO</v>
      </c>
      <c r="Q50" s="750" t="str" cm="1">
        <f t="array" ref="Q50">_xlfn.TEXTJOIN(CHAR(10),TRUE,_xlfn._xlws.FILTER($C7:$C184,RIGHT(H7:H184,LEN("pSSJ"))="pSSJ",""))</f>
        <v>MIKEY HMO</v>
      </c>
      <c r="R50" s="750" t="str" cm="1">
        <f t="array" ref="R50">_xlfn.TEXTJOIN(CHAR(10),TRUE,_xlfn._xlws.FILTER($C7:$C184,RIGHT(I7:I184,LEN("pSSJ"))="pSSJ",""))</f>
        <v>ANKUSH HMO</v>
      </c>
      <c r="S50" s="750" t="str" cm="1">
        <f t="array" ref="S50">_xlfn.TEXTJOIN(CHAR(10),TRUE,_xlfn._xlws.FILTER($C7:$C184,RIGHT(J7:J184,LEN("pSSJ"))="pSSJ",""))</f>
        <v>AREEBA HMO</v>
      </c>
      <c r="T50" s="750" t="str" cm="1">
        <f t="array" ref="T50">_xlfn.TEXTJOIN(CHAR(10),TRUE,_xlfn._xlws.FILTER($C7:$C184,RIGHT(K7:K184,LEN("pSSJ"))="pSSJ",""))</f>
        <v>PIN HMO</v>
      </c>
      <c r="U50" s="788" t="str" cm="1">
        <f t="array" ref="U50">_xlfn.TEXTJOIN(CHAR(10),TRUE,_xlfn._xlws.FILTER($C7:$C184,RIGHT(L7:L184,LEN("pSSJ"))="pSSJ",""))</f>
        <v>VISHNU HMO</v>
      </c>
      <c r="W50" s="772"/>
    </row>
    <row r="51" spans="3:23" ht="14.1" customHeight="1">
      <c r="C51" s="497" t="s">
        <v>374</v>
      </c>
      <c r="D51" s="340" t="s">
        <v>128</v>
      </c>
      <c r="E51" s="678">
        <v>650059</v>
      </c>
      <c r="F51" s="677" t="s">
        <v>39</v>
      </c>
      <c r="G51" s="600" t="s">
        <v>34</v>
      </c>
      <c r="H51" s="566"/>
      <c r="I51" s="600"/>
      <c r="J51" s="610"/>
      <c r="K51" s="600"/>
      <c r="L51" s="603"/>
      <c r="N51" s="792"/>
      <c r="O51" s="787"/>
      <c r="P51" s="750"/>
      <c r="Q51" s="750"/>
      <c r="R51" s="750"/>
      <c r="S51" s="750"/>
      <c r="T51" s="750"/>
      <c r="U51" s="788"/>
      <c r="W51" s="772">
        <v>8</v>
      </c>
    </row>
    <row r="52" spans="3:23" ht="14.1" customHeight="1">
      <c r="C52" s="497" t="s">
        <v>375</v>
      </c>
      <c r="D52" s="340" t="s">
        <v>129</v>
      </c>
      <c r="E52" s="678">
        <v>703067</v>
      </c>
      <c r="F52" s="677" t="s">
        <v>39</v>
      </c>
      <c r="G52" s="600"/>
      <c r="H52" s="612"/>
      <c r="I52" s="600"/>
      <c r="J52" s="600" t="s">
        <v>43</v>
      </c>
      <c r="K52" s="600" t="s">
        <v>34</v>
      </c>
      <c r="L52" s="603" t="s">
        <v>36</v>
      </c>
      <c r="N52" s="733" t="s">
        <v>330</v>
      </c>
      <c r="O52" s="736" t="str" cm="1">
        <f t="array" ref="O52">_xlfn.TEXTJOIN(CHAR(10),TRUE,IF(F111:F184="1430-0000",$C111:$C184,""))</f>
        <v>MASON HMO
VISHNU HMO
BRIER HMO
WILL HMO
Iolanda INT</v>
      </c>
      <c r="P52" s="739" t="str" cm="1">
        <f t="array" ref="P52">_xlfn.TEXTJOIN(CHAR(10),TRUE,IF(G111:G184="1430-0000",$C111:$C184,""))</f>
        <v>MASON HMO
LISA HMO
CHRIS HMO
WATHSALA HMO
Sewni INT
May INT</v>
      </c>
      <c r="Q52" s="739" t="str" cm="1">
        <f t="array" ref="Q52">_xlfn.TEXTJOIN(CHAR(10),TRUE,IF(H111:H184="1430-0000",$C111:$C184,""))</f>
        <v>ANKUSH HMO
LISA HMO
HARRISON HMO
NATHAN HMO
Sewni INT</v>
      </c>
      <c r="R52" s="739" t="str" cm="1">
        <f t="array" ref="R52">_xlfn.TEXTJOIN(CHAR(10),TRUE,IF(I111:I184="1430-0000",$C111:$C184,""))</f>
        <v>AARON G. HMO
HARRISON HMO
NATHAN HMO
SHUNING HMO
Sewni INT</v>
      </c>
      <c r="S52" s="739" t="str" cm="1">
        <f t="array" ref="S52">_xlfn.TEXTJOIN(CHAR(10),TRUE,IF(J111:J184="1430-0000",$C111:$C184,""))</f>
        <v>AARON G. HMO
PIN HMO
NATHAN HMO
SHUNING HMO
Jason INT</v>
      </c>
      <c r="T52" s="739" t="str" cm="1">
        <f t="array" ref="T52">_xlfn.TEXTJOIN(CHAR(10),TRUE,IF(K111:K184="1430-0000",$C111:$C184,""))</f>
        <v>BRIANNA HMO
VISHNU HMO
ZOBIA HMO
Jason INT
May INT</v>
      </c>
      <c r="U52" s="763" t="str" cm="1">
        <f t="array" ref="U52">_xlfn.TEXTJOIN(CHAR(10),TRUE,IF(L111:L184="1430-0000",$C111:$C184,""))</f>
        <v>BRIANNA HMO
ZOBIA HMO
PIN HMO
Jason INT
May INT</v>
      </c>
      <c r="W52" s="772"/>
    </row>
    <row r="53" spans="3:23" ht="14.1" customHeight="1">
      <c r="C53" s="497" t="s">
        <v>376</v>
      </c>
      <c r="D53" s="340" t="s">
        <v>132</v>
      </c>
      <c r="E53" s="678">
        <v>703495</v>
      </c>
      <c r="F53" s="572" t="s">
        <v>31</v>
      </c>
      <c r="G53" s="573"/>
      <c r="H53" s="573"/>
      <c r="I53" s="573"/>
      <c r="J53" s="573"/>
      <c r="K53" s="573"/>
      <c r="L53" s="574"/>
      <c r="N53" s="734"/>
      <c r="O53" s="737"/>
      <c r="P53" s="740"/>
      <c r="Q53" s="740"/>
      <c r="R53" s="740"/>
      <c r="S53" s="740"/>
      <c r="T53" s="740"/>
      <c r="U53" s="764"/>
      <c r="W53" s="772"/>
    </row>
    <row r="54" spans="3:23" ht="14.1" customHeight="1">
      <c r="C54" s="504" t="s">
        <v>377</v>
      </c>
      <c r="D54" s="504" t="s">
        <v>133</v>
      </c>
      <c r="E54" s="502">
        <v>578275</v>
      </c>
      <c r="F54" s="672"/>
      <c r="G54" s="566"/>
      <c r="H54" s="566"/>
      <c r="I54" s="566"/>
      <c r="J54" s="566"/>
      <c r="K54" s="576"/>
      <c r="L54" s="598"/>
      <c r="N54" s="734"/>
      <c r="O54" s="737"/>
      <c r="P54" s="740"/>
      <c r="Q54" s="740"/>
      <c r="R54" s="740"/>
      <c r="S54" s="740"/>
      <c r="T54" s="740"/>
      <c r="U54" s="764"/>
      <c r="W54" s="772"/>
    </row>
    <row r="55" spans="3:23" ht="14.1" customHeight="1">
      <c r="C55" s="504" t="s">
        <v>378</v>
      </c>
      <c r="D55" s="497" t="s">
        <v>135</v>
      </c>
      <c r="E55" s="502">
        <v>644237</v>
      </c>
      <c r="F55" s="672" t="s">
        <v>28</v>
      </c>
      <c r="G55" s="570"/>
      <c r="H55" s="570"/>
      <c r="I55" s="570"/>
      <c r="J55" s="570"/>
      <c r="K55" s="570"/>
      <c r="L55" s="571"/>
      <c r="N55" s="734"/>
      <c r="O55" s="737"/>
      <c r="P55" s="740"/>
      <c r="Q55" s="740"/>
      <c r="R55" s="740"/>
      <c r="S55" s="740"/>
      <c r="T55" s="740"/>
      <c r="U55" s="764"/>
      <c r="W55" s="772"/>
    </row>
    <row r="56" spans="3:23" ht="14.1" customHeight="1">
      <c r="C56" s="497" t="s">
        <v>379</v>
      </c>
      <c r="D56" s="504" t="s">
        <v>136</v>
      </c>
      <c r="E56" s="502">
        <v>634259</v>
      </c>
      <c r="F56" s="672"/>
      <c r="G56" s="565"/>
      <c r="H56" s="565"/>
      <c r="I56" s="565"/>
      <c r="J56" s="565"/>
      <c r="K56" s="578" t="s">
        <v>342</v>
      </c>
      <c r="L56" s="577"/>
      <c r="N56" s="734"/>
      <c r="O56" s="737"/>
      <c r="P56" s="740"/>
      <c r="Q56" s="740"/>
      <c r="R56" s="740"/>
      <c r="S56" s="740"/>
      <c r="T56" s="740"/>
      <c r="U56" s="764"/>
      <c r="W56" s="772"/>
    </row>
    <row r="57" spans="3:23" ht="14.1" customHeight="1">
      <c r="C57" s="497" t="s">
        <v>380</v>
      </c>
      <c r="D57" s="526" t="s">
        <v>137</v>
      </c>
      <c r="E57" s="502">
        <v>418439</v>
      </c>
      <c r="F57" s="677"/>
      <c r="G57" s="75"/>
      <c r="H57" s="75"/>
      <c r="I57" s="75"/>
      <c r="J57" s="600"/>
      <c r="K57" s="600"/>
      <c r="L57" s="613"/>
      <c r="N57" s="734"/>
      <c r="O57" s="737"/>
      <c r="P57" s="740"/>
      <c r="Q57" s="740"/>
      <c r="R57" s="740"/>
      <c r="S57" s="740"/>
      <c r="T57" s="740"/>
      <c r="U57" s="764"/>
      <c r="W57" s="772"/>
    </row>
    <row r="58" spans="3:23" ht="14.1" customHeight="1">
      <c r="C58" s="511" t="s">
        <v>381</v>
      </c>
      <c r="D58" s="526" t="s">
        <v>138</v>
      </c>
      <c r="E58" s="498">
        <v>650974</v>
      </c>
      <c r="F58" s="582" t="s">
        <v>62</v>
      </c>
      <c r="G58" s="576"/>
      <c r="H58" s="583"/>
      <c r="I58" s="203"/>
      <c r="J58" s="576"/>
      <c r="K58" s="576"/>
      <c r="L58" s="579"/>
      <c r="N58" s="734"/>
      <c r="O58" s="737"/>
      <c r="P58" s="740"/>
      <c r="Q58" s="740"/>
      <c r="R58" s="740"/>
      <c r="S58" s="740"/>
      <c r="T58" s="740"/>
      <c r="U58" s="764"/>
      <c r="W58" s="772"/>
    </row>
    <row r="59" spans="3:23" ht="14.1" customHeight="1" thickBot="1">
      <c r="C59" s="511" t="s">
        <v>382</v>
      </c>
      <c r="D59" s="526" t="s">
        <v>535</v>
      </c>
      <c r="E59" s="498">
        <v>541888</v>
      </c>
      <c r="F59" s="211"/>
      <c r="G59" s="62"/>
      <c r="H59" s="62"/>
      <c r="I59" s="566" t="s">
        <v>32</v>
      </c>
      <c r="J59" s="62"/>
      <c r="K59" s="565"/>
      <c r="L59" s="577"/>
      <c r="N59" s="735"/>
      <c r="O59" s="738"/>
      <c r="P59" s="741"/>
      <c r="Q59" s="741"/>
      <c r="R59" s="741"/>
      <c r="S59" s="741"/>
      <c r="T59" s="741"/>
      <c r="U59" s="765"/>
      <c r="V59" s="34" t="s">
        <v>385</v>
      </c>
      <c r="W59" s="89">
        <v>4</v>
      </c>
    </row>
    <row r="60" spans="3:23" ht="14.1" customHeight="1">
      <c r="C60" s="531"/>
      <c r="D60" s="533"/>
      <c r="E60" s="515"/>
      <c r="F60" s="211"/>
      <c r="G60" s="62"/>
      <c r="H60" s="62"/>
      <c r="I60" s="62"/>
      <c r="J60" s="62"/>
      <c r="K60" s="565"/>
      <c r="L60" s="577"/>
      <c r="N60" s="742" t="s">
        <v>384</v>
      </c>
      <c r="O60" s="745" t="str" cm="1">
        <f t="array" ref="O60">_xlfn.TEXTJOIN(CHAR(10),TRUE,_xlfn._xlws.FILTER($C7:$C184,RIGHT(F7:F184,LEN("SWP"))="SWP",""))</f>
        <v/>
      </c>
      <c r="P60" s="747" t="str" cm="1">
        <f t="array" ref="P60">_xlfn.TEXTJOIN(CHAR(10),TRUE,_xlfn._xlws.FILTER($C7:$C184,RIGHT(G7:G184,LEN("SWP"))="SWP",""))</f>
        <v>ADI JR
RACHEL JR</v>
      </c>
      <c r="Q60" s="747" t="str" cm="1">
        <f t="array" ref="Q60">_xlfn.TEXTJOIN(CHAR(10),TRUE,_xlfn._xlws.FILTER($C7:$C184,RIGHT(H7:H184,LEN("SWP"))="SWP",""))</f>
        <v/>
      </c>
      <c r="R60" s="747" t="str" cm="1">
        <f t="array" ref="R60">_xlfn.TEXTJOIN(CHAR(10),TRUE,_xlfn._xlws.FILTER($C7:$C184,RIGHT(I7:I184,LEN("SWP"))="SWP",""))</f>
        <v/>
      </c>
      <c r="S60" s="747" t="str" cm="1">
        <f t="array" ref="S60">_xlfn.TEXTJOIN(CHAR(10),TRUE,_xlfn._xlws.FILTER($C7:$C184,RIGHT(J7:J184,LEN("SWP"))="SWP",""))</f>
        <v>JESS SR</v>
      </c>
      <c r="T60" s="747" t="str" cm="1">
        <f t="array" ref="T60">_xlfn.TEXTJOIN(CHAR(10),TRUE,_xlfn._xlws.FILTER($C7:$C184,RIGHT(K7:K184,LEN("SWP"))="SWP",""))</f>
        <v/>
      </c>
      <c r="U60" s="766" t="str" cm="1">
        <f t="array" ref="U60">_xlfn.TEXTJOIN(CHAR(10),TRUE,_xlfn._xlws.FILTER($C7:$C184,RIGHT(L7:L184,LEN("SWP"))="SWP",""))</f>
        <v/>
      </c>
      <c r="W60" s="89"/>
    </row>
    <row r="61" spans="3:23" ht="14.1" customHeight="1">
      <c r="C61" s="530" t="s">
        <v>345</v>
      </c>
      <c r="D61" s="530" t="s">
        <v>345</v>
      </c>
      <c r="E61" s="533"/>
      <c r="F61" s="248" t="s">
        <v>525</v>
      </c>
      <c r="G61" s="614" t="s">
        <v>142</v>
      </c>
      <c r="H61" s="614" t="s">
        <v>582</v>
      </c>
      <c r="I61" s="614" t="s">
        <v>142</v>
      </c>
      <c r="J61" s="614" t="s">
        <v>515</v>
      </c>
      <c r="K61" s="62"/>
      <c r="L61" s="67"/>
      <c r="N61" s="743"/>
      <c r="O61" s="746"/>
      <c r="P61" s="748"/>
      <c r="Q61" s="748"/>
      <c r="R61" s="748"/>
      <c r="S61" s="748"/>
      <c r="T61" s="748"/>
      <c r="U61" s="767"/>
      <c r="W61" s="89"/>
    </row>
    <row r="62" spans="3:23" ht="14.1" customHeight="1">
      <c r="C62" s="31"/>
      <c r="D62" s="31"/>
      <c r="E62" s="534"/>
      <c r="F62" s="28"/>
      <c r="G62" s="29"/>
      <c r="H62" s="29"/>
      <c r="I62" s="29"/>
      <c r="J62" s="29"/>
      <c r="K62" s="29"/>
      <c r="L62" s="30"/>
      <c r="N62" s="743"/>
      <c r="O62" s="746"/>
      <c r="P62" s="748"/>
      <c r="Q62" s="748"/>
      <c r="R62" s="748"/>
      <c r="S62" s="748"/>
      <c r="T62" s="748"/>
      <c r="U62" s="767"/>
      <c r="W62" s="89"/>
    </row>
    <row r="63" spans="3:23" ht="14.1" customHeight="1" thickBot="1">
      <c r="C63" s="63"/>
      <c r="D63" s="411" t="s">
        <v>145</v>
      </c>
      <c r="E63" s="534"/>
      <c r="F63" s="565">
        <f>COUNTIF(F7:F60,"0800-*")+COUNTIF(F7:F60,"0730-*")-COUNTIF(F7:F60,"*0800-1730 CS*")-COUNTIF(F7:F60,"*0800-1730 PHNW*")-COUNTIF(F7:F60,"*0800-1730 DEMT*")-COUNTIF(F7:F60,"*0800-1730 EXAM*")-COUNTIF(F7:F60,"*0800-1800 CS*")-COUNTIF(F7:F60,"*0800-1800 PHNW*")</f>
        <v>4</v>
      </c>
      <c r="G63" s="565">
        <f>COUNTIF(G7:G60,"0800-1730*")+COUNTIF(G7:G60,"0800-1800*")+COUNTIF(G7:G60,"0730-1700*")-COUNTIF(G7:G60,"*0800-1730 CS*")-COUNTIF(G7:G60,"*0800-1730 PHNW*")-COUNTIF(G7:G60,"*0800-1730 DEMT*")-COUNTIF(G7:G60,"*0800-1730 EXAM*")-COUNTIF(G7:G60,"*0800-1800 CS*")-COUNTIF(G7:G60,"*0800-1800 PHNW*")</f>
        <v>5</v>
      </c>
      <c r="H63" s="565">
        <f t="shared" ref="H63:J63" si="16">COUNTIF(H7:H60,"0800-1730*")+COUNTIF(H7:H60,"0800-1800*")+COUNTIF(H7:H60,"0730-1700*")-COUNTIF(H7:H60,"*0800-1730 CS*")-COUNTIF(H7:H60,"*0800-1730 PHNW*")-COUNTIF(H7:H60,"*0800-1730 DEMT*")-COUNTIF(H7:H60,"*0800-1730 EXAM*")-COUNTIF(H7:H60,"*0800-1800 CS*")-COUNTIF(H7:H60,"*0800-1800 PHNW*")</f>
        <v>5</v>
      </c>
      <c r="I63" s="565">
        <f t="shared" si="16"/>
        <v>5</v>
      </c>
      <c r="J63" s="565">
        <f t="shared" si="16"/>
        <v>4</v>
      </c>
      <c r="K63" s="565">
        <f>COUNTIF(K7:K60,"0800-*")+COUNTIF(K7:K60,"0730-*")</f>
        <v>3</v>
      </c>
      <c r="L63" s="577">
        <f>COUNTIF(L7:L60,"0800-*")+COUNTIF(L7:L60,"0730-*")</f>
        <v>3</v>
      </c>
      <c r="N63" s="744"/>
      <c r="O63" s="931"/>
      <c r="P63" s="913"/>
      <c r="Q63" s="913"/>
      <c r="R63" s="913"/>
      <c r="S63" s="913"/>
      <c r="T63" s="913"/>
      <c r="U63" s="932"/>
      <c r="W63" s="89"/>
    </row>
    <row r="64" spans="3:23" ht="14.1" customHeight="1" thickBot="1">
      <c r="C64" s="535"/>
      <c r="D64" s="411" t="s">
        <v>146</v>
      </c>
      <c r="E64" s="534"/>
      <c r="F64" s="575">
        <f t="shared" ref="F64:L64" si="17">COUNTIF(F7:F61,"*0000*")</f>
        <v>4</v>
      </c>
      <c r="G64" s="565">
        <f t="shared" si="17"/>
        <v>4</v>
      </c>
      <c r="H64" s="565">
        <f t="shared" si="17"/>
        <v>5</v>
      </c>
      <c r="I64" s="565">
        <f t="shared" si="17"/>
        <v>5</v>
      </c>
      <c r="J64" s="565">
        <f t="shared" si="17"/>
        <v>4</v>
      </c>
      <c r="K64" s="565">
        <f t="shared" si="17"/>
        <v>3</v>
      </c>
      <c r="L64" s="577">
        <f t="shared" si="17"/>
        <v>3</v>
      </c>
      <c r="N64" s="106"/>
      <c r="O64" s="34"/>
      <c r="P64" s="34"/>
      <c r="Q64" s="34"/>
      <c r="R64" s="34"/>
      <c r="S64" s="34"/>
      <c r="T64" s="34"/>
      <c r="U64" s="34"/>
      <c r="W64" s="89" t="s">
        <v>389</v>
      </c>
    </row>
    <row r="65" spans="3:23" ht="14.1" customHeight="1">
      <c r="C65" s="407" t="s">
        <v>147</v>
      </c>
      <c r="D65" s="407" t="s">
        <v>147</v>
      </c>
      <c r="E65" s="534"/>
      <c r="F65" s="408"/>
      <c r="G65" s="409"/>
      <c r="H65" s="409"/>
      <c r="I65" s="409"/>
      <c r="J65" s="409"/>
      <c r="K65" s="409"/>
      <c r="L65" s="410"/>
      <c r="N65" s="106"/>
      <c r="O65" s="796" t="s">
        <v>388</v>
      </c>
      <c r="P65" s="797"/>
      <c r="Q65" s="797"/>
      <c r="R65" s="797"/>
      <c r="S65" s="797"/>
      <c r="T65" s="797"/>
      <c r="U65" s="798"/>
      <c r="V65" s="89"/>
      <c r="W65" s="106">
        <v>1</v>
      </c>
    </row>
    <row r="66" spans="3:23" ht="14.1" customHeight="1">
      <c r="C66" s="411" t="s">
        <v>391</v>
      </c>
      <c r="D66" s="411" t="s">
        <v>148</v>
      </c>
      <c r="E66" s="536">
        <v>609268</v>
      </c>
      <c r="F66" s="575" t="s">
        <v>149</v>
      </c>
      <c r="G66" s="576"/>
      <c r="H66" s="565" t="s">
        <v>149</v>
      </c>
      <c r="I66" s="565"/>
      <c r="J66" s="565"/>
      <c r="K66" s="565" t="s">
        <v>35</v>
      </c>
      <c r="L66" s="577" t="s">
        <v>46</v>
      </c>
      <c r="N66" s="104" t="s">
        <v>390</v>
      </c>
      <c r="O66" s="107" t="str">
        <f t="shared" ref="O66:U66" si="18">INDEX($C7:$L188,MATCH("*N1*",F7:F191,0),1)</f>
        <v>WILLIAM SR</v>
      </c>
      <c r="P66" s="108" t="str">
        <f t="shared" si="18"/>
        <v>WILLIAM SR</v>
      </c>
      <c r="Q66" s="108" t="str">
        <f t="shared" si="18"/>
        <v>WILLIAM SR</v>
      </c>
      <c r="R66" s="108" t="str">
        <f t="shared" si="18"/>
        <v>WILLIAM SR</v>
      </c>
      <c r="S66" s="108" t="str">
        <f t="shared" si="18"/>
        <v>AMY SR</v>
      </c>
      <c r="T66" s="108" t="str">
        <f t="shared" si="18"/>
        <v>AMY SR</v>
      </c>
      <c r="U66" s="109" t="str">
        <f t="shared" si="18"/>
        <v>AMY SR</v>
      </c>
      <c r="W66" s="89">
        <v>9</v>
      </c>
    </row>
    <row r="67" spans="3:23" ht="14.1" customHeight="1">
      <c r="C67" s="411" t="s">
        <v>393</v>
      </c>
      <c r="D67" s="411" t="s">
        <v>152</v>
      </c>
      <c r="E67" s="537">
        <v>517752</v>
      </c>
      <c r="F67" s="575"/>
      <c r="G67" s="565"/>
      <c r="H67" s="565" t="s">
        <v>153</v>
      </c>
      <c r="I67" s="565"/>
      <c r="J67" s="565"/>
      <c r="K67" s="565"/>
      <c r="L67" s="577"/>
      <c r="N67" s="749" t="s">
        <v>392</v>
      </c>
      <c r="O67" s="746" t="str" cm="1">
        <f t="array" ref="O67">_xlfn.TEXTJOIN(CHAR(10),TRUE,IF(F7:F184="2300-0900",$C7:$C184,""),IF(F7:F184="2300-0830",$C7:$C184,""))</f>
        <v>LAURA JR
PHILLIP HMO
SHUNING HMO
Peter INT</v>
      </c>
      <c r="P67" s="748" t="str" cm="1">
        <f t="array" ref="P67">_xlfn.TEXTJOIN(CHAR(10),TRUE,IF(G7:G184="2300-0900",$C7:$C184,""),IF(G7:G184="2300-0830",$C7:$C184,""))</f>
        <v>LAURA JR
AARON B. HMO
WILL HMO
Peter INT</v>
      </c>
      <c r="Q67" s="748" t="str" cm="1">
        <f t="array" ref="Q67">_xlfn.TEXTJOIN(CHAR(10),TRUE,IF(H7:H184="2300-0900",$C7:$C184,""),IF(H7:H184="2300-0830",$C7:$C184,""))</f>
        <v>HANNAH IR
LAURA JR
DEVUNI HMO
BRIER HMO
ATACAN HMO 
Peter INT</v>
      </c>
      <c r="R67" s="748" t="str" cm="1">
        <f t="array" ref="R67">_xlfn.TEXTJOIN(CHAR(10),TRUE,IF(I7:I184="2300-0900",$C7:$C184,""),IF(I7:I184="2300-0830",$C7:$C184,""))</f>
        <v>HANNAH IR
ADI JR
WILL HMO
ATACAN HMO 
Iolanda INT</v>
      </c>
      <c r="S67" s="748" t="str" cm="1">
        <f t="array" ref="S67">_xlfn.TEXTJOIN(CHAR(10),TRUE,IF(J7:J184="2300-0900",$C7:$C184,""),IF(J7:J184="2300-0830",$C7:$C184,""))</f>
        <v>ADI JR
PAUL JR
WATHSALA HMO
Iolanda INT</v>
      </c>
      <c r="T67" s="748" t="str" cm="1">
        <f t="array" ref="T67">_xlfn.TEXTJOIN(CHAR(10),TRUE,IF(K7:K184="2300-0900",$C7:$C184,""),IF(K7:K184="2300-0830",$C7:$C184,""))</f>
        <v>ADI JR
PAUL JR
MIKEY HMO
JOYDEEP HMO
Iolanda INT</v>
      </c>
      <c r="U67" s="767" t="str" cm="1">
        <f t="array" ref="U67">_xlfn.TEXTJOIN(CHAR(10),TRUE,IF(L7:L184="2300-0900",$C7:$C184,""),IF(L7:L184="2300-0830",$C7:$C184,""))</f>
        <v>ADI JR
PAUL JR
TRAM HMO
MIKEY HMO
Iolanda INT</v>
      </c>
      <c r="W67" s="89"/>
    </row>
    <row r="68" spans="3:23" ht="14.1" customHeight="1">
      <c r="C68" s="411" t="s">
        <v>394</v>
      </c>
      <c r="D68" s="411" t="s">
        <v>154</v>
      </c>
      <c r="E68" s="537">
        <v>609129</v>
      </c>
      <c r="F68" s="589"/>
      <c r="G68" s="590"/>
      <c r="H68" s="578" t="s">
        <v>342</v>
      </c>
      <c r="I68" s="590"/>
      <c r="J68" s="590"/>
      <c r="K68" s="565"/>
      <c r="L68" s="577" t="s">
        <v>91</v>
      </c>
      <c r="N68" s="749"/>
      <c r="O68" s="746"/>
      <c r="P68" s="748"/>
      <c r="Q68" s="748"/>
      <c r="R68" s="748"/>
      <c r="S68" s="748"/>
      <c r="T68" s="748"/>
      <c r="U68" s="767"/>
      <c r="W68" s="89"/>
    </row>
    <row r="69" spans="3:23" ht="14.1" customHeight="1">
      <c r="C69" s="411" t="s">
        <v>395</v>
      </c>
      <c r="D69" s="538" t="s">
        <v>156</v>
      </c>
      <c r="E69" s="539">
        <v>636554</v>
      </c>
      <c r="F69" s="575"/>
      <c r="G69" s="565"/>
      <c r="H69" s="565" t="s">
        <v>149</v>
      </c>
      <c r="I69" s="565"/>
      <c r="J69" s="565"/>
      <c r="K69" s="565"/>
      <c r="L69" s="577"/>
      <c r="N69" s="749"/>
      <c r="O69" s="746"/>
      <c r="P69" s="748"/>
      <c r="Q69" s="748"/>
      <c r="R69" s="748"/>
      <c r="S69" s="748"/>
      <c r="T69" s="748"/>
      <c r="U69" s="767"/>
      <c r="W69" s="89"/>
    </row>
    <row r="70" spans="3:23" ht="14.1" customHeight="1">
      <c r="C70" s="933"/>
      <c r="D70" s="49"/>
      <c r="E70" s="534"/>
      <c r="F70" s="575"/>
      <c r="G70" s="565"/>
      <c r="H70" s="565"/>
      <c r="I70" s="565"/>
      <c r="J70" s="565"/>
      <c r="K70" s="565"/>
      <c r="L70" s="577"/>
      <c r="N70" s="749"/>
      <c r="O70" s="746"/>
      <c r="P70" s="748"/>
      <c r="Q70" s="748"/>
      <c r="R70" s="748"/>
      <c r="S70" s="748"/>
      <c r="T70" s="748"/>
      <c r="U70" s="767"/>
      <c r="W70" s="89"/>
    </row>
    <row r="71" spans="3:23" ht="14.1" customHeight="1">
      <c r="C71" s="724" t="s">
        <v>157</v>
      </c>
      <c r="D71" s="540" t="s">
        <v>157</v>
      </c>
      <c r="E71" s="54"/>
      <c r="F71" s="413"/>
      <c r="G71" s="414"/>
      <c r="H71" s="414"/>
      <c r="I71" s="414"/>
      <c r="J71" s="414"/>
      <c r="K71" s="414"/>
      <c r="L71" s="415"/>
      <c r="N71" s="749"/>
      <c r="O71" s="746"/>
      <c r="P71" s="748"/>
      <c r="Q71" s="748"/>
      <c r="R71" s="748"/>
      <c r="S71" s="748"/>
      <c r="T71" s="748"/>
      <c r="U71" s="767"/>
      <c r="W71" s="89"/>
    </row>
    <row r="72" spans="3:23" ht="14.1" customHeight="1">
      <c r="C72" s="541" t="s">
        <v>396</v>
      </c>
      <c r="D72" s="182" t="s">
        <v>159</v>
      </c>
      <c r="E72" s="615">
        <v>628440</v>
      </c>
      <c r="F72" s="618"/>
      <c r="G72" s="618" t="s">
        <v>149</v>
      </c>
      <c r="H72" s="618" t="s">
        <v>150</v>
      </c>
      <c r="I72" s="618" t="s">
        <v>150</v>
      </c>
      <c r="J72" s="618" t="s">
        <v>150</v>
      </c>
      <c r="K72" s="617"/>
      <c r="L72" s="617"/>
      <c r="N72" s="749"/>
      <c r="O72" s="746"/>
      <c r="P72" s="748"/>
      <c r="Q72" s="748"/>
      <c r="R72" s="748"/>
      <c r="S72" s="748"/>
      <c r="T72" s="748"/>
      <c r="U72" s="767"/>
      <c r="W72" s="89"/>
    </row>
    <row r="73" spans="3:23" ht="14.1" customHeight="1">
      <c r="C73" s="541" t="s">
        <v>397</v>
      </c>
      <c r="D73" s="183" t="s">
        <v>164</v>
      </c>
      <c r="E73" s="615">
        <v>653976</v>
      </c>
      <c r="F73" s="618" t="s">
        <v>150</v>
      </c>
      <c r="G73" s="618" t="s">
        <v>150</v>
      </c>
      <c r="H73" s="618"/>
      <c r="I73" s="618" t="s">
        <v>149</v>
      </c>
      <c r="J73" s="618"/>
      <c r="K73" s="618" t="s">
        <v>149</v>
      </c>
      <c r="L73" s="617"/>
      <c r="N73" s="749"/>
      <c r="O73" s="746"/>
      <c r="P73" s="748"/>
      <c r="Q73" s="748"/>
      <c r="R73" s="748"/>
      <c r="S73" s="748"/>
      <c r="T73" s="748"/>
      <c r="U73" s="767"/>
      <c r="W73" s="89"/>
    </row>
    <row r="74" spans="3:23" ht="14.1" customHeight="1">
      <c r="C74" s="85" t="s">
        <v>398</v>
      </c>
      <c r="D74" s="184" t="s">
        <v>166</v>
      </c>
      <c r="E74" s="615">
        <v>654362</v>
      </c>
      <c r="F74" s="626"/>
      <c r="G74" s="617"/>
      <c r="H74" s="617"/>
      <c r="I74" s="618" t="s">
        <v>149</v>
      </c>
      <c r="J74" s="618" t="s">
        <v>149</v>
      </c>
      <c r="K74" s="618" t="s">
        <v>150</v>
      </c>
      <c r="L74" s="618" t="s">
        <v>150</v>
      </c>
      <c r="N74" s="749"/>
      <c r="O74" s="746"/>
      <c r="P74" s="748"/>
      <c r="Q74" s="748"/>
      <c r="R74" s="748"/>
      <c r="S74" s="748"/>
      <c r="T74" s="748"/>
      <c r="U74" s="767"/>
      <c r="W74" s="89"/>
    </row>
    <row r="75" spans="3:23" ht="14.1" customHeight="1">
      <c r="C75" s="69" t="s">
        <v>399</v>
      </c>
      <c r="D75" s="184" t="s">
        <v>168</v>
      </c>
      <c r="E75" s="615">
        <v>615829</v>
      </c>
      <c r="F75" s="617"/>
      <c r="G75" s="617"/>
      <c r="H75" s="617"/>
      <c r="I75" s="617"/>
      <c r="J75" s="620"/>
      <c r="K75" s="619"/>
      <c r="L75" s="618" t="s">
        <v>149</v>
      </c>
      <c r="N75" s="749"/>
      <c r="O75" s="746"/>
      <c r="P75" s="748"/>
      <c r="Q75" s="748"/>
      <c r="R75" s="748"/>
      <c r="S75" s="748"/>
      <c r="T75" s="748"/>
      <c r="U75" s="767"/>
      <c r="V75" s="34" t="s">
        <v>400</v>
      </c>
      <c r="W75" s="89">
        <v>1</v>
      </c>
    </row>
    <row r="76" spans="3:23" ht="14.1" customHeight="1">
      <c r="C76" s="541" t="s">
        <v>401</v>
      </c>
      <c r="D76" s="934" t="s">
        <v>170</v>
      </c>
      <c r="E76" s="615">
        <v>619567</v>
      </c>
      <c r="F76" s="618"/>
      <c r="G76" s="617"/>
      <c r="H76" s="617"/>
      <c r="I76" s="617"/>
      <c r="J76" s="624" t="s">
        <v>161</v>
      </c>
      <c r="K76" s="619" t="s">
        <v>161</v>
      </c>
      <c r="L76" s="618" t="s">
        <v>161</v>
      </c>
      <c r="N76" s="528" t="s">
        <v>368</v>
      </c>
      <c r="O76" s="523" t="str">
        <f t="shared" ref="O76:U76" si="19">INDEX($C10:$L190,MATCH("*NHJ*",F10:F193,0),1)</f>
        <v>BRIANNA HMO</v>
      </c>
      <c r="P76" s="500" t="str">
        <f t="shared" si="19"/>
        <v>BRIER HMO</v>
      </c>
      <c r="Q76" s="500" t="e">
        <f t="shared" si="19"/>
        <v>#N/A</v>
      </c>
      <c r="R76" s="500" t="str">
        <f t="shared" si="19"/>
        <v>DEVUNI HMO</v>
      </c>
      <c r="S76" s="500" t="str">
        <f t="shared" si="19"/>
        <v>JOYDEEP HMO</v>
      </c>
      <c r="T76" s="500" t="str">
        <f t="shared" si="19"/>
        <v>TRAM HMO</v>
      </c>
      <c r="U76" s="501" t="str">
        <f t="shared" si="19"/>
        <v>WATHSALA HMO</v>
      </c>
      <c r="V76" s="34" t="s">
        <v>402</v>
      </c>
      <c r="W76" s="89">
        <v>2</v>
      </c>
    </row>
    <row r="77" spans="3:23" ht="14.1" customHeight="1">
      <c r="C77" s="543" t="s">
        <v>403</v>
      </c>
      <c r="D77" s="183" t="s">
        <v>171</v>
      </c>
      <c r="E77" s="615">
        <v>626157</v>
      </c>
      <c r="F77" s="617"/>
      <c r="G77" s="617"/>
      <c r="H77" s="617"/>
      <c r="I77" s="617"/>
      <c r="J77" s="619"/>
      <c r="K77" s="618"/>
      <c r="L77" s="618"/>
      <c r="N77" s="768" t="s">
        <v>325</v>
      </c>
      <c r="O77" s="787" t="str" cm="1">
        <f t="array" ref="O77">_xlfn.TEXTJOIN(CHAR(10),TRUE,_xlfn._xlws.FILTER($C7:$C184,RIGHT(F7:F184,LEN("nSSJ"))="nSSJ",""))</f>
        <v>JOSHUA IR
CLARE IR
AARON B. HMO</v>
      </c>
      <c r="P77" s="750" t="str" cm="1">
        <f t="array" ref="P77">_xlfn.TEXTJOIN(CHAR(10),TRUE,_xlfn._xlws.FILTER($C7:$C184,RIGHT(G7:G184,LEN("nSSJ"))="nSSJ",""))</f>
        <v>JOSHUA IR
CLARE IR
DEVUNI HMO</v>
      </c>
      <c r="Q77" s="750" t="str" cm="1">
        <f t="array" ref="Q77">_xlfn.TEXTJOIN(CHAR(10),TRUE,_xlfn._xlws.FILTER($C7:$C184,RIGHT(H7:H184,LEN("nSSJ"))="nSSJ",""))</f>
        <v>JOSHUA IR
WILL HMO</v>
      </c>
      <c r="R77" s="750" t="str" cm="1">
        <f t="array" ref="R77">_xlfn.TEXTJOIN(CHAR(10),TRUE,_xlfn._xlws.FILTER($C7:$C184,RIGHT(I7:I184,LEN("nSSJ"))="nSSJ",""))</f>
        <v>JOSHUA IR
BRIER HMO</v>
      </c>
      <c r="S77" s="750" t="str" cm="1">
        <f t="array" ref="S77">_xlfn.TEXTJOIN(CHAR(10),TRUE,_xlfn._xlws.FILTER($C7:$C184,RIGHT(J7:J184,LEN("nSSJ"))="nSSJ",""))</f>
        <v>SHIV IR
MIKEY HMO</v>
      </c>
      <c r="T77" s="750" t="str" cm="1">
        <f t="array" ref="T77">_xlfn.TEXTJOIN(CHAR(10),TRUE,_xlfn._xlws.FILTER($C7:$C184,RIGHT(K7:K184,LEN("nSSJ"))="nSSJ",""))</f>
        <v>SHIV IR
WATHSALA HMO</v>
      </c>
      <c r="U77" s="788" t="str" cm="1">
        <f t="array" ref="U77">_xlfn.TEXTJOIN(CHAR(10),TRUE,_xlfn._xlws.FILTER($C7:$C184,RIGHT(L7:L184,LEN("nSSJ"))="nSSJ",""))</f>
        <v>JOYDEEP HMO</v>
      </c>
      <c r="W77" s="89"/>
    </row>
    <row r="78" spans="3:23" ht="14.1" customHeight="1">
      <c r="C78" s="69" t="s">
        <v>405</v>
      </c>
      <c r="D78" s="185" t="s">
        <v>173</v>
      </c>
      <c r="E78" s="615">
        <v>645122</v>
      </c>
      <c r="F78" s="618" t="s">
        <v>161</v>
      </c>
      <c r="G78" s="618" t="s">
        <v>161</v>
      </c>
      <c r="H78" s="618" t="s">
        <v>161</v>
      </c>
      <c r="I78" s="618" t="s">
        <v>161</v>
      </c>
      <c r="J78" s="617"/>
      <c r="K78" s="617"/>
      <c r="L78" s="617"/>
      <c r="N78" s="769"/>
      <c r="O78" s="935"/>
      <c r="P78" s="936"/>
      <c r="Q78" s="936"/>
      <c r="R78" s="936"/>
      <c r="S78" s="936"/>
      <c r="T78" s="936"/>
      <c r="U78" s="937"/>
      <c r="W78" s="89"/>
    </row>
    <row r="79" spans="3:23" ht="14.1" customHeight="1">
      <c r="C79" s="543" t="s">
        <v>407</v>
      </c>
      <c r="D79" s="186" t="s">
        <v>174</v>
      </c>
      <c r="E79" s="615">
        <v>615820</v>
      </c>
      <c r="F79" s="617"/>
      <c r="G79" s="617"/>
      <c r="H79" s="617"/>
      <c r="I79" s="619"/>
      <c r="J79" s="618" t="s">
        <v>160</v>
      </c>
      <c r="K79" s="618"/>
      <c r="L79" s="617"/>
      <c r="N79" s="938" t="s">
        <v>406</v>
      </c>
      <c r="O79" s="110" t="str">
        <f t="shared" ref="O79:U79" si="20">INDEX($C7:$L188,MATCH("*PRC",F7:F191,0),1)</f>
        <v>TARA J. SMS</v>
      </c>
      <c r="P79" s="111" t="str">
        <f t="shared" si="20"/>
        <v>SCOTT SMS</v>
      </c>
      <c r="Q79" s="111" t="str">
        <f t="shared" si="20"/>
        <v>ANDY L  SMS</v>
      </c>
      <c r="R79" s="111" t="str">
        <f t="shared" si="20"/>
        <v>ANDRE SMS</v>
      </c>
      <c r="S79" s="111" t="str">
        <f t="shared" si="20"/>
        <v>ABI SMS</v>
      </c>
      <c r="T79" s="111" t="str">
        <f t="shared" si="20"/>
        <v>TITUS CMO</v>
      </c>
      <c r="U79" s="111" t="str">
        <f t="shared" si="20"/>
        <v>ERICA SMS</v>
      </c>
    </row>
    <row r="80" spans="3:23" ht="14.1" customHeight="1">
      <c r="C80" s="541" t="s">
        <v>408</v>
      </c>
      <c r="D80" s="544" t="s">
        <v>175</v>
      </c>
      <c r="E80" s="615">
        <v>624174</v>
      </c>
      <c r="F80" s="669" t="s">
        <v>31</v>
      </c>
      <c r="G80" s="669"/>
      <c r="H80" s="623"/>
      <c r="I80" s="623"/>
      <c r="J80" s="623"/>
      <c r="K80" s="623"/>
      <c r="L80" s="623"/>
      <c r="N80" s="106"/>
      <c r="O80" s="89"/>
      <c r="T80" s="939" t="str">
        <f>INDEX($C7:$L189,MATCH("*PGC",K7:K192,0),1)</f>
        <v>BARRY SMS</v>
      </c>
      <c r="U80" s="940" t="str">
        <f>INDEX($C8:$L189,MATCH("*PGC",L8:L192,0),1)</f>
        <v>JACQUELINE SMS</v>
      </c>
      <c r="V80" s="89"/>
    </row>
    <row r="81" spans="3:22" ht="14.1" customHeight="1">
      <c r="C81" s="543"/>
      <c r="D81" s="545"/>
      <c r="E81" s="625"/>
      <c r="F81" s="619"/>
      <c r="G81" s="619"/>
      <c r="H81" s="617"/>
      <c r="I81" s="617"/>
      <c r="J81" s="617"/>
      <c r="K81" s="617"/>
      <c r="L81" s="617"/>
      <c r="O81" s="89"/>
      <c r="V81" s="89"/>
    </row>
    <row r="82" spans="3:22" ht="14.1" customHeight="1">
      <c r="C82" s="728" t="s">
        <v>176</v>
      </c>
      <c r="D82" s="728" t="s">
        <v>176</v>
      </c>
      <c r="E82" s="198"/>
      <c r="F82" s="305"/>
      <c r="G82" s="305"/>
      <c r="H82" s="305"/>
      <c r="I82" s="305"/>
      <c r="J82" s="305"/>
      <c r="K82" s="305"/>
      <c r="L82" s="305"/>
      <c r="O82" s="89"/>
      <c r="V82" s="89"/>
    </row>
    <row r="83" spans="3:22" ht="14.1" customHeight="1">
      <c r="C83" s="411" t="s">
        <v>409</v>
      </c>
      <c r="D83" s="546" t="s">
        <v>177</v>
      </c>
      <c r="E83" s="615">
        <v>637990</v>
      </c>
      <c r="F83" s="618"/>
      <c r="G83" s="565"/>
      <c r="H83" s="565" t="s">
        <v>192</v>
      </c>
      <c r="I83" s="618" t="s">
        <v>192</v>
      </c>
      <c r="J83" s="618"/>
      <c r="K83" s="618"/>
      <c r="L83" s="618"/>
      <c r="O83" s="89"/>
      <c r="V83" s="89"/>
    </row>
    <row r="84" spans="3:22" ht="14.1" customHeight="1">
      <c r="C84" s="86" t="s">
        <v>410</v>
      </c>
      <c r="D84" s="184" t="s">
        <v>179</v>
      </c>
      <c r="E84" s="615">
        <v>652867</v>
      </c>
      <c r="F84" s="618" t="s">
        <v>178</v>
      </c>
      <c r="G84" s="565" t="s">
        <v>178</v>
      </c>
      <c r="H84" s="565" t="s">
        <v>178</v>
      </c>
      <c r="I84" s="565" t="s">
        <v>178</v>
      </c>
      <c r="J84" s="617"/>
      <c r="K84" s="617"/>
      <c r="L84" s="619"/>
      <c r="O84" s="89"/>
      <c r="V84" s="89"/>
    </row>
    <row r="85" spans="3:22" ht="14.1" customHeight="1">
      <c r="C85" s="543" t="s">
        <v>411</v>
      </c>
      <c r="D85" s="547" t="s">
        <v>180</v>
      </c>
      <c r="E85" s="615">
        <v>638831</v>
      </c>
      <c r="F85" s="618" t="s">
        <v>150</v>
      </c>
      <c r="G85" s="616" t="s">
        <v>359</v>
      </c>
      <c r="H85" s="618"/>
      <c r="I85" s="578" t="s">
        <v>574</v>
      </c>
      <c r="J85" s="616" t="s">
        <v>342</v>
      </c>
      <c r="K85" s="619"/>
      <c r="L85" s="617"/>
      <c r="O85" s="89"/>
      <c r="V85" s="89"/>
    </row>
    <row r="86" spans="3:22" ht="14.1" customHeight="1">
      <c r="C86" s="411" t="s">
        <v>412</v>
      </c>
      <c r="D86" s="548" t="s">
        <v>182</v>
      </c>
      <c r="E86" s="615">
        <v>631314</v>
      </c>
      <c r="F86" s="626"/>
      <c r="G86" s="617"/>
      <c r="H86" s="578" t="s">
        <v>442</v>
      </c>
      <c r="I86" s="578" t="s">
        <v>442</v>
      </c>
      <c r="J86" s="619"/>
      <c r="K86" s="617"/>
      <c r="L86" s="617"/>
      <c r="O86" s="89"/>
      <c r="V86" s="89"/>
    </row>
    <row r="87" spans="3:22" ht="14.1" customHeight="1">
      <c r="C87" s="69" t="s">
        <v>414</v>
      </c>
      <c r="D87" s="548" t="s">
        <v>185</v>
      </c>
      <c r="E87" s="615">
        <v>631732</v>
      </c>
      <c r="F87" s="619"/>
      <c r="G87" s="622"/>
      <c r="H87" s="565"/>
      <c r="I87" s="619"/>
      <c r="J87" s="565" t="s">
        <v>178</v>
      </c>
      <c r="K87" s="565" t="s">
        <v>178</v>
      </c>
      <c r="L87" s="578" t="s">
        <v>442</v>
      </c>
      <c r="O87" s="89"/>
      <c r="V87" s="89"/>
    </row>
    <row r="88" spans="3:22" ht="14.1" customHeight="1">
      <c r="C88" s="541" t="s">
        <v>415</v>
      </c>
      <c r="D88" s="549" t="s">
        <v>186</v>
      </c>
      <c r="E88" s="615">
        <v>634876</v>
      </c>
      <c r="F88" s="618" t="s">
        <v>178</v>
      </c>
      <c r="G88" s="618" t="s">
        <v>178</v>
      </c>
      <c r="H88" s="617"/>
      <c r="I88" s="622"/>
      <c r="J88" s="617"/>
      <c r="K88" s="619"/>
      <c r="L88" s="617"/>
      <c r="O88" s="89"/>
      <c r="V88" s="89"/>
    </row>
    <row r="89" spans="3:22" ht="14.1" customHeight="1">
      <c r="C89" s="541"/>
      <c r="D89" s="187"/>
      <c r="E89" s="199"/>
      <c r="F89" s="618"/>
      <c r="G89" s="618"/>
      <c r="H89" s="617"/>
      <c r="I89" s="617"/>
      <c r="J89" s="617"/>
      <c r="K89" s="619"/>
      <c r="L89" s="617"/>
      <c r="O89" s="89"/>
      <c r="V89" s="89"/>
    </row>
    <row r="90" spans="3:22" ht="14.1" customHeight="1">
      <c r="C90" s="4" t="s">
        <v>189</v>
      </c>
      <c r="D90" s="4" t="s">
        <v>189</v>
      </c>
      <c r="E90" s="199"/>
      <c r="F90" s="444"/>
      <c r="G90" s="444"/>
      <c r="H90" s="444"/>
      <c r="I90" s="444"/>
      <c r="J90" s="444"/>
      <c r="K90" s="444"/>
      <c r="L90" s="444"/>
      <c r="O90" s="89"/>
    </row>
    <row r="91" spans="3:22" ht="14.1" customHeight="1">
      <c r="C91" s="69" t="s">
        <v>416</v>
      </c>
      <c r="D91" s="188" t="s">
        <v>527</v>
      </c>
      <c r="E91" s="615">
        <v>648620</v>
      </c>
      <c r="F91" s="616" t="s">
        <v>342</v>
      </c>
      <c r="G91" s="618" t="s">
        <v>149</v>
      </c>
      <c r="H91" s="618"/>
      <c r="I91" s="617"/>
      <c r="J91" s="618"/>
      <c r="K91" s="618" t="s">
        <v>149</v>
      </c>
      <c r="L91" s="618" t="s">
        <v>149</v>
      </c>
      <c r="O91" s="89"/>
    </row>
    <row r="92" spans="3:22" ht="14.1" customHeight="1">
      <c r="C92" s="550" t="s">
        <v>417</v>
      </c>
      <c r="D92" s="189" t="s">
        <v>193</v>
      </c>
      <c r="E92" s="615">
        <v>652357</v>
      </c>
      <c r="F92" s="616" t="s">
        <v>342</v>
      </c>
      <c r="G92" s="616" t="s">
        <v>342</v>
      </c>
      <c r="H92" s="618"/>
      <c r="I92" s="617"/>
      <c r="J92" s="618"/>
      <c r="K92" s="616" t="s">
        <v>359</v>
      </c>
      <c r="L92" s="616" t="s">
        <v>359</v>
      </c>
      <c r="O92" s="34"/>
      <c r="P92" s="34"/>
      <c r="Q92" s="34"/>
      <c r="R92" s="34"/>
      <c r="S92" s="34"/>
      <c r="T92" s="34"/>
      <c r="U92" s="34"/>
    </row>
    <row r="93" spans="3:22" ht="14.1" customHeight="1">
      <c r="C93" s="69" t="s">
        <v>418</v>
      </c>
      <c r="D93" s="551" t="s">
        <v>196</v>
      </c>
      <c r="E93" s="631">
        <v>703714</v>
      </c>
      <c r="F93" s="618" t="s">
        <v>149</v>
      </c>
      <c r="G93" s="620"/>
      <c r="H93" s="616" t="s">
        <v>574</v>
      </c>
      <c r="I93" s="616" t="s">
        <v>359</v>
      </c>
      <c r="J93" s="645"/>
      <c r="K93" s="645"/>
      <c r="L93" s="645"/>
      <c r="O93" s="34"/>
      <c r="P93" s="34"/>
      <c r="Q93" s="34"/>
      <c r="R93" s="34"/>
      <c r="S93" s="34"/>
      <c r="T93" s="34"/>
      <c r="U93" s="34"/>
    </row>
    <row r="94" spans="3:22" ht="14.1" customHeight="1">
      <c r="C94" s="87" t="s">
        <v>419</v>
      </c>
      <c r="D94" s="189" t="s">
        <v>198</v>
      </c>
      <c r="E94" s="615">
        <v>655089</v>
      </c>
      <c r="F94" s="618" t="s">
        <v>149</v>
      </c>
      <c r="G94" s="618" t="s">
        <v>149</v>
      </c>
      <c r="H94" s="618" t="s">
        <v>191</v>
      </c>
      <c r="I94" s="617"/>
      <c r="J94" s="620"/>
      <c r="K94" s="618"/>
      <c r="L94" s="618"/>
      <c r="O94" s="89"/>
    </row>
    <row r="95" spans="3:22" ht="14.1" customHeight="1">
      <c r="C95" s="69" t="s">
        <v>420</v>
      </c>
      <c r="D95" s="190" t="s">
        <v>199</v>
      </c>
      <c r="E95" s="615">
        <v>649364</v>
      </c>
      <c r="F95" s="618" t="s">
        <v>150</v>
      </c>
      <c r="G95" s="618"/>
      <c r="H95" s="618"/>
      <c r="I95" s="620"/>
      <c r="J95" s="616" t="s">
        <v>359</v>
      </c>
      <c r="K95" s="618" t="s">
        <v>150</v>
      </c>
      <c r="L95" s="618"/>
      <c r="O95" s="34"/>
      <c r="P95" s="34"/>
      <c r="Q95" s="34"/>
      <c r="R95" s="34"/>
      <c r="S95" s="34"/>
    </row>
    <row r="96" spans="3:22" ht="14.1" customHeight="1">
      <c r="C96" s="543" t="s">
        <v>421</v>
      </c>
      <c r="D96" s="191" t="s">
        <v>200</v>
      </c>
      <c r="E96" s="615">
        <v>700872</v>
      </c>
      <c r="F96" s="618"/>
      <c r="G96" s="618"/>
      <c r="H96" s="618"/>
      <c r="I96" s="618" t="s">
        <v>150</v>
      </c>
      <c r="J96" s="618"/>
      <c r="K96" s="618" t="s">
        <v>149</v>
      </c>
      <c r="L96" s="618" t="s">
        <v>149</v>
      </c>
      <c r="O96" s="89"/>
    </row>
    <row r="97" spans="3:15" ht="14.1" customHeight="1">
      <c r="C97" s="543" t="s">
        <v>422</v>
      </c>
      <c r="D97" s="552" t="s">
        <v>202</v>
      </c>
      <c r="E97" s="631">
        <v>703861</v>
      </c>
      <c r="F97" s="645"/>
      <c r="G97" s="618"/>
      <c r="H97" s="618" t="s">
        <v>150</v>
      </c>
      <c r="I97" s="618" t="s">
        <v>150</v>
      </c>
      <c r="J97" s="618"/>
      <c r="K97" s="618" t="s">
        <v>149</v>
      </c>
      <c r="L97" s="618" t="s">
        <v>149</v>
      </c>
      <c r="O97" s="89"/>
    </row>
    <row r="98" spans="3:15" ht="14.1" customHeight="1">
      <c r="C98" s="543" t="s">
        <v>423</v>
      </c>
      <c r="D98" s="192" t="s">
        <v>204</v>
      </c>
      <c r="E98" s="615">
        <v>652868</v>
      </c>
      <c r="F98" s="624" t="s">
        <v>150</v>
      </c>
      <c r="G98" s="618" t="s">
        <v>167</v>
      </c>
      <c r="H98" s="620"/>
      <c r="I98" s="693" t="s">
        <v>192</v>
      </c>
      <c r="J98" s="618" t="s">
        <v>192</v>
      </c>
      <c r="K98" s="618" t="s">
        <v>192</v>
      </c>
      <c r="L98" s="693" t="s">
        <v>192</v>
      </c>
      <c r="O98" s="89"/>
    </row>
    <row r="99" spans="3:15" ht="14.1" customHeight="1">
      <c r="C99" s="543" t="s">
        <v>424</v>
      </c>
      <c r="D99" s="189" t="s">
        <v>205</v>
      </c>
      <c r="E99" s="615">
        <v>652998</v>
      </c>
      <c r="F99" s="620"/>
      <c r="G99" s="624" t="s">
        <v>528</v>
      </c>
      <c r="H99" s="617" t="s">
        <v>115</v>
      </c>
      <c r="I99" s="619"/>
      <c r="J99" s="617"/>
      <c r="K99" s="617"/>
      <c r="L99" s="617"/>
      <c r="M99" s="56" t="s">
        <v>115</v>
      </c>
      <c r="O99" s="89"/>
    </row>
    <row r="100" spans="3:15" ht="14.1" customHeight="1">
      <c r="C100" s="543" t="s">
        <v>425</v>
      </c>
      <c r="D100" s="193" t="s">
        <v>206</v>
      </c>
      <c r="E100" s="631">
        <v>654959</v>
      </c>
      <c r="F100" s="618" t="s">
        <v>150</v>
      </c>
      <c r="G100" s="616" t="s">
        <v>490</v>
      </c>
      <c r="H100" s="618"/>
      <c r="I100" s="618" t="s">
        <v>149</v>
      </c>
      <c r="J100" s="618" t="s">
        <v>149</v>
      </c>
      <c r="K100" s="617"/>
      <c r="L100" s="617"/>
      <c r="O100" s="89"/>
    </row>
    <row r="101" spans="3:15" ht="14.1" customHeight="1">
      <c r="C101" s="85" t="s">
        <v>426</v>
      </c>
      <c r="D101" s="551" t="s">
        <v>207</v>
      </c>
      <c r="E101" s="615">
        <v>654981</v>
      </c>
      <c r="F101" s="618" t="s">
        <v>191</v>
      </c>
      <c r="G101" s="620"/>
      <c r="H101" s="618"/>
      <c r="I101" s="618" t="s">
        <v>149</v>
      </c>
      <c r="J101" s="618" t="s">
        <v>149</v>
      </c>
      <c r="K101" s="617"/>
      <c r="L101" s="617"/>
      <c r="O101" s="89"/>
    </row>
    <row r="102" spans="3:15" ht="14.1" customHeight="1">
      <c r="C102" s="85" t="s">
        <v>427</v>
      </c>
      <c r="D102" s="553" t="s">
        <v>208</v>
      </c>
      <c r="E102" s="615">
        <v>703795</v>
      </c>
      <c r="F102" s="620"/>
      <c r="G102" s="624" t="s">
        <v>160</v>
      </c>
      <c r="H102" s="617"/>
      <c r="I102" s="618" t="s">
        <v>191</v>
      </c>
      <c r="J102" s="618"/>
      <c r="K102" s="620"/>
      <c r="L102" s="620"/>
      <c r="O102" s="89"/>
    </row>
    <row r="103" spans="3:15" ht="14.1" customHeight="1">
      <c r="C103" s="730" t="s">
        <v>428</v>
      </c>
      <c r="D103" s="551" t="s">
        <v>209</v>
      </c>
      <c r="E103" s="615">
        <v>652364</v>
      </c>
      <c r="F103" s="618"/>
      <c r="G103" s="618"/>
      <c r="H103" s="618" t="s">
        <v>150</v>
      </c>
      <c r="I103" s="618"/>
      <c r="J103" s="618" t="s">
        <v>192</v>
      </c>
      <c r="K103" s="618" t="s">
        <v>192</v>
      </c>
      <c r="L103" s="618" t="s">
        <v>192</v>
      </c>
      <c r="O103" s="89"/>
    </row>
    <row r="104" spans="3:15" ht="14.1" customHeight="1">
      <c r="C104" s="543" t="s">
        <v>429</v>
      </c>
      <c r="D104" s="551" t="s">
        <v>210</v>
      </c>
      <c r="E104" s="615">
        <v>644433</v>
      </c>
      <c r="F104" s="618" t="s">
        <v>192</v>
      </c>
      <c r="G104" s="618" t="s">
        <v>192</v>
      </c>
      <c r="H104" s="618" t="s">
        <v>192</v>
      </c>
      <c r="I104" s="617"/>
      <c r="J104" s="617"/>
      <c r="K104" s="617"/>
      <c r="L104" s="617"/>
      <c r="O104" s="89"/>
    </row>
    <row r="105" spans="3:15" ht="14.1" customHeight="1">
      <c r="C105" s="87" t="s">
        <v>430</v>
      </c>
      <c r="D105" s="551" t="s">
        <v>211</v>
      </c>
      <c r="E105" s="615">
        <v>650602</v>
      </c>
      <c r="F105" s="617"/>
      <c r="G105" s="617"/>
      <c r="H105" s="617"/>
      <c r="I105" s="616" t="s">
        <v>574</v>
      </c>
      <c r="J105" s="616" t="s">
        <v>519</v>
      </c>
      <c r="K105" s="616" t="s">
        <v>442</v>
      </c>
      <c r="L105" s="616" t="s">
        <v>442</v>
      </c>
      <c r="O105" s="89"/>
    </row>
    <row r="106" spans="3:15" ht="14.1" customHeight="1">
      <c r="C106" s="87" t="s">
        <v>431</v>
      </c>
      <c r="D106" s="552" t="s">
        <v>212</v>
      </c>
      <c r="E106" s="631">
        <v>704893</v>
      </c>
      <c r="F106" s="618" t="s">
        <v>149</v>
      </c>
      <c r="G106" s="618" t="s">
        <v>150</v>
      </c>
      <c r="H106" s="617"/>
      <c r="I106" s="618" t="s">
        <v>149</v>
      </c>
      <c r="J106" s="618" t="s">
        <v>150</v>
      </c>
      <c r="K106" s="618" t="s">
        <v>150</v>
      </c>
      <c r="L106" s="618" t="s">
        <v>150</v>
      </c>
      <c r="O106" s="89"/>
    </row>
    <row r="107" spans="3:15" ht="14.1" customHeight="1">
      <c r="C107" s="87" t="s">
        <v>432</v>
      </c>
      <c r="D107" s="194" t="s">
        <v>214</v>
      </c>
      <c r="E107" s="615">
        <v>636733</v>
      </c>
      <c r="F107" s="618"/>
      <c r="G107" s="618"/>
      <c r="H107" s="617"/>
      <c r="I107" s="618"/>
      <c r="J107" s="616" t="s">
        <v>359</v>
      </c>
      <c r="K107" s="618" t="s">
        <v>191</v>
      </c>
      <c r="L107" s="618" t="s">
        <v>150</v>
      </c>
      <c r="O107" s="89"/>
    </row>
    <row r="108" spans="3:15" ht="14.1" customHeight="1">
      <c r="C108" s="69" t="s">
        <v>433</v>
      </c>
      <c r="D108" s="195" t="s">
        <v>216</v>
      </c>
      <c r="E108" s="200">
        <v>637770</v>
      </c>
      <c r="F108" s="254" t="s">
        <v>553</v>
      </c>
      <c r="G108" s="254"/>
      <c r="H108" s="254"/>
      <c r="I108" s="254"/>
      <c r="J108" s="254"/>
      <c r="K108" s="254"/>
      <c r="L108" s="254"/>
      <c r="O108" s="89"/>
    </row>
    <row r="109" spans="3:15" ht="14.1" customHeight="1">
      <c r="C109" s="543"/>
      <c r="D109" s="554"/>
      <c r="E109" s="166"/>
      <c r="F109" s="617"/>
      <c r="G109" s="617"/>
      <c r="H109" s="617"/>
      <c r="I109" s="617"/>
      <c r="J109" s="617"/>
      <c r="K109" s="617"/>
      <c r="L109" s="617"/>
      <c r="O109" s="89"/>
    </row>
    <row r="110" spans="3:15" ht="14.1" customHeight="1">
      <c r="C110" s="543"/>
      <c r="D110" s="554"/>
      <c r="E110" s="114"/>
      <c r="F110" s="760" t="s">
        <v>218</v>
      </c>
      <c r="G110" s="761"/>
      <c r="H110" s="761"/>
      <c r="I110" s="761"/>
      <c r="J110" s="761"/>
      <c r="K110" s="761"/>
      <c r="L110" s="762"/>
      <c r="O110" s="89"/>
    </row>
    <row r="111" spans="3:15" ht="14.1" customHeight="1">
      <c r="C111" s="555" t="s">
        <v>434</v>
      </c>
      <c r="D111" s="167" t="s">
        <v>219</v>
      </c>
      <c r="E111" s="633"/>
      <c r="F111" s="71">
        <f t="shared" ref="F111:L111" si="21">F4</f>
        <v>46118</v>
      </c>
      <c r="G111" s="71">
        <f t="shared" si="21"/>
        <v>46119</v>
      </c>
      <c r="H111" s="71">
        <f t="shared" si="21"/>
        <v>46120</v>
      </c>
      <c r="I111" s="71">
        <f t="shared" si="21"/>
        <v>46121</v>
      </c>
      <c r="J111" s="71">
        <f t="shared" si="21"/>
        <v>46122</v>
      </c>
      <c r="K111" s="71">
        <f t="shared" si="21"/>
        <v>46123</v>
      </c>
      <c r="L111" s="71">
        <f t="shared" si="21"/>
        <v>46124</v>
      </c>
      <c r="O111" s="89"/>
    </row>
    <row r="112" spans="3:15" ht="14.1" customHeight="1">
      <c r="C112" s="556" t="s">
        <v>435</v>
      </c>
      <c r="D112" s="557" t="s">
        <v>220</v>
      </c>
      <c r="E112" s="633">
        <v>654686</v>
      </c>
      <c r="F112" s="565" t="s">
        <v>223</v>
      </c>
      <c r="G112" s="303"/>
      <c r="H112" s="303"/>
      <c r="I112" s="303"/>
      <c r="J112" s="303" t="s">
        <v>149</v>
      </c>
      <c r="K112" s="565" t="s">
        <v>150</v>
      </c>
      <c r="L112" s="565" t="s">
        <v>150</v>
      </c>
      <c r="O112" s="89"/>
    </row>
    <row r="113" spans="3:15" ht="14.1" customHeight="1">
      <c r="C113" s="556" t="s">
        <v>436</v>
      </c>
      <c r="D113" s="557" t="s">
        <v>227</v>
      </c>
      <c r="E113" s="633">
        <v>700581</v>
      </c>
      <c r="F113" s="565"/>
      <c r="G113" s="565"/>
      <c r="H113" s="565" t="s">
        <v>150</v>
      </c>
      <c r="I113" s="565" t="s">
        <v>226</v>
      </c>
      <c r="J113" s="565"/>
      <c r="K113" s="565" t="s">
        <v>225</v>
      </c>
      <c r="L113" s="565" t="s">
        <v>149</v>
      </c>
      <c r="O113" s="89"/>
    </row>
    <row r="114" spans="3:15" ht="14.1" customHeight="1">
      <c r="C114" s="88" t="s">
        <v>437</v>
      </c>
      <c r="D114" s="557" t="s">
        <v>228</v>
      </c>
      <c r="E114" s="671">
        <v>700540</v>
      </c>
      <c r="F114" s="566" t="s">
        <v>229</v>
      </c>
      <c r="G114" s="566" t="s">
        <v>229</v>
      </c>
      <c r="H114" s="566"/>
      <c r="I114" s="566" t="s">
        <v>150</v>
      </c>
      <c r="J114" s="566" t="s">
        <v>150</v>
      </c>
      <c r="K114" s="566"/>
      <c r="L114" s="566"/>
      <c r="O114" s="89"/>
    </row>
    <row r="115" spans="3:15" ht="14.1" customHeight="1">
      <c r="C115" s="556" t="s">
        <v>590</v>
      </c>
      <c r="D115" s="557" t="s">
        <v>230</v>
      </c>
      <c r="E115" s="633">
        <v>646665</v>
      </c>
      <c r="F115" s="565" t="s">
        <v>224</v>
      </c>
      <c r="G115" s="565" t="s">
        <v>149</v>
      </c>
      <c r="H115" s="566" t="s">
        <v>149</v>
      </c>
      <c r="I115" s="648" t="s">
        <v>591</v>
      </c>
      <c r="J115" s="565"/>
      <c r="K115" s="565"/>
      <c r="L115" s="565"/>
      <c r="O115" s="89"/>
    </row>
    <row r="116" spans="3:15" ht="14.1" customHeight="1">
      <c r="C116" s="556" t="s">
        <v>439</v>
      </c>
      <c r="D116" s="557" t="s">
        <v>231</v>
      </c>
      <c r="E116" s="633">
        <v>654598</v>
      </c>
      <c r="F116" s="565" t="s">
        <v>221</v>
      </c>
      <c r="G116" s="565" t="s">
        <v>222</v>
      </c>
      <c r="H116" s="648" t="s">
        <v>592</v>
      </c>
      <c r="I116" s="648"/>
      <c r="J116" s="565"/>
      <c r="K116" s="565"/>
      <c r="L116" s="565"/>
      <c r="O116" s="89"/>
    </row>
    <row r="117" spans="3:15" ht="14.1" customHeight="1">
      <c r="C117" s="556" t="s">
        <v>440</v>
      </c>
      <c r="D117" s="557" t="s">
        <v>232</v>
      </c>
      <c r="E117" s="633">
        <v>700591</v>
      </c>
      <c r="F117" s="565" t="s">
        <v>593</v>
      </c>
      <c r="G117" s="565" t="s">
        <v>225</v>
      </c>
      <c r="H117" s="565" t="s">
        <v>149</v>
      </c>
      <c r="I117" s="565"/>
      <c r="J117" s="565" t="s">
        <v>226</v>
      </c>
      <c r="K117" s="565"/>
      <c r="L117" s="565"/>
      <c r="O117" s="89"/>
    </row>
    <row r="118" spans="3:15" ht="14.1" customHeight="1">
      <c r="C118" s="556" t="s">
        <v>441</v>
      </c>
      <c r="D118" s="557" t="s">
        <v>233</v>
      </c>
      <c r="E118" s="633">
        <v>700648</v>
      </c>
      <c r="F118" s="565" t="s">
        <v>150</v>
      </c>
      <c r="G118" s="565" t="s">
        <v>150</v>
      </c>
      <c r="H118" s="565"/>
      <c r="I118" s="565" t="s">
        <v>149</v>
      </c>
      <c r="J118" s="565" t="s">
        <v>224</v>
      </c>
      <c r="K118" s="565"/>
      <c r="L118" s="565"/>
      <c r="O118" s="89"/>
    </row>
    <row r="119" spans="3:15" ht="14.1" customHeight="1">
      <c r="C119" s="556" t="s">
        <v>443</v>
      </c>
      <c r="D119" s="557" t="s">
        <v>234</v>
      </c>
      <c r="E119" s="633">
        <v>700653</v>
      </c>
      <c r="F119" s="635"/>
      <c r="G119" s="635"/>
      <c r="H119" s="635"/>
      <c r="I119" s="635"/>
      <c r="J119" s="635"/>
      <c r="K119" s="635"/>
      <c r="L119" s="635"/>
      <c r="O119" s="89"/>
    </row>
    <row r="120" spans="3:15" ht="14.1" customHeight="1">
      <c r="C120" s="556" t="s">
        <v>444</v>
      </c>
      <c r="D120" s="557" t="s">
        <v>235</v>
      </c>
      <c r="E120" s="633">
        <v>700604</v>
      </c>
      <c r="F120" s="565"/>
      <c r="G120" s="565" t="s">
        <v>226</v>
      </c>
      <c r="H120" s="565"/>
      <c r="I120" s="565" t="s">
        <v>225</v>
      </c>
      <c r="J120" s="565"/>
      <c r="K120" s="565" t="s">
        <v>224</v>
      </c>
      <c r="L120" s="565" t="s">
        <v>225</v>
      </c>
      <c r="O120" s="89"/>
    </row>
    <row r="121" spans="3:15" ht="14.1" customHeight="1">
      <c r="C121" s="556" t="s">
        <v>445</v>
      </c>
      <c r="D121" s="557" t="s">
        <v>236</v>
      </c>
      <c r="E121" s="633">
        <v>655170</v>
      </c>
      <c r="F121" s="565" t="s">
        <v>150</v>
      </c>
      <c r="G121" s="565"/>
      <c r="H121" s="565" t="s">
        <v>224</v>
      </c>
      <c r="I121" s="565"/>
      <c r="J121" s="565"/>
      <c r="K121" s="565" t="s">
        <v>150</v>
      </c>
      <c r="L121" s="565" t="s">
        <v>226</v>
      </c>
      <c r="O121" s="89"/>
    </row>
    <row r="122" spans="3:15" ht="14.1" customHeight="1">
      <c r="C122" s="556" t="s">
        <v>446</v>
      </c>
      <c r="D122" s="557" t="s">
        <v>237</v>
      </c>
      <c r="E122" s="633">
        <v>703000</v>
      </c>
      <c r="F122" s="565" t="s">
        <v>149</v>
      </c>
      <c r="G122" s="565" t="s">
        <v>150</v>
      </c>
      <c r="H122" s="565" t="s">
        <v>150</v>
      </c>
      <c r="I122" s="565"/>
      <c r="J122" s="565" t="s">
        <v>225</v>
      </c>
      <c r="K122" s="565"/>
      <c r="L122" s="565"/>
      <c r="O122" s="89"/>
    </row>
    <row r="123" spans="3:15" ht="14.1" customHeight="1">
      <c r="C123" s="556" t="s">
        <v>447</v>
      </c>
      <c r="D123" s="557" t="s">
        <v>238</v>
      </c>
      <c r="E123" s="633">
        <v>702770</v>
      </c>
      <c r="F123" s="565" t="s">
        <v>149</v>
      </c>
      <c r="G123" s="578" t="s">
        <v>342</v>
      </c>
      <c r="H123" s="565"/>
      <c r="I123" s="565"/>
      <c r="J123" s="565"/>
      <c r="K123" s="565" t="s">
        <v>150</v>
      </c>
      <c r="L123" s="565" t="s">
        <v>150</v>
      </c>
      <c r="O123" s="89"/>
    </row>
    <row r="124" spans="3:15" ht="14.1" customHeight="1">
      <c r="C124" s="556" t="s">
        <v>448</v>
      </c>
      <c r="D124" s="557" t="s">
        <v>239</v>
      </c>
      <c r="E124" s="633">
        <v>704108</v>
      </c>
      <c r="F124" s="565" t="s">
        <v>222</v>
      </c>
      <c r="G124" s="565"/>
      <c r="H124" s="565"/>
      <c r="I124" s="565"/>
      <c r="J124" s="565" t="s">
        <v>529</v>
      </c>
      <c r="K124" s="578" t="s">
        <v>359</v>
      </c>
      <c r="L124" s="578" t="s">
        <v>531</v>
      </c>
      <c r="O124" s="89"/>
    </row>
    <row r="125" spans="3:15" ht="14.1" customHeight="1">
      <c r="C125" s="556" t="s">
        <v>449</v>
      </c>
      <c r="D125" s="557" t="s">
        <v>240</v>
      </c>
      <c r="E125" s="633">
        <v>700734</v>
      </c>
      <c r="F125" s="565"/>
      <c r="G125" s="565" t="s">
        <v>150</v>
      </c>
      <c r="H125" s="565"/>
      <c r="I125" s="565" t="s">
        <v>224</v>
      </c>
      <c r="J125" s="565"/>
      <c r="K125" s="565" t="s">
        <v>149</v>
      </c>
      <c r="L125" s="565" t="s">
        <v>224</v>
      </c>
      <c r="O125" s="89"/>
    </row>
    <row r="126" spans="3:15" ht="14.1" customHeight="1">
      <c r="C126" s="556" t="s">
        <v>450</v>
      </c>
      <c r="D126" s="557" t="s">
        <v>241</v>
      </c>
      <c r="E126" s="633">
        <v>702035</v>
      </c>
      <c r="F126" s="635"/>
      <c r="G126" s="635"/>
      <c r="H126" s="635"/>
      <c r="I126" s="635"/>
      <c r="J126" s="635"/>
      <c r="K126" s="635"/>
      <c r="L126" s="635"/>
      <c r="O126" s="89"/>
    </row>
    <row r="127" spans="3:15" ht="14.1" customHeight="1">
      <c r="C127" s="556" t="s">
        <v>451</v>
      </c>
      <c r="D127" s="557" t="s">
        <v>242</v>
      </c>
      <c r="E127" s="633">
        <v>702779</v>
      </c>
      <c r="F127" s="565"/>
      <c r="G127" s="565" t="s">
        <v>221</v>
      </c>
      <c r="H127" s="565" t="s">
        <v>222</v>
      </c>
      <c r="I127" s="565" t="s">
        <v>223</v>
      </c>
      <c r="J127" s="578" t="s">
        <v>442</v>
      </c>
      <c r="K127" s="565"/>
      <c r="L127" s="565"/>
      <c r="O127" s="89"/>
    </row>
    <row r="128" spans="3:15" ht="14.1" customHeight="1">
      <c r="C128" s="556" t="s">
        <v>452</v>
      </c>
      <c r="D128" s="557" t="s">
        <v>243</v>
      </c>
      <c r="E128" s="633">
        <v>641339</v>
      </c>
      <c r="F128" s="565"/>
      <c r="G128" s="565" t="s">
        <v>149</v>
      </c>
      <c r="H128" s="565" t="s">
        <v>150</v>
      </c>
      <c r="I128" s="565" t="s">
        <v>150</v>
      </c>
      <c r="J128" s="565"/>
      <c r="K128" s="565" t="s">
        <v>149</v>
      </c>
      <c r="L128" s="565"/>
      <c r="O128" s="89"/>
    </row>
    <row r="129" spans="3:15" ht="14.1" customHeight="1">
      <c r="C129" s="556" t="s">
        <v>453</v>
      </c>
      <c r="D129" s="557" t="s">
        <v>244</v>
      </c>
      <c r="E129" s="633">
        <v>703783</v>
      </c>
      <c r="F129" s="565" t="s">
        <v>226</v>
      </c>
      <c r="G129" s="565"/>
      <c r="H129" s="565" t="s">
        <v>229</v>
      </c>
      <c r="I129" s="565"/>
      <c r="J129" s="565" t="s">
        <v>150</v>
      </c>
      <c r="K129" s="565" t="s">
        <v>226</v>
      </c>
      <c r="L129" s="565" t="s">
        <v>150</v>
      </c>
      <c r="O129" s="89"/>
    </row>
    <row r="130" spans="3:15" ht="14.1" customHeight="1">
      <c r="C130" s="556" t="s">
        <v>454</v>
      </c>
      <c r="D130" s="557" t="s">
        <v>245</v>
      </c>
      <c r="E130" s="625">
        <v>702087</v>
      </c>
      <c r="F130" s="565"/>
      <c r="G130" s="565"/>
      <c r="H130" s="565"/>
      <c r="I130" s="565"/>
      <c r="J130" s="565"/>
      <c r="K130" s="565" t="s">
        <v>223</v>
      </c>
      <c r="L130" s="565" t="s">
        <v>222</v>
      </c>
      <c r="O130" s="89"/>
    </row>
    <row r="131" spans="3:15" ht="14.1" customHeight="1">
      <c r="C131" s="556" t="s">
        <v>455</v>
      </c>
      <c r="D131" s="558" t="s">
        <v>246</v>
      </c>
      <c r="E131" s="625">
        <v>705039</v>
      </c>
      <c r="F131" s="565"/>
      <c r="G131" s="578" t="s">
        <v>342</v>
      </c>
      <c r="H131" s="565" t="s">
        <v>150</v>
      </c>
      <c r="I131" s="565" t="s">
        <v>150</v>
      </c>
      <c r="J131" s="565" t="s">
        <v>150</v>
      </c>
      <c r="K131" s="565"/>
      <c r="L131" s="565"/>
      <c r="O131" s="89"/>
    </row>
    <row r="132" spans="3:15" ht="14.1" customHeight="1">
      <c r="C132" s="556" t="s">
        <v>456</v>
      </c>
      <c r="D132" s="557" t="s">
        <v>247</v>
      </c>
      <c r="E132" s="625">
        <v>703186</v>
      </c>
      <c r="F132" s="565" t="s">
        <v>150</v>
      </c>
      <c r="G132" s="565" t="s">
        <v>223</v>
      </c>
      <c r="H132" s="565" t="s">
        <v>222</v>
      </c>
      <c r="I132" s="565" t="s">
        <v>221</v>
      </c>
      <c r="J132" s="565"/>
      <c r="K132" s="565"/>
      <c r="L132" s="565"/>
      <c r="O132" s="89"/>
    </row>
    <row r="133" spans="3:15" ht="14.1" customHeight="1">
      <c r="C133" s="556" t="s">
        <v>458</v>
      </c>
      <c r="D133" s="557" t="s">
        <v>248</v>
      </c>
      <c r="E133" s="625">
        <v>703168</v>
      </c>
      <c r="F133" s="565"/>
      <c r="G133" s="565"/>
      <c r="H133" s="565" t="s">
        <v>226</v>
      </c>
      <c r="I133" s="565"/>
      <c r="J133" s="565" t="s">
        <v>221</v>
      </c>
      <c r="K133" s="565" t="s">
        <v>222</v>
      </c>
      <c r="L133" s="565" t="s">
        <v>222</v>
      </c>
      <c r="O133" s="89"/>
    </row>
    <row r="134" spans="3:15" ht="14.1" customHeight="1">
      <c r="C134" s="556" t="s">
        <v>459</v>
      </c>
      <c r="D134" s="557" t="s">
        <v>249</v>
      </c>
      <c r="E134" s="625">
        <v>703270</v>
      </c>
      <c r="F134" s="565" t="s">
        <v>150</v>
      </c>
      <c r="G134" s="565" t="s">
        <v>222</v>
      </c>
      <c r="H134" s="565" t="s">
        <v>221</v>
      </c>
      <c r="I134" s="565" t="s">
        <v>222</v>
      </c>
      <c r="J134" s="565"/>
      <c r="K134" s="565"/>
      <c r="L134" s="565"/>
      <c r="O134" s="89"/>
    </row>
    <row r="135" spans="3:15" ht="14.1" customHeight="1">
      <c r="C135" s="556" t="s">
        <v>460</v>
      </c>
      <c r="D135" s="558" t="s">
        <v>251</v>
      </c>
      <c r="E135" s="625">
        <v>702481</v>
      </c>
      <c r="F135" s="635"/>
      <c r="G135" s="635"/>
      <c r="H135" s="635"/>
      <c r="I135" s="635"/>
      <c r="J135" s="635"/>
      <c r="K135" s="635"/>
      <c r="L135" s="635"/>
      <c r="O135" s="89"/>
    </row>
    <row r="136" spans="3:15" ht="14.1" customHeight="1">
      <c r="C136" s="556" t="s">
        <v>461</v>
      </c>
      <c r="D136" s="558" t="s">
        <v>252</v>
      </c>
      <c r="E136" s="625">
        <v>700682</v>
      </c>
      <c r="F136" s="634"/>
      <c r="G136" s="634"/>
      <c r="H136" s="634"/>
      <c r="I136" s="634"/>
      <c r="J136" s="634"/>
      <c r="K136" s="634"/>
      <c r="L136" s="634"/>
      <c r="O136" s="89"/>
    </row>
    <row r="137" spans="3:15" ht="14.1" customHeight="1">
      <c r="C137" s="556" t="s">
        <v>462</v>
      </c>
      <c r="D137" s="558" t="s">
        <v>253</v>
      </c>
      <c r="E137" s="625">
        <v>700721</v>
      </c>
      <c r="F137" s="565"/>
      <c r="G137" s="565"/>
      <c r="H137" s="565" t="s">
        <v>225</v>
      </c>
      <c r="I137" s="565"/>
      <c r="J137" s="565" t="s">
        <v>223</v>
      </c>
      <c r="K137" s="565" t="s">
        <v>222</v>
      </c>
      <c r="L137" s="565" t="s">
        <v>221</v>
      </c>
      <c r="O137" s="89"/>
    </row>
    <row r="138" spans="3:15" ht="14.1" customHeight="1">
      <c r="C138" s="556" t="s">
        <v>463</v>
      </c>
      <c r="D138" s="558" t="s">
        <v>254</v>
      </c>
      <c r="E138" s="625">
        <v>703820</v>
      </c>
      <c r="F138" s="634"/>
      <c r="G138" s="634"/>
      <c r="H138" s="634"/>
      <c r="I138" s="634"/>
      <c r="J138" s="634"/>
      <c r="K138" s="634"/>
      <c r="L138" s="634"/>
      <c r="O138" s="89"/>
    </row>
    <row r="139" spans="3:15" ht="14.1" customHeight="1">
      <c r="C139" s="556" t="s">
        <v>464</v>
      </c>
      <c r="D139" s="558" t="s">
        <v>255</v>
      </c>
      <c r="E139" s="625">
        <v>703788</v>
      </c>
      <c r="F139" s="565" t="s">
        <v>222</v>
      </c>
      <c r="G139" s="565"/>
      <c r="H139" s="565"/>
      <c r="I139" s="565" t="s">
        <v>150</v>
      </c>
      <c r="J139" s="565" t="s">
        <v>150</v>
      </c>
      <c r="K139" s="565"/>
      <c r="L139" s="565" t="s">
        <v>149</v>
      </c>
      <c r="O139" s="89"/>
    </row>
    <row r="140" spans="3:15" ht="14.1" customHeight="1">
      <c r="C140" s="556" t="s">
        <v>465</v>
      </c>
      <c r="D140" s="558" t="s">
        <v>256</v>
      </c>
      <c r="E140" s="625">
        <v>700646</v>
      </c>
      <c r="F140" s="634"/>
      <c r="G140" s="634"/>
      <c r="H140" s="634"/>
      <c r="I140" s="634"/>
      <c r="J140" s="634"/>
      <c r="K140" s="634"/>
      <c r="L140" s="634"/>
      <c r="O140" s="89"/>
    </row>
    <row r="141" spans="3:15" ht="14.1" customHeight="1">
      <c r="C141" s="556" t="s">
        <v>466</v>
      </c>
      <c r="D141" s="558" t="s">
        <v>257</v>
      </c>
      <c r="E141" s="633">
        <v>655539</v>
      </c>
      <c r="F141" s="634"/>
      <c r="G141" s="634"/>
      <c r="H141" s="634"/>
      <c r="I141" s="634"/>
      <c r="J141" s="634"/>
      <c r="K141" s="634"/>
      <c r="L141" s="634"/>
      <c r="O141" s="89"/>
    </row>
    <row r="142" spans="3:15" ht="14.1" customHeight="1">
      <c r="C142" s="556" t="s">
        <v>467</v>
      </c>
      <c r="D142" s="559" t="s">
        <v>258</v>
      </c>
      <c r="E142" s="633">
        <v>653933</v>
      </c>
      <c r="F142" s="565"/>
      <c r="G142" s="565" t="s">
        <v>150</v>
      </c>
      <c r="H142" s="565"/>
      <c r="I142" s="565"/>
      <c r="J142" s="565" t="s">
        <v>222</v>
      </c>
      <c r="K142" s="565" t="s">
        <v>221</v>
      </c>
      <c r="L142" s="565" t="s">
        <v>223</v>
      </c>
      <c r="O142" s="89"/>
    </row>
    <row r="143" spans="3:15" ht="14.1" customHeight="1">
      <c r="C143" s="556" t="s">
        <v>594</v>
      </c>
      <c r="D143" s="559" t="s">
        <v>595</v>
      </c>
      <c r="E143" s="633"/>
      <c r="F143" s="566"/>
      <c r="G143" s="566"/>
      <c r="H143" s="566" t="s">
        <v>222</v>
      </c>
      <c r="I143" s="566" t="s">
        <v>222</v>
      </c>
      <c r="J143" s="566"/>
      <c r="K143" s="566"/>
      <c r="L143" s="566"/>
      <c r="O143" s="89"/>
    </row>
    <row r="144" spans="3:15" ht="14.1" customHeight="1">
      <c r="C144" s="556" t="s">
        <v>468</v>
      </c>
      <c r="D144" s="558" t="s">
        <v>259</v>
      </c>
      <c r="E144" s="636"/>
      <c r="F144" s="634"/>
      <c r="G144" s="634"/>
      <c r="H144" s="634"/>
      <c r="I144" s="634"/>
      <c r="J144" s="634"/>
      <c r="K144" s="634"/>
      <c r="L144" s="634"/>
      <c r="O144" s="89"/>
    </row>
    <row r="145" spans="3:15" ht="14.1" customHeight="1">
      <c r="C145" s="556"/>
      <c r="D145" s="286"/>
      <c r="E145" s="304"/>
      <c r="G145" s="566"/>
      <c r="H145" s="566"/>
      <c r="I145" s="566"/>
      <c r="J145" s="566"/>
      <c r="K145" s="566"/>
      <c r="L145" s="566"/>
      <c r="O145" s="89"/>
    </row>
    <row r="146" spans="3:15" ht="14.1" customHeight="1">
      <c r="C146" s="560" t="s">
        <v>472</v>
      </c>
      <c r="D146" s="462" t="s">
        <v>260</v>
      </c>
      <c r="E146" s="463"/>
      <c r="F146" s="210"/>
      <c r="G146" s="578"/>
      <c r="H146" s="578"/>
      <c r="I146" s="578"/>
      <c r="J146" s="578"/>
      <c r="K146" s="578"/>
      <c r="L146" s="578"/>
      <c r="O146" s="89"/>
    </row>
    <row r="147" spans="3:15" ht="14.1" customHeight="1">
      <c r="C147" s="561" t="s">
        <v>554</v>
      </c>
      <c r="D147" s="694" t="s">
        <v>555</v>
      </c>
      <c r="E147" s="695">
        <v>703323</v>
      </c>
      <c r="F147" s="269"/>
      <c r="G147" s="300" t="s">
        <v>153</v>
      </c>
      <c r="H147" s="261" t="s">
        <v>149</v>
      </c>
      <c r="I147" s="261" t="s">
        <v>561</v>
      </c>
      <c r="J147" s="261" t="s">
        <v>561</v>
      </c>
      <c r="K147" s="261" t="s">
        <v>149</v>
      </c>
      <c r="L147" s="262" t="s">
        <v>149</v>
      </c>
      <c r="O147" s="89"/>
    </row>
    <row r="148" spans="3:15" ht="14.1" customHeight="1">
      <c r="C148" s="561" t="s">
        <v>556</v>
      </c>
      <c r="D148" s="307" t="s">
        <v>557</v>
      </c>
      <c r="E148" s="308">
        <v>703564</v>
      </c>
      <c r="F148" s="269"/>
      <c r="G148" s="300" t="s">
        <v>153</v>
      </c>
      <c r="H148" s="261" t="s">
        <v>149</v>
      </c>
      <c r="I148" s="261" t="s">
        <v>149</v>
      </c>
      <c r="J148" s="261" t="s">
        <v>149</v>
      </c>
      <c r="K148" s="261" t="s">
        <v>561</v>
      </c>
      <c r="L148" s="262" t="s">
        <v>561</v>
      </c>
      <c r="O148" s="89"/>
    </row>
    <row r="149" spans="3:15" ht="14.1" customHeight="1">
      <c r="C149" s="561" t="s">
        <v>587</v>
      </c>
      <c r="D149" s="307" t="s">
        <v>559</v>
      </c>
      <c r="E149" s="308">
        <v>703800</v>
      </c>
      <c r="F149" s="270" t="s">
        <v>263</v>
      </c>
      <c r="G149" s="258" t="s">
        <v>263</v>
      </c>
      <c r="H149" s="258" t="s">
        <v>263</v>
      </c>
      <c r="I149" s="258" t="s">
        <v>263</v>
      </c>
      <c r="J149" s="258" t="s">
        <v>263</v>
      </c>
      <c r="K149" s="258" t="s">
        <v>263</v>
      </c>
      <c r="L149" s="259" t="s">
        <v>263</v>
      </c>
      <c r="O149" s="89"/>
    </row>
    <row r="150" spans="3:15" ht="14.1" customHeight="1">
      <c r="C150" s="561" t="s">
        <v>562</v>
      </c>
      <c r="D150" s="307" t="s">
        <v>563</v>
      </c>
      <c r="E150" s="308">
        <v>703321</v>
      </c>
      <c r="F150" s="270" t="s">
        <v>263</v>
      </c>
      <c r="G150" s="258" t="s">
        <v>263</v>
      </c>
      <c r="H150" s="258" t="s">
        <v>263</v>
      </c>
      <c r="I150" s="258" t="s">
        <v>263</v>
      </c>
      <c r="J150" s="258" t="s">
        <v>263</v>
      </c>
      <c r="K150" s="258" t="s">
        <v>263</v>
      </c>
      <c r="L150" s="259" t="s">
        <v>263</v>
      </c>
      <c r="O150" s="89"/>
    </row>
    <row r="151" spans="3:15" ht="14.1" customHeight="1">
      <c r="C151" s="561" t="s">
        <v>565</v>
      </c>
      <c r="D151" s="307" t="s">
        <v>566</v>
      </c>
      <c r="E151" s="308">
        <v>703351</v>
      </c>
      <c r="F151" s="271" t="s">
        <v>150</v>
      </c>
      <c r="G151" s="261" t="s">
        <v>561</v>
      </c>
      <c r="H151" s="261" t="s">
        <v>561</v>
      </c>
      <c r="I151" s="261" t="s">
        <v>222</v>
      </c>
      <c r="J151" s="261" t="s">
        <v>222</v>
      </c>
      <c r="K151" s="261" t="s">
        <v>222</v>
      </c>
      <c r="L151" s="262" t="s">
        <v>222</v>
      </c>
      <c r="O151" s="89"/>
    </row>
    <row r="152" spans="3:15" ht="14.1" customHeight="1">
      <c r="C152" s="561" t="s">
        <v>568</v>
      </c>
      <c r="D152" s="307" t="s">
        <v>569</v>
      </c>
      <c r="E152" s="308">
        <v>703574</v>
      </c>
      <c r="F152" s="271" t="s">
        <v>222</v>
      </c>
      <c r="G152" s="261" t="s">
        <v>222</v>
      </c>
      <c r="H152" s="261" t="s">
        <v>222</v>
      </c>
      <c r="I152" s="261" t="s">
        <v>561</v>
      </c>
      <c r="J152" s="261" t="s">
        <v>561</v>
      </c>
      <c r="K152" s="261" t="s">
        <v>561</v>
      </c>
      <c r="L152" s="262" t="s">
        <v>561</v>
      </c>
      <c r="O152" s="89"/>
    </row>
    <row r="153" spans="3:15" ht="14.1" customHeight="1">
      <c r="C153" s="561" t="s">
        <v>570</v>
      </c>
      <c r="D153" s="307" t="s">
        <v>571</v>
      </c>
      <c r="E153" s="308">
        <v>703354</v>
      </c>
      <c r="F153" s="271" t="s">
        <v>561</v>
      </c>
      <c r="G153" s="261" t="s">
        <v>149</v>
      </c>
      <c r="H153" s="261" t="s">
        <v>149</v>
      </c>
      <c r="I153" s="261" t="s">
        <v>561</v>
      </c>
      <c r="J153" s="261" t="s">
        <v>150</v>
      </c>
      <c r="K153" s="261" t="s">
        <v>150</v>
      </c>
      <c r="L153" s="262" t="s">
        <v>150</v>
      </c>
      <c r="O153" s="89"/>
    </row>
    <row r="154" spans="3:15" ht="14.1" customHeight="1">
      <c r="C154" s="561" t="s">
        <v>572</v>
      </c>
      <c r="D154" s="307" t="s">
        <v>573</v>
      </c>
      <c r="E154" s="308">
        <v>703547</v>
      </c>
      <c r="F154" s="271" t="s">
        <v>561</v>
      </c>
      <c r="G154" s="261" t="s">
        <v>150</v>
      </c>
      <c r="H154" s="261" t="s">
        <v>150</v>
      </c>
      <c r="I154" s="261" t="s">
        <v>150</v>
      </c>
      <c r="J154" s="261" t="s">
        <v>561</v>
      </c>
      <c r="K154" s="261" t="s">
        <v>561</v>
      </c>
      <c r="L154" s="262" t="s">
        <v>561</v>
      </c>
      <c r="O154" s="89"/>
    </row>
    <row r="155" spans="3:15" ht="14.1" customHeight="1">
      <c r="C155" s="561" t="s">
        <v>575</v>
      </c>
      <c r="D155" s="307" t="s">
        <v>576</v>
      </c>
      <c r="E155" s="308">
        <v>703356</v>
      </c>
      <c r="F155" s="271" t="s">
        <v>149</v>
      </c>
      <c r="G155" s="261" t="s">
        <v>149</v>
      </c>
      <c r="H155" s="261" t="s">
        <v>561</v>
      </c>
      <c r="I155" s="261" t="s">
        <v>561</v>
      </c>
      <c r="J155" s="261" t="s">
        <v>561</v>
      </c>
      <c r="K155" s="261" t="s">
        <v>561</v>
      </c>
      <c r="L155" s="262" t="s">
        <v>561</v>
      </c>
      <c r="O155" s="89"/>
    </row>
    <row r="156" spans="3:15" ht="14.1" customHeight="1">
      <c r="C156" s="561" t="s">
        <v>577</v>
      </c>
      <c r="D156" s="307" t="s">
        <v>578</v>
      </c>
      <c r="E156" s="308">
        <v>703476</v>
      </c>
      <c r="F156" s="272" t="s">
        <v>149</v>
      </c>
      <c r="G156" s="264" t="s">
        <v>150</v>
      </c>
      <c r="H156" s="264" t="s">
        <v>561</v>
      </c>
      <c r="I156" s="264" t="s">
        <v>149</v>
      </c>
      <c r="J156" s="264" t="s">
        <v>149</v>
      </c>
      <c r="K156" s="264" t="s">
        <v>150</v>
      </c>
      <c r="L156" s="265" t="s">
        <v>150</v>
      </c>
      <c r="O156" s="89"/>
    </row>
    <row r="157" spans="3:15" ht="14.1" customHeight="1">
      <c r="C157" s="561" t="s">
        <v>596</v>
      </c>
      <c r="D157" s="295" t="s">
        <v>545</v>
      </c>
      <c r="E157" s="308">
        <v>700626</v>
      </c>
      <c r="F157" s="296" t="s">
        <v>149</v>
      </c>
      <c r="G157" s="296" t="s">
        <v>149</v>
      </c>
      <c r="H157" s="296" t="s">
        <v>149</v>
      </c>
      <c r="I157" s="296" t="s">
        <v>149</v>
      </c>
      <c r="J157" s="296"/>
      <c r="K157" s="296"/>
      <c r="L157" s="296"/>
      <c r="O157" s="89"/>
    </row>
    <row r="158" spans="3:15" ht="14.1" customHeight="1">
      <c r="C158" s="561"/>
      <c r="D158" s="175"/>
      <c r="E158" s="114"/>
      <c r="F158" s="793" t="s">
        <v>275</v>
      </c>
      <c r="G158" s="794"/>
      <c r="H158" s="794"/>
      <c r="I158" s="794"/>
      <c r="J158" s="794"/>
      <c r="K158" s="794"/>
      <c r="L158" s="795"/>
      <c r="O158" s="89"/>
    </row>
    <row r="159" spans="3:15" ht="14.1" customHeight="1">
      <c r="D159" s="476"/>
      <c r="E159" s="477"/>
      <c r="F159" s="566"/>
      <c r="G159" s="566"/>
      <c r="H159" s="566"/>
      <c r="I159" s="566"/>
      <c r="J159" s="566"/>
      <c r="K159" s="566"/>
      <c r="L159" s="566"/>
      <c r="O159" s="89"/>
    </row>
    <row r="160" spans="3:15" ht="14.1" customHeight="1">
      <c r="D160" s="479"/>
      <c r="E160" s="477"/>
      <c r="F160" s="566"/>
      <c r="G160" s="566"/>
      <c r="H160" s="566"/>
      <c r="I160" s="566"/>
      <c r="J160" s="566"/>
      <c r="K160" s="566"/>
      <c r="L160" s="566"/>
      <c r="O160" s="89"/>
    </row>
    <row r="161" spans="3:15" ht="14.1" customHeight="1">
      <c r="C161" s="563" t="s">
        <v>488</v>
      </c>
      <c r="D161" s="479" t="s">
        <v>488</v>
      </c>
      <c r="E161" s="477"/>
      <c r="F161" s="566"/>
      <c r="G161" s="566"/>
      <c r="H161" s="566"/>
      <c r="I161" s="566"/>
      <c r="J161" s="566"/>
      <c r="K161" s="566"/>
      <c r="L161" s="566"/>
      <c r="O161" s="89"/>
    </row>
    <row r="162" spans="3:15" ht="14.1" customHeight="1">
      <c r="C162" s="563"/>
      <c r="D162" s="563"/>
      <c r="E162" s="477"/>
      <c r="F162" s="566"/>
      <c r="G162" s="566"/>
      <c r="H162" s="566"/>
      <c r="I162" s="566"/>
      <c r="J162" s="566"/>
      <c r="K162" s="566"/>
      <c r="L162" s="566"/>
      <c r="O162" s="89"/>
    </row>
    <row r="163" spans="3:15" ht="14.1" customHeight="1">
      <c r="C163" s="563"/>
      <c r="D163" s="563"/>
      <c r="E163" s="477"/>
      <c r="F163" s="566"/>
      <c r="G163" s="566"/>
      <c r="H163" s="566"/>
      <c r="I163" s="566"/>
      <c r="J163" s="566"/>
      <c r="K163" s="566"/>
      <c r="L163" s="566"/>
      <c r="O163" s="89"/>
    </row>
    <row r="164" spans="3:15" ht="14.1" customHeight="1">
      <c r="C164" s="563"/>
      <c r="D164" s="563"/>
      <c r="E164" s="477"/>
      <c r="F164" s="566"/>
      <c r="G164" s="566"/>
      <c r="H164" s="566"/>
      <c r="I164" s="566"/>
      <c r="J164" s="566"/>
      <c r="K164" s="566"/>
      <c r="L164" s="566"/>
      <c r="O164" s="89"/>
    </row>
    <row r="165" spans="3:15" ht="14.1" customHeight="1">
      <c r="C165" s="563"/>
      <c r="D165" s="563"/>
      <c r="E165" s="477"/>
      <c r="G165" s="566"/>
      <c r="H165" s="566"/>
      <c r="I165" s="566"/>
      <c r="J165" s="566"/>
      <c r="K165" s="566"/>
      <c r="L165" s="566"/>
      <c r="O165" s="89"/>
    </row>
    <row r="166" spans="3:15" ht="14.1" customHeight="1">
      <c r="C166" s="563"/>
      <c r="D166" s="563"/>
      <c r="E166" s="477"/>
      <c r="G166" s="566"/>
      <c r="H166" s="566"/>
      <c r="I166" s="566"/>
      <c r="J166" s="566"/>
      <c r="K166" s="566"/>
      <c r="L166" s="566"/>
      <c r="O166" s="89"/>
    </row>
    <row r="167" spans="3:15" ht="14.1" customHeight="1">
      <c r="C167" s="563"/>
      <c r="D167" s="563"/>
      <c r="E167" s="477"/>
      <c r="G167" s="566"/>
      <c r="H167" s="566"/>
      <c r="I167" s="566"/>
      <c r="J167" s="566"/>
      <c r="K167" s="566"/>
      <c r="L167" s="566"/>
      <c r="O167" s="89"/>
    </row>
    <row r="168" spans="3:15" ht="14.1" customHeight="1">
      <c r="C168" s="563"/>
      <c r="D168" s="563"/>
      <c r="E168" s="477"/>
      <c r="F168" s="210"/>
      <c r="G168" s="578"/>
      <c r="H168" s="578"/>
      <c r="I168" s="578"/>
      <c r="J168" s="578"/>
      <c r="K168" s="578"/>
      <c r="L168" s="578"/>
      <c r="O168" s="89"/>
    </row>
    <row r="169" spans="3:15" ht="14.1" customHeight="1">
      <c r="C169" s="538" t="s">
        <v>1</v>
      </c>
      <c r="D169" s="538" t="s">
        <v>1</v>
      </c>
      <c r="E169" s="615"/>
      <c r="F169" s="565">
        <f t="shared" ref="F169:L169" si="22">COUNTIF(F6:F167,"0800-1730*")+COUNTIF(F6:F167,"0800-1800*")+COUNTIF(F6:F167,"0730-*")-COUNTIF(F6:F167,"*0800-1730 CS*")-COUNTIF(F6:F167,"*0800-1800 CS*")-COUNTIF(F6:F167,"*0800-1730 PHNW*")-COUNTIF(F6:F167,"*0800-1730 DEMT*")-COUNTIF(F6:F167,"*0800-1730 DD*")</f>
        <v>15</v>
      </c>
      <c r="G169" s="565">
        <f t="shared" si="22"/>
        <v>14</v>
      </c>
      <c r="H169" s="565">
        <f t="shared" si="22"/>
        <v>15</v>
      </c>
      <c r="I169" s="565">
        <f t="shared" si="22"/>
        <v>16</v>
      </c>
      <c r="J169" s="565">
        <f t="shared" si="22"/>
        <v>12</v>
      </c>
      <c r="K169" s="565">
        <f t="shared" si="22"/>
        <v>12</v>
      </c>
      <c r="L169" s="565">
        <f t="shared" si="22"/>
        <v>13</v>
      </c>
      <c r="O169" s="89"/>
    </row>
    <row r="170" spans="3:15" ht="14.1" customHeight="1">
      <c r="C170" s="538" t="s">
        <v>276</v>
      </c>
      <c r="D170" s="538" t="s">
        <v>276</v>
      </c>
      <c r="E170" s="615"/>
      <c r="F170" s="65">
        <f t="shared" ref="F170:L170" si="23">COUNTIF(F6:F167,"*SWA*")</f>
        <v>1</v>
      </c>
      <c r="G170" s="65">
        <f t="shared" si="23"/>
        <v>4</v>
      </c>
      <c r="H170" s="65">
        <f t="shared" si="23"/>
        <v>2</v>
      </c>
      <c r="I170" s="65">
        <f t="shared" si="23"/>
        <v>0</v>
      </c>
      <c r="J170" s="65">
        <f t="shared" si="23"/>
        <v>1</v>
      </c>
      <c r="K170" s="65">
        <f t="shared" si="23"/>
        <v>0</v>
      </c>
      <c r="L170" s="65">
        <f t="shared" si="23"/>
        <v>0</v>
      </c>
      <c r="O170" s="89"/>
    </row>
    <row r="171" spans="3:15" ht="14.1" customHeight="1">
      <c r="C171" s="538" t="s">
        <v>2</v>
      </c>
      <c r="D171" s="538" t="s">
        <v>2</v>
      </c>
      <c r="E171" s="615"/>
      <c r="F171" s="65">
        <f t="shared" ref="F171:L171" si="24">COUNTIF(F6:F167,"*1400-*")+COUNTIF(F6:F167,"*1430-*")</f>
        <v>16</v>
      </c>
      <c r="G171" s="65">
        <f t="shared" si="24"/>
        <v>13</v>
      </c>
      <c r="H171" s="65">
        <f t="shared" si="24"/>
        <v>15</v>
      </c>
      <c r="I171" s="65">
        <f t="shared" si="24"/>
        <v>15</v>
      </c>
      <c r="J171" s="65">
        <f t="shared" si="24"/>
        <v>12</v>
      </c>
      <c r="K171" s="65">
        <f t="shared" si="24"/>
        <v>14</v>
      </c>
      <c r="L171" s="65">
        <f t="shared" si="24"/>
        <v>13</v>
      </c>
      <c r="O171" s="89"/>
    </row>
    <row r="172" spans="3:15" ht="14.1" customHeight="1">
      <c r="C172" s="538" t="s">
        <v>277</v>
      </c>
      <c r="D172" s="538" t="s">
        <v>277</v>
      </c>
      <c r="E172" s="615"/>
      <c r="F172" s="65">
        <f t="shared" ref="F172:L172" si="25">COUNTIF(F7:F167,"*SWP*")</f>
        <v>0</v>
      </c>
      <c r="G172" s="65">
        <f t="shared" si="25"/>
        <v>2</v>
      </c>
      <c r="H172" s="65">
        <f t="shared" si="25"/>
        <v>0</v>
      </c>
      <c r="I172" s="65">
        <f t="shared" si="25"/>
        <v>0</v>
      </c>
      <c r="J172" s="65">
        <f t="shared" si="25"/>
        <v>1</v>
      </c>
      <c r="K172" s="65">
        <f t="shared" si="25"/>
        <v>0</v>
      </c>
      <c r="L172" s="65">
        <f t="shared" si="25"/>
        <v>0</v>
      </c>
      <c r="O172" s="89"/>
    </row>
    <row r="173" spans="3:15" ht="14.1" customHeight="1" thickBot="1">
      <c r="C173" s="941" t="s">
        <v>278</v>
      </c>
      <c r="D173" s="941" t="s">
        <v>278</v>
      </c>
      <c r="E173" s="615"/>
      <c r="F173" s="65">
        <f t="shared" ref="F173:L173" si="26">COUNTIF(F6:F167,"2300-*")</f>
        <v>9</v>
      </c>
      <c r="G173" s="65">
        <f t="shared" si="26"/>
        <v>9</v>
      </c>
      <c r="H173" s="65">
        <f t="shared" si="26"/>
        <v>9</v>
      </c>
      <c r="I173" s="65">
        <f t="shared" si="26"/>
        <v>9</v>
      </c>
      <c r="J173" s="65">
        <f t="shared" si="26"/>
        <v>8</v>
      </c>
      <c r="K173" s="65">
        <f t="shared" si="26"/>
        <v>9</v>
      </c>
      <c r="L173" s="65">
        <f t="shared" si="26"/>
        <v>8</v>
      </c>
      <c r="O173" s="89"/>
    </row>
    <row r="174" spans="3:15" ht="14.1" customHeight="1">
      <c r="C174" s="84"/>
      <c r="D174" s="556"/>
      <c r="E174" s="615"/>
      <c r="F174" s="65"/>
      <c r="G174" s="565"/>
      <c r="H174" s="565"/>
      <c r="I174" s="565"/>
      <c r="J174" s="565"/>
      <c r="K174" s="565"/>
      <c r="L174" s="565"/>
      <c r="O174" s="89"/>
    </row>
    <row r="175" spans="3:15" ht="14.1" customHeight="1">
      <c r="C175" s="50"/>
      <c r="D175" s="556" t="s">
        <v>489</v>
      </c>
      <c r="E175" s="615"/>
      <c r="G175" s="566"/>
      <c r="H175" s="566"/>
      <c r="I175" s="566"/>
      <c r="J175" s="566"/>
      <c r="K175" s="566"/>
      <c r="L175" s="566"/>
      <c r="O175" s="89"/>
    </row>
    <row r="176" spans="3:15" ht="14.1" customHeight="1">
      <c r="C176" s="50"/>
      <c r="D176" s="139" t="s">
        <v>157</v>
      </c>
      <c r="E176" s="615"/>
      <c r="F176" s="942"/>
      <c r="G176" s="942"/>
      <c r="H176" s="943"/>
      <c r="I176" s="942"/>
      <c r="J176" s="942"/>
      <c r="K176" s="942"/>
      <c r="L176" s="942"/>
      <c r="O176" s="89"/>
    </row>
    <row r="177" spans="3:15" ht="14.1" customHeight="1">
      <c r="C177" s="50"/>
      <c r="D177" s="182" t="s">
        <v>159</v>
      </c>
      <c r="E177" s="615">
        <v>628440</v>
      </c>
      <c r="F177" s="942"/>
      <c r="G177" s="942"/>
      <c r="H177" s="944" t="s">
        <v>279</v>
      </c>
      <c r="I177" s="942"/>
      <c r="J177" s="942"/>
      <c r="K177" s="942"/>
      <c r="L177" s="942"/>
      <c r="O177" s="89"/>
    </row>
    <row r="178" spans="3:15" ht="14.1" customHeight="1">
      <c r="C178" s="50"/>
      <c r="D178" s="183" t="s">
        <v>164</v>
      </c>
      <c r="E178" s="615">
        <v>653976</v>
      </c>
      <c r="F178" s="942"/>
      <c r="G178" s="942"/>
      <c r="H178" s="944" t="s">
        <v>279</v>
      </c>
      <c r="I178" s="942"/>
      <c r="J178" s="942"/>
      <c r="K178" s="942"/>
      <c r="L178" s="942"/>
      <c r="O178" s="89"/>
    </row>
    <row r="179" spans="3:15" ht="14.1" customHeight="1">
      <c r="C179" s="50"/>
      <c r="D179" s="184" t="s">
        <v>166</v>
      </c>
      <c r="E179" s="615">
        <v>654362</v>
      </c>
      <c r="F179" s="942"/>
      <c r="G179" s="942"/>
      <c r="H179" s="944" t="s">
        <v>279</v>
      </c>
      <c r="I179" s="942"/>
      <c r="J179" s="942"/>
      <c r="K179" s="942"/>
      <c r="L179" s="942"/>
      <c r="O179" s="89"/>
    </row>
    <row r="180" spans="3:15" ht="14.1" customHeight="1">
      <c r="C180" s="50"/>
      <c r="D180" s="184" t="s">
        <v>168</v>
      </c>
      <c r="E180" s="615">
        <v>615829</v>
      </c>
      <c r="F180" s="942"/>
      <c r="G180" s="942"/>
      <c r="H180" s="944" t="s">
        <v>280</v>
      </c>
      <c r="I180" s="942"/>
      <c r="J180" s="942"/>
      <c r="K180" s="942"/>
      <c r="L180" s="942"/>
      <c r="O180" s="89"/>
    </row>
    <row r="181" spans="3:15" ht="14.1" customHeight="1">
      <c r="C181" s="50"/>
      <c r="D181" s="934" t="s">
        <v>170</v>
      </c>
      <c r="E181" s="615">
        <v>619567</v>
      </c>
      <c r="F181" s="942"/>
      <c r="G181" s="942"/>
      <c r="H181" s="944" t="s">
        <v>280</v>
      </c>
      <c r="I181" s="942"/>
      <c r="J181" s="942"/>
      <c r="K181" s="942"/>
      <c r="L181" s="942"/>
      <c r="O181" s="89"/>
    </row>
    <row r="182" spans="3:15" ht="14.1" customHeight="1">
      <c r="C182" s="50"/>
      <c r="D182" s="183" t="s">
        <v>171</v>
      </c>
      <c r="E182" s="615">
        <v>626157</v>
      </c>
      <c r="F182" s="942"/>
      <c r="G182" s="942"/>
      <c r="H182" s="944" t="s">
        <v>281</v>
      </c>
      <c r="I182" s="942"/>
      <c r="J182" s="942"/>
      <c r="K182" s="942"/>
      <c r="L182" s="942"/>
      <c r="O182" s="89"/>
    </row>
    <row r="183" spans="3:15" ht="14.1" customHeight="1">
      <c r="C183" s="50"/>
      <c r="D183" s="185" t="s">
        <v>173</v>
      </c>
      <c r="E183" s="615">
        <v>645122</v>
      </c>
      <c r="F183" s="942"/>
      <c r="G183" s="942"/>
      <c r="H183" s="944" t="s">
        <v>281</v>
      </c>
      <c r="I183" s="942"/>
      <c r="J183" s="942"/>
      <c r="K183" s="942"/>
      <c r="L183" s="942"/>
      <c r="O183" s="89"/>
    </row>
    <row r="184" spans="3:15" ht="14.1" customHeight="1">
      <c r="C184" s="50"/>
      <c r="D184" s="182" t="s">
        <v>174</v>
      </c>
      <c r="E184" s="615">
        <v>615820</v>
      </c>
      <c r="F184" s="942"/>
      <c r="G184" s="942"/>
      <c r="H184" s="944" t="s">
        <v>282</v>
      </c>
      <c r="I184" s="942"/>
      <c r="J184" s="942"/>
      <c r="K184" s="942"/>
      <c r="L184" s="942"/>
      <c r="O184" s="89"/>
    </row>
    <row r="185" spans="3:15" ht="14.1" customHeight="1" thickBot="1">
      <c r="C185" s="50"/>
      <c r="D185" s="197" t="s">
        <v>175</v>
      </c>
      <c r="E185" s="615">
        <v>624174</v>
      </c>
      <c r="F185" s="942"/>
      <c r="G185" s="942"/>
      <c r="H185" s="945" t="s">
        <v>283</v>
      </c>
      <c r="I185" s="942"/>
      <c r="J185" s="942"/>
      <c r="K185" s="942"/>
      <c r="L185" s="942"/>
      <c r="O185" s="89"/>
    </row>
    <row r="186" spans="3:15" ht="14.1" customHeight="1">
      <c r="C186" s="50"/>
      <c r="D186" s="70" t="s">
        <v>176</v>
      </c>
      <c r="E186" s="625"/>
      <c r="F186" s="942"/>
      <c r="G186" s="942"/>
      <c r="H186" s="943"/>
      <c r="I186" s="942"/>
      <c r="J186" s="942"/>
      <c r="K186" s="942"/>
      <c r="L186" s="942"/>
      <c r="O186" s="89"/>
    </row>
    <row r="187" spans="3:15" ht="14.1" customHeight="1">
      <c r="C187" s="50"/>
      <c r="D187" s="546" t="s">
        <v>177</v>
      </c>
      <c r="E187" s="615">
        <v>637990</v>
      </c>
      <c r="F187" s="942"/>
      <c r="G187" s="942"/>
      <c r="H187" s="944" t="s">
        <v>279</v>
      </c>
      <c r="I187" s="942"/>
      <c r="J187" s="942"/>
      <c r="K187" s="942"/>
      <c r="L187" s="942"/>
      <c r="O187" s="89"/>
    </row>
    <row r="188" spans="3:15" ht="14.1" customHeight="1">
      <c r="C188" s="50"/>
      <c r="D188" s="184" t="s">
        <v>179</v>
      </c>
      <c r="E188" s="615">
        <v>652867</v>
      </c>
      <c r="F188" s="942"/>
      <c r="G188" s="942"/>
      <c r="H188" s="944" t="s">
        <v>279</v>
      </c>
      <c r="I188" s="942"/>
      <c r="J188" s="942"/>
      <c r="K188" s="942"/>
      <c r="L188" s="942"/>
      <c r="O188" s="89"/>
    </row>
    <row r="189" spans="3:15" ht="14.1" customHeight="1">
      <c r="C189" s="50"/>
      <c r="D189" s="547" t="s">
        <v>180</v>
      </c>
      <c r="E189" s="615">
        <v>638831</v>
      </c>
      <c r="F189" s="942"/>
      <c r="G189" s="942"/>
      <c r="H189" s="944" t="s">
        <v>279</v>
      </c>
      <c r="I189" s="942"/>
      <c r="J189" s="942"/>
      <c r="K189" s="942"/>
      <c r="L189" s="942"/>
      <c r="O189" s="89"/>
    </row>
    <row r="190" spans="3:15" ht="14.1" customHeight="1">
      <c r="C190" s="50"/>
      <c r="D190" s="548" t="s">
        <v>182</v>
      </c>
      <c r="E190" s="615">
        <v>631314</v>
      </c>
      <c r="F190" s="942"/>
      <c r="G190" s="942"/>
      <c r="H190" s="944" t="s">
        <v>281</v>
      </c>
      <c r="I190" s="942"/>
      <c r="J190" s="942"/>
      <c r="K190" s="942"/>
      <c r="L190" s="942"/>
      <c r="O190" s="89"/>
    </row>
    <row r="191" spans="3:15" ht="14.1" customHeight="1">
      <c r="C191" s="50"/>
      <c r="D191" s="548" t="s">
        <v>185</v>
      </c>
      <c r="E191" s="615">
        <v>631732</v>
      </c>
      <c r="F191" s="942"/>
      <c r="G191" s="942"/>
      <c r="H191" s="944" t="s">
        <v>281</v>
      </c>
      <c r="I191" s="942"/>
      <c r="J191" s="942"/>
      <c r="K191" s="942"/>
      <c r="L191" s="942"/>
      <c r="O191" s="89"/>
    </row>
    <row r="192" spans="3:15" ht="14.1" customHeight="1">
      <c r="C192" s="50"/>
      <c r="D192" s="549" t="s">
        <v>186</v>
      </c>
      <c r="E192" s="615">
        <v>634876</v>
      </c>
      <c r="F192" s="942"/>
      <c r="G192" s="942"/>
      <c r="H192" s="944" t="s">
        <v>281</v>
      </c>
      <c r="I192" s="942"/>
      <c r="J192" s="942"/>
      <c r="K192" s="942"/>
      <c r="L192" s="942"/>
      <c r="O192" s="89"/>
    </row>
    <row r="193" spans="3:15" ht="14.1" customHeight="1">
      <c r="C193" s="50"/>
      <c r="D193" s="946" t="s">
        <v>189</v>
      </c>
      <c r="E193" s="615"/>
      <c r="F193" s="942"/>
      <c r="G193" s="942"/>
      <c r="H193" s="943"/>
      <c r="I193" s="942"/>
      <c r="J193" s="942"/>
      <c r="K193" s="942"/>
      <c r="L193" s="942"/>
      <c r="O193" s="89"/>
    </row>
    <row r="194" spans="3:15" ht="14.1" customHeight="1">
      <c r="C194" s="50"/>
      <c r="D194" s="188" t="s">
        <v>190</v>
      </c>
      <c r="E194" s="615">
        <v>648620</v>
      </c>
      <c r="F194" s="942"/>
      <c r="G194" s="942"/>
      <c r="H194" s="944" t="s">
        <v>279</v>
      </c>
      <c r="I194" s="942"/>
      <c r="J194" s="942"/>
      <c r="K194" s="942"/>
      <c r="L194" s="942"/>
      <c r="O194" s="89"/>
    </row>
    <row r="195" spans="3:15" ht="14.1" customHeight="1">
      <c r="C195" s="50"/>
      <c r="D195" s="189" t="s">
        <v>193</v>
      </c>
      <c r="E195" s="615">
        <v>652357</v>
      </c>
      <c r="F195" s="942"/>
      <c r="G195" s="942"/>
      <c r="H195" s="944" t="s">
        <v>279</v>
      </c>
      <c r="I195" s="942"/>
      <c r="J195" s="942"/>
      <c r="K195" s="942"/>
      <c r="L195" s="942"/>
      <c r="O195" s="89"/>
    </row>
    <row r="196" spans="3:15" ht="14.1" customHeight="1">
      <c r="C196" s="50"/>
      <c r="D196" s="551" t="s">
        <v>196</v>
      </c>
      <c r="E196" s="631">
        <v>703714</v>
      </c>
      <c r="F196" s="942"/>
      <c r="G196" s="942"/>
      <c r="H196" s="944" t="s">
        <v>279</v>
      </c>
      <c r="I196" s="942"/>
      <c r="J196" s="942"/>
      <c r="K196" s="942"/>
      <c r="L196" s="942"/>
      <c r="O196" s="89"/>
    </row>
    <row r="197" spans="3:15" ht="14.1" customHeight="1">
      <c r="C197" s="50"/>
      <c r="D197" s="189" t="s">
        <v>198</v>
      </c>
      <c r="E197" s="615">
        <v>655089</v>
      </c>
      <c r="F197" s="942"/>
      <c r="G197" s="942"/>
      <c r="H197" s="944" t="s">
        <v>279</v>
      </c>
      <c r="I197" s="942"/>
      <c r="J197" s="942"/>
      <c r="K197" s="942"/>
      <c r="L197" s="942"/>
      <c r="O197" s="89"/>
    </row>
    <row r="198" spans="3:15" ht="14.1" customHeight="1">
      <c r="C198" s="50"/>
      <c r="D198" s="190" t="s">
        <v>199</v>
      </c>
      <c r="E198" s="615">
        <v>649364</v>
      </c>
      <c r="F198" s="942"/>
      <c r="G198" s="942"/>
      <c r="H198" s="944" t="s">
        <v>280</v>
      </c>
      <c r="I198" s="942"/>
      <c r="J198" s="942"/>
      <c r="K198" s="942"/>
      <c r="L198" s="942"/>
      <c r="O198" s="89"/>
    </row>
    <row r="199" spans="3:15" ht="14.1" customHeight="1">
      <c r="C199" s="50"/>
      <c r="D199" s="191" t="s">
        <v>200</v>
      </c>
      <c r="E199" s="615">
        <v>700872</v>
      </c>
      <c r="F199" s="942"/>
      <c r="G199" s="942"/>
      <c r="H199" s="944" t="s">
        <v>279</v>
      </c>
      <c r="I199" s="942"/>
      <c r="J199" s="942"/>
      <c r="K199" s="942"/>
      <c r="L199" s="942"/>
      <c r="O199" s="89"/>
    </row>
    <row r="200" spans="3:15" ht="14.1" customHeight="1">
      <c r="C200" s="50"/>
      <c r="D200" s="552" t="s">
        <v>202</v>
      </c>
      <c r="E200" s="631">
        <v>703861</v>
      </c>
      <c r="F200" s="942"/>
      <c r="G200" s="942"/>
      <c r="H200" s="944" t="s">
        <v>279</v>
      </c>
      <c r="I200" s="942"/>
      <c r="J200" s="942"/>
      <c r="K200" s="942"/>
      <c r="L200" s="942"/>
      <c r="O200" s="89"/>
    </row>
    <row r="201" spans="3:15" ht="14.1" customHeight="1">
      <c r="C201" s="50"/>
      <c r="D201" s="192" t="s">
        <v>204</v>
      </c>
      <c r="E201" s="615">
        <v>652868</v>
      </c>
      <c r="F201" s="942"/>
      <c r="G201" s="942"/>
      <c r="H201" s="944" t="s">
        <v>280</v>
      </c>
      <c r="I201" s="942"/>
      <c r="J201" s="942"/>
      <c r="K201" s="942"/>
      <c r="L201" s="942"/>
      <c r="O201" s="89"/>
    </row>
    <row r="202" spans="3:15" ht="14.1" customHeight="1">
      <c r="C202" s="50"/>
      <c r="D202" s="189" t="s">
        <v>205</v>
      </c>
      <c r="E202" s="615">
        <v>652998</v>
      </c>
      <c r="F202" s="942"/>
      <c r="G202" s="942"/>
      <c r="H202" s="944" t="s">
        <v>280</v>
      </c>
      <c r="I202" s="942"/>
      <c r="J202" s="942"/>
      <c r="K202" s="942"/>
      <c r="L202" s="942"/>
      <c r="O202" s="89"/>
    </row>
    <row r="203" spans="3:15" ht="14.1" customHeight="1">
      <c r="C203" s="50"/>
      <c r="D203" s="193" t="s">
        <v>206</v>
      </c>
      <c r="E203" s="631">
        <v>654959</v>
      </c>
      <c r="F203" s="942"/>
      <c r="G203" s="942"/>
      <c r="H203" s="944" t="s">
        <v>279</v>
      </c>
      <c r="I203" s="942"/>
      <c r="J203" s="942"/>
      <c r="K203" s="942"/>
      <c r="L203" s="942"/>
      <c r="O203" s="89"/>
    </row>
    <row r="204" spans="3:15" ht="14.1" customHeight="1">
      <c r="C204" s="50"/>
      <c r="D204" s="551" t="s">
        <v>207</v>
      </c>
      <c r="E204" s="615">
        <v>654981</v>
      </c>
      <c r="F204" s="942"/>
      <c r="G204" s="942"/>
      <c r="H204" s="944" t="s">
        <v>280</v>
      </c>
      <c r="I204" s="942"/>
      <c r="J204" s="942"/>
      <c r="K204" s="942"/>
      <c r="L204" s="942"/>
      <c r="O204" s="89"/>
    </row>
    <row r="205" spans="3:15" ht="14.1" customHeight="1">
      <c r="C205" s="50"/>
      <c r="D205" s="553" t="s">
        <v>208</v>
      </c>
      <c r="E205" s="615">
        <v>703795</v>
      </c>
      <c r="F205" s="942"/>
      <c r="G205" s="942"/>
      <c r="H205" s="944" t="s">
        <v>280</v>
      </c>
      <c r="I205" s="942"/>
      <c r="J205" s="942"/>
      <c r="K205" s="942"/>
      <c r="L205" s="942"/>
      <c r="O205" s="89"/>
    </row>
    <row r="206" spans="3:15" ht="14.1" customHeight="1">
      <c r="C206" s="50"/>
      <c r="D206" s="551" t="s">
        <v>209</v>
      </c>
      <c r="E206" s="615">
        <v>652364</v>
      </c>
      <c r="F206" s="942"/>
      <c r="G206" s="942"/>
      <c r="H206" s="944" t="s">
        <v>280</v>
      </c>
      <c r="I206" s="942"/>
      <c r="J206" s="942"/>
      <c r="K206" s="942"/>
      <c r="L206" s="942"/>
      <c r="O206" s="89"/>
    </row>
    <row r="207" spans="3:15" ht="14.1" customHeight="1">
      <c r="C207" s="50"/>
      <c r="D207" s="551" t="s">
        <v>210</v>
      </c>
      <c r="E207" s="615">
        <v>644433</v>
      </c>
      <c r="F207" s="942"/>
      <c r="G207" s="942"/>
      <c r="H207" s="944" t="s">
        <v>281</v>
      </c>
      <c r="I207" s="942"/>
      <c r="J207" s="942"/>
      <c r="K207" s="942"/>
      <c r="L207" s="942"/>
      <c r="O207" s="89"/>
    </row>
    <row r="208" spans="3:15" ht="14.1" customHeight="1">
      <c r="C208" s="50"/>
      <c r="D208" s="551" t="s">
        <v>211</v>
      </c>
      <c r="E208" s="615">
        <v>650602</v>
      </c>
      <c r="F208" s="942"/>
      <c r="G208" s="942"/>
      <c r="H208" s="944" t="s">
        <v>281</v>
      </c>
      <c r="I208" s="942"/>
      <c r="J208" s="942"/>
      <c r="K208" s="942"/>
      <c r="L208" s="942"/>
      <c r="O208" s="89"/>
    </row>
    <row r="209" spans="3:15" ht="14.1" customHeight="1">
      <c r="C209" s="50"/>
      <c r="D209" s="552" t="s">
        <v>212</v>
      </c>
      <c r="E209" s="631">
        <v>704893</v>
      </c>
      <c r="F209" s="942"/>
      <c r="G209" s="942"/>
      <c r="H209" s="944" t="s">
        <v>279</v>
      </c>
      <c r="I209" s="942"/>
      <c r="J209" s="942"/>
      <c r="K209" s="942"/>
      <c r="L209" s="942"/>
      <c r="O209" s="89"/>
    </row>
    <row r="210" spans="3:15" ht="14.1" customHeight="1">
      <c r="C210" s="50"/>
      <c r="D210" s="194" t="s">
        <v>214</v>
      </c>
      <c r="E210" s="615">
        <v>636733</v>
      </c>
      <c r="F210" s="942"/>
      <c r="G210" s="942"/>
      <c r="H210" s="944" t="s">
        <v>280</v>
      </c>
      <c r="I210" s="942"/>
      <c r="J210" s="942"/>
      <c r="K210" s="942"/>
      <c r="L210" s="942"/>
      <c r="O210" s="89"/>
    </row>
    <row r="211" spans="3:15" ht="14.1" customHeight="1">
      <c r="C211" s="50"/>
      <c r="D211" s="192" t="s">
        <v>216</v>
      </c>
      <c r="E211" s="200">
        <v>637770</v>
      </c>
      <c r="F211" s="942"/>
      <c r="G211" s="942"/>
      <c r="H211" s="944" t="s">
        <v>279</v>
      </c>
      <c r="I211" s="942"/>
      <c r="J211" s="942"/>
      <c r="K211" s="942"/>
      <c r="L211" s="942"/>
      <c r="O211" s="89"/>
    </row>
    <row r="212" spans="3:15" ht="14.1" customHeight="1">
      <c r="C212" s="50"/>
      <c r="D212" s="56"/>
      <c r="E212" s="82"/>
      <c r="G212" s="566"/>
      <c r="H212" s="566"/>
      <c r="I212" s="566"/>
      <c r="J212" s="566"/>
      <c r="K212" s="566"/>
      <c r="L212" s="566"/>
      <c r="O212" s="89"/>
    </row>
    <row r="213" spans="3:15" ht="14.1" customHeight="1">
      <c r="C213" s="564"/>
      <c r="D213" s="564"/>
      <c r="E213" s="82"/>
      <c r="G213" s="566"/>
      <c r="H213" s="566"/>
      <c r="I213" s="566"/>
      <c r="J213" s="566"/>
      <c r="K213" s="566"/>
      <c r="L213" s="566"/>
      <c r="O213" s="89"/>
    </row>
    <row r="214" spans="3:15" ht="14.1" customHeight="1">
      <c r="C214" s="564"/>
      <c r="D214" s="564"/>
      <c r="E214" s="82"/>
      <c r="G214" s="566"/>
      <c r="H214" s="566"/>
      <c r="I214" s="566"/>
      <c r="J214" s="566"/>
      <c r="K214" s="566"/>
      <c r="L214" s="566"/>
      <c r="O214" s="89"/>
    </row>
    <row r="215" spans="3:15" ht="14.1" customHeight="1">
      <c r="D215" s="56"/>
      <c r="E215" s="82"/>
      <c r="G215" s="566"/>
      <c r="H215" s="566"/>
      <c r="I215" s="566"/>
      <c r="J215" s="566"/>
      <c r="K215" s="566"/>
      <c r="L215" s="566"/>
      <c r="O215" s="89"/>
    </row>
    <row r="216" spans="3:15" ht="14.1" customHeight="1">
      <c r="C216" s="564"/>
      <c r="D216" s="564"/>
      <c r="E216" s="82"/>
      <c r="G216" s="566"/>
      <c r="H216" s="566"/>
      <c r="I216" s="566"/>
      <c r="J216" s="566"/>
      <c r="K216" s="566"/>
      <c r="L216" s="566"/>
      <c r="O216" s="89"/>
    </row>
    <row r="217" spans="3:15" ht="14.1" customHeight="1">
      <c r="C217" s="564"/>
      <c r="D217" s="564"/>
      <c r="E217" s="82"/>
      <c r="G217" s="566"/>
      <c r="H217" s="566"/>
      <c r="I217" s="566"/>
      <c r="J217" s="566"/>
      <c r="K217" s="566"/>
      <c r="L217" s="566"/>
      <c r="O217" s="89"/>
    </row>
    <row r="218" spans="3:15" ht="14.1" customHeight="1">
      <c r="D218" s="56"/>
      <c r="E218" s="82"/>
      <c r="G218" s="566"/>
      <c r="H218" s="566"/>
      <c r="I218" s="566"/>
      <c r="J218" s="566"/>
      <c r="K218" s="566"/>
      <c r="L218" s="566"/>
      <c r="O218" s="89"/>
    </row>
    <row r="219" spans="3:15" ht="14.1" customHeight="1">
      <c r="C219" s="564"/>
      <c r="D219" s="564"/>
      <c r="E219" s="82"/>
      <c r="G219" s="566"/>
      <c r="H219" s="566"/>
      <c r="I219" s="566"/>
      <c r="J219" s="566"/>
      <c r="K219" s="566"/>
      <c r="L219" s="566"/>
      <c r="O219" s="89"/>
    </row>
    <row r="220" spans="3:15" ht="14.1" customHeight="1">
      <c r="C220" s="564"/>
      <c r="D220" s="564"/>
      <c r="E220" s="82"/>
      <c r="G220" s="566"/>
      <c r="H220" s="566"/>
      <c r="I220" s="566"/>
      <c r="J220" s="566"/>
      <c r="K220" s="566"/>
      <c r="L220" s="566"/>
      <c r="O220" s="89"/>
    </row>
    <row r="221" spans="3:15" ht="14.1" customHeight="1">
      <c r="D221" s="56"/>
      <c r="E221" s="82"/>
      <c r="G221" s="566"/>
      <c r="H221" s="566"/>
      <c r="I221" s="566"/>
      <c r="J221" s="566"/>
      <c r="K221" s="566"/>
      <c r="L221" s="566"/>
      <c r="O221" s="89"/>
    </row>
    <row r="222" spans="3:15" ht="14.1" customHeight="1">
      <c r="C222" s="564"/>
      <c r="D222" s="564"/>
      <c r="E222" s="82"/>
      <c r="G222" s="566"/>
      <c r="H222" s="566"/>
      <c r="I222" s="566"/>
      <c r="J222" s="566"/>
      <c r="K222" s="566"/>
      <c r="L222" s="566"/>
      <c r="O222" s="89"/>
    </row>
    <row r="223" spans="3:15" ht="14.1" customHeight="1">
      <c r="C223" s="564"/>
      <c r="D223" s="564"/>
      <c r="E223" s="82"/>
      <c r="F223" s="65"/>
      <c r="G223" s="65"/>
      <c r="H223" s="65"/>
      <c r="I223" s="65"/>
      <c r="J223" s="65"/>
      <c r="K223" s="65"/>
      <c r="L223" s="65"/>
      <c r="O223" s="89"/>
    </row>
    <row r="224" spans="3:15" ht="14.1" customHeight="1">
      <c r="D224" s="56"/>
      <c r="E224" s="82"/>
      <c r="F224" s="65"/>
      <c r="G224" s="65"/>
      <c r="H224" s="65"/>
      <c r="I224" s="65"/>
      <c r="J224" s="65"/>
      <c r="K224" s="65"/>
      <c r="L224" s="65"/>
      <c r="O224" s="89"/>
    </row>
    <row r="225" spans="3:15" ht="14.1" customHeight="1">
      <c r="C225" s="564"/>
      <c r="D225" s="564"/>
      <c r="E225" s="82"/>
      <c r="F225" s="65"/>
      <c r="G225" s="65"/>
      <c r="H225" s="65"/>
      <c r="I225" s="65"/>
      <c r="J225" s="65"/>
      <c r="K225" s="65"/>
      <c r="L225" s="65"/>
      <c r="O225" s="89"/>
    </row>
    <row r="226" spans="3:15" ht="14.1" customHeight="1">
      <c r="C226" s="564"/>
      <c r="D226" s="564"/>
      <c r="E226" s="82"/>
      <c r="F226" s="65"/>
      <c r="G226" s="65"/>
      <c r="H226" s="65"/>
      <c r="I226" s="65"/>
      <c r="J226" s="65"/>
      <c r="K226" s="65"/>
      <c r="L226" s="65"/>
      <c r="O226" s="89"/>
    </row>
    <row r="227" spans="3:15" ht="14.1" customHeight="1">
      <c r="D227" s="56"/>
      <c r="E227" s="82"/>
      <c r="F227" s="65"/>
      <c r="G227" s="65"/>
      <c r="H227" s="65"/>
      <c r="I227" s="65"/>
      <c r="J227" s="65"/>
      <c r="K227" s="65"/>
      <c r="L227" s="65"/>
      <c r="O227" s="89"/>
    </row>
    <row r="228" spans="3:15" ht="14.1" customHeight="1">
      <c r="C228" s="564"/>
      <c r="D228" s="564"/>
      <c r="E228" s="82"/>
      <c r="F228" s="65"/>
      <c r="G228" s="565"/>
      <c r="H228" s="565"/>
      <c r="I228" s="565"/>
      <c r="J228" s="565"/>
      <c r="K228" s="565"/>
      <c r="L228" s="565"/>
      <c r="O228" s="89"/>
    </row>
    <row r="229" spans="3:15" ht="14.1" customHeight="1">
      <c r="C229" s="564"/>
      <c r="D229" s="564"/>
      <c r="E229" s="82"/>
      <c r="G229" s="66"/>
      <c r="H229" s="66"/>
      <c r="I229" s="66"/>
      <c r="J229" s="66"/>
      <c r="K229" s="566"/>
      <c r="L229" s="566"/>
      <c r="O229" s="89"/>
    </row>
    <row r="230" spans="3:15" ht="14.1" customHeight="1">
      <c r="D230" s="56"/>
      <c r="E230" s="82"/>
      <c r="G230" s="66"/>
      <c r="H230" s="66"/>
      <c r="I230" s="66"/>
      <c r="J230" s="66"/>
      <c r="K230" s="66"/>
      <c r="L230" s="66"/>
      <c r="O230" s="89"/>
    </row>
    <row r="231" spans="3:15" ht="14.1" customHeight="1">
      <c r="C231" s="564"/>
      <c r="D231" s="564"/>
      <c r="E231" s="82"/>
      <c r="G231" s="66"/>
      <c r="H231" s="66"/>
      <c r="I231" s="66"/>
      <c r="J231" s="66"/>
      <c r="K231" s="66"/>
      <c r="L231" s="66"/>
      <c r="O231" s="89"/>
    </row>
    <row r="232" spans="3:15" ht="14.1" customHeight="1">
      <c r="C232" s="564"/>
      <c r="D232" s="564"/>
      <c r="E232" s="82"/>
      <c r="G232" s="66"/>
      <c r="H232" s="66"/>
      <c r="I232" s="66"/>
      <c r="J232" s="66"/>
      <c r="K232" s="66"/>
      <c r="L232" s="66"/>
      <c r="O232" s="89"/>
    </row>
    <row r="233" spans="3:15" ht="14.1" customHeight="1">
      <c r="D233" s="56"/>
      <c r="E233" s="82"/>
      <c r="G233" s="66"/>
      <c r="H233" s="66"/>
      <c r="I233" s="66"/>
      <c r="J233" s="66"/>
      <c r="K233" s="66"/>
      <c r="L233" s="66"/>
      <c r="O233" s="89"/>
    </row>
    <row r="234" spans="3:15" ht="14.1" customHeight="1">
      <c r="C234" s="564"/>
      <c r="D234" s="564"/>
      <c r="E234" s="82"/>
      <c r="G234" s="66"/>
      <c r="H234" s="66"/>
      <c r="I234" s="66"/>
      <c r="J234" s="66"/>
      <c r="K234" s="66"/>
      <c r="L234" s="66"/>
      <c r="O234" s="89"/>
    </row>
    <row r="235" spans="3:15" ht="14.1" customHeight="1">
      <c r="C235" s="564"/>
      <c r="D235" s="564"/>
      <c r="E235" s="82"/>
      <c r="G235" s="66"/>
      <c r="H235" s="66"/>
      <c r="I235" s="66"/>
      <c r="J235" s="66"/>
      <c r="K235" s="66"/>
      <c r="L235" s="66"/>
      <c r="O235" s="567"/>
    </row>
    <row r="236" spans="3:15" ht="14.1" customHeight="1">
      <c r="D236" s="56"/>
      <c r="E236" s="82"/>
      <c r="G236" s="66"/>
      <c r="H236" s="66"/>
      <c r="I236" s="66"/>
      <c r="J236" s="66"/>
      <c r="K236" s="66"/>
      <c r="L236" s="66"/>
      <c r="O236" s="567"/>
    </row>
    <row r="237" spans="3:15" ht="14.1" customHeight="1">
      <c r="C237" s="564"/>
      <c r="D237" s="564"/>
      <c r="E237" s="82"/>
      <c r="G237" s="73"/>
      <c r="H237" s="66"/>
      <c r="I237" s="66"/>
      <c r="J237" s="66"/>
      <c r="K237" s="66"/>
      <c r="L237" s="66"/>
      <c r="O237" s="567"/>
    </row>
    <row r="238" spans="3:15" ht="14.1" customHeight="1">
      <c r="C238" s="564"/>
      <c r="D238" s="564"/>
      <c r="E238" s="82"/>
      <c r="G238" s="66"/>
      <c r="H238" s="66"/>
      <c r="I238" s="66"/>
      <c r="J238" s="66"/>
      <c r="K238" s="66"/>
      <c r="L238" s="66"/>
      <c r="O238" s="567"/>
    </row>
    <row r="239" spans="3:15" ht="14.1" customHeight="1">
      <c r="D239" s="56"/>
      <c r="E239" s="82"/>
      <c r="G239" s="66"/>
      <c r="H239" s="66"/>
      <c r="I239" s="66"/>
      <c r="J239" s="66"/>
      <c r="K239" s="66"/>
      <c r="L239" s="66"/>
      <c r="O239" s="567"/>
    </row>
    <row r="240" spans="3:15" ht="14.1" customHeight="1">
      <c r="C240" s="564"/>
      <c r="D240" s="564"/>
      <c r="E240" s="82"/>
      <c r="G240" s="74"/>
      <c r="H240" s="66"/>
      <c r="I240" s="66"/>
      <c r="J240" s="66"/>
      <c r="K240" s="66"/>
      <c r="L240" s="66"/>
      <c r="O240" s="567"/>
    </row>
    <row r="241" spans="3:15" ht="14.1" customHeight="1">
      <c r="C241" s="564"/>
      <c r="D241" s="564"/>
      <c r="E241" s="82"/>
      <c r="G241" s="66"/>
      <c r="H241" s="66"/>
      <c r="I241" s="66"/>
      <c r="J241" s="66"/>
      <c r="K241" s="66"/>
      <c r="L241" s="66"/>
      <c r="O241" s="567"/>
    </row>
    <row r="242" spans="3:15" ht="14.1" customHeight="1">
      <c r="D242" s="56"/>
      <c r="E242" s="82"/>
      <c r="G242" s="66"/>
      <c r="H242" s="66"/>
      <c r="I242" s="66"/>
      <c r="J242" s="66"/>
      <c r="K242" s="66"/>
      <c r="L242" s="66"/>
      <c r="O242" s="567"/>
    </row>
    <row r="243" spans="3:15" ht="14.1" customHeight="1">
      <c r="C243" s="564"/>
      <c r="D243" s="564"/>
      <c r="E243" s="82"/>
      <c r="G243" s="566"/>
      <c r="H243" s="566"/>
      <c r="I243" s="566"/>
      <c r="J243" s="566"/>
      <c r="K243" s="566"/>
      <c r="L243" s="566"/>
      <c r="O243" s="567"/>
    </row>
    <row r="244" spans="3:15" ht="14.1" customHeight="1">
      <c r="C244" s="564"/>
      <c r="D244" s="564"/>
      <c r="E244" s="82"/>
      <c r="G244" s="566"/>
      <c r="H244" s="566"/>
      <c r="I244" s="566"/>
      <c r="J244" s="566"/>
      <c r="K244" s="566"/>
      <c r="L244" s="566"/>
      <c r="O244" s="567"/>
    </row>
    <row r="245" spans="3:15" ht="14.1" customHeight="1">
      <c r="D245" s="56"/>
      <c r="E245" s="82"/>
      <c r="G245" s="566"/>
      <c r="H245" s="566"/>
      <c r="I245" s="566"/>
      <c r="J245" s="566"/>
      <c r="K245" s="566"/>
      <c r="L245" s="566"/>
      <c r="O245" s="567"/>
    </row>
    <row r="246" spans="3:15" ht="14.1" customHeight="1">
      <c r="C246" s="564"/>
      <c r="D246" s="564"/>
      <c r="E246" s="82"/>
      <c r="G246" s="566"/>
      <c r="H246" s="566"/>
      <c r="I246" s="566"/>
      <c r="J246" s="566"/>
      <c r="K246" s="566"/>
      <c r="L246" s="566"/>
      <c r="O246" s="567"/>
    </row>
    <row r="247" spans="3:15" ht="14.1" customHeight="1">
      <c r="C247" s="564"/>
      <c r="D247" s="564"/>
      <c r="E247" s="82"/>
      <c r="G247" s="566"/>
      <c r="H247" s="566"/>
      <c r="I247" s="566"/>
      <c r="J247" s="566"/>
      <c r="K247" s="566"/>
      <c r="L247" s="566"/>
      <c r="O247" s="567"/>
    </row>
    <row r="248" spans="3:15" ht="14.1" customHeight="1">
      <c r="D248" s="56"/>
      <c r="E248" s="82"/>
      <c r="G248" s="566"/>
      <c r="H248" s="566"/>
      <c r="I248" s="566"/>
      <c r="J248" s="566"/>
      <c r="K248" s="566"/>
      <c r="L248" s="566"/>
      <c r="O248" s="567"/>
    </row>
    <row r="249" spans="3:15" ht="14.1" customHeight="1">
      <c r="C249" s="564"/>
      <c r="D249" s="564"/>
      <c r="E249" s="82"/>
      <c r="G249" s="566"/>
      <c r="H249" s="566"/>
      <c r="I249" s="566"/>
      <c r="J249" s="566"/>
      <c r="K249" s="566"/>
      <c r="L249" s="566"/>
      <c r="O249" s="567"/>
    </row>
    <row r="250" spans="3:15" ht="14.1" customHeight="1">
      <c r="C250" s="564"/>
      <c r="D250" s="564"/>
      <c r="E250" s="82"/>
      <c r="G250" s="566"/>
      <c r="H250" s="566"/>
      <c r="I250" s="566"/>
      <c r="J250" s="566"/>
      <c r="K250" s="566"/>
      <c r="L250" s="566"/>
      <c r="O250" s="567"/>
    </row>
    <row r="251" spans="3:15" ht="14.1" customHeight="1">
      <c r="D251" s="56"/>
      <c r="E251" s="82"/>
      <c r="F251" s="65"/>
      <c r="G251" s="565"/>
      <c r="H251" s="565"/>
      <c r="I251" s="565"/>
      <c r="J251" s="565"/>
      <c r="K251" s="565"/>
      <c r="L251" s="565"/>
      <c r="O251" s="567"/>
    </row>
    <row r="252" spans="3:15" ht="14.1" customHeight="1">
      <c r="C252" s="564"/>
      <c r="D252" s="564"/>
      <c r="E252" s="82"/>
      <c r="F252" s="65"/>
      <c r="G252" s="565"/>
      <c r="H252" s="565"/>
      <c r="I252" s="565"/>
      <c r="J252" s="565"/>
      <c r="K252" s="565"/>
      <c r="L252" s="565"/>
      <c r="O252" s="567"/>
    </row>
    <row r="253" spans="3:15" ht="14.1" customHeight="1">
      <c r="C253" s="564"/>
      <c r="D253" s="564"/>
      <c r="E253" s="82"/>
      <c r="F253" s="65"/>
      <c r="G253" s="565"/>
      <c r="H253" s="565"/>
      <c r="I253" s="565"/>
      <c r="J253" s="565"/>
      <c r="K253" s="565"/>
      <c r="L253" s="565"/>
      <c r="O253" s="567"/>
    </row>
    <row r="254" spans="3:15" ht="14.1" customHeight="1">
      <c r="D254" s="56"/>
      <c r="E254" s="82"/>
      <c r="F254" s="65"/>
      <c r="G254" s="565"/>
      <c r="H254" s="565"/>
      <c r="I254" s="565"/>
      <c r="J254" s="565"/>
      <c r="K254" s="565"/>
      <c r="L254" s="565"/>
      <c r="O254" s="567"/>
    </row>
    <row r="255" spans="3:15" ht="14.1" customHeight="1">
      <c r="C255" s="564"/>
      <c r="D255" s="564"/>
      <c r="E255" s="82"/>
      <c r="F255" s="65"/>
      <c r="G255" s="565"/>
      <c r="H255" s="565"/>
      <c r="I255" s="565"/>
      <c r="J255" s="565"/>
      <c r="K255" s="565"/>
      <c r="L255" s="565"/>
      <c r="O255" s="567"/>
    </row>
    <row r="256" spans="3:15" ht="14.1" customHeight="1">
      <c r="D256" s="564"/>
      <c r="E256" s="82"/>
      <c r="F256" s="65"/>
      <c r="G256" s="565"/>
      <c r="H256" s="565"/>
      <c r="I256" s="565"/>
      <c r="J256" s="565"/>
      <c r="K256" s="565"/>
      <c r="L256" s="565"/>
      <c r="O256" s="567"/>
    </row>
    <row r="257" spans="4:15" ht="14.1" customHeight="1">
      <c r="D257" s="56"/>
      <c r="E257" s="82"/>
      <c r="F257" s="65"/>
      <c r="G257" s="565"/>
      <c r="H257" s="565"/>
      <c r="I257" s="565"/>
      <c r="J257" s="565"/>
      <c r="K257" s="565"/>
      <c r="L257" s="565"/>
      <c r="O257" s="567"/>
    </row>
    <row r="258" spans="4:15" ht="14.1" customHeight="1">
      <c r="D258" s="564"/>
      <c r="E258" s="82"/>
      <c r="F258" s="65"/>
      <c r="G258" s="565"/>
      <c r="H258" s="565"/>
      <c r="I258" s="565"/>
      <c r="J258" s="565"/>
      <c r="K258" s="565"/>
      <c r="L258" s="565"/>
      <c r="O258" s="567"/>
    </row>
    <row r="259" spans="4:15" ht="14.1" customHeight="1">
      <c r="D259" s="564"/>
      <c r="E259" s="82"/>
      <c r="F259" s="65"/>
      <c r="G259" s="565"/>
      <c r="H259" s="565"/>
      <c r="I259" s="565"/>
      <c r="J259" s="565"/>
      <c r="K259" s="565"/>
      <c r="L259" s="565"/>
      <c r="O259" s="567"/>
    </row>
    <row r="260" spans="4:15" ht="14.1" customHeight="1">
      <c r="D260" s="56"/>
      <c r="E260" s="82"/>
      <c r="F260" s="65"/>
      <c r="G260" s="565"/>
      <c r="H260" s="565"/>
      <c r="I260" s="565"/>
      <c r="J260" s="565"/>
      <c r="K260" s="565"/>
      <c r="L260" s="565"/>
      <c r="O260" s="567"/>
    </row>
    <row r="261" spans="4:15" ht="14.1" customHeight="1">
      <c r="D261" s="564"/>
      <c r="E261" s="82"/>
      <c r="F261" s="65"/>
      <c r="G261" s="565"/>
      <c r="H261" s="565"/>
      <c r="I261" s="565"/>
      <c r="J261" s="565"/>
      <c r="K261" s="565"/>
      <c r="L261" s="565"/>
      <c r="O261" s="567"/>
    </row>
    <row r="262" spans="4:15" ht="14.1" customHeight="1">
      <c r="D262" s="564"/>
      <c r="E262" s="82"/>
      <c r="F262" s="65"/>
      <c r="G262" s="565"/>
      <c r="H262" s="565"/>
      <c r="I262" s="565"/>
      <c r="J262" s="565"/>
      <c r="K262" s="565"/>
      <c r="L262" s="565"/>
      <c r="O262" s="567"/>
    </row>
    <row r="263" spans="4:15" ht="14.1" customHeight="1">
      <c r="D263" s="56"/>
      <c r="E263" s="82"/>
      <c r="F263" s="65"/>
      <c r="G263" s="565"/>
      <c r="H263" s="565"/>
      <c r="I263" s="565"/>
      <c r="J263" s="565"/>
      <c r="K263" s="565"/>
      <c r="L263" s="565"/>
      <c r="O263" s="567"/>
    </row>
    <row r="264" spans="4:15" ht="14.1" customHeight="1">
      <c r="D264" s="564"/>
      <c r="E264" s="82"/>
      <c r="F264" s="65"/>
      <c r="G264" s="565"/>
      <c r="H264" s="565"/>
      <c r="I264" s="565"/>
      <c r="J264" s="565"/>
      <c r="K264" s="565"/>
      <c r="L264" s="565"/>
      <c r="O264" s="567"/>
    </row>
    <row r="265" spans="4:15" ht="14.1" customHeight="1">
      <c r="D265" s="556"/>
      <c r="E265" s="82"/>
      <c r="F265" s="65"/>
      <c r="G265" s="565"/>
      <c r="H265" s="565"/>
      <c r="I265" s="565"/>
      <c r="J265" s="565"/>
      <c r="K265" s="565"/>
      <c r="L265" s="565"/>
      <c r="O265" s="567"/>
    </row>
    <row r="266" spans="4:15" ht="14.1" customHeight="1">
      <c r="D266" s="556"/>
      <c r="E266" s="82"/>
      <c r="F266" s="65"/>
      <c r="G266" s="565"/>
      <c r="H266" s="565"/>
      <c r="I266" s="565"/>
      <c r="J266" s="565"/>
      <c r="K266" s="565"/>
      <c r="L266" s="565"/>
      <c r="O266" s="567"/>
    </row>
    <row r="267" spans="4:15" ht="14.1" customHeight="1">
      <c r="D267" s="556"/>
      <c r="E267" s="82"/>
      <c r="F267" s="65"/>
      <c r="G267" s="565"/>
      <c r="H267" s="565"/>
      <c r="I267" s="565"/>
      <c r="J267" s="565"/>
      <c r="K267" s="565"/>
      <c r="L267" s="565"/>
      <c r="O267" s="567"/>
    </row>
    <row r="268" spans="4:15" ht="14.1" customHeight="1">
      <c r="D268" s="556"/>
      <c r="E268" s="82"/>
      <c r="F268" s="65"/>
      <c r="G268" s="565"/>
      <c r="H268" s="565"/>
      <c r="I268" s="565"/>
      <c r="J268" s="565"/>
      <c r="K268" s="565"/>
      <c r="L268" s="565"/>
      <c r="O268" s="567"/>
    </row>
    <row r="269" spans="4:15" ht="14.1" customHeight="1">
      <c r="D269" s="556"/>
      <c r="E269" s="82"/>
      <c r="F269" s="65"/>
      <c r="G269" s="565"/>
      <c r="H269" s="565"/>
      <c r="I269" s="565"/>
      <c r="J269" s="565"/>
      <c r="K269" s="565"/>
      <c r="L269" s="565"/>
      <c r="O269" s="567"/>
    </row>
    <row r="270" spans="4:15" ht="14.1" customHeight="1">
      <c r="D270" s="556"/>
      <c r="E270" s="82"/>
      <c r="F270" s="65"/>
      <c r="G270" s="565"/>
      <c r="H270" s="565"/>
      <c r="I270" s="565"/>
      <c r="J270" s="565"/>
      <c r="K270" s="565"/>
      <c r="L270" s="565"/>
      <c r="O270" s="567"/>
    </row>
    <row r="271" spans="4:15" ht="14.1" customHeight="1">
      <c r="D271" s="556"/>
      <c r="E271" s="82"/>
      <c r="F271" s="65"/>
      <c r="G271" s="565"/>
      <c r="H271" s="565"/>
      <c r="I271" s="565"/>
      <c r="J271" s="565"/>
      <c r="K271" s="565"/>
      <c r="L271" s="565"/>
      <c r="O271" s="567"/>
    </row>
    <row r="272" spans="4:15" ht="14.1" customHeight="1">
      <c r="D272" s="556"/>
      <c r="E272" s="82"/>
      <c r="F272" s="65"/>
      <c r="G272" s="565"/>
      <c r="H272" s="565"/>
      <c r="I272" s="565"/>
      <c r="J272" s="565"/>
      <c r="K272" s="565"/>
      <c r="L272" s="565"/>
      <c r="O272" s="567"/>
    </row>
    <row r="273" spans="4:15" ht="14.1" customHeight="1">
      <c r="D273" s="556"/>
      <c r="E273" s="82"/>
      <c r="F273" s="65"/>
      <c r="G273" s="565"/>
      <c r="H273" s="565"/>
      <c r="I273" s="565"/>
      <c r="J273" s="565"/>
      <c r="K273" s="565"/>
      <c r="L273" s="565"/>
      <c r="O273" s="567"/>
    </row>
    <row r="274" spans="4:15" ht="14.1" customHeight="1">
      <c r="D274" s="556"/>
      <c r="E274" s="82"/>
      <c r="F274" s="65"/>
      <c r="G274" s="565"/>
      <c r="H274" s="565"/>
      <c r="I274" s="565"/>
      <c r="J274" s="565"/>
      <c r="K274" s="565"/>
      <c r="L274" s="565"/>
      <c r="O274" s="567"/>
    </row>
    <row r="275" spans="4:15" ht="14.1" customHeight="1">
      <c r="D275" s="556"/>
      <c r="E275" s="82"/>
      <c r="F275" s="65"/>
      <c r="G275" s="565"/>
      <c r="H275" s="565"/>
      <c r="I275" s="565"/>
      <c r="J275" s="565"/>
      <c r="K275" s="565"/>
      <c r="L275" s="565"/>
      <c r="O275" s="567"/>
    </row>
    <row r="276" spans="4:15" ht="14.1" customHeight="1">
      <c r="D276" s="556"/>
      <c r="E276" s="82"/>
      <c r="F276" s="65"/>
      <c r="G276" s="565"/>
      <c r="H276" s="565"/>
      <c r="I276" s="565"/>
      <c r="J276" s="565"/>
      <c r="K276" s="565"/>
      <c r="L276" s="565"/>
      <c r="O276" s="567"/>
    </row>
    <row r="277" spans="4:15" ht="14.1" customHeight="1">
      <c r="D277" s="556"/>
      <c r="E277" s="82"/>
      <c r="F277" s="65"/>
      <c r="G277" s="565"/>
      <c r="H277" s="565"/>
      <c r="I277" s="565"/>
      <c r="J277" s="565"/>
      <c r="K277" s="565"/>
      <c r="L277" s="565"/>
      <c r="O277" s="567"/>
    </row>
    <row r="278" spans="4:15" ht="14.1" customHeight="1">
      <c r="D278" s="556"/>
      <c r="E278" s="568"/>
      <c r="F278" s="65"/>
      <c r="G278" s="565"/>
      <c r="H278" s="565"/>
      <c r="I278" s="565"/>
      <c r="J278" s="565"/>
      <c r="K278" s="565"/>
      <c r="L278" s="565"/>
      <c r="O278" s="567"/>
    </row>
    <row r="279" spans="4:15" ht="14.1" customHeight="1">
      <c r="D279" s="556"/>
      <c r="E279" s="568"/>
      <c r="F279" s="65"/>
      <c r="G279" s="565"/>
      <c r="H279" s="565"/>
      <c r="I279" s="565"/>
      <c r="J279" s="565"/>
      <c r="K279" s="565"/>
      <c r="L279" s="565"/>
      <c r="O279" s="567"/>
    </row>
    <row r="280" spans="4:15">
      <c r="D280" s="556"/>
      <c r="E280" s="568"/>
      <c r="F280" s="65"/>
      <c r="G280" s="565"/>
      <c r="H280" s="565"/>
      <c r="I280" s="565"/>
      <c r="J280" s="565"/>
      <c r="K280" s="565"/>
      <c r="L280" s="565"/>
      <c r="O280" s="567"/>
    </row>
    <row r="281" spans="4:15">
      <c r="D281" s="556"/>
      <c r="E281" s="568"/>
      <c r="F281" s="65"/>
      <c r="G281" s="565"/>
      <c r="H281" s="565"/>
      <c r="I281" s="565"/>
      <c r="J281" s="565"/>
      <c r="K281" s="565"/>
      <c r="L281" s="565"/>
      <c r="O281" s="567"/>
    </row>
    <row r="282" spans="4:15">
      <c r="D282" s="556"/>
      <c r="E282" s="568"/>
      <c r="F282" s="65"/>
      <c r="G282" s="565"/>
      <c r="H282" s="565"/>
      <c r="I282" s="565"/>
      <c r="J282" s="565"/>
      <c r="K282" s="565"/>
      <c r="L282" s="565"/>
      <c r="O282" s="567"/>
    </row>
    <row r="283" spans="4:15">
      <c r="D283" s="556"/>
      <c r="E283" s="568"/>
      <c r="F283" s="65"/>
      <c r="G283" s="565"/>
      <c r="H283" s="565"/>
      <c r="I283" s="565"/>
      <c r="J283" s="565"/>
      <c r="K283" s="565"/>
      <c r="L283" s="565"/>
      <c r="O283" s="567"/>
    </row>
    <row r="284" spans="4:15">
      <c r="D284" s="556"/>
      <c r="E284" s="568"/>
      <c r="F284" s="65"/>
      <c r="G284" s="565"/>
      <c r="H284" s="565"/>
      <c r="I284" s="565"/>
      <c r="J284" s="565"/>
      <c r="K284" s="565"/>
      <c r="L284" s="565"/>
      <c r="O284" s="567"/>
    </row>
    <row r="285" spans="4:15">
      <c r="D285" s="556"/>
      <c r="E285" s="568"/>
      <c r="F285" s="65"/>
      <c r="G285" s="565"/>
      <c r="H285" s="565"/>
      <c r="I285" s="565"/>
      <c r="J285" s="565"/>
      <c r="K285" s="565"/>
      <c r="L285" s="565"/>
      <c r="O285" s="567"/>
    </row>
    <row r="286" spans="4:15">
      <c r="D286" s="556"/>
      <c r="E286" s="568"/>
      <c r="F286" s="65"/>
      <c r="G286" s="565"/>
      <c r="H286" s="565"/>
      <c r="I286" s="565"/>
      <c r="J286" s="565"/>
      <c r="K286" s="565"/>
      <c r="L286" s="565"/>
      <c r="O286" s="567"/>
    </row>
    <row r="287" spans="4:15">
      <c r="D287" s="556"/>
      <c r="E287" s="568"/>
      <c r="F287" s="65"/>
      <c r="G287" s="565"/>
      <c r="H287" s="565"/>
      <c r="I287" s="565"/>
      <c r="J287" s="565"/>
      <c r="K287" s="565"/>
      <c r="L287" s="565"/>
      <c r="O287" s="567"/>
    </row>
    <row r="288" spans="4:15">
      <c r="D288" s="556"/>
      <c r="E288" s="568"/>
      <c r="F288" s="65"/>
      <c r="G288" s="565"/>
      <c r="H288" s="565"/>
      <c r="I288" s="565"/>
      <c r="J288" s="565"/>
      <c r="K288" s="565"/>
      <c r="L288" s="565"/>
      <c r="O288" s="567"/>
    </row>
    <row r="289" spans="4:15">
      <c r="D289" s="556"/>
      <c r="E289" s="568"/>
      <c r="F289" s="65"/>
      <c r="G289" s="565"/>
      <c r="H289" s="565"/>
      <c r="I289" s="565"/>
      <c r="J289" s="565"/>
      <c r="K289" s="565"/>
      <c r="L289" s="565"/>
      <c r="O289" s="567"/>
    </row>
    <row r="290" spans="4:15">
      <c r="D290" s="556"/>
      <c r="E290" s="568"/>
      <c r="F290" s="65"/>
      <c r="G290" s="565"/>
      <c r="H290" s="565"/>
      <c r="I290" s="565"/>
      <c r="J290" s="565"/>
      <c r="K290" s="565"/>
      <c r="L290" s="565"/>
      <c r="O290" s="567"/>
    </row>
    <row r="291" spans="4:15">
      <c r="D291" s="556"/>
      <c r="E291" s="568"/>
      <c r="F291" s="65"/>
      <c r="G291" s="565"/>
      <c r="H291" s="565"/>
      <c r="I291" s="565"/>
      <c r="J291" s="565"/>
      <c r="K291" s="565"/>
      <c r="L291" s="565"/>
      <c r="O291" s="567"/>
    </row>
  </sheetData>
  <sheetProtection sheet="1" formatCells="0" formatColumns="0" formatRows="0" insertColumns="0" insertRows="0"/>
  <mergeCells count="94">
    <mergeCell ref="O36:U36"/>
    <mergeCell ref="F158:L158"/>
    <mergeCell ref="P28:P31"/>
    <mergeCell ref="O28:O31"/>
    <mergeCell ref="Q28:Q31"/>
    <mergeCell ref="R28:R31"/>
    <mergeCell ref="N77:N78"/>
    <mergeCell ref="O77:O78"/>
    <mergeCell ref="P77:P78"/>
    <mergeCell ref="Q77:Q78"/>
    <mergeCell ref="R77:R78"/>
    <mergeCell ref="O50:O51"/>
    <mergeCell ref="P50:P51"/>
    <mergeCell ref="Q50:Q51"/>
    <mergeCell ref="R50:R51"/>
    <mergeCell ref="F110:L110"/>
    <mergeCell ref="O42:O48"/>
    <mergeCell ref="P42:P48"/>
    <mergeCell ref="Q42:Q48"/>
    <mergeCell ref="R42:R48"/>
    <mergeCell ref="N60:N63"/>
    <mergeCell ref="O60:O63"/>
    <mergeCell ref="P60:P63"/>
    <mergeCell ref="Q60:Q63"/>
    <mergeCell ref="N50:N51"/>
    <mergeCell ref="N42:N48"/>
    <mergeCell ref="N67:N75"/>
    <mergeCell ref="W49:W50"/>
    <mergeCell ref="S60:S63"/>
    <mergeCell ref="T60:T63"/>
    <mergeCell ref="S50:S51"/>
    <mergeCell ref="T50:T51"/>
    <mergeCell ref="U50:U51"/>
    <mergeCell ref="W36:W40"/>
    <mergeCell ref="T42:T48"/>
    <mergeCell ref="U42:U48"/>
    <mergeCell ref="W41:W46"/>
    <mergeCell ref="S19:S20"/>
    <mergeCell ref="T19:T20"/>
    <mergeCell ref="U19:U20"/>
    <mergeCell ref="T21:T27"/>
    <mergeCell ref="U21:U27"/>
    <mergeCell ref="W21:W27"/>
    <mergeCell ref="W28:W30"/>
    <mergeCell ref="S21:S27"/>
    <mergeCell ref="S28:S31"/>
    <mergeCell ref="T28:T31"/>
    <mergeCell ref="U28:U31"/>
    <mergeCell ref="S42:S48"/>
    <mergeCell ref="N19:N20"/>
    <mergeCell ref="O19:O20"/>
    <mergeCell ref="P19:P20"/>
    <mergeCell ref="Q19:Q20"/>
    <mergeCell ref="R19:R20"/>
    <mergeCell ref="F2:L2"/>
    <mergeCell ref="O2:U2"/>
    <mergeCell ref="O5:U5"/>
    <mergeCell ref="N11:N17"/>
    <mergeCell ref="O11:O17"/>
    <mergeCell ref="P11:P17"/>
    <mergeCell ref="Q11:Q17"/>
    <mergeCell ref="R11:R17"/>
    <mergeCell ref="S11:S17"/>
    <mergeCell ref="T11:T17"/>
    <mergeCell ref="U11:U17"/>
    <mergeCell ref="W11:W17"/>
    <mergeCell ref="N52:N59"/>
    <mergeCell ref="O52:O59"/>
    <mergeCell ref="P52:P59"/>
    <mergeCell ref="Q52:Q59"/>
    <mergeCell ref="R52:R59"/>
    <mergeCell ref="S52:S59"/>
    <mergeCell ref="T52:T59"/>
    <mergeCell ref="U52:U59"/>
    <mergeCell ref="W51:W58"/>
    <mergeCell ref="W19:W20"/>
    <mergeCell ref="N21:N27"/>
    <mergeCell ref="O21:O27"/>
    <mergeCell ref="P21:P27"/>
    <mergeCell ref="Q21:Q27"/>
    <mergeCell ref="R21:R27"/>
    <mergeCell ref="T77:T78"/>
    <mergeCell ref="U77:U78"/>
    <mergeCell ref="U60:U63"/>
    <mergeCell ref="O65:U65"/>
    <mergeCell ref="S67:S75"/>
    <mergeCell ref="T67:T75"/>
    <mergeCell ref="U67:U75"/>
    <mergeCell ref="R60:R63"/>
    <mergeCell ref="O67:O75"/>
    <mergeCell ref="P67:P75"/>
    <mergeCell ref="Q67:Q75"/>
    <mergeCell ref="R67:R75"/>
    <mergeCell ref="S77:S78"/>
  </mergeCells>
  <conditionalFormatting sqref="C256:C266">
    <cfRule type="containsText" dxfId="519" priority="135" operator="containsText" text="FL">
      <formula>NOT(ISERROR(SEARCH("FL",C256)))</formula>
    </cfRule>
    <cfRule type="containsText" dxfId="518" priority="136" operator="containsText" text="FT">
      <formula>NOT(ISERROR(SEARCH("FT",C256)))</formula>
    </cfRule>
    <cfRule type="containsText" dxfId="517" priority="137" operator="containsText" text="SS">
      <formula>NOT(ISERROR(SEARCH("SS",C256)))</formula>
    </cfRule>
    <cfRule type="containsText" dxfId="516" priority="138" operator="containsText" text="GR">
      <formula>NOT(ISERROR(SEARCH("GR",C256)))</formula>
    </cfRule>
    <cfRule type="containsText" dxfId="515" priority="139" operator="containsText" text="GO">
      <formula>NOT(ISERROR(SEARCH("GO",C256)))</formula>
    </cfRule>
  </conditionalFormatting>
  <conditionalFormatting sqref="D71 D109:D110">
    <cfRule type="containsText" dxfId="514" priority="127" operator="containsText" text="GR">
      <formula>NOT(ISERROR(SEARCH("GR",D71)))</formula>
    </cfRule>
  </conditionalFormatting>
  <conditionalFormatting sqref="D79:D80 D72:D77">
    <cfRule type="duplicateValues" dxfId="513" priority="117"/>
  </conditionalFormatting>
  <conditionalFormatting sqref="D83:D87">
    <cfRule type="duplicateValues" dxfId="512" priority="116"/>
  </conditionalFormatting>
  <conditionalFormatting sqref="D84:D85">
    <cfRule type="duplicateValues" dxfId="511" priority="113"/>
    <cfRule type="duplicateValues" dxfId="510" priority="114"/>
  </conditionalFormatting>
  <conditionalFormatting sqref="D88:D89">
    <cfRule type="duplicateValues" dxfId="509" priority="115"/>
  </conditionalFormatting>
  <conditionalFormatting sqref="D91">
    <cfRule type="duplicateValues" dxfId="508" priority="9"/>
  </conditionalFormatting>
  <conditionalFormatting sqref="D103:D106 D92:D101">
    <cfRule type="duplicateValues" dxfId="507" priority="111"/>
  </conditionalFormatting>
  <conditionalFormatting sqref="D106">
    <cfRule type="duplicateValues" dxfId="506" priority="109"/>
    <cfRule type="duplicateValues" dxfId="505" priority="110"/>
  </conditionalFormatting>
  <conditionalFormatting sqref="D108">
    <cfRule type="duplicateValues" dxfId="504" priority="112"/>
  </conditionalFormatting>
  <conditionalFormatting sqref="D184:D185 D177:D182">
    <cfRule type="duplicateValues" dxfId="503" priority="108"/>
  </conditionalFormatting>
  <conditionalFormatting sqref="D187:D191">
    <cfRule type="duplicateValues" dxfId="502" priority="107"/>
  </conditionalFormatting>
  <conditionalFormatting sqref="D188:D189">
    <cfRule type="duplicateValues" dxfId="501" priority="104"/>
    <cfRule type="duplicateValues" dxfId="500" priority="105"/>
  </conditionalFormatting>
  <conditionalFormatting sqref="D192">
    <cfRule type="duplicateValues" dxfId="499" priority="106"/>
  </conditionalFormatting>
  <conditionalFormatting sqref="D206:D209 D194:D204">
    <cfRule type="duplicateValues" dxfId="498" priority="102"/>
  </conditionalFormatting>
  <conditionalFormatting sqref="D209">
    <cfRule type="duplicateValues" dxfId="497" priority="100"/>
    <cfRule type="duplicateValues" dxfId="496" priority="101"/>
  </conditionalFormatting>
  <conditionalFormatting sqref="D211">
    <cfRule type="duplicateValues" dxfId="495" priority="103"/>
  </conditionalFormatting>
  <conditionalFormatting sqref="E8 E13">
    <cfRule type="containsText" dxfId="494" priority="128" operator="containsText" text="FC">
      <formula>NOT(ISERROR(SEARCH("FC",E8)))</formula>
    </cfRule>
    <cfRule type="containsText" dxfId="493" priority="129" operator="containsText" text="PAC">
      <formula>NOT(ISERROR(SEARCH("PAC",E8)))</formula>
    </cfRule>
    <cfRule type="containsText" dxfId="492" priority="130" operator="containsText" text="AA">
      <formula>NOT(ISERROR(SEARCH("AA",E8)))</formula>
    </cfRule>
    <cfRule type="containsText" dxfId="491" priority="131" operator="containsText" text="RC">
      <formula>NOT(ISERROR(SEARCH("RC",E8)))</formula>
    </cfRule>
    <cfRule type="containsText" dxfId="490" priority="132" operator="containsText" text="GC">
      <formula>NOT(ISERROR(SEARCH("GC",E8)))</formula>
    </cfRule>
    <cfRule type="containsText" dxfId="489" priority="133" operator="containsText" text="SSC">
      <formula>NOT(ISERROR(SEARCH("SSC",E8)))</formula>
    </cfRule>
    <cfRule type="containsText" dxfId="488" priority="134" operator="containsText" text="CSO">
      <formula>NOT(ISERROR(SEARCH("CSO",E8)))</formula>
    </cfRule>
  </conditionalFormatting>
  <conditionalFormatting sqref="E20 E26 E30">
    <cfRule type="containsText" dxfId="487" priority="140" operator="containsText" text="PAC">
      <formula>NOT(ISERROR(SEARCH("PAC",E20)))</formula>
    </cfRule>
    <cfRule type="containsText" dxfId="486" priority="141" operator="containsText" text="GC">
      <formula>NOT(ISERROR(SEARCH("GC",E20)))</formula>
    </cfRule>
  </conditionalFormatting>
  <conditionalFormatting sqref="E20 E26 E30:E31">
    <cfRule type="containsText" dxfId="485" priority="118" operator="containsText" text="PSSC">
      <formula>NOT(ISERROR(SEARCH("PSSC",E20)))</formula>
    </cfRule>
    <cfRule type="containsText" dxfId="484" priority="119" operator="containsText" text="ASSC">
      <formula>NOT(ISERROR(SEARCH("ASSC",E20)))</formula>
    </cfRule>
    <cfRule type="containsText" dxfId="483" priority="120" operator="containsText" text="CC">
      <formula>NOT(ISERROR(SEARCH("CC",E20)))</formula>
    </cfRule>
    <cfRule type="containsText" dxfId="482" priority="121" operator="containsText" text="CSO">
      <formula>NOT(ISERROR(SEARCH("CSO",E20)))</formula>
    </cfRule>
    <cfRule type="containsText" dxfId="481" priority="122" operator="containsText" text="FC">
      <formula>NOT(ISERROR(SEARCH("FC",E20)))</formula>
    </cfRule>
    <cfRule type="containsText" dxfId="480" priority="123" operator="containsText" text="RC">
      <formula>NOT(ISERROR(SEARCH("RC",E20)))</formula>
    </cfRule>
    <cfRule type="containsText" dxfId="479" priority="142" stopIfTrue="1" operator="containsText" text="AAC">
      <formula>NOT(ISERROR(SEARCH("AAC",E20)))</formula>
    </cfRule>
  </conditionalFormatting>
  <conditionalFormatting sqref="E20">
    <cfRule type="containsText" dxfId="478" priority="124" stopIfTrue="1" operator="containsText" text="AAC">
      <formula>NOT(ISERROR(SEARCH("AAC",E20)))</formula>
    </cfRule>
    <cfRule type="containsText" dxfId="477" priority="125" operator="containsText" text="PAC">
      <formula>NOT(ISERROR(SEARCH("PAC",E20)))</formula>
    </cfRule>
    <cfRule type="containsText" dxfId="476" priority="126" operator="containsText" text="GC">
      <formula>NOT(ISERROR(SEARCH("GC",E20)))</formula>
    </cfRule>
  </conditionalFormatting>
  <conditionalFormatting sqref="E50:E53">
    <cfRule type="containsText" dxfId="475" priority="10" operator="containsText" text="PSSC">
      <formula>NOT(ISERROR(SEARCH("PSSC",E50)))</formula>
    </cfRule>
    <cfRule type="containsText" dxfId="474" priority="11" operator="containsText" text="ASSC">
      <formula>NOT(ISERROR(SEARCH("ASSC",E50)))</formula>
    </cfRule>
    <cfRule type="containsText" dxfId="473" priority="12" operator="containsText" text="CC">
      <formula>NOT(ISERROR(SEARCH("CC",E50)))</formula>
    </cfRule>
    <cfRule type="containsText" dxfId="472" priority="13" operator="containsText" text="CSO">
      <formula>NOT(ISERROR(SEARCH("CSO",E50)))</formula>
    </cfRule>
    <cfRule type="containsText" dxfId="471" priority="14" operator="containsText" text="FC">
      <formula>NOT(ISERROR(SEARCH("FC",E50)))</formula>
    </cfRule>
    <cfRule type="containsText" dxfId="470" priority="15" operator="containsText" text="RC">
      <formula>NOT(ISERROR(SEARCH("RC",E50)))</formula>
    </cfRule>
    <cfRule type="containsText" dxfId="469" priority="16" operator="containsText" text="PAC">
      <formula>NOT(ISERROR(SEARCH("PAC",E50)))</formula>
    </cfRule>
    <cfRule type="containsText" dxfId="468" priority="17" operator="containsText" text="GC">
      <formula>NOT(ISERROR(SEARCH("GC",E50)))</formula>
    </cfRule>
    <cfRule type="containsText" dxfId="467" priority="18" stopIfTrue="1" operator="containsText" text="AAC">
      <formula>NOT(ISERROR(SEARCH("AAC",E50)))</formula>
    </cfRule>
  </conditionalFormatting>
  <conditionalFormatting sqref="F229:F242 G230:L242 G229:J229">
    <cfRule type="colorScale" priority="229">
      <colorScale>
        <cfvo type="num" val="0"/>
        <cfvo type="num" val="1"/>
        <cfvo type="num" val="2"/>
        <color theme="0"/>
        <color rgb="FFAFFC06"/>
        <color rgb="FFFF0000"/>
      </colorScale>
    </cfRule>
  </conditionalFormatting>
  <conditionalFormatting sqref="F88:G89">
    <cfRule type="containsText" dxfId="466" priority="62" operator="containsText" text="PL">
      <formula>NOT(ISERROR(SEARCH("PL",F88)))</formula>
    </cfRule>
    <cfRule type="containsText" dxfId="465" priority="63" operator="containsText" text="SW">
      <formula>NOT(ISERROR(SEARCH("SW",F88)))</formula>
    </cfRule>
    <cfRule type="containsText" dxfId="464" priority="64" operator="containsText" text="AT">
      <formula>NOT(ISERROR(SEARCH("AT",F88)))</formula>
    </cfRule>
    <cfRule type="containsText" dxfId="463" priority="65" operator="containsText" text="SS">
      <formula>NOT(ISERROR(SEARCH("SS",F88)))</formula>
    </cfRule>
  </conditionalFormatting>
  <conditionalFormatting sqref="F84:I84">
    <cfRule type="containsText" dxfId="462" priority="74" operator="containsText" text="PL">
      <formula>NOT(ISERROR(SEARCH("PL",F84)))</formula>
    </cfRule>
    <cfRule type="containsText" dxfId="461" priority="75" operator="containsText" text="SW">
      <formula>NOT(ISERROR(SEARCH("SW",F84)))</formula>
    </cfRule>
    <cfRule type="containsText" dxfId="460" priority="76" operator="containsText" text="AT">
      <formula>NOT(ISERROR(SEARCH("AT",F84)))</formula>
    </cfRule>
    <cfRule type="containsText" dxfId="459" priority="77" operator="containsText" text="SS">
      <formula>NOT(ISERROR(SEARCH("SS",F84)))</formula>
    </cfRule>
  </conditionalFormatting>
  <conditionalFormatting sqref="F61:J61">
    <cfRule type="containsText" dxfId="458" priority="43" operator="containsText" text="CSO">
      <formula>NOT(ISERROR(SEARCH("CSO",F61)))</formula>
    </cfRule>
    <cfRule type="containsText" dxfId="457" priority="44" operator="containsText" text="FC">
      <formula>NOT(ISERROR(SEARCH("FC",F61)))</formula>
    </cfRule>
    <cfRule type="containsText" dxfId="456" priority="45" operator="containsText" text="SS">
      <formula>NOT(ISERROR(SEARCH("SS",F61)))</formula>
    </cfRule>
    <cfRule type="containsText" dxfId="455" priority="46" operator="containsText" text="RC">
      <formula>NOT(ISERROR(SEARCH("RC",F61)))</formula>
    </cfRule>
    <cfRule type="containsText" dxfId="454" priority="47" operator="containsText" text="PAC">
      <formula>NOT(ISERROR(SEARCH("PAC",F61)))</formula>
    </cfRule>
    <cfRule type="containsText" dxfId="453" priority="48" operator="containsText" text="AAC">
      <formula>NOT(ISERROR(SEARCH("AAC",F61)))</formula>
    </cfRule>
    <cfRule type="containsText" dxfId="452" priority="49" operator="containsText" text="GC">
      <formula>NOT(ISERROR(SEARCH("GC",F61)))</formula>
    </cfRule>
  </conditionalFormatting>
  <conditionalFormatting sqref="F63:J64">
    <cfRule type="cellIs" dxfId="451" priority="98" operator="lessThan">
      <formula>5</formula>
    </cfRule>
  </conditionalFormatting>
  <conditionalFormatting sqref="F85:J85">
    <cfRule type="containsText" dxfId="450" priority="70" operator="containsText" text="PL">
      <formula>NOT(ISERROR(SEARCH("PL",F85)))</formula>
    </cfRule>
    <cfRule type="containsText" dxfId="449" priority="71" operator="containsText" text="SW">
      <formula>NOT(ISERROR(SEARCH("SW",F85)))</formula>
    </cfRule>
    <cfRule type="containsText" dxfId="448" priority="72" operator="containsText" text="AT">
      <formula>NOT(ISERROR(SEARCH("AT",F85)))</formula>
    </cfRule>
    <cfRule type="containsText" dxfId="447" priority="73" operator="containsText" text="SS">
      <formula>NOT(ISERROR(SEARCH("SS",F85)))</formula>
    </cfRule>
  </conditionalFormatting>
  <conditionalFormatting sqref="F8:L16 G17:L17 F18:L50 F51:G51 I51:L51 F52:L58">
    <cfRule type="containsText" dxfId="446" priority="80" operator="containsText" text="PAC">
      <formula>NOT(ISERROR(SEARCH("PAC",F8)))</formula>
    </cfRule>
    <cfRule type="containsText" dxfId="445" priority="81" operator="containsText" text="AAC">
      <formula>NOT(ISERROR(SEARCH("AAC",F8)))</formula>
    </cfRule>
    <cfRule type="containsText" dxfId="444" priority="82" operator="containsText" text="GC">
      <formula>NOT(ISERROR(SEARCH("GC",F8)))</formula>
    </cfRule>
    <cfRule type="containsText" dxfId="443" priority="83" operator="containsText" text="FC">
      <formula>NOT(ISERROR(SEARCH("FC",F8)))</formula>
    </cfRule>
    <cfRule type="containsText" dxfId="442" priority="84" operator="containsText" text="CC">
      <formula>NOT(ISERROR(SEARCH("CC",F8)))</formula>
    </cfRule>
    <cfRule type="containsText" dxfId="441" priority="85" operator="containsText" text="RC">
      <formula>NOT(ISERROR(SEARCH("RC",F8)))</formula>
    </cfRule>
    <cfRule type="containsText" dxfId="440" priority="86" operator="containsText" text="SSC">
      <formula>NOT(ISERROR(SEARCH("SSC",F8)))</formula>
    </cfRule>
    <cfRule type="containsText" dxfId="439" priority="87" operator="containsText" text="CSO">
      <formula>NOT(ISERROR(SEARCH("CSO",F8)))</formula>
    </cfRule>
  </conditionalFormatting>
  <conditionalFormatting sqref="F63:L63 F64:J64">
    <cfRule type="cellIs" dxfId="438" priority="99" operator="greaterThan">
      <formula>6</formula>
    </cfRule>
  </conditionalFormatting>
  <conditionalFormatting sqref="F66:L70">
    <cfRule type="containsText" dxfId="437" priority="78" operator="containsText" text="RC">
      <formula>NOT(ISERROR(SEARCH("RC",F66)))</formula>
    </cfRule>
    <cfRule type="containsText" dxfId="436" priority="79" operator="containsText" text="CC">
      <formula>NOT(ISERROR(SEARCH("CC",F66)))</formula>
    </cfRule>
  </conditionalFormatting>
  <conditionalFormatting sqref="F83:L83">
    <cfRule type="containsText" dxfId="435" priority="66" operator="containsText" text="PL">
      <formula>NOT(ISERROR(SEARCH("PL",F83)))</formula>
    </cfRule>
    <cfRule type="containsText" dxfId="434" priority="67" operator="containsText" text="SW">
      <formula>NOT(ISERROR(SEARCH("SW",F83)))</formula>
    </cfRule>
    <cfRule type="containsText" dxfId="433" priority="68" operator="containsText" text="AT">
      <formula>NOT(ISERROR(SEARCH("AT",F83)))</formula>
    </cfRule>
    <cfRule type="containsText" dxfId="432" priority="69" operator="containsText" text="SS">
      <formula>NOT(ISERROR(SEARCH("SS",F83)))</formula>
    </cfRule>
  </conditionalFormatting>
  <conditionalFormatting sqref="F170:L170">
    <cfRule type="cellIs" dxfId="431" priority="97" operator="greaterThan">
      <formula>3</formula>
    </cfRule>
  </conditionalFormatting>
  <conditionalFormatting sqref="F172:L172">
    <cfRule type="cellIs" dxfId="430" priority="96" operator="greaterThan">
      <formula>4</formula>
    </cfRule>
  </conditionalFormatting>
  <conditionalFormatting sqref="H86:H87">
    <cfRule type="containsText" dxfId="429" priority="54" operator="containsText" text="PL">
      <formula>NOT(ISERROR(SEARCH("PL",H86)))</formula>
    </cfRule>
    <cfRule type="containsText" dxfId="428" priority="55" operator="containsText" text="SW">
      <formula>NOT(ISERROR(SEARCH("SW",H86)))</formula>
    </cfRule>
    <cfRule type="containsText" dxfId="427" priority="56" operator="containsText" text="AT">
      <formula>NOT(ISERROR(SEARCH("AT",H86)))</formula>
    </cfRule>
    <cfRule type="containsText" dxfId="426" priority="57" operator="containsText" text="SS">
      <formula>NOT(ISERROR(SEARCH("SS",H86)))</formula>
    </cfRule>
  </conditionalFormatting>
  <conditionalFormatting sqref="I59">
    <cfRule type="containsText" dxfId="425" priority="27" operator="containsText" text="PAC">
      <formula>NOT(ISERROR(SEARCH("PAC",I59)))</formula>
    </cfRule>
    <cfRule type="containsText" dxfId="424" priority="28" operator="containsText" text="AAC">
      <formula>NOT(ISERROR(SEARCH("AAC",I59)))</formula>
    </cfRule>
    <cfRule type="containsText" dxfId="423" priority="29" operator="containsText" text="GC">
      <formula>NOT(ISERROR(SEARCH("GC",I59)))</formula>
    </cfRule>
    <cfRule type="containsText" dxfId="422" priority="30" operator="containsText" text="FC">
      <formula>NOT(ISERROR(SEARCH("FC",I59)))</formula>
    </cfRule>
    <cfRule type="containsText" dxfId="421" priority="31" operator="containsText" text="CC">
      <formula>NOT(ISERROR(SEARCH("CC",I59)))</formula>
    </cfRule>
    <cfRule type="containsText" dxfId="420" priority="32" operator="containsText" text="RC">
      <formula>NOT(ISERROR(SEARCH("RC",I59)))</formula>
    </cfRule>
    <cfRule type="containsText" dxfId="419" priority="33" operator="containsText" text="SSC">
      <formula>NOT(ISERROR(SEARCH("SSC",I59)))</formula>
    </cfRule>
    <cfRule type="containsText" dxfId="418" priority="34" operator="containsText" text="CSO">
      <formula>NOT(ISERROR(SEARCH("CSO",I59)))</formula>
    </cfRule>
  </conditionalFormatting>
  <conditionalFormatting sqref="I86">
    <cfRule type="containsText" dxfId="417" priority="50" operator="containsText" text="PL">
      <formula>NOT(ISERROR(SEARCH("PL",I86)))</formula>
    </cfRule>
    <cfRule type="containsText" dxfId="416" priority="51" operator="containsText" text="SW">
      <formula>NOT(ISERROR(SEARCH("SW",I86)))</formula>
    </cfRule>
    <cfRule type="containsText" dxfId="415" priority="52" operator="containsText" text="AT">
      <formula>NOT(ISERROR(SEARCH("AT",I86)))</formula>
    </cfRule>
    <cfRule type="containsText" dxfId="414" priority="53" operator="containsText" text="SS">
      <formula>NOT(ISERROR(SEARCH("SS",I86)))</formula>
    </cfRule>
  </conditionalFormatting>
  <conditionalFormatting sqref="J87:L87">
    <cfRule type="containsText" dxfId="413" priority="58" operator="containsText" text="PL">
      <formula>NOT(ISERROR(SEARCH("PL",J87)))</formula>
    </cfRule>
    <cfRule type="containsText" dxfId="412" priority="59" operator="containsText" text="SW">
      <formula>NOT(ISERROR(SEARCH("SW",J87)))</formula>
    </cfRule>
    <cfRule type="containsText" dxfId="411" priority="60" operator="containsText" text="AT">
      <formula>NOT(ISERROR(SEARCH("AT",J87)))</formula>
    </cfRule>
    <cfRule type="containsText" dxfId="410" priority="61" operator="containsText" text="SS">
      <formula>NOT(ISERROR(SEARCH("SS",J87)))</formula>
    </cfRule>
  </conditionalFormatting>
  <conditionalFormatting sqref="K124">
    <cfRule type="containsText" dxfId="409" priority="1" operator="containsText" text="PAC">
      <formula>NOT(ISERROR(SEARCH("PAC",K124)))</formula>
    </cfRule>
    <cfRule type="containsText" dxfId="408" priority="2" operator="containsText" text="AAC">
      <formula>NOT(ISERROR(SEARCH("AAC",K124)))</formula>
    </cfRule>
    <cfRule type="containsText" dxfId="407" priority="3" operator="containsText" text="GC">
      <formula>NOT(ISERROR(SEARCH("GC",K124)))</formula>
    </cfRule>
    <cfRule type="containsText" dxfId="406" priority="4" operator="containsText" text="FC">
      <formula>NOT(ISERROR(SEARCH("FC",K124)))</formula>
    </cfRule>
    <cfRule type="containsText" dxfId="405" priority="5" operator="containsText" text="CC">
      <formula>NOT(ISERROR(SEARCH("CC",K124)))</formula>
    </cfRule>
    <cfRule type="containsText" dxfId="404" priority="6" operator="containsText" text="RC">
      <formula>NOT(ISERROR(SEARCH("RC",K124)))</formula>
    </cfRule>
    <cfRule type="containsText" dxfId="403" priority="7" operator="containsText" text="SSC">
      <formula>NOT(ISERROR(SEARCH("SSC",K124)))</formula>
    </cfRule>
    <cfRule type="containsText" dxfId="402" priority="8" operator="containsText" text="CSO">
      <formula>NOT(ISERROR(SEARCH("CSO",K124)))</formula>
    </cfRule>
  </conditionalFormatting>
  <conditionalFormatting sqref="K63:L64">
    <cfRule type="cellIs" dxfId="401" priority="88" operator="greaterThan">
      <formula>3</formula>
    </cfRule>
  </conditionalFormatting>
  <conditionalFormatting sqref="N39:N41">
    <cfRule type="containsText" dxfId="400" priority="179" operator="containsText" text="NAMIT">
      <formula>NOT(ISERROR(SEARCH("NAMIT",N39)))</formula>
    </cfRule>
  </conditionalFormatting>
  <conditionalFormatting sqref="O6:U6">
    <cfRule type="notContainsErrors" dxfId="399" priority="183">
      <formula>NOT(ISERROR(O6))</formula>
    </cfRule>
  </conditionalFormatting>
  <conditionalFormatting sqref="O7:U7 O38:U38">
    <cfRule type="notContainsErrors" dxfId="398" priority="178">
      <formula>NOT(ISERROR(O7))</formula>
    </cfRule>
  </conditionalFormatting>
  <conditionalFormatting sqref="O8:U8">
    <cfRule type="notContainsErrors" dxfId="397" priority="181">
      <formula>NOT(ISERROR(O8))</formula>
    </cfRule>
  </conditionalFormatting>
  <conditionalFormatting sqref="O9:U9">
    <cfRule type="notContainsErrors" dxfId="396" priority="192">
      <formula>NOT(ISERROR(O9))</formula>
    </cfRule>
  </conditionalFormatting>
  <conditionalFormatting sqref="O10:U10">
    <cfRule type="notContainsErrors" dxfId="395" priority="173">
      <formula>NOT(ISERROR(O10))</formula>
    </cfRule>
  </conditionalFormatting>
  <conditionalFormatting sqref="O18:U18">
    <cfRule type="notContainsErrors" dxfId="394" priority="191">
      <formula>NOT(ISERROR(O18))</formula>
    </cfRule>
  </conditionalFormatting>
  <conditionalFormatting sqref="O37:U37">
    <cfRule type="notContainsErrors" dxfId="393" priority="184">
      <formula>NOT(ISERROR(O37))</formula>
    </cfRule>
  </conditionalFormatting>
  <conditionalFormatting sqref="O39:U39">
    <cfRule type="notContainsErrors" dxfId="392" priority="182">
      <formula>NOT(ISERROR(O39))</formula>
    </cfRule>
  </conditionalFormatting>
  <conditionalFormatting sqref="O40:U40">
    <cfRule type="notContainsErrors" dxfId="391" priority="175">
      <formula>NOT(ISERROR(O40))</formula>
    </cfRule>
  </conditionalFormatting>
  <conditionalFormatting sqref="O41:U41">
    <cfRule type="notContainsErrors" dxfId="390" priority="177">
      <formula>NOT(ISERROR(O41))</formula>
    </cfRule>
  </conditionalFormatting>
  <conditionalFormatting sqref="O49:U49">
    <cfRule type="notContainsErrors" dxfId="389" priority="176">
      <formula>NOT(ISERROR(O49))</formula>
    </cfRule>
  </conditionalFormatting>
  <conditionalFormatting sqref="O66:U66">
    <cfRule type="notContainsErrors" dxfId="388" priority="174">
      <formula>NOT(ISERROR(O66))</formula>
    </cfRule>
  </conditionalFormatting>
  <conditionalFormatting sqref="O76:U76">
    <cfRule type="notContainsErrors" dxfId="387" priority="180">
      <formula>NOT(ISERROR(O76))</formula>
    </cfRule>
  </conditionalFormatting>
  <conditionalFormatting sqref="V131:V1048576 P235:U1048576">
    <cfRule type="containsText" dxfId="386" priority="185" operator="containsText" text="SW">
      <formula>NOT(ISERROR(SEARCH("SW",P131)))</formula>
    </cfRule>
    <cfRule type="containsText" dxfId="385" priority="186" operator="containsText" text="FL">
      <formula>NOT(ISERROR(SEARCH("FL",P131)))</formula>
    </cfRule>
    <cfRule type="containsText" dxfId="384" priority="187" operator="containsText" text="FT">
      <formula>NOT(ISERROR(SEARCH("FT",P131)))</formula>
    </cfRule>
    <cfRule type="containsText" dxfId="383" priority="188" operator="containsText" text="SS">
      <formula>NOT(ISERROR(SEARCH("SS",P131)))</formula>
    </cfRule>
    <cfRule type="containsText" dxfId="382" priority="189" operator="containsText" text="GR">
      <formula>NOT(ISERROR(SEARCH("GR",P131)))</formula>
    </cfRule>
    <cfRule type="containsText" dxfId="381" priority="190" operator="containsText" text="GO">
      <formula>NOT(ISERROR(SEARCH("GO",P131)))</formula>
    </cfRule>
  </conditionalFormatting>
  <dataValidations count="1">
    <dataValidation type="list" allowBlank="1" showInputMessage="1" sqref="F133:L134 J135:L140 F112:G130 G135:H140 H113:H130 I112:J130 K113:L130" xr:uid="{BCDCAA6B-0B4E-2B47-9E2D-BB18CFD971B7}">
      <formula1>#REF!</formula1>
    </dataValidation>
  </dataValidations>
  <pageMargins left="0.7" right="0.7" top="0.75" bottom="0.75" header="0.3" footer="0.3"/>
  <pageSetup paperSize="9" scale="6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9D63F-84AE-7E42-9B9C-F17DFB87A56A}">
  <sheetPr>
    <pageSetUpPr fitToPage="1"/>
  </sheetPr>
  <dimension ref="A1:W291"/>
  <sheetViews>
    <sheetView topLeftCell="I1" workbookViewId="0">
      <pane ySplit="4" topLeftCell="C82" activePane="bottomLeft" state="frozen"/>
      <selection pane="bottomLeft" activeCell="I33" sqref="I33"/>
      <selection activeCell="G1" sqref="G1"/>
    </sheetView>
  </sheetViews>
  <sheetFormatPr defaultColWidth="9" defaultRowHeight="14.25"/>
  <cols>
    <col min="1" max="2" width="10.875" style="56" hidden="1" customWidth="1"/>
    <col min="3" max="3" width="18" style="56" customWidth="1"/>
    <col min="4" max="4" width="24.375" style="72" customWidth="1"/>
    <col min="5" max="5" width="10.875" style="68"/>
    <col min="6" max="6" width="12.875" style="66" customWidth="1"/>
    <col min="7" max="10" width="12.875" style="64" customWidth="1"/>
    <col min="11" max="11" width="12.125" style="64" customWidth="1"/>
    <col min="12" max="12" width="12.625" style="64" customWidth="1"/>
    <col min="13" max="13" width="10.875" style="56"/>
    <col min="14" max="14" width="14.875" style="89" customWidth="1"/>
    <col min="15" max="15" width="15.375" style="112" customWidth="1"/>
    <col min="16" max="21" width="15.375" style="89" customWidth="1"/>
    <col min="22" max="22" width="12.875" style="34" customWidth="1"/>
    <col min="23" max="23" width="9" style="34"/>
    <col min="24" max="16384" width="9" style="56"/>
  </cols>
  <sheetData>
    <row r="1" spans="1:23" ht="14.1" customHeight="1" thickBot="1">
      <c r="D1" s="57"/>
      <c r="E1" s="58"/>
      <c r="F1" s="59" t="str">
        <f t="shared" ref="F1:L1" si="0">CONCATENATE(F169,"-",F170,"-",F171,"-",F172,"-",F173)</f>
        <v>15-2-13-0-9</v>
      </c>
      <c r="G1" s="59" t="str">
        <f t="shared" si="0"/>
        <v>14-0-14-0-10</v>
      </c>
      <c r="H1" s="59" t="str">
        <f t="shared" si="0"/>
        <v>13-1-16-0-9</v>
      </c>
      <c r="I1" s="59" t="str">
        <f t="shared" si="0"/>
        <v>14-0-15-0-9</v>
      </c>
      <c r="J1" s="59" t="str">
        <f t="shared" si="0"/>
        <v>13-0-15-1-9</v>
      </c>
      <c r="K1" s="59" t="str">
        <f t="shared" si="0"/>
        <v>11-1-15-0-7</v>
      </c>
      <c r="L1" s="59" t="str">
        <f t="shared" si="0"/>
        <v>12-0-16-0-9</v>
      </c>
      <c r="O1" s="89" t="str">
        <f t="shared" ref="O1:U1" si="1">F1</f>
        <v>15-2-13-0-9</v>
      </c>
      <c r="P1" s="89" t="str">
        <f t="shared" si="1"/>
        <v>14-0-14-0-10</v>
      </c>
      <c r="Q1" s="89" t="str">
        <f t="shared" si="1"/>
        <v>13-1-16-0-9</v>
      </c>
      <c r="R1" s="89" t="str">
        <f t="shared" si="1"/>
        <v>14-0-15-0-9</v>
      </c>
      <c r="S1" s="89" t="str">
        <f t="shared" si="1"/>
        <v>13-0-15-1-9</v>
      </c>
      <c r="T1" s="89" t="str">
        <f t="shared" si="1"/>
        <v>11-1-15-0-7</v>
      </c>
      <c r="U1" s="89" t="str">
        <f t="shared" si="1"/>
        <v>12-0-16-0-9</v>
      </c>
    </row>
    <row r="2" spans="1:23" ht="14.1" customHeight="1" thickBot="1">
      <c r="C2" s="1" t="s">
        <v>0</v>
      </c>
      <c r="D2" s="1" t="s">
        <v>0</v>
      </c>
      <c r="E2" s="58"/>
      <c r="F2" s="802">
        <v>11</v>
      </c>
      <c r="G2" s="802"/>
      <c r="H2" s="802"/>
      <c r="I2" s="802"/>
      <c r="J2" s="802"/>
      <c r="K2" s="802"/>
      <c r="L2" s="802"/>
      <c r="O2" s="754">
        <f>F2</f>
        <v>11</v>
      </c>
      <c r="P2" s="755"/>
      <c r="Q2" s="755"/>
      <c r="R2" s="755"/>
      <c r="S2" s="755"/>
      <c r="T2" s="755"/>
      <c r="U2" s="756"/>
    </row>
    <row r="3" spans="1:23" ht="14.1" customHeight="1">
      <c r="A3" s="56" t="s">
        <v>297</v>
      </c>
      <c r="B3" s="56" t="s">
        <v>298</v>
      </c>
      <c r="C3" s="494" t="s">
        <v>299</v>
      </c>
      <c r="D3" s="494" t="s">
        <v>300</v>
      </c>
      <c r="E3" s="69" t="s">
        <v>5</v>
      </c>
      <c r="F3" s="22" t="s">
        <v>6</v>
      </c>
      <c r="G3" s="119" t="s">
        <v>7</v>
      </c>
      <c r="H3" s="23" t="s">
        <v>8</v>
      </c>
      <c r="I3" s="23" t="s">
        <v>9</v>
      </c>
      <c r="J3" s="23" t="s">
        <v>10</v>
      </c>
      <c r="K3" s="23" t="s">
        <v>11</v>
      </c>
      <c r="L3" s="24" t="s">
        <v>12</v>
      </c>
      <c r="O3" s="90" t="s">
        <v>6</v>
      </c>
      <c r="P3" s="91" t="s">
        <v>7</v>
      </c>
      <c r="Q3" s="91" t="s">
        <v>8</v>
      </c>
      <c r="R3" s="91" t="s">
        <v>9</v>
      </c>
      <c r="S3" s="91" t="s">
        <v>10</v>
      </c>
      <c r="T3" s="91" t="s">
        <v>11</v>
      </c>
      <c r="U3" s="92" t="s">
        <v>12</v>
      </c>
    </row>
    <row r="4" spans="1:23" ht="14.1" customHeight="1" thickBot="1">
      <c r="B4" s="56" t="s">
        <v>13</v>
      </c>
      <c r="C4" s="25"/>
      <c r="D4" s="25"/>
      <c r="E4" s="77"/>
      <c r="F4" s="26">
        <v>46125</v>
      </c>
      <c r="G4" s="121">
        <v>46126</v>
      </c>
      <c r="H4" s="27">
        <v>46127</v>
      </c>
      <c r="I4" s="27">
        <v>46128</v>
      </c>
      <c r="J4" s="27">
        <v>46129</v>
      </c>
      <c r="K4" s="27">
        <v>46130</v>
      </c>
      <c r="L4" s="27">
        <v>46131</v>
      </c>
      <c r="N4" s="93"/>
      <c r="O4" s="94">
        <f t="shared" ref="O4:U4" si="2">F4</f>
        <v>46125</v>
      </c>
      <c r="P4" s="95">
        <f t="shared" si="2"/>
        <v>46126</v>
      </c>
      <c r="Q4" s="95">
        <f t="shared" si="2"/>
        <v>46127</v>
      </c>
      <c r="R4" s="95">
        <f t="shared" si="2"/>
        <v>46128</v>
      </c>
      <c r="S4" s="95">
        <f t="shared" si="2"/>
        <v>46129</v>
      </c>
      <c r="T4" s="95">
        <f t="shared" si="2"/>
        <v>46130</v>
      </c>
      <c r="U4" s="96">
        <f t="shared" si="2"/>
        <v>46131</v>
      </c>
    </row>
    <row r="5" spans="1:23" ht="14.1" customHeight="1" thickBot="1">
      <c r="C5" s="2"/>
      <c r="D5" s="2"/>
      <c r="E5" s="81"/>
      <c r="F5" s="226" t="s">
        <v>24</v>
      </c>
      <c r="G5" s="223"/>
      <c r="H5" s="223"/>
      <c r="I5" s="223"/>
      <c r="J5" s="223"/>
      <c r="K5" s="223"/>
      <c r="L5" s="224"/>
      <c r="O5" s="757" t="s">
        <v>301</v>
      </c>
      <c r="P5" s="758"/>
      <c r="Q5" s="758"/>
      <c r="R5" s="758"/>
      <c r="S5" s="758"/>
      <c r="T5" s="758"/>
      <c r="U5" s="759"/>
      <c r="W5" s="34" t="s">
        <v>302</v>
      </c>
    </row>
    <row r="6" spans="1:23" ht="14.1" customHeight="1">
      <c r="C6" s="315" t="s">
        <v>26</v>
      </c>
      <c r="D6" s="315" t="s">
        <v>26</v>
      </c>
      <c r="E6" s="495"/>
      <c r="F6" s="317"/>
      <c r="G6" s="318"/>
      <c r="H6" s="318"/>
      <c r="I6" s="318"/>
      <c r="J6" s="318"/>
      <c r="K6" s="318"/>
      <c r="L6" s="319"/>
      <c r="N6" s="97" t="s">
        <v>303</v>
      </c>
      <c r="O6" s="98" t="str">
        <f t="shared" ref="O6:U6" si="3">INDEX($C7:$L188,MATCH("*AGC*",F7:F191,0),1)</f>
        <v>SINDY SMS</v>
      </c>
      <c r="P6" s="99" t="str">
        <f t="shared" si="3"/>
        <v>STEVE T SMS</v>
      </c>
      <c r="Q6" s="99" t="str">
        <f t="shared" si="3"/>
        <v>GARGI SMS</v>
      </c>
      <c r="R6" s="99" t="str">
        <f t="shared" si="3"/>
        <v>NICOLA SMS</v>
      </c>
      <c r="S6" s="99" t="str">
        <f t="shared" si="3"/>
        <v>JIMMY SMS</v>
      </c>
      <c r="T6" s="99" t="str">
        <f t="shared" si="3"/>
        <v>TARA K. SMS</v>
      </c>
      <c r="U6" s="100" t="str">
        <f t="shared" si="3"/>
        <v>AFTAB SMS</v>
      </c>
      <c r="V6" s="34" t="s">
        <v>287</v>
      </c>
      <c r="W6" s="101"/>
    </row>
    <row r="7" spans="1:23" ht="14.1" customHeight="1">
      <c r="C7" s="496" t="s">
        <v>304</v>
      </c>
      <c r="D7" s="497" t="s">
        <v>27</v>
      </c>
      <c r="E7" s="498">
        <v>625982</v>
      </c>
      <c r="F7" s="569" t="s">
        <v>28</v>
      </c>
      <c r="G7" s="570"/>
      <c r="H7" s="570"/>
      <c r="I7" s="570"/>
      <c r="J7" s="570"/>
      <c r="K7" s="570"/>
      <c r="L7" s="571"/>
      <c r="N7" s="499" t="s">
        <v>305</v>
      </c>
      <c r="O7" s="102" t="str">
        <f t="shared" ref="O7:U7" si="4">INDEX($C7:$L188,MATCH("*AAC",F7:F190,0),1)</f>
        <v>DAVID SMS</v>
      </c>
      <c r="P7" s="500" t="str">
        <f t="shared" si="4"/>
        <v>CHAMARA SMS</v>
      </c>
      <c r="Q7" s="500" t="str">
        <f t="shared" si="4"/>
        <v>STEPHEN G SMS</v>
      </c>
      <c r="R7" s="500" t="str">
        <f t="shared" si="4"/>
        <v>MINA SMS</v>
      </c>
      <c r="S7" s="500" t="str">
        <f t="shared" si="4"/>
        <v>ANDY L  SMS</v>
      </c>
      <c r="T7" s="500" t="str">
        <f t="shared" si="4"/>
        <v>AMY SMS</v>
      </c>
      <c r="U7" s="501" t="str">
        <f t="shared" si="4"/>
        <v>JEREMY SMS</v>
      </c>
      <c r="V7" s="34" t="s">
        <v>286</v>
      </c>
      <c r="W7" s="101"/>
    </row>
    <row r="8" spans="1:23" ht="14.1" customHeight="1">
      <c r="C8" s="497" t="s">
        <v>306</v>
      </c>
      <c r="D8" s="83" t="s">
        <v>29</v>
      </c>
      <c r="E8" s="502">
        <v>628936</v>
      </c>
      <c r="F8" s="211" t="s">
        <v>546</v>
      </c>
      <c r="G8" s="62" t="s">
        <v>33</v>
      </c>
      <c r="H8" s="62" t="s">
        <v>33</v>
      </c>
      <c r="I8" s="62" t="s">
        <v>33</v>
      </c>
      <c r="J8" s="62" t="s">
        <v>38</v>
      </c>
      <c r="K8" s="565"/>
      <c r="L8" s="577"/>
      <c r="N8" s="503" t="s">
        <v>307</v>
      </c>
      <c r="O8" s="102" t="str">
        <f t="shared" ref="O8:U8" si="5">INDEX($C7:$L188,MATCH("*ARC*",F7:F191,0),1)</f>
        <v>STEVE T SMS</v>
      </c>
      <c r="P8" s="500" t="str">
        <f t="shared" si="5"/>
        <v>ANASTASIA SMS</v>
      </c>
      <c r="Q8" s="500" t="str">
        <f t="shared" si="5"/>
        <v>ANDREW H SMS</v>
      </c>
      <c r="R8" s="500" t="str">
        <f t="shared" si="5"/>
        <v>CHAMARA SMS</v>
      </c>
      <c r="S8" s="500" t="str">
        <f t="shared" si="5"/>
        <v>MICHAEL SMS</v>
      </c>
      <c r="T8" s="500" t="str">
        <f t="shared" si="5"/>
        <v>SUSAN SMS</v>
      </c>
      <c r="U8" s="501" t="str">
        <f t="shared" si="5"/>
        <v>QING SMS</v>
      </c>
      <c r="V8" s="34" t="s">
        <v>285</v>
      </c>
      <c r="W8" s="101"/>
    </row>
    <row r="9" spans="1:23" ht="14.1" customHeight="1">
      <c r="C9" s="504" t="s">
        <v>308</v>
      </c>
      <c r="D9" s="723" t="s">
        <v>42</v>
      </c>
      <c r="E9" s="502">
        <v>628576</v>
      </c>
      <c r="F9" s="575"/>
      <c r="G9" s="565" t="s">
        <v>33</v>
      </c>
      <c r="H9" s="576"/>
      <c r="I9" s="565" t="s">
        <v>32</v>
      </c>
      <c r="J9" s="566" t="s">
        <v>33</v>
      </c>
      <c r="K9" s="565" t="s">
        <v>38</v>
      </c>
      <c r="L9" s="577"/>
      <c r="N9" s="505" t="s">
        <v>309</v>
      </c>
      <c r="O9" s="102" t="str">
        <f t="shared" ref="O9:U9" si="6">INDEX($C7:$L188,MATCH("*ASSC*",F7:F191,0),1)</f>
        <v>ANASTASIA SMS</v>
      </c>
      <c r="P9" s="500" t="str">
        <f t="shared" si="6"/>
        <v>TARA K. SMS</v>
      </c>
      <c r="Q9" s="500" t="str">
        <f t="shared" si="6"/>
        <v>NICOLA SMS</v>
      </c>
      <c r="R9" s="500" t="str">
        <f t="shared" si="6"/>
        <v>ANDRE SMS</v>
      </c>
      <c r="S9" s="500" t="str">
        <f t="shared" si="6"/>
        <v>PAIGE SMS</v>
      </c>
      <c r="T9" s="500" t="str">
        <f t="shared" si="6"/>
        <v>QING SMS</v>
      </c>
      <c r="U9" s="501" t="str">
        <f t="shared" si="6"/>
        <v>AMY SMS</v>
      </c>
      <c r="V9" s="34" t="s">
        <v>289</v>
      </c>
      <c r="W9" s="101"/>
    </row>
    <row r="10" spans="1:23" ht="14.1" customHeight="1">
      <c r="C10" s="504" t="s">
        <v>310</v>
      </c>
      <c r="D10" s="497" t="s">
        <v>45</v>
      </c>
      <c r="E10" s="506">
        <v>632647</v>
      </c>
      <c r="F10" s="575" t="s">
        <v>33</v>
      </c>
      <c r="G10" s="565" t="s">
        <v>33</v>
      </c>
      <c r="H10" s="565" t="s">
        <v>40</v>
      </c>
      <c r="I10" s="565" t="s">
        <v>43</v>
      </c>
      <c r="J10" s="565"/>
      <c r="K10" s="565"/>
      <c r="L10" s="577"/>
      <c r="N10" s="507" t="s">
        <v>311</v>
      </c>
      <c r="O10" s="102" t="str">
        <f t="shared" ref="O10:U10" si="7">INDEX($C6:$L187,MATCH("*ACC*",F6:F183,0),1)</f>
        <v>JULIA SMS</v>
      </c>
      <c r="P10" s="500" t="e">
        <f t="shared" si="7"/>
        <v>#N/A</v>
      </c>
      <c r="Q10" s="500" t="str">
        <f t="shared" si="7"/>
        <v>SAM CMO</v>
      </c>
      <c r="R10" s="500" t="str">
        <f t="shared" si="7"/>
        <v>MADDY SMS</v>
      </c>
      <c r="S10" s="500" t="str">
        <f t="shared" si="7"/>
        <v>ABI SMS</v>
      </c>
      <c r="T10" s="500" t="e">
        <f t="shared" si="7"/>
        <v>#N/A</v>
      </c>
      <c r="U10" s="501" t="str">
        <f t="shared" si="7"/>
        <v>SAM CMO</v>
      </c>
      <c r="V10" s="34" t="s">
        <v>288</v>
      </c>
      <c r="W10" s="101"/>
    </row>
    <row r="11" spans="1:23" ht="14.1" customHeight="1">
      <c r="C11" s="497" t="s">
        <v>312</v>
      </c>
      <c r="D11" s="497" t="s">
        <v>48</v>
      </c>
      <c r="E11" s="502">
        <v>279110</v>
      </c>
      <c r="F11" s="575" t="s">
        <v>33</v>
      </c>
      <c r="G11" s="565" t="s">
        <v>33</v>
      </c>
      <c r="H11" s="578" t="s">
        <v>342</v>
      </c>
      <c r="I11" s="578" t="s">
        <v>359</v>
      </c>
      <c r="J11" s="565"/>
      <c r="K11" s="565"/>
      <c r="L11" s="577"/>
      <c r="N11" s="733" t="s">
        <v>313</v>
      </c>
      <c r="O11" s="774" t="str" cm="1">
        <f t="array" ref="O11">_xlfn.TEXTJOIN(CHAR(10),TRUE,IF(F7:F111="0800-1800 AFC",$C7:$C111,""),IF(F7:F111="0800-1730 AFC",$C7:$C111,""),IF(F7:F111="0800-1800",$C7:$C111,""),IF(F7:F111="0800-1730",$C7:$C111,""))</f>
        <v>SALEEM CMO
HANNAH IR
GIOVANA JR
ISOBEL JR
RACHEL JR</v>
      </c>
      <c r="P11" s="775" t="str" cm="1">
        <f t="array" ref="P11">_xlfn.TEXTJOIN(CHAR(10),TRUE,IF(G7:G111="0800-1800 AFC",$C7:$C111,""),IF(G7:G111="0800-1730 AFC",$C7:$C111,""),IF(G7:G111="0800-1800",$C7:$C111,""),IF(G7:G111="0800-1730",$C7:$C111,""))</f>
        <v>SALEEM CMO
MARK SR
JOSHUA IR</v>
      </c>
      <c r="Q11" s="775" t="str" cm="1">
        <f t="array" ref="Q11">_xlfn.TEXTJOIN(CHAR(10),TRUE,IF(H7:H111="0800-1800 AFC",$C7:$C111,""),IF(H7:H111="0800-1730 AFC",$C7:$C111,""),IF(H7:H111="0800-1800",$C7:$C111,""),IF(H7:H111="0800-1730",$C7:$C111,""))</f>
        <v>ANDY L  SMS
YAN SMS
TITUS CMO
SALEEM CMO</v>
      </c>
      <c r="R11" s="775" t="str" cm="1">
        <f t="array" ref="R11">_xlfn.TEXTJOIN(CHAR(10),TRUE,IF(I7:I111="0800-1800 AFC",$C7:$C111,""),IF(I7:I111="0800-1730 AFC",$C7:$C111,""),IF(I7:I111="0800-1800",$C7:$C111,""),IF(I7:I111="0800-1730",$C7:$C111,""))</f>
        <v>TITUS CMO
PATRICK SR
SYLVIA JR
SUBARNA JR</v>
      </c>
      <c r="S11" s="775" t="str" cm="1">
        <f t="array" ref="S11">_xlfn.TEXTJOIN(CHAR(10),TRUE,IF(J7:J111="0800-1800 AFC",$C7:$C111,""),IF(J7:J111="0800-1730 AFC",$C7:$C111,""),IF(J7:J111="0800-1800",$C7:$C111,""),IF(J7:J111="0800-1730",$C7:$C111,""))</f>
        <v>MARK SR
HANNAH IR
SYLVIA JR</v>
      </c>
      <c r="T11" s="775" t="str" cm="1">
        <f t="array" ref="T11">_xlfn.TEXTJOIN(CHAR(10),TRUE,IF(K7:K111="0800-1800 AFC",$C7:$C111,""),IF(K7:K111="0800-1730 AFC",$C7:$C111,""),IF(K7:K111="0800-1800",$C7:$C111,""),IF(K7:K111="0800-1730",$C7:$C111,""))</f>
        <v>MARK SR
DESLIN JR</v>
      </c>
      <c r="U11" s="775" t="str" cm="1">
        <f t="array" ref="U11">_xlfn.TEXTJOIN(CHAR(10),TRUE,IF(L7:L111="0800-1800 AFC",$C7:$C111,""),IF(L7:L111="0800-1730 AFC",$C7:$C111,""),IF(L7:L111="0800-1800",$C7:$C111,""),IF(L7:L111="0800-1730",$C7:$C111,""))</f>
        <v>MARK SR
HANNAH IR
CHRISTOPHER JR</v>
      </c>
      <c r="W11" s="772">
        <v>7</v>
      </c>
    </row>
    <row r="12" spans="1:23" ht="14.1" customHeight="1">
      <c r="C12" s="497" t="s">
        <v>314</v>
      </c>
      <c r="D12" s="497" t="s">
        <v>49</v>
      </c>
      <c r="E12" s="502">
        <v>213322</v>
      </c>
      <c r="F12" s="575" t="s">
        <v>37</v>
      </c>
      <c r="G12" s="565" t="s">
        <v>43</v>
      </c>
      <c r="H12" s="565" t="s">
        <v>36</v>
      </c>
      <c r="I12" s="565" t="s">
        <v>33</v>
      </c>
      <c r="J12" s="565"/>
      <c r="K12" s="565"/>
      <c r="L12" s="577"/>
      <c r="N12" s="734"/>
      <c r="O12" s="774"/>
      <c r="P12" s="775"/>
      <c r="Q12" s="775"/>
      <c r="R12" s="775"/>
      <c r="S12" s="775"/>
      <c r="T12" s="775"/>
      <c r="U12" s="775"/>
      <c r="W12" s="772"/>
    </row>
    <row r="13" spans="1:23" ht="14.1" customHeight="1">
      <c r="C13" s="497" t="s">
        <v>315</v>
      </c>
      <c r="D13" s="497" t="s">
        <v>51</v>
      </c>
      <c r="E13" s="502">
        <v>602997</v>
      </c>
      <c r="F13" s="575" t="s">
        <v>47</v>
      </c>
      <c r="G13" s="565" t="s">
        <v>52</v>
      </c>
      <c r="H13" s="565" t="s">
        <v>34</v>
      </c>
      <c r="I13" s="565"/>
      <c r="J13" s="565" t="s">
        <v>53</v>
      </c>
      <c r="K13" s="576"/>
      <c r="L13" s="579"/>
      <c r="N13" s="734"/>
      <c r="O13" s="774"/>
      <c r="P13" s="775"/>
      <c r="Q13" s="775"/>
      <c r="R13" s="775"/>
      <c r="S13" s="775"/>
      <c r="T13" s="775"/>
      <c r="U13" s="775"/>
      <c r="W13" s="772"/>
    </row>
    <row r="14" spans="1:23" ht="14.1" customHeight="1">
      <c r="C14" s="504" t="s">
        <v>316</v>
      </c>
      <c r="D14" s="504" t="s">
        <v>55</v>
      </c>
      <c r="E14" s="502">
        <v>646459</v>
      </c>
      <c r="F14" s="582"/>
      <c r="G14" s="576"/>
      <c r="H14" s="566"/>
      <c r="I14" s="566" t="s">
        <v>38</v>
      </c>
      <c r="J14" s="576" t="s">
        <v>33</v>
      </c>
      <c r="K14" s="565" t="s">
        <v>40</v>
      </c>
      <c r="L14" s="577" t="s">
        <v>37</v>
      </c>
      <c r="N14" s="734"/>
      <c r="O14" s="774"/>
      <c r="P14" s="775"/>
      <c r="Q14" s="775"/>
      <c r="R14" s="775"/>
      <c r="S14" s="775"/>
      <c r="T14" s="775"/>
      <c r="U14" s="775"/>
      <c r="W14" s="772"/>
    </row>
    <row r="15" spans="1:23" ht="14.1" customHeight="1">
      <c r="C15" s="497" t="s">
        <v>318</v>
      </c>
      <c r="D15" s="504" t="s">
        <v>56</v>
      </c>
      <c r="E15" s="502">
        <v>632594</v>
      </c>
      <c r="F15" s="575"/>
      <c r="G15" s="565"/>
      <c r="H15" s="565" t="s">
        <v>33</v>
      </c>
      <c r="I15" s="565"/>
      <c r="J15" s="565" t="s">
        <v>32</v>
      </c>
      <c r="K15" s="565" t="s">
        <v>36</v>
      </c>
      <c r="L15" s="577" t="s">
        <v>35</v>
      </c>
      <c r="N15" s="734"/>
      <c r="O15" s="774"/>
      <c r="P15" s="775"/>
      <c r="Q15" s="775"/>
      <c r="R15" s="775"/>
      <c r="S15" s="775"/>
      <c r="T15" s="775"/>
      <c r="U15" s="775"/>
      <c r="W15" s="772"/>
    </row>
    <row r="16" spans="1:23" ht="14.1" customHeight="1">
      <c r="C16" s="497" t="s">
        <v>319</v>
      </c>
      <c r="D16" s="497" t="s">
        <v>58</v>
      </c>
      <c r="E16" s="502">
        <v>541622</v>
      </c>
      <c r="F16" s="575" t="s">
        <v>40</v>
      </c>
      <c r="G16" s="565" t="s">
        <v>37</v>
      </c>
      <c r="H16" s="565" t="s">
        <v>38</v>
      </c>
      <c r="I16" s="565" t="s">
        <v>33</v>
      </c>
      <c r="J16" s="576"/>
      <c r="K16" s="583"/>
      <c r="L16" s="584"/>
      <c r="N16" s="734"/>
      <c r="O16" s="774"/>
      <c r="P16" s="775"/>
      <c r="Q16" s="775"/>
      <c r="R16" s="775"/>
      <c r="S16" s="775"/>
      <c r="T16" s="775"/>
      <c r="U16" s="775"/>
      <c r="W16" s="772"/>
    </row>
    <row r="17" spans="3:23" ht="14.1" customHeight="1">
      <c r="C17" s="504" t="s">
        <v>320</v>
      </c>
      <c r="D17" s="504" t="s">
        <v>59</v>
      </c>
      <c r="E17" s="508">
        <v>614941</v>
      </c>
      <c r="F17" s="582" t="s">
        <v>62</v>
      </c>
      <c r="G17" s="576"/>
      <c r="H17" s="583"/>
      <c r="I17" s="203"/>
      <c r="J17" s="576"/>
      <c r="K17" s="576"/>
      <c r="L17" s="579"/>
      <c r="N17" s="773"/>
      <c r="O17" s="774"/>
      <c r="P17" s="775"/>
      <c r="Q17" s="775"/>
      <c r="R17" s="775"/>
      <c r="S17" s="775"/>
      <c r="T17" s="775"/>
      <c r="U17" s="775"/>
      <c r="W17" s="772"/>
    </row>
    <row r="18" spans="3:23" ht="14.1" customHeight="1">
      <c r="C18" s="497" t="s">
        <v>321</v>
      </c>
      <c r="D18" s="497" t="s">
        <v>63</v>
      </c>
      <c r="E18" s="502">
        <v>600989</v>
      </c>
      <c r="F18" s="582" t="s">
        <v>62</v>
      </c>
      <c r="G18" s="576"/>
      <c r="H18" s="583"/>
      <c r="I18" s="203"/>
      <c r="J18" s="576"/>
      <c r="K18" s="576"/>
      <c r="L18" s="579"/>
      <c r="N18" s="510" t="s">
        <v>322</v>
      </c>
      <c r="O18" s="102" t="str">
        <f t="shared" ref="O18:U18" si="8">INDEX($C7:$L188,MATCH("*AHJ*",F7:F191,0),1)</f>
        <v>AREEBA HMO</v>
      </c>
      <c r="P18" s="102" t="str">
        <f t="shared" si="8"/>
        <v>BRIANNA HMO</v>
      </c>
      <c r="Q18" s="102" t="str">
        <f t="shared" si="8"/>
        <v>FADIA HMO</v>
      </c>
      <c r="R18" s="102" t="str">
        <f t="shared" si="8"/>
        <v>NATHAN HMO</v>
      </c>
      <c r="S18" s="102" t="str">
        <f t="shared" si="8"/>
        <v>MIKEY HMO</v>
      </c>
      <c r="T18" s="102" t="str">
        <f t="shared" si="8"/>
        <v>VISHNU HMO</v>
      </c>
      <c r="U18" s="102" t="str">
        <f t="shared" si="8"/>
        <v>BRIER HMO</v>
      </c>
      <c r="V18" s="34" t="s">
        <v>323</v>
      </c>
      <c r="W18" s="89">
        <v>1</v>
      </c>
    </row>
    <row r="19" spans="3:23" ht="14.1" customHeight="1">
      <c r="C19" s="511" t="s">
        <v>324</v>
      </c>
      <c r="D19" s="497" t="s">
        <v>64</v>
      </c>
      <c r="E19" s="502">
        <v>628578</v>
      </c>
      <c r="F19" s="582"/>
      <c r="G19" s="583"/>
      <c r="H19" s="203"/>
      <c r="I19" s="76" t="s">
        <v>47</v>
      </c>
      <c r="J19" s="565" t="s">
        <v>33</v>
      </c>
      <c r="K19" s="577" t="s">
        <v>35</v>
      </c>
      <c r="L19" s="604" t="s">
        <v>38</v>
      </c>
      <c r="N19" s="776" t="s">
        <v>325</v>
      </c>
      <c r="O19" s="777" t="str" cm="1">
        <f t="array" ref="O19">_xlfn.TEXTJOIN(CHAR(10),TRUE,_xlfn._xlws.FILTER($C7:$C184,RIGHT(F7:F184,LEN("ASSJ"))="ASSJ",""))</f>
        <v>BRENDAN HMO</v>
      </c>
      <c r="P19" s="750" t="str" cm="1">
        <f t="array" ref="P19">_xlfn.TEXTJOIN(CHAR(10),TRUE,_xlfn._xlws.FILTER($C7:$C184,RIGHT(G7:G184,LEN("ASSJ"))="ASSJ",""))</f>
        <v>PHILLIP HMO</v>
      </c>
      <c r="Q19" s="750" t="str" cm="1">
        <f t="array" ref="Q19">_xlfn.TEXTJOIN(CHAR(10),TRUE,_xlfn._xlws.FILTER($C7:$C184,RIGHT(H7:H184,LEN("ASSJ"))="ASSJ",""))</f>
        <v>BRIANNA HMO</v>
      </c>
      <c r="R19" s="750" t="str" cm="1">
        <f t="array" ref="R19">_xlfn.TEXTJOIN(CHAR(10),TRUE,_xlfn._xlws.FILTER($C7:$C184,RIGHT(I7:I184,LEN("ASSJ"))="ASSJ",""))</f>
        <v>MILOS HMO</v>
      </c>
      <c r="S19" s="750" t="str" cm="1">
        <f t="array" ref="S19">_xlfn.TEXTJOIN(CHAR(10),TRUE,_xlfn._xlws.FILTER($C7:$C184,RIGHT(J7:J184,LEN("ASSJ"))="ASSJ",""))</f>
        <v>LISA HMO</v>
      </c>
      <c r="T19" s="750" t="str" cm="1">
        <f t="array" ref="T19">_xlfn.TEXTJOIN(CHAR(10),TRUE,_xlfn._xlws.FILTER($C7:$C184,RIGHT(K7:K184,LEN("ASSJ"))="ASSJ",""))</f>
        <v>BRIER HMO</v>
      </c>
      <c r="U19" s="788" t="str" cm="1">
        <f t="array" ref="U19">_xlfn.TEXTJOIN(CHAR(10),TRUE,_xlfn._xlws.FILTER($C7:$C184,RIGHT(L7:L184,LEN("ASSJ"))="ASSJ",""))</f>
        <v>VISHNU HMO</v>
      </c>
      <c r="V19" s="34" t="s">
        <v>326</v>
      </c>
      <c r="W19" s="772">
        <v>2</v>
      </c>
    </row>
    <row r="20" spans="3:23" ht="14.1" customHeight="1">
      <c r="C20" s="497" t="s">
        <v>327</v>
      </c>
      <c r="D20" s="504" t="s">
        <v>68</v>
      </c>
      <c r="E20" s="512">
        <v>628603</v>
      </c>
      <c r="F20" s="582"/>
      <c r="G20" s="565" t="s">
        <v>47</v>
      </c>
      <c r="H20" s="565" t="s">
        <v>50</v>
      </c>
      <c r="I20" s="565" t="s">
        <v>37</v>
      </c>
      <c r="J20" s="565" t="s">
        <v>34</v>
      </c>
      <c r="K20" s="565"/>
      <c r="L20" s="577"/>
      <c r="N20" s="776"/>
      <c r="O20" s="777"/>
      <c r="P20" s="750"/>
      <c r="Q20" s="750"/>
      <c r="R20" s="750"/>
      <c r="S20" s="750"/>
      <c r="T20" s="750"/>
      <c r="U20" s="788"/>
      <c r="W20" s="772"/>
    </row>
    <row r="21" spans="3:23" ht="14.1" customHeight="1">
      <c r="C21" s="513" t="s">
        <v>329</v>
      </c>
      <c r="D21" s="504" t="s">
        <v>71</v>
      </c>
      <c r="E21" s="113">
        <v>631416</v>
      </c>
      <c r="F21" s="204"/>
      <c r="G21" s="565"/>
      <c r="H21" s="576"/>
      <c r="I21" s="565" t="s">
        <v>50</v>
      </c>
      <c r="J21" s="565" t="s">
        <v>43</v>
      </c>
      <c r="K21" s="565"/>
      <c r="L21" s="577"/>
      <c r="N21" s="733" t="s">
        <v>330</v>
      </c>
      <c r="O21" s="777" t="str" cm="1">
        <f t="array" ref="O21">_xlfn.TEXTJOIN(CHAR(10),TRUE,IF(F112:F184="0800-1730",$C112:$C184,""))</f>
        <v>HENLEY HMO
Peter INT
Sewni INT</v>
      </c>
      <c r="P21" s="750" t="str" cm="1">
        <f t="array" ref="P21">_xlfn.TEXTJOIN(CHAR(10),TRUE,IF(G112:G184="0800-1730",$C112:$C184,""))</f>
        <v>BRENDAN HMO
NATHAN HMO
Peter INT
Jason INT
Sewni INT</v>
      </c>
      <c r="Q21" s="750" t="str" cm="1">
        <f t="array" ref="Q21">_xlfn.TEXTJOIN(CHAR(10),TRUE,IF(H112:H184="0800-1730",$C112:$C184,""))</f>
        <v>PHILLIP HMO
Jason INT</v>
      </c>
      <c r="R21" s="750" t="str" cm="1">
        <f t="array" ref="R21">_xlfn.TEXTJOIN(CHAR(10),TRUE,IF(I112:I184="0800-1730",$C112:$C184,""))</f>
        <v>AARON N. HMO
Iolanda INT
Jason INT</v>
      </c>
      <c r="S21" s="750" t="str" cm="1">
        <f t="array" ref="S21">_xlfn.TEXTJOIN(CHAR(10),TRUE,IF(J112:J184="0800-1730",$C112:$C184,""))</f>
        <v>AARON N. HMO
Iolanda INT
Sewni INT</v>
      </c>
      <c r="T21" s="750" t="str" cm="1">
        <f t="array" ref="T21">_xlfn.TEXTJOIN(CHAR(10),TRUE,IF(K112:K184="0800-1730",$C112:$C184,""))</f>
        <v>AARON B. HMO
PHILLIP HMO
May INT</v>
      </c>
      <c r="U21" s="750" t="str" cm="1">
        <f t="array" ref="U21">_xlfn.TEXTJOIN(CHAR(10),TRUE,IF(L112:L184="0800-1730",$C112:$C184,""))</f>
        <v>NATHAN HMO
May INT</v>
      </c>
      <c r="W21" s="772">
        <v>7</v>
      </c>
    </row>
    <row r="22" spans="3:23" ht="14.1" customHeight="1">
      <c r="C22" s="80" t="s">
        <v>331</v>
      </c>
      <c r="D22" s="514" t="s">
        <v>73</v>
      </c>
      <c r="E22" s="515">
        <v>613670</v>
      </c>
      <c r="F22" s="582" t="s">
        <v>74</v>
      </c>
      <c r="G22" s="576"/>
      <c r="H22" s="576"/>
      <c r="I22" s="576"/>
      <c r="J22" s="576"/>
      <c r="K22" s="576"/>
      <c r="L22" s="579"/>
      <c r="N22" s="734"/>
      <c r="O22" s="777"/>
      <c r="P22" s="750"/>
      <c r="Q22" s="750"/>
      <c r="R22" s="750"/>
      <c r="S22" s="750"/>
      <c r="T22" s="750"/>
      <c r="U22" s="750"/>
      <c r="W22" s="772"/>
    </row>
    <row r="23" spans="3:23" ht="14.1" customHeight="1">
      <c r="C23" s="511" t="s">
        <v>332</v>
      </c>
      <c r="D23" s="504" t="s">
        <v>76</v>
      </c>
      <c r="E23" s="516">
        <v>621988</v>
      </c>
      <c r="F23" s="685" t="s">
        <v>78</v>
      </c>
      <c r="G23" s="686"/>
      <c r="H23" s="686"/>
      <c r="I23" s="686"/>
      <c r="J23" s="686"/>
      <c r="K23" s="686"/>
      <c r="L23" s="687"/>
      <c r="N23" s="734"/>
      <c r="O23" s="777"/>
      <c r="P23" s="750"/>
      <c r="Q23" s="750"/>
      <c r="R23" s="750"/>
      <c r="S23" s="750"/>
      <c r="T23" s="750"/>
      <c r="U23" s="750"/>
      <c r="W23" s="772"/>
    </row>
    <row r="24" spans="3:23" ht="14.1" customHeight="1">
      <c r="C24" s="497" t="s">
        <v>333</v>
      </c>
      <c r="D24" s="497" t="s">
        <v>79</v>
      </c>
      <c r="E24" s="502">
        <v>609408</v>
      </c>
      <c r="F24" s="575" t="s">
        <v>36</v>
      </c>
      <c r="G24" s="565"/>
      <c r="H24" s="565" t="s">
        <v>57</v>
      </c>
      <c r="I24" s="565" t="s">
        <v>33</v>
      </c>
      <c r="J24" s="565" t="s">
        <v>37</v>
      </c>
      <c r="K24" s="565"/>
      <c r="L24" s="577"/>
      <c r="N24" s="734"/>
      <c r="O24" s="777"/>
      <c r="P24" s="750"/>
      <c r="Q24" s="750"/>
      <c r="R24" s="750"/>
      <c r="S24" s="750"/>
      <c r="T24" s="750"/>
      <c r="U24" s="750"/>
      <c r="W24" s="772"/>
    </row>
    <row r="25" spans="3:23" ht="14.1" customHeight="1">
      <c r="C25" s="511" t="s">
        <v>334</v>
      </c>
      <c r="D25" s="497" t="s">
        <v>81</v>
      </c>
      <c r="E25" s="516">
        <v>632646</v>
      </c>
      <c r="F25" s="587" t="s">
        <v>77</v>
      </c>
      <c r="G25" s="588"/>
      <c r="H25" s="588"/>
      <c r="I25" s="588"/>
      <c r="J25" s="588"/>
      <c r="K25" s="588"/>
      <c r="L25" s="579"/>
      <c r="N25" s="734"/>
      <c r="O25" s="777"/>
      <c r="P25" s="750"/>
      <c r="Q25" s="750"/>
      <c r="R25" s="750"/>
      <c r="S25" s="750"/>
      <c r="T25" s="750"/>
      <c r="U25" s="750"/>
      <c r="W25" s="772"/>
    </row>
    <row r="26" spans="3:23" ht="14.1" customHeight="1">
      <c r="C26" s="511" t="s">
        <v>335</v>
      </c>
      <c r="D26" s="497" t="s">
        <v>82</v>
      </c>
      <c r="E26" s="517">
        <v>634491</v>
      </c>
      <c r="F26" s="585" t="s">
        <v>33</v>
      </c>
      <c r="G26" s="586"/>
      <c r="H26" s="586" t="s">
        <v>43</v>
      </c>
      <c r="I26" s="586"/>
      <c r="J26" s="586"/>
      <c r="K26" s="588"/>
      <c r="L26" s="579"/>
      <c r="N26" s="734"/>
      <c r="O26" s="777"/>
      <c r="P26" s="750"/>
      <c r="Q26" s="750"/>
      <c r="R26" s="750"/>
      <c r="S26" s="750"/>
      <c r="T26" s="750"/>
      <c r="U26" s="750"/>
      <c r="W26" s="772"/>
    </row>
    <row r="27" spans="3:23" ht="14.1" customHeight="1" thickBot="1">
      <c r="C27" s="518" t="s">
        <v>83</v>
      </c>
      <c r="D27" s="518" t="s">
        <v>336</v>
      </c>
      <c r="E27" s="519"/>
      <c r="F27" s="316"/>
      <c r="G27" s="378"/>
      <c r="H27" s="378"/>
      <c r="I27" s="378"/>
      <c r="J27" s="378"/>
      <c r="K27" s="378"/>
      <c r="L27" s="319"/>
      <c r="N27" s="773"/>
      <c r="O27" s="777"/>
      <c r="P27" s="750"/>
      <c r="Q27" s="750"/>
      <c r="R27" s="750"/>
      <c r="S27" s="750"/>
      <c r="T27" s="750"/>
      <c r="U27" s="750"/>
      <c r="W27" s="772"/>
    </row>
    <row r="28" spans="3:23" ht="14.1" customHeight="1">
      <c r="C28" s="497" t="s">
        <v>337</v>
      </c>
      <c r="D28" s="497" t="s">
        <v>84</v>
      </c>
      <c r="E28" s="502">
        <v>502961</v>
      </c>
      <c r="F28" s="595" t="s">
        <v>30</v>
      </c>
      <c r="G28" s="596"/>
      <c r="H28" s="596"/>
      <c r="I28" s="596"/>
      <c r="J28" s="596"/>
      <c r="K28" s="596"/>
      <c r="L28" s="597"/>
      <c r="N28" s="778" t="s">
        <v>338</v>
      </c>
      <c r="O28" s="781" t="str" cm="1">
        <f t="array" ref="O28">_xlfn.TEXTJOIN(CHAR(10),TRUE,_xlfn._xlws.FILTER($C7:$C184,RIGHT(F7:F184,LEN("SWA"))="SWA",""))</f>
        <v>JOSHUA IR
POH JR</v>
      </c>
      <c r="P28" s="770" t="str" cm="1">
        <f t="array" ref="P28">_xlfn.TEXTJOIN(CHAR(10),TRUE,_xlfn._xlws.FILTER($C7:$C184,RIGHT(G7:G184,LEN("SWA"))="SWA",""))</f>
        <v/>
      </c>
      <c r="Q28" s="770" t="str" cm="1">
        <f t="array" ref="Q28">_xlfn.TEXTJOIN(CHAR(10),TRUE,_xlfn._xlws.FILTER($C7:$C184,RIGHT(H7:H184,LEN("SWA"))="SWA",""))</f>
        <v>NATHAN HMO</v>
      </c>
      <c r="R28" s="770" t="str" cm="1">
        <f t="array" ref="R28">_xlfn.TEXTJOIN(CHAR(10),TRUE,_xlfn._xlws.FILTER($C7:$C184,RIGHT(I7:I184,LEN("SWA"))="SWA",""))</f>
        <v/>
      </c>
      <c r="S28" s="770" t="str" cm="1">
        <f t="array" ref="S28">_xlfn.TEXTJOIN(CHAR(10),TRUE,_xlfn._xlws.FILTER($C7:$C184,RIGHT(J7:J184,LEN("SWA"))="SWA",""))</f>
        <v/>
      </c>
      <c r="T28" s="770" t="str" cm="1">
        <f t="array" ref="T28">_xlfn.TEXTJOIN(CHAR(10),TRUE,_xlfn._xlws.FILTER($C7:$C184,RIGHT(K7:K184,LEN("SWA"))="SWA",""))</f>
        <v>AMY SR</v>
      </c>
      <c r="U28" s="771" t="str" cm="1">
        <f t="array" ref="U28">_xlfn.TEXTJOIN(CHAR(10),TRUE,_xlfn._xlws.FILTER($C7:$C184,RIGHT(L7:L184,LEN("SWA"))="SWA",""))</f>
        <v/>
      </c>
      <c r="V28" s="34" t="s">
        <v>339</v>
      </c>
      <c r="W28" s="772">
        <v>3</v>
      </c>
    </row>
    <row r="29" spans="3:23" ht="14.1" customHeight="1">
      <c r="C29" s="497" t="s">
        <v>340</v>
      </c>
      <c r="D29" s="497" t="s">
        <v>96</v>
      </c>
      <c r="E29" s="502">
        <v>601096</v>
      </c>
      <c r="F29" s="572" t="s">
        <v>31</v>
      </c>
      <c r="G29" s="573"/>
      <c r="H29" s="573"/>
      <c r="I29" s="573"/>
      <c r="J29" s="573"/>
      <c r="K29" s="573"/>
      <c r="L29" s="574"/>
      <c r="N29" s="779"/>
      <c r="O29" s="782"/>
      <c r="P29" s="740"/>
      <c r="Q29" s="740"/>
      <c r="R29" s="740"/>
      <c r="S29" s="740"/>
      <c r="T29" s="740"/>
      <c r="U29" s="764"/>
      <c r="W29" s="772"/>
    </row>
    <row r="30" spans="3:23" ht="14.1" customHeight="1" thickBot="1">
      <c r="C30" s="497" t="s">
        <v>341</v>
      </c>
      <c r="D30" s="497" t="s">
        <v>97</v>
      </c>
      <c r="E30" s="502">
        <v>260509</v>
      </c>
      <c r="F30" s="582"/>
      <c r="G30" s="576"/>
      <c r="H30" s="565" t="s">
        <v>33</v>
      </c>
      <c r="I30" s="565" t="s">
        <v>40</v>
      </c>
      <c r="J30" s="565" t="s">
        <v>36</v>
      </c>
      <c r="K30" s="565"/>
      <c r="L30" s="577"/>
      <c r="N30" s="780"/>
      <c r="O30" s="783"/>
      <c r="P30" s="741"/>
      <c r="Q30" s="741"/>
      <c r="R30" s="741"/>
      <c r="S30" s="741"/>
      <c r="T30" s="741"/>
      <c r="U30" s="765"/>
      <c r="W30" s="772"/>
    </row>
    <row r="31" spans="3:23" ht="14.1" customHeight="1" thickBot="1">
      <c r="C31" s="504" t="s">
        <v>343</v>
      </c>
      <c r="D31" s="504" t="s">
        <v>99</v>
      </c>
      <c r="E31" s="502">
        <v>603237</v>
      </c>
      <c r="F31" s="596" t="s">
        <v>30</v>
      </c>
      <c r="G31" s="596"/>
      <c r="H31" s="596"/>
      <c r="I31" s="596"/>
      <c r="J31" s="596"/>
      <c r="K31" s="596"/>
      <c r="L31" s="596"/>
      <c r="N31" s="101"/>
      <c r="O31" s="101"/>
      <c r="P31" s="101"/>
      <c r="Q31" s="101"/>
      <c r="R31" s="101"/>
      <c r="S31" s="101"/>
      <c r="T31" s="101"/>
      <c r="U31" s="101"/>
      <c r="V31" s="101"/>
      <c r="W31" s="101"/>
    </row>
    <row r="32" spans="3:23" ht="14.1" customHeight="1">
      <c r="C32" s="520" t="s">
        <v>344</v>
      </c>
      <c r="D32" s="520" t="s">
        <v>101</v>
      </c>
      <c r="E32" s="502">
        <v>613781</v>
      </c>
      <c r="F32" s="582"/>
      <c r="G32" s="565"/>
      <c r="H32" s="565" t="s">
        <v>47</v>
      </c>
      <c r="I32" s="576"/>
      <c r="J32" s="565"/>
      <c r="K32" s="590" t="s">
        <v>34</v>
      </c>
      <c r="L32" s="651" t="s">
        <v>36</v>
      </c>
      <c r="N32" s="103" t="s">
        <v>345</v>
      </c>
      <c r="O32" s="98" t="str">
        <f>F62</f>
        <v>REZA</v>
      </c>
      <c r="P32" s="98" t="str">
        <f>G62</f>
        <v>REZA</v>
      </c>
      <c r="Q32" s="98" t="str">
        <f t="shared" ref="Q32:S32" si="9">H62</f>
        <v xml:space="preserve">MANEESHA </v>
      </c>
      <c r="R32" s="98" t="str">
        <f t="shared" si="9"/>
        <v>REZA</v>
      </c>
      <c r="S32" s="98" t="str">
        <f t="shared" si="9"/>
        <v xml:space="preserve">JENNY </v>
      </c>
      <c r="T32" s="99"/>
      <c r="U32" s="100"/>
      <c r="W32" s="89"/>
    </row>
    <row r="33" spans="3:23" ht="14.1" customHeight="1" thickBot="1">
      <c r="C33" s="497" t="s">
        <v>346</v>
      </c>
      <c r="D33" s="497" t="s">
        <v>102</v>
      </c>
      <c r="E33" s="502">
        <v>611691</v>
      </c>
      <c r="F33" s="565" t="s">
        <v>38</v>
      </c>
      <c r="G33" s="565"/>
      <c r="H33" s="565" t="s">
        <v>41</v>
      </c>
      <c r="I33" s="565"/>
      <c r="J33" s="565" t="s">
        <v>47</v>
      </c>
      <c r="K33" s="565"/>
      <c r="L33" s="565"/>
      <c r="N33" s="947" t="s">
        <v>347</v>
      </c>
      <c r="O33" s="521" t="str" cm="1">
        <f t="array" ref="O33">_xlfn.TEXTJOIN(CHAR(10),TRUE,_xlfn._xlws.FILTER($C7:$C184,RIGHT(F7:F184,LEN("CSO"))="CSO",""))</f>
        <v>YAN SMS</v>
      </c>
      <c r="P33" s="948" t="str" cm="1">
        <f t="array" ref="P33">_xlfn.TEXTJOIN(CHAR(10),TRUE,_xlfn._xlws.FILTER($C7:$C184,RIGHT(G7:G184,LEN("CSO"))="CSO",""))</f>
        <v>BARRY SMS</v>
      </c>
      <c r="Q33" s="948" t="str" cm="1">
        <f t="array" ref="Q33">_xlfn.TEXTJOIN(CHAR(10),TRUE,_xlfn._xlws.FILTER($C7:$C184,RIGHT(H7:H184,LEN("CSO"))="CSO",""))</f>
        <v>CHAMARA SMS</v>
      </c>
      <c r="R33" s="948" t="str" cm="1">
        <f t="array" ref="R33">_xlfn.TEXTJOIN(CHAR(10),TRUE,_xlfn._xlws.FILTER($C7:$C184,RIGHT(I7:I184,LEN("CSO"))="CSO",""))</f>
        <v>JIMMY SMS</v>
      </c>
      <c r="S33" s="948" t="str" cm="1">
        <f t="array" ref="S33">_xlfn.TEXTJOIN(CHAR(10),TRUE,_xlfn._xlws.FILTER($C7:$C184,RIGHT(J7:J184,LEN("CSO"))="CSO",""))</f>
        <v>TITUS CMO</v>
      </c>
      <c r="T33" s="948"/>
      <c r="U33" s="949"/>
      <c r="W33" s="89"/>
    </row>
    <row r="34" spans="3:23" ht="14.1" customHeight="1" thickBot="1">
      <c r="C34" s="497" t="s">
        <v>348</v>
      </c>
      <c r="D34" s="504" t="s">
        <v>103</v>
      </c>
      <c r="E34" s="502">
        <v>634258</v>
      </c>
      <c r="F34" s="595" t="s">
        <v>30</v>
      </c>
      <c r="G34" s="596"/>
      <c r="H34" s="596"/>
      <c r="I34" s="596"/>
      <c r="J34" s="596"/>
      <c r="K34" s="596"/>
      <c r="L34" s="597"/>
      <c r="O34" s="89"/>
      <c r="W34" s="89"/>
    </row>
    <row r="35" spans="3:23" ht="14.1" customHeight="1" thickBot="1">
      <c r="C35" s="504" t="s">
        <v>349</v>
      </c>
      <c r="D35" s="504" t="s">
        <v>104</v>
      </c>
      <c r="E35" s="506">
        <v>618946</v>
      </c>
      <c r="F35" s="595" t="s">
        <v>108</v>
      </c>
      <c r="G35" s="596"/>
      <c r="H35" s="565"/>
      <c r="I35" s="565"/>
      <c r="J35" s="565" t="s">
        <v>46</v>
      </c>
      <c r="K35" s="565"/>
      <c r="L35" s="576"/>
      <c r="O35" s="784" t="s">
        <v>350</v>
      </c>
      <c r="P35" s="785"/>
      <c r="Q35" s="785"/>
      <c r="R35" s="785"/>
      <c r="S35" s="785"/>
      <c r="T35" s="785"/>
      <c r="U35" s="786"/>
      <c r="W35" s="89" t="s">
        <v>351</v>
      </c>
    </row>
    <row r="36" spans="3:23" ht="14.1" customHeight="1">
      <c r="C36" s="504" t="s">
        <v>352</v>
      </c>
      <c r="D36" s="504" t="s">
        <v>109</v>
      </c>
      <c r="E36" s="502">
        <v>634702</v>
      </c>
      <c r="F36" s="592" t="s">
        <v>98</v>
      </c>
      <c r="G36" s="593"/>
      <c r="H36" s="593"/>
      <c r="I36" s="593"/>
      <c r="J36" s="593"/>
      <c r="K36" s="593"/>
      <c r="L36" s="594"/>
      <c r="N36" s="104" t="s">
        <v>303</v>
      </c>
      <c r="O36" s="105" t="str">
        <f t="shared" ref="O36:U36" si="10">INDEX($C7:$L188,MATCH("*Pgc",F7:F191,0),1)</f>
        <v>MICHAEL SMS</v>
      </c>
      <c r="P36" s="99" t="str">
        <f t="shared" si="10"/>
        <v>JEREMY SMS</v>
      </c>
      <c r="Q36" s="99" t="str">
        <f t="shared" si="10"/>
        <v>STEVE T SMS</v>
      </c>
      <c r="R36" s="99" t="str">
        <f t="shared" si="10"/>
        <v>TARA K. SMS</v>
      </c>
      <c r="S36" s="99" t="str">
        <f t="shared" si="10"/>
        <v>ANDRE SMS</v>
      </c>
      <c r="T36" s="99" t="str">
        <f t="shared" si="10"/>
        <v>ABI SMS</v>
      </c>
      <c r="U36" s="100" t="str">
        <f t="shared" si="10"/>
        <v>STEPHEN G SMS</v>
      </c>
      <c r="V36" s="34" t="s">
        <v>293</v>
      </c>
      <c r="W36" s="772">
        <v>5</v>
      </c>
    </row>
    <row r="37" spans="3:23" ht="14.1" customHeight="1">
      <c r="C37" s="78" t="s">
        <v>353</v>
      </c>
      <c r="D37" s="504" t="s">
        <v>110</v>
      </c>
      <c r="E37" s="498">
        <v>648587</v>
      </c>
      <c r="F37" s="575"/>
      <c r="G37" s="210" t="s">
        <v>342</v>
      </c>
      <c r="H37" s="65" t="s">
        <v>35</v>
      </c>
      <c r="I37" s="65"/>
      <c r="J37" s="565"/>
      <c r="K37" s="565"/>
      <c r="L37" s="604"/>
      <c r="N37" s="522" t="s">
        <v>305</v>
      </c>
      <c r="O37" s="523" t="str">
        <f t="shared" ref="O37:U37" si="11">INDEX($C7:$L188,MATCH("*PAC",F7:F190,0),1)</f>
        <v>ANDY L  SMS</v>
      </c>
      <c r="P37" s="500" t="str">
        <f t="shared" si="11"/>
        <v>PAIGE SMS</v>
      </c>
      <c r="Q37" s="500" t="str">
        <f t="shared" si="11"/>
        <v>ANASTASIA SMS</v>
      </c>
      <c r="R37" s="500" t="str">
        <f t="shared" si="11"/>
        <v>QING SMS</v>
      </c>
      <c r="S37" s="500" t="str">
        <f t="shared" si="11"/>
        <v>JAMES SMS</v>
      </c>
      <c r="T37" s="500" t="str">
        <f t="shared" si="11"/>
        <v>MADDY SMS</v>
      </c>
      <c r="U37" s="501" t="str">
        <f t="shared" si="11"/>
        <v>MINA SMS</v>
      </c>
      <c r="V37" s="34" t="s">
        <v>292</v>
      </c>
      <c r="W37" s="772"/>
    </row>
    <row r="38" spans="3:23" ht="14.1" customHeight="1">
      <c r="C38" s="78" t="s">
        <v>354</v>
      </c>
      <c r="D38" s="504" t="s">
        <v>111</v>
      </c>
      <c r="E38" s="498">
        <v>637933</v>
      </c>
      <c r="F38" s="572" t="s">
        <v>31</v>
      </c>
      <c r="G38" s="573"/>
      <c r="H38" s="573"/>
      <c r="I38" s="573"/>
      <c r="J38" s="573"/>
      <c r="K38" s="573"/>
      <c r="L38" s="574"/>
      <c r="N38" s="524" t="s">
        <v>307</v>
      </c>
      <c r="O38" s="523" t="str">
        <f t="shared" ref="O38:U38" si="12">INDEX($C7:$L188,MATCH("*PRC",F7:F191,0),1)</f>
        <v>RAMI SMS</v>
      </c>
      <c r="P38" s="500" t="str">
        <f t="shared" si="12"/>
        <v>JULIA SMS</v>
      </c>
      <c r="Q38" s="500" t="str">
        <f t="shared" si="12"/>
        <v>QAIS SMS</v>
      </c>
      <c r="R38" s="500" t="str">
        <f t="shared" si="12"/>
        <v>YAN SMS</v>
      </c>
      <c r="S38" s="500" t="str">
        <f t="shared" si="12"/>
        <v>BEN SMS</v>
      </c>
      <c r="T38" s="500" t="str">
        <f t="shared" si="12"/>
        <v>MINA SMS</v>
      </c>
      <c r="U38" s="501" t="str">
        <f t="shared" si="12"/>
        <v>ABI SMS</v>
      </c>
      <c r="V38" s="34" t="s">
        <v>291</v>
      </c>
      <c r="W38" s="772"/>
    </row>
    <row r="39" spans="3:23" ht="14.1" customHeight="1">
      <c r="C39" s="504" t="s">
        <v>355</v>
      </c>
      <c r="D39" s="504" t="s">
        <v>112</v>
      </c>
      <c r="E39" s="506">
        <v>634394</v>
      </c>
      <c r="F39" s="581" t="s">
        <v>50</v>
      </c>
      <c r="G39" s="66"/>
      <c r="H39" s="566" t="s">
        <v>41</v>
      </c>
      <c r="I39" s="566" t="s">
        <v>35</v>
      </c>
      <c r="J39" s="576"/>
      <c r="K39" s="566"/>
      <c r="L39" s="598"/>
      <c r="N39" s="525" t="s">
        <v>309</v>
      </c>
      <c r="O39" s="523" t="e">
        <f t="shared" ref="O39:U39" si="13">INDEX($C7:$L188,MATCH("*PSSC",F7:F191,0),1)</f>
        <v>#N/A</v>
      </c>
      <c r="P39" s="500" t="str">
        <f t="shared" si="13"/>
        <v>SINDY SMS</v>
      </c>
      <c r="Q39" s="500" t="str">
        <f t="shared" si="13"/>
        <v>DAVID SMS</v>
      </c>
      <c r="R39" s="500" t="str">
        <f t="shared" si="13"/>
        <v>BEN SMS</v>
      </c>
      <c r="S39" s="500" t="str">
        <f t="shared" si="13"/>
        <v>CHAMARA SMS</v>
      </c>
      <c r="T39" s="500" t="str">
        <f t="shared" si="13"/>
        <v>STEPHEN G SMS</v>
      </c>
      <c r="U39" s="501" t="str">
        <f t="shared" si="13"/>
        <v>VARUNA SMS</v>
      </c>
      <c r="V39" s="34" t="s">
        <v>295</v>
      </c>
      <c r="W39" s="772"/>
    </row>
    <row r="40" spans="3:23" ht="14.1" customHeight="1">
      <c r="C40" s="497" t="s">
        <v>356</v>
      </c>
      <c r="D40" s="526" t="s">
        <v>113</v>
      </c>
      <c r="E40" s="502">
        <v>605686</v>
      </c>
      <c r="F40" s="611" t="s">
        <v>32</v>
      </c>
      <c r="G40" s="600" t="s">
        <v>35</v>
      </c>
      <c r="H40" s="601"/>
      <c r="I40" s="600"/>
      <c r="J40" s="600"/>
      <c r="K40" s="600"/>
      <c r="L40" s="603"/>
      <c r="N40" s="527" t="s">
        <v>357</v>
      </c>
      <c r="O40" s="523" t="str">
        <f>INDEX($C7:$L214,MATCH("*PCC*",F7:F202,0),1)</f>
        <v>TITUS CMO</v>
      </c>
      <c r="P40" s="500" t="e">
        <f>INDEX($C7:$L214,MATCH("*PCC*",G7:G202,0),1)</f>
        <v>#N/A</v>
      </c>
      <c r="Q40" s="500" t="e">
        <f>INDEX($C7:$L214,MATCH("*PCC*",H7:H199,0),1)</f>
        <v>#N/A</v>
      </c>
      <c r="R40" s="500" t="e">
        <f>INDEX($C7:$L214,MATCH("*PCC*",I7:I202,0),1)</f>
        <v>#N/A</v>
      </c>
      <c r="S40" s="500" t="str">
        <f>INDEX($C7:$L214,MATCH("*PCC*",J7:J202,0),1)</f>
        <v>SCOTT SMS</v>
      </c>
      <c r="T40" s="500" t="e">
        <f>INDEX($C7:$L214,MATCH("*PCC*",K7:K202,0),1)</f>
        <v>#N/A</v>
      </c>
      <c r="U40" s="501" t="e">
        <f>INDEX($C7:$L214,MATCH("*PCC*",L7:L202,0),1)</f>
        <v>#N/A</v>
      </c>
      <c r="V40" s="34" t="s">
        <v>294</v>
      </c>
      <c r="W40" s="772"/>
    </row>
    <row r="41" spans="3:23" ht="14.1" customHeight="1">
      <c r="C41" s="79" t="s">
        <v>358</v>
      </c>
      <c r="D41" s="497" t="s">
        <v>114</v>
      </c>
      <c r="E41" s="502">
        <v>119385</v>
      </c>
      <c r="F41" s="578" t="s">
        <v>531</v>
      </c>
      <c r="G41" s="566"/>
      <c r="H41" s="566"/>
      <c r="I41" s="565"/>
      <c r="J41" s="565"/>
      <c r="K41" s="565" t="s">
        <v>37</v>
      </c>
      <c r="L41" s="577"/>
      <c r="N41" s="789" t="s">
        <v>360</v>
      </c>
      <c r="O41" s="787" t="str" cm="1">
        <f t="array" ref="O41">_xlfn.TEXTJOIN(CHAR(10),TRUE,IF(F7:F111="1430-0000 PFC",$C7:$C111,""),IF(F7:F111="1400-0000 PFC",$C7:$C111,""),IF(F7:F111="1430-0000",$C7:$C111,""))</f>
        <v>PATRICK SR
DESLIN JR
JESSICA JR</v>
      </c>
      <c r="P41" s="750" t="str" cm="1">
        <f t="array" ref="P41">_xlfn.TEXTJOIN(CHAR(10),TRUE,IF(G7:G111="1430-0000 PFC",$C7:$C111,""),IF(G7:G111="1400-0000 PFC",$C7:$C111,""),IF(G7:G111="1430-0000",$C7:$C111,""))</f>
        <v>PATRICK SR
DESLIN JR
GIOVANA JR
SYLVIA JR</v>
      </c>
      <c r="Q41" s="750" t="str" cm="1">
        <f t="array" ref="Q41">_xlfn.TEXTJOIN(CHAR(10),TRUE,IF(H7:H111="1430-0000 PFC",$C7:$C111,""),IF(H7:H111="1400-0000 PFC",$C7:$C111,""),IF(H7:H111="1430-0000",$C7:$C111,""))</f>
        <v>DENNIS SR
MARK SR
HANNAH IR
JEROME JR</v>
      </c>
      <c r="R41" s="750" t="str" cm="1">
        <f t="array" ref="R41">_xlfn.TEXTJOIN(CHAR(10),TRUE,IF(I7:I111="1430-0000 PFC",$C7:$C111,""),IF(I7:I111="1400-0000 PFC",$C7:$C111,""),IF(I7:I111="1430-0000",$C7:$C111,""))</f>
        <v>DENNIS SR
DESLIN JR
GIOVANA JR
ISOBEL JR</v>
      </c>
      <c r="S41" s="750" t="str" cm="1">
        <f t="array" ref="S41">_xlfn.TEXTJOIN(CHAR(10),TRUE,IF(J7:J111="1430-0000 PFC",$C7:$C111,""),IF(J7:J111="1400-0000 PFC",$C7:$C111,""),IF(J7:J111="1430-0000",$C7:$C111,""))</f>
        <v>PATRICK SR
ISOBEL JR</v>
      </c>
      <c r="T41" s="750" t="str" cm="1">
        <f t="array" ref="T41">_xlfn.TEXTJOIN(CHAR(10),TRUE,IF(K7:K111="1430-0000 PFC",$C7:$C111,""),IF(K7:K111="1400-0000 PFC",$C7:$C111,""),IF(K7:K111="1430-0000",$C7:$C111,""))</f>
        <v>DENNIS SR
ANA CMO
JOSHUA IR</v>
      </c>
      <c r="U41" s="788" t="str" cm="1">
        <f t="array" ref="U41">_xlfn.TEXTJOIN(CHAR(10),TRUE,IF(L7:L111="1430-0000 PFC",$C7:$C111,""),IF(L7:L111="1400-0000 PFC",$C7:$C111,""),IF(L7:L111="1430-0000",$C7:$C111,""))</f>
        <v>AMY SR
ANA CMO
JOSHUA IR</v>
      </c>
      <c r="W41" s="772">
        <v>7</v>
      </c>
    </row>
    <row r="42" spans="3:23" ht="14.1" customHeight="1">
      <c r="C42" s="504" t="s">
        <v>361</v>
      </c>
      <c r="D42" s="504" t="s">
        <v>116</v>
      </c>
      <c r="E42" s="502">
        <v>623962</v>
      </c>
      <c r="F42" s="575"/>
      <c r="G42" s="65"/>
      <c r="H42" s="65"/>
      <c r="I42" s="65"/>
      <c r="J42" s="565"/>
      <c r="K42" s="565"/>
      <c r="L42" s="684" t="s">
        <v>34</v>
      </c>
      <c r="N42" s="790"/>
      <c r="O42" s="787"/>
      <c r="P42" s="750"/>
      <c r="Q42" s="750"/>
      <c r="R42" s="750"/>
      <c r="S42" s="750"/>
      <c r="T42" s="750"/>
      <c r="U42" s="788"/>
      <c r="W42" s="772"/>
    </row>
    <row r="43" spans="3:23" ht="14.1" customHeight="1">
      <c r="C43" s="497" t="s">
        <v>362</v>
      </c>
      <c r="D43" s="504" t="s">
        <v>117</v>
      </c>
      <c r="E43" s="508">
        <v>613725</v>
      </c>
      <c r="F43" s="576"/>
      <c r="G43" s="565" t="s">
        <v>38</v>
      </c>
      <c r="H43" s="565"/>
      <c r="I43" s="565"/>
      <c r="J43" s="565" t="s">
        <v>40</v>
      </c>
      <c r="K43" s="565"/>
      <c r="L43" s="577"/>
      <c r="N43" s="790"/>
      <c r="O43" s="787"/>
      <c r="P43" s="750"/>
      <c r="Q43" s="750"/>
      <c r="R43" s="750"/>
      <c r="S43" s="750"/>
      <c r="T43" s="750"/>
      <c r="U43" s="788"/>
      <c r="W43" s="772"/>
    </row>
    <row r="44" spans="3:23" ht="14.1" customHeight="1">
      <c r="C44" s="497" t="s">
        <v>363</v>
      </c>
      <c r="D44" s="504" t="s">
        <v>118</v>
      </c>
      <c r="E44" s="516">
        <v>612264</v>
      </c>
      <c r="F44" s="575"/>
      <c r="G44" s="565"/>
      <c r="H44" s="565"/>
      <c r="I44" s="565" t="s">
        <v>34</v>
      </c>
      <c r="J44" s="565" t="s">
        <v>35</v>
      </c>
      <c r="K44" s="565"/>
      <c r="L44" s="577"/>
      <c r="N44" s="790"/>
      <c r="O44" s="787"/>
      <c r="P44" s="750"/>
      <c r="Q44" s="750"/>
      <c r="R44" s="750"/>
      <c r="S44" s="750"/>
      <c r="T44" s="750"/>
      <c r="U44" s="788"/>
      <c r="W44" s="772"/>
    </row>
    <row r="45" spans="3:23" ht="14.1" customHeight="1">
      <c r="C45" s="497" t="s">
        <v>364</v>
      </c>
      <c r="D45" s="497" t="s">
        <v>119</v>
      </c>
      <c r="E45" s="502">
        <v>643950</v>
      </c>
      <c r="F45" s="575"/>
      <c r="G45" s="576"/>
      <c r="H45" s="565" t="s">
        <v>33</v>
      </c>
      <c r="I45" s="576"/>
      <c r="J45" s="576"/>
      <c r="K45" s="565"/>
      <c r="L45" s="577" t="s">
        <v>43</v>
      </c>
      <c r="N45" s="790"/>
      <c r="O45" s="787"/>
      <c r="P45" s="750"/>
      <c r="Q45" s="750"/>
      <c r="R45" s="750"/>
      <c r="S45" s="750"/>
      <c r="T45" s="750"/>
      <c r="U45" s="788"/>
      <c r="W45" s="772"/>
    </row>
    <row r="46" spans="3:23" ht="14.1" customHeight="1">
      <c r="C46" s="79" t="s">
        <v>365</v>
      </c>
      <c r="D46" s="723" t="s">
        <v>120</v>
      </c>
      <c r="E46" s="502">
        <v>618881</v>
      </c>
      <c r="F46" s="575" t="s">
        <v>43</v>
      </c>
      <c r="G46" s="565" t="s">
        <v>597</v>
      </c>
      <c r="H46" s="565"/>
      <c r="I46" s="565"/>
      <c r="J46" s="565"/>
      <c r="K46" s="565"/>
      <c r="L46" s="577"/>
      <c r="N46" s="790"/>
      <c r="O46" s="787"/>
      <c r="P46" s="750"/>
      <c r="Q46" s="750"/>
      <c r="R46" s="750"/>
      <c r="S46" s="750"/>
      <c r="T46" s="750"/>
      <c r="U46" s="788"/>
      <c r="W46" s="772"/>
    </row>
    <row r="47" spans="3:23" ht="14.1" customHeight="1">
      <c r="C47" s="497" t="s">
        <v>366</v>
      </c>
      <c r="D47" s="497" t="s">
        <v>122</v>
      </c>
      <c r="E47" s="508">
        <v>141658</v>
      </c>
      <c r="F47" s="572" t="s">
        <v>31</v>
      </c>
      <c r="G47" s="573"/>
      <c r="H47" s="573"/>
      <c r="I47" s="573"/>
      <c r="J47" s="573"/>
      <c r="K47" s="573"/>
      <c r="L47" s="574"/>
      <c r="N47" s="791"/>
      <c r="O47" s="787"/>
      <c r="P47" s="750"/>
      <c r="Q47" s="750"/>
      <c r="R47" s="750"/>
      <c r="S47" s="750"/>
      <c r="T47" s="750"/>
      <c r="U47" s="788"/>
      <c r="W47" s="101"/>
    </row>
    <row r="48" spans="3:23" ht="14.1" customHeight="1">
      <c r="C48" s="511" t="s">
        <v>367</v>
      </c>
      <c r="D48" s="504" t="s">
        <v>123</v>
      </c>
      <c r="E48" s="516">
        <v>654004</v>
      </c>
      <c r="F48" s="575" t="s">
        <v>35</v>
      </c>
      <c r="G48" s="565"/>
      <c r="H48" s="576"/>
      <c r="I48" s="565" t="s">
        <v>33</v>
      </c>
      <c r="J48" s="565"/>
      <c r="K48" s="565"/>
      <c r="L48" s="577"/>
      <c r="N48" s="528" t="s">
        <v>368</v>
      </c>
      <c r="O48" s="523" t="str">
        <f t="shared" ref="O48:U48" si="14">INDEX($C7:$L188,MATCH("*PHJ*",F7:F191,0),1)</f>
        <v>CHRISTINA JR</v>
      </c>
      <c r="P48" s="500" t="str">
        <f t="shared" si="14"/>
        <v>JEROME JR</v>
      </c>
      <c r="Q48" s="500" t="str">
        <f t="shared" si="14"/>
        <v>DESLIN JR</v>
      </c>
      <c r="R48" s="500" t="str">
        <f t="shared" si="14"/>
        <v>PAUL JR</v>
      </c>
      <c r="S48" s="500" t="str">
        <f t="shared" si="14"/>
        <v>GIOVANA JR</v>
      </c>
      <c r="T48" s="500" t="str">
        <f t="shared" si="14"/>
        <v>ISOBEL JR</v>
      </c>
      <c r="U48" s="501" t="str">
        <f t="shared" si="14"/>
        <v>LAURA JR</v>
      </c>
      <c r="V48" s="34" t="s">
        <v>369</v>
      </c>
      <c r="W48" s="89">
        <v>1</v>
      </c>
    </row>
    <row r="49" spans="3:23" ht="14.1" customHeight="1">
      <c r="C49" s="511" t="s">
        <v>370</v>
      </c>
      <c r="D49" s="504" t="s">
        <v>124</v>
      </c>
      <c r="E49" s="676">
        <v>655191</v>
      </c>
      <c r="F49" s="575"/>
      <c r="G49" s="565" t="s">
        <v>50</v>
      </c>
      <c r="H49" s="204"/>
      <c r="I49" s="576" t="s">
        <v>125</v>
      </c>
      <c r="J49" s="576"/>
      <c r="K49" s="565"/>
      <c r="L49" s="577"/>
      <c r="N49" s="792" t="s">
        <v>325</v>
      </c>
      <c r="O49" s="787" t="str" cm="1">
        <f t="array" ref="O49">_xlfn.TEXTJOIN(CHAR(10),TRUE,_xlfn._xlws.FILTER($C7:$C184,RIGHT(F7:F184,LEN("pSSJ"))="pSSJ",""))</f>
        <v>ANKUSH HMO</v>
      </c>
      <c r="P49" s="750" t="str" cm="1">
        <f t="array" ref="P49">_xlfn.TEXTJOIN(CHAR(10),TRUE,_xlfn._xlws.FILTER($C7:$C184,RIGHT(G7:G184,LEN("pSSJ"))="pSSJ",""))</f>
        <v>AARON N. HMO</v>
      </c>
      <c r="Q49" s="750" t="str" cm="1">
        <f t="array" ref="Q49">_xlfn.TEXTJOIN(CHAR(10),TRUE,_xlfn._xlws.FILTER($C7:$C184,RIGHT(H7:H184,LEN("pSSJ"))="pSSJ",""))</f>
        <v>MARYAM HMO</v>
      </c>
      <c r="R49" s="750" t="str" cm="1">
        <f t="array" ref="R49">_xlfn.TEXTJOIN(CHAR(10),TRUE,_xlfn._xlws.FILTER($C7:$C184,RIGHT(I7:I184,LEN("pSSJ"))="pSSJ",""))</f>
        <v>WATHSALA HMO</v>
      </c>
      <c r="S49" s="750" t="str" cm="1">
        <f t="array" ref="S49">_xlfn.TEXTJOIN(CHAR(10),TRUE,_xlfn._xlws.FILTER($C7:$C184,RIGHT(J7:J184,LEN("pSSJ"))="pSSJ",""))</f>
        <v>ZOBIA HMO</v>
      </c>
      <c r="T49" s="750" t="str" cm="1">
        <f t="array" ref="T49">_xlfn.TEXTJOIN(CHAR(10),TRUE,_xlfn._xlws.FILTER($C7:$C184,RIGHT(K7:K184,LEN("pSSJ"))="pSSJ",""))</f>
        <v>JOYDEEP HMO</v>
      </c>
      <c r="U49" s="788" t="str" cm="1">
        <f t="array" ref="U49">_xlfn.TEXTJOIN(CHAR(10),TRUE,_xlfn._xlws.FILTER($C7:$C184,RIGHT(L7:L184,LEN("pSSJ"))="pSSJ",""))</f>
        <v>MIKEY HMO</v>
      </c>
      <c r="V49" s="34" t="s">
        <v>372</v>
      </c>
      <c r="W49" s="772">
        <v>2</v>
      </c>
    </row>
    <row r="50" spans="3:23" ht="14.1" customHeight="1">
      <c r="C50" s="511" t="s">
        <v>373</v>
      </c>
      <c r="D50" s="504" t="s">
        <v>126</v>
      </c>
      <c r="E50" s="676">
        <v>653055</v>
      </c>
      <c r="F50" s="576"/>
      <c r="G50" s="75" t="s">
        <v>40</v>
      </c>
      <c r="H50" s="204"/>
      <c r="I50" s="75" t="s">
        <v>36</v>
      </c>
      <c r="J50" s="204"/>
      <c r="K50" s="600" t="s">
        <v>43</v>
      </c>
      <c r="L50" s="613"/>
      <c r="N50" s="792"/>
      <c r="O50" s="787"/>
      <c r="P50" s="750"/>
      <c r="Q50" s="750"/>
      <c r="R50" s="750"/>
      <c r="S50" s="750"/>
      <c r="T50" s="750"/>
      <c r="U50" s="788"/>
      <c r="W50" s="772"/>
    </row>
    <row r="51" spans="3:23" ht="14.1" customHeight="1">
      <c r="C51" s="497" t="s">
        <v>374</v>
      </c>
      <c r="D51" s="340" t="s">
        <v>128</v>
      </c>
      <c r="E51" s="678">
        <v>650059</v>
      </c>
      <c r="F51" s="576"/>
      <c r="G51" s="600" t="s">
        <v>36</v>
      </c>
      <c r="H51" s="576"/>
      <c r="I51" s="600"/>
      <c r="J51" s="610"/>
      <c r="K51" s="600"/>
      <c r="L51" s="603" t="s">
        <v>47</v>
      </c>
      <c r="N51" s="733" t="s">
        <v>330</v>
      </c>
      <c r="O51" s="736" t="str" cm="1">
        <f t="array" ref="O51">_xlfn.TEXTJOIN(CHAR(10),TRUE,IF(F112:F184="1430-0000",$C112:$C184,""))</f>
        <v>AARON N. HMO
VISHNU HMO
HARRISON HMO
Jean-Luc INT</v>
      </c>
      <c r="P51" s="739" t="str" cm="1">
        <f t="array" ref="P51">_xlfn.TEXTJOIN(CHAR(10),TRUE,IF(G112:G184="1430-0000",$C112:$C184,""))</f>
        <v>ANKUSH HMO
AARON B. HMO
BRIER HMO
Jean-Luc INT</v>
      </c>
      <c r="Q51" s="739" t="str" cm="1">
        <f t="array" ref="Q51">_xlfn.TEXTJOIN(CHAR(10),TRUE,IF(H112:H184="1430-0000",$C112:$C184,""))</f>
        <v>BRENDAN HMO
AARON B. HMO
VISHNU HMO
BRIER HMO
Peter INT
Jean-Luc INT</v>
      </c>
      <c r="R51" s="739" t="str" cm="1">
        <f t="array" ref="R51">_xlfn.TEXTJOIN(CHAR(10),TRUE,IF(I112:I184="1430-0000",$C112:$C184,""))</f>
        <v>BRIANNA HMO
BRENDAN HMO
JOYDEEP HMO
Elana INT
Peter INT</v>
      </c>
      <c r="S51" s="739" t="str" cm="1">
        <f t="array" ref="S51">_xlfn.TEXTJOIN(CHAR(10),TRUE,IF(J112:J184="1430-0000",$C112:$C184,""))</f>
        <v>BRIANNA HMO
AARON G. HMO
PIN HMO
JOYDEEP HMO
Elana INT
Peter INT</v>
      </c>
      <c r="T51" s="739" t="str" cm="1">
        <f t="array" ref="T51">_xlfn.TEXTJOIN(CHAR(10),TRUE,IF(K112:K184="1430-0000",$C112:$C184,""))</f>
        <v>LISA HMO
PIN HMO
MIKEY HMO
WATHSALA HMO
Elana INT
Sewni INT</v>
      </c>
      <c r="U51" s="763" t="str" cm="1">
        <f t="array" ref="U51">_xlfn.TEXTJOIN(CHAR(10),TRUE,IF(L112:L184="1430-0000",$C112:$C184,""))</f>
        <v>AARON B. HMO
LISA HMO
PHILLIP HMO
CHRIS HMO
WATHSALA HMO
Elana INT
Sewni INT</v>
      </c>
      <c r="W51" s="772">
        <v>8</v>
      </c>
    </row>
    <row r="52" spans="3:23" ht="14.1" customHeight="1">
      <c r="C52" s="497" t="s">
        <v>375</v>
      </c>
      <c r="D52" s="340" t="s">
        <v>129</v>
      </c>
      <c r="E52" s="678">
        <v>703067</v>
      </c>
      <c r="F52" s="608" t="s">
        <v>74</v>
      </c>
      <c r="G52" s="610"/>
      <c r="H52" s="612"/>
      <c r="I52" s="610"/>
      <c r="J52" s="610"/>
      <c r="K52" s="576"/>
      <c r="L52" s="579"/>
      <c r="N52" s="734"/>
      <c r="O52" s="737"/>
      <c r="P52" s="740"/>
      <c r="Q52" s="740"/>
      <c r="R52" s="740"/>
      <c r="S52" s="740"/>
      <c r="T52" s="740"/>
      <c r="U52" s="764"/>
      <c r="W52" s="772"/>
    </row>
    <row r="53" spans="3:23" ht="14.1" customHeight="1">
      <c r="C53" s="497" t="s">
        <v>376</v>
      </c>
      <c r="D53" s="340" t="s">
        <v>132</v>
      </c>
      <c r="E53" s="678">
        <v>703495</v>
      </c>
      <c r="F53" s="572" t="s">
        <v>31</v>
      </c>
      <c r="G53" s="573"/>
      <c r="H53" s="573"/>
      <c r="I53" s="573"/>
      <c r="J53" s="573"/>
      <c r="K53" s="573"/>
      <c r="L53" s="574"/>
      <c r="N53" s="734"/>
      <c r="O53" s="737"/>
      <c r="P53" s="740"/>
      <c r="Q53" s="740"/>
      <c r="R53" s="740"/>
      <c r="S53" s="740"/>
      <c r="T53" s="740"/>
      <c r="U53" s="764"/>
      <c r="W53" s="772"/>
    </row>
    <row r="54" spans="3:23" ht="14.1" customHeight="1">
      <c r="C54" s="504" t="s">
        <v>377</v>
      </c>
      <c r="D54" s="504" t="s">
        <v>133</v>
      </c>
      <c r="E54" s="502">
        <v>578275</v>
      </c>
      <c r="F54" s="595" t="s">
        <v>30</v>
      </c>
      <c r="G54" s="596"/>
      <c r="H54" s="596"/>
      <c r="I54" s="596"/>
      <c r="J54" s="596"/>
      <c r="K54" s="596"/>
      <c r="L54" s="597"/>
      <c r="N54" s="734"/>
      <c r="O54" s="737"/>
      <c r="P54" s="740"/>
      <c r="Q54" s="740"/>
      <c r="R54" s="740"/>
      <c r="S54" s="740"/>
      <c r="T54" s="740"/>
      <c r="U54" s="764"/>
      <c r="W54" s="772"/>
    </row>
    <row r="55" spans="3:23" ht="14.1" customHeight="1">
      <c r="C55" s="504" t="s">
        <v>378</v>
      </c>
      <c r="D55" s="497" t="s">
        <v>135</v>
      </c>
      <c r="E55" s="502">
        <v>644237</v>
      </c>
      <c r="F55" s="569" t="s">
        <v>28</v>
      </c>
      <c r="G55" s="570"/>
      <c r="H55" s="570"/>
      <c r="I55" s="570"/>
      <c r="J55" s="570"/>
      <c r="K55" s="570"/>
      <c r="L55" s="571"/>
      <c r="N55" s="734"/>
      <c r="O55" s="737"/>
      <c r="P55" s="740"/>
      <c r="Q55" s="740"/>
      <c r="R55" s="740"/>
      <c r="S55" s="740"/>
      <c r="T55" s="740"/>
      <c r="U55" s="764"/>
      <c r="W55" s="772"/>
    </row>
    <row r="56" spans="3:23" ht="14.1" customHeight="1">
      <c r="C56" s="497" t="s">
        <v>379</v>
      </c>
      <c r="D56" s="504" t="s">
        <v>136</v>
      </c>
      <c r="E56" s="502">
        <v>634259</v>
      </c>
      <c r="F56" s="575"/>
      <c r="G56" s="565"/>
      <c r="H56" s="565" t="s">
        <v>37</v>
      </c>
      <c r="I56" s="565"/>
      <c r="J56" s="565"/>
      <c r="K56" s="565"/>
      <c r="L56" s="577"/>
      <c r="N56" s="734"/>
      <c r="O56" s="737"/>
      <c r="P56" s="740"/>
      <c r="Q56" s="740"/>
      <c r="R56" s="740"/>
      <c r="S56" s="740"/>
      <c r="T56" s="740"/>
      <c r="U56" s="764"/>
      <c r="W56" s="772"/>
    </row>
    <row r="57" spans="3:23" ht="14.1" customHeight="1">
      <c r="C57" s="497" t="s">
        <v>380</v>
      </c>
      <c r="D57" s="526" t="s">
        <v>137</v>
      </c>
      <c r="E57" s="502">
        <v>418439</v>
      </c>
      <c r="F57" s="595" t="s">
        <v>30</v>
      </c>
      <c r="G57" s="596"/>
      <c r="H57" s="596"/>
      <c r="I57" s="596"/>
      <c r="J57" s="596"/>
      <c r="K57" s="596"/>
      <c r="L57" s="597"/>
      <c r="N57" s="734"/>
      <c r="O57" s="737"/>
      <c r="P57" s="740"/>
      <c r="Q57" s="740"/>
      <c r="R57" s="740"/>
      <c r="S57" s="740"/>
      <c r="T57" s="740"/>
      <c r="U57" s="764"/>
      <c r="W57" s="772"/>
    </row>
    <row r="58" spans="3:23" ht="14.1" customHeight="1" thickBot="1">
      <c r="C58" s="511" t="s">
        <v>381</v>
      </c>
      <c r="D58" s="526" t="s">
        <v>138</v>
      </c>
      <c r="E58" s="498">
        <v>650974</v>
      </c>
      <c r="F58" s="575"/>
      <c r="G58" s="65"/>
      <c r="H58" s="65"/>
      <c r="I58" s="65"/>
      <c r="J58" s="565"/>
      <c r="K58" s="565" t="s">
        <v>47</v>
      </c>
      <c r="L58" s="604" t="s">
        <v>40</v>
      </c>
      <c r="N58" s="735"/>
      <c r="O58" s="738"/>
      <c r="P58" s="741"/>
      <c r="Q58" s="741"/>
      <c r="R58" s="741"/>
      <c r="S58" s="741"/>
      <c r="T58" s="741"/>
      <c r="U58" s="765"/>
      <c r="W58" s="772"/>
    </row>
    <row r="59" spans="3:23" ht="14.1" customHeight="1">
      <c r="C59" s="511" t="s">
        <v>382</v>
      </c>
      <c r="D59" s="526" t="s">
        <v>535</v>
      </c>
      <c r="E59" s="498">
        <v>541888</v>
      </c>
      <c r="F59" s="575"/>
      <c r="G59" s="65"/>
      <c r="H59" s="65"/>
      <c r="I59" s="65"/>
      <c r="J59" s="565"/>
      <c r="K59" s="565"/>
      <c r="L59" s="604"/>
      <c r="N59" s="239"/>
      <c r="O59" s="241"/>
      <c r="P59" s="240"/>
      <c r="Q59" s="240"/>
      <c r="R59" s="240"/>
      <c r="S59" s="240"/>
      <c r="T59" s="240"/>
      <c r="U59" s="242"/>
      <c r="W59" s="89"/>
    </row>
    <row r="60" spans="3:23" ht="14.1" customHeight="1">
      <c r="C60" s="511"/>
      <c r="D60" s="526"/>
      <c r="E60" s="515"/>
      <c r="F60" s="575"/>
      <c r="G60" s="565"/>
      <c r="H60" s="565"/>
      <c r="I60" s="565"/>
      <c r="J60" s="565"/>
      <c r="K60" s="565"/>
      <c r="L60" s="577"/>
      <c r="N60" s="742" t="s">
        <v>384</v>
      </c>
      <c r="O60" s="745" t="str" cm="1">
        <f t="array" ref="O60">_xlfn.TEXTJOIN(CHAR(10),TRUE,_xlfn._xlws.FILTER($C7:$C184,RIGHT(F7:F184,LEN("SWP"))="SWP",""))</f>
        <v/>
      </c>
      <c r="P60" s="747" t="str" cm="1">
        <f t="array" ref="P60">_xlfn.TEXTJOIN(CHAR(10),TRUE,_xlfn._xlws.FILTER($C7:$C184,RIGHT(G7:G184,LEN("SWP"))="SWP",""))</f>
        <v/>
      </c>
      <c r="Q60" s="747" t="str" cm="1">
        <f t="array" ref="Q60">_xlfn.TEXTJOIN(CHAR(10),TRUE,_xlfn._xlws.FILTER($C7:$C184,RIGHT(H7:H184,LEN("SWP"))="SWP",""))</f>
        <v/>
      </c>
      <c r="R60" s="747" t="str" cm="1">
        <f t="array" ref="R60">_xlfn.TEXTJOIN(CHAR(10),TRUE,_xlfn._xlws.FILTER($C7:$C184,RIGHT(I7:I184,LEN("SWP"))="SWP",""))</f>
        <v/>
      </c>
      <c r="S60" s="747" t="str" cm="1">
        <f t="array" ref="S60">_xlfn.TEXTJOIN(CHAR(10),TRUE,_xlfn._xlws.FILTER($C7:$C184,RIGHT(J7:J184,LEN("SWP"))="SWP",""))</f>
        <v>SHIV IR</v>
      </c>
      <c r="T60" s="747" t="str" cm="1">
        <f t="array" ref="T60">_xlfn.TEXTJOIN(CHAR(10),TRUE,_xlfn._xlws.FILTER($C7:$C184,RIGHT(K7:K184,LEN("SWP"))="SWP",""))</f>
        <v/>
      </c>
      <c r="U60" s="766" t="str" cm="1">
        <f t="array" ref="U60">_xlfn.TEXTJOIN(CHAR(10),TRUE,_xlfn._xlws.FILTER($C7:$C184,RIGHT(L7:L184,LEN("SWP"))="SWP",""))</f>
        <v/>
      </c>
      <c r="V60" s="34" t="s">
        <v>385</v>
      </c>
      <c r="W60" s="89">
        <v>4</v>
      </c>
    </row>
    <row r="61" spans="3:23" ht="14.1" customHeight="1">
      <c r="C61" s="531"/>
      <c r="D61" s="532"/>
      <c r="E61" s="533"/>
      <c r="F61" s="575"/>
      <c r="G61" s="565"/>
      <c r="H61" s="565"/>
      <c r="I61" s="565"/>
      <c r="J61" s="565"/>
      <c r="K61" s="565"/>
      <c r="L61" s="577"/>
      <c r="N61" s="743"/>
      <c r="O61" s="746"/>
      <c r="P61" s="748"/>
      <c r="Q61" s="748"/>
      <c r="R61" s="748"/>
      <c r="S61" s="748"/>
      <c r="T61" s="748"/>
      <c r="U61" s="767"/>
      <c r="W61" s="89"/>
    </row>
    <row r="62" spans="3:23" ht="14.1" customHeight="1">
      <c r="C62" s="530" t="s">
        <v>345</v>
      </c>
      <c r="D62" s="530" t="s">
        <v>345</v>
      </c>
      <c r="E62" s="534"/>
      <c r="F62" s="205" t="s">
        <v>142</v>
      </c>
      <c r="G62" s="614" t="s">
        <v>142</v>
      </c>
      <c r="H62" s="614" t="s">
        <v>387</v>
      </c>
      <c r="I62" s="614" t="s">
        <v>142</v>
      </c>
      <c r="J62" s="614" t="s">
        <v>598</v>
      </c>
      <c r="K62" s="62"/>
      <c r="L62" s="67"/>
      <c r="N62" s="743"/>
      <c r="O62" s="746"/>
      <c r="P62" s="748"/>
      <c r="Q62" s="748"/>
      <c r="R62" s="748"/>
      <c r="S62" s="748"/>
      <c r="T62" s="748"/>
      <c r="U62" s="767"/>
      <c r="W62" s="89"/>
    </row>
    <row r="63" spans="3:23" ht="14.1" customHeight="1" thickBot="1">
      <c r="C63" s="31"/>
      <c r="D63" s="31"/>
      <c r="E63" s="28"/>
      <c r="F63" s="28"/>
      <c r="G63" s="29"/>
      <c r="H63" s="29"/>
      <c r="I63" s="29"/>
      <c r="J63" s="29"/>
      <c r="K63" s="29"/>
      <c r="L63" s="30"/>
      <c r="N63" s="744"/>
      <c r="O63" s="950"/>
      <c r="P63" s="951"/>
      <c r="Q63" s="951"/>
      <c r="R63" s="951"/>
      <c r="S63" s="951"/>
      <c r="T63" s="951"/>
      <c r="U63" s="952"/>
      <c r="W63" s="89"/>
    </row>
    <row r="64" spans="3:23" ht="14.1" customHeight="1" thickBot="1">
      <c r="C64" s="63"/>
      <c r="D64" s="411" t="s">
        <v>145</v>
      </c>
      <c r="E64" s="534"/>
      <c r="F64" s="565">
        <f>COUNTIF(F7:F61,"0800-*")+COUNTIF(F7:F61,"0730-*")-COUNTIF(F7:F61,"*0800-1730 CS*")-COUNTIF(F7:F61,"*0800-1730 PHNW*")-COUNTIF(F7:F61,"*0800-1730 DEMT*")-COUNTIF(F7:F61,"*0800-1730 EXAM*")-COUNTIF(F7:F61,"*0800-1800 CS*")-COUNTIF(F7:F61,"*0800-1800 PHNW*")</f>
        <v>5</v>
      </c>
      <c r="G64" s="565">
        <f>COUNTIF(G7:G61,"0800-*")+COUNTIF(G7:G61,"0730-*")-COUNTIF(G7:G61,"*0800-1730 CS*")-COUNTIF(G7:G61,"*0800-1730 PHNW*")-COUNTIF(G7:G61,"*0800-1730 DEMT*")-COUNTIF(G7:G61,"*0800-1730 EXAM*")-COUNTIF(G7:G61,"*0800-1800 CS*")-COUNTIF(G7:G61,"*0800-1800 PHNW*")</f>
        <v>4</v>
      </c>
      <c r="H64" s="565">
        <f>COUNTIF(H7:H61,"0800-*")+COUNTIF(H7:H61,"0730-*")-COUNTIF(H7:H61,"*0800-1730 CS*")-COUNTIF(H7:H61,"*0800-1730 PHNW*")-COUNTIF(H7:H61,"*0800-1730 DEMT*")-COUNTIF(H7:H61,"*0800-1730 EXAM*")-COUNTIF(H7:H61,"*0800-1800 CS*")-COUNTIF(H7:H61,"*0800-1800 PHNW*")</f>
        <v>6</v>
      </c>
      <c r="I64" s="565">
        <f>COUNTIF(I7:I61,"0800-*")+COUNTIF(I7:I61,"0730-*")-COUNTIF(I7:I61,"*0800-1730 CS*")-COUNTIF(I7:I61,"*0800-1730 PHNW*")-COUNTIF(I7:I61,"*0800-1730 DEMT*")-COUNTIF(I7:I61,"*0800-1730 EXAM*")-COUNTIF(I7:I61,"*0800-1800 CS*")-COUNTIF(I7:I61,"*0800-1800 PHNW*")</f>
        <v>5</v>
      </c>
      <c r="J64" s="565">
        <f>COUNTIF(J7:J61,"0800-*")+COUNTIF(J7:J61,"0730-*")-COUNTIF(J7:J61,"*0800-1730 CS*")-COUNTIF(J7:J61,"*0800-1730 PHNW*")-COUNTIF(J7:J61,"*0800-1730 DEMT*")-COUNTIF(J7:J61,"*0800-1730 EXAM*")-COUNTIF(J7:J61,"*0800-1800 CS*")-COUNTIF(J7:J61,"*0800-1800 PHNW*")</f>
        <v>5</v>
      </c>
      <c r="K64" s="565">
        <f>COUNTIF(K7:K61,"0800-*")+COUNTIF(K7:K61,"0730-*")</f>
        <v>4</v>
      </c>
      <c r="L64" s="577">
        <f>COUNTIF(L7:L61,"0800-*")+COUNTIF(L7:L61,"0730-*")</f>
        <v>4</v>
      </c>
      <c r="N64" s="106"/>
      <c r="O64" s="34"/>
      <c r="P64" s="34"/>
      <c r="Q64" s="34"/>
      <c r="R64" s="34"/>
      <c r="S64" s="34"/>
      <c r="T64" s="34"/>
      <c r="U64" s="34"/>
      <c r="W64" s="89"/>
    </row>
    <row r="65" spans="3:23" ht="14.1" customHeight="1" thickBot="1">
      <c r="C65" s="535"/>
      <c r="D65" s="411" t="s">
        <v>146</v>
      </c>
      <c r="E65" s="534"/>
      <c r="F65" s="575">
        <f t="shared" ref="F65:L65" si="15">COUNTIF(F7:F62,"*0000*")</f>
        <v>3</v>
      </c>
      <c r="G65" s="565">
        <f t="shared" si="15"/>
        <v>4</v>
      </c>
      <c r="H65" s="565">
        <f t="shared" si="15"/>
        <v>4</v>
      </c>
      <c r="I65" s="565">
        <f t="shared" si="15"/>
        <v>4</v>
      </c>
      <c r="J65" s="565">
        <f t="shared" si="15"/>
        <v>5</v>
      </c>
      <c r="K65" s="565">
        <f t="shared" si="15"/>
        <v>4</v>
      </c>
      <c r="L65" s="577">
        <f t="shared" si="15"/>
        <v>4</v>
      </c>
      <c r="N65" s="106"/>
      <c r="O65" s="796" t="s">
        <v>388</v>
      </c>
      <c r="P65" s="797"/>
      <c r="Q65" s="797"/>
      <c r="R65" s="797"/>
      <c r="S65" s="797"/>
      <c r="T65" s="797"/>
      <c r="U65" s="798"/>
      <c r="W65" s="89" t="s">
        <v>389</v>
      </c>
    </row>
    <row r="66" spans="3:23" ht="14.1" customHeight="1">
      <c r="C66" s="407" t="s">
        <v>147</v>
      </c>
      <c r="D66" s="407" t="s">
        <v>147</v>
      </c>
      <c r="E66" s="408"/>
      <c r="F66" s="408"/>
      <c r="G66" s="409"/>
      <c r="H66" s="409"/>
      <c r="I66" s="409"/>
      <c r="J66" s="409"/>
      <c r="K66" s="409"/>
      <c r="L66" s="410"/>
      <c r="N66" s="104" t="s">
        <v>390</v>
      </c>
      <c r="O66" s="107" t="str">
        <f t="shared" ref="O66:U66" si="16">INDEX($C7:$L188,MATCH("*N1*",F7:F191,0),1)</f>
        <v>AMY SR</v>
      </c>
      <c r="P66" s="108" t="str">
        <f t="shared" si="16"/>
        <v>JESS SR</v>
      </c>
      <c r="Q66" s="108" t="str">
        <f t="shared" si="16"/>
        <v>JESS SR</v>
      </c>
      <c r="R66" s="108" t="str">
        <f t="shared" si="16"/>
        <v>JOSEPH SR</v>
      </c>
      <c r="S66" s="108" t="str">
        <f t="shared" si="16"/>
        <v>JOSEPH SR</v>
      </c>
      <c r="T66" s="108" t="str">
        <f t="shared" si="16"/>
        <v>JOSEPH SR</v>
      </c>
      <c r="U66" s="109" t="str">
        <f t="shared" si="16"/>
        <v>JOSEPH SR</v>
      </c>
      <c r="V66" s="89"/>
      <c r="W66" s="106">
        <v>1</v>
      </c>
    </row>
    <row r="67" spans="3:23" ht="14.1" customHeight="1">
      <c r="C67" s="411" t="s">
        <v>391</v>
      </c>
      <c r="D67" s="411" t="s">
        <v>148</v>
      </c>
      <c r="E67" s="536">
        <v>609268</v>
      </c>
      <c r="F67" s="575" t="s">
        <v>46</v>
      </c>
      <c r="G67" s="576"/>
      <c r="H67" s="565" t="s">
        <v>149</v>
      </c>
      <c r="I67" s="565" t="s">
        <v>149</v>
      </c>
      <c r="J67" s="680" t="s">
        <v>151</v>
      </c>
      <c r="K67" s="565"/>
      <c r="L67" s="577"/>
      <c r="N67" s="749" t="s">
        <v>392</v>
      </c>
      <c r="O67" s="746" t="str" cm="1">
        <f t="array" ref="O67">_xlfn.TEXTJOIN(CHAR(10),TRUE,IF(F7:F184="2300-0900",$C7:$C184,""),IF(F7:F184="2300-0830",$C7:$C184,""))</f>
        <v>AARON G. HMO
JOYDEEP HMO
WATHSALA HMO
Tong INT</v>
      </c>
      <c r="P67" s="748" t="str" cm="1">
        <f t="array" ref="P67">_xlfn.TEXTJOIN(CHAR(10),TRUE,IF(G7:G184="2300-0900",$C7:$C184,""),IF(G7:G184="2300-0830",$C7:$C184,""))</f>
        <v>CHRISTOPHER JR
POH JR
AARON G. HMO
HENLEY HMO
Tong INT</v>
      </c>
      <c r="Q67" s="748" t="str" cm="1">
        <f t="array" ref="Q67">_xlfn.TEXTJOIN(CHAR(10),TRUE,IF(H7:H184="2300-0900",$C7:$C184,""),IF(H7:H184="2300-0830",$C7:$C184,""))</f>
        <v>CHRISTOPHER JR
POH JR
ANKUSH HMO
HENLEY HMO
Tong INT</v>
      </c>
      <c r="R67" s="748" t="str" cm="1">
        <f t="array" ref="R67">_xlfn.TEXTJOIN(CHAR(10),TRUE,IF(I7:I184="2300-0900",$C7:$C184,""),IF(I7:I184="2300-0830",$C7:$C184,""))</f>
        <v>CHRISTOPHER JR
JESSICA JR
CRAIG JR
HENLEY HMO
Tong INT</v>
      </c>
      <c r="S67" s="748" t="str" cm="1">
        <f t="array" ref="S67">_xlfn.TEXTJOIN(CHAR(10),TRUE,IF(J7:J184="2300-0900",$C7:$C184,""),IF(J7:J184="2300-0830",$C7:$C184,""))</f>
        <v>JESSICA JR
CRAIG JR
RACHEL JR
MILOS HMO
MARYAM HMO
Jean-Luc INT</v>
      </c>
      <c r="T67" s="748" t="str" cm="1">
        <f t="array" ref="T67">_xlfn.TEXTJOIN(CHAR(10),TRUE,IF(K7:K184="2300-0900",$C7:$C184,""),IF(K7:K184="2300-0830",$C7:$C184,""))</f>
        <v>CRAIG JR
RACHEL JR
FADIA HMO
Jean-Luc INT</v>
      </c>
      <c r="U67" s="767" t="str" cm="1">
        <f t="array" ref="U67">_xlfn.TEXTJOIN(CHAR(10),TRUE,IF(L7:L184="2300-0900",$C7:$C184,""),IF(L7:L184="2300-0830",$C7:$C184,""))</f>
        <v>CRAIG JR
RACHEL JR
MILOS HMO
PIN HMO
MARYAM HMO
Jean-Luc INT</v>
      </c>
      <c r="W67" s="89">
        <v>9</v>
      </c>
    </row>
    <row r="68" spans="3:23" ht="14.1" customHeight="1">
      <c r="C68" s="411" t="s">
        <v>393</v>
      </c>
      <c r="D68" s="411" t="s">
        <v>152</v>
      </c>
      <c r="E68" s="537">
        <v>517752</v>
      </c>
      <c r="F68" s="575"/>
      <c r="G68" s="565"/>
      <c r="H68" s="578" t="s">
        <v>539</v>
      </c>
      <c r="I68" s="565"/>
      <c r="J68" s="565"/>
      <c r="K68" s="565"/>
      <c r="L68" s="577"/>
      <c r="N68" s="749"/>
      <c r="O68" s="746"/>
      <c r="P68" s="748"/>
      <c r="Q68" s="748"/>
      <c r="R68" s="748"/>
      <c r="S68" s="748"/>
      <c r="T68" s="748"/>
      <c r="U68" s="767"/>
      <c r="W68" s="89"/>
    </row>
    <row r="69" spans="3:23" ht="14.1" customHeight="1">
      <c r="C69" s="411" t="s">
        <v>394</v>
      </c>
      <c r="D69" s="411" t="s">
        <v>154</v>
      </c>
      <c r="E69" s="537">
        <v>609129</v>
      </c>
      <c r="F69" s="589"/>
      <c r="G69" s="590"/>
      <c r="H69" s="565" t="s">
        <v>91</v>
      </c>
      <c r="I69" s="590"/>
      <c r="J69" s="590"/>
      <c r="K69" s="565"/>
      <c r="L69" s="577" t="s">
        <v>91</v>
      </c>
      <c r="N69" s="749"/>
      <c r="O69" s="746"/>
      <c r="P69" s="748"/>
      <c r="Q69" s="748"/>
      <c r="R69" s="748"/>
      <c r="S69" s="748"/>
      <c r="T69" s="748"/>
      <c r="U69" s="767"/>
      <c r="W69" s="89"/>
    </row>
    <row r="70" spans="3:23" ht="14.1" customHeight="1">
      <c r="C70" s="411" t="s">
        <v>395</v>
      </c>
      <c r="D70" s="538" t="s">
        <v>156</v>
      </c>
      <c r="E70" s="539">
        <v>636554</v>
      </c>
      <c r="F70" s="575" t="s">
        <v>149</v>
      </c>
      <c r="G70" s="565" t="s">
        <v>149</v>
      </c>
      <c r="H70" s="565" t="s">
        <v>149</v>
      </c>
      <c r="I70" s="565"/>
      <c r="J70" s="565"/>
      <c r="K70" s="565"/>
      <c r="L70" s="577"/>
      <c r="N70" s="749"/>
      <c r="O70" s="746"/>
      <c r="P70" s="748"/>
      <c r="Q70" s="748"/>
      <c r="R70" s="748"/>
      <c r="S70" s="748"/>
      <c r="T70" s="748"/>
      <c r="U70" s="767"/>
      <c r="W70" s="89"/>
    </row>
    <row r="71" spans="3:23" ht="14.1" customHeight="1" thickBot="1">
      <c r="C71" s="953"/>
      <c r="D71" s="49"/>
      <c r="E71" s="534"/>
      <c r="F71" s="575"/>
      <c r="G71" s="565"/>
      <c r="H71" s="565"/>
      <c r="I71" s="565"/>
      <c r="J71" s="565"/>
      <c r="K71" s="565"/>
      <c r="L71" s="577"/>
      <c r="N71" s="749"/>
      <c r="O71" s="746"/>
      <c r="P71" s="748"/>
      <c r="Q71" s="748"/>
      <c r="R71" s="748"/>
      <c r="S71" s="748"/>
      <c r="T71" s="748"/>
      <c r="U71" s="767"/>
      <c r="W71" s="89"/>
    </row>
    <row r="72" spans="3:23" ht="14.1" customHeight="1">
      <c r="C72" s="724" t="s">
        <v>157</v>
      </c>
      <c r="D72" s="540" t="s">
        <v>157</v>
      </c>
      <c r="E72" s="54"/>
      <c r="F72" s="413"/>
      <c r="G72" s="414"/>
      <c r="H72" s="414"/>
      <c r="I72" s="414"/>
      <c r="J72" s="414"/>
      <c r="K72" s="414"/>
      <c r="L72" s="415"/>
      <c r="N72" s="749"/>
      <c r="O72" s="746"/>
      <c r="P72" s="748"/>
      <c r="Q72" s="748"/>
      <c r="R72" s="748"/>
      <c r="S72" s="748"/>
      <c r="T72" s="748"/>
      <c r="U72" s="767"/>
      <c r="W72" s="89"/>
    </row>
    <row r="73" spans="3:23" ht="14.1" customHeight="1">
      <c r="C73" s="541" t="s">
        <v>396</v>
      </c>
      <c r="D73" s="182" t="s">
        <v>159</v>
      </c>
      <c r="E73" s="615">
        <v>628440</v>
      </c>
      <c r="F73" s="618" t="s">
        <v>150</v>
      </c>
      <c r="G73" s="618" t="s">
        <v>150</v>
      </c>
      <c r="H73" s="618"/>
      <c r="I73" s="618" t="s">
        <v>149</v>
      </c>
      <c r="J73" s="618" t="s">
        <v>150</v>
      </c>
      <c r="K73" s="619"/>
      <c r="L73" s="619"/>
      <c r="N73" s="749"/>
      <c r="O73" s="746"/>
      <c r="P73" s="748"/>
      <c r="Q73" s="748"/>
      <c r="R73" s="748"/>
      <c r="S73" s="748"/>
      <c r="T73" s="748"/>
      <c r="U73" s="767"/>
      <c r="W73" s="89"/>
    </row>
    <row r="74" spans="3:23" ht="14.1" customHeight="1">
      <c r="C74" s="541" t="s">
        <v>397</v>
      </c>
      <c r="D74" s="183" t="s">
        <v>164</v>
      </c>
      <c r="E74" s="615">
        <v>653976</v>
      </c>
      <c r="F74" s="691" t="s">
        <v>31</v>
      </c>
      <c r="G74" s="691"/>
      <c r="H74" s="691"/>
      <c r="I74" s="691"/>
      <c r="J74" s="691"/>
      <c r="K74" s="691"/>
      <c r="L74" s="691"/>
      <c r="N74" s="749"/>
      <c r="O74" s="746"/>
      <c r="P74" s="748"/>
      <c r="Q74" s="748"/>
      <c r="R74" s="748"/>
      <c r="S74" s="748"/>
      <c r="T74" s="748"/>
      <c r="U74" s="767"/>
      <c r="W74" s="89"/>
    </row>
    <row r="75" spans="3:23" ht="14.1" customHeight="1">
      <c r="C75" s="85" t="s">
        <v>398</v>
      </c>
      <c r="D75" s="184" t="s">
        <v>166</v>
      </c>
      <c r="E75" s="615">
        <v>654362</v>
      </c>
      <c r="F75" s="619"/>
      <c r="G75" s="616" t="s">
        <v>342</v>
      </c>
      <c r="H75" s="618" t="s">
        <v>150</v>
      </c>
      <c r="I75" s="618" t="s">
        <v>150</v>
      </c>
      <c r="J75" s="620"/>
      <c r="K75" s="618" t="s">
        <v>150</v>
      </c>
      <c r="L75" s="617"/>
      <c r="N75" s="749"/>
      <c r="O75" s="746"/>
      <c r="P75" s="748"/>
      <c r="Q75" s="748"/>
      <c r="R75" s="748"/>
      <c r="S75" s="748"/>
      <c r="T75" s="748"/>
      <c r="U75" s="767"/>
      <c r="W75" s="89"/>
    </row>
    <row r="76" spans="3:23" ht="14.1" customHeight="1">
      <c r="C76" s="69" t="s">
        <v>399</v>
      </c>
      <c r="D76" s="184" t="s">
        <v>168</v>
      </c>
      <c r="E76" s="615">
        <v>615829</v>
      </c>
      <c r="F76" s="617"/>
      <c r="G76" s="618" t="s">
        <v>149</v>
      </c>
      <c r="H76" s="618" t="s">
        <v>150</v>
      </c>
      <c r="I76" s="619"/>
      <c r="J76" s="618" t="s">
        <v>149</v>
      </c>
      <c r="K76" s="618" t="s">
        <v>149</v>
      </c>
      <c r="L76" s="618" t="s">
        <v>149</v>
      </c>
      <c r="N76" s="528" t="s">
        <v>368</v>
      </c>
      <c r="O76" s="523" t="str">
        <f t="shared" ref="O76:U76" si="17">INDEX($C10:$L190,MATCH("*NHJ*",F10:F193,0),1)</f>
        <v>PIN HMO</v>
      </c>
      <c r="P76" s="500" t="str">
        <f t="shared" si="17"/>
        <v>CHRIS HMO</v>
      </c>
      <c r="Q76" s="500" t="str">
        <f t="shared" si="17"/>
        <v>TRAM HMO</v>
      </c>
      <c r="R76" s="500" t="str">
        <f t="shared" si="17"/>
        <v>ANKUSH HMO</v>
      </c>
      <c r="S76" s="500" t="str">
        <f t="shared" si="17"/>
        <v>FADIA HMO</v>
      </c>
      <c r="T76" s="500" t="str">
        <f t="shared" si="17"/>
        <v>MARYAM HMO</v>
      </c>
      <c r="U76" s="501" t="str">
        <f t="shared" si="17"/>
        <v>HARRISON HMO</v>
      </c>
      <c r="V76" s="34" t="s">
        <v>400</v>
      </c>
      <c r="W76" s="89">
        <v>1</v>
      </c>
    </row>
    <row r="77" spans="3:23" ht="14.1" customHeight="1">
      <c r="C77" s="541" t="s">
        <v>401</v>
      </c>
      <c r="D77" s="954" t="s">
        <v>170</v>
      </c>
      <c r="E77" s="615">
        <v>619567</v>
      </c>
      <c r="F77" s="618" t="s">
        <v>161</v>
      </c>
      <c r="G77" s="618"/>
      <c r="H77" s="618"/>
      <c r="I77" s="619"/>
      <c r="J77" s="619"/>
      <c r="K77" s="619" t="s">
        <v>528</v>
      </c>
      <c r="L77" s="618" t="s">
        <v>150</v>
      </c>
      <c r="N77" s="768" t="s">
        <v>325</v>
      </c>
      <c r="O77" s="787" t="str" cm="1">
        <f t="array" ref="O77">_xlfn.TEXTJOIN(CHAR(10),TRUE,_xlfn._xlws.FILTER($C7:$C184,RIGHT(F7:F184,LEN("nSSJ"))="nSSJ",""))</f>
        <v>MIKHAR IR
CLARE IR
MIKEY HMO</v>
      </c>
      <c r="P77" s="750" t="str" cm="1">
        <f t="array" ref="P77">_xlfn.TEXTJOIN(CHAR(10),TRUE,_xlfn._xlws.FILTER($C7:$C184,RIGHT(G7:G184,LEN("nSSJ"))="nSSJ",""))</f>
        <v>MIKHAR IR
CLARE IR
PIN HMO</v>
      </c>
      <c r="Q77" s="750" t="str" cm="1">
        <f t="array" ref="Q77">_xlfn.TEXTJOIN(CHAR(10),TRUE,_xlfn._xlws.FILTER($C7:$C184,RIGHT(H7:H184,LEN("nSSJ"))="nSSJ",""))</f>
        <v>MIKHAR IR
CHRIS HMO</v>
      </c>
      <c r="R77" s="750" t="str" cm="1">
        <f t="array" ref="R77">_xlfn.TEXTJOIN(CHAR(10),TRUE,_xlfn._xlws.FILTER($C7:$C184,RIGHT(I7:I184,LEN("nSSJ"))="nSSJ",""))</f>
        <v>MIKHAR IR
TRAM HMO</v>
      </c>
      <c r="S77" s="750" t="str" cm="1">
        <f t="array" ref="S77">_xlfn.TEXTJOIN(CHAR(10),TRUE,_xlfn._xlws.FILTER($C7:$C184,RIGHT(J7:J184,LEN("nSSJ"))="nSSJ",""))</f>
        <v>HARRISON HMO</v>
      </c>
      <c r="T77" s="750" t="str" cm="1">
        <f t="array" ref="T77">_xlfn.TEXTJOIN(CHAR(10),TRUE,_xlfn._xlws.FILTER($C7:$C184,RIGHT(K7:K184,LEN("nSSJ"))="nSSJ",""))</f>
        <v>MILOS HMO</v>
      </c>
      <c r="U77" s="788" t="str" cm="1">
        <f t="array" ref="U77">_xlfn.TEXTJOIN(CHAR(10),TRUE,_xlfn._xlws.FILTER($C7:$C184,RIGHT(L7:L184,LEN("nSSJ"))="nSSJ",""))</f>
        <v>FADIA HMO</v>
      </c>
      <c r="V77" s="34" t="s">
        <v>402</v>
      </c>
      <c r="W77" s="89">
        <v>2</v>
      </c>
    </row>
    <row r="78" spans="3:23" ht="14.1" customHeight="1" thickBot="1">
      <c r="C78" s="543" t="s">
        <v>403</v>
      </c>
      <c r="D78" s="183" t="s">
        <v>171</v>
      </c>
      <c r="E78" s="615">
        <v>626157</v>
      </c>
      <c r="F78" s="617"/>
      <c r="G78" s="617"/>
      <c r="H78" s="617"/>
      <c r="I78" s="618" t="s">
        <v>161</v>
      </c>
      <c r="J78" s="618" t="s">
        <v>161</v>
      </c>
      <c r="K78" s="618" t="s">
        <v>161</v>
      </c>
      <c r="L78" s="618" t="s">
        <v>161</v>
      </c>
      <c r="N78" s="769"/>
      <c r="O78" s="955"/>
      <c r="P78" s="956"/>
      <c r="Q78" s="956"/>
      <c r="R78" s="956"/>
      <c r="S78" s="956"/>
      <c r="T78" s="956"/>
      <c r="U78" s="957"/>
      <c r="W78" s="89"/>
    </row>
    <row r="79" spans="3:23" ht="14.1" customHeight="1" thickBot="1">
      <c r="C79" s="69" t="s">
        <v>405</v>
      </c>
      <c r="D79" s="185" t="s">
        <v>173</v>
      </c>
      <c r="E79" s="615">
        <v>645122</v>
      </c>
      <c r="F79" s="619"/>
      <c r="G79" s="617"/>
      <c r="H79" s="617"/>
      <c r="I79" s="617"/>
      <c r="J79" s="619"/>
      <c r="K79" s="617"/>
      <c r="L79" s="617"/>
      <c r="N79" s="958" t="s">
        <v>406</v>
      </c>
      <c r="O79" s="110" t="str">
        <f t="shared" ref="O79:U79" si="18">INDEX($C7:$L188,MATCH("*PRC",F7:F191,0),1)</f>
        <v>RAMI SMS</v>
      </c>
      <c r="P79" s="111" t="str">
        <f t="shared" si="18"/>
        <v>JULIA SMS</v>
      </c>
      <c r="Q79" s="111" t="str">
        <f t="shared" si="18"/>
        <v>QAIS SMS</v>
      </c>
      <c r="R79" s="111" t="str">
        <f t="shared" si="18"/>
        <v>YAN SMS</v>
      </c>
      <c r="S79" s="111" t="str">
        <f t="shared" si="18"/>
        <v>BEN SMS</v>
      </c>
      <c r="T79" s="111" t="str">
        <f t="shared" si="18"/>
        <v>MINA SMS</v>
      </c>
      <c r="U79" s="111" t="str">
        <f t="shared" si="18"/>
        <v>ABI SMS</v>
      </c>
      <c r="W79" s="89"/>
    </row>
    <row r="80" spans="3:23" ht="14.1" customHeight="1" thickBot="1">
      <c r="C80" s="543" t="s">
        <v>407</v>
      </c>
      <c r="D80" s="186" t="s">
        <v>174</v>
      </c>
      <c r="E80" s="615">
        <v>615820</v>
      </c>
      <c r="F80" s="619"/>
      <c r="G80" s="619" t="s">
        <v>161</v>
      </c>
      <c r="H80" s="619" t="s">
        <v>161</v>
      </c>
      <c r="I80" s="619"/>
      <c r="J80" s="617"/>
      <c r="K80" s="617"/>
      <c r="L80" s="617"/>
      <c r="N80" s="106"/>
      <c r="O80" s="89"/>
      <c r="T80" s="959" t="str">
        <f>INDEX($C7:$L189,MATCH("*PGC",K7:K192,0),1)</f>
        <v>ABI SMS</v>
      </c>
      <c r="U80" s="960" t="str">
        <f>INDEX($C8:$L189,MATCH("*PGC",L8:L192,0),1)</f>
        <v>STEPHEN G SMS</v>
      </c>
    </row>
    <row r="81" spans="3:22" ht="14.1" customHeight="1">
      <c r="C81" s="541" t="s">
        <v>408</v>
      </c>
      <c r="D81" s="544" t="s">
        <v>175</v>
      </c>
      <c r="E81" s="615">
        <v>624174</v>
      </c>
      <c r="F81" s="618"/>
      <c r="G81" s="618"/>
      <c r="H81" s="622"/>
      <c r="I81" s="622"/>
      <c r="J81" s="626"/>
      <c r="K81" s="622" t="s">
        <v>150</v>
      </c>
      <c r="L81" s="622" t="s">
        <v>150</v>
      </c>
      <c r="O81" s="89"/>
      <c r="V81" s="89"/>
    </row>
    <row r="82" spans="3:22" ht="14.1" customHeight="1">
      <c r="C82" s="543"/>
      <c r="D82" s="545"/>
      <c r="E82" s="625"/>
      <c r="F82" s="618"/>
      <c r="G82" s="618"/>
      <c r="H82" s="617"/>
      <c r="I82" s="617"/>
      <c r="J82" s="619"/>
      <c r="K82" s="617"/>
      <c r="L82" s="617"/>
      <c r="O82" s="89"/>
      <c r="V82" s="89"/>
    </row>
    <row r="83" spans="3:22" ht="14.1" customHeight="1">
      <c r="C83" s="728" t="s">
        <v>176</v>
      </c>
      <c r="D83" s="728" t="s">
        <v>176</v>
      </c>
      <c r="E83" s="305"/>
      <c r="F83" s="305"/>
      <c r="G83" s="305"/>
      <c r="H83" s="305"/>
      <c r="I83" s="305"/>
      <c r="J83" s="305"/>
      <c r="K83" s="305"/>
      <c r="L83" s="305"/>
      <c r="O83" s="89"/>
      <c r="V83" s="89"/>
    </row>
    <row r="84" spans="3:22" ht="14.1" customHeight="1">
      <c r="C84" s="411" t="s">
        <v>409</v>
      </c>
      <c r="D84" s="546" t="s">
        <v>177</v>
      </c>
      <c r="E84" s="615">
        <v>637990</v>
      </c>
      <c r="F84" s="618" t="s">
        <v>149</v>
      </c>
      <c r="G84" s="620"/>
      <c r="H84" s="618" t="s">
        <v>150</v>
      </c>
      <c r="I84" s="620"/>
      <c r="J84" s="620" t="s">
        <v>149</v>
      </c>
      <c r="K84" s="618"/>
      <c r="L84" s="618" t="s">
        <v>149</v>
      </c>
      <c r="O84" s="89"/>
      <c r="V84" s="89"/>
    </row>
    <row r="85" spans="3:22" ht="14.1" customHeight="1">
      <c r="C85" s="86" t="s">
        <v>410</v>
      </c>
      <c r="D85" s="184" t="s">
        <v>179</v>
      </c>
      <c r="E85" s="615">
        <v>652867</v>
      </c>
      <c r="F85" s="618" t="s">
        <v>163</v>
      </c>
      <c r="G85" s="618" t="s">
        <v>149</v>
      </c>
      <c r="H85" s="565"/>
      <c r="I85" s="618"/>
      <c r="J85" s="618"/>
      <c r="K85" s="618" t="s">
        <v>150</v>
      </c>
      <c r="L85" s="618" t="s">
        <v>150</v>
      </c>
      <c r="O85" s="89"/>
      <c r="V85" s="89"/>
    </row>
    <row r="86" spans="3:22" ht="14.1" customHeight="1">
      <c r="C86" s="543" t="s">
        <v>411</v>
      </c>
      <c r="D86" s="547" t="s">
        <v>180</v>
      </c>
      <c r="E86" s="615">
        <v>638831</v>
      </c>
      <c r="F86" s="618" t="s">
        <v>178</v>
      </c>
      <c r="G86" s="565" t="s">
        <v>178</v>
      </c>
      <c r="H86" s="565" t="s">
        <v>178</v>
      </c>
      <c r="I86" s="565" t="s">
        <v>178</v>
      </c>
      <c r="J86" s="617"/>
      <c r="K86" s="619"/>
      <c r="L86" s="617"/>
      <c r="O86" s="89"/>
      <c r="V86" s="89"/>
    </row>
    <row r="87" spans="3:22" ht="14.1" customHeight="1">
      <c r="C87" s="411" t="s">
        <v>412</v>
      </c>
      <c r="D87" s="548" t="s">
        <v>182</v>
      </c>
      <c r="E87" s="615">
        <v>631314</v>
      </c>
      <c r="F87" s="617"/>
      <c r="G87" s="617"/>
      <c r="H87" s="617"/>
      <c r="I87" s="617"/>
      <c r="J87" s="619"/>
      <c r="K87" s="616" t="s">
        <v>359</v>
      </c>
      <c r="L87" s="616" t="s">
        <v>359</v>
      </c>
      <c r="O87" s="89"/>
      <c r="V87" s="89"/>
    </row>
    <row r="88" spans="3:22" ht="14.1" customHeight="1">
      <c r="C88" s="69" t="s">
        <v>414</v>
      </c>
      <c r="D88" s="548" t="s">
        <v>185</v>
      </c>
      <c r="E88" s="615">
        <v>631732</v>
      </c>
      <c r="F88" s="617"/>
      <c r="G88" s="622"/>
      <c r="H88" s="617"/>
      <c r="I88" s="617"/>
      <c r="J88" s="618" t="s">
        <v>160</v>
      </c>
      <c r="K88" s="619"/>
      <c r="L88" s="619"/>
      <c r="O88" s="89"/>
      <c r="V88" s="89"/>
    </row>
    <row r="89" spans="3:22" ht="14.1" customHeight="1">
      <c r="C89" s="541" t="s">
        <v>415</v>
      </c>
      <c r="D89" s="549" t="s">
        <v>186</v>
      </c>
      <c r="E89" s="615">
        <v>634876</v>
      </c>
      <c r="F89" s="618" t="s">
        <v>178</v>
      </c>
      <c r="G89" s="618" t="s">
        <v>178</v>
      </c>
      <c r="H89" s="617"/>
      <c r="I89" s="626"/>
      <c r="J89" s="619"/>
      <c r="K89" s="617"/>
      <c r="L89" s="617"/>
      <c r="O89" s="89"/>
      <c r="V89" s="89"/>
    </row>
    <row r="90" spans="3:22" ht="14.1" customHeight="1">
      <c r="C90" s="541"/>
      <c r="D90" s="187"/>
      <c r="E90" s="199"/>
      <c r="F90" s="618"/>
      <c r="G90" s="618"/>
      <c r="H90" s="617"/>
      <c r="I90" s="619"/>
      <c r="J90" s="619"/>
      <c r="K90" s="617"/>
      <c r="L90" s="617"/>
      <c r="O90" s="89"/>
      <c r="V90" s="89"/>
    </row>
    <row r="91" spans="3:22" ht="14.1" customHeight="1">
      <c r="C91" s="4" t="s">
        <v>189</v>
      </c>
      <c r="D91" s="4" t="s">
        <v>189</v>
      </c>
      <c r="E91" s="444"/>
      <c r="F91" s="444"/>
      <c r="G91" s="444"/>
      <c r="H91" s="444"/>
      <c r="I91" s="444"/>
      <c r="J91" s="444"/>
      <c r="K91" s="444"/>
      <c r="L91" s="444"/>
      <c r="O91" s="89"/>
    </row>
    <row r="92" spans="3:22" ht="14.1" customHeight="1">
      <c r="C92" s="69" t="s">
        <v>416</v>
      </c>
      <c r="D92" s="188" t="s">
        <v>527</v>
      </c>
      <c r="E92" s="615">
        <v>648620</v>
      </c>
      <c r="F92" s="618" t="s">
        <v>191</v>
      </c>
      <c r="G92" s="616" t="s">
        <v>359</v>
      </c>
      <c r="H92" s="618"/>
      <c r="I92" s="616" t="s">
        <v>342</v>
      </c>
      <c r="J92" s="616" t="s">
        <v>342</v>
      </c>
      <c r="K92" s="617"/>
      <c r="L92" s="617"/>
      <c r="O92" s="34"/>
      <c r="P92" s="34"/>
      <c r="Q92" s="34"/>
      <c r="R92" s="34"/>
      <c r="S92" s="34"/>
      <c r="T92" s="34"/>
      <c r="U92" s="34"/>
    </row>
    <row r="93" spans="3:22" ht="14.1" customHeight="1">
      <c r="C93" s="550" t="s">
        <v>417</v>
      </c>
      <c r="D93" s="189" t="s">
        <v>193</v>
      </c>
      <c r="E93" s="615">
        <v>652357</v>
      </c>
      <c r="F93" s="620"/>
      <c r="G93" s="620"/>
      <c r="H93" s="618"/>
      <c r="I93" s="616" t="s">
        <v>342</v>
      </c>
      <c r="J93" s="616" t="s">
        <v>342</v>
      </c>
      <c r="K93" s="616" t="s">
        <v>342</v>
      </c>
      <c r="L93" s="616" t="s">
        <v>342</v>
      </c>
      <c r="O93" s="34"/>
      <c r="P93" s="34"/>
      <c r="Q93" s="34"/>
      <c r="R93" s="34"/>
      <c r="S93" s="34"/>
      <c r="T93" s="34"/>
      <c r="U93" s="34"/>
    </row>
    <row r="94" spans="3:22" ht="14.1" customHeight="1">
      <c r="C94" s="69" t="s">
        <v>418</v>
      </c>
      <c r="D94" s="551" t="s">
        <v>196</v>
      </c>
      <c r="E94" s="631">
        <v>703714</v>
      </c>
      <c r="F94" s="616" t="s">
        <v>599</v>
      </c>
      <c r="G94" s="618" t="s">
        <v>192</v>
      </c>
      <c r="H94" s="618" t="s">
        <v>192</v>
      </c>
      <c r="I94" s="568" t="s">
        <v>192</v>
      </c>
      <c r="J94" s="618" t="s">
        <v>115</v>
      </c>
      <c r="K94" s="618"/>
      <c r="L94" s="618" t="s">
        <v>149</v>
      </c>
      <c r="O94" s="89"/>
    </row>
    <row r="95" spans="3:22" ht="14.1" customHeight="1">
      <c r="C95" s="87" t="s">
        <v>419</v>
      </c>
      <c r="D95" s="189" t="s">
        <v>198</v>
      </c>
      <c r="E95" s="615">
        <v>655089</v>
      </c>
      <c r="F95" s="618" t="s">
        <v>150</v>
      </c>
      <c r="G95" s="618" t="s">
        <v>150</v>
      </c>
      <c r="H95" s="618" t="s">
        <v>191</v>
      </c>
      <c r="I95" s="618" t="s">
        <v>150</v>
      </c>
      <c r="J95" s="626"/>
      <c r="K95" s="618" t="s">
        <v>149</v>
      </c>
      <c r="L95" s="568"/>
      <c r="O95" s="34"/>
      <c r="P95" s="34"/>
      <c r="Q95" s="34"/>
      <c r="R95" s="34"/>
      <c r="S95" s="34"/>
    </row>
    <row r="96" spans="3:22" ht="14.1" customHeight="1">
      <c r="C96" s="69" t="s">
        <v>420</v>
      </c>
      <c r="D96" s="190" t="s">
        <v>199</v>
      </c>
      <c r="E96" s="615">
        <v>649364</v>
      </c>
      <c r="F96" s="624" t="s">
        <v>184</v>
      </c>
      <c r="G96" s="618" t="s">
        <v>192</v>
      </c>
      <c r="H96" s="618" t="s">
        <v>192</v>
      </c>
      <c r="I96" s="620"/>
      <c r="J96" s="618"/>
      <c r="K96" s="618"/>
      <c r="L96" s="618"/>
      <c r="O96" s="89"/>
    </row>
    <row r="97" spans="3:15" ht="14.1" customHeight="1">
      <c r="C97" s="543" t="s">
        <v>421</v>
      </c>
      <c r="D97" s="191" t="s">
        <v>200</v>
      </c>
      <c r="E97" s="615">
        <v>700872</v>
      </c>
      <c r="F97" s="568" t="s">
        <v>149</v>
      </c>
      <c r="G97" s="618" t="s">
        <v>150</v>
      </c>
      <c r="H97" s="620"/>
      <c r="I97" s="618" t="s">
        <v>150</v>
      </c>
      <c r="J97" s="618" t="s">
        <v>191</v>
      </c>
      <c r="K97" s="618"/>
      <c r="L97" s="619"/>
      <c r="O97" s="89"/>
    </row>
    <row r="98" spans="3:15" ht="14.1" customHeight="1">
      <c r="C98" s="543" t="s">
        <v>422</v>
      </c>
      <c r="D98" s="552" t="s">
        <v>202</v>
      </c>
      <c r="E98" s="631">
        <v>703861</v>
      </c>
      <c r="F98" s="568" t="s">
        <v>149</v>
      </c>
      <c r="G98" s="618"/>
      <c r="H98" s="620"/>
      <c r="I98" s="618" t="s">
        <v>150</v>
      </c>
      <c r="J98" s="618" t="s">
        <v>150</v>
      </c>
      <c r="K98" s="618" t="s">
        <v>191</v>
      </c>
      <c r="L98" s="618"/>
      <c r="O98" s="89"/>
    </row>
    <row r="99" spans="3:15" ht="14.1" customHeight="1">
      <c r="C99" s="543" t="s">
        <v>423</v>
      </c>
      <c r="D99" s="192" t="s">
        <v>204</v>
      </c>
      <c r="E99" s="615">
        <v>652868</v>
      </c>
      <c r="F99" s="618"/>
      <c r="G99" s="618"/>
      <c r="H99" s="618"/>
      <c r="I99" s="617"/>
      <c r="J99" s="618"/>
      <c r="K99" s="618"/>
      <c r="L99" s="618"/>
      <c r="O99" s="89"/>
    </row>
    <row r="100" spans="3:15" ht="14.1" customHeight="1">
      <c r="C100" s="543" t="s">
        <v>424</v>
      </c>
      <c r="D100" s="189" t="s">
        <v>205</v>
      </c>
      <c r="E100" s="615">
        <v>652998</v>
      </c>
      <c r="F100" s="618" t="s">
        <v>150</v>
      </c>
      <c r="G100" s="620"/>
      <c r="H100" s="619"/>
      <c r="I100" s="618" t="s">
        <v>192</v>
      </c>
      <c r="J100" s="618" t="s">
        <v>192</v>
      </c>
      <c r="K100" s="616" t="s">
        <v>599</v>
      </c>
      <c r="L100" s="616" t="s">
        <v>599</v>
      </c>
      <c r="O100" s="89"/>
    </row>
    <row r="101" spans="3:15" ht="14.1" customHeight="1">
      <c r="C101" s="543" t="s">
        <v>425</v>
      </c>
      <c r="D101" s="193" t="s">
        <v>206</v>
      </c>
      <c r="E101" s="631">
        <v>654959</v>
      </c>
      <c r="F101" s="617"/>
      <c r="G101" s="620"/>
      <c r="H101" s="618"/>
      <c r="I101" s="624" t="s">
        <v>192</v>
      </c>
      <c r="J101" s="618" t="s">
        <v>192</v>
      </c>
      <c r="K101" s="618" t="s">
        <v>192</v>
      </c>
      <c r="L101" s="618" t="s">
        <v>192</v>
      </c>
      <c r="O101" s="89"/>
    </row>
    <row r="102" spans="3:15" ht="14.1" customHeight="1">
      <c r="C102" s="85" t="s">
        <v>426</v>
      </c>
      <c r="D102" s="551" t="s">
        <v>207</v>
      </c>
      <c r="E102" s="615">
        <v>654981</v>
      </c>
      <c r="F102" s="620"/>
      <c r="G102" s="618" t="s">
        <v>150</v>
      </c>
      <c r="H102" s="617"/>
      <c r="I102" s="618" t="s">
        <v>149</v>
      </c>
      <c r="J102" s="618" t="s">
        <v>149</v>
      </c>
      <c r="K102" s="622"/>
      <c r="L102" s="622"/>
      <c r="O102" s="89"/>
    </row>
    <row r="103" spans="3:15" ht="14.1" customHeight="1">
      <c r="C103" s="85" t="s">
        <v>427</v>
      </c>
      <c r="D103" s="553" t="s">
        <v>208</v>
      </c>
      <c r="E103" s="615">
        <v>703795</v>
      </c>
      <c r="F103" s="618" t="s">
        <v>149</v>
      </c>
      <c r="G103" s="620"/>
      <c r="H103" s="617"/>
      <c r="I103" s="617"/>
      <c r="J103" s="618" t="s">
        <v>192</v>
      </c>
      <c r="K103" s="618" t="s">
        <v>192</v>
      </c>
      <c r="L103" s="618" t="s">
        <v>192</v>
      </c>
      <c r="O103" s="89"/>
    </row>
    <row r="104" spans="3:15" ht="14.1" customHeight="1">
      <c r="C104" s="730" t="s">
        <v>428</v>
      </c>
      <c r="D104" s="551" t="s">
        <v>209</v>
      </c>
      <c r="E104" s="615">
        <v>652364</v>
      </c>
      <c r="F104" s="620"/>
      <c r="G104" s="568"/>
      <c r="H104" s="618"/>
      <c r="I104" s="618" t="s">
        <v>191</v>
      </c>
      <c r="J104" s="618"/>
      <c r="K104" s="618"/>
      <c r="L104" s="618"/>
      <c r="O104" s="89"/>
    </row>
    <row r="105" spans="3:15" ht="14.1" customHeight="1">
      <c r="C105" s="543" t="s">
        <v>429</v>
      </c>
      <c r="D105" s="551" t="s">
        <v>210</v>
      </c>
      <c r="E105" s="615">
        <v>644433</v>
      </c>
      <c r="F105" s="617"/>
      <c r="G105" s="617"/>
      <c r="H105" s="617"/>
      <c r="I105" s="617"/>
      <c r="J105" s="617"/>
      <c r="K105" s="618"/>
      <c r="L105" s="618" t="s">
        <v>191</v>
      </c>
      <c r="O105" s="89"/>
    </row>
    <row r="106" spans="3:15" ht="14.1" customHeight="1">
      <c r="C106" s="87" t="s">
        <v>430</v>
      </c>
      <c r="D106" s="551" t="s">
        <v>211</v>
      </c>
      <c r="E106" s="615">
        <v>650602</v>
      </c>
      <c r="F106" s="617"/>
      <c r="G106" s="617"/>
      <c r="H106" s="617"/>
      <c r="I106" s="617"/>
      <c r="J106" s="617"/>
      <c r="K106" s="617"/>
      <c r="L106" s="617"/>
      <c r="O106" s="89"/>
    </row>
    <row r="107" spans="3:15" ht="14.1" customHeight="1">
      <c r="C107" s="87" t="s">
        <v>431</v>
      </c>
      <c r="D107" s="552" t="s">
        <v>212</v>
      </c>
      <c r="E107" s="631">
        <v>704893</v>
      </c>
      <c r="F107" s="618"/>
      <c r="G107" s="618" t="s">
        <v>191</v>
      </c>
      <c r="H107" s="618" t="s">
        <v>150</v>
      </c>
      <c r="I107" s="622"/>
      <c r="J107" s="622"/>
      <c r="K107" s="622"/>
      <c r="L107" s="622"/>
      <c r="O107" s="89"/>
    </row>
    <row r="108" spans="3:15" ht="14.1" customHeight="1">
      <c r="C108" s="87" t="s">
        <v>432</v>
      </c>
      <c r="D108" s="194" t="s">
        <v>214</v>
      </c>
      <c r="E108" s="615">
        <v>636733</v>
      </c>
      <c r="F108" s="616" t="s">
        <v>531</v>
      </c>
      <c r="G108" s="618"/>
      <c r="H108" s="618"/>
      <c r="I108" s="565" t="s">
        <v>149</v>
      </c>
      <c r="J108" s="618"/>
      <c r="K108" s="616" t="s">
        <v>342</v>
      </c>
      <c r="L108" s="617"/>
      <c r="O108" s="89"/>
    </row>
    <row r="109" spans="3:15" ht="14.1" customHeight="1">
      <c r="C109" s="69" t="s">
        <v>433</v>
      </c>
      <c r="D109" s="195" t="s">
        <v>216</v>
      </c>
      <c r="E109" s="200">
        <v>637770</v>
      </c>
      <c r="F109" s="254" t="s">
        <v>553</v>
      </c>
      <c r="G109" s="254"/>
      <c r="H109" s="254"/>
      <c r="I109" s="254"/>
      <c r="J109" s="254"/>
      <c r="K109" s="254"/>
      <c r="L109" s="254"/>
      <c r="O109" s="89"/>
    </row>
    <row r="110" spans="3:15" ht="14.1" customHeight="1">
      <c r="C110" s="543"/>
      <c r="D110" s="554"/>
      <c r="E110" s="625"/>
      <c r="F110" s="617"/>
      <c r="G110" s="617"/>
      <c r="H110" s="617"/>
      <c r="I110" s="617"/>
      <c r="J110" s="617"/>
      <c r="K110" s="617"/>
      <c r="L110" s="617"/>
      <c r="O110" s="89"/>
    </row>
    <row r="111" spans="3:15" ht="14.1" customHeight="1" thickBot="1">
      <c r="C111" s="543"/>
      <c r="D111" s="554"/>
      <c r="E111" s="166"/>
      <c r="F111" s="760" t="s">
        <v>218</v>
      </c>
      <c r="G111" s="761"/>
      <c r="H111" s="761"/>
      <c r="I111" s="761"/>
      <c r="J111" s="761"/>
      <c r="K111" s="761"/>
      <c r="L111" s="762"/>
      <c r="O111" s="89"/>
    </row>
    <row r="112" spans="3:15" ht="14.1" customHeight="1">
      <c r="C112" s="555" t="s">
        <v>434</v>
      </c>
      <c r="D112" s="167" t="s">
        <v>219</v>
      </c>
      <c r="E112" s="302"/>
      <c r="F112" s="71">
        <f t="shared" ref="F112:L112" si="19">F4</f>
        <v>46125</v>
      </c>
      <c r="G112" s="71">
        <f t="shared" si="19"/>
        <v>46126</v>
      </c>
      <c r="H112" s="71">
        <f t="shared" si="19"/>
        <v>46127</v>
      </c>
      <c r="I112" s="71">
        <f t="shared" si="19"/>
        <v>46128</v>
      </c>
      <c r="J112" s="71">
        <f t="shared" si="19"/>
        <v>46129</v>
      </c>
      <c r="K112" s="71">
        <f t="shared" si="19"/>
        <v>46130</v>
      </c>
      <c r="L112" s="71">
        <f t="shared" si="19"/>
        <v>46131</v>
      </c>
      <c r="O112" s="89"/>
    </row>
    <row r="113" spans="3:15" ht="14.1" customHeight="1">
      <c r="C113" s="556" t="s">
        <v>435</v>
      </c>
      <c r="D113" s="557" t="s">
        <v>220</v>
      </c>
      <c r="E113" s="633">
        <v>654686</v>
      </c>
      <c r="F113" s="303"/>
      <c r="G113" s="303" t="s">
        <v>225</v>
      </c>
      <c r="H113" s="303" t="s">
        <v>224</v>
      </c>
      <c r="I113" s="303" t="s">
        <v>150</v>
      </c>
      <c r="J113" s="303" t="s">
        <v>150</v>
      </c>
      <c r="K113" s="565"/>
      <c r="L113" s="565"/>
      <c r="O113" s="89"/>
    </row>
    <row r="114" spans="3:15" ht="14.1" customHeight="1">
      <c r="C114" s="556" t="s">
        <v>436</v>
      </c>
      <c r="D114" s="557" t="s">
        <v>227</v>
      </c>
      <c r="E114" s="633">
        <v>700581</v>
      </c>
      <c r="F114" s="565" t="s">
        <v>226</v>
      </c>
      <c r="G114" s="565" t="s">
        <v>150</v>
      </c>
      <c r="H114" s="565" t="s">
        <v>222</v>
      </c>
      <c r="I114" s="565" t="s">
        <v>223</v>
      </c>
      <c r="J114" s="565"/>
      <c r="K114" s="565"/>
      <c r="L114" s="565"/>
      <c r="O114" s="89"/>
    </row>
    <row r="115" spans="3:15" ht="14.1" customHeight="1">
      <c r="C115" s="88" t="s">
        <v>437</v>
      </c>
      <c r="D115" s="557" t="s">
        <v>228</v>
      </c>
      <c r="E115" s="633">
        <v>700540</v>
      </c>
      <c r="F115" s="566" t="s">
        <v>222</v>
      </c>
      <c r="G115" s="566" t="s">
        <v>222</v>
      </c>
      <c r="H115" s="566"/>
      <c r="I115" s="566"/>
      <c r="J115" s="566" t="s">
        <v>150</v>
      </c>
      <c r="K115" s="578" t="s">
        <v>317</v>
      </c>
      <c r="L115" s="566"/>
      <c r="O115" s="89"/>
    </row>
    <row r="116" spans="3:15" ht="14.1" customHeight="1">
      <c r="C116" s="556" t="s">
        <v>438</v>
      </c>
      <c r="D116" s="557" t="s">
        <v>600</v>
      </c>
      <c r="E116" s="633">
        <v>646665</v>
      </c>
      <c r="F116" s="565" t="s">
        <v>224</v>
      </c>
      <c r="G116" s="565" t="s">
        <v>149</v>
      </c>
      <c r="H116" s="565" t="s">
        <v>150</v>
      </c>
      <c r="I116" s="565" t="s">
        <v>150</v>
      </c>
      <c r="J116" s="565"/>
      <c r="K116" s="565"/>
      <c r="L116" s="565"/>
      <c r="O116" s="89"/>
    </row>
    <row r="117" spans="3:15" ht="14.1" customHeight="1">
      <c r="C117" s="556" t="s">
        <v>439</v>
      </c>
      <c r="D117" s="557" t="s">
        <v>231</v>
      </c>
      <c r="E117" s="633">
        <v>654598</v>
      </c>
      <c r="F117" s="565"/>
      <c r="G117" s="565" t="s">
        <v>150</v>
      </c>
      <c r="H117" s="565" t="s">
        <v>150</v>
      </c>
      <c r="I117" s="565"/>
      <c r="J117" s="565"/>
      <c r="K117" s="565" t="s">
        <v>149</v>
      </c>
      <c r="L117" s="565" t="s">
        <v>150</v>
      </c>
      <c r="O117" s="89"/>
    </row>
    <row r="118" spans="3:15" ht="14.1" customHeight="1">
      <c r="C118" s="556" t="s">
        <v>440</v>
      </c>
      <c r="D118" s="557" t="s">
        <v>232</v>
      </c>
      <c r="E118" s="633">
        <v>700591</v>
      </c>
      <c r="F118" s="565" t="s">
        <v>225</v>
      </c>
      <c r="G118" s="578" t="s">
        <v>359</v>
      </c>
      <c r="H118" s="565"/>
      <c r="I118" s="578" t="s">
        <v>342</v>
      </c>
      <c r="J118" s="578" t="s">
        <v>530</v>
      </c>
      <c r="K118" s="565"/>
      <c r="L118" s="565"/>
      <c r="O118" s="89"/>
    </row>
    <row r="119" spans="3:15" ht="14.1" customHeight="1">
      <c r="C119" s="556" t="s">
        <v>441</v>
      </c>
      <c r="D119" s="557" t="s">
        <v>233</v>
      </c>
      <c r="E119" s="633">
        <v>700648</v>
      </c>
      <c r="F119" s="635"/>
      <c r="G119" s="635"/>
      <c r="H119" s="635"/>
      <c r="I119" s="635"/>
      <c r="J119" s="635"/>
      <c r="K119" s="635"/>
      <c r="L119" s="635"/>
      <c r="O119" s="89"/>
    </row>
    <row r="120" spans="3:15" ht="14.1" customHeight="1">
      <c r="C120" s="556" t="s">
        <v>443</v>
      </c>
      <c r="D120" s="557" t="s">
        <v>234</v>
      </c>
      <c r="E120" s="633">
        <v>700653</v>
      </c>
      <c r="F120" s="565"/>
      <c r="G120" s="565"/>
      <c r="H120" s="565"/>
      <c r="I120" s="565" t="s">
        <v>224</v>
      </c>
      <c r="J120" s="565" t="s">
        <v>222</v>
      </c>
      <c r="K120" s="565" t="s">
        <v>221</v>
      </c>
      <c r="L120" s="565" t="s">
        <v>222</v>
      </c>
      <c r="O120" s="89"/>
    </row>
    <row r="121" spans="3:15" ht="14.1" customHeight="1">
      <c r="C121" s="556" t="s">
        <v>444</v>
      </c>
      <c r="D121" s="557" t="s">
        <v>235</v>
      </c>
      <c r="E121" s="633">
        <v>700604</v>
      </c>
      <c r="F121" s="565" t="s">
        <v>150</v>
      </c>
      <c r="G121" s="565" t="s">
        <v>226</v>
      </c>
      <c r="H121" s="565"/>
      <c r="I121" s="565" t="s">
        <v>149</v>
      </c>
      <c r="J121" s="565" t="s">
        <v>149</v>
      </c>
      <c r="K121" s="565"/>
      <c r="L121" s="565"/>
      <c r="O121" s="89"/>
    </row>
    <row r="122" spans="3:15" ht="14.1" customHeight="1">
      <c r="C122" s="556" t="s">
        <v>445</v>
      </c>
      <c r="D122" s="557" t="s">
        <v>236</v>
      </c>
      <c r="E122" s="633">
        <v>655170</v>
      </c>
      <c r="F122" s="565" t="s">
        <v>150</v>
      </c>
      <c r="G122" s="565"/>
      <c r="H122" s="565" t="s">
        <v>150</v>
      </c>
      <c r="I122" s="565"/>
      <c r="J122" s="565"/>
      <c r="K122" s="565" t="s">
        <v>225</v>
      </c>
      <c r="L122" s="565" t="s">
        <v>224</v>
      </c>
      <c r="O122" s="89"/>
    </row>
    <row r="123" spans="3:15" ht="14.1" customHeight="1">
      <c r="C123" s="556" t="s">
        <v>446</v>
      </c>
      <c r="D123" s="557" t="s">
        <v>237</v>
      </c>
      <c r="E123" s="633">
        <v>703000</v>
      </c>
      <c r="F123" s="578" t="s">
        <v>530</v>
      </c>
      <c r="G123" s="565"/>
      <c r="H123" s="565"/>
      <c r="I123" s="565"/>
      <c r="J123" s="565" t="s">
        <v>224</v>
      </c>
      <c r="K123" s="565" t="s">
        <v>150</v>
      </c>
      <c r="L123" s="565" t="s">
        <v>150</v>
      </c>
      <c r="O123" s="89"/>
    </row>
    <row r="124" spans="3:15" ht="14.1" customHeight="1">
      <c r="C124" s="556" t="s">
        <v>447</v>
      </c>
      <c r="D124" s="557" t="s">
        <v>238</v>
      </c>
      <c r="E124" s="633">
        <v>702770</v>
      </c>
      <c r="F124" s="578" t="s">
        <v>359</v>
      </c>
      <c r="G124" s="565"/>
      <c r="H124" s="578" t="s">
        <v>317</v>
      </c>
      <c r="I124" s="578" t="s">
        <v>359</v>
      </c>
      <c r="J124" s="565" t="s">
        <v>226</v>
      </c>
      <c r="K124" s="565"/>
      <c r="L124" s="565"/>
      <c r="O124" s="89"/>
    </row>
    <row r="125" spans="3:15" ht="14.1" customHeight="1">
      <c r="C125" s="556" t="s">
        <v>448</v>
      </c>
      <c r="D125" s="557" t="s">
        <v>239</v>
      </c>
      <c r="E125" s="633">
        <v>704108</v>
      </c>
      <c r="F125" s="565"/>
      <c r="G125" s="565" t="s">
        <v>224</v>
      </c>
      <c r="H125" s="565" t="s">
        <v>149</v>
      </c>
      <c r="I125" s="565"/>
      <c r="J125" s="565"/>
      <c r="K125" s="565" t="s">
        <v>149</v>
      </c>
      <c r="L125" s="565" t="s">
        <v>150</v>
      </c>
      <c r="O125" s="89"/>
    </row>
    <row r="126" spans="3:15" ht="14.1" customHeight="1">
      <c r="C126" s="556" t="s">
        <v>449</v>
      </c>
      <c r="D126" s="557" t="s">
        <v>240</v>
      </c>
      <c r="E126" s="633">
        <v>700734</v>
      </c>
      <c r="F126" s="565"/>
      <c r="G126" s="565" t="s">
        <v>223</v>
      </c>
      <c r="H126" s="565" t="s">
        <v>221</v>
      </c>
      <c r="I126" s="578" t="s">
        <v>442</v>
      </c>
      <c r="J126" s="565"/>
      <c r="K126" s="565"/>
      <c r="L126" s="565" t="s">
        <v>150</v>
      </c>
      <c r="O126" s="89"/>
    </row>
    <row r="127" spans="3:15" ht="14.1" customHeight="1">
      <c r="C127" s="556" t="s">
        <v>450</v>
      </c>
      <c r="D127" s="557" t="s">
        <v>241</v>
      </c>
      <c r="E127" s="633">
        <v>702035</v>
      </c>
      <c r="F127" s="565"/>
      <c r="G127" s="565"/>
      <c r="H127" s="565" t="s">
        <v>225</v>
      </c>
      <c r="I127" s="565"/>
      <c r="J127" s="565" t="s">
        <v>223</v>
      </c>
      <c r="K127" s="565" t="s">
        <v>222</v>
      </c>
      <c r="L127" s="565" t="s">
        <v>221</v>
      </c>
      <c r="O127" s="89"/>
    </row>
    <row r="128" spans="3:15" ht="14.1" customHeight="1">
      <c r="C128" s="556" t="s">
        <v>451</v>
      </c>
      <c r="D128" s="557" t="s">
        <v>242</v>
      </c>
      <c r="E128" s="633">
        <v>702779</v>
      </c>
      <c r="F128" s="635"/>
      <c r="G128" s="635"/>
      <c r="H128" s="635"/>
      <c r="I128" s="635"/>
      <c r="J128" s="635"/>
      <c r="K128" s="711"/>
      <c r="L128" s="711"/>
      <c r="O128" s="89"/>
    </row>
    <row r="129" spans="3:15" ht="14.1" customHeight="1">
      <c r="C129" s="556" t="s">
        <v>452</v>
      </c>
      <c r="D129" s="557" t="s">
        <v>243</v>
      </c>
      <c r="E129" s="633">
        <v>641339</v>
      </c>
      <c r="F129" s="565" t="s">
        <v>150</v>
      </c>
      <c r="G129" s="565"/>
      <c r="H129" s="565"/>
      <c r="I129" s="565"/>
      <c r="J129" s="565" t="s">
        <v>221</v>
      </c>
      <c r="K129" s="578" t="s">
        <v>442</v>
      </c>
      <c r="L129" s="565" t="s">
        <v>223</v>
      </c>
      <c r="O129" s="89"/>
    </row>
    <row r="130" spans="3:15" ht="14.1" customHeight="1">
      <c r="C130" s="556" t="s">
        <v>453</v>
      </c>
      <c r="D130" s="557" t="s">
        <v>244</v>
      </c>
      <c r="E130" s="633">
        <v>703783</v>
      </c>
      <c r="F130" s="565" t="s">
        <v>223</v>
      </c>
      <c r="G130" s="565" t="s">
        <v>221</v>
      </c>
      <c r="H130" s="565"/>
      <c r="I130" s="565"/>
      <c r="J130" s="565" t="s">
        <v>150</v>
      </c>
      <c r="K130" s="565" t="s">
        <v>150</v>
      </c>
      <c r="L130" s="565" t="s">
        <v>222</v>
      </c>
      <c r="O130" s="89"/>
    </row>
    <row r="131" spans="3:15" ht="14.1" customHeight="1">
      <c r="C131" s="556" t="s">
        <v>454</v>
      </c>
      <c r="D131" s="557" t="s">
        <v>245</v>
      </c>
      <c r="E131" s="625">
        <v>702087</v>
      </c>
      <c r="F131" s="565"/>
      <c r="G131" s="565"/>
      <c r="H131" s="565" t="s">
        <v>223</v>
      </c>
      <c r="I131" s="565" t="s">
        <v>221</v>
      </c>
      <c r="J131" s="565"/>
      <c r="K131" s="565"/>
      <c r="L131" s="565"/>
      <c r="O131" s="89"/>
    </row>
    <row r="132" spans="3:15" ht="14.1" customHeight="1">
      <c r="C132" s="556" t="s">
        <v>455</v>
      </c>
      <c r="D132" s="558" t="s">
        <v>246</v>
      </c>
      <c r="E132" s="625">
        <v>705039</v>
      </c>
      <c r="F132" s="565"/>
      <c r="G132" s="565" t="s">
        <v>149</v>
      </c>
      <c r="H132" s="565" t="s">
        <v>229</v>
      </c>
      <c r="I132" s="565" t="s">
        <v>225</v>
      </c>
      <c r="J132" s="565"/>
      <c r="K132" s="565"/>
      <c r="L132" s="565" t="s">
        <v>149</v>
      </c>
      <c r="O132" s="89"/>
    </row>
    <row r="133" spans="3:15" ht="14.1" customHeight="1">
      <c r="C133" s="556" t="s">
        <v>456</v>
      </c>
      <c r="D133" s="557" t="s">
        <v>247</v>
      </c>
      <c r="E133" s="625">
        <v>703186</v>
      </c>
      <c r="F133" s="565"/>
      <c r="G133" s="565" t="s">
        <v>150</v>
      </c>
      <c r="H133" s="565" t="s">
        <v>150</v>
      </c>
      <c r="I133" s="565"/>
      <c r="J133" s="565"/>
      <c r="K133" s="565" t="s">
        <v>224</v>
      </c>
      <c r="L133" s="565" t="s">
        <v>225</v>
      </c>
      <c r="O133" s="89"/>
    </row>
    <row r="134" spans="3:15" ht="14.1" customHeight="1">
      <c r="C134" s="556" t="s">
        <v>458</v>
      </c>
      <c r="D134" s="557" t="s">
        <v>248</v>
      </c>
      <c r="E134" s="625">
        <v>703168</v>
      </c>
      <c r="F134" s="565" t="s">
        <v>221</v>
      </c>
      <c r="G134" s="565"/>
      <c r="H134" s="565"/>
      <c r="I134" s="565"/>
      <c r="J134" s="565" t="s">
        <v>225</v>
      </c>
      <c r="K134" s="565" t="s">
        <v>150</v>
      </c>
      <c r="L134" s="565" t="s">
        <v>226</v>
      </c>
      <c r="O134" s="89"/>
    </row>
    <row r="135" spans="3:15" ht="14.1" customHeight="1">
      <c r="C135" s="556" t="s">
        <v>459</v>
      </c>
      <c r="D135" s="557" t="s">
        <v>249</v>
      </c>
      <c r="E135" s="625">
        <v>703270</v>
      </c>
      <c r="F135" s="635"/>
      <c r="G135" s="635"/>
      <c r="H135" s="635"/>
      <c r="I135" s="635"/>
      <c r="J135" s="635"/>
      <c r="K135" s="635"/>
      <c r="L135" s="635"/>
      <c r="O135" s="89"/>
    </row>
    <row r="136" spans="3:15" ht="14.1" customHeight="1">
      <c r="C136" s="556" t="s">
        <v>460</v>
      </c>
      <c r="D136" s="558" t="s">
        <v>251</v>
      </c>
      <c r="E136" s="625">
        <v>702481</v>
      </c>
      <c r="F136" s="565"/>
      <c r="G136" s="565"/>
      <c r="H136" s="565" t="s">
        <v>226</v>
      </c>
      <c r="I136" s="565"/>
      <c r="J136" s="565" t="s">
        <v>222</v>
      </c>
      <c r="K136" s="565" t="s">
        <v>223</v>
      </c>
      <c r="L136" s="565" t="s">
        <v>222</v>
      </c>
      <c r="O136" s="89"/>
    </row>
    <row r="137" spans="3:15" ht="14.1" customHeight="1">
      <c r="C137" s="556" t="s">
        <v>461</v>
      </c>
      <c r="D137" s="558" t="s">
        <v>252</v>
      </c>
      <c r="E137" s="625">
        <v>700682</v>
      </c>
      <c r="F137" s="634"/>
      <c r="G137" s="634"/>
      <c r="H137" s="634"/>
      <c r="I137" s="634"/>
      <c r="J137" s="634"/>
      <c r="K137" s="634"/>
      <c r="L137" s="634"/>
      <c r="O137" s="89"/>
    </row>
    <row r="138" spans="3:15" ht="14.1" customHeight="1">
      <c r="C138" s="556" t="s">
        <v>462</v>
      </c>
      <c r="D138" s="558" t="s">
        <v>253</v>
      </c>
      <c r="E138" s="625">
        <v>700721</v>
      </c>
      <c r="F138" s="565" t="s">
        <v>222</v>
      </c>
      <c r="G138" s="565"/>
      <c r="H138" s="565"/>
      <c r="I138" s="565" t="s">
        <v>150</v>
      </c>
      <c r="J138" s="565" t="s">
        <v>150</v>
      </c>
      <c r="K138" s="565" t="s">
        <v>226</v>
      </c>
      <c r="L138" s="565"/>
      <c r="O138" s="89"/>
    </row>
    <row r="139" spans="3:15" ht="14.1" customHeight="1">
      <c r="C139" s="556" t="s">
        <v>463</v>
      </c>
      <c r="D139" s="558" t="s">
        <v>254</v>
      </c>
      <c r="E139" s="625">
        <v>703820</v>
      </c>
      <c r="F139" s="565" t="s">
        <v>149</v>
      </c>
      <c r="G139" s="565" t="s">
        <v>222</v>
      </c>
      <c r="H139" s="565" t="s">
        <v>222</v>
      </c>
      <c r="I139" s="565" t="s">
        <v>222</v>
      </c>
      <c r="J139" s="565"/>
      <c r="K139" s="712"/>
      <c r="L139" s="712"/>
      <c r="O139" s="89"/>
    </row>
    <row r="140" spans="3:15" ht="14.1" customHeight="1">
      <c r="C140" s="556" t="s">
        <v>464</v>
      </c>
      <c r="D140" s="558" t="s">
        <v>255</v>
      </c>
      <c r="E140" s="625">
        <v>703788</v>
      </c>
      <c r="F140" s="634"/>
      <c r="G140" s="634"/>
      <c r="H140" s="634"/>
      <c r="I140" s="634"/>
      <c r="J140" s="634"/>
      <c r="K140" s="634"/>
      <c r="L140" s="634"/>
      <c r="O140" s="89"/>
    </row>
    <row r="141" spans="3:15" ht="14.1" customHeight="1">
      <c r="C141" s="556" t="s">
        <v>465</v>
      </c>
      <c r="D141" s="558" t="s">
        <v>256</v>
      </c>
      <c r="E141" s="625">
        <v>700646</v>
      </c>
      <c r="F141" s="634"/>
      <c r="G141" s="634"/>
      <c r="H141" s="634"/>
      <c r="I141" s="634"/>
      <c r="J141" s="634"/>
      <c r="K141" s="634"/>
      <c r="L141" s="634"/>
      <c r="O141" s="89"/>
    </row>
    <row r="142" spans="3:15" ht="14.1" customHeight="1">
      <c r="C142" s="556" t="s">
        <v>466</v>
      </c>
      <c r="D142" s="558" t="s">
        <v>257</v>
      </c>
      <c r="E142" s="633">
        <v>655539</v>
      </c>
      <c r="F142" s="634"/>
      <c r="G142" s="634"/>
      <c r="H142" s="634"/>
      <c r="I142" s="634"/>
      <c r="J142" s="634"/>
      <c r="K142" s="634"/>
      <c r="L142" s="634"/>
      <c r="O142" s="89"/>
    </row>
    <row r="143" spans="3:15" ht="14.1" customHeight="1">
      <c r="C143" s="556" t="s">
        <v>467</v>
      </c>
      <c r="D143" s="559" t="s">
        <v>258</v>
      </c>
      <c r="E143" s="633">
        <v>653933</v>
      </c>
      <c r="F143" s="565" t="s">
        <v>222</v>
      </c>
      <c r="G143" s="565"/>
      <c r="H143" s="565"/>
      <c r="I143" s="565" t="s">
        <v>226</v>
      </c>
      <c r="J143" s="565"/>
      <c r="K143" s="565" t="s">
        <v>150</v>
      </c>
      <c r="L143" s="565" t="s">
        <v>150</v>
      </c>
      <c r="O143" s="89"/>
    </row>
    <row r="144" spans="3:15" ht="14.1" customHeight="1">
      <c r="C144" s="556" t="s">
        <v>468</v>
      </c>
      <c r="D144" s="558" t="s">
        <v>259</v>
      </c>
      <c r="E144" s="636"/>
      <c r="F144" s="634"/>
      <c r="G144" s="634"/>
      <c r="H144" s="634"/>
      <c r="I144" s="634"/>
      <c r="J144" s="634"/>
      <c r="K144" s="634"/>
      <c r="L144" s="634"/>
      <c r="O144" s="89"/>
    </row>
    <row r="145" spans="3:15" ht="14.1" customHeight="1">
      <c r="C145" s="556"/>
      <c r="D145" s="286"/>
      <c r="E145" s="304"/>
      <c r="G145" s="566"/>
      <c r="H145" s="566"/>
      <c r="I145" s="566"/>
      <c r="J145" s="566"/>
      <c r="K145" s="566"/>
      <c r="L145" s="566"/>
      <c r="O145" s="89"/>
    </row>
    <row r="146" spans="3:15" ht="14.1" customHeight="1">
      <c r="C146" s="560" t="s">
        <v>472</v>
      </c>
      <c r="D146" s="462" t="s">
        <v>260</v>
      </c>
      <c r="E146" s="463"/>
      <c r="F146" s="210"/>
      <c r="G146" s="578"/>
      <c r="H146" s="578"/>
      <c r="I146" s="578"/>
      <c r="J146" s="578"/>
      <c r="K146" s="578"/>
      <c r="L146" s="578"/>
      <c r="O146" s="89"/>
    </row>
    <row r="147" spans="3:15" ht="14.1" customHeight="1">
      <c r="C147" s="561" t="s">
        <v>554</v>
      </c>
      <c r="D147" s="694" t="s">
        <v>555</v>
      </c>
      <c r="E147" s="695">
        <v>703323</v>
      </c>
      <c r="F147" s="271" t="s">
        <v>561</v>
      </c>
      <c r="G147" s="261" t="s">
        <v>561</v>
      </c>
      <c r="H147" s="261" t="s">
        <v>561</v>
      </c>
      <c r="I147" s="261" t="s">
        <v>150</v>
      </c>
      <c r="J147" s="261" t="s">
        <v>150</v>
      </c>
      <c r="K147" s="261" t="s">
        <v>150</v>
      </c>
      <c r="L147" s="262" t="s">
        <v>150</v>
      </c>
      <c r="O147" s="89"/>
    </row>
    <row r="148" spans="3:15" ht="14.1" customHeight="1">
      <c r="C148" s="561" t="s">
        <v>556</v>
      </c>
      <c r="D148" s="307" t="s">
        <v>557</v>
      </c>
      <c r="E148" s="308">
        <v>703564</v>
      </c>
      <c r="F148" s="271" t="s">
        <v>222</v>
      </c>
      <c r="G148" s="261" t="s">
        <v>222</v>
      </c>
      <c r="H148" s="261" t="s">
        <v>222</v>
      </c>
      <c r="I148" s="261" t="s">
        <v>222</v>
      </c>
      <c r="J148" s="261" t="s">
        <v>561</v>
      </c>
      <c r="K148" s="261" t="s">
        <v>561</v>
      </c>
      <c r="L148" s="262" t="s">
        <v>561</v>
      </c>
      <c r="O148" s="89"/>
    </row>
    <row r="149" spans="3:15" ht="14.1" customHeight="1">
      <c r="C149" s="561" t="s">
        <v>587</v>
      </c>
      <c r="D149" s="307" t="s">
        <v>559</v>
      </c>
      <c r="E149" s="308">
        <v>703800</v>
      </c>
      <c r="F149" s="270" t="s">
        <v>263</v>
      </c>
      <c r="G149" s="258" t="s">
        <v>263</v>
      </c>
      <c r="H149" s="258" t="s">
        <v>263</v>
      </c>
      <c r="I149" s="258" t="s">
        <v>263</v>
      </c>
      <c r="J149" s="258" t="s">
        <v>263</v>
      </c>
      <c r="K149" s="258" t="s">
        <v>263</v>
      </c>
      <c r="L149" s="259" t="s">
        <v>263</v>
      </c>
      <c r="O149" s="89"/>
    </row>
    <row r="150" spans="3:15" ht="14.1" customHeight="1">
      <c r="C150" s="561" t="s">
        <v>562</v>
      </c>
      <c r="D150" s="307" t="s">
        <v>563</v>
      </c>
      <c r="E150" s="308">
        <v>703321</v>
      </c>
      <c r="F150" s="270" t="s">
        <v>263</v>
      </c>
      <c r="G150" s="258" t="s">
        <v>263</v>
      </c>
      <c r="H150" s="258" t="s">
        <v>263</v>
      </c>
      <c r="I150" s="258" t="s">
        <v>263</v>
      </c>
      <c r="J150" s="258" t="s">
        <v>263</v>
      </c>
      <c r="K150" s="258" t="s">
        <v>263</v>
      </c>
      <c r="L150" s="259" t="s">
        <v>263</v>
      </c>
      <c r="O150" s="89"/>
    </row>
    <row r="151" spans="3:15" ht="14.1" customHeight="1">
      <c r="C151" s="561" t="s">
        <v>565</v>
      </c>
      <c r="D151" s="307" t="s">
        <v>566</v>
      </c>
      <c r="E151" s="308">
        <v>703351</v>
      </c>
      <c r="F151" s="271" t="s">
        <v>561</v>
      </c>
      <c r="G151" s="261" t="s">
        <v>561</v>
      </c>
      <c r="H151" s="273" t="s">
        <v>601</v>
      </c>
      <c r="I151" s="261" t="s">
        <v>149</v>
      </c>
      <c r="J151" s="261" t="s">
        <v>149</v>
      </c>
      <c r="K151" s="261" t="s">
        <v>561</v>
      </c>
      <c r="L151" s="262" t="s">
        <v>561</v>
      </c>
      <c r="O151" s="89"/>
    </row>
    <row r="152" spans="3:15" ht="14.1" customHeight="1">
      <c r="C152" s="561" t="s">
        <v>568</v>
      </c>
      <c r="D152" s="307" t="s">
        <v>569</v>
      </c>
      <c r="E152" s="308">
        <v>703574</v>
      </c>
      <c r="F152" s="271" t="s">
        <v>149</v>
      </c>
      <c r="G152" s="261" t="s">
        <v>149</v>
      </c>
      <c r="H152" s="261" t="s">
        <v>150</v>
      </c>
      <c r="I152" s="261" t="s">
        <v>150</v>
      </c>
      <c r="J152" s="261" t="s">
        <v>150</v>
      </c>
      <c r="K152" s="261" t="s">
        <v>561</v>
      </c>
      <c r="L152" s="262" t="s">
        <v>561</v>
      </c>
      <c r="O152" s="89"/>
    </row>
    <row r="153" spans="3:15" ht="14.1" customHeight="1">
      <c r="C153" s="561" t="s">
        <v>570</v>
      </c>
      <c r="D153" s="307" t="s">
        <v>571</v>
      </c>
      <c r="E153" s="308">
        <v>703354</v>
      </c>
      <c r="F153" s="271" t="s">
        <v>561</v>
      </c>
      <c r="G153" s="261" t="s">
        <v>149</v>
      </c>
      <c r="H153" s="261" t="s">
        <v>149</v>
      </c>
      <c r="I153" s="261" t="s">
        <v>149</v>
      </c>
      <c r="J153" s="261" t="s">
        <v>561</v>
      </c>
      <c r="K153" s="261" t="s">
        <v>561</v>
      </c>
      <c r="L153" s="262" t="s">
        <v>561</v>
      </c>
      <c r="O153" s="89"/>
    </row>
    <row r="154" spans="3:15" ht="14.1" customHeight="1">
      <c r="C154" s="561" t="s">
        <v>572</v>
      </c>
      <c r="D154" s="307" t="s">
        <v>573</v>
      </c>
      <c r="E154" s="308">
        <v>703547</v>
      </c>
      <c r="F154" s="271" t="s">
        <v>149</v>
      </c>
      <c r="G154" s="261" t="s">
        <v>149</v>
      </c>
      <c r="H154" s="261" t="s">
        <v>561</v>
      </c>
      <c r="I154" s="261" t="s">
        <v>561</v>
      </c>
      <c r="J154" s="261" t="s">
        <v>149</v>
      </c>
      <c r="K154" s="261" t="s">
        <v>150</v>
      </c>
      <c r="L154" s="262" t="s">
        <v>150</v>
      </c>
      <c r="O154" s="89"/>
    </row>
    <row r="155" spans="3:15" ht="14.1" customHeight="1">
      <c r="C155" s="561" t="s">
        <v>575</v>
      </c>
      <c r="D155" s="307" t="s">
        <v>576</v>
      </c>
      <c r="E155" s="308">
        <v>703356</v>
      </c>
      <c r="F155" s="271" t="s">
        <v>150</v>
      </c>
      <c r="G155" s="261" t="s">
        <v>150</v>
      </c>
      <c r="H155" s="261" t="s">
        <v>150</v>
      </c>
      <c r="I155" s="261" t="s">
        <v>561</v>
      </c>
      <c r="J155" s="261" t="s">
        <v>222</v>
      </c>
      <c r="K155" s="261" t="s">
        <v>222</v>
      </c>
      <c r="L155" s="262" t="s">
        <v>222</v>
      </c>
      <c r="O155" s="89"/>
    </row>
    <row r="156" spans="3:15" ht="14.1" customHeight="1">
      <c r="C156" s="561" t="s">
        <v>577</v>
      </c>
      <c r="D156" s="307" t="s">
        <v>578</v>
      </c>
      <c r="E156" s="308">
        <v>703476</v>
      </c>
      <c r="F156" s="272" t="s">
        <v>561</v>
      </c>
      <c r="G156" s="264" t="s">
        <v>561</v>
      </c>
      <c r="H156" s="264" t="s">
        <v>561</v>
      </c>
      <c r="I156" s="264" t="s">
        <v>561</v>
      </c>
      <c r="J156" s="264" t="s">
        <v>561</v>
      </c>
      <c r="K156" s="264" t="s">
        <v>149</v>
      </c>
      <c r="L156" s="265" t="s">
        <v>149</v>
      </c>
      <c r="O156" s="89"/>
    </row>
    <row r="157" spans="3:15" ht="14.1" customHeight="1">
      <c r="C157" s="561"/>
      <c r="D157" s="295"/>
      <c r="E157" s="308"/>
      <c r="F157" s="296"/>
      <c r="G157" s="296"/>
      <c r="H157" s="296"/>
      <c r="I157" s="296"/>
      <c r="J157" s="296"/>
      <c r="K157" s="296"/>
      <c r="L157" s="296"/>
      <c r="O157" s="89"/>
    </row>
    <row r="158" spans="3:15" ht="14.1" customHeight="1">
      <c r="C158" s="561"/>
      <c r="D158" s="175"/>
      <c r="E158" s="114"/>
      <c r="F158" s="793" t="s">
        <v>275</v>
      </c>
      <c r="G158" s="794"/>
      <c r="H158" s="794"/>
      <c r="I158" s="794"/>
      <c r="J158" s="794"/>
      <c r="K158" s="794"/>
      <c r="L158" s="795"/>
      <c r="O158" s="89"/>
    </row>
    <row r="159" spans="3:15" ht="14.1" customHeight="1">
      <c r="D159" s="476"/>
      <c r="E159" s="477"/>
      <c r="F159" s="566"/>
      <c r="G159" s="566"/>
      <c r="H159" s="566"/>
      <c r="I159" s="566"/>
      <c r="J159" s="566"/>
      <c r="K159" s="566"/>
      <c r="L159" s="566"/>
      <c r="O159" s="89"/>
    </row>
    <row r="160" spans="3:15" ht="14.1" customHeight="1">
      <c r="D160" s="479"/>
      <c r="E160" s="477"/>
      <c r="F160" s="566"/>
      <c r="G160" s="566"/>
      <c r="H160" s="566"/>
      <c r="I160" s="566"/>
      <c r="J160" s="566"/>
      <c r="K160" s="566"/>
      <c r="L160" s="566"/>
      <c r="O160" s="89"/>
    </row>
    <row r="161" spans="3:15" ht="14.1" customHeight="1">
      <c r="C161" s="563" t="s">
        <v>488</v>
      </c>
      <c r="D161" s="479" t="s">
        <v>488</v>
      </c>
      <c r="E161" s="477"/>
      <c r="F161" s="566"/>
      <c r="G161" s="566"/>
      <c r="H161" s="566"/>
      <c r="I161" s="566"/>
      <c r="J161" s="566"/>
      <c r="K161" s="566"/>
      <c r="L161" s="566"/>
      <c r="O161" s="89"/>
    </row>
    <row r="162" spans="3:15" ht="14.1" customHeight="1">
      <c r="C162" s="563"/>
      <c r="D162" s="563"/>
      <c r="E162" s="477"/>
      <c r="F162" s="566"/>
      <c r="G162" s="566"/>
      <c r="H162" s="566"/>
      <c r="I162" s="566"/>
      <c r="J162" s="566"/>
      <c r="K162" s="566"/>
      <c r="L162" s="566"/>
      <c r="O162" s="89"/>
    </row>
    <row r="163" spans="3:15" ht="14.1" customHeight="1">
      <c r="C163" s="563"/>
      <c r="D163" s="563"/>
      <c r="E163" s="477"/>
      <c r="F163" s="566"/>
      <c r="G163" s="566"/>
      <c r="H163" s="566"/>
      <c r="I163" s="566"/>
      <c r="J163" s="566"/>
      <c r="K163" s="566"/>
      <c r="L163" s="566"/>
      <c r="O163" s="89"/>
    </row>
    <row r="164" spans="3:15" ht="14.1" customHeight="1">
      <c r="C164" s="563"/>
      <c r="D164" s="563"/>
      <c r="E164" s="477"/>
      <c r="F164" s="566"/>
      <c r="G164" s="566"/>
      <c r="H164" s="566"/>
      <c r="I164" s="566"/>
      <c r="J164" s="566"/>
      <c r="K164" s="566"/>
      <c r="L164" s="566"/>
      <c r="O164" s="89"/>
    </row>
    <row r="165" spans="3:15" ht="14.1" customHeight="1">
      <c r="C165" s="563"/>
      <c r="D165" s="563"/>
      <c r="E165" s="477"/>
      <c r="G165" s="566"/>
      <c r="H165" s="566"/>
      <c r="I165" s="566"/>
      <c r="J165" s="566"/>
      <c r="K165" s="566"/>
      <c r="L165" s="566"/>
      <c r="O165" s="89"/>
    </row>
    <row r="166" spans="3:15" ht="14.1" customHeight="1">
      <c r="C166" s="563"/>
      <c r="D166" s="563"/>
      <c r="E166" s="477"/>
      <c r="G166" s="566"/>
      <c r="H166" s="566"/>
      <c r="I166" s="566"/>
      <c r="J166" s="566"/>
      <c r="K166" s="566"/>
      <c r="L166" s="566"/>
      <c r="O166" s="89"/>
    </row>
    <row r="167" spans="3:15" ht="14.1" customHeight="1">
      <c r="C167" s="563"/>
      <c r="D167" s="563"/>
      <c r="E167" s="477"/>
      <c r="G167" s="566"/>
      <c r="H167" s="566"/>
      <c r="I167" s="566"/>
      <c r="J167" s="566"/>
      <c r="K167" s="566"/>
      <c r="L167" s="566"/>
      <c r="O167" s="89"/>
    </row>
    <row r="168" spans="3:15" ht="14.1" customHeight="1">
      <c r="C168" s="563"/>
      <c r="D168" s="563"/>
      <c r="E168" s="477"/>
      <c r="F168" s="210"/>
      <c r="G168" s="578"/>
      <c r="H168" s="578"/>
      <c r="I168" s="578"/>
      <c r="J168" s="578"/>
      <c r="K168" s="578"/>
      <c r="L168" s="578"/>
      <c r="O168" s="89"/>
    </row>
    <row r="169" spans="3:15" ht="14.1" customHeight="1">
      <c r="C169" s="538" t="s">
        <v>1</v>
      </c>
      <c r="D169" s="538" t="s">
        <v>1</v>
      </c>
      <c r="E169" s="615"/>
      <c r="F169" s="565">
        <f t="shared" ref="F169:L169" si="20">COUNTIF(F6:F167,"0800-1730*")+COUNTIF(F6:F167,"0800-1800*")+COUNTIF(F6:F167,"0730-*")-COUNTIF(F6:F167,"*0800-1730 CS*")-COUNTIF(F6:F167,"*0800-1800 CS*")-COUNTIF(F6:F167,"*0800-1730 PHNW*")-COUNTIF(F6:F167,"*0800-1730 DEMT*")-COUNTIF(F6:F167,"*0800-1730 DD*")</f>
        <v>15</v>
      </c>
      <c r="G169" s="565">
        <f t="shared" si="20"/>
        <v>14</v>
      </c>
      <c r="H169" s="565">
        <f t="shared" si="20"/>
        <v>13</v>
      </c>
      <c r="I169" s="565">
        <f t="shared" si="20"/>
        <v>14</v>
      </c>
      <c r="J169" s="565">
        <f t="shared" si="20"/>
        <v>13</v>
      </c>
      <c r="K169" s="565">
        <f t="shared" si="20"/>
        <v>11</v>
      </c>
      <c r="L169" s="565">
        <f t="shared" si="20"/>
        <v>12</v>
      </c>
      <c r="O169" s="89"/>
    </row>
    <row r="170" spans="3:15" ht="14.1" customHeight="1">
      <c r="C170" s="538" t="s">
        <v>276</v>
      </c>
      <c r="D170" s="538" t="s">
        <v>276</v>
      </c>
      <c r="E170" s="615"/>
      <c r="F170" s="65">
        <f t="shared" ref="F170:L170" si="21">COUNTIF(F6:F167,"*SWA*")</f>
        <v>2</v>
      </c>
      <c r="G170" s="65">
        <f t="shared" si="21"/>
        <v>0</v>
      </c>
      <c r="H170" s="65">
        <f t="shared" si="21"/>
        <v>1</v>
      </c>
      <c r="I170" s="65">
        <f t="shared" si="21"/>
        <v>0</v>
      </c>
      <c r="J170" s="65">
        <f t="shared" si="21"/>
        <v>0</v>
      </c>
      <c r="K170" s="65">
        <f t="shared" si="21"/>
        <v>1</v>
      </c>
      <c r="L170" s="65">
        <f t="shared" si="21"/>
        <v>0</v>
      </c>
      <c r="O170" s="89"/>
    </row>
    <row r="171" spans="3:15" ht="14.1" customHeight="1">
      <c r="C171" s="538" t="s">
        <v>2</v>
      </c>
      <c r="D171" s="538" t="s">
        <v>2</v>
      </c>
      <c r="E171" s="615"/>
      <c r="F171" s="65">
        <f t="shared" ref="F171:L171" si="22">COUNTIF(F6:F167,"*1400-*")+COUNTIF(F6:F167,"*1430-*")</f>
        <v>13</v>
      </c>
      <c r="G171" s="65">
        <f t="shared" si="22"/>
        <v>14</v>
      </c>
      <c r="H171" s="65">
        <f t="shared" si="22"/>
        <v>16</v>
      </c>
      <c r="I171" s="65">
        <f t="shared" si="22"/>
        <v>15</v>
      </c>
      <c r="J171" s="65">
        <f t="shared" si="22"/>
        <v>15</v>
      </c>
      <c r="K171" s="65">
        <f t="shared" si="22"/>
        <v>15</v>
      </c>
      <c r="L171" s="65">
        <f t="shared" si="22"/>
        <v>16</v>
      </c>
      <c r="O171" s="89"/>
    </row>
    <row r="172" spans="3:15" ht="14.1" customHeight="1">
      <c r="C172" s="538" t="s">
        <v>277</v>
      </c>
      <c r="D172" s="538" t="s">
        <v>277</v>
      </c>
      <c r="E172" s="615"/>
      <c r="F172" s="65">
        <f t="shared" ref="F172:L172" si="23">COUNTIF(F7:F167,"*SWP*")</f>
        <v>0</v>
      </c>
      <c r="G172" s="65">
        <f t="shared" si="23"/>
        <v>0</v>
      </c>
      <c r="H172" s="65">
        <f t="shared" si="23"/>
        <v>0</v>
      </c>
      <c r="I172" s="65">
        <f t="shared" si="23"/>
        <v>0</v>
      </c>
      <c r="J172" s="65">
        <f t="shared" si="23"/>
        <v>1</v>
      </c>
      <c r="K172" s="65">
        <f t="shared" si="23"/>
        <v>0</v>
      </c>
      <c r="L172" s="65">
        <f t="shared" si="23"/>
        <v>0</v>
      </c>
      <c r="O172" s="89"/>
    </row>
    <row r="173" spans="3:15" ht="14.1" customHeight="1" thickBot="1">
      <c r="C173" s="961" t="s">
        <v>278</v>
      </c>
      <c r="D173" s="961" t="s">
        <v>278</v>
      </c>
      <c r="E173" s="615"/>
      <c r="F173" s="65">
        <f t="shared" ref="F173:L173" si="24">COUNTIF(F6:F167,"2300-*")</f>
        <v>9</v>
      </c>
      <c r="G173" s="65">
        <f t="shared" si="24"/>
        <v>10</v>
      </c>
      <c r="H173" s="65">
        <f t="shared" si="24"/>
        <v>9</v>
      </c>
      <c r="I173" s="65">
        <f t="shared" si="24"/>
        <v>9</v>
      </c>
      <c r="J173" s="65">
        <f t="shared" si="24"/>
        <v>9</v>
      </c>
      <c r="K173" s="65">
        <f t="shared" si="24"/>
        <v>7</v>
      </c>
      <c r="L173" s="65">
        <f t="shared" si="24"/>
        <v>9</v>
      </c>
      <c r="O173" s="89"/>
    </row>
    <row r="174" spans="3:15" ht="14.1" customHeight="1">
      <c r="C174" s="84"/>
      <c r="D174" s="556"/>
      <c r="E174" s="615"/>
      <c r="F174" s="65"/>
      <c r="G174" s="565"/>
      <c r="H174" s="565"/>
      <c r="I174" s="565"/>
      <c r="J174" s="565"/>
      <c r="K174" s="565"/>
      <c r="L174" s="565"/>
      <c r="O174" s="89"/>
    </row>
    <row r="175" spans="3:15" ht="14.1" customHeight="1">
      <c r="C175" s="50"/>
      <c r="D175" s="556" t="s">
        <v>489</v>
      </c>
      <c r="E175" s="615"/>
      <c r="G175" s="566"/>
      <c r="H175" s="566"/>
      <c r="I175" s="566"/>
      <c r="J175" s="566"/>
      <c r="K175" s="566"/>
      <c r="L175" s="566"/>
      <c r="O175" s="89"/>
    </row>
    <row r="176" spans="3:15" ht="14.1" customHeight="1">
      <c r="C176" s="50"/>
      <c r="D176" s="139" t="s">
        <v>157</v>
      </c>
      <c r="E176" s="615"/>
      <c r="F176" s="942"/>
      <c r="G176" s="942"/>
      <c r="H176" s="943"/>
      <c r="I176" s="942"/>
      <c r="J176" s="942"/>
      <c r="K176" s="942"/>
      <c r="L176" s="942"/>
      <c r="O176" s="89"/>
    </row>
    <row r="177" spans="3:15" ht="14.1" customHeight="1">
      <c r="C177" s="50"/>
      <c r="D177" s="182" t="s">
        <v>159</v>
      </c>
      <c r="E177" s="615">
        <v>628440</v>
      </c>
      <c r="F177" s="942"/>
      <c r="G177" s="942"/>
      <c r="H177" s="944" t="s">
        <v>279</v>
      </c>
      <c r="I177" s="942"/>
      <c r="J177" s="942"/>
      <c r="K177" s="942"/>
      <c r="L177" s="942"/>
      <c r="O177" s="89"/>
    </row>
    <row r="178" spans="3:15" ht="14.1" customHeight="1">
      <c r="C178" s="50"/>
      <c r="D178" s="183" t="s">
        <v>164</v>
      </c>
      <c r="E178" s="615">
        <v>653976</v>
      </c>
      <c r="F178" s="942"/>
      <c r="G178" s="942"/>
      <c r="H178" s="944" t="s">
        <v>279</v>
      </c>
      <c r="I178" s="942"/>
      <c r="J178" s="942"/>
      <c r="K178" s="942"/>
      <c r="L178" s="942"/>
      <c r="O178" s="89"/>
    </row>
    <row r="179" spans="3:15" ht="14.1" customHeight="1">
      <c r="C179" s="50"/>
      <c r="D179" s="184" t="s">
        <v>166</v>
      </c>
      <c r="E179" s="615">
        <v>654362</v>
      </c>
      <c r="F179" s="942"/>
      <c r="G179" s="942"/>
      <c r="H179" s="944" t="s">
        <v>279</v>
      </c>
      <c r="I179" s="942"/>
      <c r="J179" s="942"/>
      <c r="K179" s="942"/>
      <c r="L179" s="942"/>
      <c r="O179" s="89"/>
    </row>
    <row r="180" spans="3:15" ht="14.1" customHeight="1">
      <c r="C180" s="50"/>
      <c r="D180" s="184" t="s">
        <v>168</v>
      </c>
      <c r="E180" s="615">
        <v>615829</v>
      </c>
      <c r="F180" s="942"/>
      <c r="G180" s="942"/>
      <c r="H180" s="944" t="s">
        <v>280</v>
      </c>
      <c r="I180" s="942"/>
      <c r="J180" s="942"/>
      <c r="K180" s="942"/>
      <c r="L180" s="942"/>
      <c r="O180" s="89"/>
    </row>
    <row r="181" spans="3:15" ht="14.1" customHeight="1">
      <c r="C181" s="50"/>
      <c r="D181" s="954" t="s">
        <v>170</v>
      </c>
      <c r="E181" s="615">
        <v>619567</v>
      </c>
      <c r="F181" s="942"/>
      <c r="G181" s="942"/>
      <c r="H181" s="944" t="s">
        <v>280</v>
      </c>
      <c r="I181" s="942"/>
      <c r="J181" s="942"/>
      <c r="K181" s="942"/>
      <c r="L181" s="942"/>
      <c r="O181" s="89"/>
    </row>
    <row r="182" spans="3:15" ht="14.1" customHeight="1">
      <c r="C182" s="50"/>
      <c r="D182" s="183" t="s">
        <v>171</v>
      </c>
      <c r="E182" s="615">
        <v>626157</v>
      </c>
      <c r="F182" s="942"/>
      <c r="G182" s="942"/>
      <c r="H182" s="944" t="s">
        <v>281</v>
      </c>
      <c r="I182" s="942"/>
      <c r="J182" s="942"/>
      <c r="K182" s="942"/>
      <c r="L182" s="942"/>
      <c r="O182" s="89"/>
    </row>
    <row r="183" spans="3:15" ht="14.1" customHeight="1">
      <c r="C183" s="50"/>
      <c r="D183" s="185" t="s">
        <v>173</v>
      </c>
      <c r="E183" s="615">
        <v>645122</v>
      </c>
      <c r="F183" s="942"/>
      <c r="G183" s="942"/>
      <c r="H183" s="944" t="s">
        <v>281</v>
      </c>
      <c r="I183" s="942"/>
      <c r="J183" s="942"/>
      <c r="K183" s="942"/>
      <c r="L183" s="942"/>
      <c r="O183" s="89"/>
    </row>
    <row r="184" spans="3:15" ht="14.1" customHeight="1">
      <c r="C184" s="50"/>
      <c r="D184" s="182" t="s">
        <v>174</v>
      </c>
      <c r="E184" s="615">
        <v>615820</v>
      </c>
      <c r="F184" s="942"/>
      <c r="G184" s="942"/>
      <c r="H184" s="944" t="s">
        <v>282</v>
      </c>
      <c r="I184" s="942"/>
      <c r="J184" s="942"/>
      <c r="K184" s="942"/>
      <c r="L184" s="942"/>
      <c r="O184" s="89"/>
    </row>
    <row r="185" spans="3:15" ht="14.1" customHeight="1" thickBot="1">
      <c r="C185" s="50"/>
      <c r="D185" s="197" t="s">
        <v>175</v>
      </c>
      <c r="E185" s="615">
        <v>624174</v>
      </c>
      <c r="F185" s="942"/>
      <c r="G185" s="942"/>
      <c r="H185" s="945" t="s">
        <v>283</v>
      </c>
      <c r="I185" s="942"/>
      <c r="J185" s="942"/>
      <c r="K185" s="942"/>
      <c r="L185" s="942"/>
      <c r="O185" s="89"/>
    </row>
    <row r="186" spans="3:15" ht="14.1" customHeight="1">
      <c r="C186" s="50"/>
      <c r="D186" s="70" t="s">
        <v>176</v>
      </c>
      <c r="E186" s="625"/>
      <c r="F186" s="942"/>
      <c r="G186" s="942"/>
      <c r="H186" s="943"/>
      <c r="I186" s="942"/>
      <c r="J186" s="942"/>
      <c r="K186" s="942"/>
      <c r="L186" s="942"/>
      <c r="O186" s="89"/>
    </row>
    <row r="187" spans="3:15" ht="14.1" customHeight="1">
      <c r="C187" s="50"/>
      <c r="D187" s="546" t="s">
        <v>177</v>
      </c>
      <c r="E187" s="615">
        <v>637990</v>
      </c>
      <c r="F187" s="942"/>
      <c r="G187" s="942"/>
      <c r="H187" s="944" t="s">
        <v>279</v>
      </c>
      <c r="I187" s="942"/>
      <c r="J187" s="942"/>
      <c r="K187" s="942"/>
      <c r="L187" s="942"/>
      <c r="O187" s="89"/>
    </row>
    <row r="188" spans="3:15" ht="14.1" customHeight="1">
      <c r="C188" s="50"/>
      <c r="D188" s="184" t="s">
        <v>179</v>
      </c>
      <c r="E188" s="615">
        <v>652867</v>
      </c>
      <c r="F188" s="942"/>
      <c r="G188" s="942"/>
      <c r="H188" s="944" t="s">
        <v>279</v>
      </c>
      <c r="I188" s="942"/>
      <c r="J188" s="942"/>
      <c r="K188" s="942"/>
      <c r="L188" s="942"/>
      <c r="O188" s="89"/>
    </row>
    <row r="189" spans="3:15" ht="14.1" customHeight="1">
      <c r="C189" s="50"/>
      <c r="D189" s="547" t="s">
        <v>180</v>
      </c>
      <c r="E189" s="615">
        <v>638831</v>
      </c>
      <c r="F189" s="942"/>
      <c r="G189" s="942"/>
      <c r="H189" s="944" t="s">
        <v>279</v>
      </c>
      <c r="I189" s="942"/>
      <c r="J189" s="942"/>
      <c r="K189" s="942"/>
      <c r="L189" s="942"/>
      <c r="O189" s="89"/>
    </row>
    <row r="190" spans="3:15" ht="14.1" customHeight="1">
      <c r="C190" s="50"/>
      <c r="D190" s="548" t="s">
        <v>182</v>
      </c>
      <c r="E190" s="615">
        <v>631314</v>
      </c>
      <c r="F190" s="942"/>
      <c r="G190" s="942"/>
      <c r="H190" s="944" t="s">
        <v>281</v>
      </c>
      <c r="I190" s="942"/>
      <c r="J190" s="942"/>
      <c r="K190" s="942"/>
      <c r="L190" s="942"/>
      <c r="O190" s="89"/>
    </row>
    <row r="191" spans="3:15" ht="14.1" customHeight="1">
      <c r="C191" s="50"/>
      <c r="D191" s="548" t="s">
        <v>185</v>
      </c>
      <c r="E191" s="615">
        <v>631732</v>
      </c>
      <c r="F191" s="942"/>
      <c r="G191" s="942"/>
      <c r="H191" s="944" t="s">
        <v>281</v>
      </c>
      <c r="I191" s="942"/>
      <c r="J191" s="942"/>
      <c r="K191" s="942"/>
      <c r="L191" s="942"/>
      <c r="O191" s="89"/>
    </row>
    <row r="192" spans="3:15" ht="14.1" customHeight="1">
      <c r="C192" s="50"/>
      <c r="D192" s="549" t="s">
        <v>186</v>
      </c>
      <c r="E192" s="615">
        <v>634876</v>
      </c>
      <c r="F192" s="942"/>
      <c r="G192" s="942"/>
      <c r="H192" s="944" t="s">
        <v>281</v>
      </c>
      <c r="I192" s="942"/>
      <c r="J192" s="942"/>
      <c r="K192" s="942"/>
      <c r="L192" s="942"/>
      <c r="O192" s="89"/>
    </row>
    <row r="193" spans="3:15" ht="14.1" customHeight="1">
      <c r="C193" s="50"/>
      <c r="D193" s="946" t="s">
        <v>189</v>
      </c>
      <c r="E193" s="615"/>
      <c r="F193" s="942"/>
      <c r="G193" s="942"/>
      <c r="H193" s="943"/>
      <c r="I193" s="942"/>
      <c r="J193" s="942"/>
      <c r="K193" s="942"/>
      <c r="L193" s="942"/>
      <c r="O193" s="89"/>
    </row>
    <row r="194" spans="3:15" ht="14.1" customHeight="1">
      <c r="C194" s="50"/>
      <c r="D194" s="188" t="s">
        <v>190</v>
      </c>
      <c r="E194" s="615">
        <v>648620</v>
      </c>
      <c r="F194" s="942"/>
      <c r="G194" s="942"/>
      <c r="H194" s="944" t="s">
        <v>279</v>
      </c>
      <c r="I194" s="942"/>
      <c r="J194" s="942"/>
      <c r="K194" s="942"/>
      <c r="L194" s="942"/>
      <c r="O194" s="89"/>
    </row>
    <row r="195" spans="3:15" ht="14.1" customHeight="1">
      <c r="C195" s="50"/>
      <c r="D195" s="189" t="s">
        <v>193</v>
      </c>
      <c r="E195" s="615">
        <v>652357</v>
      </c>
      <c r="F195" s="942"/>
      <c r="G195" s="942"/>
      <c r="H195" s="944" t="s">
        <v>279</v>
      </c>
      <c r="I195" s="942"/>
      <c r="J195" s="942"/>
      <c r="K195" s="942"/>
      <c r="L195" s="942"/>
      <c r="O195" s="89"/>
    </row>
    <row r="196" spans="3:15" ht="14.1" customHeight="1">
      <c r="C196" s="50"/>
      <c r="D196" s="551" t="s">
        <v>196</v>
      </c>
      <c r="E196" s="631">
        <v>703714</v>
      </c>
      <c r="F196" s="942"/>
      <c r="G196" s="942"/>
      <c r="H196" s="944" t="s">
        <v>279</v>
      </c>
      <c r="I196" s="942"/>
      <c r="J196" s="942"/>
      <c r="K196" s="942"/>
      <c r="L196" s="942"/>
      <c r="O196" s="89"/>
    </row>
    <row r="197" spans="3:15" ht="14.1" customHeight="1">
      <c r="C197" s="50"/>
      <c r="D197" s="189" t="s">
        <v>198</v>
      </c>
      <c r="E197" s="615">
        <v>655089</v>
      </c>
      <c r="F197" s="942"/>
      <c r="G197" s="942"/>
      <c r="H197" s="944" t="s">
        <v>279</v>
      </c>
      <c r="I197" s="942"/>
      <c r="J197" s="942"/>
      <c r="K197" s="942"/>
      <c r="L197" s="942"/>
      <c r="O197" s="89"/>
    </row>
    <row r="198" spans="3:15" ht="14.1" customHeight="1">
      <c r="C198" s="50"/>
      <c r="D198" s="190" t="s">
        <v>199</v>
      </c>
      <c r="E198" s="615">
        <v>649364</v>
      </c>
      <c r="F198" s="942"/>
      <c r="G198" s="942"/>
      <c r="H198" s="944" t="s">
        <v>280</v>
      </c>
      <c r="I198" s="942"/>
      <c r="J198" s="942"/>
      <c r="K198" s="942"/>
      <c r="L198" s="942"/>
      <c r="O198" s="89"/>
    </row>
    <row r="199" spans="3:15" ht="14.1" customHeight="1">
      <c r="C199" s="50"/>
      <c r="D199" s="191" t="s">
        <v>200</v>
      </c>
      <c r="E199" s="615">
        <v>700872</v>
      </c>
      <c r="F199" s="942"/>
      <c r="G199" s="942"/>
      <c r="H199" s="944" t="s">
        <v>279</v>
      </c>
      <c r="I199" s="942"/>
      <c r="J199" s="942"/>
      <c r="K199" s="942"/>
      <c r="L199" s="942"/>
      <c r="O199" s="89"/>
    </row>
    <row r="200" spans="3:15" ht="14.1" customHeight="1">
      <c r="C200" s="50"/>
      <c r="D200" s="552" t="s">
        <v>202</v>
      </c>
      <c r="E200" s="631">
        <v>703861</v>
      </c>
      <c r="F200" s="942"/>
      <c r="G200" s="942"/>
      <c r="H200" s="944" t="s">
        <v>279</v>
      </c>
      <c r="I200" s="942"/>
      <c r="J200" s="942"/>
      <c r="K200" s="942"/>
      <c r="L200" s="942"/>
      <c r="O200" s="89"/>
    </row>
    <row r="201" spans="3:15" ht="14.1" customHeight="1">
      <c r="C201" s="50"/>
      <c r="D201" s="192" t="s">
        <v>204</v>
      </c>
      <c r="E201" s="615">
        <v>652868</v>
      </c>
      <c r="F201" s="942"/>
      <c r="G201" s="942"/>
      <c r="H201" s="944" t="s">
        <v>280</v>
      </c>
      <c r="I201" s="942"/>
      <c r="J201" s="942"/>
      <c r="K201" s="942"/>
      <c r="L201" s="942"/>
      <c r="O201" s="89"/>
    </row>
    <row r="202" spans="3:15" ht="14.1" customHeight="1">
      <c r="C202" s="50"/>
      <c r="D202" s="189" t="s">
        <v>205</v>
      </c>
      <c r="E202" s="615">
        <v>652998</v>
      </c>
      <c r="F202" s="942"/>
      <c r="G202" s="942"/>
      <c r="H202" s="944" t="s">
        <v>280</v>
      </c>
      <c r="I202" s="942"/>
      <c r="J202" s="942"/>
      <c r="K202" s="942"/>
      <c r="L202" s="942"/>
      <c r="O202" s="89"/>
    </row>
    <row r="203" spans="3:15" ht="14.1" customHeight="1">
      <c r="C203" s="50"/>
      <c r="D203" s="193" t="s">
        <v>206</v>
      </c>
      <c r="E203" s="631">
        <v>654959</v>
      </c>
      <c r="F203" s="942"/>
      <c r="G203" s="942"/>
      <c r="H203" s="944" t="s">
        <v>279</v>
      </c>
      <c r="I203" s="942"/>
      <c r="J203" s="942"/>
      <c r="K203" s="942"/>
      <c r="L203" s="942"/>
      <c r="O203" s="89"/>
    </row>
    <row r="204" spans="3:15" ht="14.1" customHeight="1">
      <c r="C204" s="50"/>
      <c r="D204" s="551" t="s">
        <v>207</v>
      </c>
      <c r="E204" s="615">
        <v>654981</v>
      </c>
      <c r="F204" s="942"/>
      <c r="G204" s="942"/>
      <c r="H204" s="944" t="s">
        <v>280</v>
      </c>
      <c r="I204" s="942"/>
      <c r="J204" s="942"/>
      <c r="K204" s="942"/>
      <c r="L204" s="942"/>
      <c r="O204" s="89"/>
    </row>
    <row r="205" spans="3:15" ht="14.1" customHeight="1">
      <c r="C205" s="50"/>
      <c r="D205" s="553" t="s">
        <v>208</v>
      </c>
      <c r="E205" s="615">
        <v>703795</v>
      </c>
      <c r="F205" s="942"/>
      <c r="G205" s="942"/>
      <c r="H205" s="944" t="s">
        <v>280</v>
      </c>
      <c r="I205" s="942"/>
      <c r="J205" s="942"/>
      <c r="K205" s="942"/>
      <c r="L205" s="942"/>
      <c r="O205" s="89"/>
    </row>
    <row r="206" spans="3:15" ht="14.1" customHeight="1">
      <c r="C206" s="50"/>
      <c r="D206" s="551" t="s">
        <v>209</v>
      </c>
      <c r="E206" s="615">
        <v>652364</v>
      </c>
      <c r="F206" s="942"/>
      <c r="G206" s="942"/>
      <c r="H206" s="944" t="s">
        <v>280</v>
      </c>
      <c r="I206" s="942"/>
      <c r="J206" s="942"/>
      <c r="K206" s="942"/>
      <c r="L206" s="942"/>
      <c r="O206" s="89"/>
    </row>
    <row r="207" spans="3:15" ht="14.1" customHeight="1">
      <c r="C207" s="50"/>
      <c r="D207" s="551" t="s">
        <v>210</v>
      </c>
      <c r="E207" s="615">
        <v>644433</v>
      </c>
      <c r="F207" s="942"/>
      <c r="G207" s="942"/>
      <c r="H207" s="944" t="s">
        <v>281</v>
      </c>
      <c r="I207" s="942"/>
      <c r="J207" s="942"/>
      <c r="K207" s="942"/>
      <c r="L207" s="942"/>
      <c r="O207" s="89"/>
    </row>
    <row r="208" spans="3:15" ht="14.1" customHeight="1">
      <c r="C208" s="50"/>
      <c r="D208" s="551" t="s">
        <v>211</v>
      </c>
      <c r="E208" s="615">
        <v>650602</v>
      </c>
      <c r="F208" s="942"/>
      <c r="G208" s="942"/>
      <c r="H208" s="944" t="s">
        <v>281</v>
      </c>
      <c r="I208" s="942"/>
      <c r="J208" s="942"/>
      <c r="K208" s="942"/>
      <c r="L208" s="942"/>
      <c r="O208" s="89"/>
    </row>
    <row r="209" spans="3:15" ht="14.1" customHeight="1">
      <c r="C209" s="50"/>
      <c r="D209" s="552" t="s">
        <v>212</v>
      </c>
      <c r="E209" s="631">
        <v>704893</v>
      </c>
      <c r="F209" s="942"/>
      <c r="G209" s="942"/>
      <c r="H209" s="944" t="s">
        <v>279</v>
      </c>
      <c r="I209" s="942"/>
      <c r="J209" s="942"/>
      <c r="K209" s="942"/>
      <c r="L209" s="942"/>
      <c r="O209" s="89"/>
    </row>
    <row r="210" spans="3:15" ht="14.1" customHeight="1">
      <c r="C210" s="50"/>
      <c r="D210" s="194" t="s">
        <v>214</v>
      </c>
      <c r="E210" s="615">
        <v>636733</v>
      </c>
      <c r="F210" s="942"/>
      <c r="G210" s="942"/>
      <c r="H210" s="944" t="s">
        <v>280</v>
      </c>
      <c r="I210" s="942"/>
      <c r="J210" s="942"/>
      <c r="K210" s="942"/>
      <c r="L210" s="942"/>
      <c r="O210" s="89"/>
    </row>
    <row r="211" spans="3:15" ht="14.1" customHeight="1">
      <c r="C211" s="50"/>
      <c r="D211" s="192" t="s">
        <v>216</v>
      </c>
      <c r="E211" s="200">
        <v>637770</v>
      </c>
      <c r="F211" s="942"/>
      <c r="G211" s="942"/>
      <c r="H211" s="944" t="s">
        <v>279</v>
      </c>
      <c r="I211" s="942"/>
      <c r="J211" s="942"/>
      <c r="K211" s="942"/>
      <c r="L211" s="942"/>
      <c r="O211" s="89"/>
    </row>
    <row r="212" spans="3:15" ht="14.1" customHeight="1">
      <c r="C212" s="50"/>
      <c r="D212" s="56"/>
      <c r="E212" s="82"/>
      <c r="G212" s="566"/>
      <c r="H212" s="566"/>
      <c r="I212" s="566"/>
      <c r="J212" s="566"/>
      <c r="K212" s="566"/>
      <c r="L212" s="566"/>
      <c r="O212" s="89"/>
    </row>
    <row r="213" spans="3:15" ht="14.1" customHeight="1">
      <c r="C213" s="564"/>
      <c r="D213" s="564"/>
      <c r="E213" s="82"/>
      <c r="G213" s="566"/>
      <c r="H213" s="566"/>
      <c r="I213" s="566"/>
      <c r="J213" s="566"/>
      <c r="K213" s="566"/>
      <c r="L213" s="566"/>
      <c r="O213" s="89"/>
    </row>
    <row r="214" spans="3:15" ht="14.1" customHeight="1">
      <c r="C214" s="564"/>
      <c r="D214" s="564"/>
      <c r="E214" s="82"/>
      <c r="G214" s="566"/>
      <c r="H214" s="566"/>
      <c r="I214" s="566"/>
      <c r="J214" s="566"/>
      <c r="K214" s="566"/>
      <c r="L214" s="566"/>
      <c r="O214" s="89"/>
    </row>
    <row r="215" spans="3:15" ht="14.1" customHeight="1">
      <c r="D215" s="56"/>
      <c r="E215" s="82"/>
      <c r="G215" s="566"/>
      <c r="H215" s="566"/>
      <c r="I215" s="566"/>
      <c r="J215" s="566"/>
      <c r="K215" s="566"/>
      <c r="L215" s="566"/>
      <c r="O215" s="89"/>
    </row>
    <row r="216" spans="3:15" ht="14.1" customHeight="1">
      <c r="C216" s="564"/>
      <c r="D216" s="564"/>
      <c r="E216" s="82"/>
      <c r="G216" s="566"/>
      <c r="H216" s="566"/>
      <c r="I216" s="566"/>
      <c r="J216" s="566"/>
      <c r="K216" s="566"/>
      <c r="L216" s="566"/>
      <c r="O216" s="89"/>
    </row>
    <row r="217" spans="3:15" ht="14.1" customHeight="1">
      <c r="C217" s="564"/>
      <c r="D217" s="564"/>
      <c r="E217" s="82"/>
      <c r="G217" s="566"/>
      <c r="H217" s="566"/>
      <c r="I217" s="566"/>
      <c r="J217" s="566"/>
      <c r="K217" s="566"/>
      <c r="L217" s="566"/>
      <c r="O217" s="89"/>
    </row>
    <row r="218" spans="3:15" ht="14.1" customHeight="1">
      <c r="D218" s="56"/>
      <c r="E218" s="82"/>
      <c r="G218" s="566"/>
      <c r="H218" s="566"/>
      <c r="I218" s="566"/>
      <c r="J218" s="566"/>
      <c r="K218" s="566"/>
      <c r="L218" s="566"/>
      <c r="O218" s="89"/>
    </row>
    <row r="219" spans="3:15" ht="14.1" customHeight="1">
      <c r="C219" s="564"/>
      <c r="D219" s="564"/>
      <c r="E219" s="82"/>
      <c r="G219" s="566"/>
      <c r="H219" s="566"/>
      <c r="I219" s="566"/>
      <c r="J219" s="566"/>
      <c r="K219" s="566"/>
      <c r="L219" s="566"/>
      <c r="O219" s="89"/>
    </row>
    <row r="220" spans="3:15" ht="14.1" customHeight="1">
      <c r="C220" s="564"/>
      <c r="D220" s="564"/>
      <c r="E220" s="82"/>
      <c r="G220" s="566"/>
      <c r="H220" s="566"/>
      <c r="I220" s="566"/>
      <c r="J220" s="566"/>
      <c r="K220" s="566"/>
      <c r="L220" s="566"/>
      <c r="O220" s="89"/>
    </row>
    <row r="221" spans="3:15" ht="14.1" customHeight="1">
      <c r="D221" s="56"/>
      <c r="E221" s="82"/>
      <c r="G221" s="566"/>
      <c r="H221" s="566"/>
      <c r="I221" s="566"/>
      <c r="J221" s="566"/>
      <c r="K221" s="566"/>
      <c r="L221" s="566"/>
      <c r="O221" s="89"/>
    </row>
    <row r="222" spans="3:15" ht="14.1" customHeight="1">
      <c r="C222" s="564"/>
      <c r="D222" s="564"/>
      <c r="E222" s="82"/>
      <c r="G222" s="566"/>
      <c r="H222" s="566"/>
      <c r="I222" s="566"/>
      <c r="J222" s="566"/>
      <c r="K222" s="566"/>
      <c r="L222" s="566"/>
      <c r="O222" s="89"/>
    </row>
    <row r="223" spans="3:15" ht="14.1" customHeight="1">
      <c r="C223" s="564"/>
      <c r="D223" s="564"/>
      <c r="E223" s="82"/>
      <c r="F223" s="65"/>
      <c r="G223" s="65"/>
      <c r="H223" s="65"/>
      <c r="I223" s="65"/>
      <c r="J223" s="65"/>
      <c r="K223" s="65"/>
      <c r="L223" s="65"/>
      <c r="O223" s="89"/>
    </row>
    <row r="224" spans="3:15" ht="14.1" customHeight="1">
      <c r="D224" s="56"/>
      <c r="E224" s="82"/>
      <c r="F224" s="65"/>
      <c r="G224" s="65"/>
      <c r="H224" s="65"/>
      <c r="I224" s="65"/>
      <c r="J224" s="65"/>
      <c r="K224" s="65"/>
      <c r="L224" s="65"/>
      <c r="O224" s="89"/>
    </row>
    <row r="225" spans="3:15" ht="14.1" customHeight="1">
      <c r="C225" s="564"/>
      <c r="D225" s="564"/>
      <c r="E225" s="82"/>
      <c r="F225" s="65"/>
      <c r="G225" s="65"/>
      <c r="H225" s="65"/>
      <c r="I225" s="65"/>
      <c r="J225" s="65"/>
      <c r="K225" s="65"/>
      <c r="L225" s="65"/>
      <c r="O225" s="89"/>
    </row>
    <row r="226" spans="3:15" ht="14.1" customHeight="1">
      <c r="C226" s="564"/>
      <c r="D226" s="564"/>
      <c r="E226" s="82"/>
      <c r="F226" s="65"/>
      <c r="G226" s="65"/>
      <c r="H226" s="65"/>
      <c r="I226" s="65"/>
      <c r="J226" s="65"/>
      <c r="K226" s="65"/>
      <c r="L226" s="65"/>
      <c r="O226" s="89"/>
    </row>
    <row r="227" spans="3:15" ht="14.1" customHeight="1">
      <c r="D227" s="56"/>
      <c r="E227" s="82"/>
      <c r="F227" s="65"/>
      <c r="G227" s="65"/>
      <c r="H227" s="65"/>
      <c r="I227" s="65"/>
      <c r="J227" s="65"/>
      <c r="K227" s="65"/>
      <c r="L227" s="65"/>
      <c r="O227" s="89"/>
    </row>
    <row r="228" spans="3:15" ht="14.1" customHeight="1">
      <c r="C228" s="564"/>
      <c r="D228" s="564"/>
      <c r="E228" s="82"/>
      <c r="F228" s="65"/>
      <c r="G228" s="565"/>
      <c r="H228" s="565"/>
      <c r="I228" s="565"/>
      <c r="J228" s="565"/>
      <c r="K228" s="565"/>
      <c r="L228" s="565"/>
      <c r="O228" s="89"/>
    </row>
    <row r="229" spans="3:15" ht="14.1" customHeight="1">
      <c r="C229" s="564"/>
      <c r="D229" s="564"/>
      <c r="E229" s="82"/>
      <c r="G229" s="66"/>
      <c r="H229" s="66"/>
      <c r="I229" s="66"/>
      <c r="J229" s="66"/>
      <c r="K229" s="566"/>
      <c r="L229" s="566"/>
      <c r="O229" s="89"/>
    </row>
    <row r="230" spans="3:15" ht="14.1" customHeight="1">
      <c r="D230" s="56"/>
      <c r="E230" s="82"/>
      <c r="G230" s="66"/>
      <c r="H230" s="66"/>
      <c r="I230" s="66"/>
      <c r="J230" s="66"/>
      <c r="K230" s="66"/>
      <c r="L230" s="66"/>
      <c r="O230" s="89"/>
    </row>
    <row r="231" spans="3:15" ht="14.1" customHeight="1">
      <c r="C231" s="564"/>
      <c r="D231" s="564"/>
      <c r="E231" s="82"/>
      <c r="G231" s="66"/>
      <c r="H231" s="66"/>
      <c r="I231" s="66"/>
      <c r="J231" s="66"/>
      <c r="K231" s="66"/>
      <c r="L231" s="66"/>
      <c r="O231" s="89"/>
    </row>
    <row r="232" spans="3:15" ht="14.1" customHeight="1">
      <c r="C232" s="564"/>
      <c r="D232" s="564"/>
      <c r="E232" s="82"/>
      <c r="G232" s="66"/>
      <c r="H232" s="66"/>
      <c r="I232" s="66"/>
      <c r="J232" s="66"/>
      <c r="K232" s="66"/>
      <c r="L232" s="66"/>
      <c r="O232" s="89"/>
    </row>
    <row r="233" spans="3:15" ht="14.1" customHeight="1">
      <c r="D233" s="56"/>
      <c r="E233" s="82"/>
      <c r="G233" s="66"/>
      <c r="H233" s="66"/>
      <c r="I233" s="66"/>
      <c r="J233" s="66"/>
      <c r="K233" s="66"/>
      <c r="L233" s="66"/>
      <c r="O233" s="89"/>
    </row>
    <row r="234" spans="3:15" ht="14.1" customHeight="1">
      <c r="C234" s="564"/>
      <c r="D234" s="564"/>
      <c r="E234" s="82"/>
      <c r="G234" s="66"/>
      <c r="H234" s="66"/>
      <c r="I234" s="66"/>
      <c r="J234" s="66"/>
      <c r="K234" s="66"/>
      <c r="L234" s="66"/>
      <c r="O234" s="567"/>
    </row>
    <row r="235" spans="3:15" ht="14.1" customHeight="1">
      <c r="C235" s="564"/>
      <c r="D235" s="564"/>
      <c r="E235" s="82"/>
      <c r="G235" s="66"/>
      <c r="H235" s="66"/>
      <c r="I235" s="66"/>
      <c r="J235" s="66"/>
      <c r="K235" s="66"/>
      <c r="L235" s="66"/>
      <c r="O235" s="567"/>
    </row>
    <row r="236" spans="3:15" ht="14.1" customHeight="1">
      <c r="D236" s="56"/>
      <c r="E236" s="82"/>
      <c r="G236" s="66"/>
      <c r="H236" s="66"/>
      <c r="I236" s="66"/>
      <c r="J236" s="66"/>
      <c r="K236" s="66"/>
      <c r="L236" s="66"/>
      <c r="O236" s="567"/>
    </row>
    <row r="237" spans="3:15" ht="14.1" customHeight="1">
      <c r="C237" s="564"/>
      <c r="D237" s="564"/>
      <c r="E237" s="82"/>
      <c r="G237" s="73"/>
      <c r="H237" s="66"/>
      <c r="I237" s="66"/>
      <c r="J237" s="66"/>
      <c r="K237" s="66"/>
      <c r="L237" s="66"/>
      <c r="O237" s="567"/>
    </row>
    <row r="238" spans="3:15" ht="14.1" customHeight="1">
      <c r="C238" s="564"/>
      <c r="D238" s="564"/>
      <c r="E238" s="82"/>
      <c r="G238" s="66"/>
      <c r="H238" s="66"/>
      <c r="I238" s="66"/>
      <c r="J238" s="66"/>
      <c r="K238" s="66"/>
      <c r="L238" s="66"/>
      <c r="O238" s="567"/>
    </row>
    <row r="239" spans="3:15" ht="14.1" customHeight="1">
      <c r="D239" s="56"/>
      <c r="E239" s="82"/>
      <c r="G239" s="66"/>
      <c r="H239" s="66"/>
      <c r="I239" s="66"/>
      <c r="J239" s="66"/>
      <c r="K239" s="66"/>
      <c r="L239" s="66"/>
      <c r="O239" s="567"/>
    </row>
    <row r="240" spans="3:15" ht="14.1" customHeight="1">
      <c r="C240" s="564"/>
      <c r="D240" s="564"/>
      <c r="E240" s="82"/>
      <c r="G240" s="74"/>
      <c r="H240" s="66"/>
      <c r="I240" s="66"/>
      <c r="J240" s="66"/>
      <c r="K240" s="66"/>
      <c r="L240" s="66"/>
      <c r="O240" s="567"/>
    </row>
    <row r="241" spans="3:15" ht="14.1" customHeight="1">
      <c r="C241" s="564"/>
      <c r="D241" s="564"/>
      <c r="E241" s="82"/>
      <c r="G241" s="66"/>
      <c r="H241" s="66"/>
      <c r="I241" s="66"/>
      <c r="J241" s="66"/>
      <c r="K241" s="66"/>
      <c r="L241" s="66"/>
      <c r="O241" s="567"/>
    </row>
    <row r="242" spans="3:15" ht="14.1" customHeight="1">
      <c r="D242" s="56"/>
      <c r="E242" s="82"/>
      <c r="G242" s="66"/>
      <c r="H242" s="66"/>
      <c r="I242" s="66"/>
      <c r="J242" s="66"/>
      <c r="K242" s="66"/>
      <c r="L242" s="66"/>
      <c r="O242" s="567"/>
    </row>
    <row r="243" spans="3:15" ht="14.1" customHeight="1">
      <c r="C243" s="564"/>
      <c r="D243" s="564"/>
      <c r="E243" s="82"/>
      <c r="G243" s="566"/>
      <c r="H243" s="566"/>
      <c r="I243" s="566"/>
      <c r="J243" s="566"/>
      <c r="K243" s="566"/>
      <c r="L243" s="566"/>
      <c r="O243" s="567"/>
    </row>
    <row r="244" spans="3:15" ht="14.1" customHeight="1">
      <c r="C244" s="564"/>
      <c r="D244" s="564"/>
      <c r="E244" s="82"/>
      <c r="G244" s="566"/>
      <c r="H244" s="566"/>
      <c r="I244" s="566"/>
      <c r="J244" s="566"/>
      <c r="K244" s="566"/>
      <c r="L244" s="566"/>
      <c r="O244" s="567"/>
    </row>
    <row r="245" spans="3:15" ht="14.1" customHeight="1">
      <c r="D245" s="56"/>
      <c r="E245" s="82"/>
      <c r="G245" s="566"/>
      <c r="H245" s="566"/>
      <c r="I245" s="566"/>
      <c r="J245" s="566"/>
      <c r="K245" s="566"/>
      <c r="L245" s="566"/>
      <c r="O245" s="567"/>
    </row>
    <row r="246" spans="3:15" ht="14.1" customHeight="1">
      <c r="C246" s="564"/>
      <c r="D246" s="564"/>
      <c r="E246" s="82"/>
      <c r="G246" s="566"/>
      <c r="H246" s="566"/>
      <c r="I246" s="566"/>
      <c r="J246" s="566"/>
      <c r="K246" s="566"/>
      <c r="L246" s="566"/>
      <c r="O246" s="567"/>
    </row>
    <row r="247" spans="3:15" ht="14.1" customHeight="1">
      <c r="C247" s="564"/>
      <c r="D247" s="564"/>
      <c r="E247" s="82"/>
      <c r="G247" s="566"/>
      <c r="H247" s="566"/>
      <c r="I247" s="566"/>
      <c r="J247" s="566"/>
      <c r="K247" s="566"/>
      <c r="L247" s="566"/>
      <c r="O247" s="567"/>
    </row>
    <row r="248" spans="3:15" ht="14.1" customHeight="1">
      <c r="D248" s="56"/>
      <c r="E248" s="82"/>
      <c r="G248" s="566"/>
      <c r="H248" s="566"/>
      <c r="I248" s="566"/>
      <c r="J248" s="566"/>
      <c r="K248" s="566"/>
      <c r="L248" s="566"/>
      <c r="O248" s="567"/>
    </row>
    <row r="249" spans="3:15" ht="14.1" customHeight="1">
      <c r="C249" s="564"/>
      <c r="D249" s="564"/>
      <c r="E249" s="82"/>
      <c r="G249" s="566"/>
      <c r="H249" s="566"/>
      <c r="I249" s="566"/>
      <c r="J249" s="566"/>
      <c r="K249" s="566"/>
      <c r="L249" s="566"/>
      <c r="O249" s="567"/>
    </row>
    <row r="250" spans="3:15" ht="14.1" customHeight="1">
      <c r="C250" s="564"/>
      <c r="D250" s="564"/>
      <c r="E250" s="82"/>
      <c r="G250" s="566"/>
      <c r="H250" s="566"/>
      <c r="I250" s="566"/>
      <c r="J250" s="566"/>
      <c r="K250" s="566"/>
      <c r="L250" s="566"/>
      <c r="O250" s="567"/>
    </row>
    <row r="251" spans="3:15" ht="14.1" customHeight="1">
      <c r="D251" s="56"/>
      <c r="E251" s="82"/>
      <c r="F251" s="65"/>
      <c r="G251" s="565"/>
      <c r="H251" s="565"/>
      <c r="I251" s="565"/>
      <c r="J251" s="565"/>
      <c r="K251" s="565"/>
      <c r="L251" s="565"/>
      <c r="O251" s="567"/>
    </row>
    <row r="252" spans="3:15" ht="14.1" customHeight="1">
      <c r="C252" s="564"/>
      <c r="D252" s="564"/>
      <c r="E252" s="82"/>
      <c r="F252" s="65"/>
      <c r="G252" s="565"/>
      <c r="H252" s="565"/>
      <c r="I252" s="565"/>
      <c r="J252" s="565"/>
      <c r="K252" s="565"/>
      <c r="L252" s="565"/>
      <c r="O252" s="567"/>
    </row>
    <row r="253" spans="3:15" ht="14.1" customHeight="1">
      <c r="C253" s="564"/>
      <c r="D253" s="564"/>
      <c r="E253" s="82"/>
      <c r="F253" s="65"/>
      <c r="G253" s="565"/>
      <c r="H253" s="565"/>
      <c r="I253" s="565"/>
      <c r="J253" s="565"/>
      <c r="K253" s="565"/>
      <c r="L253" s="565"/>
      <c r="O253" s="567"/>
    </row>
    <row r="254" spans="3:15" ht="14.1" customHeight="1">
      <c r="D254" s="56"/>
      <c r="E254" s="82"/>
      <c r="F254" s="65"/>
      <c r="G254" s="565"/>
      <c r="H254" s="565"/>
      <c r="I254" s="565"/>
      <c r="J254" s="565"/>
      <c r="K254" s="565"/>
      <c r="L254" s="565"/>
      <c r="O254" s="567"/>
    </row>
    <row r="255" spans="3:15" ht="14.1" customHeight="1">
      <c r="C255" s="564"/>
      <c r="D255" s="564"/>
      <c r="E255" s="82"/>
      <c r="F255" s="65"/>
      <c r="G255" s="565"/>
      <c r="H255" s="565"/>
      <c r="I255" s="565"/>
      <c r="J255" s="565"/>
      <c r="K255" s="565"/>
      <c r="L255" s="565"/>
      <c r="O255" s="567"/>
    </row>
    <row r="256" spans="3:15" ht="14.1" customHeight="1">
      <c r="D256" s="564"/>
      <c r="E256" s="82"/>
      <c r="F256" s="65"/>
      <c r="G256" s="565"/>
      <c r="H256" s="565"/>
      <c r="I256" s="565"/>
      <c r="J256" s="565"/>
      <c r="K256" s="565"/>
      <c r="L256" s="565"/>
      <c r="O256" s="567"/>
    </row>
    <row r="257" spans="4:15" ht="14.1" customHeight="1">
      <c r="D257" s="56"/>
      <c r="E257" s="82"/>
      <c r="F257" s="65"/>
      <c r="G257" s="565"/>
      <c r="H257" s="565"/>
      <c r="I257" s="565"/>
      <c r="J257" s="565"/>
      <c r="K257" s="565"/>
      <c r="L257" s="565"/>
      <c r="O257" s="567"/>
    </row>
    <row r="258" spans="4:15" ht="14.1" customHeight="1">
      <c r="D258" s="564"/>
      <c r="E258" s="82"/>
      <c r="F258" s="65"/>
      <c r="G258" s="565"/>
      <c r="H258" s="565"/>
      <c r="I258" s="565"/>
      <c r="J258" s="565"/>
      <c r="K258" s="565"/>
      <c r="L258" s="565"/>
      <c r="O258" s="567"/>
    </row>
    <row r="259" spans="4:15" ht="14.1" customHeight="1">
      <c r="D259" s="564"/>
      <c r="E259" s="82"/>
      <c r="F259" s="65"/>
      <c r="G259" s="565"/>
      <c r="H259" s="565"/>
      <c r="I259" s="565"/>
      <c r="J259" s="565"/>
      <c r="K259" s="565"/>
      <c r="L259" s="565"/>
      <c r="O259" s="567"/>
    </row>
    <row r="260" spans="4:15" ht="14.1" customHeight="1">
      <c r="D260" s="56"/>
      <c r="E260" s="82"/>
      <c r="F260" s="65"/>
      <c r="G260" s="565"/>
      <c r="H260" s="565"/>
      <c r="I260" s="565"/>
      <c r="J260" s="565"/>
      <c r="K260" s="565"/>
      <c r="L260" s="565"/>
      <c r="O260" s="567"/>
    </row>
    <row r="261" spans="4:15" ht="14.1" customHeight="1">
      <c r="D261" s="564"/>
      <c r="E261" s="82"/>
      <c r="F261" s="65"/>
      <c r="G261" s="565"/>
      <c r="H261" s="565"/>
      <c r="I261" s="565"/>
      <c r="J261" s="565"/>
      <c r="K261" s="565"/>
      <c r="L261" s="565"/>
      <c r="O261" s="567"/>
    </row>
    <row r="262" spans="4:15" ht="14.1" customHeight="1">
      <c r="D262" s="564"/>
      <c r="E262" s="82"/>
      <c r="F262" s="65"/>
      <c r="G262" s="565"/>
      <c r="H262" s="565"/>
      <c r="I262" s="565"/>
      <c r="J262" s="565"/>
      <c r="K262" s="565"/>
      <c r="L262" s="565"/>
      <c r="O262" s="567"/>
    </row>
    <row r="263" spans="4:15" ht="14.1" customHeight="1">
      <c r="D263" s="56"/>
      <c r="E263" s="82"/>
      <c r="F263" s="65"/>
      <c r="G263" s="565"/>
      <c r="H263" s="565"/>
      <c r="I263" s="565"/>
      <c r="J263" s="565"/>
      <c r="K263" s="565"/>
      <c r="L263" s="565"/>
      <c r="O263" s="567"/>
    </row>
    <row r="264" spans="4:15" ht="14.1" customHeight="1">
      <c r="D264" s="564"/>
      <c r="E264" s="82"/>
      <c r="F264" s="65"/>
      <c r="G264" s="565"/>
      <c r="H264" s="565"/>
      <c r="I264" s="565"/>
      <c r="J264" s="565"/>
      <c r="K264" s="565"/>
      <c r="L264" s="565"/>
      <c r="O264" s="567"/>
    </row>
    <row r="265" spans="4:15" ht="14.1" customHeight="1">
      <c r="D265" s="556"/>
      <c r="E265" s="82"/>
      <c r="F265" s="65"/>
      <c r="G265" s="565"/>
      <c r="H265" s="565"/>
      <c r="I265" s="565"/>
      <c r="J265" s="565"/>
      <c r="K265" s="565"/>
      <c r="L265" s="565"/>
      <c r="O265" s="567"/>
    </row>
    <row r="266" spans="4:15" ht="14.1" customHeight="1">
      <c r="D266" s="556"/>
      <c r="E266" s="82"/>
      <c r="F266" s="65"/>
      <c r="G266" s="565"/>
      <c r="H266" s="565"/>
      <c r="I266" s="565"/>
      <c r="J266" s="565"/>
      <c r="K266" s="565"/>
      <c r="L266" s="565"/>
      <c r="O266" s="567"/>
    </row>
    <row r="267" spans="4:15" ht="14.1" customHeight="1">
      <c r="D267" s="556"/>
      <c r="E267" s="82"/>
      <c r="F267" s="65"/>
      <c r="G267" s="565"/>
      <c r="H267" s="565"/>
      <c r="I267" s="565"/>
      <c r="J267" s="565"/>
      <c r="K267" s="565"/>
      <c r="L267" s="565"/>
      <c r="O267" s="567"/>
    </row>
    <row r="268" spans="4:15" ht="14.1" customHeight="1">
      <c r="D268" s="556"/>
      <c r="E268" s="82"/>
      <c r="F268" s="65"/>
      <c r="G268" s="565"/>
      <c r="H268" s="565"/>
      <c r="I268" s="565"/>
      <c r="J268" s="565"/>
      <c r="K268" s="565"/>
      <c r="L268" s="565"/>
      <c r="O268" s="567"/>
    </row>
    <row r="269" spans="4:15" ht="14.1" customHeight="1">
      <c r="D269" s="556"/>
      <c r="E269" s="82"/>
      <c r="F269" s="65"/>
      <c r="G269" s="565"/>
      <c r="H269" s="565"/>
      <c r="I269" s="565"/>
      <c r="J269" s="565"/>
      <c r="K269" s="565"/>
      <c r="L269" s="565"/>
      <c r="O269" s="567"/>
    </row>
    <row r="270" spans="4:15" ht="14.1" customHeight="1">
      <c r="D270" s="556"/>
      <c r="E270" s="82"/>
      <c r="F270" s="65"/>
      <c r="G270" s="565"/>
      <c r="H270" s="565"/>
      <c r="I270" s="565"/>
      <c r="J270" s="565"/>
      <c r="K270" s="565"/>
      <c r="L270" s="565"/>
      <c r="O270" s="567"/>
    </row>
    <row r="271" spans="4:15" ht="14.1" customHeight="1">
      <c r="D271" s="556"/>
      <c r="E271" s="82"/>
      <c r="F271" s="65"/>
      <c r="G271" s="565"/>
      <c r="H271" s="565"/>
      <c r="I271" s="565"/>
      <c r="J271" s="565"/>
      <c r="K271" s="565"/>
      <c r="L271" s="565"/>
      <c r="O271" s="567"/>
    </row>
    <row r="272" spans="4:15" ht="14.1" customHeight="1">
      <c r="D272" s="556"/>
      <c r="E272" s="82"/>
      <c r="F272" s="65"/>
      <c r="G272" s="565"/>
      <c r="H272" s="565"/>
      <c r="I272" s="565"/>
      <c r="J272" s="565"/>
      <c r="K272" s="565"/>
      <c r="L272" s="565"/>
      <c r="O272" s="567"/>
    </row>
    <row r="273" spans="4:15" ht="14.1" customHeight="1">
      <c r="D273" s="556"/>
      <c r="E273" s="82"/>
      <c r="F273" s="65"/>
      <c r="G273" s="565"/>
      <c r="H273" s="565"/>
      <c r="I273" s="565"/>
      <c r="J273" s="565"/>
      <c r="K273" s="565"/>
      <c r="L273" s="565"/>
      <c r="O273" s="567"/>
    </row>
    <row r="274" spans="4:15" ht="14.1" customHeight="1">
      <c r="D274" s="556"/>
      <c r="E274" s="82"/>
      <c r="F274" s="65"/>
      <c r="G274" s="565"/>
      <c r="H274" s="565"/>
      <c r="I274" s="565"/>
      <c r="J274" s="565"/>
      <c r="K274" s="565"/>
      <c r="L274" s="565"/>
      <c r="O274" s="567"/>
    </row>
    <row r="275" spans="4:15" ht="14.1" customHeight="1">
      <c r="D275" s="556"/>
      <c r="E275" s="82"/>
      <c r="F275" s="65"/>
      <c r="G275" s="565"/>
      <c r="H275" s="565"/>
      <c r="I275" s="565"/>
      <c r="J275" s="565"/>
      <c r="K275" s="565"/>
      <c r="L275" s="565"/>
      <c r="O275" s="567"/>
    </row>
    <row r="276" spans="4:15" ht="14.1" customHeight="1">
      <c r="D276" s="556"/>
      <c r="E276" s="82"/>
      <c r="F276" s="65"/>
      <c r="G276" s="565"/>
      <c r="H276" s="565"/>
      <c r="I276" s="565"/>
      <c r="J276" s="565"/>
      <c r="K276" s="565"/>
      <c r="L276" s="565"/>
      <c r="O276" s="567"/>
    </row>
    <row r="277" spans="4:15" ht="14.1" customHeight="1">
      <c r="D277" s="556"/>
      <c r="E277" s="82"/>
      <c r="F277" s="65"/>
      <c r="G277" s="565"/>
      <c r="H277" s="565"/>
      <c r="I277" s="565"/>
      <c r="J277" s="565"/>
      <c r="K277" s="565"/>
      <c r="L277" s="565"/>
      <c r="O277" s="567"/>
    </row>
    <row r="278" spans="4:15" ht="14.1" customHeight="1">
      <c r="D278" s="556"/>
      <c r="E278" s="568"/>
      <c r="F278" s="65"/>
      <c r="G278" s="565"/>
      <c r="H278" s="565"/>
      <c r="I278" s="565"/>
      <c r="J278" s="565"/>
      <c r="K278" s="565"/>
      <c r="L278" s="565"/>
      <c r="O278" s="567"/>
    </row>
    <row r="279" spans="4:15" ht="14.1" customHeight="1">
      <c r="D279" s="556"/>
      <c r="E279" s="568"/>
      <c r="F279" s="65"/>
      <c r="G279" s="565"/>
      <c r="H279" s="565"/>
      <c r="I279" s="565"/>
      <c r="J279" s="565"/>
      <c r="K279" s="565"/>
      <c r="L279" s="565"/>
      <c r="O279" s="567"/>
    </row>
    <row r="280" spans="4:15">
      <c r="D280" s="556"/>
      <c r="E280" s="568"/>
      <c r="F280" s="65"/>
      <c r="G280" s="565"/>
      <c r="H280" s="565"/>
      <c r="I280" s="565"/>
      <c r="J280" s="565"/>
      <c r="K280" s="565"/>
      <c r="L280" s="565"/>
      <c r="O280" s="567"/>
    </row>
    <row r="281" spans="4:15">
      <c r="D281" s="556"/>
      <c r="E281" s="568"/>
      <c r="F281" s="65"/>
      <c r="G281" s="565"/>
      <c r="H281" s="565"/>
      <c r="I281" s="565"/>
      <c r="J281" s="565"/>
      <c r="K281" s="565"/>
      <c r="L281" s="565"/>
      <c r="O281" s="567"/>
    </row>
    <row r="282" spans="4:15">
      <c r="D282" s="556"/>
      <c r="E282" s="568"/>
      <c r="F282" s="65"/>
      <c r="G282" s="565"/>
      <c r="H282" s="565"/>
      <c r="I282" s="565"/>
      <c r="J282" s="565"/>
      <c r="K282" s="565"/>
      <c r="L282" s="565"/>
      <c r="O282" s="567"/>
    </row>
    <row r="283" spans="4:15">
      <c r="D283" s="556"/>
      <c r="E283" s="568"/>
      <c r="F283" s="65"/>
      <c r="G283" s="565"/>
      <c r="H283" s="565"/>
      <c r="I283" s="565"/>
      <c r="J283" s="565"/>
      <c r="K283" s="565"/>
      <c r="L283" s="565"/>
      <c r="O283" s="567"/>
    </row>
    <row r="284" spans="4:15">
      <c r="D284" s="556"/>
      <c r="E284" s="568"/>
      <c r="F284" s="65"/>
      <c r="G284" s="565"/>
      <c r="H284" s="565"/>
      <c r="I284" s="565"/>
      <c r="J284" s="565"/>
      <c r="K284" s="565"/>
      <c r="L284" s="565"/>
      <c r="O284" s="567"/>
    </row>
    <row r="285" spans="4:15">
      <c r="D285" s="556"/>
      <c r="E285" s="568"/>
      <c r="F285" s="65"/>
      <c r="G285" s="565"/>
      <c r="H285" s="565"/>
      <c r="I285" s="565"/>
      <c r="J285" s="565"/>
      <c r="K285" s="565"/>
      <c r="L285" s="565"/>
      <c r="O285" s="567"/>
    </row>
    <row r="286" spans="4:15">
      <c r="D286" s="556"/>
      <c r="E286" s="568"/>
      <c r="F286" s="65"/>
      <c r="G286" s="565"/>
      <c r="H286" s="565"/>
      <c r="I286" s="565"/>
      <c r="J286" s="565"/>
      <c r="K286" s="565"/>
      <c r="L286" s="565"/>
      <c r="O286" s="567"/>
    </row>
    <row r="287" spans="4:15">
      <c r="D287" s="556"/>
      <c r="E287" s="568"/>
      <c r="F287" s="65"/>
      <c r="G287" s="565"/>
      <c r="H287" s="565"/>
      <c r="I287" s="565"/>
      <c r="J287" s="565"/>
      <c r="K287" s="565"/>
      <c r="L287" s="565"/>
      <c r="O287" s="567"/>
    </row>
    <row r="288" spans="4:15">
      <c r="D288" s="556"/>
      <c r="E288" s="568"/>
      <c r="F288" s="65"/>
      <c r="G288" s="565"/>
      <c r="H288" s="565"/>
      <c r="I288" s="565"/>
      <c r="J288" s="565"/>
      <c r="K288" s="565"/>
      <c r="L288" s="565"/>
      <c r="O288" s="567"/>
    </row>
    <row r="289" spans="4:15">
      <c r="D289" s="556"/>
      <c r="E289" s="568"/>
      <c r="F289" s="65"/>
      <c r="G289" s="565"/>
      <c r="H289" s="565"/>
      <c r="I289" s="565"/>
      <c r="J289" s="565"/>
      <c r="K289" s="565"/>
      <c r="L289" s="565"/>
      <c r="O289" s="567"/>
    </row>
    <row r="290" spans="4:15">
      <c r="D290" s="556"/>
      <c r="E290" s="568"/>
      <c r="F290" s="65"/>
      <c r="G290" s="565"/>
      <c r="H290" s="565"/>
      <c r="I290" s="565"/>
      <c r="J290" s="565"/>
      <c r="K290" s="565"/>
      <c r="L290" s="565"/>
      <c r="O290" s="567"/>
    </row>
    <row r="291" spans="4:15">
      <c r="D291" s="556"/>
      <c r="E291" s="568"/>
      <c r="F291" s="65"/>
      <c r="G291" s="565"/>
      <c r="H291" s="565"/>
      <c r="I291" s="565"/>
      <c r="J291" s="565"/>
      <c r="K291" s="565"/>
      <c r="L291" s="565"/>
      <c r="O291" s="567"/>
    </row>
  </sheetData>
  <sheetProtection sheet="1" formatCells="0" formatColumns="0" formatRows="0" insertColumns="0" insertRows="0"/>
  <mergeCells count="95">
    <mergeCell ref="F158:L158"/>
    <mergeCell ref="S49:S50"/>
    <mergeCell ref="T49:T50"/>
    <mergeCell ref="U49:U50"/>
    <mergeCell ref="W49:W50"/>
    <mergeCell ref="R49:R50"/>
    <mergeCell ref="W51:W58"/>
    <mergeCell ref="O77:O78"/>
    <mergeCell ref="P77:P78"/>
    <mergeCell ref="Q77:Q78"/>
    <mergeCell ref="R77:R78"/>
    <mergeCell ref="S77:S78"/>
    <mergeCell ref="T77:T78"/>
    <mergeCell ref="U77:U78"/>
    <mergeCell ref="O65:U65"/>
    <mergeCell ref="S67:S75"/>
    <mergeCell ref="N41:N47"/>
    <mergeCell ref="N49:N50"/>
    <mergeCell ref="O49:O50"/>
    <mergeCell ref="P49:P50"/>
    <mergeCell ref="Q49:Q50"/>
    <mergeCell ref="R19:R20"/>
    <mergeCell ref="S19:S20"/>
    <mergeCell ref="T19:T20"/>
    <mergeCell ref="U19:U20"/>
    <mergeCell ref="W19:W20"/>
    <mergeCell ref="S21:S27"/>
    <mergeCell ref="T21:T27"/>
    <mergeCell ref="U21:U27"/>
    <mergeCell ref="W21:W27"/>
    <mergeCell ref="N21:N27"/>
    <mergeCell ref="O21:O27"/>
    <mergeCell ref="P21:P27"/>
    <mergeCell ref="Q21:Q27"/>
    <mergeCell ref="R21:R27"/>
    <mergeCell ref="O35:U35"/>
    <mergeCell ref="W36:W40"/>
    <mergeCell ref="O41:O47"/>
    <mergeCell ref="P41:P47"/>
    <mergeCell ref="Q41:Q47"/>
    <mergeCell ref="R41:R47"/>
    <mergeCell ref="S41:S47"/>
    <mergeCell ref="T41:T47"/>
    <mergeCell ref="U41:U47"/>
    <mergeCell ref="W41:W46"/>
    <mergeCell ref="N28:N30"/>
    <mergeCell ref="O28:O30"/>
    <mergeCell ref="P28:P30"/>
    <mergeCell ref="Q28:Q30"/>
    <mergeCell ref="R28:R30"/>
    <mergeCell ref="S28:S30"/>
    <mergeCell ref="T28:T30"/>
    <mergeCell ref="U28:U30"/>
    <mergeCell ref="W28:W30"/>
    <mergeCell ref="N11:N17"/>
    <mergeCell ref="O11:O17"/>
    <mergeCell ref="P11:P17"/>
    <mergeCell ref="Q11:Q17"/>
    <mergeCell ref="R11:R17"/>
    <mergeCell ref="S11:S17"/>
    <mergeCell ref="T11:T17"/>
    <mergeCell ref="U11:U17"/>
    <mergeCell ref="W11:W17"/>
    <mergeCell ref="N19:N20"/>
    <mergeCell ref="O19:O20"/>
    <mergeCell ref="P19:P20"/>
    <mergeCell ref="Q19:Q20"/>
    <mergeCell ref="F2:L2"/>
    <mergeCell ref="O2:U2"/>
    <mergeCell ref="O5:U5"/>
    <mergeCell ref="F111:L111"/>
    <mergeCell ref="R51:R58"/>
    <mergeCell ref="S51:S58"/>
    <mergeCell ref="T51:T58"/>
    <mergeCell ref="U51:U58"/>
    <mergeCell ref="R60:R63"/>
    <mergeCell ref="S60:S63"/>
    <mergeCell ref="T60:T63"/>
    <mergeCell ref="U60:U63"/>
    <mergeCell ref="T67:T75"/>
    <mergeCell ref="U67:U75"/>
    <mergeCell ref="N77:N78"/>
    <mergeCell ref="N67:N75"/>
    <mergeCell ref="O67:O75"/>
    <mergeCell ref="P67:P75"/>
    <mergeCell ref="Q67:Q75"/>
    <mergeCell ref="R67:R75"/>
    <mergeCell ref="N51:N58"/>
    <mergeCell ref="O51:O58"/>
    <mergeCell ref="P51:P58"/>
    <mergeCell ref="Q51:Q58"/>
    <mergeCell ref="N60:N63"/>
    <mergeCell ref="O60:O63"/>
    <mergeCell ref="P60:P63"/>
    <mergeCell ref="Q60:Q63"/>
  </mergeCells>
  <phoneticPr fontId="15" type="noConversion"/>
  <conditionalFormatting sqref="C256:C266">
    <cfRule type="containsText" dxfId="380" priority="107" operator="containsText" text="FL">
      <formula>NOT(ISERROR(SEARCH("FL",C256)))</formula>
    </cfRule>
    <cfRule type="containsText" dxfId="379" priority="108" operator="containsText" text="FT">
      <formula>NOT(ISERROR(SEARCH("FT",C256)))</formula>
    </cfRule>
    <cfRule type="containsText" dxfId="378" priority="109" operator="containsText" text="SS">
      <formula>NOT(ISERROR(SEARCH("SS",C256)))</formula>
    </cfRule>
    <cfRule type="containsText" dxfId="377" priority="110" operator="containsText" text="GR">
      <formula>NOT(ISERROR(SEARCH("GR",C256)))</formula>
    </cfRule>
    <cfRule type="containsText" dxfId="376" priority="111" operator="containsText" text="GO">
      <formula>NOT(ISERROR(SEARCH("GO",C256)))</formula>
    </cfRule>
  </conditionalFormatting>
  <conditionalFormatting sqref="D72 D110:D111">
    <cfRule type="containsText" dxfId="375" priority="99" operator="containsText" text="GR">
      <formula>NOT(ISERROR(SEARCH("GR",D72)))</formula>
    </cfRule>
  </conditionalFormatting>
  <conditionalFormatting sqref="D80:D81 D73:D78">
    <cfRule type="duplicateValues" dxfId="374" priority="89"/>
  </conditionalFormatting>
  <conditionalFormatting sqref="D84:D88">
    <cfRule type="duplicateValues" dxfId="373" priority="88"/>
  </conditionalFormatting>
  <conditionalFormatting sqref="D85:D86">
    <cfRule type="duplicateValues" dxfId="372" priority="85"/>
    <cfRule type="duplicateValues" dxfId="371" priority="86"/>
  </conditionalFormatting>
  <conditionalFormatting sqref="D89:D90">
    <cfRule type="duplicateValues" dxfId="370" priority="87"/>
  </conditionalFormatting>
  <conditionalFormatting sqref="D92">
    <cfRule type="duplicateValues" dxfId="369" priority="1"/>
  </conditionalFormatting>
  <conditionalFormatting sqref="D104:D107 D93:D102">
    <cfRule type="duplicateValues" dxfId="368" priority="83"/>
  </conditionalFormatting>
  <conditionalFormatting sqref="D107">
    <cfRule type="duplicateValues" dxfId="367" priority="81"/>
    <cfRule type="duplicateValues" dxfId="366" priority="82"/>
  </conditionalFormatting>
  <conditionalFormatting sqref="D109">
    <cfRule type="duplicateValues" dxfId="365" priority="84"/>
  </conditionalFormatting>
  <conditionalFormatting sqref="D184:D185 D177:D182">
    <cfRule type="duplicateValues" dxfId="364" priority="80"/>
  </conditionalFormatting>
  <conditionalFormatting sqref="D187:D191">
    <cfRule type="duplicateValues" dxfId="363" priority="79"/>
  </conditionalFormatting>
  <conditionalFormatting sqref="D188:D189">
    <cfRule type="duplicateValues" dxfId="362" priority="76"/>
    <cfRule type="duplicateValues" dxfId="361" priority="77"/>
  </conditionalFormatting>
  <conditionalFormatting sqref="D192">
    <cfRule type="duplicateValues" dxfId="360" priority="78"/>
  </conditionalFormatting>
  <conditionalFormatting sqref="D206:D209 D194:D204">
    <cfRule type="duplicateValues" dxfId="359" priority="74"/>
  </conditionalFormatting>
  <conditionalFormatting sqref="D209">
    <cfRule type="duplicateValues" dxfId="358" priority="72"/>
    <cfRule type="duplicateValues" dxfId="357" priority="73"/>
  </conditionalFormatting>
  <conditionalFormatting sqref="D211">
    <cfRule type="duplicateValues" dxfId="356" priority="75"/>
  </conditionalFormatting>
  <conditionalFormatting sqref="E8 E13">
    <cfRule type="containsText" dxfId="355" priority="100" operator="containsText" text="FC">
      <formula>NOT(ISERROR(SEARCH("FC",E8)))</formula>
    </cfRule>
    <cfRule type="containsText" dxfId="354" priority="101" operator="containsText" text="PAC">
      <formula>NOT(ISERROR(SEARCH("PAC",E8)))</formula>
    </cfRule>
    <cfRule type="containsText" dxfId="353" priority="102" operator="containsText" text="AA">
      <formula>NOT(ISERROR(SEARCH("AA",E8)))</formula>
    </cfRule>
    <cfRule type="containsText" dxfId="352" priority="103" operator="containsText" text="RC">
      <formula>NOT(ISERROR(SEARCH("RC",E8)))</formula>
    </cfRule>
    <cfRule type="containsText" dxfId="351" priority="104" operator="containsText" text="GC">
      <formula>NOT(ISERROR(SEARCH("GC",E8)))</formula>
    </cfRule>
    <cfRule type="containsText" dxfId="350" priority="105" operator="containsText" text="SSC">
      <formula>NOT(ISERROR(SEARCH("SSC",E8)))</formula>
    </cfRule>
    <cfRule type="containsText" dxfId="349" priority="106" operator="containsText" text="CSO">
      <formula>NOT(ISERROR(SEARCH("CSO",E8)))</formula>
    </cfRule>
  </conditionalFormatting>
  <conditionalFormatting sqref="E20 E26 E30">
    <cfRule type="containsText" dxfId="348" priority="112" operator="containsText" text="PAC">
      <formula>NOT(ISERROR(SEARCH("PAC",E20)))</formula>
    </cfRule>
    <cfRule type="containsText" dxfId="347" priority="113" operator="containsText" text="GC">
      <formula>NOT(ISERROR(SEARCH("GC",E20)))</formula>
    </cfRule>
  </conditionalFormatting>
  <conditionalFormatting sqref="E20 E26 E30:E31">
    <cfRule type="containsText" dxfId="346" priority="90" operator="containsText" text="PSSC">
      <formula>NOT(ISERROR(SEARCH("PSSC",E20)))</formula>
    </cfRule>
    <cfRule type="containsText" dxfId="345" priority="91" operator="containsText" text="ASSC">
      <formula>NOT(ISERROR(SEARCH("ASSC",E20)))</formula>
    </cfRule>
    <cfRule type="containsText" dxfId="344" priority="92" operator="containsText" text="CC">
      <formula>NOT(ISERROR(SEARCH("CC",E20)))</formula>
    </cfRule>
    <cfRule type="containsText" dxfId="343" priority="93" operator="containsText" text="CSO">
      <formula>NOT(ISERROR(SEARCH("CSO",E20)))</formula>
    </cfRule>
    <cfRule type="containsText" dxfId="342" priority="94" operator="containsText" text="FC">
      <formula>NOT(ISERROR(SEARCH("FC",E20)))</formula>
    </cfRule>
    <cfRule type="containsText" dxfId="341" priority="95" operator="containsText" text="RC">
      <formula>NOT(ISERROR(SEARCH("RC",E20)))</formula>
    </cfRule>
    <cfRule type="containsText" dxfId="340" priority="114" stopIfTrue="1" operator="containsText" text="AAC">
      <formula>NOT(ISERROR(SEARCH("AAC",E20)))</formula>
    </cfRule>
  </conditionalFormatting>
  <conditionalFormatting sqref="E20">
    <cfRule type="containsText" dxfId="339" priority="96" stopIfTrue="1" operator="containsText" text="AAC">
      <formula>NOT(ISERROR(SEARCH("AAC",E20)))</formula>
    </cfRule>
    <cfRule type="containsText" dxfId="338" priority="97" operator="containsText" text="PAC">
      <formula>NOT(ISERROR(SEARCH("PAC",E20)))</formula>
    </cfRule>
    <cfRule type="containsText" dxfId="337" priority="98" operator="containsText" text="GC">
      <formula>NOT(ISERROR(SEARCH("GC",E20)))</formula>
    </cfRule>
  </conditionalFormatting>
  <conditionalFormatting sqref="E50:E53">
    <cfRule type="containsText" dxfId="336" priority="2" operator="containsText" text="PSSC">
      <formula>NOT(ISERROR(SEARCH("PSSC",E50)))</formula>
    </cfRule>
    <cfRule type="containsText" dxfId="335" priority="3" operator="containsText" text="ASSC">
      <formula>NOT(ISERROR(SEARCH("ASSC",E50)))</formula>
    </cfRule>
    <cfRule type="containsText" dxfId="334" priority="4" operator="containsText" text="CC">
      <formula>NOT(ISERROR(SEARCH("CC",E50)))</formula>
    </cfRule>
    <cfRule type="containsText" dxfId="333" priority="5" operator="containsText" text="CSO">
      <formula>NOT(ISERROR(SEARCH("CSO",E50)))</formula>
    </cfRule>
    <cfRule type="containsText" dxfId="332" priority="6" operator="containsText" text="FC">
      <formula>NOT(ISERROR(SEARCH("FC",E50)))</formula>
    </cfRule>
    <cfRule type="containsText" dxfId="331" priority="7" operator="containsText" text="RC">
      <formula>NOT(ISERROR(SEARCH("RC",E50)))</formula>
    </cfRule>
    <cfRule type="containsText" dxfId="330" priority="8" operator="containsText" text="PAC">
      <formula>NOT(ISERROR(SEARCH("PAC",E50)))</formula>
    </cfRule>
    <cfRule type="containsText" dxfId="329" priority="9" operator="containsText" text="GC">
      <formula>NOT(ISERROR(SEARCH("GC",E50)))</formula>
    </cfRule>
    <cfRule type="containsText" dxfId="328" priority="10" stopIfTrue="1" operator="containsText" text="AAC">
      <formula>NOT(ISERROR(SEARCH("AAC",E50)))</formula>
    </cfRule>
  </conditionalFormatting>
  <conditionalFormatting sqref="F84 H84">
    <cfRule type="containsText" dxfId="327" priority="38" operator="containsText" text="PL">
      <formula>NOT(ISERROR(SEARCH("PL",F84)))</formula>
    </cfRule>
    <cfRule type="containsText" dxfId="326" priority="39" operator="containsText" text="SW">
      <formula>NOT(ISERROR(SEARCH("SW",F84)))</formula>
    </cfRule>
    <cfRule type="containsText" dxfId="325" priority="40" operator="containsText" text="AT">
      <formula>NOT(ISERROR(SEARCH("AT",F84)))</formula>
    </cfRule>
    <cfRule type="containsText" dxfId="324" priority="41" operator="containsText" text="SS">
      <formula>NOT(ISERROR(SEARCH("SS",F84)))</formula>
    </cfRule>
  </conditionalFormatting>
  <conditionalFormatting sqref="F229:F242 G230:L242 G229:J229">
    <cfRule type="colorScale" priority="201">
      <colorScale>
        <cfvo type="num" val="0"/>
        <cfvo type="num" val="1"/>
        <cfvo type="num" val="2"/>
        <color theme="0"/>
        <color rgb="FFAFFC06"/>
        <color rgb="FFFF0000"/>
      </colorScale>
    </cfRule>
  </conditionalFormatting>
  <conditionalFormatting sqref="F89:G90">
    <cfRule type="containsText" dxfId="323" priority="42" operator="containsText" text="PL">
      <formula>NOT(ISERROR(SEARCH("PL",F89)))</formula>
    </cfRule>
    <cfRule type="containsText" dxfId="322" priority="43" operator="containsText" text="SW">
      <formula>NOT(ISERROR(SEARCH("SW",F89)))</formula>
    </cfRule>
    <cfRule type="containsText" dxfId="321" priority="44" operator="containsText" text="AT">
      <formula>NOT(ISERROR(SEARCH("AT",F89)))</formula>
    </cfRule>
    <cfRule type="containsText" dxfId="320" priority="45" operator="containsText" text="SS">
      <formula>NOT(ISERROR(SEARCH("SS",F89)))</formula>
    </cfRule>
  </conditionalFormatting>
  <conditionalFormatting sqref="F86:I86">
    <cfRule type="containsText" dxfId="319" priority="30" operator="containsText" text="PL">
      <formula>NOT(ISERROR(SEARCH("PL",F86)))</formula>
    </cfRule>
    <cfRule type="containsText" dxfId="318" priority="31" operator="containsText" text="SW">
      <formula>NOT(ISERROR(SEARCH("SW",F86)))</formula>
    </cfRule>
    <cfRule type="containsText" dxfId="317" priority="32" operator="containsText" text="AT">
      <formula>NOT(ISERROR(SEARCH("AT",F86)))</formula>
    </cfRule>
    <cfRule type="containsText" dxfId="316" priority="33" operator="containsText" text="SS">
      <formula>NOT(ISERROR(SEARCH("SS",F86)))</formula>
    </cfRule>
  </conditionalFormatting>
  <conditionalFormatting sqref="F62:J62">
    <cfRule type="containsText" dxfId="315" priority="11" operator="containsText" text="CSO">
      <formula>NOT(ISERROR(SEARCH("CSO",F62)))</formula>
    </cfRule>
    <cfRule type="containsText" dxfId="314" priority="12" operator="containsText" text="FC">
      <formula>NOT(ISERROR(SEARCH("FC",F62)))</formula>
    </cfRule>
    <cfRule type="containsText" dxfId="313" priority="13" operator="containsText" text="SS">
      <formula>NOT(ISERROR(SEARCH("SS",F62)))</formula>
    </cfRule>
    <cfRule type="containsText" dxfId="312" priority="14" operator="containsText" text="RC">
      <formula>NOT(ISERROR(SEARCH("RC",F62)))</formula>
    </cfRule>
    <cfRule type="containsText" dxfId="311" priority="15" operator="containsText" text="PAC">
      <formula>NOT(ISERROR(SEARCH("PAC",F62)))</formula>
    </cfRule>
    <cfRule type="containsText" dxfId="310" priority="16" operator="containsText" text="AAC">
      <formula>NOT(ISERROR(SEARCH("AAC",F62)))</formula>
    </cfRule>
    <cfRule type="containsText" dxfId="309" priority="17" operator="containsText" text="GC">
      <formula>NOT(ISERROR(SEARCH("GC",F62)))</formula>
    </cfRule>
  </conditionalFormatting>
  <conditionalFormatting sqref="F64:J65">
    <cfRule type="cellIs" dxfId="308" priority="70" operator="lessThan">
      <formula>5</formula>
    </cfRule>
  </conditionalFormatting>
  <conditionalFormatting sqref="F8:L59">
    <cfRule type="containsText" dxfId="307" priority="52" operator="containsText" text="PAC">
      <formula>NOT(ISERROR(SEARCH("PAC",F8)))</formula>
    </cfRule>
    <cfRule type="containsText" dxfId="306" priority="53" operator="containsText" text="AAC">
      <formula>NOT(ISERROR(SEARCH("AAC",F8)))</formula>
    </cfRule>
    <cfRule type="containsText" dxfId="305" priority="54" operator="containsText" text="GC">
      <formula>NOT(ISERROR(SEARCH("GC",F8)))</formula>
    </cfRule>
    <cfRule type="containsText" dxfId="304" priority="55" operator="containsText" text="FC">
      <formula>NOT(ISERROR(SEARCH("FC",F8)))</formula>
    </cfRule>
    <cfRule type="containsText" dxfId="303" priority="56" operator="containsText" text="CC">
      <formula>NOT(ISERROR(SEARCH("CC",F8)))</formula>
    </cfRule>
    <cfRule type="containsText" dxfId="302" priority="57" operator="containsText" text="RC">
      <formula>NOT(ISERROR(SEARCH("RC",F8)))</formula>
    </cfRule>
    <cfRule type="containsText" dxfId="301" priority="58" operator="containsText" text="SSC">
      <formula>NOT(ISERROR(SEARCH("SSC",F8)))</formula>
    </cfRule>
    <cfRule type="containsText" dxfId="300" priority="59" operator="containsText" text="CSO">
      <formula>NOT(ISERROR(SEARCH("CSO",F8)))</formula>
    </cfRule>
  </conditionalFormatting>
  <conditionalFormatting sqref="F64:L64 F65:J65">
    <cfRule type="cellIs" dxfId="299" priority="71" operator="greaterThan">
      <formula>6</formula>
    </cfRule>
  </conditionalFormatting>
  <conditionalFormatting sqref="F67:L71">
    <cfRule type="containsText" dxfId="298" priority="50" operator="containsText" text="RC">
      <formula>NOT(ISERROR(SEARCH("RC",F67)))</formula>
    </cfRule>
    <cfRule type="containsText" dxfId="297" priority="51" operator="containsText" text="CC">
      <formula>NOT(ISERROR(SEARCH("CC",F67)))</formula>
    </cfRule>
  </conditionalFormatting>
  <conditionalFormatting sqref="F85:L85">
    <cfRule type="containsText" dxfId="296" priority="34" operator="containsText" text="PL">
      <formula>NOT(ISERROR(SEARCH("PL",F85)))</formula>
    </cfRule>
    <cfRule type="containsText" dxfId="295" priority="35" operator="containsText" text="SW">
      <formula>NOT(ISERROR(SEARCH("SW",F85)))</formula>
    </cfRule>
    <cfRule type="containsText" dxfId="294" priority="36" operator="containsText" text="AT">
      <formula>NOT(ISERROR(SEARCH("AT",F85)))</formula>
    </cfRule>
    <cfRule type="containsText" dxfId="293" priority="37" operator="containsText" text="SS">
      <formula>NOT(ISERROR(SEARCH("SS",F85)))</formula>
    </cfRule>
  </conditionalFormatting>
  <conditionalFormatting sqref="F170:L170">
    <cfRule type="cellIs" dxfId="292" priority="69" operator="greaterThan">
      <formula>3</formula>
    </cfRule>
  </conditionalFormatting>
  <conditionalFormatting sqref="F172:L172">
    <cfRule type="cellIs" dxfId="291" priority="68" operator="greaterThan">
      <formula>4</formula>
    </cfRule>
  </conditionalFormatting>
  <conditionalFormatting sqref="I108:J108">
    <cfRule type="containsText" dxfId="290" priority="46" operator="containsText" text="PL">
      <formula>NOT(ISERROR(SEARCH("PL",I108)))</formula>
    </cfRule>
    <cfRule type="containsText" dxfId="289" priority="47" operator="containsText" text="SW">
      <formula>NOT(ISERROR(SEARCH("SW",I108)))</formula>
    </cfRule>
    <cfRule type="containsText" dxfId="288" priority="48" operator="containsText" text="AT">
      <formula>NOT(ISERROR(SEARCH("AT",I108)))</formula>
    </cfRule>
    <cfRule type="containsText" dxfId="287" priority="49" operator="containsText" text="SS">
      <formula>NOT(ISERROR(SEARCH("SS",I108)))</formula>
    </cfRule>
  </conditionalFormatting>
  <conditionalFormatting sqref="J88">
    <cfRule type="containsText" dxfId="286" priority="26" operator="containsText" text="PL">
      <formula>NOT(ISERROR(SEARCH("PL",J88)))</formula>
    </cfRule>
    <cfRule type="containsText" dxfId="285" priority="27" operator="containsText" text="SW">
      <formula>NOT(ISERROR(SEARCH("SW",J88)))</formula>
    </cfRule>
    <cfRule type="containsText" dxfId="284" priority="28" operator="containsText" text="AT">
      <formula>NOT(ISERROR(SEARCH("AT",J88)))</formula>
    </cfRule>
    <cfRule type="containsText" dxfId="283" priority="29" operator="containsText" text="SS">
      <formula>NOT(ISERROR(SEARCH("SS",J88)))</formula>
    </cfRule>
  </conditionalFormatting>
  <conditionalFormatting sqref="K64:L65">
    <cfRule type="cellIs" dxfId="282" priority="60" operator="greaterThan">
      <formula>3</formula>
    </cfRule>
  </conditionalFormatting>
  <conditionalFormatting sqref="K84:L84">
    <cfRule type="containsText" dxfId="281" priority="22" operator="containsText" text="PL">
      <formula>NOT(ISERROR(SEARCH("PL",K84)))</formula>
    </cfRule>
    <cfRule type="containsText" dxfId="280" priority="23" operator="containsText" text="SW">
      <formula>NOT(ISERROR(SEARCH("SW",K84)))</formula>
    </cfRule>
    <cfRule type="containsText" dxfId="279" priority="24" operator="containsText" text="AT">
      <formula>NOT(ISERROR(SEARCH("AT",K84)))</formula>
    </cfRule>
    <cfRule type="containsText" dxfId="278" priority="25" operator="containsText" text="SS">
      <formula>NOT(ISERROR(SEARCH("SS",K84)))</formula>
    </cfRule>
  </conditionalFormatting>
  <conditionalFormatting sqref="K87:L87">
    <cfRule type="containsText" dxfId="277" priority="18" operator="containsText" text="PL">
      <formula>NOT(ISERROR(SEARCH("PL",K87)))</formula>
    </cfRule>
    <cfRule type="containsText" dxfId="276" priority="19" operator="containsText" text="SW">
      <formula>NOT(ISERROR(SEARCH("SW",K87)))</formula>
    </cfRule>
    <cfRule type="containsText" dxfId="275" priority="20" operator="containsText" text="AT">
      <formula>NOT(ISERROR(SEARCH("AT",K87)))</formula>
    </cfRule>
    <cfRule type="containsText" dxfId="274" priority="21" operator="containsText" text="SS">
      <formula>NOT(ISERROR(SEARCH("SS",K87)))</formula>
    </cfRule>
  </conditionalFormatting>
  <conditionalFormatting sqref="N38:N40">
    <cfRule type="containsText" dxfId="273" priority="151" operator="containsText" text="NAMIT">
      <formula>NOT(ISERROR(SEARCH("NAMIT",N38)))</formula>
    </cfRule>
  </conditionalFormatting>
  <conditionalFormatting sqref="O6:U6">
    <cfRule type="notContainsErrors" dxfId="272" priority="155">
      <formula>NOT(ISERROR(O6))</formula>
    </cfRule>
  </conditionalFormatting>
  <conditionalFormatting sqref="O7:U7 O37:U37">
    <cfRule type="notContainsErrors" dxfId="271" priority="150">
      <formula>NOT(ISERROR(O7))</formula>
    </cfRule>
  </conditionalFormatting>
  <conditionalFormatting sqref="O8:U8">
    <cfRule type="notContainsErrors" dxfId="270" priority="153">
      <formula>NOT(ISERROR(O8))</formula>
    </cfRule>
  </conditionalFormatting>
  <conditionalFormatting sqref="O9:U9">
    <cfRule type="notContainsErrors" dxfId="269" priority="164">
      <formula>NOT(ISERROR(O9))</formula>
    </cfRule>
  </conditionalFormatting>
  <conditionalFormatting sqref="O10:U10">
    <cfRule type="notContainsErrors" dxfId="268" priority="145">
      <formula>NOT(ISERROR(O10))</formula>
    </cfRule>
  </conditionalFormatting>
  <conditionalFormatting sqref="O18:U18">
    <cfRule type="notContainsErrors" dxfId="267" priority="163">
      <formula>NOT(ISERROR(O18))</formula>
    </cfRule>
  </conditionalFormatting>
  <conditionalFormatting sqref="O36:U36">
    <cfRule type="notContainsErrors" dxfId="266" priority="156">
      <formula>NOT(ISERROR(O36))</formula>
    </cfRule>
  </conditionalFormatting>
  <conditionalFormatting sqref="O38:U38">
    <cfRule type="notContainsErrors" dxfId="265" priority="154">
      <formula>NOT(ISERROR(O38))</formula>
    </cfRule>
  </conditionalFormatting>
  <conditionalFormatting sqref="O39:U39">
    <cfRule type="notContainsErrors" dxfId="264" priority="147">
      <formula>NOT(ISERROR(O39))</formula>
    </cfRule>
  </conditionalFormatting>
  <conditionalFormatting sqref="O40:U40">
    <cfRule type="notContainsErrors" dxfId="263" priority="149">
      <formula>NOT(ISERROR(O40))</formula>
    </cfRule>
  </conditionalFormatting>
  <conditionalFormatting sqref="O48:U48">
    <cfRule type="notContainsErrors" dxfId="262" priority="148">
      <formula>NOT(ISERROR(O48))</formula>
    </cfRule>
  </conditionalFormatting>
  <conditionalFormatting sqref="O66:U66">
    <cfRule type="notContainsErrors" dxfId="261" priority="146">
      <formula>NOT(ISERROR(O66))</formula>
    </cfRule>
  </conditionalFormatting>
  <conditionalFormatting sqref="O76:U76">
    <cfRule type="notContainsErrors" dxfId="260" priority="152">
      <formula>NOT(ISERROR(O76))</formula>
    </cfRule>
  </conditionalFormatting>
  <conditionalFormatting sqref="V132:V1048576 P234:U1048576">
    <cfRule type="containsText" dxfId="259" priority="157" operator="containsText" text="SW">
      <formula>NOT(ISERROR(SEARCH("SW",P132)))</formula>
    </cfRule>
    <cfRule type="containsText" dxfId="258" priority="158" operator="containsText" text="FL">
      <formula>NOT(ISERROR(SEARCH("FL",P132)))</formula>
    </cfRule>
    <cfRule type="containsText" dxfId="257" priority="159" operator="containsText" text="FT">
      <formula>NOT(ISERROR(SEARCH("FT",P132)))</formula>
    </cfRule>
    <cfRule type="containsText" dxfId="256" priority="160" operator="containsText" text="SS">
      <formula>NOT(ISERROR(SEARCH("SS",P132)))</formula>
    </cfRule>
    <cfRule type="containsText" dxfId="255" priority="161" operator="containsText" text="GR">
      <formula>NOT(ISERROR(SEARCH("GR",P132)))</formula>
    </cfRule>
    <cfRule type="containsText" dxfId="254" priority="162" operator="containsText" text="GO">
      <formula>NOT(ISERROR(SEARCH("GO",P132)))</formula>
    </cfRule>
  </conditionalFormatting>
  <dataValidations count="1">
    <dataValidation type="list" allowBlank="1" showInputMessage="1" sqref="F134:L135 J136:L141 F113:G131 G136:H141 H114:H131 I113:J131 K114:L131" xr:uid="{92946092-E238-D148-9B98-33E01296C424}">
      <formula1>#REF!</formula1>
    </dataValidation>
  </dataValidations>
  <pageMargins left="0.7" right="0.7" top="0.75" bottom="0.75" header="0.3" footer="0.3"/>
  <pageSetup paperSize="9" scale="6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0F291-1742-264B-A66F-E932E8643880}">
  <sheetPr>
    <pageSetUpPr fitToPage="1"/>
  </sheetPr>
  <dimension ref="A1:W292"/>
  <sheetViews>
    <sheetView tabSelected="1" topLeftCell="C1" workbookViewId="0">
      <pane ySplit="4" topLeftCell="C51" activePane="bottomLeft" state="frozen"/>
      <selection pane="bottomLeft" activeCell="H124" sqref="H124"/>
      <selection activeCell="C1" sqref="C1"/>
    </sheetView>
  </sheetViews>
  <sheetFormatPr defaultColWidth="9" defaultRowHeight="14.25"/>
  <cols>
    <col min="1" max="2" width="10.875" style="56" hidden="1" customWidth="1"/>
    <col min="3" max="3" width="18" style="56" customWidth="1"/>
    <col min="4" max="4" width="24.375" style="72" customWidth="1"/>
    <col min="5" max="5" width="10.875" style="68"/>
    <col min="6" max="6" width="12.875" style="66" customWidth="1"/>
    <col min="7" max="10" width="12.875" style="64" customWidth="1"/>
    <col min="11" max="11" width="12.125" style="64" customWidth="1"/>
    <col min="12" max="12" width="12.625" style="64" customWidth="1"/>
    <col min="13" max="13" width="10.875" style="56"/>
    <col min="14" max="14" width="14.875" style="89" customWidth="1"/>
    <col min="15" max="15" width="15.375" style="112" customWidth="1"/>
    <col min="16" max="21" width="15.375" style="89" customWidth="1"/>
    <col min="22" max="22" width="12.875" style="34" customWidth="1"/>
    <col min="23" max="23" width="9" style="34"/>
    <col min="24" max="16384" width="9" style="56"/>
  </cols>
  <sheetData>
    <row r="1" spans="1:23" ht="14.1" customHeight="1" thickBot="1">
      <c r="D1" s="57"/>
      <c r="E1" s="58"/>
      <c r="F1" s="59" t="str">
        <f t="shared" ref="F1:L1" si="0">CONCATENATE(F170,"-",F171,"-",F172,"-",F173,"-",F174)</f>
        <v>15-0-13-3-9</v>
      </c>
      <c r="G1" s="59" t="str">
        <f t="shared" si="0"/>
        <v>17-0-14-0-8</v>
      </c>
      <c r="H1" s="59" t="str">
        <f t="shared" si="0"/>
        <v>16-2-16-1-9</v>
      </c>
      <c r="I1" s="59" t="str">
        <f t="shared" si="0"/>
        <v>16-0-18-1-9</v>
      </c>
      <c r="J1" s="59" t="str">
        <f t="shared" si="0"/>
        <v>16-1-18-2-9</v>
      </c>
      <c r="K1" s="59" t="str">
        <f t="shared" si="0"/>
        <v>14-1-14-0-9</v>
      </c>
      <c r="L1" s="59" t="str">
        <f t="shared" si="0"/>
        <v>14-0-13-0-9</v>
      </c>
      <c r="O1" s="89" t="str">
        <f t="shared" ref="O1:U1" si="1">F1</f>
        <v>15-0-13-3-9</v>
      </c>
      <c r="P1" s="89" t="str">
        <f t="shared" si="1"/>
        <v>17-0-14-0-8</v>
      </c>
      <c r="Q1" s="89" t="str">
        <f t="shared" si="1"/>
        <v>16-2-16-1-9</v>
      </c>
      <c r="R1" s="89" t="str">
        <f t="shared" si="1"/>
        <v>16-0-18-1-9</v>
      </c>
      <c r="S1" s="89" t="str">
        <f t="shared" si="1"/>
        <v>16-1-18-2-9</v>
      </c>
      <c r="T1" s="89" t="str">
        <f t="shared" si="1"/>
        <v>14-1-14-0-9</v>
      </c>
      <c r="U1" s="89" t="str">
        <f t="shared" si="1"/>
        <v>14-0-13-0-9</v>
      </c>
    </row>
    <row r="2" spans="1:23" ht="14.1" customHeight="1" thickBot="1">
      <c r="C2" s="1" t="s">
        <v>0</v>
      </c>
      <c r="D2" s="1" t="s">
        <v>0</v>
      </c>
      <c r="E2" s="58"/>
      <c r="F2" s="751">
        <v>12</v>
      </c>
      <c r="G2" s="752"/>
      <c r="H2" s="752"/>
      <c r="I2" s="752"/>
      <c r="J2" s="752"/>
      <c r="K2" s="752"/>
      <c r="L2" s="753"/>
      <c r="O2" s="754">
        <f>F2</f>
        <v>12</v>
      </c>
      <c r="P2" s="755"/>
      <c r="Q2" s="755"/>
      <c r="R2" s="755"/>
      <c r="S2" s="755"/>
      <c r="T2" s="755"/>
      <c r="U2" s="756"/>
    </row>
    <row r="3" spans="1:23" ht="14.1" customHeight="1">
      <c r="A3" s="56" t="s">
        <v>297</v>
      </c>
      <c r="B3" s="56" t="s">
        <v>298</v>
      </c>
      <c r="C3" s="494" t="s">
        <v>299</v>
      </c>
      <c r="D3" s="494" t="s">
        <v>300</v>
      </c>
      <c r="E3" s="69" t="s">
        <v>5</v>
      </c>
      <c r="F3" s="22" t="s">
        <v>6</v>
      </c>
      <c r="G3" s="23" t="s">
        <v>7</v>
      </c>
      <c r="H3" s="23" t="s">
        <v>8</v>
      </c>
      <c r="I3" s="23" t="s">
        <v>9</v>
      </c>
      <c r="J3" s="23" t="s">
        <v>10</v>
      </c>
      <c r="K3" s="23" t="s">
        <v>11</v>
      </c>
      <c r="L3" s="24" t="s">
        <v>12</v>
      </c>
      <c r="O3" s="90" t="s">
        <v>6</v>
      </c>
      <c r="P3" s="91" t="s">
        <v>7</v>
      </c>
      <c r="Q3" s="91" t="s">
        <v>8</v>
      </c>
      <c r="R3" s="91" t="s">
        <v>9</v>
      </c>
      <c r="S3" s="91" t="s">
        <v>10</v>
      </c>
      <c r="T3" s="91" t="s">
        <v>11</v>
      </c>
      <c r="U3" s="92" t="s">
        <v>12</v>
      </c>
    </row>
    <row r="4" spans="1:23" ht="14.1" customHeight="1" thickBot="1">
      <c r="A4" s="56" t="s">
        <v>13</v>
      </c>
      <c r="C4" s="25"/>
      <c r="D4" s="25"/>
      <c r="E4" s="77"/>
      <c r="F4" s="26">
        <v>46132</v>
      </c>
      <c r="G4" s="27">
        <v>46133</v>
      </c>
      <c r="H4" s="27">
        <v>46134</v>
      </c>
      <c r="I4" s="27">
        <v>46135</v>
      </c>
      <c r="J4" s="27">
        <v>46136</v>
      </c>
      <c r="K4" s="27">
        <v>46137</v>
      </c>
      <c r="L4" s="27">
        <v>46138</v>
      </c>
      <c r="N4" s="93"/>
      <c r="O4" s="94">
        <f t="shared" ref="O4:U4" si="2">F4</f>
        <v>46132</v>
      </c>
      <c r="P4" s="95">
        <f t="shared" si="2"/>
        <v>46133</v>
      </c>
      <c r="Q4" s="95">
        <f t="shared" si="2"/>
        <v>46134</v>
      </c>
      <c r="R4" s="95">
        <f t="shared" si="2"/>
        <v>46135</v>
      </c>
      <c r="S4" s="95">
        <f t="shared" si="2"/>
        <v>46136</v>
      </c>
      <c r="T4" s="95">
        <f t="shared" si="2"/>
        <v>46137</v>
      </c>
      <c r="U4" s="96">
        <f t="shared" si="2"/>
        <v>46138</v>
      </c>
    </row>
    <row r="5" spans="1:23" ht="14.1" customHeight="1" thickBot="1">
      <c r="C5" s="2"/>
      <c r="D5" s="2"/>
      <c r="E5" s="81"/>
      <c r="F5" s="201"/>
      <c r="G5" s="60"/>
      <c r="H5" s="60"/>
      <c r="I5" s="60"/>
      <c r="J5" s="60"/>
      <c r="K5" s="219" t="s">
        <v>25</v>
      </c>
      <c r="L5" s="61"/>
      <c r="O5" s="757" t="s">
        <v>301</v>
      </c>
      <c r="P5" s="758"/>
      <c r="Q5" s="758"/>
      <c r="R5" s="758"/>
      <c r="S5" s="758"/>
      <c r="T5" s="758"/>
      <c r="U5" s="759"/>
      <c r="W5" s="34" t="s">
        <v>302</v>
      </c>
    </row>
    <row r="6" spans="1:23" ht="14.1" customHeight="1">
      <c r="C6" s="315" t="s">
        <v>26</v>
      </c>
      <c r="D6" s="315" t="s">
        <v>26</v>
      </c>
      <c r="E6" s="495"/>
      <c r="F6" s="317"/>
      <c r="G6" s="318"/>
      <c r="H6" s="318"/>
      <c r="I6" s="318"/>
      <c r="J6" s="318"/>
      <c r="K6" s="318"/>
      <c r="L6" s="319"/>
      <c r="N6" s="97" t="s">
        <v>303</v>
      </c>
      <c r="O6" s="98" t="str">
        <f t="shared" ref="O6:U6" si="3">INDEX($C7:$L189,MATCH("*AGC*",F7:F192,0),1)</f>
        <v>DANIEL SMS</v>
      </c>
      <c r="P6" s="99" t="str">
        <f t="shared" si="3"/>
        <v>BARRY SMS</v>
      </c>
      <c r="Q6" s="99" t="str">
        <f t="shared" si="3"/>
        <v>BRAD SMS</v>
      </c>
      <c r="R6" s="99" t="str">
        <f t="shared" si="3"/>
        <v>JACQUELINE SMS</v>
      </c>
      <c r="S6" s="99" t="str">
        <f t="shared" si="3"/>
        <v>STEPHEN G SMS</v>
      </c>
      <c r="T6" s="99" t="str">
        <f t="shared" si="3"/>
        <v>ABI SMS</v>
      </c>
      <c r="U6" s="100" t="str">
        <f t="shared" si="3"/>
        <v>DAVID SMS</v>
      </c>
      <c r="V6" s="34" t="s">
        <v>287</v>
      </c>
      <c r="W6" s="101"/>
    </row>
    <row r="7" spans="1:23" ht="14.1" customHeight="1">
      <c r="C7" s="496" t="s">
        <v>304</v>
      </c>
      <c r="D7" s="497" t="s">
        <v>27</v>
      </c>
      <c r="E7" s="498">
        <v>625982</v>
      </c>
      <c r="F7" s="569" t="s">
        <v>28</v>
      </c>
      <c r="G7" s="570"/>
      <c r="H7" s="570"/>
      <c r="I7" s="570"/>
      <c r="J7" s="570"/>
      <c r="K7" s="570"/>
      <c r="L7" s="571"/>
      <c r="N7" s="499" t="s">
        <v>305</v>
      </c>
      <c r="O7" s="102" t="str">
        <f t="shared" ref="O7:U7" si="4">INDEX($C7:$L189,MATCH("*AAC",F7:F191,0),1)</f>
        <v>QING SMS</v>
      </c>
      <c r="P7" s="500" t="str">
        <f t="shared" si="4"/>
        <v>STEVE T SMS</v>
      </c>
      <c r="Q7" s="500" t="str">
        <f t="shared" si="4"/>
        <v>AFTAB SMS</v>
      </c>
      <c r="R7" s="500" t="str">
        <f t="shared" si="4"/>
        <v>RICHARD SMS</v>
      </c>
      <c r="S7" s="500" t="str">
        <f t="shared" si="4"/>
        <v>YAN SMS</v>
      </c>
      <c r="T7" s="500" t="str">
        <f t="shared" si="4"/>
        <v>DAVID SMS</v>
      </c>
      <c r="U7" s="501" t="str">
        <f t="shared" si="4"/>
        <v>ANDY L  SMS</v>
      </c>
      <c r="V7" s="34" t="s">
        <v>286</v>
      </c>
      <c r="W7" s="101"/>
    </row>
    <row r="8" spans="1:23" ht="14.1" customHeight="1">
      <c r="C8" s="497" t="s">
        <v>306</v>
      </c>
      <c r="D8" s="83" t="s">
        <v>29</v>
      </c>
      <c r="E8" s="502">
        <v>628936</v>
      </c>
      <c r="F8" s="62"/>
      <c r="G8" s="62" t="s">
        <v>33</v>
      </c>
      <c r="H8" s="566"/>
      <c r="I8" s="76" t="s">
        <v>33</v>
      </c>
      <c r="J8" s="62" t="s">
        <v>33</v>
      </c>
      <c r="K8" s="675"/>
      <c r="L8" s="577"/>
      <c r="N8" s="503" t="s">
        <v>307</v>
      </c>
      <c r="O8" s="102" t="str">
        <f t="shared" ref="O8:U8" si="5">INDEX($C7:$L189,MATCH("*ARC*",F7:F192,0),1)</f>
        <v>SINDY SMS</v>
      </c>
      <c r="P8" s="500" t="str">
        <f t="shared" si="5"/>
        <v>TARA J. SMS</v>
      </c>
      <c r="Q8" s="500" t="str">
        <f t="shared" si="5"/>
        <v>MAUREEN SMS</v>
      </c>
      <c r="R8" s="500" t="str">
        <f t="shared" si="5"/>
        <v>MADDY SMS</v>
      </c>
      <c r="S8" s="500" t="str">
        <f t="shared" si="5"/>
        <v>ERICA SMS</v>
      </c>
      <c r="T8" s="500" t="str">
        <f t="shared" si="5"/>
        <v>ANDY L  SMS</v>
      </c>
      <c r="U8" s="501" t="str">
        <f t="shared" si="5"/>
        <v>ABI SMS</v>
      </c>
      <c r="V8" s="34" t="s">
        <v>285</v>
      </c>
      <c r="W8" s="101"/>
    </row>
    <row r="9" spans="1:23" ht="14.1" customHeight="1">
      <c r="C9" s="504" t="s">
        <v>308</v>
      </c>
      <c r="D9" s="723" t="s">
        <v>42</v>
      </c>
      <c r="E9" s="502">
        <v>628576</v>
      </c>
      <c r="F9" s="575" t="s">
        <v>33</v>
      </c>
      <c r="G9" s="565" t="s">
        <v>33</v>
      </c>
      <c r="H9" s="576"/>
      <c r="I9" s="565" t="s">
        <v>37</v>
      </c>
      <c r="J9" s="566" t="s">
        <v>34</v>
      </c>
      <c r="K9" s="675"/>
      <c r="L9" s="577"/>
      <c r="N9" s="505" t="s">
        <v>309</v>
      </c>
      <c r="O9" s="102" t="str">
        <f t="shared" ref="O9:U9" si="6">INDEX($C7:$L189,MATCH("*ASSC*",F7:F192,0),1)</f>
        <v>JACKIE SMS</v>
      </c>
      <c r="P9" s="500" t="str">
        <f t="shared" si="6"/>
        <v>MICHELLE SMS</v>
      </c>
      <c r="Q9" s="500" t="str">
        <f t="shared" si="6"/>
        <v>SCOTT SMS</v>
      </c>
      <c r="R9" s="500" t="str">
        <f t="shared" si="6"/>
        <v>SUSAN SMS</v>
      </c>
      <c r="S9" s="500" t="str">
        <f t="shared" si="6"/>
        <v>ANDRE SMS</v>
      </c>
      <c r="T9" s="500" t="str">
        <f t="shared" si="6"/>
        <v>ANDREW H SMS</v>
      </c>
      <c r="U9" s="501" t="str">
        <f t="shared" si="6"/>
        <v>SUHAIL SMS</v>
      </c>
      <c r="V9" s="34" t="s">
        <v>289</v>
      </c>
      <c r="W9" s="101"/>
    </row>
    <row r="10" spans="1:23" ht="14.1" customHeight="1">
      <c r="C10" s="504" t="s">
        <v>310</v>
      </c>
      <c r="D10" s="497" t="s">
        <v>45</v>
      </c>
      <c r="E10" s="506">
        <v>632647</v>
      </c>
      <c r="F10" s="575" t="s">
        <v>33</v>
      </c>
      <c r="G10" s="565" t="s">
        <v>33</v>
      </c>
      <c r="H10" s="565"/>
      <c r="I10" s="565"/>
      <c r="J10" s="565"/>
      <c r="K10" s="675" t="s">
        <v>35</v>
      </c>
      <c r="L10" s="577" t="s">
        <v>38</v>
      </c>
      <c r="N10" s="507" t="s">
        <v>311</v>
      </c>
      <c r="O10" s="102" t="str">
        <f t="shared" ref="O10:U10" si="7">INDEX($C6:$L188,MATCH("*ACC*",F6:F184,0),1)</f>
        <v>DAVID SMS</v>
      </c>
      <c r="P10" s="500" t="str">
        <f t="shared" si="7"/>
        <v>RAMI SMS</v>
      </c>
      <c r="Q10" s="500" t="str">
        <f t="shared" si="7"/>
        <v>SAM CMO</v>
      </c>
      <c r="R10" s="500" t="str">
        <f t="shared" si="7"/>
        <v>ANDRE SMS</v>
      </c>
      <c r="S10" s="500" t="str">
        <f t="shared" si="7"/>
        <v>RICHARD SMS</v>
      </c>
      <c r="T10" s="500" t="str">
        <f t="shared" si="7"/>
        <v>HEATHER CMO</v>
      </c>
      <c r="U10" s="501" t="str">
        <f t="shared" si="7"/>
        <v>SAM CMO</v>
      </c>
      <c r="V10" s="34" t="s">
        <v>288</v>
      </c>
      <c r="W10" s="101"/>
    </row>
    <row r="11" spans="1:23" ht="14.1" customHeight="1">
      <c r="C11" s="497" t="s">
        <v>312</v>
      </c>
      <c r="D11" s="497" t="s">
        <v>48</v>
      </c>
      <c r="E11" s="502">
        <v>279110</v>
      </c>
      <c r="F11" s="591" t="s">
        <v>492</v>
      </c>
      <c r="G11" s="578" t="s">
        <v>492</v>
      </c>
      <c r="H11" s="578" t="s">
        <v>342</v>
      </c>
      <c r="I11" s="565"/>
      <c r="J11" s="565"/>
      <c r="K11" s="675" t="s">
        <v>36</v>
      </c>
      <c r="L11" s="577" t="s">
        <v>34</v>
      </c>
      <c r="N11" s="733" t="s">
        <v>313</v>
      </c>
      <c r="O11" s="774" t="str" cm="1">
        <f t="array" ref="O11">_xlfn.TEXTJOIN(CHAR(10),TRUE,IF(F7:F111="0800-1800 AFC",$C7:$C111,""),IF(F7:F111="0800-1730 AFC",$C7:$C111,""),IF(F7:F111="0800-1800",$C7:$C111,""),IF(F7:F111="0800-1730",$C7:$C111,""))</f>
        <v>DENNIS SR
HANNAH IR
MIKHAR IR
CHRISTOPHER JR
DESLIN JR
ISOBEL JR</v>
      </c>
      <c r="P11" s="775" t="str" cm="1">
        <f t="array" ref="P11">_xlfn.TEXTJOIN(CHAR(10),TRUE,IF(G7:G111="0800-1800 AFC",$C7:$C111,""),IF(G7:G111="0800-1730 AFC",$C7:$C111,""),IF(G7:G111="0800-1800",$C7:$C111,""),IF(G7:G111="0800-1730",$C7:$C111,""))</f>
        <v>JULIA SMS
MARK SR
JOSHUA IR
DESLIN JR
POH JR
ISOBEL JR</v>
      </c>
      <c r="Q11" s="775" t="str" cm="1">
        <f t="array" ref="Q11">_xlfn.TEXTJOIN(CHAR(10),TRUE,IF(H7:H111="0800-1800 AFC",$C7:$C111,""),IF(H7:H111="0800-1730 AFC",$C7:$C111,""),IF(H7:H111="0800-1800",$C7:$C111,""),IF(H7:H111="0800-1730",$C7:$C111,""))</f>
        <v>QING SMS
TITUS CMO
SALEEM CMO
PAUL JR</v>
      </c>
      <c r="R11" s="775" t="str" cm="1">
        <f t="array" ref="R11">_xlfn.TEXTJOIN(CHAR(10),TRUE,IF(I7:I111="0800-1800 AFC",$C7:$C111,""),IF(I7:I111="0800-1730 AFC",$C7:$C111,""),IF(I7:I111="0800-1800",$C7:$C111,""),IF(I7:I111="0800-1730",$C7:$C111,""))</f>
        <v>RACHEL SMS 
DENNIS SR
MIKHAR IR
ADI JR
RACHEL JR</v>
      </c>
      <c r="S11" s="775" t="str" cm="1">
        <f t="array" ref="S11">_xlfn.TEXTJOIN(CHAR(10),TRUE,IF(J7:J111="0800-1800 AFC",$C7:$C111,""),IF(J7:J111="0800-1730 AFC",$C7:$C111,""),IF(J7:J111="0800-1800",$C7:$C111,""),IF(J7:J111="0800-1730",$C7:$C111,""))</f>
        <v>PAIGE SMS
AMY SR
MIKHAR IR
POH JR
ADI JR</v>
      </c>
      <c r="T11" s="775" t="str" cm="1">
        <f t="array" ref="T11">_xlfn.TEXTJOIN(CHAR(10),TRUE,IF(K7:K111="0800-1800 AFC",$C7:$C111,""),IF(K7:K111="0800-1730 AFC",$C7:$C111,""),IF(K7:K111="0800-1800",$C7:$C111,""),IF(K7:K111="0800-1730",$C7:$C111,""))</f>
        <v>QAIS SMS
DENNIS SR
CRAIG JR</v>
      </c>
      <c r="U11" s="775" t="str" cm="1">
        <f t="array" ref="U11">_xlfn.TEXTJOIN(CHAR(10),TRUE,IF(L7:L111="0800-1800 AFC",$C7:$C111,""),IF(L7:L111="0800-1730 AFC",$C7:$C111,""),IF(L7:L111="0800-1800",$C7:$C111,""),IF(L7:L111="0800-1730",$C7:$C111,""))</f>
        <v>DENNIS SR
SHIV IR
CRAIG JR</v>
      </c>
      <c r="W11" s="772">
        <v>7</v>
      </c>
    </row>
    <row r="12" spans="1:23" ht="14.1" customHeight="1">
      <c r="C12" s="497" t="s">
        <v>314</v>
      </c>
      <c r="D12" s="497" t="s">
        <v>49</v>
      </c>
      <c r="E12" s="502">
        <v>213322</v>
      </c>
      <c r="F12" s="575" t="s">
        <v>33</v>
      </c>
      <c r="G12" s="565" t="s">
        <v>47</v>
      </c>
      <c r="H12" s="565" t="s">
        <v>38</v>
      </c>
      <c r="I12" s="565"/>
      <c r="J12" s="565"/>
      <c r="K12" s="675" t="s">
        <v>34</v>
      </c>
      <c r="L12" s="577" t="s">
        <v>36</v>
      </c>
      <c r="N12" s="734"/>
      <c r="O12" s="774"/>
      <c r="P12" s="775"/>
      <c r="Q12" s="775"/>
      <c r="R12" s="775"/>
      <c r="S12" s="775"/>
      <c r="T12" s="775"/>
      <c r="U12" s="775"/>
      <c r="W12" s="772"/>
    </row>
    <row r="13" spans="1:23" ht="14.1" customHeight="1">
      <c r="C13" s="497" t="s">
        <v>315</v>
      </c>
      <c r="D13" s="497" t="s">
        <v>51</v>
      </c>
      <c r="E13" s="502">
        <v>602997</v>
      </c>
      <c r="F13" s="575" t="s">
        <v>32</v>
      </c>
      <c r="G13" s="565" t="s">
        <v>52</v>
      </c>
      <c r="H13" s="565" t="s">
        <v>33</v>
      </c>
      <c r="I13" s="565"/>
      <c r="J13" s="565"/>
      <c r="K13" s="675" t="s">
        <v>47</v>
      </c>
      <c r="L13" s="577" t="s">
        <v>43</v>
      </c>
      <c r="N13" s="734"/>
      <c r="O13" s="774"/>
      <c r="P13" s="775"/>
      <c r="Q13" s="775"/>
      <c r="R13" s="775"/>
      <c r="S13" s="775"/>
      <c r="T13" s="775"/>
      <c r="U13" s="775"/>
      <c r="W13" s="772"/>
    </row>
    <row r="14" spans="1:23" ht="14.1" customHeight="1">
      <c r="C14" s="504" t="s">
        <v>316</v>
      </c>
      <c r="D14" s="504" t="s">
        <v>55</v>
      </c>
      <c r="E14" s="502">
        <v>646459</v>
      </c>
      <c r="F14" s="575" t="s">
        <v>47</v>
      </c>
      <c r="G14" s="566" t="s">
        <v>33</v>
      </c>
      <c r="H14" s="566" t="s">
        <v>41</v>
      </c>
      <c r="I14" s="566" t="s">
        <v>35</v>
      </c>
      <c r="J14" s="576"/>
      <c r="K14" s="675"/>
      <c r="L14" s="604"/>
      <c r="N14" s="734"/>
      <c r="O14" s="774"/>
      <c r="P14" s="775"/>
      <c r="Q14" s="775"/>
      <c r="R14" s="775"/>
      <c r="S14" s="775"/>
      <c r="T14" s="775"/>
      <c r="U14" s="775"/>
      <c r="W14" s="772"/>
    </row>
    <row r="15" spans="1:23" ht="14.1" customHeight="1">
      <c r="C15" s="497" t="s">
        <v>318</v>
      </c>
      <c r="D15" s="504" t="s">
        <v>56</v>
      </c>
      <c r="E15" s="502">
        <v>632594</v>
      </c>
      <c r="F15" s="582"/>
      <c r="G15" s="566"/>
      <c r="H15" s="566" t="s">
        <v>57</v>
      </c>
      <c r="I15" s="566"/>
      <c r="J15" s="565" t="s">
        <v>50</v>
      </c>
      <c r="K15" s="675" t="s">
        <v>43</v>
      </c>
      <c r="L15" s="577" t="s">
        <v>37</v>
      </c>
      <c r="N15" s="734"/>
      <c r="O15" s="774"/>
      <c r="P15" s="775"/>
      <c r="Q15" s="775"/>
      <c r="R15" s="775"/>
      <c r="S15" s="775"/>
      <c r="T15" s="775"/>
      <c r="U15" s="775"/>
      <c r="W15" s="772"/>
    </row>
    <row r="16" spans="1:23" ht="14.1" customHeight="1">
      <c r="C16" s="497" t="s">
        <v>319</v>
      </c>
      <c r="D16" s="497" t="s">
        <v>58</v>
      </c>
      <c r="E16" s="502">
        <v>541622</v>
      </c>
      <c r="F16" s="572" t="s">
        <v>31</v>
      </c>
      <c r="G16" s="573"/>
      <c r="H16" s="573"/>
      <c r="I16" s="573"/>
      <c r="J16" s="573"/>
      <c r="K16" s="573"/>
      <c r="L16" s="574"/>
      <c r="N16" s="734"/>
      <c r="O16" s="774"/>
      <c r="P16" s="775"/>
      <c r="Q16" s="775"/>
      <c r="R16" s="775"/>
      <c r="S16" s="775"/>
      <c r="T16" s="775"/>
      <c r="U16" s="775"/>
      <c r="W16" s="772"/>
    </row>
    <row r="17" spans="3:23" ht="14.1" customHeight="1">
      <c r="C17" s="504" t="s">
        <v>320</v>
      </c>
      <c r="D17" s="504" t="s">
        <v>59</v>
      </c>
      <c r="E17" s="508">
        <v>614941</v>
      </c>
      <c r="F17" s="575" t="s">
        <v>38</v>
      </c>
      <c r="G17" s="565"/>
      <c r="H17" s="590" t="s">
        <v>33</v>
      </c>
      <c r="I17" s="76" t="s">
        <v>47</v>
      </c>
      <c r="J17" s="565" t="s">
        <v>32</v>
      </c>
      <c r="K17" s="675"/>
      <c r="L17" s="577"/>
      <c r="N17" s="773"/>
      <c r="O17" s="774"/>
      <c r="P17" s="775"/>
      <c r="Q17" s="775"/>
      <c r="R17" s="775"/>
      <c r="S17" s="775"/>
      <c r="T17" s="775"/>
      <c r="U17" s="775"/>
      <c r="W17" s="772"/>
    </row>
    <row r="18" spans="3:23" ht="14.1" customHeight="1">
      <c r="C18" s="497" t="s">
        <v>321</v>
      </c>
      <c r="D18" s="497" t="s">
        <v>63</v>
      </c>
      <c r="E18" s="502">
        <v>600989</v>
      </c>
      <c r="F18" s="569" t="s">
        <v>28</v>
      </c>
      <c r="G18" s="570"/>
      <c r="H18" s="570"/>
      <c r="I18" s="570"/>
      <c r="J18" s="570"/>
      <c r="K18" s="570"/>
      <c r="L18" s="571"/>
      <c r="N18" s="510" t="s">
        <v>322</v>
      </c>
      <c r="O18" s="102" t="str">
        <f t="shared" ref="O18:U18" si="8">INDEX($C7:$L189,MATCH("*AHJ*",F7:F192,0),1)</f>
        <v>AARON N. HMO</v>
      </c>
      <c r="P18" s="102" t="str">
        <f t="shared" si="8"/>
        <v>CHRIS HMO</v>
      </c>
      <c r="Q18" s="102" t="str">
        <f t="shared" si="8"/>
        <v>STEWART HMO</v>
      </c>
      <c r="R18" s="102" t="str">
        <f t="shared" si="8"/>
        <v>MARYAM HMO</v>
      </c>
      <c r="S18" s="102" t="str">
        <f t="shared" si="8"/>
        <v>FADIA HMO</v>
      </c>
      <c r="T18" s="102" t="str">
        <f t="shared" si="8"/>
        <v>TRAM HMO</v>
      </c>
      <c r="U18" s="102" t="str">
        <f t="shared" si="8"/>
        <v>WATHSALA HMO</v>
      </c>
      <c r="V18" s="34" t="s">
        <v>323</v>
      </c>
      <c r="W18" s="89">
        <v>1</v>
      </c>
    </row>
    <row r="19" spans="3:23" ht="14.1" customHeight="1">
      <c r="C19" s="511" t="s">
        <v>324</v>
      </c>
      <c r="D19" s="497" t="s">
        <v>64</v>
      </c>
      <c r="E19" s="502">
        <v>628578</v>
      </c>
      <c r="F19" s="582" t="s">
        <v>65</v>
      </c>
      <c r="G19" s="576"/>
      <c r="H19" s="583"/>
      <c r="I19" s="203"/>
      <c r="J19" s="576"/>
      <c r="K19" s="576"/>
      <c r="L19" s="580"/>
      <c r="N19" s="776" t="s">
        <v>325</v>
      </c>
      <c r="O19" s="777" t="str" cm="1">
        <f t="array" ref="O19">_xlfn.TEXTJOIN(CHAR(10),TRUE,_xlfn._xlws.FILTER($C7:$C185,RIGHT(F7:F185,LEN("ASSJ"))="ASSJ",""))</f>
        <v>NATHAN HMO</v>
      </c>
      <c r="P19" s="750" t="str" cm="1">
        <f t="array" ref="P19">_xlfn.TEXTJOIN(CHAR(10),TRUE,_xlfn._xlws.FILTER($C7:$C185,RIGHT(G7:G185,LEN("ASSJ"))="ASSJ",""))</f>
        <v>WATHSALA HMO</v>
      </c>
      <c r="Q19" s="750" t="str" cm="1">
        <f t="array" ref="Q19">_xlfn.TEXTJOIN(CHAR(10),TRUE,_xlfn._xlws.FILTER($C7:$C185,RIGHT(H7:H185,LEN("ASSJ"))="ASSJ",""))</f>
        <v>LISA HMO</v>
      </c>
      <c r="R19" s="750" t="str" cm="1">
        <f t="array" ref="R19">_xlfn.TEXTJOIN(CHAR(10),TRUE,_xlfn._xlws.FILTER($C7:$C185,RIGHT(I7:I185,LEN("ASSJ"))="ASSJ",""))</f>
        <v>STEWART HMO</v>
      </c>
      <c r="S19" s="750" t="str" cm="1">
        <f t="array" ref="S19">_xlfn.TEXTJOIN(CHAR(10),TRUE,_xlfn._xlws.FILTER($C7:$C185,RIGHT(J7:J185,LEN("ASSJ"))="ASSJ",""))</f>
        <v>ZOBIA HMO</v>
      </c>
      <c r="T19" s="750" t="str" cm="1">
        <f t="array" ref="T19">_xlfn.TEXTJOIN(CHAR(10),TRUE,_xlfn._xlws.FILTER($C7:$C185,RIGHT(K7:K185,LEN("ASSJ"))="ASSJ",""))</f>
        <v>MIKEY HMO</v>
      </c>
      <c r="U19" s="788" t="str" cm="1">
        <f t="array" ref="U19">_xlfn.TEXTJOIN(CHAR(10),TRUE,_xlfn._xlws.FILTER($C7:$C185,RIGHT(L7:L185,LEN("ASSJ"))="ASSJ",""))</f>
        <v>TRAM HMO</v>
      </c>
      <c r="V19" s="34" t="s">
        <v>326</v>
      </c>
      <c r="W19" s="772">
        <v>2</v>
      </c>
    </row>
    <row r="20" spans="3:23" ht="14.1" customHeight="1">
      <c r="C20" s="497" t="s">
        <v>327</v>
      </c>
      <c r="D20" s="504" t="s">
        <v>68</v>
      </c>
      <c r="E20" s="512">
        <v>628603</v>
      </c>
      <c r="F20" s="582" t="s">
        <v>69</v>
      </c>
      <c r="G20" s="576"/>
      <c r="H20" s="576"/>
      <c r="I20" s="576"/>
      <c r="J20" s="576"/>
      <c r="K20" s="583"/>
      <c r="L20" s="584"/>
      <c r="N20" s="776"/>
      <c r="O20" s="777"/>
      <c r="P20" s="750"/>
      <c r="Q20" s="750"/>
      <c r="R20" s="750"/>
      <c r="S20" s="750"/>
      <c r="T20" s="750"/>
      <c r="U20" s="788"/>
      <c r="W20" s="772"/>
    </row>
    <row r="21" spans="3:23" ht="14.1" customHeight="1">
      <c r="C21" s="513" t="s">
        <v>329</v>
      </c>
      <c r="D21" s="504" t="s">
        <v>71</v>
      </c>
      <c r="E21" s="113">
        <v>631416</v>
      </c>
      <c r="F21" s="582" t="s">
        <v>69</v>
      </c>
      <c r="G21" s="576"/>
      <c r="H21" s="576"/>
      <c r="I21" s="576"/>
      <c r="J21" s="576"/>
      <c r="K21" s="583"/>
      <c r="L21" s="584"/>
      <c r="N21" s="733" t="s">
        <v>330</v>
      </c>
      <c r="O21" s="777" t="str" cm="1">
        <f t="array" ref="O21">_xlfn.TEXTJOIN(CHAR(10),TRUE,IF(F112:F185="0800-1730",$C112:$C185,""))</f>
        <v>HENLEY HMO
Nathan INT</v>
      </c>
      <c r="P21" s="750" t="str" cm="1">
        <f t="array" ref="P21">_xlfn.TEXTJOIN(CHAR(10),TRUE,IF(G112:G185="0800-1730",$C112:$C185,""))</f>
        <v>LISA HMO
STEWART HMO
Elana INT
Tong INT</v>
      </c>
      <c r="Q21" s="750" t="str" cm="1">
        <f t="array" ref="Q21">_xlfn.TEXTJOIN(CHAR(10),TRUE,IF(H112:H185="0800-1730",$C112:$C185,""))</f>
        <v>TORI-ANN HMO
SHUNING HMO
Elana INT
Tong INT
Sewni INT</v>
      </c>
      <c r="R21" s="750" t="str" cm="1">
        <f t="array" ref="R21">_xlfn.TEXTJOIN(CHAR(10),TRUE,IF(I112:I185="0800-1730",$C112:$C185,""))</f>
        <v>ZOBIA HMO
BRIER HMO
Elana INT
Sewni INT</v>
      </c>
      <c r="S21" s="750" t="str" cm="1">
        <f t="array" ref="S21">_xlfn.TEXTJOIN(CHAR(10),TRUE,IF(J112:J185="0800-1730",$C112:$C185,""))</f>
        <v>NATHAN HMO
BRIER HMO
Elana INT
Sewni INT</v>
      </c>
      <c r="T21" s="750" t="str" cm="1">
        <f t="array" ref="T21">_xlfn.TEXTJOIN(CHAR(10),TRUE,IF(K112:K185="0800-1730",$C112:$C185,""))</f>
        <v>WILL HMO
WATHSALA HMO
Tong INT
Nathan INT</v>
      </c>
      <c r="U21" s="750" t="str" cm="1">
        <f t="array" ref="U21">_xlfn.TEXTJOIN(CHAR(10),TRUE,IF(L112:L185="0800-1730",$C112:$C185,""))</f>
        <v>MILOS HMO
MIKEY HMO
Tong INT
Nathan INT</v>
      </c>
      <c r="W21" s="772">
        <v>7</v>
      </c>
    </row>
    <row r="22" spans="3:23" ht="14.1" customHeight="1">
      <c r="C22" s="80" t="s">
        <v>331</v>
      </c>
      <c r="D22" s="514" t="s">
        <v>73</v>
      </c>
      <c r="E22" s="515">
        <v>613670</v>
      </c>
      <c r="F22" s="575" t="s">
        <v>34</v>
      </c>
      <c r="G22" s="565" t="s">
        <v>38</v>
      </c>
      <c r="H22" s="565" t="s">
        <v>33</v>
      </c>
      <c r="I22" s="565"/>
      <c r="J22" s="565" t="s">
        <v>37</v>
      </c>
      <c r="K22" s="675"/>
      <c r="L22" s="577"/>
      <c r="N22" s="734"/>
      <c r="O22" s="777"/>
      <c r="P22" s="750"/>
      <c r="Q22" s="750"/>
      <c r="R22" s="750"/>
      <c r="S22" s="750"/>
      <c r="T22" s="750"/>
      <c r="U22" s="750"/>
      <c r="W22" s="772"/>
    </row>
    <row r="23" spans="3:23" ht="14.1" customHeight="1">
      <c r="C23" s="511" t="s">
        <v>332</v>
      </c>
      <c r="D23" s="504" t="s">
        <v>76</v>
      </c>
      <c r="E23" s="516">
        <v>621988</v>
      </c>
      <c r="F23" s="682" t="s">
        <v>66</v>
      </c>
      <c r="G23" s="683"/>
      <c r="H23" s="215"/>
      <c r="I23" s="215"/>
      <c r="J23" s="644"/>
      <c r="K23" s="644"/>
      <c r="L23" s="684"/>
      <c r="N23" s="734"/>
      <c r="O23" s="777"/>
      <c r="P23" s="750"/>
      <c r="Q23" s="750"/>
      <c r="R23" s="750"/>
      <c r="S23" s="750"/>
      <c r="T23" s="750"/>
      <c r="U23" s="750"/>
      <c r="W23" s="772"/>
    </row>
    <row r="24" spans="3:23" ht="14.1" customHeight="1">
      <c r="C24" s="497" t="s">
        <v>333</v>
      </c>
      <c r="D24" s="497" t="s">
        <v>79</v>
      </c>
      <c r="E24" s="502">
        <v>609408</v>
      </c>
      <c r="F24" s="582" t="s">
        <v>77</v>
      </c>
      <c r="G24" s="576"/>
      <c r="H24" s="576"/>
      <c r="I24" s="576"/>
      <c r="J24" s="576"/>
      <c r="K24" s="576"/>
      <c r="L24" s="579"/>
      <c r="N24" s="734"/>
      <c r="O24" s="777"/>
      <c r="P24" s="750"/>
      <c r="Q24" s="750"/>
      <c r="R24" s="750"/>
      <c r="S24" s="750"/>
      <c r="T24" s="750"/>
      <c r="U24" s="750"/>
      <c r="W24" s="772"/>
    </row>
    <row r="25" spans="3:23" ht="14.1" customHeight="1">
      <c r="C25" s="511" t="s">
        <v>334</v>
      </c>
      <c r="D25" s="497" t="s">
        <v>81</v>
      </c>
      <c r="E25" s="516">
        <v>632646</v>
      </c>
      <c r="F25" s="572" t="s">
        <v>31</v>
      </c>
      <c r="G25" s="573"/>
      <c r="H25" s="573"/>
      <c r="I25" s="573"/>
      <c r="J25" s="573"/>
      <c r="K25" s="573"/>
      <c r="L25" s="574"/>
      <c r="N25" s="734"/>
      <c r="O25" s="777"/>
      <c r="P25" s="750"/>
      <c r="Q25" s="750"/>
      <c r="R25" s="750"/>
      <c r="S25" s="750"/>
      <c r="T25" s="750"/>
      <c r="U25" s="750"/>
      <c r="W25" s="772"/>
    </row>
    <row r="26" spans="3:23" ht="14.1" customHeight="1">
      <c r="C26" s="511" t="s">
        <v>335</v>
      </c>
      <c r="D26" s="497" t="s">
        <v>82</v>
      </c>
      <c r="E26" s="517">
        <v>634491</v>
      </c>
      <c r="F26" s="572" t="s">
        <v>80</v>
      </c>
      <c r="G26" s="573"/>
      <c r="H26" s="573"/>
      <c r="I26" s="573"/>
      <c r="J26" s="573"/>
      <c r="K26" s="573"/>
      <c r="L26" s="574"/>
      <c r="N26" s="734"/>
      <c r="O26" s="777"/>
      <c r="P26" s="750"/>
      <c r="Q26" s="750"/>
      <c r="R26" s="750"/>
      <c r="S26" s="750"/>
      <c r="T26" s="750"/>
      <c r="U26" s="750"/>
      <c r="W26" s="772"/>
    </row>
    <row r="27" spans="3:23" ht="14.1" customHeight="1" thickBot="1">
      <c r="C27" s="518" t="s">
        <v>83</v>
      </c>
      <c r="D27" s="518" t="s">
        <v>336</v>
      </c>
      <c r="E27" s="519"/>
      <c r="F27" s="316"/>
      <c r="G27" s="378"/>
      <c r="H27" s="378"/>
      <c r="I27" s="378"/>
      <c r="J27" s="378"/>
      <c r="K27" s="378"/>
      <c r="L27" s="319"/>
      <c r="N27" s="773"/>
      <c r="O27" s="777"/>
      <c r="P27" s="750"/>
      <c r="Q27" s="750"/>
      <c r="R27" s="750"/>
      <c r="S27" s="750"/>
      <c r="T27" s="750"/>
      <c r="U27" s="750"/>
      <c r="W27" s="772"/>
    </row>
    <row r="28" spans="3:23" ht="14.1" customHeight="1">
      <c r="C28" s="497" t="s">
        <v>337</v>
      </c>
      <c r="D28" s="497" t="s">
        <v>84</v>
      </c>
      <c r="E28" s="502">
        <v>502961</v>
      </c>
      <c r="F28" s="575" t="s">
        <v>89</v>
      </c>
      <c r="G28" s="565" t="s">
        <v>90</v>
      </c>
      <c r="H28" s="565"/>
      <c r="I28" s="565"/>
      <c r="J28" s="565"/>
      <c r="K28" s="576"/>
      <c r="L28" s="577"/>
      <c r="N28" s="778" t="s">
        <v>338</v>
      </c>
      <c r="O28" s="781" t="str" cm="1">
        <f t="array" ref="O28">_xlfn.TEXTJOIN(CHAR(10),TRUE,_xlfn._xlws.FILTER($C7:$C185,RIGHT(F7:F185,LEN("SWA"))="SWA",""))</f>
        <v/>
      </c>
      <c r="P28" s="770" t="str" cm="1">
        <f t="array" ref="P28">_xlfn.TEXTJOIN(CHAR(10),TRUE,_xlfn._xlws.FILTER($C7:$C185,RIGHT(G7:G185,LEN("SWA"))="SWA",""))</f>
        <v/>
      </c>
      <c r="Q28" s="770" t="str" cm="1">
        <f t="array" ref="Q28">_xlfn.TEXTJOIN(CHAR(10),TRUE,_xlfn._xlws.FILTER($C7:$C185,RIGHT(H7:H185,LEN("SWA"))="SWA",""))</f>
        <v>HEATHER CMO
WATHSALA HMO</v>
      </c>
      <c r="R28" s="770" t="str" cm="1">
        <f t="array" ref="R28">_xlfn.TEXTJOIN(CHAR(10),TRUE,_xlfn._xlws.FILTER($C7:$C185,RIGHT(I7:I185,LEN("SWA"))="SWA",""))</f>
        <v/>
      </c>
      <c r="S28" s="770" t="str" cm="1">
        <f t="array" ref="S28">_xlfn.TEXTJOIN(CHAR(10),TRUE,_xlfn._xlws.FILTER($C7:$C185,RIGHT(J7:J185,LEN("SWA"))="SWA",""))</f>
        <v>RACHEL JR</v>
      </c>
      <c r="T28" s="770" t="str" cm="1">
        <f t="array" ref="T28">_xlfn.TEXTJOIN(CHAR(10),TRUE,_xlfn._xlws.FILTER($C7:$C185,RIGHT(K7:K185,LEN("SWA"))="SWA",""))</f>
        <v>SHIV IR</v>
      </c>
      <c r="U28" s="771" t="str" cm="1">
        <f t="array" ref="U28">_xlfn.TEXTJOIN(CHAR(10),TRUE,_xlfn._xlws.FILTER($C7:$C185,RIGHT(L7:L185,LEN("SWA"))="SWA",""))</f>
        <v/>
      </c>
      <c r="V28" s="34" t="s">
        <v>339</v>
      </c>
      <c r="W28" s="772">
        <v>3</v>
      </c>
    </row>
    <row r="29" spans="3:23" ht="14.1" customHeight="1">
      <c r="C29" s="497" t="s">
        <v>340</v>
      </c>
      <c r="D29" s="497" t="s">
        <v>96</v>
      </c>
      <c r="E29" s="502">
        <v>601096</v>
      </c>
      <c r="F29" s="589" t="s">
        <v>602</v>
      </c>
      <c r="G29" s="590" t="s">
        <v>37</v>
      </c>
      <c r="H29" s="590" t="s">
        <v>33</v>
      </c>
      <c r="I29" s="565" t="s">
        <v>44</v>
      </c>
      <c r="J29" s="590"/>
      <c r="K29" s="675"/>
      <c r="L29" s="577"/>
      <c r="N29" s="779"/>
      <c r="O29" s="782"/>
      <c r="P29" s="740"/>
      <c r="Q29" s="740"/>
      <c r="R29" s="740"/>
      <c r="S29" s="740"/>
      <c r="T29" s="740"/>
      <c r="U29" s="764"/>
      <c r="W29" s="772"/>
    </row>
    <row r="30" spans="3:23" ht="14.1" customHeight="1" thickBot="1">
      <c r="C30" s="497" t="s">
        <v>341</v>
      </c>
      <c r="D30" s="497" t="s">
        <v>97</v>
      </c>
      <c r="E30" s="502">
        <v>260509</v>
      </c>
      <c r="F30" s="591" t="s">
        <v>359</v>
      </c>
      <c r="G30" s="565"/>
      <c r="H30" s="565" t="s">
        <v>33</v>
      </c>
      <c r="I30" s="565" t="s">
        <v>32</v>
      </c>
      <c r="J30" s="565" t="s">
        <v>40</v>
      </c>
      <c r="K30" s="675"/>
      <c r="L30" s="577"/>
      <c r="N30" s="780"/>
      <c r="O30" s="783"/>
      <c r="P30" s="741"/>
      <c r="Q30" s="741"/>
      <c r="R30" s="741"/>
      <c r="S30" s="741"/>
      <c r="T30" s="741"/>
      <c r="U30" s="765"/>
      <c r="W30" s="772"/>
    </row>
    <row r="31" spans="3:23" ht="14.1" customHeight="1" thickBot="1">
      <c r="C31" s="504" t="s">
        <v>343</v>
      </c>
      <c r="D31" s="504" t="s">
        <v>99</v>
      </c>
      <c r="E31" s="502">
        <v>603237</v>
      </c>
      <c r="F31" s="576"/>
      <c r="G31" s="576"/>
      <c r="H31" s="565" t="s">
        <v>43</v>
      </c>
      <c r="I31" s="565" t="s">
        <v>33</v>
      </c>
      <c r="J31" s="565" t="s">
        <v>46</v>
      </c>
      <c r="K31" s="675"/>
      <c r="L31" s="565"/>
      <c r="N31" s="101"/>
      <c r="O31" s="101"/>
      <c r="P31" s="101"/>
      <c r="Q31" s="101"/>
      <c r="R31" s="101"/>
      <c r="S31" s="101"/>
      <c r="T31" s="101"/>
      <c r="U31" s="101"/>
      <c r="V31" s="101"/>
      <c r="W31" s="101"/>
    </row>
    <row r="32" spans="3:23" ht="14.1" customHeight="1">
      <c r="C32" s="520" t="s">
        <v>344</v>
      </c>
      <c r="D32" s="520" t="s">
        <v>101</v>
      </c>
      <c r="E32" s="502">
        <v>613781</v>
      </c>
      <c r="F32" s="582"/>
      <c r="G32" s="565" t="s">
        <v>33</v>
      </c>
      <c r="H32" s="565" t="s">
        <v>35</v>
      </c>
      <c r="I32" s="576"/>
      <c r="J32" s="565" t="s">
        <v>43</v>
      </c>
      <c r="K32" s="576"/>
      <c r="L32" s="579"/>
      <c r="N32" s="103" t="s">
        <v>345</v>
      </c>
      <c r="O32" s="98" t="str">
        <f>F62</f>
        <v>REZA</v>
      </c>
      <c r="P32" s="98" t="str">
        <f>G62</f>
        <v>REZA</v>
      </c>
      <c r="Q32" s="98" t="str">
        <f t="shared" ref="Q32:S32" si="9">H62</f>
        <v>VALERIE</v>
      </c>
      <c r="R32" s="98" t="str">
        <f t="shared" si="9"/>
        <v>REZA</v>
      </c>
      <c r="S32" s="98" t="str">
        <f t="shared" si="9"/>
        <v>JENNY</v>
      </c>
      <c r="T32" s="99"/>
      <c r="U32" s="100"/>
      <c r="W32" s="89"/>
    </row>
    <row r="33" spans="3:23" ht="14.1" customHeight="1" thickBot="1">
      <c r="C33" s="497" t="s">
        <v>346</v>
      </c>
      <c r="D33" s="497" t="s">
        <v>102</v>
      </c>
      <c r="E33" s="502">
        <v>611691</v>
      </c>
      <c r="F33" s="576" t="s">
        <v>2</v>
      </c>
      <c r="G33" s="565" t="s">
        <v>36</v>
      </c>
      <c r="H33" s="566"/>
      <c r="I33" s="565"/>
      <c r="J33" s="576" t="s">
        <v>2</v>
      </c>
      <c r="K33" s="675" t="s">
        <v>37</v>
      </c>
      <c r="L33" s="565" t="s">
        <v>47</v>
      </c>
      <c r="N33" s="947" t="s">
        <v>347</v>
      </c>
      <c r="O33" s="521" t="str" cm="1">
        <f t="array" ref="O33">_xlfn.TEXTJOIN(CHAR(10),TRUE,_xlfn._xlws.FILTER($C7:$C185,RIGHT(F7:F185,LEN("CSO"))="CSO",""))</f>
        <v>JACQUELINE SMS</v>
      </c>
      <c r="P33" s="948" t="str" cm="1">
        <f t="array" ref="P33">_xlfn.TEXTJOIN(CHAR(10),TRUE,_xlfn._xlws.FILTER($C7:$C185,RIGHT(G7:G185,LEN("CSO"))="CSO",""))</f>
        <v>DANIEL SMS</v>
      </c>
      <c r="Q33" s="948" t="str" cm="1">
        <f t="array" ref="Q33">_xlfn.TEXTJOIN(CHAR(10),TRUE,_xlfn._xlws.FILTER($C7:$C185,RIGHT(H7:H185,LEN("CSO"))="CSO",""))</f>
        <v>PAIGE SMS</v>
      </c>
      <c r="R33" s="948" t="str" cm="1">
        <f t="array" ref="R33">_xlfn.TEXTJOIN(CHAR(10),TRUE,_xlfn._xlws.FILTER($C7:$C185,RIGHT(I7:I185,LEN("CSO"))="CSO",""))</f>
        <v>VARUNA SMS</v>
      </c>
      <c r="S33" s="948" t="str" cm="1">
        <f t="array" ref="S33">_xlfn.TEXTJOIN(CHAR(10),TRUE,_xlfn._xlws.FILTER($C7:$C185,RIGHT(J7:J185,LEN("CSO"))="CSO",""))</f>
        <v>ABI SMS</v>
      </c>
      <c r="T33" s="948"/>
      <c r="U33" s="949"/>
      <c r="W33" s="89"/>
    </row>
    <row r="34" spans="3:23" ht="14.1" customHeight="1" thickBot="1">
      <c r="C34" s="497" t="s">
        <v>348</v>
      </c>
      <c r="D34" s="504" t="s">
        <v>103</v>
      </c>
      <c r="E34" s="502">
        <v>634258</v>
      </c>
      <c r="F34" s="595" t="s">
        <v>30</v>
      </c>
      <c r="G34" s="596"/>
      <c r="H34" s="596"/>
      <c r="I34" s="596"/>
      <c r="J34" s="596"/>
      <c r="K34" s="596"/>
      <c r="L34" s="597"/>
      <c r="O34" s="89"/>
      <c r="W34" s="89"/>
    </row>
    <row r="35" spans="3:23" ht="14.1" customHeight="1" thickBot="1">
      <c r="C35" s="504" t="s">
        <v>349</v>
      </c>
      <c r="D35" s="504" t="s">
        <v>104</v>
      </c>
      <c r="E35" s="506">
        <v>618946</v>
      </c>
      <c r="F35" s="610"/>
      <c r="G35" s="565"/>
      <c r="H35" s="565" t="s">
        <v>40</v>
      </c>
      <c r="I35" s="565"/>
      <c r="J35" s="576"/>
      <c r="K35" s="675" t="s">
        <v>38</v>
      </c>
      <c r="L35" s="577" t="s">
        <v>35</v>
      </c>
      <c r="O35" s="784" t="s">
        <v>350</v>
      </c>
      <c r="P35" s="785"/>
      <c r="Q35" s="785"/>
      <c r="R35" s="785"/>
      <c r="S35" s="785"/>
      <c r="T35" s="785"/>
      <c r="U35" s="786"/>
      <c r="W35" s="89" t="s">
        <v>351</v>
      </c>
    </row>
    <row r="36" spans="3:23" ht="14.1" customHeight="1">
      <c r="C36" s="504" t="s">
        <v>352</v>
      </c>
      <c r="D36" s="504" t="s">
        <v>109</v>
      </c>
      <c r="E36" s="502">
        <v>634702</v>
      </c>
      <c r="F36" s="592" t="s">
        <v>98</v>
      </c>
      <c r="G36" s="593"/>
      <c r="H36" s="593"/>
      <c r="I36" s="593"/>
      <c r="J36" s="593"/>
      <c r="K36" s="675"/>
      <c r="L36" s="594"/>
      <c r="N36" s="104" t="s">
        <v>303</v>
      </c>
      <c r="O36" s="105" t="str">
        <f t="shared" ref="O36:U36" si="10">INDEX($C7:$L189,MATCH("*Pgc",F7:F192,0),1)</f>
        <v>AFTAB SMS</v>
      </c>
      <c r="P36" s="99" t="str">
        <f t="shared" si="10"/>
        <v>ANDY L  SMS</v>
      </c>
      <c r="Q36" s="99" t="str">
        <f t="shared" si="10"/>
        <v>YAN SMS</v>
      </c>
      <c r="R36" s="99" t="str">
        <f t="shared" si="10"/>
        <v>BEN SMS</v>
      </c>
      <c r="S36" s="99" t="str">
        <f t="shared" si="10"/>
        <v>TARA K. SMS</v>
      </c>
      <c r="T36" s="99" t="str">
        <f t="shared" si="10"/>
        <v>DIANA SMS</v>
      </c>
      <c r="U36" s="100" t="str">
        <f t="shared" si="10"/>
        <v>STEVE T SMS</v>
      </c>
      <c r="V36" s="34" t="s">
        <v>293</v>
      </c>
      <c r="W36" s="772">
        <v>5</v>
      </c>
    </row>
    <row r="37" spans="3:23" ht="14.1" customHeight="1">
      <c r="C37" s="78" t="s">
        <v>353</v>
      </c>
      <c r="D37" s="504" t="s">
        <v>110</v>
      </c>
      <c r="E37" s="498">
        <v>648587</v>
      </c>
      <c r="G37" s="65"/>
      <c r="H37" s="65" t="s">
        <v>33</v>
      </c>
      <c r="I37" s="65" t="s">
        <v>38</v>
      </c>
      <c r="J37" s="565"/>
      <c r="K37" s="675" t="s">
        <v>41</v>
      </c>
      <c r="L37" s="604"/>
      <c r="N37" s="522" t="s">
        <v>305</v>
      </c>
      <c r="O37" s="523" t="str">
        <f t="shared" ref="O37:U37" si="11">INDEX($C7:$L189,MATCH("*PAC",F7:F191,0),1)</f>
        <v>RICHARD SMS</v>
      </c>
      <c r="P37" s="500" t="str">
        <f t="shared" si="11"/>
        <v>ERICA SMS</v>
      </c>
      <c r="Q37" s="500" t="str">
        <f t="shared" si="11"/>
        <v>STEVE T SMS</v>
      </c>
      <c r="R37" s="500" t="str">
        <f t="shared" si="11"/>
        <v>QAIS SMS</v>
      </c>
      <c r="S37" s="500" t="str">
        <f t="shared" si="11"/>
        <v>JACQUELINE SMS</v>
      </c>
      <c r="T37" s="500" t="str">
        <f t="shared" si="11"/>
        <v>SCOTT SMS</v>
      </c>
      <c r="U37" s="501" t="str">
        <f t="shared" si="11"/>
        <v>NICOLA SMS</v>
      </c>
      <c r="V37" s="34" t="s">
        <v>292</v>
      </c>
      <c r="W37" s="772"/>
    </row>
    <row r="38" spans="3:23" ht="14.1" customHeight="1">
      <c r="C38" s="78" t="s">
        <v>354</v>
      </c>
      <c r="D38" s="504" t="s">
        <v>111</v>
      </c>
      <c r="E38" s="498">
        <v>637933</v>
      </c>
      <c r="F38" s="575" t="s">
        <v>43</v>
      </c>
      <c r="G38" s="566" t="s">
        <v>50</v>
      </c>
      <c r="H38" s="566" t="s">
        <v>34</v>
      </c>
      <c r="I38" s="576"/>
      <c r="J38" s="576"/>
      <c r="K38" s="675"/>
      <c r="L38" s="598"/>
      <c r="N38" s="524" t="s">
        <v>307</v>
      </c>
      <c r="O38" s="523" t="str">
        <f t="shared" ref="O38:U38" si="12">INDEX($C7:$L189,MATCH("*PRC",F7:F192,0),1)</f>
        <v>TITUS CMO</v>
      </c>
      <c r="P38" s="500" t="str">
        <f t="shared" si="12"/>
        <v>PAIGE SMS</v>
      </c>
      <c r="Q38" s="500" t="str">
        <f t="shared" si="12"/>
        <v>STEPHEN G SMS</v>
      </c>
      <c r="R38" s="500" t="str">
        <f t="shared" si="12"/>
        <v>QING SMS</v>
      </c>
      <c r="S38" s="500" t="str">
        <f t="shared" si="12"/>
        <v>SUHAIL SMS</v>
      </c>
      <c r="T38" s="500" t="str">
        <f t="shared" si="12"/>
        <v>NICOLA SMS</v>
      </c>
      <c r="U38" s="501" t="str">
        <f t="shared" si="12"/>
        <v>SCOTT SMS</v>
      </c>
      <c r="V38" s="34" t="s">
        <v>291</v>
      </c>
      <c r="W38" s="772"/>
    </row>
    <row r="39" spans="3:23" ht="14.1" customHeight="1">
      <c r="C39" s="504" t="s">
        <v>355</v>
      </c>
      <c r="D39" s="504" t="s">
        <v>112</v>
      </c>
      <c r="E39" s="506">
        <v>634394</v>
      </c>
      <c r="F39" s="581" t="s">
        <v>33</v>
      </c>
      <c r="G39" s="66"/>
      <c r="H39" s="566" t="s">
        <v>36</v>
      </c>
      <c r="I39" s="576"/>
      <c r="J39" s="566" t="s">
        <v>47</v>
      </c>
      <c r="K39" s="576"/>
      <c r="L39" s="579"/>
      <c r="N39" s="525" t="s">
        <v>309</v>
      </c>
      <c r="O39" s="523" t="str">
        <f t="shared" ref="O39:U39" si="13">INDEX($C7:$L189,MATCH("*PSSC",F7:F192,0),1)</f>
        <v>ERICA SMS</v>
      </c>
      <c r="P39" s="500" t="str">
        <f t="shared" si="13"/>
        <v>JACQUELINE SMS</v>
      </c>
      <c r="Q39" s="500" t="str">
        <f t="shared" si="13"/>
        <v>DANIEL SMS</v>
      </c>
      <c r="R39" s="500" t="str">
        <f t="shared" si="13"/>
        <v>JULIA SMS</v>
      </c>
      <c r="S39" s="500" t="str">
        <f t="shared" si="13"/>
        <v>MADDY SMS</v>
      </c>
      <c r="T39" s="500" t="str">
        <f t="shared" si="13"/>
        <v>STEVE T SMS</v>
      </c>
      <c r="U39" s="501" t="str">
        <f t="shared" si="13"/>
        <v>DIANA SMS</v>
      </c>
      <c r="V39" s="34" t="s">
        <v>295</v>
      </c>
      <c r="W39" s="772"/>
    </row>
    <row r="40" spans="3:23" ht="14.1" customHeight="1">
      <c r="C40" s="497" t="s">
        <v>356</v>
      </c>
      <c r="D40" s="526" t="s">
        <v>113</v>
      </c>
      <c r="E40" s="502">
        <v>605686</v>
      </c>
      <c r="F40" s="611"/>
      <c r="G40" s="600" t="s">
        <v>41</v>
      </c>
      <c r="H40" s="601" t="s">
        <v>33</v>
      </c>
      <c r="I40" s="600" t="s">
        <v>34</v>
      </c>
      <c r="J40" s="600"/>
      <c r="K40" s="700"/>
      <c r="L40" s="603"/>
      <c r="N40" s="527" t="s">
        <v>357</v>
      </c>
      <c r="O40" s="523" t="str">
        <f t="shared" ref="O40:U40" si="14">INDEX($C7:$L215,MATCH("*PCC*",F7:F203,0),1)</f>
        <v>AMY SMS</v>
      </c>
      <c r="P40" s="500" t="e">
        <f t="shared" si="14"/>
        <v>#N/A</v>
      </c>
      <c r="Q40" s="500" t="str">
        <f>INDEX($C7:$L215,MATCH("*PCC*",H7:H200,0),1)</f>
        <v>BARRY SMS</v>
      </c>
      <c r="R40" s="500" t="str">
        <f t="shared" si="14"/>
        <v>JEREMY SMS</v>
      </c>
      <c r="S40" s="500" t="str">
        <f t="shared" si="14"/>
        <v>BRAD SMS</v>
      </c>
      <c r="T40" s="500" t="e">
        <f t="shared" si="14"/>
        <v>#N/A</v>
      </c>
      <c r="U40" s="501" t="e">
        <f t="shared" si="14"/>
        <v>#N/A</v>
      </c>
      <c r="V40" s="34" t="s">
        <v>294</v>
      </c>
      <c r="W40" s="772"/>
    </row>
    <row r="41" spans="3:23" ht="14.1" customHeight="1">
      <c r="C41" s="79" t="s">
        <v>358</v>
      </c>
      <c r="D41" s="497" t="s">
        <v>114</v>
      </c>
      <c r="E41" s="502">
        <v>119385</v>
      </c>
      <c r="F41" s="566"/>
      <c r="G41" s="566" t="s">
        <v>44</v>
      </c>
      <c r="H41" s="566"/>
      <c r="I41" s="565" t="s">
        <v>40</v>
      </c>
      <c r="J41" s="565"/>
      <c r="K41" s="576"/>
      <c r="L41" s="579"/>
      <c r="N41" s="789" t="s">
        <v>360</v>
      </c>
      <c r="O41" s="787" t="str" cm="1">
        <f t="array" ref="O41">_xlfn.TEXTJOIN(CHAR(10),TRUE,IF(F7:F111="1430-0000 PFC",$C7:$C111,""),IF(F7:F111="1400-0000 PFC",$C7:$C111,""),IF(F7:F111="1430-0000",$C7:$C111,""))</f>
        <v>ANA CMO
ADI JR</v>
      </c>
      <c r="P41" s="750" t="str" cm="1">
        <f t="array" ref="P41">_xlfn.TEXTJOIN(CHAR(10),TRUE,IF(G7:G111="1430-0000 PFC",$C7:$C111,""),IF(G7:G111="1400-0000 PFC",$C7:$C111,""),IF(G7:G111="1430-0000",$C7:$C111,""))</f>
        <v>SUSAN SMS
HANNAH IR
CLARE IR
ADI JR</v>
      </c>
      <c r="Q41" s="750" t="str" cm="1">
        <f t="array" ref="Q41">_xlfn.TEXTJOIN(CHAR(10),TRUE,IF(H7:H111="1430-0000 PFC",$C7:$C111,""),IF(H7:H111="1400-0000 PFC",$C7:$C111,""),IF(H7:H111="1430-0000",$C7:$C111,""))</f>
        <v>MARK SR
JOSHUA IR
DESLIN JR
CRAIG JR</v>
      </c>
      <c r="R41" s="750" t="str" cm="1">
        <f t="array" ref="R41">_xlfn.TEXTJOIN(CHAR(10),TRUE,IF(I7:I111="1430-0000 PFC",$C7:$C111,""),IF(I7:I111="1400-0000 PFC",$C7:$C111,""),IF(I7:I111="1430-0000",$C7:$C111,""))</f>
        <v>TARA J. SMS
MARK SR
HANNAH IR
JOSHUA IR
DESLIN JR</v>
      </c>
      <c r="S41" s="750" t="str" cm="1">
        <f t="array" ref="S41">_xlfn.TEXTJOIN(CHAR(10),TRUE,IF(J7:J111="1430-0000 PFC",$C7:$C111,""),IF(J7:J111="1400-0000 PFC",$C7:$C111,""),IF(J7:J111="1430-0000",$C7:$C111,""))</f>
        <v>TITUS CMO
SALEEM CMO
MARK SR
HANNAH IR
JOSHUA IR</v>
      </c>
      <c r="T41" s="750" t="str" cm="1">
        <f t="array" ref="T41">_xlfn.TEXTJOIN(CHAR(10),TRUE,IF(K7:K111="1430-0000 PFC",$C7:$C111,""),IF(K7:K111="1400-0000 PFC",$C7:$C111,""),IF(K7:K111="1430-0000",$C7:$C111,""))</f>
        <v>AMY SR
MIKHAR IR
CHRISTOPHER JR</v>
      </c>
      <c r="U41" s="788" t="str" cm="1">
        <f t="array" ref="U41">_xlfn.TEXTJOIN(CHAR(10),TRUE,IF(L7:L111="1430-0000 PFC",$C7:$C111,""),IF(L7:L111="1400-0000 PFC",$C7:$C111,""),IF(L7:L111="1430-0000",$C7:$C111,""))</f>
        <v>AMY SR
MIKHAR IR
POH JR</v>
      </c>
      <c r="W41" s="772">
        <v>7</v>
      </c>
    </row>
    <row r="42" spans="3:23" ht="14.1" customHeight="1">
      <c r="C42" s="504" t="s">
        <v>361</v>
      </c>
      <c r="D42" s="504" t="s">
        <v>116</v>
      </c>
      <c r="E42" s="502">
        <v>623962</v>
      </c>
      <c r="F42" s="575"/>
      <c r="G42" s="66"/>
      <c r="H42" s="65"/>
      <c r="I42" s="65" t="s">
        <v>50</v>
      </c>
      <c r="J42" s="565"/>
      <c r="K42" s="675"/>
      <c r="L42" s="604"/>
      <c r="N42" s="790"/>
      <c r="O42" s="787"/>
      <c r="P42" s="750"/>
      <c r="Q42" s="750"/>
      <c r="R42" s="750"/>
      <c r="S42" s="750"/>
      <c r="T42" s="750"/>
      <c r="U42" s="788"/>
      <c r="W42" s="772"/>
    </row>
    <row r="43" spans="3:23" ht="14.1" customHeight="1">
      <c r="C43" s="497" t="s">
        <v>362</v>
      </c>
      <c r="D43" s="504" t="s">
        <v>117</v>
      </c>
      <c r="E43" s="508">
        <v>613725</v>
      </c>
      <c r="F43" s="576"/>
      <c r="G43" s="565" t="s">
        <v>35</v>
      </c>
      <c r="H43" s="565" t="s">
        <v>50</v>
      </c>
      <c r="I43" s="565"/>
      <c r="J43" s="565" t="s">
        <v>41</v>
      </c>
      <c r="K43" s="675"/>
      <c r="L43" s="577"/>
      <c r="N43" s="790"/>
      <c r="O43" s="787"/>
      <c r="P43" s="750"/>
      <c r="Q43" s="750"/>
      <c r="R43" s="750"/>
      <c r="S43" s="750"/>
      <c r="T43" s="750"/>
      <c r="U43" s="788"/>
      <c r="W43" s="772"/>
    </row>
    <row r="44" spans="3:23" ht="14.1" customHeight="1">
      <c r="C44" s="497" t="s">
        <v>363</v>
      </c>
      <c r="D44" s="504" t="s">
        <v>118</v>
      </c>
      <c r="E44" s="516">
        <v>612264</v>
      </c>
      <c r="F44" s="575"/>
      <c r="G44" s="565"/>
      <c r="H44" s="565"/>
      <c r="I44" s="565" t="s">
        <v>36</v>
      </c>
      <c r="J44" s="565" t="s">
        <v>33</v>
      </c>
      <c r="K44" s="675"/>
      <c r="L44" s="577"/>
      <c r="N44" s="790"/>
      <c r="O44" s="787"/>
      <c r="P44" s="750"/>
      <c r="Q44" s="750"/>
      <c r="R44" s="750"/>
      <c r="S44" s="750"/>
      <c r="T44" s="750"/>
      <c r="U44" s="788"/>
      <c r="W44" s="772"/>
    </row>
    <row r="45" spans="3:23" ht="14.1" customHeight="1">
      <c r="C45" s="497" t="s">
        <v>364</v>
      </c>
      <c r="D45" s="497" t="s">
        <v>119</v>
      </c>
      <c r="E45" s="502">
        <v>643950</v>
      </c>
      <c r="F45" s="575" t="s">
        <v>36</v>
      </c>
      <c r="G45" s="576"/>
      <c r="H45" s="565" t="s">
        <v>47</v>
      </c>
      <c r="I45" s="576"/>
      <c r="J45" s="576"/>
      <c r="K45" s="675"/>
      <c r="L45" s="577"/>
      <c r="N45" s="790"/>
      <c r="O45" s="787"/>
      <c r="P45" s="750"/>
      <c r="Q45" s="750"/>
      <c r="R45" s="750"/>
      <c r="S45" s="750"/>
      <c r="T45" s="750"/>
      <c r="U45" s="788"/>
      <c r="W45" s="772"/>
    </row>
    <row r="46" spans="3:23" ht="14.1" customHeight="1">
      <c r="C46" s="79" t="s">
        <v>365</v>
      </c>
      <c r="D46" s="723" t="s">
        <v>120</v>
      </c>
      <c r="E46" s="502">
        <v>618881</v>
      </c>
      <c r="F46" s="575" t="s">
        <v>37</v>
      </c>
      <c r="G46" s="565"/>
      <c r="H46" s="565"/>
      <c r="I46" s="565" t="s">
        <v>33</v>
      </c>
      <c r="J46" s="565"/>
      <c r="K46" s="675"/>
      <c r="L46" s="577"/>
      <c r="N46" s="790"/>
      <c r="O46" s="787"/>
      <c r="P46" s="750"/>
      <c r="Q46" s="750"/>
      <c r="R46" s="750"/>
      <c r="S46" s="750"/>
      <c r="T46" s="750"/>
      <c r="U46" s="788"/>
      <c r="W46" s="772"/>
    </row>
    <row r="47" spans="3:23" ht="14.1" customHeight="1">
      <c r="C47" s="497" t="s">
        <v>366</v>
      </c>
      <c r="D47" s="497" t="s">
        <v>122</v>
      </c>
      <c r="E47" s="508">
        <v>141658</v>
      </c>
      <c r="F47" s="575"/>
      <c r="G47" s="565" t="s">
        <v>603</v>
      </c>
      <c r="H47" s="565" t="s">
        <v>160</v>
      </c>
      <c r="I47" s="565"/>
      <c r="J47" s="565"/>
      <c r="K47" s="675"/>
      <c r="L47" s="577"/>
      <c r="N47" s="791"/>
      <c r="O47" s="787"/>
      <c r="P47" s="750"/>
      <c r="Q47" s="750"/>
      <c r="R47" s="750"/>
      <c r="S47" s="750"/>
      <c r="T47" s="750"/>
      <c r="U47" s="788"/>
      <c r="W47" s="101"/>
    </row>
    <row r="48" spans="3:23" ht="14.1" customHeight="1">
      <c r="C48" s="511" t="s">
        <v>367</v>
      </c>
      <c r="D48" s="504" t="s">
        <v>123</v>
      </c>
      <c r="E48" s="516">
        <v>654004</v>
      </c>
      <c r="F48" s="582"/>
      <c r="G48" s="565" t="s">
        <v>32</v>
      </c>
      <c r="H48" s="565" t="s">
        <v>33</v>
      </c>
      <c r="I48" s="576"/>
      <c r="J48" s="576"/>
      <c r="K48" s="576"/>
      <c r="L48" s="579"/>
      <c r="N48" s="528" t="s">
        <v>368</v>
      </c>
      <c r="O48" s="523" t="e">
        <f t="shared" ref="O48:U48" si="15">INDEX($C7:$L189,MATCH("*PHJ*",F7:F192,0),1)</f>
        <v>#N/A</v>
      </c>
      <c r="P48" s="500" t="str">
        <f t="shared" si="15"/>
        <v>CHRISTOPHER JR</v>
      </c>
      <c r="Q48" s="500" t="str">
        <f t="shared" si="15"/>
        <v>JESSICA JR</v>
      </c>
      <c r="R48" s="500" t="str">
        <f t="shared" si="15"/>
        <v>CRAIG JR</v>
      </c>
      <c r="S48" s="500" t="str">
        <f t="shared" si="15"/>
        <v>ISOBEL JR</v>
      </c>
      <c r="T48" s="500" t="str">
        <f t="shared" si="15"/>
        <v>LAURA JR</v>
      </c>
      <c r="U48" s="501" t="str">
        <f t="shared" si="15"/>
        <v>CHRISTOPHER JR</v>
      </c>
      <c r="V48" s="34" t="s">
        <v>369</v>
      </c>
      <c r="W48" s="89">
        <v>1</v>
      </c>
    </row>
    <row r="49" spans="3:23" ht="14.1" customHeight="1">
      <c r="C49" s="511" t="s">
        <v>370</v>
      </c>
      <c r="D49" s="504" t="s">
        <v>124</v>
      </c>
      <c r="E49" s="676">
        <v>655191</v>
      </c>
      <c r="F49" s="576"/>
      <c r="G49" s="565" t="s">
        <v>43</v>
      </c>
      <c r="H49" s="565" t="s">
        <v>46</v>
      </c>
      <c r="I49" s="565"/>
      <c r="J49" s="576"/>
      <c r="K49" s="675"/>
      <c r="L49" s="577"/>
      <c r="N49" s="792" t="s">
        <v>325</v>
      </c>
      <c r="O49" s="787" t="str" cm="1">
        <f t="array" ref="O49">_xlfn.TEXTJOIN(CHAR(10),TRUE,_xlfn._xlws.FILTER($C7:$C185,RIGHT(F7:F185,LEN("pSSJ"))="pSSJ",""))</f>
        <v>VISHNU HMO</v>
      </c>
      <c r="P49" s="750" t="str" cm="1">
        <f t="array" ref="P49">_xlfn.TEXTJOIN(CHAR(10),TRUE,_xlfn._xlws.FILTER($C7:$C185,RIGHT(G7:G185,LEN("pSSJ"))="pSSJ",""))</f>
        <v/>
      </c>
      <c r="Q49" s="750" t="str" cm="1">
        <f t="array" ref="Q49">_xlfn.TEXTJOIN(CHAR(10),TRUE,_xlfn._xlws.FILTER($C7:$C185,RIGHT(H7:H185,LEN("pSSJ"))="pSSJ",""))</f>
        <v>MIKEY HMO</v>
      </c>
      <c r="R49" s="750" t="str" cm="1">
        <f t="array" ref="R49">_xlfn.TEXTJOIN(CHAR(10),TRUE,_xlfn._xlws.FILTER($C7:$C185,RIGHT(I7:I185,LEN("pSSJ"))="pSSJ",""))</f>
        <v>AARON G. HMO</v>
      </c>
      <c r="S49" s="750" t="str" cm="1">
        <f t="array" ref="S49">_xlfn.TEXTJOIN(CHAR(10),TRUE,_xlfn._xlws.FILTER($C7:$C185,RIGHT(J7:J185,LEN("pSSJ"))="pSSJ",""))</f>
        <v>HARRISON HMO</v>
      </c>
      <c r="T49" s="750" t="str" cm="1">
        <f t="array" ref="T49">_xlfn.TEXTJOIN(CHAR(10),TRUE,_xlfn._xlws.FILTER($C7:$C185,RIGHT(K7:K185,LEN("pSSJ"))="pSSJ",""))</f>
        <v>FADIA HMO</v>
      </c>
      <c r="U49" s="788" t="str" cm="1">
        <f t="array" ref="U49">_xlfn.TEXTJOIN(CHAR(10),TRUE,_xlfn._xlws.FILTER($C7:$C185,RIGHT(L7:L185,LEN("pSSJ"))="pSSJ",""))</f>
        <v>MARYAM HMO</v>
      </c>
      <c r="V49" s="34" t="s">
        <v>372</v>
      </c>
      <c r="W49" s="772">
        <v>2</v>
      </c>
    </row>
    <row r="50" spans="3:23" ht="14.1" customHeight="1">
      <c r="C50" s="511" t="s">
        <v>373</v>
      </c>
      <c r="D50" s="504" t="s">
        <v>126</v>
      </c>
      <c r="E50" s="676">
        <v>653055</v>
      </c>
      <c r="F50" s="611" t="s">
        <v>33</v>
      </c>
      <c r="G50" s="576"/>
      <c r="H50" s="75"/>
      <c r="I50" s="75"/>
      <c r="J50" s="600" t="s">
        <v>36</v>
      </c>
      <c r="K50" s="700"/>
      <c r="L50" s="613"/>
      <c r="N50" s="792"/>
      <c r="O50" s="787"/>
      <c r="P50" s="750"/>
      <c r="Q50" s="750"/>
      <c r="R50" s="750"/>
      <c r="S50" s="750"/>
      <c r="T50" s="750"/>
      <c r="U50" s="788"/>
      <c r="W50" s="772"/>
    </row>
    <row r="51" spans="3:23" ht="14.1" customHeight="1">
      <c r="C51" s="497" t="s">
        <v>374</v>
      </c>
      <c r="D51" s="340" t="s">
        <v>128</v>
      </c>
      <c r="E51" s="678">
        <v>650059</v>
      </c>
      <c r="F51" s="611"/>
      <c r="G51" s="600" t="s">
        <v>33</v>
      </c>
      <c r="H51" s="612"/>
      <c r="I51" s="600" t="s">
        <v>46</v>
      </c>
      <c r="J51" s="600"/>
      <c r="K51" s="700"/>
      <c r="L51" s="603"/>
      <c r="N51" s="733" t="s">
        <v>330</v>
      </c>
      <c r="O51" s="736" t="str" cm="1">
        <f t="array" ref="O51">_xlfn.TEXTJOIN(CHAR(10),TRUE,IF(F112:F185="1430-0000",$C112:$C185,""))</f>
        <v>AARON B. HMO
ZOBIA HMO
BRIER HMO
Jason INT
Sewni INT</v>
      </c>
      <c r="P51" s="739" t="str" cm="1">
        <f t="array" ref="P51">_xlfn.TEXTJOIN(CHAR(10),TRUE,IF(G112:G185="1430-0000",$C112:$C185,""))</f>
        <v>BRENDAN HMO
ZOBIA HMO
NATHAN HMO
MIKEY HMO
Jason INT</v>
      </c>
      <c r="Q51" s="739" t="str" cm="1">
        <f t="array" ref="Q51">_xlfn.TEXTJOIN(CHAR(10),TRUE,IF(H112:H185="1430-0000",$C112:$C185,""))</f>
        <v>AARON B. HMO
MILOS HMO
CHRIS HMO
NATHAN HMO
Jason INT</v>
      </c>
      <c r="R51" s="739" t="str" cm="1">
        <f t="array" ref="R51">_xlfn.TEXTJOIN(CHAR(10),TRUE,IF(I112:I185="1430-0000",$C112:$C185,""))</f>
        <v>AARON B. HMO
MILOS HMO
LISA HMO
CHRIS HMO
Jason INT
Jean-Luc INT</v>
      </c>
      <c r="S51" s="739" t="str" cm="1">
        <f t="array" ref="S51">_xlfn.TEXTJOIN(CHAR(10),TRUE,IF(J112:J185="1430-0000",$C112:$C185,""))</f>
        <v>AARON B. HMO
MILOS HMO
LISA HMO
CHRIS HMO
Delia INT
Jean-Luc INT</v>
      </c>
      <c r="T51" s="739" t="str" cm="1">
        <f t="array" ref="T51">_xlfn.TEXTJOIN(CHAR(10),TRUE,IF(K112:K185="1430-0000",$C112:$C185,""))</f>
        <v>AARON B. HMO
PHILLIP HMO
HARRISON HMO
MARYAM HMO
Delia INT</v>
      </c>
      <c r="U51" s="763" t="str" cm="1">
        <f t="array" ref="U51">_xlfn.TEXTJOIN(CHAR(10),TRUE,IF(L112:L185="1430-0000",$C112:$C185,""))</f>
        <v>FADIA HMO
HARRISON HMO
WILL HMO
Delia INT</v>
      </c>
      <c r="W51" s="772">
        <v>8</v>
      </c>
    </row>
    <row r="52" spans="3:23" ht="14.1" customHeight="1">
      <c r="C52" s="497" t="s">
        <v>375</v>
      </c>
      <c r="D52" s="340" t="s">
        <v>129</v>
      </c>
      <c r="E52" s="678">
        <v>703067</v>
      </c>
      <c r="F52" s="611" t="s">
        <v>50</v>
      </c>
      <c r="G52" s="600" t="s">
        <v>34</v>
      </c>
      <c r="H52" s="612"/>
      <c r="I52" s="600" t="s">
        <v>130</v>
      </c>
      <c r="J52" s="600" t="s">
        <v>131</v>
      </c>
      <c r="K52" s="610"/>
      <c r="L52" s="603"/>
      <c r="N52" s="734"/>
      <c r="O52" s="737"/>
      <c r="P52" s="740"/>
      <c r="Q52" s="740"/>
      <c r="R52" s="740"/>
      <c r="S52" s="740"/>
      <c r="T52" s="740"/>
      <c r="U52" s="764"/>
      <c r="W52" s="772"/>
    </row>
    <row r="53" spans="3:23" ht="14.1" customHeight="1">
      <c r="C53" s="497" t="s">
        <v>376</v>
      </c>
      <c r="D53" s="340" t="s">
        <v>132</v>
      </c>
      <c r="E53" s="678">
        <v>703495</v>
      </c>
      <c r="F53" s="608"/>
      <c r="G53" s="610"/>
      <c r="H53" s="612"/>
      <c r="I53" s="600"/>
      <c r="J53" s="600" t="s">
        <v>35</v>
      </c>
      <c r="K53" s="700"/>
      <c r="L53" s="603" t="s">
        <v>40</v>
      </c>
      <c r="N53" s="734"/>
      <c r="O53" s="737"/>
      <c r="P53" s="740"/>
      <c r="Q53" s="740"/>
      <c r="R53" s="740"/>
      <c r="S53" s="740"/>
      <c r="T53" s="740"/>
      <c r="U53" s="764"/>
      <c r="W53" s="772"/>
    </row>
    <row r="54" spans="3:23" ht="14.1" customHeight="1">
      <c r="C54" s="504" t="s">
        <v>377</v>
      </c>
      <c r="D54" s="504" t="s">
        <v>133</v>
      </c>
      <c r="E54" s="502">
        <v>578275</v>
      </c>
      <c r="F54" s="581"/>
      <c r="G54" s="566"/>
      <c r="H54" s="566" t="s">
        <v>87</v>
      </c>
      <c r="I54" s="566"/>
      <c r="J54" s="566"/>
      <c r="K54" s="675"/>
      <c r="L54" s="598"/>
      <c r="N54" s="734"/>
      <c r="O54" s="737"/>
      <c r="P54" s="740"/>
      <c r="Q54" s="740"/>
      <c r="R54" s="740"/>
      <c r="S54" s="740"/>
      <c r="T54" s="740"/>
      <c r="U54" s="764"/>
      <c r="W54" s="772"/>
    </row>
    <row r="55" spans="3:23" ht="14.1" customHeight="1">
      <c r="C55" s="504" t="s">
        <v>378</v>
      </c>
      <c r="D55" s="497" t="s">
        <v>135</v>
      </c>
      <c r="E55" s="502">
        <v>644237</v>
      </c>
      <c r="F55" s="569" t="s">
        <v>28</v>
      </c>
      <c r="G55" s="570"/>
      <c r="H55" s="570"/>
      <c r="I55" s="570"/>
      <c r="J55" s="570"/>
      <c r="K55" s="675"/>
      <c r="L55" s="571"/>
      <c r="N55" s="734"/>
      <c r="O55" s="737"/>
      <c r="P55" s="740"/>
      <c r="Q55" s="740"/>
      <c r="R55" s="740"/>
      <c r="S55" s="740"/>
      <c r="T55" s="740"/>
      <c r="U55" s="764"/>
      <c r="W55" s="772"/>
    </row>
    <row r="56" spans="3:23" ht="14.1" customHeight="1">
      <c r="C56" s="497" t="s">
        <v>379</v>
      </c>
      <c r="D56" s="504" t="s">
        <v>136</v>
      </c>
      <c r="E56" s="502">
        <v>634259</v>
      </c>
      <c r="F56" s="575"/>
      <c r="G56" s="565"/>
      <c r="H56" s="565"/>
      <c r="I56" s="565"/>
      <c r="J56" s="565"/>
      <c r="K56" s="644" t="s">
        <v>40</v>
      </c>
      <c r="L56" s="577"/>
      <c r="N56" s="734"/>
      <c r="O56" s="737"/>
      <c r="P56" s="740"/>
      <c r="Q56" s="740"/>
      <c r="R56" s="740"/>
      <c r="S56" s="740"/>
      <c r="T56" s="740"/>
      <c r="U56" s="764"/>
      <c r="W56" s="772"/>
    </row>
    <row r="57" spans="3:23" ht="14.1" customHeight="1">
      <c r="C57" s="497" t="s">
        <v>380</v>
      </c>
      <c r="D57" s="526" t="s">
        <v>137</v>
      </c>
      <c r="E57" s="502">
        <v>418439</v>
      </c>
      <c r="F57" s="611"/>
      <c r="G57" s="75"/>
      <c r="H57" s="297" t="s">
        <v>342</v>
      </c>
      <c r="I57" s="75"/>
      <c r="J57" s="600"/>
      <c r="K57" s="610"/>
      <c r="L57" s="613"/>
      <c r="N57" s="734"/>
      <c r="O57" s="737"/>
      <c r="P57" s="740"/>
      <c r="Q57" s="740"/>
      <c r="R57" s="740"/>
      <c r="S57" s="740"/>
      <c r="T57" s="740"/>
      <c r="U57" s="764"/>
      <c r="W57" s="772"/>
    </row>
    <row r="58" spans="3:23" ht="14.1" customHeight="1" thickBot="1">
      <c r="C58" s="511" t="s">
        <v>381</v>
      </c>
      <c r="D58" s="526" t="s">
        <v>138</v>
      </c>
      <c r="E58" s="498">
        <v>650974</v>
      </c>
      <c r="F58" s="575" t="s">
        <v>46</v>
      </c>
      <c r="G58" s="565" t="s">
        <v>139</v>
      </c>
      <c r="H58" s="583" t="s">
        <v>65</v>
      </c>
      <c r="I58" s="203"/>
      <c r="J58" s="576"/>
      <c r="K58" s="576"/>
      <c r="L58" s="579"/>
      <c r="N58" s="735"/>
      <c r="O58" s="738"/>
      <c r="P58" s="741"/>
      <c r="Q58" s="741"/>
      <c r="R58" s="741"/>
      <c r="S58" s="741"/>
      <c r="T58" s="741"/>
      <c r="U58" s="765"/>
      <c r="W58" s="772"/>
    </row>
    <row r="59" spans="3:23" ht="14.1" customHeight="1">
      <c r="C59" s="511" t="s">
        <v>382</v>
      </c>
      <c r="D59" s="526" t="s">
        <v>535</v>
      </c>
      <c r="E59" s="498">
        <v>541888</v>
      </c>
      <c r="F59" s="211"/>
      <c r="G59" s="62"/>
      <c r="H59" s="218"/>
      <c r="I59" s="566" t="s">
        <v>41</v>
      </c>
      <c r="J59" s="218"/>
      <c r="K59" s="566"/>
      <c r="L59" s="598"/>
      <c r="N59" s="239"/>
      <c r="O59" s="241"/>
      <c r="P59" s="240"/>
      <c r="Q59" s="240"/>
      <c r="R59" s="240"/>
      <c r="S59" s="240"/>
      <c r="T59" s="240"/>
      <c r="U59" s="242"/>
      <c r="W59" s="89"/>
    </row>
    <row r="60" spans="3:23" ht="14.1" customHeight="1">
      <c r="C60" s="530"/>
      <c r="D60" s="514"/>
      <c r="E60" s="515"/>
      <c r="F60" s="211"/>
      <c r="G60" s="62"/>
      <c r="H60" s="62"/>
      <c r="I60" s="62"/>
      <c r="J60" s="62"/>
      <c r="K60" s="565"/>
      <c r="L60" s="577"/>
      <c r="N60" s="742" t="s">
        <v>384</v>
      </c>
      <c r="O60" s="745" t="str" cm="1">
        <f t="array" ref="O60">_xlfn.TEXTJOIN(CHAR(10),TRUE,_xlfn._xlws.FILTER($C7:$C185,RIGHT(F7:F185,LEN("SWP"))="SWP",""))</f>
        <v>WILLIAM SR
CHRISTINA JR
SYLVIA JR</v>
      </c>
      <c r="P60" s="747" t="str" cm="1">
        <f t="array" ref="P60">_xlfn.TEXTJOIN(CHAR(10),TRUE,_xlfn._xlws.FILTER($C7:$C185,RIGHT(G7:G185,LEN("SWP"))="SWP",""))</f>
        <v/>
      </c>
      <c r="Q60" s="747" t="str" cm="1">
        <f t="array" ref="Q60">_xlfn.TEXTJOIN(CHAR(10),TRUE,_xlfn._xlws.FILTER($C7:$C185,RIGHT(H7:H185,LEN("SWP"))="SWP",""))</f>
        <v>MICHELLE SMS</v>
      </c>
      <c r="R60" s="747" t="str" cm="1">
        <f t="array" ref="R60">_xlfn.TEXTJOIN(CHAR(10),TRUE,_xlfn._xlws.FILTER($C7:$C185,RIGHT(I7:I185,LEN("SWP"))="SWP",""))</f>
        <v>ISOBEL JR</v>
      </c>
      <c r="S60" s="747" t="str" cm="1">
        <f t="array" ref="S60">_xlfn.TEXTJOIN(CHAR(10),TRUE,_xlfn._xlws.FILTER($C7:$C185,RIGHT(J7:J185,LEN("SWP"))="SWP",""))</f>
        <v>DESLIN JR
LAURA JR</v>
      </c>
      <c r="T60" s="747" t="str" cm="1">
        <f t="array" ref="T60">_xlfn.TEXTJOIN(CHAR(10),TRUE,_xlfn._xlws.FILTER($C7:$C185,RIGHT(K7:K185,LEN("SWP"))="SWP",""))</f>
        <v/>
      </c>
      <c r="U60" s="766" t="str" cm="1">
        <f t="array" ref="U60">_xlfn.TEXTJOIN(CHAR(10),TRUE,_xlfn._xlws.FILTER($C7:$C185,RIGHT(L7:L185,LEN("SWP"))="SWP",""))</f>
        <v/>
      </c>
      <c r="V60" s="34" t="s">
        <v>385</v>
      </c>
      <c r="W60" s="89">
        <v>4</v>
      </c>
    </row>
    <row r="61" spans="3:23" ht="14.1" customHeight="1">
      <c r="C61" s="531"/>
      <c r="D61" s="532"/>
      <c r="E61" s="533"/>
      <c r="F61" s="211"/>
      <c r="G61" s="62"/>
      <c r="H61" s="62"/>
      <c r="I61" s="62"/>
      <c r="J61" s="62"/>
      <c r="K61" s="565"/>
      <c r="L61" s="577"/>
      <c r="N61" s="743"/>
      <c r="O61" s="746"/>
      <c r="P61" s="748"/>
      <c r="Q61" s="748"/>
      <c r="R61" s="748"/>
      <c r="S61" s="748"/>
      <c r="T61" s="748"/>
      <c r="U61" s="767"/>
      <c r="W61" s="89"/>
    </row>
    <row r="62" spans="3:23" ht="14.1" customHeight="1">
      <c r="C62" s="530" t="s">
        <v>345</v>
      </c>
      <c r="D62" s="530" t="s">
        <v>345</v>
      </c>
      <c r="E62" s="534"/>
      <c r="F62" s="205" t="s">
        <v>142</v>
      </c>
      <c r="G62" s="614" t="s">
        <v>142</v>
      </c>
      <c r="H62" s="614" t="s">
        <v>582</v>
      </c>
      <c r="I62" s="614" t="s">
        <v>142</v>
      </c>
      <c r="J62" s="614" t="s">
        <v>515</v>
      </c>
      <c r="K62" s="62"/>
      <c r="L62" s="67"/>
      <c r="N62" s="743"/>
      <c r="O62" s="746"/>
      <c r="P62" s="748"/>
      <c r="Q62" s="748"/>
      <c r="R62" s="748"/>
      <c r="S62" s="748"/>
      <c r="T62" s="748"/>
      <c r="U62" s="767"/>
      <c r="W62" s="89"/>
    </row>
    <row r="63" spans="3:23" ht="14.1" customHeight="1" thickBot="1">
      <c r="C63" s="31"/>
      <c r="D63" s="31"/>
      <c r="E63" s="534"/>
      <c r="F63" s="28"/>
      <c r="G63" s="29"/>
      <c r="H63" s="29"/>
      <c r="I63" s="29"/>
      <c r="J63" s="29"/>
      <c r="K63" s="29"/>
      <c r="L63" s="30"/>
      <c r="N63" s="744"/>
      <c r="O63" s="950"/>
      <c r="P63" s="951"/>
      <c r="Q63" s="951"/>
      <c r="R63" s="951"/>
      <c r="S63" s="951"/>
      <c r="T63" s="951"/>
      <c r="U63" s="952"/>
      <c r="W63" s="89"/>
    </row>
    <row r="64" spans="3:23" ht="14.1" customHeight="1" thickBot="1">
      <c r="C64" s="63"/>
      <c r="D64" s="411" t="s">
        <v>145</v>
      </c>
      <c r="E64" s="534"/>
      <c r="F64" s="565">
        <f>COUNTIF(F7:F61,"0800-*")+COUNTIF(F7:F61,"0730-*")-COUNTIF(F7:F61,"*0800-1730 CS*")-COUNTIF(F7:F61,"*0800-1730 PHNW*")-COUNTIF(F7:F61,"*0800-1730 DEMT*")-COUNTIF(F7:F61,"*0800-1730 EXAM*")-COUNTIF(F7:F61,"*0800-1800 CS*")-COUNTIF(F7:F61,"*0800-1800 PHNW*")</f>
        <v>5</v>
      </c>
      <c r="G64" s="565">
        <f>COUNTIF(G7:G61,"0800-*")+COUNTIF(G7:G61,"0730-*")-COUNTIF(G7:G61,"*0800-1730 CS*")-COUNTIF(G7:G61,"*0800-1730 PHNW*")-COUNTIF(G7:G61,"*0800-1730 DEMT*")-COUNTIF(G7:G61,"*0800-1730 EXAM*")-COUNTIF(G7:G61,"*0800-1800 CS*")-COUNTIF(G7:G61,"*0800-1800 PHNW*")</f>
        <v>6</v>
      </c>
      <c r="H64" s="565">
        <f>COUNTIF(H7:H61,"0800-*")+COUNTIF(H7:H61,"0730-*")-COUNTIF(H7:H61,"*0800-1730 CS*")-COUNTIF(H7:H61,"*0800-1730 PHNW*")-COUNTIF(H7:H61,"*0800-1730 DEMT*")-COUNTIF(H7:H61,"*0800-1730 EXAM*")-COUNTIF(H7:H61,"*0800-1800 CS*")-COUNTIF(H7:H61,"*0800-1800 PHNW*")</f>
        <v>5</v>
      </c>
      <c r="I64" s="565">
        <f>COUNTIF(I7:I61,"0800-*")+COUNTIF(I7:I61,"0730-*")-COUNTIF(I7:I61,"*0800-1730 CS*")-COUNTIF(I7:I61,"*0800-1730 PHNW*")-COUNTIF(I7:I61,"*0800-1730 DEMT*")-COUNTIF(I7:I61,"*0800-1730 EXAM*")-COUNTIF(I7:I61,"*0800-1800 CS*")-COUNTIF(I7:I61,"*0800-1800 PHNW*")</f>
        <v>6</v>
      </c>
      <c r="J64" s="565">
        <f>COUNTIF(J7:J61,"0800-*")+COUNTIF(J7:J61,"0730-*")-COUNTIF(J7:J61,"*0800-1730 CS*")-COUNTIF(J7:J61,"*0800-1730 PHNW*")-COUNTIF(J7:J61,"*0800-1730 DEMT*")-COUNTIF(J7:J61,"*0800-1730 EXAM*")-COUNTIF(J7:J61,"*0800-1800 CS*")-COUNTIF(J7:J61,"*0800-1800 PHNW*")</f>
        <v>6</v>
      </c>
      <c r="K64" s="565">
        <f>COUNTIF(K7:K61,"0800-*")+COUNTIF(K7:K61,"0730-*")</f>
        <v>5</v>
      </c>
      <c r="L64" s="577">
        <f>COUNTIF(L7:L61,"0800-*")+COUNTIF(L7:L61,"0730-*")</f>
        <v>4</v>
      </c>
      <c r="N64" s="106"/>
      <c r="O64" s="34"/>
      <c r="P64" s="34"/>
      <c r="Q64" s="34"/>
      <c r="R64" s="34"/>
      <c r="S64" s="34"/>
      <c r="T64" s="34"/>
      <c r="U64" s="34"/>
      <c r="W64" s="89"/>
    </row>
    <row r="65" spans="3:23" ht="14.1" customHeight="1" thickBot="1">
      <c r="C65" s="535"/>
      <c r="D65" s="411" t="s">
        <v>146</v>
      </c>
      <c r="E65" s="534"/>
      <c r="F65" s="575">
        <f t="shared" ref="F65:L65" si="16">COUNTIF(F7:F62,"*0000*")</f>
        <v>4</v>
      </c>
      <c r="G65" s="565">
        <f t="shared" si="16"/>
        <v>5</v>
      </c>
      <c r="H65" s="565">
        <f t="shared" si="16"/>
        <v>6</v>
      </c>
      <c r="I65" s="565">
        <f t="shared" si="16"/>
        <v>6</v>
      </c>
      <c r="J65" s="565">
        <f t="shared" si="16"/>
        <v>5</v>
      </c>
      <c r="K65" s="565">
        <f t="shared" si="16"/>
        <v>4</v>
      </c>
      <c r="L65" s="577">
        <f t="shared" si="16"/>
        <v>4</v>
      </c>
      <c r="N65" s="106"/>
      <c r="O65" s="796" t="s">
        <v>388</v>
      </c>
      <c r="P65" s="797"/>
      <c r="Q65" s="797"/>
      <c r="R65" s="797"/>
      <c r="S65" s="797"/>
      <c r="T65" s="797"/>
      <c r="U65" s="798"/>
      <c r="W65" s="89" t="s">
        <v>389</v>
      </c>
    </row>
    <row r="66" spans="3:23" ht="14.1" customHeight="1">
      <c r="C66" s="407" t="s">
        <v>147</v>
      </c>
      <c r="D66" s="407" t="s">
        <v>147</v>
      </c>
      <c r="E66" s="534"/>
      <c r="F66" s="408"/>
      <c r="G66" s="409"/>
      <c r="H66" s="409"/>
      <c r="I66" s="409"/>
      <c r="J66" s="409"/>
      <c r="K66" s="409"/>
      <c r="L66" s="410"/>
      <c r="N66" s="104" t="s">
        <v>390</v>
      </c>
      <c r="O66" s="107" t="str">
        <f t="shared" ref="O66:U66" si="17">INDEX($C7:$L189,MATCH("*N1*",F7:F192,0),1)</f>
        <v>PATRICK SR</v>
      </c>
      <c r="P66" s="108" t="str">
        <f t="shared" si="17"/>
        <v>PATRICK SR</v>
      </c>
      <c r="Q66" s="108" t="str">
        <f t="shared" si="17"/>
        <v>PATRICK SR</v>
      </c>
      <c r="R66" s="108" t="str">
        <f t="shared" si="17"/>
        <v>PATRICK SR</v>
      </c>
      <c r="S66" s="108" t="str">
        <f t="shared" si="17"/>
        <v>WILLIAM SR</v>
      </c>
      <c r="T66" s="108" t="str">
        <f t="shared" si="17"/>
        <v>WILLIAM SR</v>
      </c>
      <c r="U66" s="109" t="str">
        <f t="shared" si="17"/>
        <v>WILLIAM SR</v>
      </c>
      <c r="V66" s="89"/>
      <c r="W66" s="106">
        <v>1</v>
      </c>
    </row>
    <row r="67" spans="3:23" ht="14.1" customHeight="1">
      <c r="C67" s="411" t="s">
        <v>391</v>
      </c>
      <c r="D67" s="411" t="s">
        <v>148</v>
      </c>
      <c r="E67" s="536">
        <v>609268</v>
      </c>
      <c r="F67" s="575" t="s">
        <v>35</v>
      </c>
      <c r="G67" s="576"/>
      <c r="H67" s="565" t="s">
        <v>149</v>
      </c>
      <c r="I67" s="565" t="s">
        <v>3</v>
      </c>
      <c r="J67" s="565" t="s">
        <v>150</v>
      </c>
      <c r="K67" s="565"/>
      <c r="L67" s="577"/>
      <c r="N67" s="749" t="s">
        <v>392</v>
      </c>
      <c r="O67" s="746" t="str" cm="1">
        <f t="array" ref="O67">_xlfn.TEXTJOIN(CHAR(10),TRUE,IF(F7:F185="2300-0900",$C7:$C185,""),IF(F7:F185="2300-0830",$C7:$C185,""))</f>
        <v>GIOVANA JR
RACHEL JR
FADIA HMO
HARRISON HMO
Jean-Luc INT</v>
      </c>
      <c r="P67" s="748" t="str" cm="1">
        <f t="array" ref="P67">_xlfn.TEXTJOIN(CHAR(10),TRUE,IF(G7:G185="2300-0900",$C7:$C185,""),IF(G7:G185="2300-0830",$C7:$C185,""))</f>
        <v>GIOVANA JR
SYLVIA JR
VISHNU HMO
PHILLIP HMO
May INT</v>
      </c>
      <c r="Q67" s="748" t="str" cm="1">
        <f t="array" ref="Q67">_xlfn.TEXTJOIN(CHAR(10),TRUE,IF(H7:H185="2300-0900",$C7:$C185,""),IF(H7:H185="2300-0830",$C7:$C185,""))</f>
        <v>GIOVANA JR
SYLVIA JR
AREEBA HMO
AARON N. HMO
May INT</v>
      </c>
      <c r="R67" s="748" t="str" cm="1">
        <f t="array" ref="R67">_xlfn.TEXTJOIN(CHAR(10),TRUE,IF(I7:I185="2300-0900",$C7:$C185,""),IF(I7:I185="2300-0830",$C7:$C185,""))</f>
        <v>CLARE JR
GIOVANA JR
BRENDAN HMO
VISHNU HMO
May INT</v>
      </c>
      <c r="S67" s="748" t="str" cm="1">
        <f t="array" ref="S67">_xlfn.TEXTJOIN(CHAR(10),TRUE,IF(J7:J185="2300-0900",$C7:$C185,""),IF(J7:J185="2300-0830",$C7:$C185,""))</f>
        <v>CHRISTINA JR
CLARE JR
JEROME JR
TORI-ANN HMO
SHUNING HMO
May INT</v>
      </c>
      <c r="T67" s="748" t="str" cm="1">
        <f t="array" ref="T67">_xlfn.TEXTJOIN(CHAR(10),TRUE,IF(K7:K185="2300-0900",$C7:$C185,""),IF(K7:K185="2300-0830",$C7:$C185,""))</f>
        <v>CHRISTINA JR
CLARE JR
JEROME JR
TORI-ANN HMO
SHUNING HMO
Jason INT</v>
      </c>
      <c r="U67" s="767" t="str" cm="1">
        <f t="array" ref="U67">_xlfn.TEXTJOIN(CHAR(10),TRUE,IF(L7:L185="2300-0900",$C7:$C185,""),IF(L7:L185="2300-0830",$C7:$C185,""))</f>
        <v>CHRISTINA JR
CLARE JR
JEROME JR
TORI-ANN HMO
HENLEY HMO
Jason INT</v>
      </c>
      <c r="W67" s="89">
        <v>9</v>
      </c>
    </row>
    <row r="68" spans="3:23" ht="14.1" customHeight="1">
      <c r="C68" s="411" t="s">
        <v>393</v>
      </c>
      <c r="D68" s="411" t="s">
        <v>152</v>
      </c>
      <c r="E68" s="537">
        <v>517752</v>
      </c>
      <c r="F68" s="575"/>
      <c r="G68" s="565"/>
      <c r="H68" s="570" t="s">
        <v>604</v>
      </c>
      <c r="I68" s="570" t="s">
        <v>605</v>
      </c>
      <c r="J68" s="565"/>
      <c r="K68" s="565" t="s">
        <v>91</v>
      </c>
      <c r="L68" s="577"/>
      <c r="N68" s="749"/>
      <c r="O68" s="746"/>
      <c r="P68" s="748"/>
      <c r="Q68" s="748"/>
      <c r="R68" s="748"/>
      <c r="S68" s="748"/>
      <c r="T68" s="748"/>
      <c r="U68" s="767"/>
      <c r="W68" s="89"/>
    </row>
    <row r="69" spans="3:23" ht="14.1" customHeight="1">
      <c r="C69" s="411" t="s">
        <v>394</v>
      </c>
      <c r="D69" s="411" t="s">
        <v>154</v>
      </c>
      <c r="E69" s="537">
        <v>609129</v>
      </c>
      <c r="F69" s="589"/>
      <c r="G69" s="590"/>
      <c r="H69" s="565" t="s">
        <v>91</v>
      </c>
      <c r="I69" s="590"/>
      <c r="J69" s="590"/>
      <c r="K69" s="565"/>
      <c r="L69" s="577" t="s">
        <v>91</v>
      </c>
      <c r="N69" s="749"/>
      <c r="O69" s="746"/>
      <c r="P69" s="748"/>
      <c r="Q69" s="748"/>
      <c r="R69" s="748"/>
      <c r="S69" s="748"/>
      <c r="T69" s="748"/>
      <c r="U69" s="767"/>
      <c r="W69" s="89"/>
    </row>
    <row r="70" spans="3:23" ht="14.1" customHeight="1">
      <c r="C70" s="411" t="s">
        <v>395</v>
      </c>
      <c r="D70" s="538" t="s">
        <v>156</v>
      </c>
      <c r="E70" s="539">
        <v>636554</v>
      </c>
      <c r="F70" s="575"/>
      <c r="G70" s="565"/>
      <c r="H70" s="565" t="s">
        <v>149</v>
      </c>
      <c r="I70" s="565"/>
      <c r="J70" s="565" t="s">
        <v>150</v>
      </c>
      <c r="K70" s="565"/>
      <c r="L70" s="577"/>
      <c r="N70" s="749"/>
      <c r="O70" s="746"/>
      <c r="P70" s="748"/>
      <c r="Q70" s="748"/>
      <c r="R70" s="748"/>
      <c r="S70" s="748"/>
      <c r="T70" s="748"/>
      <c r="U70" s="767"/>
      <c r="W70" s="89"/>
    </row>
    <row r="71" spans="3:23" ht="14.1" customHeight="1" thickBot="1">
      <c r="C71" s="953"/>
      <c r="D71" s="49"/>
      <c r="E71" s="534"/>
      <c r="F71" s="575"/>
      <c r="G71" s="565"/>
      <c r="H71" s="565"/>
      <c r="I71" s="565"/>
      <c r="J71" s="565"/>
      <c r="K71" s="565"/>
      <c r="L71" s="577"/>
      <c r="N71" s="749"/>
      <c r="O71" s="746"/>
      <c r="P71" s="748"/>
      <c r="Q71" s="748"/>
      <c r="R71" s="748"/>
      <c r="S71" s="748"/>
      <c r="T71" s="748"/>
      <c r="U71" s="767"/>
      <c r="W71" s="89"/>
    </row>
    <row r="72" spans="3:23" ht="14.1" customHeight="1">
      <c r="C72" s="724" t="s">
        <v>157</v>
      </c>
      <c r="D72" s="540" t="s">
        <v>157</v>
      </c>
      <c r="E72" s="54"/>
      <c r="F72" s="413"/>
      <c r="G72" s="414"/>
      <c r="H72" s="414"/>
      <c r="I72" s="414"/>
      <c r="J72" s="414"/>
      <c r="K72" s="414"/>
      <c r="L72" s="415"/>
      <c r="N72" s="749"/>
      <c r="O72" s="746"/>
      <c r="P72" s="748"/>
      <c r="Q72" s="748"/>
      <c r="R72" s="748"/>
      <c r="S72" s="748"/>
      <c r="T72" s="748"/>
      <c r="U72" s="767"/>
      <c r="W72" s="89"/>
    </row>
    <row r="73" spans="3:23" ht="14.1" customHeight="1">
      <c r="C73" s="541" t="s">
        <v>396</v>
      </c>
      <c r="D73" s="182" t="s">
        <v>159</v>
      </c>
      <c r="E73" s="615">
        <v>628440</v>
      </c>
      <c r="F73" s="618" t="s">
        <v>161</v>
      </c>
      <c r="G73" s="618" t="s">
        <v>161</v>
      </c>
      <c r="H73" s="618" t="s">
        <v>161</v>
      </c>
      <c r="I73" s="618" t="s">
        <v>161</v>
      </c>
      <c r="J73" s="619"/>
      <c r="K73" s="619"/>
      <c r="L73" s="617"/>
      <c r="N73" s="749"/>
      <c r="O73" s="746"/>
      <c r="P73" s="748"/>
      <c r="Q73" s="748"/>
      <c r="R73" s="748"/>
      <c r="S73" s="748"/>
      <c r="T73" s="748"/>
      <c r="U73" s="767"/>
      <c r="W73" s="89"/>
    </row>
    <row r="74" spans="3:23" ht="14.1" customHeight="1">
      <c r="C74" s="541" t="s">
        <v>397</v>
      </c>
      <c r="D74" s="183" t="s">
        <v>164</v>
      </c>
      <c r="E74" s="615">
        <v>653976</v>
      </c>
      <c r="F74" s="691" t="s">
        <v>31</v>
      </c>
      <c r="G74" s="691"/>
      <c r="H74" s="691"/>
      <c r="I74" s="691"/>
      <c r="J74" s="691"/>
      <c r="K74" s="691"/>
      <c r="L74" s="691"/>
      <c r="N74" s="749"/>
      <c r="O74" s="746"/>
      <c r="P74" s="748"/>
      <c r="Q74" s="748"/>
      <c r="R74" s="748"/>
      <c r="S74" s="748"/>
      <c r="T74" s="748"/>
      <c r="U74" s="767"/>
      <c r="W74" s="89"/>
    </row>
    <row r="75" spans="3:23" ht="14.1" customHeight="1">
      <c r="C75" s="85" t="s">
        <v>398</v>
      </c>
      <c r="D75" s="184" t="s">
        <v>166</v>
      </c>
      <c r="E75" s="615">
        <v>654362</v>
      </c>
      <c r="F75" s="618" t="s">
        <v>149</v>
      </c>
      <c r="G75" s="620"/>
      <c r="H75" s="618"/>
      <c r="I75" s="618" t="s">
        <v>149</v>
      </c>
      <c r="J75" s="618"/>
      <c r="K75" s="618" t="s">
        <v>149</v>
      </c>
      <c r="L75" s="618" t="s">
        <v>149</v>
      </c>
      <c r="N75" s="749"/>
      <c r="O75" s="746"/>
      <c r="P75" s="748"/>
      <c r="Q75" s="748"/>
      <c r="R75" s="748"/>
      <c r="S75" s="748"/>
      <c r="T75" s="748"/>
      <c r="U75" s="767"/>
      <c r="W75" s="89"/>
    </row>
    <row r="76" spans="3:23" ht="14.1" customHeight="1">
      <c r="C76" s="69" t="s">
        <v>399</v>
      </c>
      <c r="D76" s="184" t="s">
        <v>168</v>
      </c>
      <c r="E76" s="615">
        <v>615829</v>
      </c>
      <c r="F76" s="619"/>
      <c r="G76" s="618" t="s">
        <v>149</v>
      </c>
      <c r="H76" s="618" t="s">
        <v>150</v>
      </c>
      <c r="I76" s="618" t="s">
        <v>150</v>
      </c>
      <c r="J76" s="618" t="s">
        <v>150</v>
      </c>
      <c r="K76" s="617"/>
      <c r="L76" s="617"/>
      <c r="N76" s="528" t="s">
        <v>368</v>
      </c>
      <c r="O76" s="523" t="str">
        <f t="shared" ref="O76:U76" si="18">INDEX($C10:$L191,MATCH("*NHJ*",F10:F194,0),1)</f>
        <v>PHILLIP HMO</v>
      </c>
      <c r="P76" s="500" t="e">
        <f t="shared" si="18"/>
        <v>#N/A</v>
      </c>
      <c r="Q76" s="500" t="str">
        <f t="shared" si="18"/>
        <v>BRENDAN HMO</v>
      </c>
      <c r="R76" s="500" t="str">
        <f t="shared" si="18"/>
        <v>AARON N. HMO</v>
      </c>
      <c r="S76" s="500" t="str">
        <f t="shared" si="18"/>
        <v>HENLEY HMO</v>
      </c>
      <c r="T76" s="500" t="str">
        <f t="shared" si="18"/>
        <v>AARON G. HMO</v>
      </c>
      <c r="U76" s="501" t="str">
        <f t="shared" si="18"/>
        <v>SHUNING HMO</v>
      </c>
      <c r="V76" s="34" t="s">
        <v>400</v>
      </c>
      <c r="W76" s="89">
        <v>1</v>
      </c>
    </row>
    <row r="77" spans="3:23" ht="14.1" customHeight="1">
      <c r="C77" s="541" t="s">
        <v>401</v>
      </c>
      <c r="D77" s="954" t="s">
        <v>170</v>
      </c>
      <c r="E77" s="615">
        <v>619567</v>
      </c>
      <c r="F77" s="620"/>
      <c r="G77" s="619"/>
      <c r="H77" s="619"/>
      <c r="I77" s="618"/>
      <c r="J77" s="618" t="s">
        <v>149</v>
      </c>
      <c r="K77" s="618" t="s">
        <v>150</v>
      </c>
      <c r="L77" s="618" t="s">
        <v>150</v>
      </c>
      <c r="N77" s="768" t="s">
        <v>325</v>
      </c>
      <c r="O77" s="787" t="str" cm="1">
        <f t="array" ref="O77">_xlfn.TEXTJOIN(CHAR(10),TRUE,_xlfn._xlws.FILTER($C7:$C185,RIGHT(F7:F185,LEN("nSSJ"))="nSSJ",""))</f>
        <v>SUBARNA JR
MARYAM HMO</v>
      </c>
      <c r="P77" s="750" t="str" cm="1">
        <f t="array" ref="P77">_xlfn.TEXTJOIN(CHAR(10),TRUE,_xlfn._xlws.FILTER($C7:$C185,RIGHT(G7:G185,LEN("nSSJ"))="nSSJ",""))</f>
        <v>SUBARNA JR
AARON N. HMO</v>
      </c>
      <c r="Q77" s="750" t="str" cm="1">
        <f t="array" ref="Q77">_xlfn.TEXTJOIN(CHAR(10),TRUE,_xlfn._xlws.FILTER($C7:$C185,RIGHT(H7:H185,LEN("nSSJ"))="nSSJ",""))</f>
        <v>SUBARNA JR
VISHNU HMO</v>
      </c>
      <c r="R77" s="750" t="str" cm="1">
        <f t="array" ref="R77">_xlfn.TEXTJOIN(CHAR(10),TRUE,_xlfn._xlws.FILTER($C7:$C185,RIGHT(I7:I185,LEN("nSSJ"))="nSSJ",""))</f>
        <v>SUBARNA JR
AREEBA HMO</v>
      </c>
      <c r="S77" s="750" t="str" cm="1">
        <f t="array" ref="S77">_xlfn.TEXTJOIN(CHAR(10),TRUE,_xlfn._xlws.FILTER($C7:$C185,RIGHT(J7:J185,LEN("nSSJ"))="nSSJ",""))</f>
        <v>AARON G. HMO</v>
      </c>
      <c r="T77" s="750" t="str" cm="1">
        <f t="array" ref="T77">_xlfn.TEXTJOIN(CHAR(10),TRUE,_xlfn._xlws.FILTER($C7:$C185,RIGHT(K7:K185,LEN("nSSJ"))="nSSJ",""))</f>
        <v>HENLEY HMO</v>
      </c>
      <c r="U77" s="788" t="str" cm="1">
        <f t="array" ref="U77">_xlfn.TEXTJOIN(CHAR(10),TRUE,_xlfn._xlws.FILTER($C7:$C185,RIGHT(L7:L185,LEN("nSSJ"))="nSSJ",""))</f>
        <v>AARON G. HMO</v>
      </c>
      <c r="V77" s="34" t="s">
        <v>402</v>
      </c>
      <c r="W77" s="89">
        <v>2</v>
      </c>
    </row>
    <row r="78" spans="3:23" ht="14.1" customHeight="1" thickBot="1">
      <c r="C78" s="543" t="s">
        <v>403</v>
      </c>
      <c r="D78" s="183" t="s">
        <v>171</v>
      </c>
      <c r="E78" s="615">
        <v>626157</v>
      </c>
      <c r="F78" s="617"/>
      <c r="G78" s="617"/>
      <c r="H78" s="617"/>
      <c r="I78" s="620"/>
      <c r="J78" s="618"/>
      <c r="K78" s="619"/>
      <c r="L78" s="619"/>
      <c r="N78" s="769"/>
      <c r="O78" s="955"/>
      <c r="P78" s="956"/>
      <c r="Q78" s="956"/>
      <c r="R78" s="956"/>
      <c r="S78" s="956"/>
      <c r="T78" s="956"/>
      <c r="U78" s="957"/>
      <c r="W78" s="89"/>
    </row>
    <row r="79" spans="3:23" ht="14.1" customHeight="1" thickBot="1">
      <c r="C79" s="69" t="s">
        <v>405</v>
      </c>
      <c r="D79" s="185" t="s">
        <v>173</v>
      </c>
      <c r="E79" s="615">
        <v>645122</v>
      </c>
      <c r="F79" s="624" t="s">
        <v>160</v>
      </c>
      <c r="G79" s="620"/>
      <c r="H79" s="617"/>
      <c r="I79" s="620"/>
      <c r="J79" s="618" t="s">
        <v>161</v>
      </c>
      <c r="K79" s="618" t="s">
        <v>161</v>
      </c>
      <c r="L79" s="618" t="s">
        <v>161</v>
      </c>
      <c r="N79" s="958" t="s">
        <v>406</v>
      </c>
      <c r="O79" s="110" t="str">
        <f t="shared" ref="O79:U79" si="19">INDEX($C7:$L189,MATCH("*PRC",F7:F192,0),1)</f>
        <v>TITUS CMO</v>
      </c>
      <c r="P79" s="111" t="str">
        <f t="shared" si="19"/>
        <v>PAIGE SMS</v>
      </c>
      <c r="Q79" s="111" t="str">
        <f t="shared" si="19"/>
        <v>STEPHEN G SMS</v>
      </c>
      <c r="R79" s="111" t="str">
        <f t="shared" si="19"/>
        <v>QING SMS</v>
      </c>
      <c r="S79" s="111" t="str">
        <f t="shared" si="19"/>
        <v>SUHAIL SMS</v>
      </c>
      <c r="T79" s="111" t="str">
        <f t="shared" si="19"/>
        <v>NICOLA SMS</v>
      </c>
      <c r="U79" s="111" t="str">
        <f t="shared" si="19"/>
        <v>SCOTT SMS</v>
      </c>
      <c r="W79" s="89"/>
    </row>
    <row r="80" spans="3:23" ht="14.1" customHeight="1" thickBot="1">
      <c r="C80" s="543" t="s">
        <v>407</v>
      </c>
      <c r="D80" s="186" t="s">
        <v>174</v>
      </c>
      <c r="E80" s="615">
        <v>615820</v>
      </c>
      <c r="F80" s="617"/>
      <c r="G80" s="617"/>
      <c r="H80" s="617"/>
      <c r="I80" s="617"/>
      <c r="J80" s="617"/>
      <c r="K80" s="617"/>
      <c r="L80" s="617"/>
      <c r="N80" s="106"/>
      <c r="O80" s="89"/>
      <c r="T80" s="959" t="str">
        <f>INDEX($C7:$L190,MATCH("*PGC",K7:K193,0),1)</f>
        <v>DIANA SMS</v>
      </c>
      <c r="U80" s="960" t="str">
        <f>INDEX($C8:$L190,MATCH("*PGC",L8:L193,0),1)</f>
        <v>STEVE T SMS</v>
      </c>
    </row>
    <row r="81" spans="3:22" ht="14.1" customHeight="1">
      <c r="C81" s="541" t="s">
        <v>408</v>
      </c>
      <c r="D81" s="544" t="s">
        <v>175</v>
      </c>
      <c r="E81" s="615">
        <v>624174</v>
      </c>
      <c r="F81" s="618" t="s">
        <v>150</v>
      </c>
      <c r="G81" s="616" t="s">
        <v>359</v>
      </c>
      <c r="H81" s="622"/>
      <c r="I81" s="626"/>
      <c r="J81" s="622"/>
      <c r="K81" s="617"/>
      <c r="L81" s="617"/>
      <c r="O81" s="89"/>
      <c r="V81" s="89"/>
    </row>
    <row r="82" spans="3:22" ht="14.1" customHeight="1">
      <c r="C82" s="543"/>
      <c r="D82" s="545"/>
      <c r="E82" s="625"/>
      <c r="F82" s="618"/>
      <c r="G82" s="618"/>
      <c r="H82" s="617" t="s">
        <v>115</v>
      </c>
      <c r="I82" s="619"/>
      <c r="J82" s="617"/>
      <c r="K82" s="617"/>
      <c r="L82" s="617"/>
      <c r="O82" s="89"/>
      <c r="V82" s="89"/>
    </row>
    <row r="83" spans="3:22" ht="14.1" customHeight="1">
      <c r="C83" s="728" t="s">
        <v>176</v>
      </c>
      <c r="D83" s="728" t="s">
        <v>176</v>
      </c>
      <c r="E83" s="198"/>
      <c r="F83" s="305"/>
      <c r="G83" s="305"/>
      <c r="H83" s="305"/>
      <c r="I83" s="305"/>
      <c r="J83" s="305"/>
      <c r="K83" s="305"/>
      <c r="L83" s="305"/>
      <c r="O83" s="89"/>
      <c r="V83" s="89"/>
    </row>
    <row r="84" spans="3:22" ht="14.1" customHeight="1">
      <c r="C84" s="411" t="s">
        <v>409</v>
      </c>
      <c r="D84" s="546" t="s">
        <v>177</v>
      </c>
      <c r="E84" s="615">
        <v>637990</v>
      </c>
      <c r="F84" s="618" t="s">
        <v>149</v>
      </c>
      <c r="G84" s="618" t="s">
        <v>150</v>
      </c>
      <c r="H84" s="620"/>
      <c r="I84" s="618" t="s">
        <v>150</v>
      </c>
      <c r="J84" s="618" t="s">
        <v>150</v>
      </c>
      <c r="K84" s="617"/>
      <c r="L84" s="617"/>
      <c r="O84" s="89"/>
      <c r="V84" s="89"/>
    </row>
    <row r="85" spans="3:22" ht="14.1" customHeight="1">
      <c r="C85" s="86" t="s">
        <v>410</v>
      </c>
      <c r="D85" s="184" t="s">
        <v>179</v>
      </c>
      <c r="E85" s="615">
        <v>652867</v>
      </c>
      <c r="F85" s="565"/>
      <c r="G85" s="618" t="s">
        <v>149</v>
      </c>
      <c r="H85" s="618" t="s">
        <v>150</v>
      </c>
      <c r="I85" s="618" t="s">
        <v>150</v>
      </c>
      <c r="J85" s="618" t="s">
        <v>150</v>
      </c>
      <c r="K85" s="630"/>
      <c r="L85" s="617"/>
      <c r="O85" s="89"/>
      <c r="V85" s="89"/>
    </row>
    <row r="86" spans="3:22" ht="14.1" customHeight="1">
      <c r="C86" s="543" t="s">
        <v>411</v>
      </c>
      <c r="D86" s="547" t="s">
        <v>180</v>
      </c>
      <c r="E86" s="615">
        <v>638831</v>
      </c>
      <c r="F86" s="618" t="s">
        <v>149</v>
      </c>
      <c r="G86" s="618"/>
      <c r="H86" s="565"/>
      <c r="I86" s="618" t="s">
        <v>149</v>
      </c>
      <c r="J86" s="618" t="s">
        <v>149</v>
      </c>
      <c r="K86" s="618" t="s">
        <v>150</v>
      </c>
      <c r="L86" s="618" t="s">
        <v>150</v>
      </c>
      <c r="O86" s="89"/>
      <c r="V86" s="89"/>
    </row>
    <row r="87" spans="3:22" ht="14.1" customHeight="1">
      <c r="C87" s="411" t="s">
        <v>412</v>
      </c>
      <c r="D87" s="548" t="s">
        <v>182</v>
      </c>
      <c r="E87" s="615">
        <v>631314</v>
      </c>
      <c r="F87" s="617"/>
      <c r="G87" s="617"/>
      <c r="H87" s="617"/>
      <c r="I87" s="616" t="s">
        <v>359</v>
      </c>
      <c r="J87" s="616" t="s">
        <v>531</v>
      </c>
      <c r="K87" s="619"/>
      <c r="L87" s="617"/>
      <c r="O87" s="89"/>
      <c r="V87" s="89"/>
    </row>
    <row r="88" spans="3:22" ht="14.1" customHeight="1">
      <c r="C88" s="69" t="s">
        <v>414</v>
      </c>
      <c r="D88" s="548" t="s">
        <v>185</v>
      </c>
      <c r="E88" s="615">
        <v>631732</v>
      </c>
      <c r="F88" s="617"/>
      <c r="G88" s="622"/>
      <c r="H88" s="617"/>
      <c r="I88" s="619"/>
      <c r="J88" s="626"/>
      <c r="K88" s="618" t="s">
        <v>184</v>
      </c>
      <c r="L88" s="618" t="s">
        <v>149</v>
      </c>
      <c r="O88" s="89"/>
      <c r="V88" s="89"/>
    </row>
    <row r="89" spans="3:22" ht="14.1" customHeight="1">
      <c r="C89" s="541" t="s">
        <v>415</v>
      </c>
      <c r="D89" s="549" t="s">
        <v>186</v>
      </c>
      <c r="E89" s="615">
        <v>634876</v>
      </c>
      <c r="F89" s="619"/>
      <c r="G89" s="618" t="s">
        <v>150</v>
      </c>
      <c r="H89" s="620"/>
      <c r="I89" s="622"/>
      <c r="J89" s="617"/>
      <c r="K89" s="619"/>
      <c r="L89" s="619"/>
      <c r="O89" s="89"/>
      <c r="V89" s="89"/>
    </row>
    <row r="90" spans="3:22" ht="14.1" customHeight="1">
      <c r="C90" s="541"/>
      <c r="D90" s="187"/>
      <c r="E90" s="199"/>
      <c r="F90" s="619"/>
      <c r="G90" s="618"/>
      <c r="H90" s="617"/>
      <c r="I90" s="617"/>
      <c r="J90" s="617"/>
      <c r="K90" s="619"/>
      <c r="L90" s="619"/>
      <c r="O90" s="89"/>
      <c r="V90" s="89"/>
    </row>
    <row r="91" spans="3:22" ht="14.1" customHeight="1">
      <c r="C91" s="4" t="s">
        <v>189</v>
      </c>
      <c r="D91" s="4" t="s">
        <v>189</v>
      </c>
      <c r="E91" s="199"/>
      <c r="F91" s="444"/>
      <c r="G91" s="444"/>
      <c r="H91" s="444"/>
      <c r="I91" s="444"/>
      <c r="J91" s="444"/>
      <c r="K91" s="444"/>
      <c r="L91" s="444"/>
      <c r="O91" s="89"/>
    </row>
    <row r="92" spans="3:22" ht="14.1" customHeight="1">
      <c r="C92" s="69" t="s">
        <v>416</v>
      </c>
      <c r="D92" s="188" t="s">
        <v>527</v>
      </c>
      <c r="E92" s="615">
        <v>648620</v>
      </c>
      <c r="F92" s="618" t="s">
        <v>160</v>
      </c>
      <c r="G92" s="620"/>
      <c r="H92" s="618"/>
      <c r="I92" s="618"/>
      <c r="J92" s="618" t="s">
        <v>192</v>
      </c>
      <c r="K92" s="618" t="s">
        <v>192</v>
      </c>
      <c r="L92" s="618" t="s">
        <v>192</v>
      </c>
      <c r="O92" s="34"/>
      <c r="P92" s="34"/>
      <c r="Q92" s="34"/>
      <c r="R92" s="34"/>
      <c r="S92" s="34"/>
      <c r="T92" s="34"/>
      <c r="U92" s="34"/>
    </row>
    <row r="93" spans="3:22" ht="14.1" customHeight="1">
      <c r="C93" s="550" t="s">
        <v>417</v>
      </c>
      <c r="D93" s="189" t="s">
        <v>193</v>
      </c>
      <c r="E93" s="615">
        <v>652357</v>
      </c>
      <c r="F93" s="620"/>
      <c r="G93" s="616" t="s">
        <v>574</v>
      </c>
      <c r="H93" s="618"/>
      <c r="I93" s="618" t="s">
        <v>192</v>
      </c>
      <c r="J93" s="568" t="s">
        <v>192</v>
      </c>
      <c r="K93" s="568" t="s">
        <v>192</v>
      </c>
      <c r="L93" s="568" t="s">
        <v>192</v>
      </c>
      <c r="O93" s="34"/>
      <c r="P93" s="34"/>
      <c r="Q93" s="34"/>
      <c r="R93" s="34"/>
      <c r="S93" s="34"/>
      <c r="T93" s="34"/>
      <c r="U93" s="34"/>
    </row>
    <row r="94" spans="3:22" ht="14.1" customHeight="1">
      <c r="C94" s="69" t="s">
        <v>418</v>
      </c>
      <c r="D94" s="551" t="s">
        <v>196</v>
      </c>
      <c r="E94" s="631">
        <v>703714</v>
      </c>
      <c r="F94" s="618" t="s">
        <v>149</v>
      </c>
      <c r="G94" s="618" t="s">
        <v>191</v>
      </c>
      <c r="H94" s="618"/>
      <c r="I94" s="617"/>
      <c r="J94" s="618"/>
      <c r="K94" s="618" t="s">
        <v>150</v>
      </c>
      <c r="L94" s="618" t="s">
        <v>191</v>
      </c>
      <c r="O94" s="89"/>
    </row>
    <row r="95" spans="3:22" ht="14.1" customHeight="1">
      <c r="C95" s="87" t="s">
        <v>419</v>
      </c>
      <c r="D95" s="189" t="s">
        <v>198</v>
      </c>
      <c r="E95" s="615">
        <v>655089</v>
      </c>
      <c r="F95" s="568" t="s">
        <v>149</v>
      </c>
      <c r="G95" s="568" t="s">
        <v>149</v>
      </c>
      <c r="H95" s="618" t="s">
        <v>150</v>
      </c>
      <c r="I95" s="618" t="s">
        <v>150</v>
      </c>
      <c r="J95" s="626" t="s">
        <v>167</v>
      </c>
      <c r="K95" s="622"/>
      <c r="L95" s="622"/>
      <c r="O95" s="34"/>
      <c r="P95" s="34"/>
      <c r="Q95" s="34"/>
      <c r="R95" s="34"/>
      <c r="S95" s="34"/>
    </row>
    <row r="96" spans="3:22" ht="14.1" customHeight="1">
      <c r="C96" s="69" t="s">
        <v>420</v>
      </c>
      <c r="D96" s="190" t="s">
        <v>199</v>
      </c>
      <c r="E96" s="615">
        <v>649364</v>
      </c>
      <c r="F96" s="618"/>
      <c r="G96" s="618" t="s">
        <v>149</v>
      </c>
      <c r="H96" s="618"/>
      <c r="I96" s="617"/>
      <c r="J96" s="618" t="s">
        <v>149</v>
      </c>
      <c r="K96" s="620"/>
      <c r="L96" s="618" t="s">
        <v>150</v>
      </c>
      <c r="O96" s="89"/>
    </row>
    <row r="97" spans="3:15" ht="14.1" customHeight="1">
      <c r="C97" s="543" t="s">
        <v>421</v>
      </c>
      <c r="D97" s="191" t="s">
        <v>200</v>
      </c>
      <c r="E97" s="615">
        <v>700872</v>
      </c>
      <c r="F97" s="618" t="s">
        <v>192</v>
      </c>
      <c r="G97" s="618" t="s">
        <v>192</v>
      </c>
      <c r="H97" s="618" t="s">
        <v>192</v>
      </c>
      <c r="I97" s="618" t="s">
        <v>192</v>
      </c>
      <c r="J97" s="618"/>
      <c r="K97" s="645"/>
      <c r="L97" s="645"/>
      <c r="O97" s="89"/>
    </row>
    <row r="98" spans="3:15" ht="14.1" customHeight="1">
      <c r="C98" s="543" t="s">
        <v>422</v>
      </c>
      <c r="D98" s="552" t="s">
        <v>202</v>
      </c>
      <c r="E98" s="631">
        <v>703861</v>
      </c>
      <c r="F98" s="618" t="s">
        <v>149</v>
      </c>
      <c r="G98" s="618" t="s">
        <v>149</v>
      </c>
      <c r="H98" s="617"/>
      <c r="I98" s="624" t="s">
        <v>167</v>
      </c>
      <c r="J98" s="618" t="s">
        <v>191</v>
      </c>
      <c r="K98" s="617"/>
      <c r="L98" s="617"/>
      <c r="O98" s="89"/>
    </row>
    <row r="99" spans="3:15" ht="14.1" customHeight="1">
      <c r="C99" s="543" t="s">
        <v>423</v>
      </c>
      <c r="D99" s="192" t="s">
        <v>204</v>
      </c>
      <c r="E99" s="615">
        <v>652868</v>
      </c>
      <c r="F99" s="618" t="s">
        <v>150</v>
      </c>
      <c r="G99" s="618" t="s">
        <v>150</v>
      </c>
      <c r="H99" s="618"/>
      <c r="I99" s="618" t="s">
        <v>149</v>
      </c>
      <c r="J99" s="618" t="s">
        <v>149</v>
      </c>
      <c r="K99" s="618"/>
      <c r="L99" s="618"/>
      <c r="O99" s="89"/>
    </row>
    <row r="100" spans="3:15" ht="14.1" customHeight="1">
      <c r="C100" s="543" t="s">
        <v>424</v>
      </c>
      <c r="D100" s="189" t="s">
        <v>205</v>
      </c>
      <c r="E100" s="615">
        <v>652998</v>
      </c>
      <c r="F100" s="617"/>
      <c r="G100" s="617"/>
      <c r="H100" s="618" t="s">
        <v>191</v>
      </c>
      <c r="I100" s="619"/>
      <c r="J100" s="619"/>
      <c r="K100" s="617"/>
      <c r="L100" s="617"/>
      <c r="O100" s="89"/>
    </row>
    <row r="101" spans="3:15" ht="14.1" customHeight="1">
      <c r="C101" s="543" t="s">
        <v>425</v>
      </c>
      <c r="D101" s="193" t="s">
        <v>206</v>
      </c>
      <c r="E101" s="631">
        <v>654959</v>
      </c>
      <c r="F101" s="617"/>
      <c r="G101" s="617"/>
      <c r="H101" s="618" t="s">
        <v>150</v>
      </c>
      <c r="I101" s="618" t="s">
        <v>191</v>
      </c>
      <c r="J101" s="618"/>
      <c r="K101" s="618" t="s">
        <v>149</v>
      </c>
      <c r="L101" s="618" t="s">
        <v>149</v>
      </c>
      <c r="O101" s="89"/>
    </row>
    <row r="102" spans="3:15" ht="14.1" customHeight="1">
      <c r="C102" s="85" t="s">
        <v>426</v>
      </c>
      <c r="D102" s="551" t="s">
        <v>207</v>
      </c>
      <c r="E102" s="615">
        <v>654981</v>
      </c>
      <c r="F102" s="624" t="s">
        <v>505</v>
      </c>
      <c r="G102" s="618" t="s">
        <v>192</v>
      </c>
      <c r="H102" s="618" t="s">
        <v>192</v>
      </c>
      <c r="I102" s="617"/>
      <c r="J102" s="617"/>
      <c r="K102" s="618"/>
      <c r="L102" s="618"/>
      <c r="O102" s="89"/>
    </row>
    <row r="103" spans="3:15" ht="14.1" customHeight="1">
      <c r="C103" s="85" t="s">
        <v>427</v>
      </c>
      <c r="D103" s="553" t="s">
        <v>208</v>
      </c>
      <c r="E103" s="615">
        <v>703795</v>
      </c>
      <c r="F103" s="618" t="s">
        <v>192</v>
      </c>
      <c r="G103" s="617"/>
      <c r="H103" s="617"/>
      <c r="I103" s="618" t="s">
        <v>149</v>
      </c>
      <c r="J103" s="624" t="s">
        <v>163</v>
      </c>
      <c r="K103" s="617"/>
      <c r="L103" s="617"/>
      <c r="O103" s="89"/>
    </row>
    <row r="104" spans="3:15" ht="14.1" customHeight="1">
      <c r="C104" s="730" t="s">
        <v>428</v>
      </c>
      <c r="D104" s="551" t="s">
        <v>209</v>
      </c>
      <c r="E104" s="615">
        <v>652364</v>
      </c>
      <c r="F104" s="620"/>
      <c r="G104" s="616" t="s">
        <v>317</v>
      </c>
      <c r="H104" s="618" t="s">
        <v>149</v>
      </c>
      <c r="I104" s="620"/>
      <c r="J104" s="617"/>
      <c r="K104" s="617"/>
      <c r="L104" s="617"/>
      <c r="O104" s="89"/>
    </row>
    <row r="105" spans="3:15" ht="14.1" customHeight="1">
      <c r="C105" s="543" t="s">
        <v>429</v>
      </c>
      <c r="D105" s="551" t="s">
        <v>210</v>
      </c>
      <c r="E105" s="615">
        <v>644433</v>
      </c>
      <c r="F105" s="620"/>
      <c r="G105" s="617"/>
      <c r="H105" s="617"/>
      <c r="I105" s="617"/>
      <c r="J105" s="624" t="s">
        <v>183</v>
      </c>
      <c r="K105" s="618" t="s">
        <v>191</v>
      </c>
      <c r="L105" s="618"/>
      <c r="O105" s="89"/>
    </row>
    <row r="106" spans="3:15" ht="14.1" customHeight="1">
      <c r="C106" s="87" t="s">
        <v>430</v>
      </c>
      <c r="D106" s="551" t="s">
        <v>211</v>
      </c>
      <c r="E106" s="615">
        <v>650602</v>
      </c>
      <c r="F106" s="691" t="s">
        <v>31</v>
      </c>
      <c r="G106" s="691"/>
      <c r="H106" s="691"/>
      <c r="I106" s="691"/>
      <c r="J106" s="691"/>
      <c r="K106" s="691"/>
      <c r="L106" s="691"/>
      <c r="O106" s="89"/>
    </row>
    <row r="107" spans="3:15" ht="14.1" customHeight="1">
      <c r="C107" s="87" t="s">
        <v>431</v>
      </c>
      <c r="D107" s="552" t="s">
        <v>212</v>
      </c>
      <c r="E107" s="631">
        <v>704893</v>
      </c>
      <c r="F107" s="622"/>
      <c r="G107" s="622"/>
      <c r="H107" s="617"/>
      <c r="I107" s="618"/>
      <c r="J107" s="618" t="s">
        <v>192</v>
      </c>
      <c r="K107" s="618" t="s">
        <v>192</v>
      </c>
      <c r="L107" s="618" t="s">
        <v>192</v>
      </c>
      <c r="O107" s="89"/>
    </row>
    <row r="108" spans="3:15" ht="14.1" customHeight="1">
      <c r="C108" s="87" t="s">
        <v>432</v>
      </c>
      <c r="D108" s="194" t="s">
        <v>214</v>
      </c>
      <c r="E108" s="615">
        <v>636733</v>
      </c>
      <c r="F108" s="618" t="s">
        <v>178</v>
      </c>
      <c r="G108" s="565" t="s">
        <v>178</v>
      </c>
      <c r="H108" s="565" t="s">
        <v>178</v>
      </c>
      <c r="I108" s="565" t="s">
        <v>178</v>
      </c>
      <c r="J108" s="618"/>
      <c r="K108" s="618"/>
      <c r="L108" s="618"/>
      <c r="O108" s="89"/>
    </row>
    <row r="109" spans="3:15" ht="14.1" customHeight="1">
      <c r="C109" s="69" t="s">
        <v>433</v>
      </c>
      <c r="D109" s="195" t="s">
        <v>216</v>
      </c>
      <c r="E109" s="200">
        <v>637770</v>
      </c>
      <c r="F109" s="254" t="s">
        <v>553</v>
      </c>
      <c r="G109" s="254"/>
      <c r="H109" s="254"/>
      <c r="I109" s="254"/>
      <c r="J109" s="254"/>
      <c r="K109" s="254"/>
      <c r="L109" s="254"/>
      <c r="O109" s="89"/>
    </row>
    <row r="110" spans="3:15" ht="14.1" customHeight="1">
      <c r="C110" s="543"/>
      <c r="D110" s="554"/>
      <c r="E110" s="625"/>
      <c r="F110" s="617"/>
      <c r="G110" s="617"/>
      <c r="H110" s="617"/>
      <c r="I110" s="617"/>
      <c r="J110" s="617"/>
      <c r="K110" s="617"/>
      <c r="L110" s="617"/>
      <c r="O110" s="89"/>
    </row>
    <row r="111" spans="3:15" ht="14.1" customHeight="1" thickBot="1">
      <c r="C111" s="543"/>
      <c r="D111" s="554"/>
      <c r="E111" s="166"/>
      <c r="F111" s="760" t="s">
        <v>218</v>
      </c>
      <c r="G111" s="761"/>
      <c r="H111" s="761"/>
      <c r="I111" s="761"/>
      <c r="J111" s="761"/>
      <c r="K111" s="761"/>
      <c r="L111" s="762"/>
      <c r="O111" s="89"/>
    </row>
    <row r="112" spans="3:15" ht="14.1" customHeight="1">
      <c r="C112" s="555" t="s">
        <v>434</v>
      </c>
      <c r="D112" s="167" t="s">
        <v>219</v>
      </c>
      <c r="E112" s="114"/>
      <c r="F112" s="71">
        <f t="shared" ref="F112:L112" si="20">F4</f>
        <v>46132</v>
      </c>
      <c r="G112" s="71">
        <f t="shared" si="20"/>
        <v>46133</v>
      </c>
      <c r="H112" s="71">
        <f t="shared" si="20"/>
        <v>46134</v>
      </c>
      <c r="I112" s="71">
        <f t="shared" si="20"/>
        <v>46135</v>
      </c>
      <c r="J112" s="71">
        <f t="shared" si="20"/>
        <v>46136</v>
      </c>
      <c r="K112" s="71">
        <f t="shared" si="20"/>
        <v>46137</v>
      </c>
      <c r="L112" s="71">
        <f t="shared" si="20"/>
        <v>46138</v>
      </c>
      <c r="O112" s="89"/>
    </row>
    <row r="113" spans="3:15" ht="14.1" customHeight="1">
      <c r="C113" s="556" t="s">
        <v>435</v>
      </c>
      <c r="D113" s="557" t="s">
        <v>220</v>
      </c>
      <c r="E113" s="633">
        <v>654686</v>
      </c>
      <c r="F113" s="309" t="s">
        <v>606</v>
      </c>
      <c r="G113" s="593"/>
      <c r="H113" s="593"/>
      <c r="I113" s="593"/>
      <c r="J113" s="309"/>
      <c r="K113" s="309"/>
      <c r="L113" s="309"/>
      <c r="O113" s="89"/>
    </row>
    <row r="114" spans="3:15" ht="14.1" customHeight="1">
      <c r="C114" s="556" t="s">
        <v>436</v>
      </c>
      <c r="D114" s="557" t="s">
        <v>227</v>
      </c>
      <c r="E114" s="633">
        <v>700581</v>
      </c>
      <c r="F114" s="635"/>
      <c r="G114" s="635"/>
      <c r="H114" s="635"/>
      <c r="I114" s="635"/>
      <c r="J114" s="635"/>
      <c r="K114" s="635"/>
      <c r="L114" s="635"/>
      <c r="O114" s="89"/>
    </row>
    <row r="115" spans="3:15" ht="14.1" customHeight="1">
      <c r="C115" s="88" t="s">
        <v>437</v>
      </c>
      <c r="D115" s="713" t="s">
        <v>228</v>
      </c>
      <c r="E115" s="671">
        <v>700540</v>
      </c>
      <c r="F115" s="566"/>
      <c r="G115" s="566"/>
      <c r="H115" s="566"/>
      <c r="I115" s="566" t="s">
        <v>226</v>
      </c>
      <c r="J115" s="566" t="s">
        <v>221</v>
      </c>
      <c r="K115" s="566" t="s">
        <v>223</v>
      </c>
      <c r="L115" s="566" t="s">
        <v>221</v>
      </c>
      <c r="O115" s="89"/>
    </row>
    <row r="116" spans="3:15" ht="14.1" customHeight="1">
      <c r="C116" s="556" t="s">
        <v>438</v>
      </c>
      <c r="D116" s="557" t="s">
        <v>230</v>
      </c>
      <c r="E116" s="633">
        <v>646665</v>
      </c>
      <c r="F116" s="565"/>
      <c r="G116" s="565" t="s">
        <v>150</v>
      </c>
      <c r="H116" s="565" t="s">
        <v>223</v>
      </c>
      <c r="I116" s="565" t="s">
        <v>222</v>
      </c>
      <c r="J116" s="565"/>
      <c r="K116" s="565"/>
      <c r="L116" s="565"/>
      <c r="O116" s="89"/>
    </row>
    <row r="117" spans="3:15" ht="14.1" customHeight="1">
      <c r="C117" s="556" t="s">
        <v>439</v>
      </c>
      <c r="D117" s="557" t="s">
        <v>231</v>
      </c>
      <c r="E117" s="633">
        <v>654598</v>
      </c>
      <c r="F117" s="565" t="s">
        <v>150</v>
      </c>
      <c r="G117" s="565"/>
      <c r="H117" s="565" t="s">
        <v>150</v>
      </c>
      <c r="I117" s="565" t="s">
        <v>150</v>
      </c>
      <c r="J117" s="565" t="s">
        <v>150</v>
      </c>
      <c r="K117" s="565" t="s">
        <v>150</v>
      </c>
      <c r="L117" s="565"/>
      <c r="O117" s="89"/>
    </row>
    <row r="118" spans="3:15" ht="14.1" customHeight="1">
      <c r="C118" s="556" t="s">
        <v>440</v>
      </c>
      <c r="D118" s="557" t="s">
        <v>232</v>
      </c>
      <c r="E118" s="633">
        <v>700591</v>
      </c>
      <c r="F118" s="578" t="s">
        <v>359</v>
      </c>
      <c r="G118" s="578" t="s">
        <v>519</v>
      </c>
      <c r="H118" s="565" t="s">
        <v>222</v>
      </c>
      <c r="I118" s="565" t="s">
        <v>221</v>
      </c>
      <c r="J118" s="565"/>
      <c r="K118" s="565"/>
      <c r="L118" s="565"/>
      <c r="O118" s="89"/>
    </row>
    <row r="119" spans="3:15" ht="14.1" customHeight="1">
      <c r="C119" s="556" t="s">
        <v>441</v>
      </c>
      <c r="D119" s="557" t="s">
        <v>233</v>
      </c>
      <c r="E119" s="633">
        <v>700648</v>
      </c>
      <c r="F119" s="635"/>
      <c r="G119" s="635"/>
      <c r="H119" s="635"/>
      <c r="I119" s="635"/>
      <c r="J119" s="635"/>
      <c r="K119" s="635"/>
      <c r="L119" s="635"/>
      <c r="O119" s="89"/>
    </row>
    <row r="120" spans="3:15" ht="14.1" customHeight="1">
      <c r="C120" s="556" t="s">
        <v>443</v>
      </c>
      <c r="D120" s="557" t="s">
        <v>234</v>
      </c>
      <c r="E120" s="633">
        <v>700653</v>
      </c>
      <c r="F120" s="565"/>
      <c r="G120" s="565"/>
      <c r="H120" s="565" t="s">
        <v>150</v>
      </c>
      <c r="I120" s="565" t="s">
        <v>150</v>
      </c>
      <c r="J120" s="565" t="s">
        <v>150</v>
      </c>
      <c r="K120" s="565"/>
      <c r="L120" s="565" t="s">
        <v>149</v>
      </c>
      <c r="O120" s="89"/>
    </row>
    <row r="121" spans="3:15" ht="14.1" customHeight="1">
      <c r="C121" s="556" t="s">
        <v>444</v>
      </c>
      <c r="D121" s="557" t="s">
        <v>235</v>
      </c>
      <c r="E121" s="633">
        <v>700604</v>
      </c>
      <c r="F121" s="565" t="s">
        <v>225</v>
      </c>
      <c r="G121" s="565" t="s">
        <v>221</v>
      </c>
      <c r="H121" s="565" t="s">
        <v>222</v>
      </c>
      <c r="I121" s="565" t="s">
        <v>223</v>
      </c>
      <c r="J121" s="565"/>
      <c r="K121" s="565"/>
      <c r="L121" s="565"/>
      <c r="O121" s="89"/>
    </row>
    <row r="122" spans="3:15" ht="14.1" customHeight="1">
      <c r="C122" s="556" t="s">
        <v>445</v>
      </c>
      <c r="D122" s="557" t="s">
        <v>236</v>
      </c>
      <c r="E122" s="633">
        <v>655170</v>
      </c>
      <c r="F122" s="565" t="s">
        <v>226</v>
      </c>
      <c r="G122" s="565" t="s">
        <v>222</v>
      </c>
      <c r="H122" s="565" t="s">
        <v>221</v>
      </c>
      <c r="I122" s="565" t="s">
        <v>222</v>
      </c>
      <c r="J122" s="565"/>
      <c r="K122" s="565"/>
      <c r="L122" s="565"/>
      <c r="O122" s="89"/>
    </row>
    <row r="123" spans="3:15" ht="14.1" customHeight="1">
      <c r="C123" s="556" t="s">
        <v>446</v>
      </c>
      <c r="D123" s="557" t="s">
        <v>237</v>
      </c>
      <c r="E123" s="633">
        <v>703000</v>
      </c>
      <c r="F123" s="565"/>
      <c r="G123" s="565" t="s">
        <v>149</v>
      </c>
      <c r="H123" s="565" t="s">
        <v>224</v>
      </c>
      <c r="I123" s="565" t="s">
        <v>150</v>
      </c>
      <c r="J123" s="565" t="s">
        <v>150</v>
      </c>
      <c r="K123" s="565"/>
      <c r="L123" s="565"/>
      <c r="O123" s="89"/>
    </row>
    <row r="124" spans="3:15" ht="14.1" customHeight="1">
      <c r="C124" s="556" t="s">
        <v>447</v>
      </c>
      <c r="D124" s="557" t="s">
        <v>238</v>
      </c>
      <c r="E124" s="633">
        <v>702770</v>
      </c>
      <c r="F124" s="565" t="s">
        <v>150</v>
      </c>
      <c r="G124" s="565" t="s">
        <v>150</v>
      </c>
      <c r="H124" s="565"/>
      <c r="I124" s="565" t="s">
        <v>149</v>
      </c>
      <c r="J124" s="565" t="s">
        <v>224</v>
      </c>
      <c r="K124" s="565"/>
      <c r="L124" s="565"/>
      <c r="O124" s="89"/>
    </row>
    <row r="125" spans="3:15" ht="14.1" customHeight="1">
      <c r="C125" s="556" t="s">
        <v>448</v>
      </c>
      <c r="D125" s="557" t="s">
        <v>239</v>
      </c>
      <c r="E125" s="633">
        <v>704108</v>
      </c>
      <c r="F125" s="565" t="s">
        <v>223</v>
      </c>
      <c r="G125" s="565" t="s">
        <v>222</v>
      </c>
      <c r="H125" s="565"/>
      <c r="I125" s="565"/>
      <c r="J125" s="565" t="s">
        <v>532</v>
      </c>
      <c r="K125" s="565" t="s">
        <v>150</v>
      </c>
      <c r="L125" s="565"/>
      <c r="O125" s="89"/>
    </row>
    <row r="126" spans="3:15" ht="14.1" customHeight="1">
      <c r="C126" s="556" t="s">
        <v>449</v>
      </c>
      <c r="D126" s="557" t="s">
        <v>240</v>
      </c>
      <c r="E126" s="633">
        <v>700734</v>
      </c>
      <c r="F126" s="565"/>
      <c r="G126" s="565" t="s">
        <v>225</v>
      </c>
      <c r="H126" s="565" t="s">
        <v>150</v>
      </c>
      <c r="I126" s="565" t="s">
        <v>150</v>
      </c>
      <c r="J126" s="565" t="s">
        <v>150</v>
      </c>
      <c r="K126" s="565"/>
      <c r="L126" s="565"/>
      <c r="O126" s="89"/>
    </row>
    <row r="127" spans="3:15" ht="14.1" customHeight="1">
      <c r="C127" s="556" t="s">
        <v>450</v>
      </c>
      <c r="D127" s="557" t="s">
        <v>241</v>
      </c>
      <c r="E127" s="633">
        <v>702035</v>
      </c>
      <c r="F127" s="565" t="s">
        <v>222</v>
      </c>
      <c r="G127" s="565"/>
      <c r="H127" s="565"/>
      <c r="I127" s="565"/>
      <c r="J127" s="565" t="s">
        <v>225</v>
      </c>
      <c r="K127" s="565" t="s">
        <v>226</v>
      </c>
      <c r="L127" s="565" t="s">
        <v>150</v>
      </c>
      <c r="O127" s="89"/>
    </row>
    <row r="128" spans="3:15" ht="14.1" customHeight="1">
      <c r="C128" s="556" t="s">
        <v>451</v>
      </c>
      <c r="D128" s="557" t="s">
        <v>242</v>
      </c>
      <c r="E128" s="633">
        <v>702779</v>
      </c>
      <c r="F128" s="635"/>
      <c r="G128" s="635"/>
      <c r="H128" s="635"/>
      <c r="I128" s="635"/>
      <c r="J128" s="635"/>
      <c r="K128" s="635"/>
      <c r="L128" s="635"/>
      <c r="O128" s="89"/>
    </row>
    <row r="129" spans="3:15" ht="14.1" customHeight="1">
      <c r="C129" s="556" t="s">
        <v>452</v>
      </c>
      <c r="D129" s="557" t="s">
        <v>243</v>
      </c>
      <c r="E129" s="633">
        <v>641339</v>
      </c>
      <c r="F129" s="565" t="s">
        <v>222</v>
      </c>
      <c r="G129" s="565"/>
      <c r="H129" s="565"/>
      <c r="I129" s="565"/>
      <c r="J129" s="565" t="s">
        <v>226</v>
      </c>
      <c r="K129" s="565" t="s">
        <v>150</v>
      </c>
      <c r="L129" s="565" t="s">
        <v>150</v>
      </c>
      <c r="O129" s="89"/>
    </row>
    <row r="130" spans="3:15" ht="14.1" customHeight="1">
      <c r="C130" s="556" t="s">
        <v>453</v>
      </c>
      <c r="D130" s="557" t="s">
        <v>244</v>
      </c>
      <c r="E130" s="633">
        <v>703783</v>
      </c>
      <c r="F130" s="635"/>
      <c r="G130" s="635"/>
      <c r="H130" s="635"/>
      <c r="I130" s="635"/>
      <c r="J130" s="635"/>
      <c r="K130" s="635"/>
      <c r="L130" s="635"/>
      <c r="O130" s="89"/>
    </row>
    <row r="131" spans="3:15" ht="14.1" customHeight="1">
      <c r="C131" s="556" t="s">
        <v>454</v>
      </c>
      <c r="D131" s="557" t="s">
        <v>245</v>
      </c>
      <c r="E131" s="625">
        <v>702087</v>
      </c>
      <c r="F131" s="565"/>
      <c r="G131" s="565"/>
      <c r="H131" s="565"/>
      <c r="I131" s="565"/>
      <c r="J131" s="565"/>
      <c r="K131" s="565" t="s">
        <v>225</v>
      </c>
      <c r="L131" s="565" t="s">
        <v>224</v>
      </c>
      <c r="O131" s="89"/>
    </row>
    <row r="132" spans="3:15" ht="14.1" customHeight="1">
      <c r="C132" s="556" t="s">
        <v>455</v>
      </c>
      <c r="D132" s="558" t="s">
        <v>246</v>
      </c>
      <c r="E132" s="625">
        <v>705039</v>
      </c>
      <c r="F132" s="565" t="s">
        <v>224</v>
      </c>
      <c r="G132" s="565" t="s">
        <v>150</v>
      </c>
      <c r="H132" s="565" t="s">
        <v>150</v>
      </c>
      <c r="I132" s="565"/>
      <c r="J132" s="565" t="s">
        <v>149</v>
      </c>
      <c r="K132" s="565"/>
      <c r="L132" s="565"/>
      <c r="O132" s="89"/>
    </row>
    <row r="133" spans="3:15" ht="14.1" customHeight="1">
      <c r="C133" s="556" t="s">
        <v>456</v>
      </c>
      <c r="D133" s="557" t="s">
        <v>247</v>
      </c>
      <c r="E133" s="625">
        <v>703186</v>
      </c>
      <c r="F133" s="565" t="s">
        <v>150</v>
      </c>
      <c r="G133" s="578" t="s">
        <v>359</v>
      </c>
      <c r="H133" s="565"/>
      <c r="I133" s="565" t="s">
        <v>149</v>
      </c>
      <c r="J133" s="565" t="s">
        <v>149</v>
      </c>
      <c r="K133" s="565"/>
      <c r="L133" s="565"/>
      <c r="O133" s="89"/>
    </row>
    <row r="134" spans="3:15" ht="14.1" customHeight="1">
      <c r="C134" s="556" t="s">
        <v>458</v>
      </c>
      <c r="D134" s="557" t="s">
        <v>248</v>
      </c>
      <c r="E134" s="625">
        <v>703168</v>
      </c>
      <c r="F134" s="565"/>
      <c r="G134" s="565" t="s">
        <v>150</v>
      </c>
      <c r="H134" s="565" t="s">
        <v>226</v>
      </c>
      <c r="I134" s="565"/>
      <c r="J134" s="565"/>
      <c r="K134" s="565" t="s">
        <v>224</v>
      </c>
      <c r="L134" s="565" t="s">
        <v>149</v>
      </c>
      <c r="O134" s="89"/>
    </row>
    <row r="135" spans="3:15" ht="14.1" customHeight="1">
      <c r="C135" s="556" t="s">
        <v>459</v>
      </c>
      <c r="D135" s="557" t="s">
        <v>249</v>
      </c>
      <c r="E135" s="625">
        <v>703270</v>
      </c>
      <c r="F135" s="227" t="s">
        <v>250</v>
      </c>
      <c r="G135" s="635"/>
      <c r="H135" s="635"/>
      <c r="I135" s="565"/>
      <c r="J135" s="565"/>
      <c r="K135" s="565" t="s">
        <v>149</v>
      </c>
      <c r="L135" s="565" t="s">
        <v>150</v>
      </c>
      <c r="O135" s="89"/>
    </row>
    <row r="136" spans="3:15" ht="14.1" customHeight="1">
      <c r="C136" s="556" t="s">
        <v>460</v>
      </c>
      <c r="D136" s="558" t="s">
        <v>251</v>
      </c>
      <c r="E136" s="625">
        <v>702481</v>
      </c>
      <c r="F136" s="565" t="s">
        <v>221</v>
      </c>
      <c r="G136" s="565"/>
      <c r="H136" s="565"/>
      <c r="I136" s="565" t="s">
        <v>225</v>
      </c>
      <c r="J136" s="565"/>
      <c r="K136" s="565" t="s">
        <v>150</v>
      </c>
      <c r="L136" s="565" t="s">
        <v>226</v>
      </c>
      <c r="O136" s="89"/>
    </row>
    <row r="137" spans="3:15" ht="14.1" customHeight="1">
      <c r="C137" s="556" t="s">
        <v>461</v>
      </c>
      <c r="D137" s="558" t="s">
        <v>252</v>
      </c>
      <c r="E137" s="625">
        <v>700682</v>
      </c>
      <c r="F137" s="565"/>
      <c r="G137" s="565"/>
      <c r="H137" s="565" t="s">
        <v>149</v>
      </c>
      <c r="I137" s="565"/>
      <c r="J137" s="565" t="s">
        <v>222</v>
      </c>
      <c r="K137" s="565" t="s">
        <v>222</v>
      </c>
      <c r="L137" s="565" t="s">
        <v>222</v>
      </c>
      <c r="O137" s="89"/>
    </row>
    <row r="138" spans="3:15" ht="14.1" customHeight="1">
      <c r="C138" s="556" t="s">
        <v>462</v>
      </c>
      <c r="D138" s="558" t="s">
        <v>253</v>
      </c>
      <c r="E138" s="625">
        <v>700721</v>
      </c>
      <c r="F138" s="634"/>
      <c r="G138" s="634"/>
      <c r="H138" s="634"/>
      <c r="I138" s="634"/>
      <c r="J138" s="634"/>
      <c r="K138" s="634"/>
      <c r="L138" s="634"/>
      <c r="O138" s="89"/>
    </row>
    <row r="139" spans="3:15" ht="14.1" customHeight="1">
      <c r="C139" s="556" t="s">
        <v>463</v>
      </c>
      <c r="D139" s="558" t="s">
        <v>254</v>
      </c>
      <c r="E139" s="625">
        <v>703820</v>
      </c>
      <c r="F139" s="565" t="s">
        <v>149</v>
      </c>
      <c r="G139" s="565"/>
      <c r="H139" s="565"/>
      <c r="I139" s="565"/>
      <c r="J139" s="565" t="s">
        <v>223</v>
      </c>
      <c r="K139" s="565" t="s">
        <v>221</v>
      </c>
      <c r="L139" s="565" t="s">
        <v>222</v>
      </c>
      <c r="O139" s="89"/>
    </row>
    <row r="140" spans="3:15" ht="14.1" customHeight="1">
      <c r="C140" s="714" t="s">
        <v>464</v>
      </c>
      <c r="D140" s="715" t="s">
        <v>255</v>
      </c>
      <c r="E140" s="716">
        <v>703788</v>
      </c>
      <c r="F140" s="634"/>
      <c r="G140" s="634"/>
      <c r="H140" s="634"/>
      <c r="I140" s="634"/>
      <c r="J140" s="634"/>
      <c r="K140" s="634"/>
      <c r="L140" s="634"/>
      <c r="O140" s="89"/>
    </row>
    <row r="141" spans="3:15" ht="14.1" customHeight="1">
      <c r="C141" s="556" t="s">
        <v>465</v>
      </c>
      <c r="D141" s="558" t="s">
        <v>256</v>
      </c>
      <c r="E141" s="625">
        <v>700646</v>
      </c>
      <c r="F141" s="634"/>
      <c r="G141" s="634"/>
      <c r="H141" s="634"/>
      <c r="I141" s="634"/>
      <c r="J141" s="634"/>
      <c r="K141" s="634"/>
      <c r="L141" s="634"/>
      <c r="O141" s="89"/>
    </row>
    <row r="142" spans="3:15" ht="14.1" customHeight="1">
      <c r="C142" s="556" t="s">
        <v>466</v>
      </c>
      <c r="D142" s="558" t="s">
        <v>257</v>
      </c>
      <c r="E142" s="633">
        <v>655539</v>
      </c>
      <c r="F142" s="634"/>
      <c r="G142" s="634"/>
      <c r="H142" s="634"/>
      <c r="I142" s="634"/>
      <c r="J142" s="634"/>
      <c r="K142" s="634"/>
      <c r="L142" s="634"/>
      <c r="O142" s="89"/>
    </row>
    <row r="143" spans="3:15" ht="14.1" customHeight="1">
      <c r="C143" s="556" t="s">
        <v>467</v>
      </c>
      <c r="D143" s="559" t="s">
        <v>258</v>
      </c>
      <c r="E143" s="633">
        <v>653933</v>
      </c>
      <c r="F143" s="565"/>
      <c r="G143" s="565" t="s">
        <v>224</v>
      </c>
      <c r="H143" s="565" t="s">
        <v>229</v>
      </c>
      <c r="I143" s="565"/>
      <c r="J143" s="565"/>
      <c r="K143" s="565" t="s">
        <v>149</v>
      </c>
      <c r="L143" s="565" t="s">
        <v>225</v>
      </c>
      <c r="O143" s="89"/>
    </row>
    <row r="144" spans="3:15" ht="14.1" customHeight="1">
      <c r="C144" s="556" t="s">
        <v>464</v>
      </c>
      <c r="D144" s="558" t="s">
        <v>255</v>
      </c>
      <c r="E144" s="625">
        <v>703788</v>
      </c>
      <c r="F144" s="565"/>
      <c r="G144" s="565"/>
      <c r="H144" s="565" t="s">
        <v>149</v>
      </c>
      <c r="I144" s="565"/>
      <c r="J144" s="565" t="s">
        <v>222</v>
      </c>
      <c r="K144" s="565" t="s">
        <v>222</v>
      </c>
      <c r="L144" s="565" t="s">
        <v>223</v>
      </c>
      <c r="O144" s="89"/>
    </row>
    <row r="145" spans="3:15" ht="14.1" customHeight="1">
      <c r="C145" s="556" t="s">
        <v>607</v>
      </c>
      <c r="D145" s="287" t="s">
        <v>608</v>
      </c>
      <c r="E145" s="306">
        <v>654995</v>
      </c>
      <c r="F145" s="310" t="s">
        <v>530</v>
      </c>
      <c r="G145" s="565" t="s">
        <v>149</v>
      </c>
      <c r="H145" s="565" t="s">
        <v>225</v>
      </c>
      <c r="I145" s="565" t="s">
        <v>224</v>
      </c>
      <c r="J145" s="565"/>
      <c r="K145" s="565"/>
      <c r="L145" s="586"/>
      <c r="O145" s="89"/>
    </row>
    <row r="146" spans="3:15" ht="14.1" customHeight="1">
      <c r="C146" s="556"/>
      <c r="D146" s="286"/>
      <c r="E146" s="304"/>
      <c r="G146" s="566"/>
      <c r="H146" s="566"/>
      <c r="I146" s="566"/>
      <c r="J146" s="566"/>
      <c r="K146" s="566"/>
      <c r="L146" s="717"/>
      <c r="O146" s="89"/>
    </row>
    <row r="147" spans="3:15" ht="14.1" customHeight="1">
      <c r="C147" s="560" t="s">
        <v>472</v>
      </c>
      <c r="D147" s="462" t="s">
        <v>260</v>
      </c>
      <c r="E147" s="463"/>
      <c r="F147" s="210"/>
      <c r="G147" s="578"/>
      <c r="H147" s="578"/>
      <c r="I147" s="578"/>
      <c r="J147" s="578"/>
      <c r="K147" s="578"/>
      <c r="L147" s="679"/>
      <c r="O147" s="89"/>
    </row>
    <row r="148" spans="3:15" ht="14.1" customHeight="1">
      <c r="C148" s="561" t="s">
        <v>554</v>
      </c>
      <c r="D148" s="694" t="s">
        <v>555</v>
      </c>
      <c r="E148" s="695">
        <v>703323</v>
      </c>
      <c r="F148" s="271" t="s">
        <v>561</v>
      </c>
      <c r="G148" s="261" t="s">
        <v>149</v>
      </c>
      <c r="H148" s="261" t="s">
        <v>149</v>
      </c>
      <c r="I148" s="261" t="s">
        <v>149</v>
      </c>
      <c r="J148" s="261" t="s">
        <v>149</v>
      </c>
      <c r="K148" s="261" t="s">
        <v>561</v>
      </c>
      <c r="L148" s="262" t="s">
        <v>561</v>
      </c>
      <c r="O148" s="89"/>
    </row>
    <row r="149" spans="3:15" ht="14.1" customHeight="1">
      <c r="C149" s="561" t="s">
        <v>556</v>
      </c>
      <c r="D149" s="307" t="s">
        <v>557</v>
      </c>
      <c r="E149" s="308">
        <v>703564</v>
      </c>
      <c r="F149" s="271" t="s">
        <v>561</v>
      </c>
      <c r="G149" s="261" t="s">
        <v>149</v>
      </c>
      <c r="H149" s="261" t="s">
        <v>149</v>
      </c>
      <c r="I149" s="261" t="s">
        <v>561</v>
      </c>
      <c r="J149" s="261" t="s">
        <v>561</v>
      </c>
      <c r="K149" s="261" t="s">
        <v>149</v>
      </c>
      <c r="L149" s="262" t="s">
        <v>149</v>
      </c>
      <c r="O149" s="89"/>
    </row>
    <row r="150" spans="3:15" ht="14.1" customHeight="1">
      <c r="C150" s="561" t="s">
        <v>587</v>
      </c>
      <c r="D150" s="307" t="s">
        <v>559</v>
      </c>
      <c r="E150" s="308">
        <v>703800</v>
      </c>
      <c r="F150" s="271" t="s">
        <v>149</v>
      </c>
      <c r="G150" s="273" t="s">
        <v>601</v>
      </c>
      <c r="H150" s="261" t="s">
        <v>561</v>
      </c>
      <c r="I150" s="261" t="s">
        <v>561</v>
      </c>
      <c r="J150" s="261" t="s">
        <v>561</v>
      </c>
      <c r="K150" s="261" t="s">
        <v>149</v>
      </c>
      <c r="L150" s="262" t="s">
        <v>149</v>
      </c>
      <c r="O150" s="89"/>
    </row>
    <row r="151" spans="3:15" ht="14.1" customHeight="1">
      <c r="C151" s="561" t="s">
        <v>562</v>
      </c>
      <c r="D151" s="307" t="s">
        <v>563</v>
      </c>
      <c r="E151" s="308">
        <v>703321</v>
      </c>
      <c r="F151" s="271" t="s">
        <v>561</v>
      </c>
      <c r="G151" s="261" t="s">
        <v>561</v>
      </c>
      <c r="H151" s="261" t="s">
        <v>561</v>
      </c>
      <c r="I151" s="261" t="s">
        <v>561</v>
      </c>
      <c r="J151" s="261" t="s">
        <v>150</v>
      </c>
      <c r="K151" s="261" t="s">
        <v>150</v>
      </c>
      <c r="L151" s="262" t="s">
        <v>150</v>
      </c>
      <c r="O151" s="89"/>
    </row>
    <row r="152" spans="3:15" ht="14.1" customHeight="1">
      <c r="C152" s="561" t="s">
        <v>565</v>
      </c>
      <c r="D152" s="307" t="s">
        <v>566</v>
      </c>
      <c r="E152" s="308">
        <v>703351</v>
      </c>
      <c r="F152" s="270" t="s">
        <v>263</v>
      </c>
      <c r="G152" s="258" t="s">
        <v>263</v>
      </c>
      <c r="H152" s="258" t="s">
        <v>263</v>
      </c>
      <c r="I152" s="258" t="s">
        <v>263</v>
      </c>
      <c r="J152" s="258" t="s">
        <v>263</v>
      </c>
      <c r="K152" s="258" t="s">
        <v>263</v>
      </c>
      <c r="L152" s="259" t="s">
        <v>263</v>
      </c>
      <c r="O152" s="89"/>
    </row>
    <row r="153" spans="3:15" ht="14.1" customHeight="1">
      <c r="C153" s="561" t="s">
        <v>568</v>
      </c>
      <c r="D153" s="307" t="s">
        <v>569</v>
      </c>
      <c r="E153" s="308">
        <v>703574</v>
      </c>
      <c r="F153" s="270" t="s">
        <v>263</v>
      </c>
      <c r="G153" s="258" t="s">
        <v>263</v>
      </c>
      <c r="H153" s="258" t="s">
        <v>263</v>
      </c>
      <c r="I153" s="258" t="s">
        <v>263</v>
      </c>
      <c r="J153" s="258" t="s">
        <v>263</v>
      </c>
      <c r="K153" s="258" t="s">
        <v>263</v>
      </c>
      <c r="L153" s="259" t="s">
        <v>263</v>
      </c>
      <c r="O153" s="89"/>
    </row>
    <row r="154" spans="3:15" ht="14.1" customHeight="1">
      <c r="C154" s="561" t="s">
        <v>570</v>
      </c>
      <c r="D154" s="307" t="s">
        <v>571</v>
      </c>
      <c r="E154" s="308">
        <v>703354</v>
      </c>
      <c r="F154" s="271" t="s">
        <v>150</v>
      </c>
      <c r="G154" s="261" t="s">
        <v>150</v>
      </c>
      <c r="H154" s="261" t="s">
        <v>150</v>
      </c>
      <c r="I154" s="261" t="s">
        <v>150</v>
      </c>
      <c r="J154" s="261" t="s">
        <v>561</v>
      </c>
      <c r="K154" s="261" t="s">
        <v>222</v>
      </c>
      <c r="L154" s="262" t="s">
        <v>222</v>
      </c>
      <c r="O154" s="89"/>
    </row>
    <row r="155" spans="3:15" ht="14.1" customHeight="1">
      <c r="C155" s="561" t="s">
        <v>572</v>
      </c>
      <c r="D155" s="307" t="s">
        <v>573</v>
      </c>
      <c r="E155" s="308">
        <v>703547</v>
      </c>
      <c r="F155" s="271" t="s">
        <v>150</v>
      </c>
      <c r="G155" s="261" t="s">
        <v>561</v>
      </c>
      <c r="H155" s="261" t="s">
        <v>149</v>
      </c>
      <c r="I155" s="261" t="s">
        <v>149</v>
      </c>
      <c r="J155" s="261" t="s">
        <v>149</v>
      </c>
      <c r="K155" s="261" t="s">
        <v>561</v>
      </c>
      <c r="L155" s="262" t="s">
        <v>561</v>
      </c>
      <c r="O155" s="89"/>
    </row>
    <row r="156" spans="3:15" ht="14.1" customHeight="1">
      <c r="C156" s="561" t="s">
        <v>575</v>
      </c>
      <c r="D156" s="307" t="s">
        <v>576</v>
      </c>
      <c r="E156" s="308">
        <v>703356</v>
      </c>
      <c r="F156" s="271" t="s">
        <v>222</v>
      </c>
      <c r="G156" s="261" t="s">
        <v>561</v>
      </c>
      <c r="H156" s="261" t="s">
        <v>561</v>
      </c>
      <c r="I156" s="261" t="s">
        <v>150</v>
      </c>
      <c r="J156" s="261" t="s">
        <v>150</v>
      </c>
      <c r="K156" s="261" t="s">
        <v>561</v>
      </c>
      <c r="L156" s="262" t="s">
        <v>561</v>
      </c>
      <c r="O156" s="89"/>
    </row>
    <row r="157" spans="3:15" ht="14.1" customHeight="1">
      <c r="C157" s="561" t="s">
        <v>577</v>
      </c>
      <c r="D157" s="307" t="s">
        <v>578</v>
      </c>
      <c r="E157" s="308">
        <v>703476</v>
      </c>
      <c r="F157" s="272" t="s">
        <v>561</v>
      </c>
      <c r="G157" s="264" t="s">
        <v>222</v>
      </c>
      <c r="H157" s="264" t="s">
        <v>222</v>
      </c>
      <c r="I157" s="264" t="s">
        <v>222</v>
      </c>
      <c r="J157" s="264" t="s">
        <v>222</v>
      </c>
      <c r="K157" s="264" t="s">
        <v>561</v>
      </c>
      <c r="L157" s="265" t="s">
        <v>561</v>
      </c>
      <c r="O157" s="89"/>
    </row>
    <row r="158" spans="3:15" ht="14.1" customHeight="1">
      <c r="C158" s="561"/>
      <c r="D158" s="295"/>
      <c r="E158" s="308"/>
      <c r="F158" s="296"/>
      <c r="G158" s="296"/>
      <c r="H158" s="296"/>
      <c r="I158" s="296"/>
      <c r="J158" s="296"/>
      <c r="K158" s="296"/>
      <c r="L158" s="296"/>
      <c r="O158" s="89"/>
    </row>
    <row r="159" spans="3:15" ht="14.1" customHeight="1">
      <c r="C159" s="561"/>
      <c r="D159" s="175"/>
      <c r="E159" s="114"/>
      <c r="F159" s="793" t="s">
        <v>275</v>
      </c>
      <c r="G159" s="794"/>
      <c r="H159" s="794"/>
      <c r="I159" s="794"/>
      <c r="J159" s="794"/>
      <c r="K159" s="794"/>
      <c r="L159" s="795"/>
      <c r="O159" s="89"/>
    </row>
    <row r="160" spans="3:15" ht="14.1" customHeight="1">
      <c r="D160" s="476"/>
      <c r="E160" s="477"/>
      <c r="F160" s="566"/>
      <c r="G160" s="566"/>
      <c r="H160" s="566"/>
      <c r="I160" s="566"/>
      <c r="J160" s="566"/>
      <c r="K160" s="566"/>
      <c r="L160" s="566"/>
      <c r="O160" s="89"/>
    </row>
    <row r="161" spans="3:15" ht="14.1" customHeight="1">
      <c r="D161" s="479"/>
      <c r="E161" s="477"/>
      <c r="F161" s="566"/>
      <c r="G161" s="566"/>
      <c r="H161" s="566"/>
      <c r="I161" s="566"/>
      <c r="J161" s="566"/>
      <c r="K161" s="566"/>
      <c r="L161" s="566"/>
      <c r="O161" s="89"/>
    </row>
    <row r="162" spans="3:15" ht="14.1" customHeight="1">
      <c r="C162" s="563" t="s">
        <v>488</v>
      </c>
      <c r="D162" s="479" t="s">
        <v>488</v>
      </c>
      <c r="E162" s="477"/>
      <c r="F162" s="566"/>
      <c r="G162" s="566"/>
      <c r="H162" s="566"/>
      <c r="I162" s="566"/>
      <c r="J162" s="566"/>
      <c r="K162" s="566"/>
      <c r="L162" s="566"/>
      <c r="O162" s="89"/>
    </row>
    <row r="163" spans="3:15" ht="14.1" customHeight="1">
      <c r="C163" s="563"/>
      <c r="D163" s="563"/>
      <c r="E163" s="477"/>
      <c r="F163" s="566"/>
      <c r="G163" s="566"/>
      <c r="H163" s="566"/>
      <c r="I163" s="566"/>
      <c r="J163" s="566"/>
      <c r="K163" s="566"/>
      <c r="L163" s="566"/>
      <c r="O163" s="89"/>
    </row>
    <row r="164" spans="3:15" ht="14.1" customHeight="1">
      <c r="C164" s="563"/>
      <c r="D164" s="563"/>
      <c r="E164" s="477"/>
      <c r="F164" s="566"/>
      <c r="G164" s="566"/>
      <c r="H164" s="566"/>
      <c r="I164" s="566"/>
      <c r="J164" s="566"/>
      <c r="K164" s="566"/>
      <c r="L164" s="566"/>
      <c r="O164" s="89"/>
    </row>
    <row r="165" spans="3:15" ht="14.1" customHeight="1">
      <c r="C165" s="563"/>
      <c r="D165" s="563"/>
      <c r="E165" s="477"/>
      <c r="F165" s="566"/>
      <c r="G165" s="566"/>
      <c r="H165" s="566"/>
      <c r="I165" s="566"/>
      <c r="J165" s="566"/>
      <c r="K165" s="566"/>
      <c r="L165" s="566"/>
      <c r="O165" s="89"/>
    </row>
    <row r="166" spans="3:15" ht="14.1" customHeight="1">
      <c r="C166" s="563"/>
      <c r="D166" s="563"/>
      <c r="E166" s="477"/>
      <c r="G166" s="566"/>
      <c r="H166" s="566"/>
      <c r="I166" s="566"/>
      <c r="J166" s="566"/>
      <c r="K166" s="566"/>
      <c r="L166" s="717"/>
      <c r="O166" s="89"/>
    </row>
    <row r="167" spans="3:15" ht="14.1" customHeight="1">
      <c r="C167" s="563"/>
      <c r="D167" s="563"/>
      <c r="E167" s="477"/>
      <c r="G167" s="566"/>
      <c r="H167" s="566"/>
      <c r="I167" s="566"/>
      <c r="J167" s="566"/>
      <c r="K167" s="566"/>
      <c r="L167" s="717"/>
      <c r="O167" s="89"/>
    </row>
    <row r="168" spans="3:15" ht="14.1" customHeight="1">
      <c r="C168" s="563"/>
      <c r="D168" s="563"/>
      <c r="E168" s="477"/>
      <c r="G168" s="566"/>
      <c r="H168" s="566"/>
      <c r="I168" s="566"/>
      <c r="J168" s="566"/>
      <c r="K168" s="566"/>
      <c r="L168" s="717"/>
      <c r="O168" s="89"/>
    </row>
    <row r="169" spans="3:15" ht="14.1" customHeight="1">
      <c r="C169" s="563"/>
      <c r="D169" s="563"/>
      <c r="E169" s="477"/>
      <c r="F169" s="210"/>
      <c r="G169" s="578"/>
      <c r="H169" s="578"/>
      <c r="I169" s="578"/>
      <c r="J169" s="578"/>
      <c r="K169" s="578"/>
      <c r="L169" s="679"/>
      <c r="O169" s="89"/>
    </row>
    <row r="170" spans="3:15" ht="14.1" customHeight="1">
      <c r="C170" s="538" t="s">
        <v>1</v>
      </c>
      <c r="D170" s="538" t="s">
        <v>1</v>
      </c>
      <c r="E170" s="615"/>
      <c r="F170" s="565">
        <f t="shared" ref="F170:L170" si="21">COUNTIF(F6:F168,"0800-1730*")+COUNTIF(F6:F168,"0800-1800*")+COUNTIF(F6:F168,"0730-*")-COUNTIF(F6:F168,"*0800-1730 CS*")-COUNTIF(F6:F168,"*0800-1800 CS*")-COUNTIF(F6:F168,"*0800-1730 PHNW*")-COUNTIF(F6:F168,"*0800-1730 DEMT*")-COUNTIF(F6:F168,"*0800-1730 DD*")</f>
        <v>15</v>
      </c>
      <c r="G170" s="565">
        <f t="shared" si="21"/>
        <v>17</v>
      </c>
      <c r="H170" s="565">
        <f t="shared" si="21"/>
        <v>16</v>
      </c>
      <c r="I170" s="565">
        <f t="shared" si="21"/>
        <v>16</v>
      </c>
      <c r="J170" s="565">
        <f t="shared" si="21"/>
        <v>16</v>
      </c>
      <c r="K170" s="565">
        <f t="shared" si="21"/>
        <v>14</v>
      </c>
      <c r="L170" s="565">
        <f t="shared" si="21"/>
        <v>14</v>
      </c>
      <c r="O170" s="89"/>
    </row>
    <row r="171" spans="3:15" ht="14.1" customHeight="1">
      <c r="C171" s="538" t="s">
        <v>276</v>
      </c>
      <c r="D171" s="538" t="s">
        <v>276</v>
      </c>
      <c r="E171" s="615"/>
      <c r="F171" s="65">
        <f t="shared" ref="F171:L171" si="22">COUNTIF(F6:F168,"*SWA*")</f>
        <v>0</v>
      </c>
      <c r="G171" s="65">
        <f t="shared" si="22"/>
        <v>0</v>
      </c>
      <c r="H171" s="65">
        <f t="shared" si="22"/>
        <v>2</v>
      </c>
      <c r="I171" s="65">
        <f t="shared" si="22"/>
        <v>0</v>
      </c>
      <c r="J171" s="65">
        <f t="shared" si="22"/>
        <v>1</v>
      </c>
      <c r="K171" s="65">
        <f t="shared" si="22"/>
        <v>1</v>
      </c>
      <c r="L171" s="65">
        <f t="shared" si="22"/>
        <v>0</v>
      </c>
      <c r="O171" s="89"/>
    </row>
    <row r="172" spans="3:15" ht="14.1" customHeight="1">
      <c r="C172" s="538" t="s">
        <v>2</v>
      </c>
      <c r="D172" s="538" t="s">
        <v>2</v>
      </c>
      <c r="E172" s="615"/>
      <c r="F172" s="65">
        <f t="shared" ref="F172:L172" si="23">COUNTIF(F6:F168,"*1400-*")+COUNTIF(F6:F168,"*1430-*")</f>
        <v>13</v>
      </c>
      <c r="G172" s="65">
        <f t="shared" si="23"/>
        <v>14</v>
      </c>
      <c r="H172" s="65">
        <f t="shared" si="23"/>
        <v>16</v>
      </c>
      <c r="I172" s="65">
        <f t="shared" si="23"/>
        <v>18</v>
      </c>
      <c r="J172" s="65">
        <f t="shared" si="23"/>
        <v>18</v>
      </c>
      <c r="K172" s="65">
        <f t="shared" si="23"/>
        <v>14</v>
      </c>
      <c r="L172" s="65">
        <f t="shared" si="23"/>
        <v>13</v>
      </c>
      <c r="O172" s="89"/>
    </row>
    <row r="173" spans="3:15" ht="14.1" customHeight="1">
      <c r="C173" s="538" t="s">
        <v>277</v>
      </c>
      <c r="D173" s="538" t="s">
        <v>277</v>
      </c>
      <c r="E173" s="615"/>
      <c r="F173" s="65">
        <f t="shared" ref="F173:L173" si="24">COUNTIF(F7:F168,"*SWP*")</f>
        <v>3</v>
      </c>
      <c r="G173" s="65">
        <f t="shared" si="24"/>
        <v>0</v>
      </c>
      <c r="H173" s="65">
        <f t="shared" si="24"/>
        <v>1</v>
      </c>
      <c r="I173" s="65">
        <f t="shared" si="24"/>
        <v>1</v>
      </c>
      <c r="J173" s="65">
        <f t="shared" si="24"/>
        <v>2</v>
      </c>
      <c r="K173" s="65">
        <f t="shared" si="24"/>
        <v>0</v>
      </c>
      <c r="L173" s="65">
        <f t="shared" si="24"/>
        <v>0</v>
      </c>
      <c r="O173" s="89"/>
    </row>
    <row r="174" spans="3:15" ht="14.1" customHeight="1" thickBot="1">
      <c r="C174" s="961" t="s">
        <v>278</v>
      </c>
      <c r="D174" s="961" t="s">
        <v>278</v>
      </c>
      <c r="E174" s="615"/>
      <c r="F174" s="65">
        <f t="shared" ref="F174:L174" si="25">COUNTIF(F6:F168,"2300-*")</f>
        <v>9</v>
      </c>
      <c r="G174" s="65">
        <f t="shared" si="25"/>
        <v>8</v>
      </c>
      <c r="H174" s="65">
        <f t="shared" si="25"/>
        <v>9</v>
      </c>
      <c r="I174" s="65">
        <f t="shared" si="25"/>
        <v>9</v>
      </c>
      <c r="J174" s="65">
        <f t="shared" si="25"/>
        <v>9</v>
      </c>
      <c r="K174" s="65">
        <f t="shared" si="25"/>
        <v>9</v>
      </c>
      <c r="L174" s="65">
        <f t="shared" si="25"/>
        <v>9</v>
      </c>
      <c r="O174" s="89"/>
    </row>
    <row r="175" spans="3:15" ht="14.1" customHeight="1">
      <c r="C175" s="84"/>
      <c r="D175" s="556"/>
      <c r="E175" s="615"/>
      <c r="F175" s="565"/>
      <c r="G175" s="565"/>
      <c r="H175" s="565"/>
      <c r="I175" s="565"/>
      <c r="J175" s="565"/>
      <c r="K175" s="565"/>
      <c r="L175" s="565"/>
      <c r="O175" s="89"/>
    </row>
    <row r="176" spans="3:15" ht="14.1" customHeight="1">
      <c r="C176" s="50"/>
      <c r="D176" s="556" t="s">
        <v>489</v>
      </c>
      <c r="E176" s="615"/>
      <c r="G176" s="566"/>
      <c r="H176" s="566"/>
      <c r="I176" s="566"/>
      <c r="J176" s="566"/>
      <c r="K176" s="566"/>
      <c r="L176" s="717"/>
      <c r="O176" s="89"/>
    </row>
    <row r="177" spans="3:15" ht="14.1" customHeight="1">
      <c r="C177" s="50"/>
      <c r="D177" s="139" t="s">
        <v>157</v>
      </c>
      <c r="E177" s="615"/>
      <c r="F177" s="962"/>
      <c r="G177" s="962"/>
      <c r="H177" s="963"/>
      <c r="I177" s="962"/>
      <c r="J177" s="962"/>
      <c r="K177" s="962"/>
      <c r="L177" s="962"/>
      <c r="O177" s="89"/>
    </row>
    <row r="178" spans="3:15" ht="14.1" customHeight="1">
      <c r="C178" s="50"/>
      <c r="D178" s="182" t="s">
        <v>159</v>
      </c>
      <c r="E178" s="615">
        <v>628440</v>
      </c>
      <c r="F178" s="962"/>
      <c r="G178" s="962"/>
      <c r="H178" s="964" t="s">
        <v>279</v>
      </c>
      <c r="I178" s="962"/>
      <c r="J178" s="962"/>
      <c r="K178" s="962"/>
      <c r="L178" s="962"/>
      <c r="O178" s="89"/>
    </row>
    <row r="179" spans="3:15" ht="14.1" customHeight="1">
      <c r="C179" s="50"/>
      <c r="D179" s="183" t="s">
        <v>164</v>
      </c>
      <c r="E179" s="615">
        <v>653976</v>
      </c>
      <c r="F179" s="962"/>
      <c r="G179" s="962"/>
      <c r="H179" s="964" t="s">
        <v>279</v>
      </c>
      <c r="I179" s="962"/>
      <c r="J179" s="962"/>
      <c r="K179" s="962"/>
      <c r="L179" s="962"/>
      <c r="O179" s="89"/>
    </row>
    <row r="180" spans="3:15" ht="14.1" customHeight="1">
      <c r="C180" s="50"/>
      <c r="D180" s="184" t="s">
        <v>166</v>
      </c>
      <c r="E180" s="615">
        <v>654362</v>
      </c>
      <c r="F180" s="962"/>
      <c r="G180" s="962"/>
      <c r="H180" s="964" t="s">
        <v>279</v>
      </c>
      <c r="I180" s="962"/>
      <c r="J180" s="962"/>
      <c r="K180" s="962"/>
      <c r="L180" s="962"/>
      <c r="O180" s="89"/>
    </row>
    <row r="181" spans="3:15" ht="14.1" customHeight="1">
      <c r="C181" s="50"/>
      <c r="D181" s="184" t="s">
        <v>168</v>
      </c>
      <c r="E181" s="615">
        <v>615829</v>
      </c>
      <c r="F181" s="962"/>
      <c r="G181" s="962"/>
      <c r="H181" s="964" t="s">
        <v>280</v>
      </c>
      <c r="I181" s="962"/>
      <c r="J181" s="962"/>
      <c r="K181" s="962"/>
      <c r="L181" s="962"/>
      <c r="O181" s="89"/>
    </row>
    <row r="182" spans="3:15" ht="14.1" customHeight="1">
      <c r="C182" s="50"/>
      <c r="D182" s="954" t="s">
        <v>170</v>
      </c>
      <c r="E182" s="615">
        <v>619567</v>
      </c>
      <c r="F182" s="962"/>
      <c r="G182" s="962"/>
      <c r="H182" s="964" t="s">
        <v>280</v>
      </c>
      <c r="I182" s="962"/>
      <c r="J182" s="962"/>
      <c r="K182" s="962"/>
      <c r="L182" s="962"/>
      <c r="O182" s="89"/>
    </row>
    <row r="183" spans="3:15" ht="14.1" customHeight="1">
      <c r="C183" s="50"/>
      <c r="D183" s="183" t="s">
        <v>171</v>
      </c>
      <c r="E183" s="615">
        <v>626157</v>
      </c>
      <c r="F183" s="962"/>
      <c r="G183" s="962"/>
      <c r="H183" s="964" t="s">
        <v>281</v>
      </c>
      <c r="I183" s="962"/>
      <c r="J183" s="962"/>
      <c r="K183" s="962"/>
      <c r="L183" s="962"/>
      <c r="O183" s="89"/>
    </row>
    <row r="184" spans="3:15" ht="14.1" customHeight="1">
      <c r="C184" s="50"/>
      <c r="D184" s="185" t="s">
        <v>173</v>
      </c>
      <c r="E184" s="615">
        <v>645122</v>
      </c>
      <c r="F184" s="962"/>
      <c r="G184" s="962"/>
      <c r="H184" s="964" t="s">
        <v>281</v>
      </c>
      <c r="I184" s="962"/>
      <c r="J184" s="962"/>
      <c r="K184" s="962"/>
      <c r="L184" s="962"/>
      <c r="O184" s="89"/>
    </row>
    <row r="185" spans="3:15" ht="14.1" customHeight="1">
      <c r="C185" s="50"/>
      <c r="D185" s="182" t="s">
        <v>174</v>
      </c>
      <c r="E185" s="615">
        <v>615820</v>
      </c>
      <c r="F185" s="962"/>
      <c r="G185" s="962"/>
      <c r="H185" s="964" t="s">
        <v>282</v>
      </c>
      <c r="I185" s="962"/>
      <c r="J185" s="962"/>
      <c r="K185" s="962"/>
      <c r="L185" s="962"/>
      <c r="O185" s="89"/>
    </row>
    <row r="186" spans="3:15" ht="14.1" customHeight="1" thickBot="1">
      <c r="C186" s="50"/>
      <c r="D186" s="197" t="s">
        <v>175</v>
      </c>
      <c r="E186" s="615">
        <v>624174</v>
      </c>
      <c r="F186" s="962"/>
      <c r="G186" s="962"/>
      <c r="H186" s="965" t="s">
        <v>283</v>
      </c>
      <c r="I186" s="962"/>
      <c r="J186" s="962"/>
      <c r="K186" s="962"/>
      <c r="L186" s="962"/>
      <c r="O186" s="89"/>
    </row>
    <row r="187" spans="3:15" ht="14.1" customHeight="1">
      <c r="C187" s="50"/>
      <c r="D187" s="70" t="s">
        <v>176</v>
      </c>
      <c r="E187" s="625"/>
      <c r="F187" s="962"/>
      <c r="G187" s="962"/>
      <c r="H187" s="963"/>
      <c r="I187" s="962"/>
      <c r="J187" s="962"/>
      <c r="K187" s="962"/>
      <c r="L187" s="962"/>
      <c r="O187" s="89"/>
    </row>
    <row r="188" spans="3:15" ht="14.1" customHeight="1">
      <c r="C188" s="50"/>
      <c r="D188" s="546" t="s">
        <v>177</v>
      </c>
      <c r="E188" s="615">
        <v>637990</v>
      </c>
      <c r="F188" s="962"/>
      <c r="G188" s="962"/>
      <c r="H188" s="964" t="s">
        <v>279</v>
      </c>
      <c r="I188" s="962"/>
      <c r="J188" s="962"/>
      <c r="K188" s="962"/>
      <c r="L188" s="962"/>
      <c r="O188" s="89"/>
    </row>
    <row r="189" spans="3:15" ht="14.1" customHeight="1">
      <c r="C189" s="50"/>
      <c r="D189" s="184" t="s">
        <v>179</v>
      </c>
      <c r="E189" s="615">
        <v>652867</v>
      </c>
      <c r="F189" s="962"/>
      <c r="G189" s="962"/>
      <c r="H189" s="964" t="s">
        <v>279</v>
      </c>
      <c r="I189" s="962"/>
      <c r="J189" s="962"/>
      <c r="K189" s="962"/>
      <c r="L189" s="962"/>
      <c r="O189" s="89"/>
    </row>
    <row r="190" spans="3:15" ht="14.1" customHeight="1">
      <c r="C190" s="50"/>
      <c r="D190" s="547" t="s">
        <v>180</v>
      </c>
      <c r="E190" s="615">
        <v>638831</v>
      </c>
      <c r="F190" s="962"/>
      <c r="G190" s="962"/>
      <c r="H190" s="964" t="s">
        <v>279</v>
      </c>
      <c r="I190" s="962"/>
      <c r="J190" s="962"/>
      <c r="K190" s="962"/>
      <c r="L190" s="962"/>
      <c r="O190" s="89"/>
    </row>
    <row r="191" spans="3:15" ht="14.1" customHeight="1">
      <c r="C191" s="50"/>
      <c r="D191" s="548" t="s">
        <v>182</v>
      </c>
      <c r="E191" s="615">
        <v>631314</v>
      </c>
      <c r="F191" s="962"/>
      <c r="G191" s="962"/>
      <c r="H191" s="964" t="s">
        <v>281</v>
      </c>
      <c r="I191" s="962"/>
      <c r="J191" s="962"/>
      <c r="K191" s="962"/>
      <c r="L191" s="962"/>
      <c r="O191" s="89"/>
    </row>
    <row r="192" spans="3:15" ht="14.1" customHeight="1">
      <c r="C192" s="50"/>
      <c r="D192" s="548" t="s">
        <v>185</v>
      </c>
      <c r="E192" s="615">
        <v>631732</v>
      </c>
      <c r="F192" s="962"/>
      <c r="G192" s="962"/>
      <c r="H192" s="964" t="s">
        <v>281</v>
      </c>
      <c r="I192" s="962"/>
      <c r="J192" s="962"/>
      <c r="K192" s="962"/>
      <c r="L192" s="962"/>
      <c r="O192" s="89"/>
    </row>
    <row r="193" spans="3:15" ht="14.1" customHeight="1">
      <c r="C193" s="50"/>
      <c r="D193" s="549" t="s">
        <v>186</v>
      </c>
      <c r="E193" s="615">
        <v>634876</v>
      </c>
      <c r="F193" s="962"/>
      <c r="G193" s="962"/>
      <c r="H193" s="964" t="s">
        <v>281</v>
      </c>
      <c r="I193" s="962"/>
      <c r="J193" s="962"/>
      <c r="K193" s="962"/>
      <c r="L193" s="962"/>
      <c r="O193" s="89"/>
    </row>
    <row r="194" spans="3:15" ht="14.1" customHeight="1">
      <c r="C194" s="50"/>
      <c r="D194" s="966" t="s">
        <v>189</v>
      </c>
      <c r="E194" s="615"/>
      <c r="F194" s="962"/>
      <c r="G194" s="962"/>
      <c r="H194" s="963"/>
      <c r="I194" s="962"/>
      <c r="J194" s="962"/>
      <c r="K194" s="962"/>
      <c r="L194" s="962"/>
      <c r="O194" s="89"/>
    </row>
    <row r="195" spans="3:15" ht="14.1" customHeight="1">
      <c r="C195" s="50"/>
      <c r="D195" s="188" t="s">
        <v>190</v>
      </c>
      <c r="E195" s="615">
        <v>648620</v>
      </c>
      <c r="F195" s="962"/>
      <c r="G195" s="962"/>
      <c r="H195" s="964" t="s">
        <v>279</v>
      </c>
      <c r="I195" s="962"/>
      <c r="J195" s="962"/>
      <c r="K195" s="962"/>
      <c r="L195" s="962"/>
      <c r="O195" s="89"/>
    </row>
    <row r="196" spans="3:15" ht="14.1" customHeight="1">
      <c r="C196" s="50"/>
      <c r="D196" s="189" t="s">
        <v>193</v>
      </c>
      <c r="E196" s="615">
        <v>652357</v>
      </c>
      <c r="F196" s="962"/>
      <c r="G196" s="962"/>
      <c r="H196" s="964" t="s">
        <v>279</v>
      </c>
      <c r="I196" s="962"/>
      <c r="J196" s="962"/>
      <c r="K196" s="962"/>
      <c r="L196" s="962"/>
      <c r="O196" s="89"/>
    </row>
    <row r="197" spans="3:15" ht="14.1" customHeight="1">
      <c r="C197" s="50"/>
      <c r="D197" s="551" t="s">
        <v>196</v>
      </c>
      <c r="E197" s="631">
        <v>703714</v>
      </c>
      <c r="F197" s="962"/>
      <c r="G197" s="962"/>
      <c r="H197" s="964" t="s">
        <v>279</v>
      </c>
      <c r="I197" s="962"/>
      <c r="J197" s="962"/>
      <c r="K197" s="962"/>
      <c r="L197" s="962"/>
      <c r="O197" s="89"/>
    </row>
    <row r="198" spans="3:15" ht="14.1" customHeight="1">
      <c r="C198" s="50"/>
      <c r="D198" s="189" t="s">
        <v>198</v>
      </c>
      <c r="E198" s="615">
        <v>655089</v>
      </c>
      <c r="F198" s="962"/>
      <c r="G198" s="962"/>
      <c r="H198" s="964" t="s">
        <v>279</v>
      </c>
      <c r="I198" s="962"/>
      <c r="J198" s="962"/>
      <c r="K198" s="962"/>
      <c r="L198" s="962"/>
      <c r="O198" s="89"/>
    </row>
    <row r="199" spans="3:15" ht="14.1" customHeight="1">
      <c r="C199" s="50"/>
      <c r="D199" s="190" t="s">
        <v>199</v>
      </c>
      <c r="E199" s="615">
        <v>649364</v>
      </c>
      <c r="F199" s="962"/>
      <c r="G199" s="962"/>
      <c r="H199" s="964" t="s">
        <v>280</v>
      </c>
      <c r="I199" s="962"/>
      <c r="J199" s="962"/>
      <c r="K199" s="962"/>
      <c r="L199" s="962"/>
      <c r="O199" s="89"/>
    </row>
    <row r="200" spans="3:15" ht="14.1" customHeight="1">
      <c r="C200" s="50"/>
      <c r="D200" s="191" t="s">
        <v>200</v>
      </c>
      <c r="E200" s="615">
        <v>700872</v>
      </c>
      <c r="F200" s="962"/>
      <c r="G200" s="962"/>
      <c r="H200" s="964" t="s">
        <v>279</v>
      </c>
      <c r="I200" s="962"/>
      <c r="J200" s="962"/>
      <c r="K200" s="962"/>
      <c r="L200" s="962"/>
      <c r="O200" s="89"/>
    </row>
    <row r="201" spans="3:15" ht="14.1" customHeight="1">
      <c r="C201" s="50"/>
      <c r="D201" s="552" t="s">
        <v>202</v>
      </c>
      <c r="E201" s="631">
        <v>703861</v>
      </c>
      <c r="F201" s="962"/>
      <c r="G201" s="962"/>
      <c r="H201" s="964" t="s">
        <v>279</v>
      </c>
      <c r="I201" s="962"/>
      <c r="J201" s="962"/>
      <c r="K201" s="962"/>
      <c r="L201" s="962"/>
      <c r="O201" s="89"/>
    </row>
    <row r="202" spans="3:15" ht="14.1" customHeight="1">
      <c r="C202" s="50"/>
      <c r="D202" s="192" t="s">
        <v>204</v>
      </c>
      <c r="E202" s="615">
        <v>652868</v>
      </c>
      <c r="F202" s="962"/>
      <c r="G202" s="962"/>
      <c r="H202" s="964" t="s">
        <v>280</v>
      </c>
      <c r="I202" s="962"/>
      <c r="J202" s="962"/>
      <c r="K202" s="962"/>
      <c r="L202" s="962"/>
      <c r="O202" s="89"/>
    </row>
    <row r="203" spans="3:15" ht="14.1" customHeight="1">
      <c r="C203" s="50"/>
      <c r="D203" s="189" t="s">
        <v>205</v>
      </c>
      <c r="E203" s="615">
        <v>652998</v>
      </c>
      <c r="F203" s="962"/>
      <c r="G203" s="962"/>
      <c r="H203" s="964" t="s">
        <v>280</v>
      </c>
      <c r="I203" s="962"/>
      <c r="J203" s="962"/>
      <c r="K203" s="962"/>
      <c r="L203" s="962"/>
      <c r="O203" s="89"/>
    </row>
    <row r="204" spans="3:15" ht="14.1" customHeight="1">
      <c r="C204" s="50"/>
      <c r="D204" s="193" t="s">
        <v>206</v>
      </c>
      <c r="E204" s="631">
        <v>654959</v>
      </c>
      <c r="F204" s="962"/>
      <c r="G204" s="962"/>
      <c r="H204" s="964" t="s">
        <v>279</v>
      </c>
      <c r="I204" s="962"/>
      <c r="J204" s="962"/>
      <c r="K204" s="962"/>
      <c r="L204" s="962"/>
      <c r="O204" s="89"/>
    </row>
    <row r="205" spans="3:15" ht="14.1" customHeight="1">
      <c r="C205" s="50"/>
      <c r="D205" s="551" t="s">
        <v>207</v>
      </c>
      <c r="E205" s="615">
        <v>654981</v>
      </c>
      <c r="F205" s="962"/>
      <c r="G205" s="962"/>
      <c r="H205" s="964" t="s">
        <v>280</v>
      </c>
      <c r="I205" s="962"/>
      <c r="J205" s="962"/>
      <c r="K205" s="962"/>
      <c r="L205" s="962"/>
      <c r="O205" s="89"/>
    </row>
    <row r="206" spans="3:15" ht="14.1" customHeight="1">
      <c r="C206" s="50"/>
      <c r="D206" s="553" t="s">
        <v>208</v>
      </c>
      <c r="E206" s="615">
        <v>703795</v>
      </c>
      <c r="F206" s="962"/>
      <c r="G206" s="962"/>
      <c r="H206" s="964" t="s">
        <v>280</v>
      </c>
      <c r="I206" s="962"/>
      <c r="J206" s="962"/>
      <c r="K206" s="962"/>
      <c r="L206" s="962"/>
      <c r="O206" s="89"/>
    </row>
    <row r="207" spans="3:15" ht="14.1" customHeight="1">
      <c r="C207" s="50"/>
      <c r="D207" s="551" t="s">
        <v>209</v>
      </c>
      <c r="E207" s="615">
        <v>652364</v>
      </c>
      <c r="F207" s="962"/>
      <c r="G207" s="962"/>
      <c r="H207" s="964" t="s">
        <v>280</v>
      </c>
      <c r="I207" s="962"/>
      <c r="J207" s="962"/>
      <c r="K207" s="962"/>
      <c r="L207" s="962"/>
      <c r="O207" s="89"/>
    </row>
    <row r="208" spans="3:15" ht="14.1" customHeight="1">
      <c r="C208" s="50"/>
      <c r="D208" s="551" t="s">
        <v>210</v>
      </c>
      <c r="E208" s="615">
        <v>644433</v>
      </c>
      <c r="F208" s="962"/>
      <c r="G208" s="962"/>
      <c r="H208" s="964" t="s">
        <v>281</v>
      </c>
      <c r="I208" s="962"/>
      <c r="J208" s="962"/>
      <c r="K208" s="962"/>
      <c r="L208" s="962"/>
      <c r="O208" s="89"/>
    </row>
    <row r="209" spans="3:15" ht="14.1" customHeight="1">
      <c r="C209" s="50"/>
      <c r="D209" s="551" t="s">
        <v>211</v>
      </c>
      <c r="E209" s="615">
        <v>650602</v>
      </c>
      <c r="F209" s="962"/>
      <c r="G209" s="962"/>
      <c r="H209" s="964" t="s">
        <v>281</v>
      </c>
      <c r="I209" s="962"/>
      <c r="J209" s="962"/>
      <c r="K209" s="962"/>
      <c r="L209" s="962"/>
      <c r="O209" s="89"/>
    </row>
    <row r="210" spans="3:15" ht="14.1" customHeight="1">
      <c r="C210" s="50"/>
      <c r="D210" s="552" t="s">
        <v>212</v>
      </c>
      <c r="E210" s="631">
        <v>704893</v>
      </c>
      <c r="F210" s="962"/>
      <c r="G210" s="962"/>
      <c r="H210" s="964" t="s">
        <v>279</v>
      </c>
      <c r="I210" s="962"/>
      <c r="J210" s="962"/>
      <c r="K210" s="962"/>
      <c r="L210" s="962"/>
      <c r="O210" s="89"/>
    </row>
    <row r="211" spans="3:15" ht="14.1" customHeight="1">
      <c r="C211" s="50"/>
      <c r="D211" s="194" t="s">
        <v>214</v>
      </c>
      <c r="E211" s="615">
        <v>636733</v>
      </c>
      <c r="F211" s="962"/>
      <c r="G211" s="962"/>
      <c r="H211" s="964" t="s">
        <v>280</v>
      </c>
      <c r="I211" s="962"/>
      <c r="J211" s="962"/>
      <c r="K211" s="962"/>
      <c r="L211" s="962"/>
      <c r="O211" s="89"/>
    </row>
    <row r="212" spans="3:15" ht="14.1" customHeight="1">
      <c r="C212" s="50"/>
      <c r="D212" s="192" t="s">
        <v>216</v>
      </c>
      <c r="E212" s="200">
        <v>637770</v>
      </c>
      <c r="F212" s="962"/>
      <c r="G212" s="962"/>
      <c r="H212" s="964" t="s">
        <v>279</v>
      </c>
      <c r="I212" s="962"/>
      <c r="J212" s="962"/>
      <c r="K212" s="962"/>
      <c r="L212" s="962"/>
      <c r="O212" s="89"/>
    </row>
    <row r="213" spans="3:15" ht="14.1" customHeight="1">
      <c r="C213" s="50"/>
      <c r="D213" s="56"/>
      <c r="E213" s="82"/>
      <c r="G213" s="566"/>
      <c r="H213" s="566"/>
      <c r="I213" s="566"/>
      <c r="J213" s="566"/>
      <c r="K213" s="566"/>
      <c r="L213" s="717"/>
      <c r="O213" s="89"/>
    </row>
    <row r="214" spans="3:15" ht="14.1" customHeight="1">
      <c r="C214" s="564"/>
      <c r="D214" s="564"/>
      <c r="E214" s="82"/>
      <c r="G214" s="566"/>
      <c r="H214" s="566"/>
      <c r="I214" s="566"/>
      <c r="J214" s="566"/>
      <c r="K214" s="566"/>
      <c r="L214" s="717"/>
      <c r="O214" s="89"/>
    </row>
    <row r="215" spans="3:15" ht="14.1" customHeight="1">
      <c r="C215" s="564"/>
      <c r="D215" s="564"/>
      <c r="E215" s="82"/>
      <c r="G215" s="566"/>
      <c r="H215" s="566"/>
      <c r="I215" s="566"/>
      <c r="J215" s="566"/>
      <c r="K215" s="566"/>
      <c r="L215" s="717"/>
      <c r="O215" s="89"/>
    </row>
    <row r="216" spans="3:15" ht="14.1" customHeight="1">
      <c r="D216" s="56"/>
      <c r="E216" s="82"/>
      <c r="G216" s="566"/>
      <c r="H216" s="566"/>
      <c r="I216" s="566"/>
      <c r="J216" s="566"/>
      <c r="K216" s="566"/>
      <c r="L216" s="717"/>
      <c r="O216" s="89"/>
    </row>
    <row r="217" spans="3:15" ht="14.1" customHeight="1">
      <c r="C217" s="564"/>
      <c r="D217" s="564"/>
      <c r="E217" s="82"/>
      <c r="G217" s="566"/>
      <c r="H217" s="566"/>
      <c r="I217" s="566"/>
      <c r="J217" s="566"/>
      <c r="K217" s="566"/>
      <c r="L217" s="717"/>
      <c r="O217" s="89"/>
    </row>
    <row r="218" spans="3:15" ht="14.1" customHeight="1">
      <c r="C218" s="564"/>
      <c r="D218" s="564"/>
      <c r="E218" s="82"/>
      <c r="G218" s="566"/>
      <c r="H218" s="566"/>
      <c r="I218" s="566"/>
      <c r="J218" s="566"/>
      <c r="K218" s="566"/>
      <c r="L218" s="717"/>
      <c r="O218" s="89"/>
    </row>
    <row r="219" spans="3:15" ht="14.1" customHeight="1">
      <c r="D219" s="56"/>
      <c r="E219" s="82"/>
      <c r="G219" s="566"/>
      <c r="H219" s="566"/>
      <c r="I219" s="566"/>
      <c r="J219" s="566"/>
      <c r="K219" s="566"/>
      <c r="L219" s="717"/>
      <c r="O219" s="89"/>
    </row>
    <row r="220" spans="3:15" ht="14.1" customHeight="1">
      <c r="C220" s="564"/>
      <c r="D220" s="564"/>
      <c r="E220" s="82"/>
      <c r="G220" s="566"/>
      <c r="H220" s="566"/>
      <c r="I220" s="566"/>
      <c r="J220" s="566"/>
      <c r="K220" s="566"/>
      <c r="L220" s="717"/>
      <c r="O220" s="89"/>
    </row>
    <row r="221" spans="3:15" ht="14.1" customHeight="1">
      <c r="C221" s="564"/>
      <c r="D221" s="564"/>
      <c r="E221" s="82"/>
      <c r="G221" s="566"/>
      <c r="H221" s="566"/>
      <c r="I221" s="566"/>
      <c r="J221" s="566"/>
      <c r="K221" s="566"/>
      <c r="L221" s="717"/>
      <c r="O221" s="89"/>
    </row>
    <row r="222" spans="3:15" ht="14.1" customHeight="1">
      <c r="D222" s="56"/>
      <c r="E222" s="82"/>
      <c r="G222" s="566"/>
      <c r="H222" s="566"/>
      <c r="I222" s="566"/>
      <c r="J222" s="566"/>
      <c r="K222" s="566"/>
      <c r="L222" s="717"/>
      <c r="O222" s="89"/>
    </row>
    <row r="223" spans="3:15" ht="14.1" customHeight="1">
      <c r="C223" s="564"/>
      <c r="D223" s="564"/>
      <c r="E223" s="82"/>
      <c r="G223" s="566"/>
      <c r="H223" s="566"/>
      <c r="I223" s="566"/>
      <c r="J223" s="566"/>
      <c r="K223" s="566"/>
      <c r="L223" s="717"/>
      <c r="O223" s="89"/>
    </row>
    <row r="224" spans="3:15" ht="14.1" customHeight="1">
      <c r="C224" s="564"/>
      <c r="D224" s="564"/>
      <c r="E224" s="82"/>
      <c r="F224" s="65"/>
      <c r="G224" s="65"/>
      <c r="H224" s="65"/>
      <c r="I224" s="65"/>
      <c r="J224" s="65"/>
      <c r="K224" s="65"/>
      <c r="L224" s="65"/>
      <c r="O224" s="89"/>
    </row>
    <row r="225" spans="3:15" ht="14.1" customHeight="1">
      <c r="D225" s="56"/>
      <c r="E225" s="82"/>
      <c r="F225" s="65"/>
      <c r="G225" s="65"/>
      <c r="H225" s="65"/>
      <c r="I225" s="65"/>
      <c r="J225" s="65"/>
      <c r="K225" s="65"/>
      <c r="L225" s="65"/>
      <c r="O225" s="89"/>
    </row>
    <row r="226" spans="3:15" ht="14.1" customHeight="1">
      <c r="C226" s="564"/>
      <c r="D226" s="564"/>
      <c r="E226" s="82"/>
      <c r="F226" s="65"/>
      <c r="G226" s="65"/>
      <c r="H226" s="65"/>
      <c r="I226" s="65"/>
      <c r="J226" s="65"/>
      <c r="K226" s="65"/>
      <c r="L226" s="65"/>
      <c r="O226" s="89"/>
    </row>
    <row r="227" spans="3:15" ht="14.1" customHeight="1">
      <c r="C227" s="564"/>
      <c r="D227" s="564"/>
      <c r="E227" s="82"/>
      <c r="F227" s="65"/>
      <c r="G227" s="65"/>
      <c r="H227" s="65"/>
      <c r="I227" s="65"/>
      <c r="J227" s="65"/>
      <c r="K227" s="65"/>
      <c r="L227" s="65"/>
      <c r="O227" s="89"/>
    </row>
    <row r="228" spans="3:15" ht="14.1" customHeight="1">
      <c r="D228" s="56"/>
      <c r="E228" s="82"/>
      <c r="F228" s="65"/>
      <c r="G228" s="65"/>
      <c r="H228" s="65"/>
      <c r="I228" s="65"/>
      <c r="J228" s="65"/>
      <c r="K228" s="65"/>
      <c r="L228" s="65"/>
      <c r="O228" s="89"/>
    </row>
    <row r="229" spans="3:15" ht="14.1" customHeight="1">
      <c r="C229" s="564"/>
      <c r="D229" s="564"/>
      <c r="E229" s="82"/>
      <c r="F229" s="65"/>
      <c r="G229" s="565"/>
      <c r="H229" s="565"/>
      <c r="I229" s="565"/>
      <c r="J229" s="565"/>
      <c r="K229" s="565"/>
      <c r="L229" s="565"/>
      <c r="O229" s="89"/>
    </row>
    <row r="230" spans="3:15" ht="14.1" customHeight="1">
      <c r="C230" s="564"/>
      <c r="D230" s="564"/>
      <c r="E230" s="82"/>
      <c r="G230" s="66"/>
      <c r="H230" s="66"/>
      <c r="I230" s="66"/>
      <c r="J230" s="66"/>
      <c r="K230" s="566"/>
      <c r="L230" s="566"/>
      <c r="O230" s="89"/>
    </row>
    <row r="231" spans="3:15" ht="14.1" customHeight="1">
      <c r="D231" s="56"/>
      <c r="E231" s="82"/>
      <c r="G231" s="66"/>
      <c r="H231" s="66"/>
      <c r="I231" s="66"/>
      <c r="J231" s="66"/>
      <c r="K231" s="66"/>
      <c r="L231" s="66"/>
      <c r="O231" s="89"/>
    </row>
    <row r="232" spans="3:15" ht="14.1" customHeight="1">
      <c r="C232" s="564"/>
      <c r="D232" s="564"/>
      <c r="E232" s="82"/>
      <c r="G232" s="66"/>
      <c r="H232" s="66"/>
      <c r="I232" s="66"/>
      <c r="J232" s="66"/>
      <c r="K232" s="66"/>
      <c r="L232" s="66"/>
      <c r="O232" s="89"/>
    </row>
    <row r="233" spans="3:15" ht="14.1" customHeight="1">
      <c r="C233" s="564"/>
      <c r="D233" s="564"/>
      <c r="E233" s="82"/>
      <c r="G233" s="66"/>
      <c r="H233" s="66"/>
      <c r="I233" s="66"/>
      <c r="J233" s="66"/>
      <c r="K233" s="66"/>
      <c r="L233" s="66"/>
      <c r="O233" s="89"/>
    </row>
    <row r="234" spans="3:15" ht="14.1" customHeight="1">
      <c r="D234" s="56"/>
      <c r="E234" s="82"/>
      <c r="G234" s="66"/>
      <c r="H234" s="66"/>
      <c r="I234" s="66"/>
      <c r="J234" s="66"/>
      <c r="K234" s="66"/>
      <c r="L234" s="66"/>
      <c r="O234" s="89"/>
    </row>
    <row r="235" spans="3:15" ht="14.1" customHeight="1">
      <c r="C235" s="564"/>
      <c r="D235" s="564"/>
      <c r="E235" s="82"/>
      <c r="G235" s="66"/>
      <c r="H235" s="66"/>
      <c r="I235" s="66"/>
      <c r="J235" s="66"/>
      <c r="K235" s="66"/>
      <c r="L235" s="66"/>
      <c r="O235" s="567"/>
    </row>
    <row r="236" spans="3:15" ht="14.1" customHeight="1">
      <c r="C236" s="564"/>
      <c r="D236" s="564"/>
      <c r="E236" s="82"/>
      <c r="G236" s="66"/>
      <c r="H236" s="66"/>
      <c r="I236" s="66"/>
      <c r="J236" s="66"/>
      <c r="K236" s="66"/>
      <c r="L236" s="66"/>
      <c r="O236" s="567"/>
    </row>
    <row r="237" spans="3:15" ht="14.1" customHeight="1">
      <c r="D237" s="56"/>
      <c r="E237" s="82"/>
      <c r="G237" s="66"/>
      <c r="H237" s="66"/>
      <c r="I237" s="66"/>
      <c r="J237" s="66"/>
      <c r="K237" s="66"/>
      <c r="L237" s="66"/>
      <c r="O237" s="567"/>
    </row>
    <row r="238" spans="3:15" ht="14.1" customHeight="1">
      <c r="C238" s="564"/>
      <c r="D238" s="564"/>
      <c r="E238" s="82"/>
      <c r="G238" s="73"/>
      <c r="H238" s="66"/>
      <c r="I238" s="66"/>
      <c r="J238" s="66"/>
      <c r="K238" s="66"/>
      <c r="L238" s="66"/>
      <c r="O238" s="567"/>
    </row>
    <row r="239" spans="3:15" ht="14.1" customHeight="1">
      <c r="C239" s="564"/>
      <c r="D239" s="564"/>
      <c r="E239" s="82"/>
      <c r="G239" s="66"/>
      <c r="H239" s="66"/>
      <c r="I239" s="66"/>
      <c r="J239" s="66"/>
      <c r="K239" s="66"/>
      <c r="L239" s="66"/>
      <c r="O239" s="567"/>
    </row>
    <row r="240" spans="3:15" ht="14.1" customHeight="1">
      <c r="D240" s="56"/>
      <c r="E240" s="82"/>
      <c r="G240" s="66"/>
      <c r="H240" s="66"/>
      <c r="I240" s="66"/>
      <c r="J240" s="66"/>
      <c r="K240" s="66"/>
      <c r="L240" s="66"/>
      <c r="O240" s="567"/>
    </row>
    <row r="241" spans="3:15" ht="14.1" customHeight="1">
      <c r="C241" s="564"/>
      <c r="D241" s="564"/>
      <c r="E241" s="82"/>
      <c r="G241" s="74"/>
      <c r="H241" s="66"/>
      <c r="I241" s="66"/>
      <c r="J241" s="66"/>
      <c r="K241" s="66"/>
      <c r="L241" s="66"/>
      <c r="O241" s="567"/>
    </row>
    <row r="242" spans="3:15" ht="14.1" customHeight="1">
      <c r="C242" s="564"/>
      <c r="D242" s="564"/>
      <c r="E242" s="82"/>
      <c r="G242" s="66"/>
      <c r="H242" s="66"/>
      <c r="I242" s="66"/>
      <c r="J242" s="66"/>
      <c r="K242" s="66"/>
      <c r="L242" s="66"/>
      <c r="O242" s="567"/>
    </row>
    <row r="243" spans="3:15" ht="14.1" customHeight="1">
      <c r="D243" s="56"/>
      <c r="E243" s="82"/>
      <c r="G243" s="66"/>
      <c r="H243" s="66"/>
      <c r="I243" s="66"/>
      <c r="J243" s="66"/>
      <c r="K243" s="66"/>
      <c r="L243" s="66"/>
      <c r="O243" s="567"/>
    </row>
    <row r="244" spans="3:15" ht="14.1" customHeight="1">
      <c r="C244" s="564"/>
      <c r="D244" s="564"/>
      <c r="E244" s="82"/>
      <c r="G244" s="566"/>
      <c r="H244" s="566"/>
      <c r="I244" s="566"/>
      <c r="J244" s="566"/>
      <c r="K244" s="566"/>
      <c r="L244" s="566"/>
      <c r="O244" s="567"/>
    </row>
    <row r="245" spans="3:15" ht="14.1" customHeight="1">
      <c r="C245" s="564"/>
      <c r="D245" s="564"/>
      <c r="E245" s="82"/>
      <c r="G245" s="566"/>
      <c r="H245" s="566"/>
      <c r="I245" s="566"/>
      <c r="J245" s="566"/>
      <c r="K245" s="566"/>
      <c r="L245" s="566"/>
      <c r="O245" s="567"/>
    </row>
    <row r="246" spans="3:15" ht="14.1" customHeight="1">
      <c r="D246" s="56"/>
      <c r="E246" s="82"/>
      <c r="G246" s="566"/>
      <c r="H246" s="566"/>
      <c r="I246" s="566"/>
      <c r="J246" s="566"/>
      <c r="K246" s="566"/>
      <c r="L246" s="566"/>
      <c r="O246" s="567"/>
    </row>
    <row r="247" spans="3:15" ht="14.1" customHeight="1">
      <c r="C247" s="564"/>
      <c r="D247" s="564"/>
      <c r="E247" s="82"/>
      <c r="G247" s="566"/>
      <c r="H247" s="566"/>
      <c r="I247" s="566"/>
      <c r="J247" s="566"/>
      <c r="K247" s="566"/>
      <c r="L247" s="566"/>
      <c r="O247" s="567"/>
    </row>
    <row r="248" spans="3:15" ht="14.1" customHeight="1">
      <c r="C248" s="564"/>
      <c r="D248" s="564"/>
      <c r="E248" s="82"/>
      <c r="G248" s="566"/>
      <c r="H248" s="566"/>
      <c r="I248" s="566"/>
      <c r="J248" s="566"/>
      <c r="K248" s="566"/>
      <c r="L248" s="566"/>
      <c r="O248" s="567"/>
    </row>
    <row r="249" spans="3:15" ht="14.1" customHeight="1">
      <c r="D249" s="56"/>
      <c r="E249" s="82"/>
      <c r="G249" s="566"/>
      <c r="H249" s="566"/>
      <c r="I249" s="566"/>
      <c r="J249" s="566"/>
      <c r="K249" s="566"/>
      <c r="L249" s="566"/>
      <c r="O249" s="567"/>
    </row>
    <row r="250" spans="3:15" ht="14.1" customHeight="1">
      <c r="C250" s="564"/>
      <c r="D250" s="564"/>
      <c r="E250" s="82"/>
      <c r="G250" s="566"/>
      <c r="H250" s="566"/>
      <c r="I250" s="566"/>
      <c r="J250" s="566"/>
      <c r="K250" s="566"/>
      <c r="L250" s="566"/>
      <c r="O250" s="567"/>
    </row>
    <row r="251" spans="3:15" ht="14.1" customHeight="1">
      <c r="C251" s="564"/>
      <c r="D251" s="564"/>
      <c r="E251" s="82"/>
      <c r="G251" s="566"/>
      <c r="H251" s="566"/>
      <c r="I251" s="566"/>
      <c r="J251" s="566"/>
      <c r="K251" s="566"/>
      <c r="L251" s="566"/>
      <c r="O251" s="567"/>
    </row>
    <row r="252" spans="3:15" ht="14.1" customHeight="1">
      <c r="D252" s="56"/>
      <c r="E252" s="82"/>
      <c r="F252" s="65"/>
      <c r="G252" s="565"/>
      <c r="H252" s="565"/>
      <c r="I252" s="565"/>
      <c r="J252" s="565"/>
      <c r="K252" s="565"/>
      <c r="L252" s="565"/>
      <c r="O252" s="567"/>
    </row>
    <row r="253" spans="3:15" ht="14.1" customHeight="1">
      <c r="C253" s="564"/>
      <c r="D253" s="564"/>
      <c r="E253" s="82"/>
      <c r="F253" s="65"/>
      <c r="G253" s="565"/>
      <c r="H253" s="565"/>
      <c r="I253" s="565"/>
      <c r="J253" s="565"/>
      <c r="K253" s="565"/>
      <c r="L253" s="565"/>
      <c r="O253" s="567"/>
    </row>
    <row r="254" spans="3:15" ht="14.1" customHeight="1">
      <c r="C254" s="564"/>
      <c r="D254" s="564"/>
      <c r="E254" s="82"/>
      <c r="F254" s="65"/>
      <c r="G254" s="565"/>
      <c r="H254" s="565"/>
      <c r="I254" s="565"/>
      <c r="J254" s="565"/>
      <c r="K254" s="565"/>
      <c r="L254" s="565"/>
      <c r="O254" s="567"/>
    </row>
    <row r="255" spans="3:15" ht="14.1" customHeight="1">
      <c r="D255" s="56"/>
      <c r="E255" s="82"/>
      <c r="F255" s="65"/>
      <c r="G255" s="565"/>
      <c r="H255" s="565"/>
      <c r="I255" s="565"/>
      <c r="J255" s="565"/>
      <c r="K255" s="565"/>
      <c r="L255" s="565"/>
      <c r="O255" s="567"/>
    </row>
    <row r="256" spans="3:15" ht="14.1" customHeight="1">
      <c r="C256" s="564"/>
      <c r="D256" s="564"/>
      <c r="E256" s="82"/>
      <c r="F256" s="65"/>
      <c r="G256" s="565"/>
      <c r="H256" s="565"/>
      <c r="I256" s="565"/>
      <c r="J256" s="565"/>
      <c r="K256" s="565"/>
      <c r="L256" s="565"/>
      <c r="O256" s="567"/>
    </row>
    <row r="257" spans="4:15" ht="14.1" customHeight="1">
      <c r="D257" s="564"/>
      <c r="E257" s="82"/>
      <c r="F257" s="65"/>
      <c r="G257" s="565"/>
      <c r="H257" s="565"/>
      <c r="I257" s="565"/>
      <c r="J257" s="565"/>
      <c r="K257" s="565"/>
      <c r="L257" s="565"/>
      <c r="O257" s="567"/>
    </row>
    <row r="258" spans="4:15" ht="14.1" customHeight="1">
      <c r="D258" s="56"/>
      <c r="E258" s="82"/>
      <c r="F258" s="65"/>
      <c r="G258" s="565"/>
      <c r="H258" s="565"/>
      <c r="I258" s="565"/>
      <c r="J258" s="565"/>
      <c r="K258" s="565"/>
      <c r="L258" s="565"/>
      <c r="O258" s="567"/>
    </row>
    <row r="259" spans="4:15" ht="14.1" customHeight="1">
      <c r="D259" s="564"/>
      <c r="E259" s="82"/>
      <c r="F259" s="65"/>
      <c r="G259" s="565"/>
      <c r="H259" s="565"/>
      <c r="I259" s="565"/>
      <c r="J259" s="565"/>
      <c r="K259" s="565"/>
      <c r="L259" s="565"/>
      <c r="O259" s="567"/>
    </row>
    <row r="260" spans="4:15" ht="14.1" customHeight="1">
      <c r="D260" s="564"/>
      <c r="E260" s="82"/>
      <c r="F260" s="65"/>
      <c r="G260" s="565"/>
      <c r="H260" s="565"/>
      <c r="I260" s="565"/>
      <c r="J260" s="565"/>
      <c r="K260" s="565"/>
      <c r="L260" s="565"/>
      <c r="O260" s="567"/>
    </row>
    <row r="261" spans="4:15" ht="14.1" customHeight="1">
      <c r="D261" s="56"/>
      <c r="E261" s="82"/>
      <c r="F261" s="65"/>
      <c r="G261" s="565"/>
      <c r="H261" s="565"/>
      <c r="I261" s="565"/>
      <c r="J261" s="565"/>
      <c r="K261" s="565"/>
      <c r="L261" s="565"/>
      <c r="O261" s="567"/>
    </row>
    <row r="262" spans="4:15" ht="14.1" customHeight="1">
      <c r="D262" s="564"/>
      <c r="E262" s="82"/>
      <c r="F262" s="65"/>
      <c r="G262" s="565"/>
      <c r="H262" s="565"/>
      <c r="I262" s="565"/>
      <c r="J262" s="565"/>
      <c r="K262" s="565"/>
      <c r="L262" s="565"/>
      <c r="O262" s="567"/>
    </row>
    <row r="263" spans="4:15" ht="14.1" customHeight="1">
      <c r="D263" s="564"/>
      <c r="E263" s="82"/>
      <c r="F263" s="65"/>
      <c r="G263" s="565"/>
      <c r="H263" s="565"/>
      <c r="I263" s="565"/>
      <c r="J263" s="565"/>
      <c r="K263" s="565"/>
      <c r="L263" s="565"/>
      <c r="O263" s="567"/>
    </row>
    <row r="264" spans="4:15" ht="14.1" customHeight="1">
      <c r="D264" s="56"/>
      <c r="E264" s="82"/>
      <c r="F264" s="65"/>
      <c r="G264" s="565"/>
      <c r="H264" s="565"/>
      <c r="I264" s="565"/>
      <c r="J264" s="565"/>
      <c r="K264" s="565"/>
      <c r="L264" s="565"/>
      <c r="O264" s="567"/>
    </row>
    <row r="265" spans="4:15" ht="14.1" customHeight="1">
      <c r="D265" s="564"/>
      <c r="E265" s="82"/>
      <c r="F265" s="65"/>
      <c r="G265" s="565"/>
      <c r="H265" s="565"/>
      <c r="I265" s="565"/>
      <c r="J265" s="565"/>
      <c r="K265" s="565"/>
      <c r="L265" s="565"/>
      <c r="O265" s="567"/>
    </row>
    <row r="266" spans="4:15" ht="14.1" customHeight="1">
      <c r="D266" s="556"/>
      <c r="E266" s="82"/>
      <c r="F266" s="65"/>
      <c r="G266" s="565"/>
      <c r="H266" s="565"/>
      <c r="I266" s="565"/>
      <c r="J266" s="565"/>
      <c r="K266" s="565"/>
      <c r="L266" s="565"/>
      <c r="O266" s="567"/>
    </row>
    <row r="267" spans="4:15" ht="14.1" customHeight="1">
      <c r="D267" s="556"/>
      <c r="E267" s="82"/>
      <c r="F267" s="65"/>
      <c r="G267" s="565"/>
      <c r="H267" s="565"/>
      <c r="I267" s="565"/>
      <c r="J267" s="565"/>
      <c r="K267" s="565"/>
      <c r="L267" s="565"/>
      <c r="O267" s="567"/>
    </row>
    <row r="268" spans="4:15" ht="14.1" customHeight="1">
      <c r="D268" s="556"/>
      <c r="E268" s="82"/>
      <c r="F268" s="65"/>
      <c r="G268" s="565"/>
      <c r="H268" s="565"/>
      <c r="I268" s="565"/>
      <c r="J268" s="565"/>
      <c r="K268" s="565"/>
      <c r="L268" s="565"/>
      <c r="O268" s="567"/>
    </row>
    <row r="269" spans="4:15" ht="14.1" customHeight="1">
      <c r="D269" s="556"/>
      <c r="E269" s="82"/>
      <c r="F269" s="65"/>
      <c r="G269" s="565"/>
      <c r="H269" s="565"/>
      <c r="I269" s="565"/>
      <c r="J269" s="565"/>
      <c r="K269" s="565"/>
      <c r="L269" s="565"/>
      <c r="O269" s="567"/>
    </row>
    <row r="270" spans="4:15" ht="14.1" customHeight="1">
      <c r="D270" s="556"/>
      <c r="E270" s="82"/>
      <c r="F270" s="65"/>
      <c r="G270" s="565"/>
      <c r="H270" s="565"/>
      <c r="I270" s="565"/>
      <c r="J270" s="565"/>
      <c r="K270" s="565"/>
      <c r="L270" s="565"/>
      <c r="O270" s="567"/>
    </row>
    <row r="271" spans="4:15" ht="14.1" customHeight="1">
      <c r="D271" s="556"/>
      <c r="E271" s="82"/>
      <c r="F271" s="65"/>
      <c r="G271" s="565"/>
      <c r="H271" s="565"/>
      <c r="I271" s="565"/>
      <c r="J271" s="565"/>
      <c r="K271" s="565"/>
      <c r="L271" s="565"/>
      <c r="O271" s="567"/>
    </row>
    <row r="272" spans="4:15" ht="14.1" customHeight="1">
      <c r="D272" s="556"/>
      <c r="E272" s="82"/>
      <c r="F272" s="65"/>
      <c r="G272" s="565"/>
      <c r="H272" s="565"/>
      <c r="I272" s="565"/>
      <c r="J272" s="565"/>
      <c r="K272" s="565"/>
      <c r="L272" s="565"/>
      <c r="O272" s="567"/>
    </row>
    <row r="273" spans="4:15" ht="14.1" customHeight="1">
      <c r="D273" s="556"/>
      <c r="E273" s="82"/>
      <c r="F273" s="65"/>
      <c r="G273" s="565"/>
      <c r="H273" s="565"/>
      <c r="I273" s="565"/>
      <c r="J273" s="565"/>
      <c r="K273" s="565"/>
      <c r="L273" s="565"/>
      <c r="O273" s="567"/>
    </row>
    <row r="274" spans="4:15" ht="14.1" customHeight="1">
      <c r="D274" s="556"/>
      <c r="E274" s="82"/>
      <c r="F274" s="65"/>
      <c r="G274" s="565"/>
      <c r="H274" s="565"/>
      <c r="I274" s="565"/>
      <c r="J274" s="565"/>
      <c r="K274" s="565"/>
      <c r="L274" s="565"/>
      <c r="O274" s="567"/>
    </row>
    <row r="275" spans="4:15" ht="14.1" customHeight="1">
      <c r="D275" s="556"/>
      <c r="E275" s="82"/>
      <c r="F275" s="65"/>
      <c r="G275" s="565"/>
      <c r="H275" s="565"/>
      <c r="I275" s="565"/>
      <c r="J275" s="565"/>
      <c r="K275" s="565"/>
      <c r="L275" s="565"/>
      <c r="O275" s="567"/>
    </row>
    <row r="276" spans="4:15" ht="14.1" customHeight="1">
      <c r="D276" s="556"/>
      <c r="E276" s="82"/>
      <c r="F276" s="65"/>
      <c r="G276" s="565"/>
      <c r="H276" s="565"/>
      <c r="I276" s="565"/>
      <c r="J276" s="565"/>
      <c r="K276" s="565"/>
      <c r="L276" s="565"/>
      <c r="O276" s="567"/>
    </row>
    <row r="277" spans="4:15" ht="14.1" customHeight="1">
      <c r="D277" s="556"/>
      <c r="E277" s="82"/>
      <c r="F277" s="65"/>
      <c r="G277" s="565"/>
      <c r="H277" s="565"/>
      <c r="I277" s="565"/>
      <c r="J277" s="565"/>
      <c r="K277" s="565"/>
      <c r="L277" s="565"/>
      <c r="O277" s="567"/>
    </row>
    <row r="278" spans="4:15" ht="14.1" customHeight="1">
      <c r="D278" s="556"/>
      <c r="E278" s="82"/>
      <c r="F278" s="65"/>
      <c r="G278" s="565"/>
      <c r="H278" s="565"/>
      <c r="I278" s="565"/>
      <c r="J278" s="565"/>
      <c r="K278" s="565"/>
      <c r="L278" s="565"/>
      <c r="O278" s="567"/>
    </row>
    <row r="279" spans="4:15" ht="14.1" customHeight="1">
      <c r="D279" s="556"/>
      <c r="E279" s="568"/>
      <c r="F279" s="65"/>
      <c r="G279" s="565"/>
      <c r="H279" s="565"/>
      <c r="I279" s="565"/>
      <c r="J279" s="565"/>
      <c r="K279" s="565"/>
      <c r="L279" s="565"/>
      <c r="O279" s="567"/>
    </row>
    <row r="280" spans="4:15" ht="14.1" customHeight="1">
      <c r="D280" s="556"/>
      <c r="E280" s="568"/>
      <c r="F280" s="65"/>
      <c r="G280" s="565"/>
      <c r="H280" s="565"/>
      <c r="I280" s="565"/>
      <c r="J280" s="565"/>
      <c r="K280" s="565"/>
      <c r="L280" s="565"/>
      <c r="O280" s="567"/>
    </row>
    <row r="281" spans="4:15">
      <c r="D281" s="556"/>
      <c r="E281" s="568"/>
      <c r="F281" s="65"/>
      <c r="G281" s="565"/>
      <c r="H281" s="565"/>
      <c r="I281" s="565"/>
      <c r="J281" s="565"/>
      <c r="K281" s="565"/>
      <c r="L281" s="565"/>
      <c r="O281" s="567"/>
    </row>
    <row r="282" spans="4:15">
      <c r="D282" s="556"/>
      <c r="E282" s="568"/>
      <c r="F282" s="65"/>
      <c r="G282" s="565"/>
      <c r="H282" s="565"/>
      <c r="I282" s="565"/>
      <c r="J282" s="565"/>
      <c r="K282" s="565"/>
      <c r="L282" s="565"/>
      <c r="O282" s="567"/>
    </row>
    <row r="283" spans="4:15">
      <c r="D283" s="556"/>
      <c r="E283" s="568"/>
      <c r="F283" s="65"/>
      <c r="G283" s="565"/>
      <c r="H283" s="565"/>
      <c r="I283" s="565"/>
      <c r="J283" s="565"/>
      <c r="K283" s="565"/>
      <c r="L283" s="565"/>
      <c r="O283" s="567"/>
    </row>
    <row r="284" spans="4:15">
      <c r="D284" s="556"/>
      <c r="E284" s="568"/>
      <c r="F284" s="65"/>
      <c r="G284" s="565"/>
      <c r="H284" s="565"/>
      <c r="I284" s="565"/>
      <c r="J284" s="565"/>
      <c r="K284" s="565"/>
      <c r="L284" s="565"/>
      <c r="O284" s="567"/>
    </row>
    <row r="285" spans="4:15">
      <c r="D285" s="556"/>
      <c r="E285" s="568"/>
      <c r="F285" s="65"/>
      <c r="G285" s="565"/>
      <c r="H285" s="565"/>
      <c r="I285" s="565"/>
      <c r="J285" s="565"/>
      <c r="K285" s="565"/>
      <c r="L285" s="565"/>
      <c r="O285" s="567"/>
    </row>
    <row r="286" spans="4:15">
      <c r="D286" s="556"/>
      <c r="E286" s="568"/>
      <c r="F286" s="65"/>
      <c r="G286" s="565"/>
      <c r="H286" s="565"/>
      <c r="I286" s="565"/>
      <c r="J286" s="565"/>
      <c r="K286" s="565"/>
      <c r="L286" s="565"/>
      <c r="O286" s="567"/>
    </row>
    <row r="287" spans="4:15">
      <c r="D287" s="556"/>
      <c r="E287" s="568"/>
      <c r="F287" s="65"/>
      <c r="G287" s="565"/>
      <c r="H287" s="565"/>
      <c r="I287" s="565"/>
      <c r="J287" s="565"/>
      <c r="K287" s="565"/>
      <c r="L287" s="565"/>
      <c r="O287" s="567"/>
    </row>
    <row r="288" spans="4:15">
      <c r="D288" s="556"/>
      <c r="E288" s="568"/>
      <c r="F288" s="65"/>
      <c r="G288" s="565"/>
      <c r="H288" s="565"/>
      <c r="I288" s="565"/>
      <c r="J288" s="565"/>
      <c r="K288" s="565"/>
      <c r="L288" s="565"/>
      <c r="O288" s="567"/>
    </row>
    <row r="289" spans="4:15">
      <c r="D289" s="556"/>
      <c r="E289" s="568"/>
      <c r="F289" s="65"/>
      <c r="G289" s="565"/>
      <c r="H289" s="565"/>
      <c r="I289" s="565"/>
      <c r="J289" s="565"/>
      <c r="K289" s="565"/>
      <c r="L289" s="565"/>
      <c r="O289" s="567"/>
    </row>
    <row r="290" spans="4:15">
      <c r="D290" s="556"/>
      <c r="E290" s="568"/>
      <c r="F290" s="65"/>
      <c r="G290" s="565"/>
      <c r="H290" s="565"/>
      <c r="I290" s="565"/>
      <c r="J290" s="565"/>
      <c r="K290" s="565"/>
      <c r="L290" s="565"/>
      <c r="O290" s="567"/>
    </row>
    <row r="291" spans="4:15">
      <c r="D291" s="556"/>
      <c r="E291" s="568"/>
      <c r="F291" s="65"/>
      <c r="G291" s="565"/>
      <c r="H291" s="565"/>
      <c r="I291" s="565"/>
      <c r="J291" s="565"/>
      <c r="K291" s="565"/>
      <c r="L291" s="565"/>
      <c r="O291" s="567"/>
    </row>
    <row r="292" spans="4:15">
      <c r="D292" s="556"/>
      <c r="E292" s="568"/>
      <c r="F292" s="65"/>
      <c r="G292" s="565"/>
      <c r="H292" s="565"/>
      <c r="I292" s="565"/>
      <c r="J292" s="565"/>
      <c r="K292" s="565"/>
      <c r="L292" s="565"/>
      <c r="O292" s="567"/>
    </row>
  </sheetData>
  <sheetProtection sheet="1" formatCells="0" formatColumns="0" formatRows="0" insertColumns="0" insertRows="0"/>
  <mergeCells count="95">
    <mergeCell ref="F159:L159"/>
    <mergeCell ref="S49:S50"/>
    <mergeCell ref="T49:T50"/>
    <mergeCell ref="U49:U50"/>
    <mergeCell ref="W49:W50"/>
    <mergeCell ref="R49:R50"/>
    <mergeCell ref="W51:W58"/>
    <mergeCell ref="O77:O78"/>
    <mergeCell ref="P77:P78"/>
    <mergeCell ref="Q77:Q78"/>
    <mergeCell ref="R77:R78"/>
    <mergeCell ref="S77:S78"/>
    <mergeCell ref="T77:T78"/>
    <mergeCell ref="U77:U78"/>
    <mergeCell ref="O65:U65"/>
    <mergeCell ref="S67:S75"/>
    <mergeCell ref="N41:N47"/>
    <mergeCell ref="N49:N50"/>
    <mergeCell ref="O49:O50"/>
    <mergeCell ref="P49:P50"/>
    <mergeCell ref="Q49:Q50"/>
    <mergeCell ref="R19:R20"/>
    <mergeCell ref="S19:S20"/>
    <mergeCell ref="T19:T20"/>
    <mergeCell ref="U19:U20"/>
    <mergeCell ref="W19:W20"/>
    <mergeCell ref="S21:S27"/>
    <mergeCell ref="T21:T27"/>
    <mergeCell ref="U21:U27"/>
    <mergeCell ref="W21:W27"/>
    <mergeCell ref="N21:N27"/>
    <mergeCell ref="O21:O27"/>
    <mergeCell ref="P21:P27"/>
    <mergeCell ref="Q21:Q27"/>
    <mergeCell ref="R21:R27"/>
    <mergeCell ref="O35:U35"/>
    <mergeCell ref="W36:W40"/>
    <mergeCell ref="O41:O47"/>
    <mergeCell ref="P41:P47"/>
    <mergeCell ref="Q41:Q47"/>
    <mergeCell ref="R41:R47"/>
    <mergeCell ref="S41:S47"/>
    <mergeCell ref="T41:T47"/>
    <mergeCell ref="U41:U47"/>
    <mergeCell ref="W41:W46"/>
    <mergeCell ref="N28:N30"/>
    <mergeCell ref="O28:O30"/>
    <mergeCell ref="P28:P30"/>
    <mergeCell ref="Q28:Q30"/>
    <mergeCell ref="R28:R30"/>
    <mergeCell ref="S28:S30"/>
    <mergeCell ref="T28:T30"/>
    <mergeCell ref="U28:U30"/>
    <mergeCell ref="W28:W30"/>
    <mergeCell ref="N11:N17"/>
    <mergeCell ref="O11:O17"/>
    <mergeCell ref="P11:P17"/>
    <mergeCell ref="Q11:Q17"/>
    <mergeCell ref="R11:R17"/>
    <mergeCell ref="S11:S17"/>
    <mergeCell ref="T11:T17"/>
    <mergeCell ref="U11:U17"/>
    <mergeCell ref="W11:W17"/>
    <mergeCell ref="N19:N20"/>
    <mergeCell ref="O19:O20"/>
    <mergeCell ref="P19:P20"/>
    <mergeCell ref="Q19:Q20"/>
    <mergeCell ref="F2:L2"/>
    <mergeCell ref="O2:U2"/>
    <mergeCell ref="O5:U5"/>
    <mergeCell ref="F111:L111"/>
    <mergeCell ref="R51:R58"/>
    <mergeCell ref="S51:S58"/>
    <mergeCell ref="T51:T58"/>
    <mergeCell ref="U51:U58"/>
    <mergeCell ref="R60:R63"/>
    <mergeCell ref="S60:S63"/>
    <mergeCell ref="T60:T63"/>
    <mergeCell ref="U60:U63"/>
    <mergeCell ref="T67:T75"/>
    <mergeCell ref="U67:U75"/>
    <mergeCell ref="N77:N78"/>
    <mergeCell ref="N67:N75"/>
    <mergeCell ref="O67:O75"/>
    <mergeCell ref="P67:P75"/>
    <mergeCell ref="Q67:Q75"/>
    <mergeCell ref="R67:R75"/>
    <mergeCell ref="N51:N58"/>
    <mergeCell ref="O51:O58"/>
    <mergeCell ref="P51:P58"/>
    <mergeCell ref="Q51:Q58"/>
    <mergeCell ref="N60:N63"/>
    <mergeCell ref="O60:O63"/>
    <mergeCell ref="P60:P63"/>
    <mergeCell ref="Q60:Q63"/>
  </mergeCells>
  <conditionalFormatting sqref="C257:C267">
    <cfRule type="containsText" dxfId="253" priority="123" operator="containsText" text="FL">
      <formula>NOT(ISERROR(SEARCH("FL",C257)))</formula>
    </cfRule>
    <cfRule type="containsText" dxfId="252" priority="124" operator="containsText" text="FT">
      <formula>NOT(ISERROR(SEARCH("FT",C257)))</formula>
    </cfRule>
    <cfRule type="containsText" dxfId="251" priority="125" operator="containsText" text="SS">
      <formula>NOT(ISERROR(SEARCH("SS",C257)))</formula>
    </cfRule>
    <cfRule type="containsText" dxfId="250" priority="126" operator="containsText" text="GR">
      <formula>NOT(ISERROR(SEARCH("GR",C257)))</formula>
    </cfRule>
    <cfRule type="containsText" dxfId="249" priority="127" operator="containsText" text="GO">
      <formula>NOT(ISERROR(SEARCH("GO",C257)))</formula>
    </cfRule>
  </conditionalFormatting>
  <conditionalFormatting sqref="D72 D110:D111">
    <cfRule type="containsText" dxfId="248" priority="115" operator="containsText" text="GR">
      <formula>NOT(ISERROR(SEARCH("GR",D72)))</formula>
    </cfRule>
  </conditionalFormatting>
  <conditionalFormatting sqref="D80:D81 D73:D78">
    <cfRule type="duplicateValues" dxfId="247" priority="105"/>
  </conditionalFormatting>
  <conditionalFormatting sqref="D84:D88">
    <cfRule type="duplicateValues" dxfId="246" priority="104"/>
  </conditionalFormatting>
  <conditionalFormatting sqref="D85:D86">
    <cfRule type="duplicateValues" dxfId="245" priority="101"/>
    <cfRule type="duplicateValues" dxfId="244" priority="102"/>
  </conditionalFormatting>
  <conditionalFormatting sqref="D89:D90">
    <cfRule type="duplicateValues" dxfId="243" priority="103"/>
  </conditionalFormatting>
  <conditionalFormatting sqref="D92">
    <cfRule type="duplicateValues" dxfId="242" priority="9"/>
  </conditionalFormatting>
  <conditionalFormatting sqref="D104:D107 D93:D102">
    <cfRule type="duplicateValues" dxfId="241" priority="99"/>
  </conditionalFormatting>
  <conditionalFormatting sqref="D107">
    <cfRule type="duplicateValues" dxfId="240" priority="97"/>
    <cfRule type="duplicateValues" dxfId="239" priority="98"/>
  </conditionalFormatting>
  <conditionalFormatting sqref="D109">
    <cfRule type="duplicateValues" dxfId="238" priority="100"/>
  </conditionalFormatting>
  <conditionalFormatting sqref="D185:D186 D178:D183">
    <cfRule type="duplicateValues" dxfId="237" priority="96"/>
  </conditionalFormatting>
  <conditionalFormatting sqref="D188:D192">
    <cfRule type="duplicateValues" dxfId="236" priority="95"/>
  </conditionalFormatting>
  <conditionalFormatting sqref="D189:D190">
    <cfRule type="duplicateValues" dxfId="235" priority="92"/>
    <cfRule type="duplicateValues" dxfId="234" priority="93"/>
  </conditionalFormatting>
  <conditionalFormatting sqref="D193">
    <cfRule type="duplicateValues" dxfId="233" priority="94"/>
  </conditionalFormatting>
  <conditionalFormatting sqref="D207:D210 D195:D205">
    <cfRule type="duplicateValues" dxfId="232" priority="90"/>
  </conditionalFormatting>
  <conditionalFormatting sqref="D210">
    <cfRule type="duplicateValues" dxfId="231" priority="88"/>
    <cfRule type="duplicateValues" dxfId="230" priority="89"/>
  </conditionalFormatting>
  <conditionalFormatting sqref="D212">
    <cfRule type="duplicateValues" dxfId="229" priority="91"/>
  </conditionalFormatting>
  <conditionalFormatting sqref="E8 E13">
    <cfRule type="containsText" dxfId="228" priority="116" operator="containsText" text="FC">
      <formula>NOT(ISERROR(SEARCH("FC",E8)))</formula>
    </cfRule>
    <cfRule type="containsText" dxfId="227" priority="117" operator="containsText" text="PAC">
      <formula>NOT(ISERROR(SEARCH("PAC",E8)))</formula>
    </cfRule>
    <cfRule type="containsText" dxfId="226" priority="118" operator="containsText" text="AA">
      <formula>NOT(ISERROR(SEARCH("AA",E8)))</formula>
    </cfRule>
    <cfRule type="containsText" dxfId="225" priority="119" operator="containsText" text="RC">
      <formula>NOT(ISERROR(SEARCH("RC",E8)))</formula>
    </cfRule>
    <cfRule type="containsText" dxfId="224" priority="120" operator="containsText" text="GC">
      <formula>NOT(ISERROR(SEARCH("GC",E8)))</formula>
    </cfRule>
    <cfRule type="containsText" dxfId="223" priority="121" operator="containsText" text="SSC">
      <formula>NOT(ISERROR(SEARCH("SSC",E8)))</formula>
    </cfRule>
    <cfRule type="containsText" dxfId="222" priority="122" operator="containsText" text="CSO">
      <formula>NOT(ISERROR(SEARCH("CSO",E8)))</formula>
    </cfRule>
  </conditionalFormatting>
  <conditionalFormatting sqref="E20 E26 E30">
    <cfRule type="containsText" dxfId="221" priority="128" operator="containsText" text="PAC">
      <formula>NOT(ISERROR(SEARCH("PAC",E20)))</formula>
    </cfRule>
    <cfRule type="containsText" dxfId="220" priority="129" operator="containsText" text="GC">
      <formula>NOT(ISERROR(SEARCH("GC",E20)))</formula>
    </cfRule>
  </conditionalFormatting>
  <conditionalFormatting sqref="E20 E26 E30:E31">
    <cfRule type="containsText" dxfId="219" priority="106" operator="containsText" text="PSSC">
      <formula>NOT(ISERROR(SEARCH("PSSC",E20)))</formula>
    </cfRule>
    <cfRule type="containsText" dxfId="218" priority="107" operator="containsText" text="ASSC">
      <formula>NOT(ISERROR(SEARCH("ASSC",E20)))</formula>
    </cfRule>
    <cfRule type="containsText" dxfId="217" priority="108" operator="containsText" text="CC">
      <formula>NOT(ISERROR(SEARCH("CC",E20)))</formula>
    </cfRule>
    <cfRule type="containsText" dxfId="216" priority="109" operator="containsText" text="CSO">
      <formula>NOT(ISERROR(SEARCH("CSO",E20)))</formula>
    </cfRule>
    <cfRule type="containsText" dxfId="215" priority="110" operator="containsText" text="FC">
      <formula>NOT(ISERROR(SEARCH("FC",E20)))</formula>
    </cfRule>
    <cfRule type="containsText" dxfId="214" priority="111" operator="containsText" text="RC">
      <formula>NOT(ISERROR(SEARCH("RC",E20)))</formula>
    </cfRule>
    <cfRule type="containsText" dxfId="213" priority="130" stopIfTrue="1" operator="containsText" text="AAC">
      <formula>NOT(ISERROR(SEARCH("AAC",E20)))</formula>
    </cfRule>
  </conditionalFormatting>
  <conditionalFormatting sqref="E20">
    <cfRule type="containsText" dxfId="212" priority="112" stopIfTrue="1" operator="containsText" text="AAC">
      <formula>NOT(ISERROR(SEARCH("AAC",E20)))</formula>
    </cfRule>
    <cfRule type="containsText" dxfId="211" priority="113" operator="containsText" text="PAC">
      <formula>NOT(ISERROR(SEARCH("PAC",E20)))</formula>
    </cfRule>
    <cfRule type="containsText" dxfId="210" priority="114" operator="containsText" text="GC">
      <formula>NOT(ISERROR(SEARCH("GC",E20)))</formula>
    </cfRule>
  </conditionalFormatting>
  <conditionalFormatting sqref="E50:E53">
    <cfRule type="containsText" dxfId="209" priority="10" operator="containsText" text="PSSC">
      <formula>NOT(ISERROR(SEARCH("PSSC",E50)))</formula>
    </cfRule>
    <cfRule type="containsText" dxfId="208" priority="11" operator="containsText" text="ASSC">
      <formula>NOT(ISERROR(SEARCH("ASSC",E50)))</formula>
    </cfRule>
    <cfRule type="containsText" dxfId="207" priority="12" operator="containsText" text="CC">
      <formula>NOT(ISERROR(SEARCH("CC",E50)))</formula>
    </cfRule>
    <cfRule type="containsText" dxfId="206" priority="13" operator="containsText" text="CSO">
      <formula>NOT(ISERROR(SEARCH("CSO",E50)))</formula>
    </cfRule>
    <cfRule type="containsText" dxfId="205" priority="14" operator="containsText" text="FC">
      <formula>NOT(ISERROR(SEARCH("FC",E50)))</formula>
    </cfRule>
    <cfRule type="containsText" dxfId="204" priority="15" operator="containsText" text="RC">
      <formula>NOT(ISERROR(SEARCH("RC",E50)))</formula>
    </cfRule>
    <cfRule type="containsText" dxfId="203" priority="16" operator="containsText" text="PAC">
      <formula>NOT(ISERROR(SEARCH("PAC",E50)))</formula>
    </cfRule>
    <cfRule type="containsText" dxfId="202" priority="17" operator="containsText" text="GC">
      <formula>NOT(ISERROR(SEARCH("GC",E50)))</formula>
    </cfRule>
    <cfRule type="containsText" dxfId="201" priority="18" stopIfTrue="1" operator="containsText" text="AAC">
      <formula>NOT(ISERROR(SEARCH("AAC",E50)))</formula>
    </cfRule>
  </conditionalFormatting>
  <conditionalFormatting sqref="F230:F243 G231:L243 G230:J230">
    <cfRule type="colorScale" priority="217">
      <colorScale>
        <cfvo type="num" val="0"/>
        <cfvo type="num" val="1"/>
        <cfvo type="num" val="2"/>
        <color theme="0"/>
        <color rgb="FFAFFC06"/>
        <color rgb="FFFF0000"/>
      </colorScale>
    </cfRule>
  </conditionalFormatting>
  <conditionalFormatting sqref="F8:G8 I8:L8 F9:L36 G37:L37 F38:L59">
    <cfRule type="containsText" dxfId="200" priority="75" operator="containsText" text="CSO">
      <formula>NOT(ISERROR(SEARCH("CSO",F8)))</formula>
    </cfRule>
  </conditionalFormatting>
  <conditionalFormatting sqref="F8:G8 I8:L8 F9:L59">
    <cfRule type="containsText" dxfId="199" priority="68" operator="containsText" text="PAC">
      <formula>NOT(ISERROR(SEARCH("PAC",F8)))</formula>
    </cfRule>
    <cfRule type="containsText" dxfId="198" priority="69" operator="containsText" text="AAC">
      <formula>NOT(ISERROR(SEARCH("AAC",F8)))</formula>
    </cfRule>
    <cfRule type="containsText" dxfId="197" priority="70" operator="containsText" text="GC">
      <formula>NOT(ISERROR(SEARCH("GC",F8)))</formula>
    </cfRule>
    <cfRule type="containsText" dxfId="196" priority="71" operator="containsText" text="FC">
      <formula>NOT(ISERROR(SEARCH("FC",F8)))</formula>
    </cfRule>
    <cfRule type="containsText" dxfId="195" priority="72" operator="containsText" text="CC">
      <formula>NOT(ISERROR(SEARCH("CC",F8)))</formula>
    </cfRule>
    <cfRule type="containsText" dxfId="194" priority="73" operator="containsText" text="RC">
      <formula>NOT(ISERROR(SEARCH("RC",F8)))</formula>
    </cfRule>
    <cfRule type="containsText" dxfId="193" priority="74" operator="containsText" text="SSC">
      <formula>NOT(ISERROR(SEARCH("SSC",F8)))</formula>
    </cfRule>
  </conditionalFormatting>
  <conditionalFormatting sqref="F84:G84">
    <cfRule type="containsText" dxfId="192" priority="30" operator="containsText" text="PL">
      <formula>NOT(ISERROR(SEARCH("PL",F84)))</formula>
    </cfRule>
    <cfRule type="containsText" dxfId="191" priority="31" operator="containsText" text="SW">
      <formula>NOT(ISERROR(SEARCH("SW",F84)))</formula>
    </cfRule>
    <cfRule type="containsText" dxfId="190" priority="32" operator="containsText" text="AT">
      <formula>NOT(ISERROR(SEARCH("AT",F84)))</formula>
    </cfRule>
    <cfRule type="containsText" dxfId="189" priority="33" operator="containsText" text="SS">
      <formula>NOT(ISERROR(SEARCH("SS",F84)))</formula>
    </cfRule>
  </conditionalFormatting>
  <conditionalFormatting sqref="F108:I108">
    <cfRule type="containsText" dxfId="188" priority="54" operator="containsText" text="PL">
      <formula>NOT(ISERROR(SEARCH("PL",F108)))</formula>
    </cfRule>
    <cfRule type="containsText" dxfId="187" priority="55" operator="containsText" text="SW">
      <formula>NOT(ISERROR(SEARCH("SW",F108)))</formula>
    </cfRule>
    <cfRule type="containsText" dxfId="186" priority="56" operator="containsText" text="AT">
      <formula>NOT(ISERROR(SEARCH("AT",F108)))</formula>
    </cfRule>
    <cfRule type="containsText" dxfId="185" priority="57" operator="containsText" text="SS">
      <formula>NOT(ISERROR(SEARCH("SS",F108)))</formula>
    </cfRule>
  </conditionalFormatting>
  <conditionalFormatting sqref="F62:J62">
    <cfRule type="containsText" dxfId="184" priority="19" operator="containsText" text="CSO">
      <formula>NOT(ISERROR(SEARCH("CSO",F62)))</formula>
    </cfRule>
    <cfRule type="containsText" dxfId="183" priority="20" operator="containsText" text="FC">
      <formula>NOT(ISERROR(SEARCH("FC",F62)))</formula>
    </cfRule>
    <cfRule type="containsText" dxfId="182" priority="21" operator="containsText" text="SS">
      <formula>NOT(ISERROR(SEARCH("SS",F62)))</formula>
    </cfRule>
    <cfRule type="containsText" dxfId="181" priority="22" operator="containsText" text="RC">
      <formula>NOT(ISERROR(SEARCH("RC",F62)))</formula>
    </cfRule>
    <cfRule type="containsText" dxfId="180" priority="23" operator="containsText" text="PAC">
      <formula>NOT(ISERROR(SEARCH("PAC",F62)))</formula>
    </cfRule>
    <cfRule type="containsText" dxfId="179" priority="24" operator="containsText" text="AAC">
      <formula>NOT(ISERROR(SEARCH("AAC",F62)))</formula>
    </cfRule>
    <cfRule type="containsText" dxfId="178" priority="25" operator="containsText" text="GC">
      <formula>NOT(ISERROR(SEARCH("GC",F62)))</formula>
    </cfRule>
  </conditionalFormatting>
  <conditionalFormatting sqref="F64:J65">
    <cfRule type="cellIs" dxfId="177" priority="86" operator="lessThan">
      <formula>5</formula>
    </cfRule>
  </conditionalFormatting>
  <conditionalFormatting sqref="F85:J85">
    <cfRule type="containsText" dxfId="176" priority="46" operator="containsText" text="PL">
      <formula>NOT(ISERROR(SEARCH("PL",F85)))</formula>
    </cfRule>
    <cfRule type="containsText" dxfId="175" priority="47" operator="containsText" text="SW">
      <formula>NOT(ISERROR(SEARCH("SW",F85)))</formula>
    </cfRule>
    <cfRule type="containsText" dxfId="174" priority="48" operator="containsText" text="AT">
      <formula>NOT(ISERROR(SEARCH("AT",F85)))</formula>
    </cfRule>
    <cfRule type="containsText" dxfId="173" priority="49" operator="containsText" text="SS">
      <formula>NOT(ISERROR(SEARCH("SS",F85)))</formula>
    </cfRule>
  </conditionalFormatting>
  <conditionalFormatting sqref="F64:L64 F65:J65">
    <cfRule type="cellIs" dxfId="172" priority="87" operator="greaterThan">
      <formula>6</formula>
    </cfRule>
  </conditionalFormatting>
  <conditionalFormatting sqref="F67:L71">
    <cfRule type="containsText" dxfId="171" priority="66" operator="containsText" text="RC">
      <formula>NOT(ISERROR(SEARCH("RC",F67)))</formula>
    </cfRule>
    <cfRule type="containsText" dxfId="170" priority="67" operator="containsText" text="CC">
      <formula>NOT(ISERROR(SEARCH("CC",F67)))</formula>
    </cfRule>
  </conditionalFormatting>
  <conditionalFormatting sqref="F86:L86">
    <cfRule type="containsText" dxfId="169" priority="42" operator="containsText" text="PL">
      <formula>NOT(ISERROR(SEARCH("PL",F86)))</formula>
    </cfRule>
    <cfRule type="containsText" dxfId="168" priority="43" operator="containsText" text="SW">
      <formula>NOT(ISERROR(SEARCH("SW",F86)))</formula>
    </cfRule>
    <cfRule type="containsText" dxfId="167" priority="44" operator="containsText" text="AT">
      <formula>NOT(ISERROR(SEARCH("AT",F86)))</formula>
    </cfRule>
    <cfRule type="containsText" dxfId="166" priority="45" operator="containsText" text="SS">
      <formula>NOT(ISERROR(SEARCH("SS",F86)))</formula>
    </cfRule>
  </conditionalFormatting>
  <conditionalFormatting sqref="F171:L171">
    <cfRule type="cellIs" dxfId="165" priority="85" operator="greaterThan">
      <formula>3</formula>
    </cfRule>
  </conditionalFormatting>
  <conditionalFormatting sqref="F173:L173">
    <cfRule type="cellIs" dxfId="164" priority="84" operator="greaterThan">
      <formula>4</formula>
    </cfRule>
  </conditionalFormatting>
  <conditionalFormatting sqref="I77">
    <cfRule type="containsText" dxfId="163" priority="58" operator="containsText" text="PL">
      <formula>NOT(ISERROR(SEARCH("PL",I77)))</formula>
    </cfRule>
    <cfRule type="containsText" dxfId="162" priority="59" operator="containsText" text="SW">
      <formula>NOT(ISERROR(SEARCH("SW",I77)))</formula>
    </cfRule>
    <cfRule type="containsText" dxfId="161" priority="60" operator="containsText" text="AT">
      <formula>NOT(ISERROR(SEARCH("AT",I77)))</formula>
    </cfRule>
    <cfRule type="containsText" dxfId="160" priority="61" operator="containsText" text="SS">
      <formula>NOT(ISERROR(SEARCH("SS",I77)))</formula>
    </cfRule>
    <cfRule type="containsText" dxfId="159" priority="62" operator="containsText" text="PL">
      <formula>NOT(ISERROR(SEARCH("PL",I77)))</formula>
    </cfRule>
    <cfRule type="containsText" dxfId="158" priority="63" operator="containsText" text="SW">
      <formula>NOT(ISERROR(SEARCH("SW",I77)))</formula>
    </cfRule>
    <cfRule type="containsText" dxfId="157" priority="64" operator="containsText" text="AT">
      <formula>NOT(ISERROR(SEARCH("AT",I77)))</formula>
    </cfRule>
    <cfRule type="containsText" dxfId="156" priority="65" operator="containsText" text="SS">
      <formula>NOT(ISERROR(SEARCH("SS",I77)))</formula>
    </cfRule>
  </conditionalFormatting>
  <conditionalFormatting sqref="I86:I87">
    <cfRule type="containsText" dxfId="155" priority="50" operator="containsText" text="PL">
      <formula>NOT(ISERROR(SEARCH("PL",I86)))</formula>
    </cfRule>
    <cfRule type="containsText" dxfId="154" priority="51" operator="containsText" text="SW">
      <formula>NOT(ISERROR(SEARCH("SW",I86)))</formula>
    </cfRule>
    <cfRule type="containsText" dxfId="153" priority="52" operator="containsText" text="AT">
      <formula>NOT(ISERROR(SEARCH("AT",I86)))</formula>
    </cfRule>
    <cfRule type="containsText" dxfId="152" priority="53" operator="containsText" text="SS">
      <formula>NOT(ISERROR(SEARCH("SS",I86)))</formula>
    </cfRule>
  </conditionalFormatting>
  <conditionalFormatting sqref="I84:J84">
    <cfRule type="containsText" dxfId="151" priority="26" operator="containsText" text="PL">
      <formula>NOT(ISERROR(SEARCH("PL",I84)))</formula>
    </cfRule>
    <cfRule type="containsText" dxfId="150" priority="27" operator="containsText" text="SW">
      <formula>NOT(ISERROR(SEARCH("SW",I84)))</formula>
    </cfRule>
    <cfRule type="containsText" dxfId="149" priority="28" operator="containsText" text="AT">
      <formula>NOT(ISERROR(SEARCH("AT",I84)))</formula>
    </cfRule>
    <cfRule type="containsText" dxfId="148" priority="29" operator="containsText" text="SS">
      <formula>NOT(ISERROR(SEARCH("SS",I84)))</formula>
    </cfRule>
  </conditionalFormatting>
  <conditionalFormatting sqref="I87:J87">
    <cfRule type="containsText" dxfId="147" priority="38" operator="containsText" text="PL">
      <formula>NOT(ISERROR(SEARCH("PL",I87)))</formula>
    </cfRule>
    <cfRule type="containsText" dxfId="146" priority="39" operator="containsText" text="SW">
      <formula>NOT(ISERROR(SEARCH("SW",I87)))</formula>
    </cfRule>
    <cfRule type="containsText" dxfId="145" priority="40" operator="containsText" text="AT">
      <formula>NOT(ISERROR(SEARCH("AT",I87)))</formula>
    </cfRule>
    <cfRule type="containsText" dxfId="144" priority="41" operator="containsText" text="SS">
      <formula>NOT(ISERROR(SEARCH("SS",I87)))</formula>
    </cfRule>
  </conditionalFormatting>
  <conditionalFormatting sqref="K64:L65">
    <cfRule type="cellIs" dxfId="143" priority="76" operator="greaterThan">
      <formula>3</formula>
    </cfRule>
  </conditionalFormatting>
  <conditionalFormatting sqref="K88:L88">
    <cfRule type="containsText" dxfId="142" priority="34" operator="containsText" text="PL">
      <formula>NOT(ISERROR(SEARCH("PL",K88)))</formula>
    </cfRule>
    <cfRule type="containsText" dxfId="141" priority="35" operator="containsText" text="SW">
      <formula>NOT(ISERROR(SEARCH("SW",K88)))</formula>
    </cfRule>
    <cfRule type="containsText" dxfId="140" priority="36" operator="containsText" text="AT">
      <formula>NOT(ISERROR(SEARCH("AT",K88)))</formula>
    </cfRule>
    <cfRule type="containsText" dxfId="139" priority="37" operator="containsText" text="SS">
      <formula>NOT(ISERROR(SEARCH("SS",K88)))</formula>
    </cfRule>
  </conditionalFormatting>
  <conditionalFormatting sqref="N38:N40">
    <cfRule type="containsText" dxfId="138" priority="167" operator="containsText" text="NAMIT">
      <formula>NOT(ISERROR(SEARCH("NAMIT",N38)))</formula>
    </cfRule>
  </conditionalFormatting>
  <conditionalFormatting sqref="O6:U6">
    <cfRule type="notContainsErrors" dxfId="137" priority="171">
      <formula>NOT(ISERROR(O6))</formula>
    </cfRule>
  </conditionalFormatting>
  <conditionalFormatting sqref="O7:U7 O37:U37">
    <cfRule type="notContainsErrors" dxfId="136" priority="166">
      <formula>NOT(ISERROR(O7))</formula>
    </cfRule>
  </conditionalFormatting>
  <conditionalFormatting sqref="O8:U8">
    <cfRule type="notContainsErrors" dxfId="135" priority="169">
      <formula>NOT(ISERROR(O8))</formula>
    </cfRule>
  </conditionalFormatting>
  <conditionalFormatting sqref="O9:U9">
    <cfRule type="notContainsErrors" dxfId="134" priority="180">
      <formula>NOT(ISERROR(O9))</formula>
    </cfRule>
  </conditionalFormatting>
  <conditionalFormatting sqref="O10:U10">
    <cfRule type="notContainsErrors" dxfId="133" priority="161">
      <formula>NOT(ISERROR(O10))</formula>
    </cfRule>
  </conditionalFormatting>
  <conditionalFormatting sqref="O18:U18">
    <cfRule type="notContainsErrors" dxfId="132" priority="179">
      <formula>NOT(ISERROR(O18))</formula>
    </cfRule>
  </conditionalFormatting>
  <conditionalFormatting sqref="O36:U36">
    <cfRule type="notContainsErrors" dxfId="131" priority="172">
      <formula>NOT(ISERROR(O36))</formula>
    </cfRule>
  </conditionalFormatting>
  <conditionalFormatting sqref="O38:U38">
    <cfRule type="notContainsErrors" dxfId="130" priority="170">
      <formula>NOT(ISERROR(O38))</formula>
    </cfRule>
  </conditionalFormatting>
  <conditionalFormatting sqref="O39:U39">
    <cfRule type="notContainsErrors" dxfId="129" priority="163">
      <formula>NOT(ISERROR(O39))</formula>
    </cfRule>
  </conditionalFormatting>
  <conditionalFormatting sqref="O40:U40">
    <cfRule type="notContainsErrors" dxfId="128" priority="165">
      <formula>NOT(ISERROR(O40))</formula>
    </cfRule>
  </conditionalFormatting>
  <conditionalFormatting sqref="O48:U48">
    <cfRule type="notContainsErrors" dxfId="127" priority="164">
      <formula>NOT(ISERROR(O48))</formula>
    </cfRule>
  </conditionalFormatting>
  <conditionalFormatting sqref="O66:U66">
    <cfRule type="notContainsErrors" dxfId="126" priority="162">
      <formula>NOT(ISERROR(O66))</formula>
    </cfRule>
  </conditionalFormatting>
  <conditionalFormatting sqref="O76:U76">
    <cfRule type="notContainsErrors" dxfId="125" priority="168">
      <formula>NOT(ISERROR(O76))</formula>
    </cfRule>
  </conditionalFormatting>
  <conditionalFormatting sqref="V132:V1048576 P235:U1048576">
    <cfRule type="containsText" dxfId="124" priority="173" operator="containsText" text="SW">
      <formula>NOT(ISERROR(SEARCH("SW",P132)))</formula>
    </cfRule>
    <cfRule type="containsText" dxfId="123" priority="174" operator="containsText" text="FL">
      <formula>NOT(ISERROR(SEARCH("FL",P132)))</formula>
    </cfRule>
    <cfRule type="containsText" dxfId="122" priority="175" operator="containsText" text="FT">
      <formula>NOT(ISERROR(SEARCH("FT",P132)))</formula>
    </cfRule>
    <cfRule type="containsText" dxfId="121" priority="176" operator="containsText" text="SS">
      <formula>NOT(ISERROR(SEARCH("SS",P132)))</formula>
    </cfRule>
    <cfRule type="containsText" dxfId="120" priority="177" operator="containsText" text="GR">
      <formula>NOT(ISERROR(SEARCH("GR",P132)))</formula>
    </cfRule>
    <cfRule type="containsText" dxfId="119" priority="178" operator="containsText" text="GO">
      <formula>NOT(ISERROR(SEARCH("GO",P132)))</formula>
    </cfRule>
  </conditionalFormatting>
  <dataValidations count="1">
    <dataValidation type="list" allowBlank="1" showInputMessage="1" sqref="F134:L135 J136:L141 F113:G131 G136:H141 H114:H131 I113:J131 K114:L131" xr:uid="{176099E7-A695-FC48-9A8E-D171602911DC}">
      <formula1>#REF!</formula1>
    </dataValidation>
  </dataValidations>
  <pageMargins left="0.7" right="0.7" top="0.75" bottom="0.75" header="0.3" footer="0.3"/>
  <pageSetup paperSize="9" scale="6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CAECA-5D2A-5241-8633-627D3D9B5D75}">
  <sheetPr>
    <pageSetUpPr fitToPage="1"/>
  </sheetPr>
  <dimension ref="A1:W292"/>
  <sheetViews>
    <sheetView zoomScaleNormal="100" workbookViewId="0">
      <pane ySplit="3" topLeftCell="D103" activePane="bottomLeft" state="frozen"/>
      <selection pane="bottomLeft" activeCell="B1" sqref="B1"/>
    </sheetView>
  </sheetViews>
  <sheetFormatPr defaultColWidth="9" defaultRowHeight="14.25"/>
  <cols>
    <col min="1" max="2" width="10.875" style="56" hidden="1" customWidth="1"/>
    <col min="3" max="3" width="18" style="56" customWidth="1"/>
    <col min="4" max="4" width="24.375" style="72" customWidth="1"/>
    <col min="5" max="5" width="10.875" style="68"/>
    <col min="6" max="6" width="12.875" style="66" customWidth="1"/>
    <col min="7" max="10" width="12.875" style="64" customWidth="1"/>
    <col min="11" max="11" width="12.125" style="64" customWidth="1"/>
    <col min="12" max="12" width="12.625" style="64" customWidth="1"/>
    <col min="13" max="13" width="10.875" style="56"/>
    <col min="14" max="14" width="14.875" style="89" customWidth="1"/>
    <col min="15" max="15" width="15.375" style="112" customWidth="1"/>
    <col min="16" max="21" width="15.375" style="89" customWidth="1"/>
    <col min="22" max="22" width="12.875" style="34" customWidth="1"/>
    <col min="23" max="23" width="9" style="34"/>
    <col min="24" max="16384" width="9" style="56"/>
  </cols>
  <sheetData>
    <row r="1" spans="1:23" ht="14.1" customHeight="1" thickBot="1">
      <c r="D1" s="57"/>
      <c r="E1" s="58"/>
      <c r="F1" s="59" t="str">
        <f t="shared" ref="F1:L1" si="0">CONCATENATE(F170,"-",F171,"-",F172,"-",F173,"-",F174)</f>
        <v>14-1-16-0-9</v>
      </c>
      <c r="G1" s="59" t="str">
        <f t="shared" si="0"/>
        <v>14-2-18-0-9</v>
      </c>
      <c r="H1" s="59" t="str">
        <f t="shared" si="0"/>
        <v>15-2-18-0-9</v>
      </c>
      <c r="I1" s="59" t="str">
        <f t="shared" si="0"/>
        <v>16-1-15-1-9</v>
      </c>
      <c r="J1" s="59" t="str">
        <f t="shared" si="0"/>
        <v>16-0-16-0-9</v>
      </c>
      <c r="K1" s="59" t="str">
        <f t="shared" si="0"/>
        <v>14-1-15-0-10</v>
      </c>
      <c r="L1" s="59" t="str">
        <f t="shared" si="0"/>
        <v>15-1-15-0-10</v>
      </c>
      <c r="O1" s="89" t="str">
        <f t="shared" ref="O1:U1" si="1">F1</f>
        <v>14-1-16-0-9</v>
      </c>
      <c r="P1" s="89" t="str">
        <f t="shared" si="1"/>
        <v>14-2-18-0-9</v>
      </c>
      <c r="Q1" s="89" t="str">
        <f t="shared" si="1"/>
        <v>15-2-18-0-9</v>
      </c>
      <c r="R1" s="89" t="str">
        <f t="shared" si="1"/>
        <v>16-1-15-1-9</v>
      </c>
      <c r="S1" s="89" t="str">
        <f t="shared" si="1"/>
        <v>16-0-16-0-9</v>
      </c>
      <c r="T1" s="89" t="str">
        <f t="shared" si="1"/>
        <v>14-1-15-0-10</v>
      </c>
      <c r="U1" s="89" t="str">
        <f t="shared" si="1"/>
        <v>15-1-15-0-10</v>
      </c>
    </row>
    <row r="2" spans="1:23" ht="14.1" customHeight="1" thickBot="1">
      <c r="C2" s="1" t="s">
        <v>0</v>
      </c>
      <c r="D2" s="1" t="s">
        <v>0</v>
      </c>
      <c r="E2" s="58"/>
      <c r="F2" s="802">
        <v>13</v>
      </c>
      <c r="G2" s="802"/>
      <c r="H2" s="802"/>
      <c r="I2" s="802"/>
      <c r="J2" s="802"/>
      <c r="K2" s="802"/>
      <c r="L2" s="802"/>
      <c r="O2" s="754">
        <f>F2</f>
        <v>13</v>
      </c>
      <c r="P2" s="755"/>
      <c r="Q2" s="755"/>
      <c r="R2" s="755"/>
      <c r="S2" s="755"/>
      <c r="T2" s="755"/>
      <c r="U2" s="756"/>
    </row>
    <row r="3" spans="1:23" ht="14.1" customHeight="1">
      <c r="A3" s="56" t="s">
        <v>297</v>
      </c>
      <c r="B3" s="56" t="s">
        <v>298</v>
      </c>
      <c r="C3" s="494" t="s">
        <v>299</v>
      </c>
      <c r="D3" s="494" t="s">
        <v>300</v>
      </c>
      <c r="E3" s="69" t="s">
        <v>5</v>
      </c>
      <c r="F3" s="22" t="s">
        <v>6</v>
      </c>
      <c r="G3" s="23" t="s">
        <v>7</v>
      </c>
      <c r="H3" s="23" t="s">
        <v>8</v>
      </c>
      <c r="I3" s="23" t="s">
        <v>9</v>
      </c>
      <c r="J3" s="23" t="s">
        <v>10</v>
      </c>
      <c r="K3" s="23" t="s">
        <v>11</v>
      </c>
      <c r="L3" s="24" t="s">
        <v>12</v>
      </c>
      <c r="O3" s="90" t="s">
        <v>6</v>
      </c>
      <c r="P3" s="91" t="s">
        <v>7</v>
      </c>
      <c r="Q3" s="91" t="s">
        <v>8</v>
      </c>
      <c r="R3" s="91" t="s">
        <v>9</v>
      </c>
      <c r="S3" s="91" t="s">
        <v>10</v>
      </c>
      <c r="T3" s="91" t="s">
        <v>11</v>
      </c>
      <c r="U3" s="92" t="s">
        <v>12</v>
      </c>
    </row>
    <row r="4" spans="1:23" ht="18.75" customHeight="1" thickBot="1">
      <c r="A4" s="56" t="s">
        <v>13</v>
      </c>
      <c r="C4" s="25"/>
      <c r="D4" s="25"/>
      <c r="E4" s="77"/>
      <c r="F4" s="26">
        <v>46139</v>
      </c>
      <c r="G4" s="27">
        <v>46140</v>
      </c>
      <c r="H4" s="27">
        <v>46141</v>
      </c>
      <c r="I4" s="27">
        <v>46142</v>
      </c>
      <c r="J4" s="27">
        <v>46143</v>
      </c>
      <c r="K4" s="27">
        <v>46144</v>
      </c>
      <c r="L4" s="27">
        <v>46145</v>
      </c>
      <c r="N4" s="93"/>
      <c r="O4" s="94">
        <f t="shared" ref="O4:U4" si="2">F4</f>
        <v>46139</v>
      </c>
      <c r="P4" s="95">
        <f t="shared" si="2"/>
        <v>46140</v>
      </c>
      <c r="Q4" s="95">
        <f t="shared" si="2"/>
        <v>46141</v>
      </c>
      <c r="R4" s="95">
        <f t="shared" si="2"/>
        <v>46142</v>
      </c>
      <c r="S4" s="95">
        <f t="shared" si="2"/>
        <v>46143</v>
      </c>
      <c r="T4" s="95">
        <f t="shared" si="2"/>
        <v>46144</v>
      </c>
      <c r="U4" s="96">
        <f t="shared" si="2"/>
        <v>46145</v>
      </c>
    </row>
    <row r="5" spans="1:23" ht="14.1" customHeight="1" thickBot="1">
      <c r="C5" s="2"/>
      <c r="D5" s="2"/>
      <c r="E5" s="81"/>
      <c r="F5" s="201"/>
      <c r="G5" s="60"/>
      <c r="H5" s="60"/>
      <c r="I5" s="60"/>
      <c r="J5" s="60"/>
      <c r="K5" s="60"/>
      <c r="L5" s="61"/>
      <c r="O5" s="757" t="s">
        <v>301</v>
      </c>
      <c r="P5" s="758"/>
      <c r="Q5" s="758"/>
      <c r="R5" s="758"/>
      <c r="S5" s="758"/>
      <c r="T5" s="758"/>
      <c r="U5" s="759"/>
      <c r="W5" s="34" t="s">
        <v>302</v>
      </c>
    </row>
    <row r="6" spans="1:23" ht="14.1" customHeight="1">
      <c r="C6" s="315" t="s">
        <v>26</v>
      </c>
      <c r="D6" s="315" t="s">
        <v>26</v>
      </c>
      <c r="E6" s="495"/>
      <c r="F6" s="317"/>
      <c r="G6" s="318"/>
      <c r="H6" s="318"/>
      <c r="I6" s="318"/>
      <c r="J6" s="318"/>
      <c r="K6" s="318"/>
      <c r="L6" s="319"/>
      <c r="N6" s="97" t="s">
        <v>303</v>
      </c>
      <c r="O6" s="98" t="str">
        <f t="shared" ref="O6:U6" si="3">INDEX($C7:$L189,MATCH("*AGC*",F7:F192,0),1)</f>
        <v>JACKIE SMS</v>
      </c>
      <c r="P6" s="99" t="str">
        <f t="shared" si="3"/>
        <v>SCOTT SMS</v>
      </c>
      <c r="Q6" s="99" t="str">
        <f t="shared" si="3"/>
        <v>NICOLA SMS</v>
      </c>
      <c r="R6" s="99" t="str">
        <f t="shared" si="3"/>
        <v>MICHAEL SMS</v>
      </c>
      <c r="S6" s="99" t="str">
        <f t="shared" si="3"/>
        <v>PAIGE SMS</v>
      </c>
      <c r="T6" s="99" t="str">
        <f t="shared" si="3"/>
        <v>MADDY SMS</v>
      </c>
      <c r="U6" s="100" t="str">
        <f t="shared" si="3"/>
        <v>CHAMARA SMS</v>
      </c>
      <c r="V6" s="34" t="s">
        <v>287</v>
      </c>
      <c r="W6" s="101"/>
    </row>
    <row r="7" spans="1:23" ht="14.1" customHeight="1">
      <c r="C7" s="496" t="s">
        <v>304</v>
      </c>
      <c r="D7" s="497" t="s">
        <v>27</v>
      </c>
      <c r="E7" s="498">
        <v>625982</v>
      </c>
      <c r="F7" s="569" t="s">
        <v>28</v>
      </c>
      <c r="G7" s="570"/>
      <c r="H7" s="570"/>
      <c r="I7" s="570"/>
      <c r="J7" s="570"/>
      <c r="K7" s="570"/>
      <c r="L7" s="571"/>
      <c r="N7" s="499" t="s">
        <v>305</v>
      </c>
      <c r="O7" s="102" t="str">
        <f t="shared" ref="O7:U7" si="4">INDEX($C7:$L189,MATCH("*AAC",F7:F191,0),1)</f>
        <v>SINDY SMS</v>
      </c>
      <c r="P7" s="500" t="str">
        <f t="shared" si="4"/>
        <v>STEPHEN G SMS</v>
      </c>
      <c r="Q7" s="500" t="str">
        <f t="shared" si="4"/>
        <v>DIANA SMS</v>
      </c>
      <c r="R7" s="500" t="str">
        <f t="shared" si="4"/>
        <v>ANDRE SMS</v>
      </c>
      <c r="S7" s="500" t="str">
        <f t="shared" si="4"/>
        <v>BRAD SMS</v>
      </c>
      <c r="T7" s="500" t="str">
        <f t="shared" si="4"/>
        <v>TARA K. SMS</v>
      </c>
      <c r="U7" s="501" t="str">
        <f t="shared" si="4"/>
        <v>HELEN SMS</v>
      </c>
      <c r="V7" s="34" t="s">
        <v>286</v>
      </c>
      <c r="W7" s="101"/>
    </row>
    <row r="8" spans="1:23" ht="14.1" customHeight="1">
      <c r="C8" s="497" t="s">
        <v>306</v>
      </c>
      <c r="D8" s="83" t="s">
        <v>29</v>
      </c>
      <c r="E8" s="502">
        <v>628936</v>
      </c>
      <c r="F8" s="211"/>
      <c r="G8" s="62" t="s">
        <v>33</v>
      </c>
      <c r="H8" s="62" t="s">
        <v>33</v>
      </c>
      <c r="I8" s="62" t="s">
        <v>33</v>
      </c>
      <c r="J8" s="62"/>
      <c r="K8" s="565" t="s">
        <v>36</v>
      </c>
      <c r="L8" s="577"/>
      <c r="N8" s="503" t="s">
        <v>307</v>
      </c>
      <c r="O8" s="102" t="str">
        <f t="shared" ref="O8:U8" si="5">INDEX($C7:$L189,MATCH("*ARC*",F7:F192,0),1)</f>
        <v>MINA SMS</v>
      </c>
      <c r="P8" s="500" t="str">
        <f t="shared" si="5"/>
        <v>STEVE T SMS</v>
      </c>
      <c r="Q8" s="500" t="str">
        <f t="shared" si="5"/>
        <v>QAIS SMS</v>
      </c>
      <c r="R8" s="500" t="str">
        <f t="shared" si="5"/>
        <v>QING SMS</v>
      </c>
      <c r="S8" s="500" t="str">
        <f t="shared" si="5"/>
        <v>DANIEL SMS</v>
      </c>
      <c r="T8" s="500" t="str">
        <f t="shared" si="5"/>
        <v>VARUNA SMS</v>
      </c>
      <c r="U8" s="501" t="str">
        <f t="shared" si="5"/>
        <v>TITUS CMO</v>
      </c>
      <c r="V8" s="34" t="s">
        <v>285</v>
      </c>
      <c r="W8" s="101"/>
    </row>
    <row r="9" spans="1:23" ht="14.1" customHeight="1">
      <c r="C9" s="504" t="s">
        <v>308</v>
      </c>
      <c r="D9" s="723" t="s">
        <v>42</v>
      </c>
      <c r="E9" s="502">
        <v>628576</v>
      </c>
      <c r="F9" s="575"/>
      <c r="G9" s="566"/>
      <c r="H9" s="565" t="s">
        <v>33</v>
      </c>
      <c r="I9" s="575" t="s">
        <v>33</v>
      </c>
      <c r="J9" s="566" t="s">
        <v>41</v>
      </c>
      <c r="K9" s="565" t="s">
        <v>43</v>
      </c>
      <c r="L9" s="577"/>
      <c r="N9" s="505" t="s">
        <v>309</v>
      </c>
      <c r="O9" s="102" t="str">
        <f t="shared" ref="O9:U9" si="6">INDEX($C7:$L189,MATCH("*ASSC*",F7:F192,0),1)</f>
        <v>ABI SMS</v>
      </c>
      <c r="P9" s="500" t="str">
        <f t="shared" si="6"/>
        <v>MAUREEN SMS</v>
      </c>
      <c r="Q9" s="500" t="str">
        <f t="shared" si="6"/>
        <v>HELEN SMS</v>
      </c>
      <c r="R9" s="500" t="str">
        <f t="shared" si="6"/>
        <v>VARUNA SMS</v>
      </c>
      <c r="S9" s="500" t="str">
        <f t="shared" si="6"/>
        <v>JEREMY SMS</v>
      </c>
      <c r="T9" s="500" t="str">
        <f t="shared" si="6"/>
        <v>CHAMARA SMS</v>
      </c>
      <c r="U9" s="501" t="str">
        <f t="shared" si="6"/>
        <v>VARUNA SMS</v>
      </c>
      <c r="V9" s="34" t="s">
        <v>289</v>
      </c>
      <c r="W9" s="101"/>
    </row>
    <row r="10" spans="1:23" ht="14.1" customHeight="1">
      <c r="C10" s="504" t="s">
        <v>310</v>
      </c>
      <c r="D10" s="497" t="s">
        <v>45</v>
      </c>
      <c r="E10" s="506">
        <v>632647</v>
      </c>
      <c r="F10" s="575" t="s">
        <v>33</v>
      </c>
      <c r="G10" s="565" t="s">
        <v>33</v>
      </c>
      <c r="H10" s="565" t="s">
        <v>43</v>
      </c>
      <c r="I10" s="565" t="s">
        <v>32</v>
      </c>
      <c r="J10" s="576"/>
      <c r="K10" s="576"/>
      <c r="L10" s="579"/>
      <c r="N10" s="507" t="s">
        <v>311</v>
      </c>
      <c r="O10" s="102" t="str">
        <f t="shared" ref="O10:U10" si="7">INDEX($C6:$L188,MATCH("*ACC*",F6:F184,0),1)</f>
        <v>TARA J. SMS</v>
      </c>
      <c r="P10" s="500" t="str">
        <f t="shared" si="7"/>
        <v>DANIEL SMS</v>
      </c>
      <c r="Q10" s="500" t="str">
        <f t="shared" si="7"/>
        <v>SAM CMO</v>
      </c>
      <c r="R10" s="500" t="str">
        <f t="shared" si="7"/>
        <v>NICOLA SMS</v>
      </c>
      <c r="S10" s="500" t="str">
        <f t="shared" si="7"/>
        <v>SUHAIL SMS</v>
      </c>
      <c r="T10" s="500" t="str">
        <f t="shared" si="7"/>
        <v>TITUS CMO</v>
      </c>
      <c r="U10" s="501" t="str">
        <f t="shared" si="7"/>
        <v>SAM CMO</v>
      </c>
      <c r="V10" s="34" t="s">
        <v>288</v>
      </c>
      <c r="W10" s="101"/>
    </row>
    <row r="11" spans="1:23" ht="14.1" customHeight="1">
      <c r="C11" s="497" t="s">
        <v>312</v>
      </c>
      <c r="D11" s="497" t="s">
        <v>48</v>
      </c>
      <c r="E11" s="502">
        <v>279110</v>
      </c>
      <c r="F11" s="575" t="s">
        <v>33</v>
      </c>
      <c r="G11" s="565" t="s">
        <v>33</v>
      </c>
      <c r="H11" s="565" t="s">
        <v>47</v>
      </c>
      <c r="I11" s="565"/>
      <c r="J11" s="565"/>
      <c r="K11" s="565"/>
      <c r="L11" s="577"/>
      <c r="N11" s="733" t="s">
        <v>313</v>
      </c>
      <c r="O11" s="774" t="str" cm="1">
        <f t="array" ref="O11">_xlfn.TEXTJOIN(CHAR(10),TRUE,IF(F7:F111="0800-1800 AFC",$C7:$C111,""),IF(F7:F111="0800-1730 AFC",$C7:$C111,""),IF(F7:F111="0800-1800",$C7:$C111,""),IF(F7:F111="0800-1730",$C7:$C111,""))</f>
        <v>TITUS CMO
HANNAH IR
GIOVANA JR
CRAIG JR
PAUL JR</v>
      </c>
      <c r="P11" s="775" t="str" cm="1">
        <f t="array" ref="P11">_xlfn.TEXTJOIN(CHAR(10),TRUE,IF(G7:G111="0800-1800 AFC",$C7:$C111,""),IF(G7:G111="0800-1730 AFC",$C7:$C111,""),IF(G7:G111="0800-1800",$C7:$C111,""),IF(G7:G111="0800-1730",$C7:$C111,""))</f>
        <v>SALEEM CMO
JESS SR
CLARE IR
GIOVANA JR</v>
      </c>
      <c r="Q11" s="775" t="str" cm="1">
        <f t="array" ref="Q11">_xlfn.TEXTJOIN(CHAR(10),TRUE,IF(H7:H111="0800-1800 AFC",$C7:$C111,""),IF(H7:H111="0800-1730 AFC",$C7:$C111,""),IF(H7:H111="0800-1800",$C7:$C111,""),IF(H7:H111="0800-1730",$C7:$C111,""))</f>
        <v>YAN SMS
TITUS CMO
SALEEM CMO
JESS SR</v>
      </c>
      <c r="R11" s="775" t="str" cm="1">
        <f t="array" ref="R11">_xlfn.TEXTJOIN(CHAR(10),TRUE,IF(I7:I111="0800-1800 AFC",$C7:$C111,""),IF(I7:I111="0800-1730 AFC",$C7:$C111,""),IF(I7:I111="0800-1800",$C7:$C111,""),IF(I7:I111="0800-1730",$C7:$C111,""))</f>
        <v>RACHEL SMS 
DENNIS SR
AMY SR
CLARE JR</v>
      </c>
      <c r="S11" s="775" t="str" cm="1">
        <f t="array" ref="S11">_xlfn.TEXTJOIN(CHAR(10),TRUE,IF(J7:J111="0800-1800 AFC",$C7:$C111,""),IF(J7:J111="0800-1730 AFC",$C7:$C111,""),IF(J7:J111="0800-1800",$C7:$C111,""),IF(J7:J111="0800-1730",$C7:$C111,""))</f>
        <v>MADDY SMS
AMY SR
CLARE JR
POH JR
JEROME JR</v>
      </c>
      <c r="T11" s="775" t="str" cm="1">
        <f t="array" ref="T11">_xlfn.TEXTJOIN(CHAR(10),TRUE,IF(K7:K111="0800-1800 AFC",$C7:$C111,""),IF(K7:K111="0800-1730 AFC",$C7:$C111,""),IF(K7:K111="0800-1800",$C7:$C111,""),IF(K7:K111="0800-1730",$C7:$C111,""))</f>
        <v>PATRICK SR
CHRISTINA JR
CLARE JR
SUBARNA JR</v>
      </c>
      <c r="U11" s="775" t="str" cm="1">
        <f t="array" ref="U11">_xlfn.TEXTJOIN(CHAR(10),TRUE,IF(L7:L111="0800-1800 AFC",$C7:$C111,""),IF(L7:L111="0800-1730 AFC",$C7:$C111,""),IF(L7:L111="0800-1800",$C7:$C111,""),IF(L7:L111="0800-1730",$C7:$C111,""))</f>
        <v>PATRICK SR
CHRISTINA JR
POH JR
JESSICA JR</v>
      </c>
      <c r="W11" s="772">
        <v>7</v>
      </c>
    </row>
    <row r="12" spans="1:23" ht="14.1" customHeight="1">
      <c r="C12" s="497" t="s">
        <v>314</v>
      </c>
      <c r="D12" s="497" t="s">
        <v>49</v>
      </c>
      <c r="E12" s="502">
        <v>213322</v>
      </c>
      <c r="F12" s="575" t="s">
        <v>50</v>
      </c>
      <c r="G12" s="565" t="s">
        <v>37</v>
      </c>
      <c r="H12" s="565" t="s">
        <v>36</v>
      </c>
      <c r="I12" s="565"/>
      <c r="J12" s="565"/>
      <c r="K12" s="565"/>
      <c r="L12" s="577"/>
      <c r="N12" s="734"/>
      <c r="O12" s="774"/>
      <c r="P12" s="775"/>
      <c r="Q12" s="775"/>
      <c r="R12" s="775"/>
      <c r="S12" s="775"/>
      <c r="T12" s="775"/>
      <c r="U12" s="775"/>
      <c r="W12" s="772"/>
    </row>
    <row r="13" spans="1:23" ht="14.1" customHeight="1">
      <c r="C13" s="497" t="s">
        <v>315</v>
      </c>
      <c r="D13" s="497" t="s">
        <v>51</v>
      </c>
      <c r="E13" s="502">
        <v>602997</v>
      </c>
      <c r="F13" s="582"/>
      <c r="G13" s="565" t="s">
        <v>52</v>
      </c>
      <c r="H13" s="565" t="s">
        <v>53</v>
      </c>
      <c r="I13" s="565" t="s">
        <v>36</v>
      </c>
      <c r="J13" s="565"/>
      <c r="K13" s="565"/>
      <c r="L13" s="577"/>
      <c r="N13" s="734"/>
      <c r="O13" s="774"/>
      <c r="P13" s="775"/>
      <c r="Q13" s="775"/>
      <c r="R13" s="775"/>
      <c r="S13" s="775"/>
      <c r="T13" s="775"/>
      <c r="U13" s="775"/>
      <c r="W13" s="772"/>
    </row>
    <row r="14" spans="1:23" ht="14.1" customHeight="1">
      <c r="C14" s="504" t="s">
        <v>316</v>
      </c>
      <c r="D14" s="504" t="s">
        <v>55</v>
      </c>
      <c r="E14" s="502">
        <v>646459</v>
      </c>
      <c r="F14" s="575" t="s">
        <v>34</v>
      </c>
      <c r="G14" s="566" t="s">
        <v>50</v>
      </c>
      <c r="H14" s="566" t="s">
        <v>33</v>
      </c>
      <c r="I14" s="565" t="s">
        <v>37</v>
      </c>
      <c r="J14" s="576"/>
      <c r="K14" s="576"/>
      <c r="L14" s="579"/>
      <c r="N14" s="734"/>
      <c r="O14" s="774"/>
      <c r="P14" s="775"/>
      <c r="Q14" s="775"/>
      <c r="R14" s="775"/>
      <c r="S14" s="775"/>
      <c r="T14" s="775"/>
      <c r="U14" s="775"/>
      <c r="W14" s="772"/>
    </row>
    <row r="15" spans="1:23" ht="14.1" customHeight="1">
      <c r="C15" s="497" t="s">
        <v>318</v>
      </c>
      <c r="D15" s="504" t="s">
        <v>56</v>
      </c>
      <c r="E15" s="502">
        <v>632594</v>
      </c>
      <c r="F15" s="575" t="s">
        <v>40</v>
      </c>
      <c r="G15" s="565"/>
      <c r="H15" s="565" t="s">
        <v>33</v>
      </c>
      <c r="I15" s="565"/>
      <c r="J15" s="565"/>
      <c r="K15" s="565" t="s">
        <v>35</v>
      </c>
      <c r="L15" s="577" t="s">
        <v>36</v>
      </c>
      <c r="N15" s="734"/>
      <c r="O15" s="774"/>
      <c r="P15" s="775"/>
      <c r="Q15" s="775"/>
      <c r="R15" s="775"/>
      <c r="S15" s="775"/>
      <c r="T15" s="775"/>
      <c r="U15" s="775"/>
      <c r="W15" s="772"/>
    </row>
    <row r="16" spans="1:23" ht="14.1" customHeight="1">
      <c r="C16" s="497" t="s">
        <v>319</v>
      </c>
      <c r="D16" s="497" t="s">
        <v>58</v>
      </c>
      <c r="E16" s="502">
        <v>541622</v>
      </c>
      <c r="F16" s="572" t="s">
        <v>31</v>
      </c>
      <c r="G16" s="573"/>
      <c r="H16" s="573"/>
      <c r="I16" s="573"/>
      <c r="J16" s="573"/>
      <c r="K16" s="573"/>
      <c r="L16" s="574"/>
      <c r="N16" s="734"/>
      <c r="O16" s="774"/>
      <c r="P16" s="775"/>
      <c r="Q16" s="775"/>
      <c r="R16" s="775"/>
      <c r="S16" s="775"/>
      <c r="T16" s="775"/>
      <c r="U16" s="775"/>
      <c r="W16" s="772"/>
    </row>
    <row r="17" spans="3:23" ht="14.1" customHeight="1">
      <c r="C17" s="504" t="s">
        <v>320</v>
      </c>
      <c r="D17" s="504" t="s">
        <v>59</v>
      </c>
      <c r="E17" s="508">
        <v>614941</v>
      </c>
      <c r="F17" s="582" t="s">
        <v>62</v>
      </c>
      <c r="G17" s="576"/>
      <c r="H17" s="583"/>
      <c r="I17" s="203"/>
      <c r="J17" s="576"/>
      <c r="K17" s="576"/>
      <c r="L17" s="579"/>
      <c r="N17" s="773"/>
      <c r="O17" s="774"/>
      <c r="P17" s="775"/>
      <c r="Q17" s="775"/>
      <c r="R17" s="775"/>
      <c r="S17" s="775"/>
      <c r="T17" s="775"/>
      <c r="U17" s="775"/>
      <c r="W17" s="772"/>
    </row>
    <row r="18" spans="3:23" ht="14.1" customHeight="1">
      <c r="C18" s="497" t="s">
        <v>321</v>
      </c>
      <c r="D18" s="497" t="s">
        <v>63</v>
      </c>
      <c r="E18" s="502">
        <v>600989</v>
      </c>
      <c r="F18" s="582" t="s">
        <v>62</v>
      </c>
      <c r="G18" s="576"/>
      <c r="H18" s="583"/>
      <c r="I18" s="203"/>
      <c r="J18" s="576"/>
      <c r="K18" s="576"/>
      <c r="L18" s="579"/>
      <c r="N18" s="510" t="s">
        <v>322</v>
      </c>
      <c r="O18" s="102" t="e">
        <f t="shared" ref="O18:U18" si="8">INDEX($C7:$L189,MATCH("*AHJ*",F7:F192,0),1)</f>
        <v>#N/A</v>
      </c>
      <c r="P18" s="102" t="str">
        <f t="shared" si="8"/>
        <v>MIKEY HMO</v>
      </c>
      <c r="Q18" s="102" t="str">
        <f t="shared" si="8"/>
        <v>MARYAM HMO</v>
      </c>
      <c r="R18" s="102" t="str">
        <f t="shared" si="8"/>
        <v>VISHNU HMO</v>
      </c>
      <c r="S18" s="102" t="str">
        <f t="shared" si="8"/>
        <v>HARRISON HMO</v>
      </c>
      <c r="T18" s="102" t="str">
        <f t="shared" si="8"/>
        <v>TORI-ANN HMO</v>
      </c>
      <c r="U18" s="102" t="str">
        <f t="shared" si="8"/>
        <v>VISHNU HMO</v>
      </c>
      <c r="V18" s="34" t="s">
        <v>323</v>
      </c>
      <c r="W18" s="89">
        <v>1</v>
      </c>
    </row>
    <row r="19" spans="3:23" ht="14.1" customHeight="1">
      <c r="C19" s="511" t="s">
        <v>324</v>
      </c>
      <c r="D19" s="497" t="s">
        <v>64</v>
      </c>
      <c r="E19" s="502">
        <v>628578</v>
      </c>
      <c r="F19" s="575" t="s">
        <v>37</v>
      </c>
      <c r="G19" s="76" t="s">
        <v>36</v>
      </c>
      <c r="H19" s="76" t="s">
        <v>38</v>
      </c>
      <c r="I19" s="76" t="s">
        <v>33</v>
      </c>
      <c r="J19" s="576"/>
      <c r="K19" s="576"/>
      <c r="L19" s="580"/>
      <c r="N19" s="776" t="s">
        <v>325</v>
      </c>
      <c r="O19" s="777" t="str" cm="1">
        <f t="array" ref="O19">_xlfn.TEXTJOIN(CHAR(10),TRUE,_xlfn._xlws.FILTER($C7:$C185,RIGHT(F7:F185,LEN("ASSJ"))="ASSJ",""))</f>
        <v>BRENDAN HMO</v>
      </c>
      <c r="P19" s="750" t="str" cm="1">
        <f t="array" ref="P19">_xlfn.TEXTJOIN(CHAR(10),TRUE,_xlfn._xlws.FILTER($C7:$C185,RIGHT(G7:G185,LEN("ASSJ"))="ASSJ",""))</f>
        <v>AARON B. HMO</v>
      </c>
      <c r="Q19" s="750" t="str" cm="1">
        <f t="array" ref="Q19">_xlfn.TEXTJOIN(CHAR(10),TRUE,_xlfn._xlws.FILTER($C7:$C185,RIGHT(H7:H185,LEN("ASSJ"))="ASSJ",""))</f>
        <v>HARRISON HMO</v>
      </c>
      <c r="R19" s="750" t="str" cm="1">
        <f t="array" ref="R19">_xlfn.TEXTJOIN(CHAR(10),TRUE,_xlfn._xlws.FILTER($C7:$C185,RIGHT(I7:I185,LEN("ASSJ"))="ASSJ",""))</f>
        <v>AARON N. HMO</v>
      </c>
      <c r="S19" s="750" t="str" cm="1">
        <f t="array" ref="S19">_xlfn.TEXTJOIN(CHAR(10),TRUE,_xlfn._xlws.FILTER($C7:$C185,RIGHT(J7:J185,LEN("ASSJ"))="ASSJ",""))</f>
        <v>AARON G. HMO</v>
      </c>
      <c r="T19" s="750" t="str" cm="1">
        <f t="array" ref="T19">_xlfn.TEXTJOIN(CHAR(10),TRUE,_xlfn._xlws.FILTER($C7:$C185,RIGHT(K7:K185,LEN("ASSJ"))="ASSJ",""))</f>
        <v>VISHNU HMO</v>
      </c>
      <c r="U19" s="788" t="str" cm="1">
        <f t="array" ref="U19">_xlfn.TEXTJOIN(CHAR(10),TRUE,_xlfn._xlws.FILTER($C7:$C185,RIGHT(L7:L185,LEN("ASSJ"))="ASSJ",""))</f>
        <v>TORI-ANN HMO</v>
      </c>
      <c r="V19" s="34" t="s">
        <v>326</v>
      </c>
      <c r="W19" s="772">
        <v>2</v>
      </c>
    </row>
    <row r="20" spans="3:23" ht="14.1" customHeight="1">
      <c r="C20" s="497" t="s">
        <v>327</v>
      </c>
      <c r="D20" s="504" t="s">
        <v>68</v>
      </c>
      <c r="E20" s="512">
        <v>628603</v>
      </c>
      <c r="F20" s="582"/>
      <c r="G20" s="565"/>
      <c r="H20" s="565" t="s">
        <v>33</v>
      </c>
      <c r="I20" s="565" t="s">
        <v>38</v>
      </c>
      <c r="J20" s="565"/>
      <c r="K20" s="565" t="s">
        <v>40</v>
      </c>
      <c r="L20" s="577" t="s">
        <v>43</v>
      </c>
      <c r="N20" s="776"/>
      <c r="O20" s="777"/>
      <c r="P20" s="750"/>
      <c r="Q20" s="750"/>
      <c r="R20" s="750"/>
      <c r="S20" s="750"/>
      <c r="T20" s="750"/>
      <c r="U20" s="788"/>
      <c r="W20" s="772"/>
    </row>
    <row r="21" spans="3:23" ht="14.1" customHeight="1">
      <c r="C21" s="513" t="s">
        <v>329</v>
      </c>
      <c r="D21" s="504" t="s">
        <v>71</v>
      </c>
      <c r="E21" s="113">
        <v>631416</v>
      </c>
      <c r="F21" s="572" t="s">
        <v>31</v>
      </c>
      <c r="G21" s="573"/>
      <c r="H21" s="573"/>
      <c r="I21" s="573"/>
      <c r="J21" s="573"/>
      <c r="K21" s="573"/>
      <c r="L21" s="574"/>
      <c r="N21" s="733" t="s">
        <v>330</v>
      </c>
      <c r="O21" s="777" t="str" cm="1">
        <f t="array" ref="O21">_xlfn.TEXTJOIN(CHAR(10),TRUE,IF(F112:F185="0800-1730",$C112:$C185,""))</f>
        <v>MILOS HMO
ZOBIA HMO
Jean-Luc INT</v>
      </c>
      <c r="P21" s="750" t="str" cm="1">
        <f t="array" ref="P21">_xlfn.TEXTJOIN(CHAR(10),TRUE,IF(G112:G185="0800-1730",$C112:$C185,""))</f>
        <v>AARON N. HMO
PHILLIP HMO
Jean-Luc INT</v>
      </c>
      <c r="Q21" s="750" t="str" cm="1">
        <f t="array" ref="Q21">_xlfn.TEXTJOIN(CHAR(10),TRUE,IF(H112:H185="0800-1730",$C112:$C185,""))</f>
        <v>BRENDAN HMO
AARON B. HMO
Jean-Luc INT
May INT</v>
      </c>
      <c r="R21" s="750" t="str" cm="1">
        <f t="array" ref="R21">_xlfn.TEXTJOIN(CHAR(10),TRUE,IF(I112:I185="0800-1730",$C112:$C185,""))</f>
        <v>BRENDAN HMO
CHRIS HMO
Delia INT
May INT</v>
      </c>
      <c r="S21" s="750" t="str" cm="1">
        <f t="array" ref="S21">_xlfn.TEXTJOIN(CHAR(10),TRUE,IF(J112:J185="0800-1730",$C112:$C185,""))</f>
        <v>AREEBA HMO
STEWART HMO
Delia INT
May INT</v>
      </c>
      <c r="T21" s="750" t="str" cm="1">
        <f t="array" ref="T21">_xlfn.TEXTJOIN(CHAR(10),TRUE,IF(K112:K185="0800-1730",$C112:$C185,""))</f>
        <v>CHRIS HMO
HARRISON HMO
Delia INT</v>
      </c>
      <c r="U21" s="750" t="str" cm="1">
        <f t="array" ref="U21">_xlfn.TEXTJOIN(CHAR(10),TRUE,IF(L112:L185="0800-1730",$C112:$C185,""))</f>
        <v>CHRIS HMO
HARRISON HMO
Delia INT
May INT</v>
      </c>
      <c r="W21" s="772">
        <v>7</v>
      </c>
    </row>
    <row r="22" spans="3:23" ht="14.1" customHeight="1">
      <c r="C22" s="80" t="s">
        <v>331</v>
      </c>
      <c r="D22" s="514" t="s">
        <v>73</v>
      </c>
      <c r="E22" s="515">
        <v>613670</v>
      </c>
      <c r="F22" s="582" t="s">
        <v>74</v>
      </c>
      <c r="G22" s="576"/>
      <c r="H22" s="576"/>
      <c r="I22" s="576"/>
      <c r="J22" s="576"/>
      <c r="K22" s="576"/>
      <c r="L22" s="579"/>
      <c r="N22" s="734"/>
      <c r="O22" s="777"/>
      <c r="P22" s="750"/>
      <c r="Q22" s="750"/>
      <c r="R22" s="750"/>
      <c r="S22" s="750"/>
      <c r="T22" s="750"/>
      <c r="U22" s="750"/>
      <c r="W22" s="772"/>
    </row>
    <row r="23" spans="3:23" ht="14.1" customHeight="1">
      <c r="C23" s="511" t="s">
        <v>332</v>
      </c>
      <c r="D23" s="504" t="s">
        <v>76</v>
      </c>
      <c r="E23" s="516">
        <v>621988</v>
      </c>
      <c r="F23" s="685" t="s">
        <v>78</v>
      </c>
      <c r="G23" s="686"/>
      <c r="H23" s="686"/>
      <c r="I23" s="686"/>
      <c r="J23" s="686"/>
      <c r="K23" s="686"/>
      <c r="L23" s="687"/>
      <c r="N23" s="734"/>
      <c r="O23" s="777"/>
      <c r="P23" s="750"/>
      <c r="Q23" s="750"/>
      <c r="R23" s="750"/>
      <c r="S23" s="750"/>
      <c r="T23" s="750"/>
      <c r="U23" s="750"/>
      <c r="W23" s="772"/>
    </row>
    <row r="24" spans="3:23" ht="14.1" customHeight="1">
      <c r="C24" s="497" t="s">
        <v>333</v>
      </c>
      <c r="D24" s="497" t="s">
        <v>79</v>
      </c>
      <c r="E24" s="502">
        <v>609408</v>
      </c>
      <c r="F24" s="575" t="s">
        <v>36</v>
      </c>
      <c r="G24" s="565"/>
      <c r="H24" s="565" t="s">
        <v>57</v>
      </c>
      <c r="I24" s="565" t="s">
        <v>43</v>
      </c>
      <c r="J24" s="565" t="s">
        <v>50</v>
      </c>
      <c r="K24" s="565"/>
      <c r="L24" s="577"/>
      <c r="N24" s="734"/>
      <c r="O24" s="777"/>
      <c r="P24" s="750"/>
      <c r="Q24" s="750"/>
      <c r="R24" s="750"/>
      <c r="S24" s="750"/>
      <c r="T24" s="750"/>
      <c r="U24" s="750"/>
      <c r="W24" s="772"/>
    </row>
    <row r="25" spans="3:23" ht="14.1" customHeight="1">
      <c r="C25" s="511" t="s">
        <v>334</v>
      </c>
      <c r="D25" s="497" t="s">
        <v>81</v>
      </c>
      <c r="E25" s="516">
        <v>632646</v>
      </c>
      <c r="F25" s="572" t="s">
        <v>80</v>
      </c>
      <c r="G25" s="573"/>
      <c r="H25" s="573"/>
      <c r="I25" s="573"/>
      <c r="J25" s="573"/>
      <c r="K25" s="573"/>
      <c r="L25" s="574"/>
      <c r="N25" s="734"/>
      <c r="O25" s="777"/>
      <c r="P25" s="750"/>
      <c r="Q25" s="750"/>
      <c r="R25" s="750"/>
      <c r="S25" s="750"/>
      <c r="T25" s="750"/>
      <c r="U25" s="750"/>
      <c r="W25" s="772"/>
    </row>
    <row r="26" spans="3:23" ht="14.1" customHeight="1">
      <c r="C26" s="511" t="s">
        <v>335</v>
      </c>
      <c r="D26" s="497" t="s">
        <v>82</v>
      </c>
      <c r="E26" s="517">
        <v>634491</v>
      </c>
      <c r="F26" s="595" t="s">
        <v>30</v>
      </c>
      <c r="G26" s="596"/>
      <c r="H26" s="596"/>
      <c r="I26" s="596"/>
      <c r="J26" s="596"/>
      <c r="K26" s="596"/>
      <c r="L26" s="597"/>
      <c r="N26" s="734"/>
      <c r="O26" s="777"/>
      <c r="P26" s="750"/>
      <c r="Q26" s="750"/>
      <c r="R26" s="750"/>
      <c r="S26" s="750"/>
      <c r="T26" s="750"/>
      <c r="U26" s="750"/>
      <c r="W26" s="772"/>
    </row>
    <row r="27" spans="3:23" ht="14.1" customHeight="1" thickBot="1">
      <c r="C27" s="518" t="s">
        <v>83</v>
      </c>
      <c r="D27" s="518" t="s">
        <v>336</v>
      </c>
      <c r="E27" s="519"/>
      <c r="F27" s="316"/>
      <c r="G27" s="378"/>
      <c r="H27" s="378"/>
      <c r="I27" s="378"/>
      <c r="J27" s="378"/>
      <c r="K27" s="718"/>
      <c r="L27" s="718"/>
      <c r="N27" s="773"/>
      <c r="O27" s="777"/>
      <c r="P27" s="750"/>
      <c r="Q27" s="750"/>
      <c r="R27" s="750"/>
      <c r="S27" s="750"/>
      <c r="T27" s="750"/>
      <c r="U27" s="750"/>
      <c r="W27" s="772"/>
    </row>
    <row r="28" spans="3:23" ht="14.1" customHeight="1">
      <c r="C28" s="497" t="s">
        <v>337</v>
      </c>
      <c r="D28" s="497" t="s">
        <v>84</v>
      </c>
      <c r="E28" s="502">
        <v>502961</v>
      </c>
      <c r="F28" s="575" t="s">
        <v>85</v>
      </c>
      <c r="G28" s="565" t="s">
        <v>94</v>
      </c>
      <c r="H28" s="565"/>
      <c r="I28" s="565"/>
      <c r="J28" s="565"/>
      <c r="K28" s="576"/>
      <c r="L28" s="579"/>
      <c r="N28" s="778" t="s">
        <v>338</v>
      </c>
      <c r="O28" s="781" t="str" cm="1">
        <f t="array" ref="O28">_xlfn.TEXTJOIN(CHAR(10),TRUE,_xlfn._xlws.FILTER($C7:$C185,RIGHT(F7:F185,LEN("SWA"))="SWA",""))</f>
        <v>AARON B. HMO</v>
      </c>
      <c r="P28" s="770" t="str" cm="1">
        <f t="array" ref="P28">_xlfn.TEXTJOIN(CHAR(10),TRUE,_xlfn._xlws.FILTER($C7:$C185,RIGHT(G7:G185,LEN("SWA"))="SWA",""))</f>
        <v>MILES SR
MARYAM HMO</v>
      </c>
      <c r="Q28" s="770" t="str" cm="1">
        <f t="array" ref="Q28">_xlfn.TEXTJOIN(CHAR(10),TRUE,_xlfn._xlws.FILTER($C7:$C185,RIGHT(H7:H185,LEN("SWA"))="SWA",""))</f>
        <v>HEATHER CMO
AARON G. HMO</v>
      </c>
      <c r="R28" s="770" t="str" cm="1">
        <f t="array" ref="R28">_xlfn.TEXTJOIN(CHAR(10),TRUE,_xlfn._xlws.FILTER($C7:$C185,RIGHT(I7:I185,LEN("SWA"))="SWA",""))</f>
        <v>JEROME JR</v>
      </c>
      <c r="S28" s="770" t="str" cm="1">
        <f t="array" ref="S28">_xlfn.TEXTJOIN(CHAR(10),TRUE,_xlfn._xlws.FILTER($C7:$C185,RIGHT(J7:J185,LEN("SWA"))="SWA",""))</f>
        <v/>
      </c>
      <c r="T28" s="770" t="str" cm="1">
        <f t="array" ref="T28">_xlfn.TEXTJOIN(CHAR(10),TRUE,_xlfn._xlws.FILTER($C7:$C185,RIGHT(K7:K185,LEN("SWA"))="SWA",""))</f>
        <v>GIOVANA JR</v>
      </c>
      <c r="U28" s="771" t="str" cm="1">
        <f t="array" ref="U28">_xlfn.TEXTJOIN(CHAR(10),TRUE,_xlfn._xlws.FILTER($C7:$C185,RIGHT(L7:L185,LEN("SWA"))="SWA",""))</f>
        <v>SUBARNA JR</v>
      </c>
      <c r="V28" s="34" t="s">
        <v>339</v>
      </c>
      <c r="W28" s="772">
        <v>3</v>
      </c>
    </row>
    <row r="29" spans="3:23" ht="14.1" customHeight="1">
      <c r="C29" s="497" t="s">
        <v>340</v>
      </c>
      <c r="D29" s="497" t="s">
        <v>96</v>
      </c>
      <c r="E29" s="502">
        <v>601096</v>
      </c>
      <c r="F29" s="589" t="s">
        <v>32</v>
      </c>
      <c r="G29" s="590"/>
      <c r="H29" s="590" t="s">
        <v>33</v>
      </c>
      <c r="I29" s="565"/>
      <c r="J29" s="590" t="s">
        <v>38</v>
      </c>
      <c r="K29" s="565"/>
      <c r="L29" s="577"/>
      <c r="N29" s="779"/>
      <c r="O29" s="782"/>
      <c r="P29" s="740"/>
      <c r="Q29" s="740"/>
      <c r="R29" s="740"/>
      <c r="S29" s="740"/>
      <c r="T29" s="740"/>
      <c r="U29" s="764"/>
      <c r="W29" s="772"/>
    </row>
    <row r="30" spans="3:23" ht="14.1" customHeight="1" thickBot="1">
      <c r="C30" s="497" t="s">
        <v>341</v>
      </c>
      <c r="D30" s="497" t="s">
        <v>97</v>
      </c>
      <c r="E30" s="502">
        <v>260509</v>
      </c>
      <c r="F30" s="582"/>
      <c r="G30" s="576"/>
      <c r="H30" s="565" t="s">
        <v>50</v>
      </c>
      <c r="I30" s="565" t="s">
        <v>47</v>
      </c>
      <c r="J30" s="565" t="s">
        <v>35</v>
      </c>
      <c r="K30" s="565"/>
      <c r="L30" s="577"/>
      <c r="N30" s="780"/>
      <c r="O30" s="783"/>
      <c r="P30" s="741"/>
      <c r="Q30" s="741"/>
      <c r="R30" s="741"/>
      <c r="S30" s="741"/>
      <c r="T30" s="741"/>
      <c r="U30" s="765"/>
      <c r="W30" s="772"/>
    </row>
    <row r="31" spans="3:23" ht="14.1" customHeight="1" thickBot="1">
      <c r="C31" s="504" t="s">
        <v>343</v>
      </c>
      <c r="D31" s="504" t="s">
        <v>99</v>
      </c>
      <c r="E31" s="502">
        <v>603237</v>
      </c>
      <c r="F31" s="576"/>
      <c r="G31" s="565" t="s">
        <v>33</v>
      </c>
      <c r="H31" s="565" t="s">
        <v>35</v>
      </c>
      <c r="I31" s="565"/>
      <c r="J31" s="565" t="s">
        <v>47</v>
      </c>
      <c r="K31" s="565"/>
      <c r="L31" s="565" t="s">
        <v>34</v>
      </c>
      <c r="N31" s="101"/>
      <c r="O31" s="101"/>
      <c r="P31" s="101"/>
      <c r="Q31" s="101"/>
      <c r="R31" s="101"/>
      <c r="S31" s="101"/>
      <c r="T31" s="101"/>
      <c r="U31" s="101"/>
      <c r="V31" s="101"/>
      <c r="W31" s="101"/>
    </row>
    <row r="32" spans="3:23" ht="14.1" customHeight="1">
      <c r="C32" s="520" t="s">
        <v>344</v>
      </c>
      <c r="D32" s="520" t="s">
        <v>101</v>
      </c>
      <c r="E32" s="502">
        <v>613781</v>
      </c>
      <c r="F32" s="582"/>
      <c r="G32" s="565" t="s">
        <v>47</v>
      </c>
      <c r="H32" s="565" t="s">
        <v>34</v>
      </c>
      <c r="I32" s="576"/>
      <c r="J32" s="565" t="s">
        <v>46</v>
      </c>
      <c r="K32" s="583"/>
      <c r="L32" s="584"/>
      <c r="N32" s="103" t="s">
        <v>345</v>
      </c>
      <c r="O32" s="98" t="str">
        <f>F62</f>
        <v>REZA</v>
      </c>
      <c r="P32" s="98" t="str">
        <f>G62</f>
        <v>REZA</v>
      </c>
      <c r="Q32" s="98" t="str">
        <f t="shared" ref="Q32:S32" si="9">H62</f>
        <v>ARRHCHIE</v>
      </c>
      <c r="R32" s="98" t="str">
        <f t="shared" si="9"/>
        <v>REZA</v>
      </c>
      <c r="S32" s="98" t="str">
        <f t="shared" si="9"/>
        <v>JENNY</v>
      </c>
      <c r="T32" s="99"/>
      <c r="U32" s="100"/>
      <c r="W32" s="89"/>
    </row>
    <row r="33" spans="3:23" ht="14.1" customHeight="1" thickBot="1">
      <c r="C33" s="497" t="s">
        <v>346</v>
      </c>
      <c r="D33" s="497" t="s">
        <v>102</v>
      </c>
      <c r="E33" s="502">
        <v>611691</v>
      </c>
      <c r="F33" s="576" t="s">
        <v>2</v>
      </c>
      <c r="G33" s="565"/>
      <c r="H33" s="565" t="s">
        <v>33</v>
      </c>
      <c r="I33" s="565" t="s">
        <v>522</v>
      </c>
      <c r="J33" s="565" t="s">
        <v>34</v>
      </c>
      <c r="K33" s="565"/>
      <c r="L33" s="576" t="s">
        <v>1</v>
      </c>
      <c r="N33" s="967" t="s">
        <v>347</v>
      </c>
      <c r="O33" s="521" t="str" cm="1">
        <f t="array" ref="O33">_xlfn.TEXTJOIN(CHAR(10),TRUE,_xlfn._xlws.FILTER($C7:$C185,RIGHT(F7:F185,LEN("CSO"))="CSO",""))</f>
        <v>STEVE T SMS</v>
      </c>
      <c r="P33" s="968" t="str" cm="1">
        <f t="array" ref="P33">_xlfn.TEXTJOIN(CHAR(10),TRUE,_xlfn._xlws.FILTER($C7:$C185,RIGHT(G7:G185,LEN("CSO"))="CSO",""))</f>
        <v>QING SMS</v>
      </c>
      <c r="Q33" s="968" t="str" cm="1">
        <f t="array" ref="Q33">_xlfn.TEXTJOIN(CHAR(10),TRUE,_xlfn._xlws.FILTER($C7:$C185,RIGHT(H7:H185,LEN("CSO"))="CSO",""))</f>
        <v>ANDRE SMS</v>
      </c>
      <c r="R33" s="968" t="str" cm="1">
        <f t="array" ref="R33">_xlfn.TEXTJOIN(CHAR(10),TRUE,_xlfn._xlws.FILTER($C7:$C185,RIGHT(I7:I185,LEN("CSO"))="CSO",""))</f>
        <v>QAIS SMS</v>
      </c>
      <c r="S33" s="968" t="str" cm="1">
        <f t="array" ref="S33">_xlfn.TEXTJOIN(CHAR(10),TRUE,_xlfn._xlws.FILTER($C7:$C185,RIGHT(J7:J185,LEN("CSO"))="CSO",""))</f>
        <v>MICHAEL SMS</v>
      </c>
      <c r="T33" s="968"/>
      <c r="U33" s="969"/>
      <c r="W33" s="89"/>
    </row>
    <row r="34" spans="3:23" ht="14.1" customHeight="1" thickBot="1">
      <c r="C34" s="497" t="s">
        <v>348</v>
      </c>
      <c r="D34" s="504" t="s">
        <v>103</v>
      </c>
      <c r="E34" s="502">
        <v>634258</v>
      </c>
      <c r="F34" s="572" t="s">
        <v>31</v>
      </c>
      <c r="G34" s="573"/>
      <c r="H34" s="573"/>
      <c r="I34" s="573"/>
      <c r="J34" s="573"/>
      <c r="K34" s="573"/>
      <c r="L34" s="574"/>
      <c r="O34" s="89"/>
      <c r="W34" s="89"/>
    </row>
    <row r="35" spans="3:23" ht="14.1" customHeight="1" thickBot="1">
      <c r="C35" s="504" t="s">
        <v>349</v>
      </c>
      <c r="D35" s="504" t="s">
        <v>104</v>
      </c>
      <c r="E35" s="506">
        <v>618946</v>
      </c>
      <c r="F35" s="575" t="s">
        <v>33</v>
      </c>
      <c r="G35" s="565" t="s">
        <v>43</v>
      </c>
      <c r="H35" s="576"/>
      <c r="I35" s="565" t="s">
        <v>34</v>
      </c>
      <c r="J35" s="576"/>
      <c r="K35" s="565"/>
      <c r="L35" s="577"/>
      <c r="O35" s="784" t="s">
        <v>350</v>
      </c>
      <c r="P35" s="785"/>
      <c r="Q35" s="785"/>
      <c r="R35" s="785"/>
      <c r="S35" s="785"/>
      <c r="T35" s="785"/>
      <c r="U35" s="786"/>
      <c r="W35" s="89" t="s">
        <v>351</v>
      </c>
    </row>
    <row r="36" spans="3:23" ht="14.1" customHeight="1">
      <c r="C36" s="504" t="s">
        <v>352</v>
      </c>
      <c r="D36" s="504" t="s">
        <v>109</v>
      </c>
      <c r="E36" s="502">
        <v>634702</v>
      </c>
      <c r="F36" s="592" t="s">
        <v>98</v>
      </c>
      <c r="G36" s="593"/>
      <c r="H36" s="593"/>
      <c r="I36" s="593"/>
      <c r="J36" s="593"/>
      <c r="K36" s="593"/>
      <c r="L36" s="594"/>
      <c r="N36" s="104" t="s">
        <v>303</v>
      </c>
      <c r="O36" s="105" t="str">
        <f t="shared" ref="O36:U36" si="10">INDEX($C7:$L189,MATCH("*Pgc",F7:F192,0),1)</f>
        <v>MICHAEL SMS</v>
      </c>
      <c r="P36" s="99" t="str">
        <f t="shared" si="10"/>
        <v>MINA SMS</v>
      </c>
      <c r="Q36" s="99" t="str">
        <f t="shared" si="10"/>
        <v>STEVE T SMS</v>
      </c>
      <c r="R36" s="99" t="str">
        <f t="shared" si="10"/>
        <v>DAVID SMS</v>
      </c>
      <c r="S36" s="99" t="str">
        <f t="shared" si="10"/>
        <v>BEN SMS</v>
      </c>
      <c r="T36" s="99" t="str">
        <f t="shared" si="10"/>
        <v>JAMES SMS</v>
      </c>
      <c r="U36" s="100" t="str">
        <f t="shared" si="10"/>
        <v>ABI SMS</v>
      </c>
      <c r="V36" s="34" t="s">
        <v>293</v>
      </c>
      <c r="W36" s="772">
        <v>5</v>
      </c>
    </row>
    <row r="37" spans="3:23" ht="14.1" customHeight="1">
      <c r="C37" s="78" t="s">
        <v>353</v>
      </c>
      <c r="D37" s="504" t="s">
        <v>110</v>
      </c>
      <c r="E37" s="498">
        <v>648587</v>
      </c>
      <c r="F37" s="575"/>
      <c r="G37" s="65"/>
      <c r="H37" s="65" t="s">
        <v>37</v>
      </c>
      <c r="I37" s="65" t="s">
        <v>50</v>
      </c>
      <c r="J37" s="565"/>
      <c r="K37" s="565" t="s">
        <v>38</v>
      </c>
      <c r="L37" s="604"/>
      <c r="N37" s="522" t="s">
        <v>305</v>
      </c>
      <c r="O37" s="523" t="str">
        <f t="shared" ref="O37:U37" si="11">INDEX($C7:$L189,MATCH("*PAC",F7:F191,0),1)</f>
        <v>BARRY SMS</v>
      </c>
      <c r="P37" s="500" t="str">
        <f t="shared" si="11"/>
        <v>PAIGE SMS</v>
      </c>
      <c r="Q37" s="500" t="str">
        <f t="shared" si="11"/>
        <v>MINA SMS</v>
      </c>
      <c r="R37" s="500" t="str">
        <f t="shared" si="11"/>
        <v>CHAMARA SMS</v>
      </c>
      <c r="S37" s="500" t="str">
        <f t="shared" si="11"/>
        <v>TARA J. SMS</v>
      </c>
      <c r="T37" s="500" t="str">
        <f t="shared" si="11"/>
        <v>QAIS SMS</v>
      </c>
      <c r="U37" s="501" t="str">
        <f t="shared" si="11"/>
        <v>DANIEL SMS</v>
      </c>
      <c r="V37" s="34" t="s">
        <v>292</v>
      </c>
      <c r="W37" s="772"/>
    </row>
    <row r="38" spans="3:23" ht="14.1" customHeight="1">
      <c r="C38" s="78" t="s">
        <v>354</v>
      </c>
      <c r="D38" s="504" t="s">
        <v>111</v>
      </c>
      <c r="E38" s="498">
        <v>637933</v>
      </c>
      <c r="F38" s="576"/>
      <c r="G38" s="566" t="s">
        <v>32</v>
      </c>
      <c r="H38" s="566"/>
      <c r="I38" s="576"/>
      <c r="J38" s="565" t="s">
        <v>37</v>
      </c>
      <c r="K38" s="566"/>
      <c r="L38" s="598" t="s">
        <v>38</v>
      </c>
      <c r="N38" s="524" t="s">
        <v>307</v>
      </c>
      <c r="O38" s="523" t="str">
        <f t="shared" ref="O38:U38" si="12">INDEX($C7:$L189,MATCH("*PRC",F7:F192,0),1)</f>
        <v>JEREMY SMS</v>
      </c>
      <c r="P38" s="500" t="str">
        <f t="shared" si="12"/>
        <v>JACKIE SMS</v>
      </c>
      <c r="Q38" s="500" t="str">
        <f t="shared" si="12"/>
        <v>BRAD SMS</v>
      </c>
      <c r="R38" s="500" t="str">
        <f t="shared" si="12"/>
        <v>BEN SMS</v>
      </c>
      <c r="S38" s="500" t="str">
        <f t="shared" si="12"/>
        <v>ANDRE SMS</v>
      </c>
      <c r="T38" s="500" t="str">
        <f t="shared" si="12"/>
        <v>ABI SMS</v>
      </c>
      <c r="U38" s="501" t="str">
        <f t="shared" si="12"/>
        <v>YAN SMS</v>
      </c>
      <c r="V38" s="34" t="s">
        <v>291</v>
      </c>
      <c r="W38" s="772"/>
    </row>
    <row r="39" spans="3:23" ht="14.1" customHeight="1">
      <c r="C39" s="504" t="s">
        <v>355</v>
      </c>
      <c r="D39" s="504" t="s">
        <v>112</v>
      </c>
      <c r="E39" s="506">
        <v>634394</v>
      </c>
      <c r="F39" s="581"/>
      <c r="G39" s="66"/>
      <c r="H39" s="566" t="s">
        <v>41</v>
      </c>
      <c r="I39" s="576"/>
      <c r="J39" s="566"/>
      <c r="K39" s="566" t="s">
        <v>34</v>
      </c>
      <c r="L39" s="598" t="s">
        <v>35</v>
      </c>
      <c r="N39" s="525" t="s">
        <v>309</v>
      </c>
      <c r="O39" s="523" t="str">
        <f t="shared" ref="O39:U39" si="13">INDEX($C7:$L189,MATCH("*PSSC",F7:F192,0),1)</f>
        <v>QING SMS</v>
      </c>
      <c r="P39" s="500" t="str">
        <f t="shared" si="13"/>
        <v>SINDY SMS</v>
      </c>
      <c r="Q39" s="500" t="str">
        <f t="shared" si="13"/>
        <v>STEPHEN G SMS</v>
      </c>
      <c r="R39" s="500" t="str">
        <f t="shared" si="13"/>
        <v>SCOTT SMS</v>
      </c>
      <c r="S39" s="500" t="str">
        <f t="shared" si="13"/>
        <v>ANDY L  SMS</v>
      </c>
      <c r="T39" s="500" t="str">
        <f t="shared" si="13"/>
        <v>YAN SMS</v>
      </c>
      <c r="U39" s="501" t="str">
        <f t="shared" si="13"/>
        <v>BRAD SMS</v>
      </c>
      <c r="V39" s="34" t="s">
        <v>295</v>
      </c>
      <c r="W39" s="772"/>
    </row>
    <row r="40" spans="3:23" ht="14.1" customHeight="1">
      <c r="C40" s="497" t="s">
        <v>356</v>
      </c>
      <c r="D40" s="526" t="s">
        <v>113</v>
      </c>
      <c r="E40" s="502">
        <v>605686</v>
      </c>
      <c r="F40" s="592" t="s">
        <v>98</v>
      </c>
      <c r="G40" s="593"/>
      <c r="H40" s="593"/>
      <c r="I40" s="593"/>
      <c r="J40" s="593"/>
      <c r="K40" s="593"/>
      <c r="L40" s="594"/>
      <c r="N40" s="527" t="s">
        <v>357</v>
      </c>
      <c r="O40" s="523" t="e">
        <f t="shared" ref="O40:U40" si="14">INDEX($C7:$L215,MATCH("*PCC*",F7:F203,0),1)</f>
        <v>#N/A</v>
      </c>
      <c r="P40" s="500" t="str">
        <f t="shared" si="14"/>
        <v>VARUNA SMS</v>
      </c>
      <c r="Q40" s="500" t="str">
        <f>INDEX($C7:$L215,MATCH("*PCC*",H7:H200,0),1)</f>
        <v>ANDREW H SMS</v>
      </c>
      <c r="R40" s="500" t="e">
        <f t="shared" si="14"/>
        <v>#N/A</v>
      </c>
      <c r="S40" s="500" t="str">
        <f t="shared" si="14"/>
        <v>STEPHEN G SMS</v>
      </c>
      <c r="T40" s="500" t="e">
        <f t="shared" si="14"/>
        <v>#N/A</v>
      </c>
      <c r="U40" s="501" t="e">
        <f t="shared" si="14"/>
        <v>#N/A</v>
      </c>
      <c r="V40" s="34" t="s">
        <v>294</v>
      </c>
      <c r="W40" s="772"/>
    </row>
    <row r="41" spans="3:23" ht="14.1" customHeight="1">
      <c r="C41" s="79" t="s">
        <v>358</v>
      </c>
      <c r="D41" s="497" t="s">
        <v>114</v>
      </c>
      <c r="E41" s="502">
        <v>119385</v>
      </c>
      <c r="F41" s="572" t="s">
        <v>31</v>
      </c>
      <c r="G41" s="573"/>
      <c r="H41" s="573"/>
      <c r="I41" s="573"/>
      <c r="J41" s="573"/>
      <c r="K41" s="573"/>
      <c r="L41" s="574"/>
      <c r="N41" s="789" t="s">
        <v>360</v>
      </c>
      <c r="O41" s="787" t="str" cm="1">
        <f t="array" ref="O41">_xlfn.TEXTJOIN(CHAR(10),TRUE,IF(F7:F111="1430-0000 PFC",$C7:$C111,""),IF(F7:F111="1400-0000 PFC",$C7:$C111,""),IF(F7:F111="1430-0000",$C7:$C111,""))</f>
        <v>DENNIS SR
AMY SR
MIKHAR IR
CHRISTOPHER JR</v>
      </c>
      <c r="P41" s="750" t="str" cm="1">
        <f t="array" ref="P41">_xlfn.TEXTJOIN(CHAR(10),TRUE,IF(G7:G111="1430-0000 PFC",$C7:$C111,""),IF(G7:G111="1400-0000 PFC",$C7:$C111,""),IF(G7:G111="1430-0000",$C7:$C111,""))</f>
        <v>DENNIS SR
HANNAH IR
CHRISTOPHER JR
CRAIG JR</v>
      </c>
      <c r="Q41" s="750" t="str" cm="1">
        <f t="array" ref="Q41">_xlfn.TEXTJOIN(CHAR(10),TRUE,IF(H7:H111="1430-0000 PFC",$C7:$C111,""),IF(H7:H111="1400-0000 PFC",$C7:$C111,""),IF(H7:H111="1430-0000",$C7:$C111,""))</f>
        <v>PATRICK SR
MARK SR
MIKHAR IR
CHRISTOPHER JR
PAUL JR</v>
      </c>
      <c r="R41" s="750" t="str" cm="1">
        <f t="array" ref="R41">_xlfn.TEXTJOIN(CHAR(10),TRUE,IF(I7:I111="1430-0000 PFC",$C7:$C111,""),IF(I7:I111="1400-0000 PFC",$C7:$C111,""),IF(I7:I111="1430-0000",$C7:$C111,""))</f>
        <v>MARK SR
HANNAH IR
CHRISTINA JR</v>
      </c>
      <c r="S41" s="750" t="str" cm="1">
        <f t="array" ref="S41">_xlfn.TEXTJOIN(CHAR(10),TRUE,IF(J7:J111="1430-0000 PFC",$C7:$C111,""),IF(J7:J111="1400-0000 PFC",$C7:$C111,""),IF(J7:J111="1430-0000",$C7:$C111,""))</f>
        <v>DENNIS SR
HANNAH IR
MIKHAR IR
CRAIG JR</v>
      </c>
      <c r="T41" s="750" t="str" cm="1">
        <f t="array" ref="T41">_xlfn.TEXTJOIN(CHAR(10),TRUE,IF(K7:K111="1430-0000 PFC",$C7:$C111,""),IF(K7:K111="1400-0000 PFC",$C7:$C111,""),IF(K7:K111="1430-0000",$C7:$C111,""))</f>
        <v>JOSEPH SR
CLARE IR
ADI JR</v>
      </c>
      <c r="U41" s="788" t="str" cm="1">
        <f t="array" ref="U41">_xlfn.TEXTJOIN(CHAR(10),TRUE,IF(L7:L111="1430-0000 PFC",$C7:$C111,""),IF(L7:L111="1400-0000 PFC",$C7:$C111,""),IF(L7:L111="1430-0000",$C7:$C111,""))</f>
        <v>JOSEPH SR
CLARE IR
PAUL JR
JEROME JR</v>
      </c>
      <c r="W41" s="772">
        <v>7</v>
      </c>
    </row>
    <row r="42" spans="3:23" ht="14.1" customHeight="1">
      <c r="C42" s="504" t="s">
        <v>361</v>
      </c>
      <c r="D42" s="504" t="s">
        <v>116</v>
      </c>
      <c r="E42" s="502">
        <v>623962</v>
      </c>
      <c r="F42" s="582"/>
      <c r="G42" s="65" t="s">
        <v>46</v>
      </c>
      <c r="H42" s="65"/>
      <c r="I42" s="65" t="s">
        <v>40</v>
      </c>
      <c r="J42" s="565"/>
      <c r="K42" s="565" t="s">
        <v>37</v>
      </c>
      <c r="L42" s="604" t="s">
        <v>40</v>
      </c>
      <c r="N42" s="790"/>
      <c r="O42" s="787"/>
      <c r="P42" s="750"/>
      <c r="Q42" s="750"/>
      <c r="R42" s="750"/>
      <c r="S42" s="750"/>
      <c r="T42" s="750"/>
      <c r="U42" s="788"/>
      <c r="W42" s="772"/>
    </row>
    <row r="43" spans="3:23" ht="14.1" customHeight="1">
      <c r="C43" s="497" t="s">
        <v>362</v>
      </c>
      <c r="D43" s="504" t="s">
        <v>117</v>
      </c>
      <c r="E43" s="508">
        <v>613725</v>
      </c>
      <c r="F43" s="576"/>
      <c r="G43" s="565" t="s">
        <v>38</v>
      </c>
      <c r="H43" s="565"/>
      <c r="I43" s="565"/>
      <c r="J43" s="565" t="s">
        <v>43</v>
      </c>
      <c r="K43" s="565"/>
      <c r="L43" s="577"/>
      <c r="N43" s="790"/>
      <c r="O43" s="787"/>
      <c r="P43" s="750"/>
      <c r="Q43" s="750"/>
      <c r="R43" s="750"/>
      <c r="S43" s="750"/>
      <c r="T43" s="750"/>
      <c r="U43" s="788"/>
      <c r="W43" s="772"/>
    </row>
    <row r="44" spans="3:23" ht="14.1" customHeight="1">
      <c r="C44" s="497" t="s">
        <v>363</v>
      </c>
      <c r="D44" s="504" t="s">
        <v>118</v>
      </c>
      <c r="E44" s="516">
        <v>612264</v>
      </c>
      <c r="F44" s="582"/>
      <c r="G44" s="565"/>
      <c r="H44" s="565"/>
      <c r="I44" s="565" t="s">
        <v>35</v>
      </c>
      <c r="J44" s="565" t="s">
        <v>36</v>
      </c>
      <c r="K44" s="565"/>
      <c r="L44" s="577"/>
      <c r="N44" s="790"/>
      <c r="O44" s="787"/>
      <c r="P44" s="750"/>
      <c r="Q44" s="750"/>
      <c r="R44" s="750"/>
      <c r="S44" s="750"/>
      <c r="T44" s="750"/>
      <c r="U44" s="788"/>
      <c r="W44" s="772"/>
    </row>
    <row r="45" spans="3:23" ht="14.1" customHeight="1">
      <c r="C45" s="497" t="s">
        <v>364</v>
      </c>
      <c r="D45" s="497" t="s">
        <v>119</v>
      </c>
      <c r="E45" s="502">
        <v>643950</v>
      </c>
      <c r="F45" s="595" t="s">
        <v>30</v>
      </c>
      <c r="G45" s="596"/>
      <c r="H45" s="596"/>
      <c r="I45" s="596"/>
      <c r="J45" s="596"/>
      <c r="K45" s="596"/>
      <c r="L45" s="597"/>
      <c r="N45" s="790"/>
      <c r="O45" s="787"/>
      <c r="P45" s="750"/>
      <c r="Q45" s="750"/>
      <c r="R45" s="750"/>
      <c r="S45" s="750"/>
      <c r="T45" s="750"/>
      <c r="U45" s="788"/>
      <c r="W45" s="772"/>
    </row>
    <row r="46" spans="3:23" ht="14.1" customHeight="1">
      <c r="C46" s="79" t="s">
        <v>365</v>
      </c>
      <c r="D46" s="723" t="s">
        <v>120</v>
      </c>
      <c r="E46" s="502">
        <v>618881</v>
      </c>
      <c r="F46" s="575" t="s">
        <v>47</v>
      </c>
      <c r="G46" s="565" t="s">
        <v>34</v>
      </c>
      <c r="H46" s="565"/>
      <c r="I46" s="565"/>
      <c r="J46" s="565"/>
      <c r="K46" s="565"/>
      <c r="L46" s="577"/>
      <c r="N46" s="790"/>
      <c r="O46" s="787"/>
      <c r="P46" s="750"/>
      <c r="Q46" s="750"/>
      <c r="R46" s="750"/>
      <c r="S46" s="750"/>
      <c r="T46" s="750"/>
      <c r="U46" s="788"/>
      <c r="W46" s="772"/>
    </row>
    <row r="47" spans="3:23" ht="14.1" customHeight="1">
      <c r="C47" s="497" t="s">
        <v>366</v>
      </c>
      <c r="D47" s="497" t="s">
        <v>122</v>
      </c>
      <c r="E47" s="508">
        <v>141658</v>
      </c>
      <c r="F47" s="595" t="s">
        <v>30</v>
      </c>
      <c r="G47" s="596"/>
      <c r="H47" s="596"/>
      <c r="I47" s="596"/>
      <c r="J47" s="596"/>
      <c r="K47" s="596"/>
      <c r="L47" s="597"/>
      <c r="N47" s="791"/>
      <c r="O47" s="787"/>
      <c r="P47" s="750"/>
      <c r="Q47" s="750"/>
      <c r="R47" s="750"/>
      <c r="S47" s="750"/>
      <c r="T47" s="750"/>
      <c r="U47" s="788"/>
      <c r="W47" s="101"/>
    </row>
    <row r="48" spans="3:23" ht="14.1" customHeight="1">
      <c r="C48" s="511" t="s">
        <v>367</v>
      </c>
      <c r="D48" s="504" t="s">
        <v>123</v>
      </c>
      <c r="E48" s="516">
        <v>654004</v>
      </c>
      <c r="F48" s="595" t="s">
        <v>30</v>
      </c>
      <c r="G48" s="596"/>
      <c r="H48" s="596"/>
      <c r="I48" s="596"/>
      <c r="J48" s="596"/>
      <c r="K48" s="596"/>
      <c r="L48" s="597"/>
      <c r="N48" s="528" t="s">
        <v>368</v>
      </c>
      <c r="O48" s="523" t="e">
        <f t="shared" ref="O48:U48" si="15">INDEX($C7:$L189,MATCH("*PHJ*",F7:F192,0),1)</f>
        <v>#N/A</v>
      </c>
      <c r="P48" s="500" t="str">
        <f t="shared" si="15"/>
        <v>POH JR</v>
      </c>
      <c r="Q48" s="500" t="str">
        <f t="shared" si="15"/>
        <v>CHRISTINA JR</v>
      </c>
      <c r="R48" s="500" t="str">
        <f t="shared" si="15"/>
        <v>CRAIG JR</v>
      </c>
      <c r="S48" s="500" t="str">
        <f t="shared" si="15"/>
        <v>CHRISTOPHER JR</v>
      </c>
      <c r="T48" s="500" t="str">
        <f t="shared" si="15"/>
        <v>JEROME JR</v>
      </c>
      <c r="U48" s="501" t="str">
        <f t="shared" si="15"/>
        <v>GIOVANA JR</v>
      </c>
      <c r="V48" s="34" t="s">
        <v>369</v>
      </c>
      <c r="W48" s="89">
        <v>1</v>
      </c>
    </row>
    <row r="49" spans="3:23" ht="14.1" customHeight="1">
      <c r="C49" s="511" t="s">
        <v>370</v>
      </c>
      <c r="D49" s="504" t="s">
        <v>124</v>
      </c>
      <c r="E49" s="676">
        <v>655191</v>
      </c>
      <c r="F49" s="575" t="s">
        <v>38</v>
      </c>
      <c r="G49" s="565"/>
      <c r="H49" s="565" t="s">
        <v>33</v>
      </c>
      <c r="I49" s="576" t="s">
        <v>125</v>
      </c>
      <c r="J49" s="576"/>
      <c r="K49" s="565"/>
      <c r="L49" s="577"/>
      <c r="N49" s="792" t="s">
        <v>325</v>
      </c>
      <c r="O49" s="787" t="str" cm="1">
        <f t="array" ref="O49">_xlfn.TEXTJOIN(CHAR(10),TRUE,_xlfn._xlws.FILTER($C7:$C185,RIGHT(F7:F185,LEN("pSSJ"))="pSSJ",""))</f>
        <v>AREEBA HMO</v>
      </c>
      <c r="P49" s="750" t="str" cm="1">
        <f t="array" ref="P49">_xlfn.TEXTJOIN(CHAR(10),TRUE,_xlfn._xlws.FILTER($C7:$C185,RIGHT(G7:G185,LEN("pSSJ"))="pSSJ",""))</f>
        <v>FADIA HMO</v>
      </c>
      <c r="Q49" s="750" t="str" cm="1">
        <f t="array" ref="Q49">_xlfn.TEXTJOIN(CHAR(10),TRUE,_xlfn._xlws.FILTER($C7:$C185,RIGHT(H7:H185,LEN("pSSJ"))="pSSJ",""))</f>
        <v>PHILLIP HMO</v>
      </c>
      <c r="R49" s="750" t="str" cm="1">
        <f t="array" ref="R49">_xlfn.TEXTJOIN(CHAR(10),TRUE,_xlfn._xlws.FILTER($C7:$C185,RIGHT(I7:I185,LEN("pSSJ"))="pSSJ",""))</f>
        <v>MARYAM HMO</v>
      </c>
      <c r="S49" s="750" t="str" cm="1">
        <f t="array" ref="S49">_xlfn.TEXTJOIN(CHAR(10),TRUE,_xlfn._xlws.FILTER($C7:$C185,RIGHT(J7:J185,LEN("pSSJ"))="pSSJ",""))</f>
        <v>TRAM HMO</v>
      </c>
      <c r="T49" s="750" t="str" cm="1">
        <f t="array" ref="T49">_xlfn.TEXTJOIN(CHAR(10),TRUE,_xlfn._xlws.FILTER($C7:$C185,RIGHT(K7:K185,LEN("pSSJ"))="pSSJ",""))</f>
        <v>WATHSALA HMO</v>
      </c>
      <c r="U49" s="788" t="str" cm="1">
        <f t="array" ref="U49">_xlfn.TEXTJOIN(CHAR(10),TRUE,_xlfn._xlws.FILTER($C7:$C185,RIGHT(L7:L185,LEN("pSSJ"))="pSSJ",""))</f>
        <v>FADIA HMO</v>
      </c>
      <c r="V49" s="34" t="s">
        <v>372</v>
      </c>
      <c r="W49" s="772">
        <v>2</v>
      </c>
    </row>
    <row r="50" spans="3:23" ht="14.1" customHeight="1">
      <c r="C50" s="511" t="s">
        <v>373</v>
      </c>
      <c r="D50" s="504" t="s">
        <v>126</v>
      </c>
      <c r="E50" s="676">
        <v>653055</v>
      </c>
      <c r="F50" s="576"/>
      <c r="G50" s="204"/>
      <c r="H50" s="75"/>
      <c r="I50" s="75"/>
      <c r="J50" s="600"/>
      <c r="K50" s="600" t="s">
        <v>47</v>
      </c>
      <c r="L50" s="613"/>
      <c r="N50" s="792"/>
      <c r="O50" s="787"/>
      <c r="P50" s="750"/>
      <c r="Q50" s="750"/>
      <c r="R50" s="750"/>
      <c r="S50" s="750"/>
      <c r="T50" s="750"/>
      <c r="U50" s="788"/>
      <c r="W50" s="772"/>
    </row>
    <row r="51" spans="3:23" ht="14.1" customHeight="1">
      <c r="C51" s="497" t="s">
        <v>374</v>
      </c>
      <c r="D51" s="340" t="s">
        <v>128</v>
      </c>
      <c r="E51" s="678">
        <v>650059</v>
      </c>
      <c r="F51" s="611" t="s">
        <v>35</v>
      </c>
      <c r="G51" s="600"/>
      <c r="H51" s="601"/>
      <c r="I51" s="600"/>
      <c r="J51" s="600" t="s">
        <v>40</v>
      </c>
      <c r="K51" s="600"/>
      <c r="L51" s="603"/>
      <c r="N51" s="733" t="s">
        <v>330</v>
      </c>
      <c r="O51" s="736" t="str" cm="1">
        <f t="array" ref="O51">_xlfn.TEXTJOIN(CHAR(10),TRUE,IF(F112:F185="1430-0000",$C112:$C185,""))</f>
        <v>VISHNU HMO
WILL HMO
STEWART HMO
THOMAS HMO
Tong INT
Delia INT
Sewni INT</v>
      </c>
      <c r="P51" s="739" t="str" cm="1">
        <f t="array" ref="P51">_xlfn.TEXTJOIN(CHAR(10),TRUE,IF(G112:G185="1430-0000",$C112:$C185,""))</f>
        <v>AREEBA HMO
CHRIS HMO
WILL HMO
STEWART HMO
Tong INT
Nathan INT
Sewni INT</v>
      </c>
      <c r="Q51" s="739" t="str" cm="1">
        <f t="array" ref="Q51">_xlfn.TEXTJOIN(CHAR(10),TRUE,IF(H112:H185="1430-0000",$C112:$C185,""))</f>
        <v>AREEBA HMO
TRAM HMO
NATHAN HMO
STEWART HMO
Nathan INT
Sewni INT</v>
      </c>
      <c r="R51" s="739" t="str" cm="1">
        <f t="array" ref="R51">_xlfn.TEXTJOIN(CHAR(10),TRUE,IF(I112:I185="1430-0000",$C112:$C185,""))</f>
        <v>BRIER HMO
TORI-ANN HMO
HENLEY HMO
SHUNING HMO
Tong INT
Sewni INT</v>
      </c>
      <c r="S51" s="739" t="str" cm="1">
        <f t="array" ref="S51">_xlfn.TEXTJOIN(CHAR(10),TRUE,IF(J112:J185="1430-0000",$C112:$C185,""))</f>
        <v>AARON N. HMO
MARYAM HMO
WATHSALA HMO
SHUNING HMO
Tong INT</v>
      </c>
      <c r="T51" s="739" t="str" cm="1">
        <f t="array" ref="T51">_xlfn.TEXTJOIN(CHAR(10),TRUE,IF(K112:K185="1430-0000",$C112:$C185,""))</f>
        <v>AARON G. HMO
MILOS HMO
HENLEY HMO
SHUNING HMO
Nathan INT
Jean-Luc INT</v>
      </c>
      <c r="U51" s="763" t="str" cm="1">
        <f t="array" ref="U51">_xlfn.TEXTJOIN(CHAR(10),TRUE,IF(L112:L185="1430-0000",$C112:$C185,""))</f>
        <v>AARON G. HMO
AARON N. HMO
ZOBIA HMO
HENLEY HMO
Jean-Luc INT</v>
      </c>
      <c r="W51" s="772">
        <v>8</v>
      </c>
    </row>
    <row r="52" spans="3:23" ht="14.1" customHeight="1">
      <c r="C52" s="497" t="s">
        <v>375</v>
      </c>
      <c r="D52" s="340" t="s">
        <v>129</v>
      </c>
      <c r="E52" s="678">
        <v>703067</v>
      </c>
      <c r="F52" s="608" t="s">
        <v>74</v>
      </c>
      <c r="G52" s="610"/>
      <c r="H52" s="612"/>
      <c r="I52" s="610"/>
      <c r="J52" s="610"/>
      <c r="K52" s="576"/>
      <c r="L52" s="579"/>
      <c r="N52" s="734"/>
      <c r="O52" s="737"/>
      <c r="P52" s="740"/>
      <c r="Q52" s="740"/>
      <c r="R52" s="740"/>
      <c r="S52" s="740"/>
      <c r="T52" s="740"/>
      <c r="U52" s="764"/>
      <c r="W52" s="772"/>
    </row>
    <row r="53" spans="3:23" ht="14.1" customHeight="1">
      <c r="C53" s="497" t="s">
        <v>376</v>
      </c>
      <c r="D53" s="340" t="s">
        <v>132</v>
      </c>
      <c r="E53" s="678">
        <v>703495</v>
      </c>
      <c r="F53" s="608"/>
      <c r="G53" s="610"/>
      <c r="H53" s="612"/>
      <c r="I53" s="600" t="s">
        <v>33</v>
      </c>
      <c r="J53" s="600" t="s">
        <v>32</v>
      </c>
      <c r="K53" s="600"/>
      <c r="L53" s="603"/>
      <c r="N53" s="734"/>
      <c r="O53" s="737"/>
      <c r="P53" s="740"/>
      <c r="Q53" s="740"/>
      <c r="R53" s="740"/>
      <c r="S53" s="740"/>
      <c r="T53" s="740"/>
      <c r="U53" s="764"/>
      <c r="W53" s="772"/>
    </row>
    <row r="54" spans="3:23" ht="14.1" customHeight="1">
      <c r="C54" s="504" t="s">
        <v>377</v>
      </c>
      <c r="D54" s="504" t="s">
        <v>133</v>
      </c>
      <c r="E54" s="502">
        <v>578275</v>
      </c>
      <c r="F54" s="582"/>
      <c r="G54" s="565" t="s">
        <v>89</v>
      </c>
      <c r="H54" s="576"/>
      <c r="I54" s="576"/>
      <c r="J54" s="576"/>
      <c r="K54" s="576"/>
      <c r="L54" s="579"/>
      <c r="N54" s="734"/>
      <c r="O54" s="737"/>
      <c r="P54" s="740"/>
      <c r="Q54" s="740"/>
      <c r="R54" s="740"/>
      <c r="S54" s="740"/>
      <c r="T54" s="740"/>
      <c r="U54" s="764"/>
      <c r="W54" s="772"/>
    </row>
    <row r="55" spans="3:23" ht="14.1" customHeight="1">
      <c r="C55" s="504" t="s">
        <v>378</v>
      </c>
      <c r="D55" s="497" t="s">
        <v>135</v>
      </c>
      <c r="E55" s="502">
        <v>644237</v>
      </c>
      <c r="F55" s="569" t="s">
        <v>28</v>
      </c>
      <c r="G55" s="570"/>
      <c r="H55" s="570"/>
      <c r="I55" s="570"/>
      <c r="J55" s="570"/>
      <c r="K55" s="570"/>
      <c r="L55" s="571"/>
      <c r="N55" s="734"/>
      <c r="O55" s="737"/>
      <c r="P55" s="740"/>
      <c r="Q55" s="740"/>
      <c r="R55" s="740"/>
      <c r="S55" s="740"/>
      <c r="T55" s="740"/>
      <c r="U55" s="764"/>
      <c r="W55" s="772"/>
    </row>
    <row r="56" spans="3:23" ht="14.1" customHeight="1">
      <c r="C56" s="497" t="s">
        <v>379</v>
      </c>
      <c r="D56" s="504" t="s">
        <v>136</v>
      </c>
      <c r="E56" s="502">
        <v>634259</v>
      </c>
      <c r="F56" s="575"/>
      <c r="G56" s="565"/>
      <c r="H56" s="565" t="s">
        <v>46</v>
      </c>
      <c r="I56" s="565"/>
      <c r="J56" s="565"/>
      <c r="K56" s="565"/>
      <c r="L56" s="577"/>
      <c r="N56" s="734"/>
      <c r="O56" s="737"/>
      <c r="P56" s="740"/>
      <c r="Q56" s="740"/>
      <c r="R56" s="740"/>
      <c r="S56" s="740"/>
      <c r="T56" s="740"/>
      <c r="U56" s="764"/>
      <c r="W56" s="772"/>
    </row>
    <row r="57" spans="3:23" ht="14.1" customHeight="1">
      <c r="C57" s="497" t="s">
        <v>380</v>
      </c>
      <c r="D57" s="526" t="s">
        <v>137</v>
      </c>
      <c r="E57" s="502">
        <v>418439</v>
      </c>
      <c r="F57" s="611"/>
      <c r="G57" s="75"/>
      <c r="H57" s="75" t="s">
        <v>40</v>
      </c>
      <c r="I57" s="75"/>
      <c r="J57" s="600"/>
      <c r="K57" s="600"/>
      <c r="L57" s="613" t="s">
        <v>47</v>
      </c>
      <c r="N57" s="734"/>
      <c r="O57" s="737"/>
      <c r="P57" s="740"/>
      <c r="Q57" s="740"/>
      <c r="R57" s="740"/>
      <c r="S57" s="740"/>
      <c r="T57" s="740"/>
      <c r="U57" s="764"/>
      <c r="W57" s="772"/>
    </row>
    <row r="58" spans="3:23" ht="14.1" customHeight="1" thickBot="1">
      <c r="C58" s="511" t="s">
        <v>381</v>
      </c>
      <c r="D58" s="526" t="s">
        <v>138</v>
      </c>
      <c r="E58" s="498">
        <v>650974</v>
      </c>
      <c r="F58" s="575"/>
      <c r="G58" s="65"/>
      <c r="H58" s="65"/>
      <c r="I58" s="65"/>
      <c r="J58" s="565"/>
      <c r="K58" s="565"/>
      <c r="L58" s="604"/>
      <c r="N58" s="735"/>
      <c r="O58" s="738"/>
      <c r="P58" s="741"/>
      <c r="Q58" s="741"/>
      <c r="R58" s="741"/>
      <c r="S58" s="741"/>
      <c r="T58" s="741"/>
      <c r="U58" s="765"/>
      <c r="W58" s="772"/>
    </row>
    <row r="59" spans="3:23" ht="14.1" customHeight="1">
      <c r="C59" s="511" t="s">
        <v>382</v>
      </c>
      <c r="D59" s="526" t="s">
        <v>535</v>
      </c>
      <c r="E59" s="498">
        <v>541888</v>
      </c>
      <c r="F59" s="575"/>
      <c r="G59" s="65"/>
      <c r="H59" s="65"/>
      <c r="I59" s="565" t="s">
        <v>41</v>
      </c>
      <c r="J59" s="565"/>
      <c r="K59" s="565"/>
      <c r="L59" s="604"/>
      <c r="N59" s="239"/>
      <c r="O59" s="241"/>
      <c r="P59" s="240"/>
      <c r="Q59" s="240"/>
      <c r="R59" s="240"/>
      <c r="S59" s="240"/>
      <c r="T59" s="240"/>
      <c r="U59" s="242"/>
      <c r="W59" s="89"/>
    </row>
    <row r="60" spans="3:23" ht="14.1" customHeight="1">
      <c r="C60" s="530"/>
      <c r="D60" s="514"/>
      <c r="E60" s="515"/>
      <c r="F60" s="575"/>
      <c r="G60" s="565"/>
      <c r="H60" s="565"/>
      <c r="I60" s="565"/>
      <c r="J60" s="565"/>
      <c r="K60" s="565"/>
      <c r="L60" s="577"/>
      <c r="N60" s="742" t="s">
        <v>384</v>
      </c>
      <c r="O60" s="745" t="str" cm="1">
        <f t="array" ref="O60">_xlfn.TEXTJOIN(CHAR(10),TRUE,_xlfn._xlws.FILTER($C7:$C185,RIGHT(F7:F185,LEN("SWP"))="SWP",""))</f>
        <v/>
      </c>
      <c r="P60" s="747" t="str" cm="1">
        <f t="array" ref="P60">_xlfn.TEXTJOIN(CHAR(10),TRUE,_xlfn._xlws.FILTER($C7:$C185,RIGHT(G7:G185,LEN("SWP"))="SWP",""))</f>
        <v/>
      </c>
      <c r="Q60" s="747" t="str" cm="1">
        <f t="array" ref="Q60">_xlfn.TEXTJOIN(CHAR(10),TRUE,_xlfn._xlws.FILTER($C7:$C185,RIGHT(H7:H185,LEN("SWP"))="SWP",""))</f>
        <v/>
      </c>
      <c r="R60" s="747" t="str" cm="1">
        <f t="array" ref="R60">_xlfn.TEXTJOIN(CHAR(10),TRUE,_xlfn._xlws.FILTER($C7:$C185,RIGHT(I7:I185,LEN("SWP"))="SWP",""))</f>
        <v>JOSHUA IR</v>
      </c>
      <c r="S60" s="747" t="str" cm="1">
        <f t="array" ref="S60">_xlfn.TEXTJOIN(CHAR(10),TRUE,_xlfn._xlws.FILTER($C7:$C185,RIGHT(J7:J185,LEN("SWP"))="SWP",""))</f>
        <v/>
      </c>
      <c r="T60" s="747" t="str" cm="1">
        <f t="array" ref="T60">_xlfn.TEXTJOIN(CHAR(10),TRUE,_xlfn._xlws.FILTER($C7:$C185,RIGHT(K7:K185,LEN("SWP"))="SWP",""))</f>
        <v/>
      </c>
      <c r="U60" s="766" t="str" cm="1">
        <f t="array" ref="U60">_xlfn.TEXTJOIN(CHAR(10),TRUE,_xlfn._xlws.FILTER($C7:$C185,RIGHT(L7:L185,LEN("SWP"))="SWP",""))</f>
        <v/>
      </c>
      <c r="V60" s="34" t="s">
        <v>385</v>
      </c>
      <c r="W60" s="89">
        <v>4</v>
      </c>
    </row>
    <row r="61" spans="3:23" ht="14.1" customHeight="1">
      <c r="C61" s="531"/>
      <c r="D61" s="532"/>
      <c r="E61" s="533"/>
      <c r="F61" s="575"/>
      <c r="G61" s="565"/>
      <c r="H61" s="565"/>
      <c r="I61" s="565"/>
      <c r="J61" s="565"/>
      <c r="K61" s="565"/>
      <c r="L61" s="577"/>
      <c r="N61" s="743"/>
      <c r="O61" s="746"/>
      <c r="P61" s="748"/>
      <c r="Q61" s="748"/>
      <c r="R61" s="748"/>
      <c r="S61" s="748"/>
      <c r="T61" s="748"/>
      <c r="U61" s="767"/>
      <c r="W61" s="89"/>
    </row>
    <row r="62" spans="3:23" ht="14.1" customHeight="1">
      <c r="C62" s="530" t="s">
        <v>345</v>
      </c>
      <c r="D62" s="530" t="s">
        <v>345</v>
      </c>
      <c r="E62" s="534"/>
      <c r="F62" s="205" t="s">
        <v>142</v>
      </c>
      <c r="G62" s="614" t="s">
        <v>142</v>
      </c>
      <c r="H62" s="614" t="s">
        <v>494</v>
      </c>
      <c r="I62" s="614" t="s">
        <v>142</v>
      </c>
      <c r="J62" s="614" t="s">
        <v>515</v>
      </c>
      <c r="K62" s="62"/>
      <c r="L62" s="67"/>
      <c r="N62" s="743"/>
      <c r="O62" s="746"/>
      <c r="P62" s="748"/>
      <c r="Q62" s="748"/>
      <c r="R62" s="748"/>
      <c r="S62" s="748"/>
      <c r="T62" s="748"/>
      <c r="U62" s="767"/>
      <c r="W62" s="89"/>
    </row>
    <row r="63" spans="3:23" ht="14.1" customHeight="1" thickBot="1">
      <c r="C63" s="31"/>
      <c r="D63" s="31"/>
      <c r="E63" s="534"/>
      <c r="F63" s="28"/>
      <c r="G63" s="29"/>
      <c r="H63" s="29"/>
      <c r="I63" s="29"/>
      <c r="J63" s="29"/>
      <c r="K63" s="29"/>
      <c r="L63" s="30"/>
      <c r="N63" s="744"/>
      <c r="O63" s="970"/>
      <c r="P63" s="971"/>
      <c r="Q63" s="971"/>
      <c r="R63" s="971"/>
      <c r="S63" s="971"/>
      <c r="T63" s="971"/>
      <c r="U63" s="972"/>
      <c r="W63" s="89"/>
    </row>
    <row r="64" spans="3:23" ht="14.1" customHeight="1" thickBot="1">
      <c r="C64" s="63"/>
      <c r="D64" s="411" t="s">
        <v>145</v>
      </c>
      <c r="E64" s="534"/>
      <c r="F64" s="565">
        <f>COUNTIF(F7:F61,"0800-*")+COUNTIF(F7:F61,"0730-*")-COUNTIF(F7:F61,"*0800-1730 CS*")-COUNTIF(F7:F61,"*0800-1730 PHNW*")-COUNTIF(F7:F61,"*0800-1730 DEMT*")-COUNTIF(F7:F61,"*0800-1730 EXAM*")-COUNTIF(F7:F61,"*0800-1800 CS*")-COUNTIF(F7:F61,"*0800-1800 PHNW*")</f>
        <v>5</v>
      </c>
      <c r="G64" s="565">
        <f>COUNTIF(G7:G61,"0800-*")+COUNTIF(G7:G61,"0730-*")-COUNTIF(G7:G61,"*0800-1730 CS*")-COUNTIF(G7:G61,"*0800-1730 PHNW*")-COUNTIF(G7:G61,"*0800-1730 DEMT*")-COUNTIF(G7:G61,"*0800-1730 EXAM*")-COUNTIF(G7:G61,"*0800-1800 CS*")-COUNTIF(G7:G61,"*0800-1800 PHNW*")</f>
        <v>5</v>
      </c>
      <c r="H64" s="565">
        <f>COUNTIF(H7:H61,"0800-*")+COUNTIF(H7:H61,"0730-*")-COUNTIF(H7:H61,"*0800-1730 CS*")-COUNTIF(H7:H61,"*0800-1730 PHNW*")-COUNTIF(H7:H61,"*0800-1730 DEMT*")-COUNTIF(H7:H61,"*0800-1730 EXAM*")-COUNTIF(H7:H61,"*0800-1800 CS*")-COUNTIF(H7:H61,"*0800-1800 PHNW*")</f>
        <v>5</v>
      </c>
      <c r="I64" s="565">
        <f>COUNTIF(I7:I61,"0800-*")+COUNTIF(I7:I61,"0730-*")-COUNTIF(I7:I61,"*0800-1730 CS*")-COUNTIF(I7:I61,"*0800-1730 PHNW*")-COUNTIF(I7:I61,"*0800-1730 DEMT*")-COUNTIF(I7:I61,"*0800-1730 EXAM*")-COUNTIF(I7:I61,"*0800-1800 CS*")-COUNTIF(I7:I61,"*0800-1800 PHNW*")</f>
        <v>7</v>
      </c>
      <c r="J64" s="565">
        <f>COUNTIF(J7:J61,"0800-*")+COUNTIF(J7:J61,"0730-*")-COUNTIF(J7:J61,"*0800-1730 CS*")-COUNTIF(J7:J61,"*0800-1730 PHNW*")-COUNTIF(J7:J61,"*0800-1730 DEMT*")-COUNTIF(J7:J61,"*0800-1730 EXAM*")-COUNTIF(J7:J61,"*0800-1800 CS*")-COUNTIF(J7:J61,"*0800-1800 PHNW*")</f>
        <v>6</v>
      </c>
      <c r="K64" s="565">
        <f>COUNTIF(K7:K61,"0800-*")+COUNTIF(K7:K61,"0730-*")</f>
        <v>4</v>
      </c>
      <c r="L64" s="577">
        <f>COUNTIF(L7:L61,"0800-*")+COUNTIF(L7:L61,"0730-*")</f>
        <v>3</v>
      </c>
      <c r="N64" s="106"/>
      <c r="O64" s="34"/>
      <c r="P64" s="34"/>
      <c r="Q64" s="34"/>
      <c r="R64" s="34"/>
      <c r="S64" s="34"/>
      <c r="T64" s="34"/>
      <c r="U64" s="34"/>
      <c r="W64" s="89"/>
    </row>
    <row r="65" spans="3:23" ht="14.1" customHeight="1" thickBot="1">
      <c r="C65" s="535"/>
      <c r="D65" s="411" t="s">
        <v>146</v>
      </c>
      <c r="E65" s="534"/>
      <c r="F65" s="575">
        <f t="shared" ref="F65:L65" si="16">COUNTIF(F7:F62,"*0000*")</f>
        <v>4</v>
      </c>
      <c r="G65" s="565">
        <f t="shared" si="16"/>
        <v>5</v>
      </c>
      <c r="H65" s="565">
        <f t="shared" si="16"/>
        <v>5</v>
      </c>
      <c r="I65" s="565">
        <f t="shared" si="16"/>
        <v>4</v>
      </c>
      <c r="J65" s="565">
        <f t="shared" si="16"/>
        <v>5</v>
      </c>
      <c r="K65" s="565">
        <f t="shared" si="16"/>
        <v>4</v>
      </c>
      <c r="L65" s="577">
        <f t="shared" si="16"/>
        <v>4</v>
      </c>
      <c r="N65" s="106"/>
      <c r="O65" s="796" t="s">
        <v>388</v>
      </c>
      <c r="P65" s="797"/>
      <c r="Q65" s="797"/>
      <c r="R65" s="797"/>
      <c r="S65" s="797"/>
      <c r="T65" s="797"/>
      <c r="U65" s="798"/>
      <c r="W65" s="89" t="s">
        <v>389</v>
      </c>
    </row>
    <row r="66" spans="3:23" ht="14.1" customHeight="1">
      <c r="C66" s="407" t="s">
        <v>147</v>
      </c>
      <c r="D66" s="407" t="s">
        <v>147</v>
      </c>
      <c r="E66" s="534"/>
      <c r="F66" s="408"/>
      <c r="G66" s="409"/>
      <c r="H66" s="409"/>
      <c r="I66" s="409"/>
      <c r="J66" s="409"/>
      <c r="K66" s="409"/>
      <c r="L66" s="410"/>
      <c r="N66" s="104" t="s">
        <v>390</v>
      </c>
      <c r="O66" s="107" t="str">
        <f t="shared" ref="O66:U66" si="17">INDEX($C7:$L189,MATCH("*N1*",F7:F192,0),1)</f>
        <v>JOSEPH SR</v>
      </c>
      <c r="P66" s="108" t="str">
        <f t="shared" si="17"/>
        <v>JOSEPH SR</v>
      </c>
      <c r="Q66" s="108" t="str">
        <f t="shared" si="17"/>
        <v>MILES SR</v>
      </c>
      <c r="R66" s="108" t="str">
        <f t="shared" si="17"/>
        <v>MILES SR</v>
      </c>
      <c r="S66" s="108" t="str">
        <f t="shared" si="17"/>
        <v>MILES SR</v>
      </c>
      <c r="T66" s="108" t="str">
        <f t="shared" si="17"/>
        <v>ANA CMO</v>
      </c>
      <c r="U66" s="109" t="str">
        <f t="shared" si="17"/>
        <v>ANA CMO</v>
      </c>
      <c r="V66" s="89"/>
      <c r="W66" s="106">
        <v>1</v>
      </c>
    </row>
    <row r="67" spans="3:23" ht="14.1" customHeight="1">
      <c r="C67" s="411" t="s">
        <v>391</v>
      </c>
      <c r="D67" s="411" t="s">
        <v>148</v>
      </c>
      <c r="E67" s="536">
        <v>609268</v>
      </c>
      <c r="F67" s="575" t="s">
        <v>149</v>
      </c>
      <c r="G67" s="576"/>
      <c r="H67" s="565" t="s">
        <v>149</v>
      </c>
      <c r="I67" s="565"/>
      <c r="J67" s="565"/>
      <c r="K67" s="565" t="s">
        <v>32</v>
      </c>
      <c r="L67" s="577" t="s">
        <v>37</v>
      </c>
      <c r="N67" s="749" t="s">
        <v>392</v>
      </c>
      <c r="O67" s="746" t="str" cm="1">
        <f t="array" ref="O67">_xlfn.TEXTJOIN(CHAR(10),TRUE,IF(F7:F185="2300-0900",$C7:$C185,""),IF(F7:F185="2300-0830",$C7:$C185,""))</f>
        <v>RACHEL JR
LAURA JR
JEROME JR
HENLEY HMO
SHUNING HMO
Jason INT</v>
      </c>
      <c r="P67" s="748" t="str" cm="1">
        <f t="array" ref="P67">_xlfn.TEXTJOIN(CHAR(10),TRUE,IF(G7:G185="2300-0900",$C7:$C185,""),IF(G7:G185="2300-0830",$C7:$C185,""))</f>
        <v>DESLIN JR
RACHEL JR
LAURA JR
MILOS HMO
WATHSALA HMO
Jason INT</v>
      </c>
      <c r="Q67" s="748" t="str" cm="1">
        <f t="array" ref="Q67">_xlfn.TEXTJOIN(CHAR(10),TRUE,IF(H7:H185="2300-0900",$C7:$C185,""),IF(H7:H185="2300-0830",$C7:$C185,""))</f>
        <v>DESLIN JR
RACHEL JR
ZOBIA HMO
THOMAS HMO
Elana INT</v>
      </c>
      <c r="R67" s="748" t="str" cm="1">
        <f t="array" ref="R67">_xlfn.TEXTJOIN(CHAR(10),TRUE,IF(I7:I185="2300-0900",$C7:$C185,""),IF(I7:I185="2300-0830",$C7:$C185,""))</f>
        <v>DESLIN JR
ISOBEL JR
PHILLIP HMO
FADIA HMO
Elana INT</v>
      </c>
      <c r="S67" s="748" t="str" cm="1">
        <f t="array" ref="S67">_xlfn.TEXTJOIN(CHAR(10),TRUE,IF(J7:J185="2300-0900",$C7:$C185,""),IF(J7:J185="2300-0830",$C7:$C185,""))</f>
        <v>ISOBEL JR
SYLVIA JR
NATHAN HMO
BRIER HMO
Elana INT</v>
      </c>
      <c r="T67" s="748" t="str" cm="1">
        <f t="array" ref="T67">_xlfn.TEXTJOIN(CHAR(10),TRUE,IF(K7:K185="2300-0900",$C7:$C185,""),IF(K7:K185="2300-0830",$C7:$C185,""))</f>
        <v>ISOBEL JR
SYLVIA JR
BRENDAN HMO
NATHAN HMO
MIKEY HMO
Elana INT</v>
      </c>
      <c r="U67" s="767" t="str" cm="1">
        <f t="array" ref="U67">_xlfn.TEXTJOIN(CHAR(10),TRUE,IF(L7:L185="2300-0900",$C7:$C185,""),IF(L7:L185="2300-0830",$C7:$C185,""))</f>
        <v>ISOBEL JR
SYLVIA JR
BRENDAN HMO
MIKEY HMO
WILL HMO
Nathan INT</v>
      </c>
      <c r="W67" s="89">
        <v>9</v>
      </c>
    </row>
    <row r="68" spans="3:23" ht="14.1" customHeight="1">
      <c r="C68" s="411" t="s">
        <v>393</v>
      </c>
      <c r="D68" s="411" t="s">
        <v>152</v>
      </c>
      <c r="E68" s="537">
        <v>517752</v>
      </c>
      <c r="F68" s="575"/>
      <c r="G68" s="565"/>
      <c r="H68" s="565" t="s">
        <v>153</v>
      </c>
      <c r="I68" s="565"/>
      <c r="J68" s="565"/>
      <c r="K68" s="565"/>
      <c r="L68" s="577"/>
      <c r="N68" s="749"/>
      <c r="O68" s="746"/>
      <c r="P68" s="748"/>
      <c r="Q68" s="748"/>
      <c r="R68" s="748"/>
      <c r="S68" s="748"/>
      <c r="T68" s="748"/>
      <c r="U68" s="767"/>
      <c r="W68" s="89"/>
    </row>
    <row r="69" spans="3:23" ht="14.1" customHeight="1">
      <c r="C69" s="411" t="s">
        <v>394</v>
      </c>
      <c r="D69" s="411" t="s">
        <v>154</v>
      </c>
      <c r="E69" s="537">
        <v>609129</v>
      </c>
      <c r="F69" s="589"/>
      <c r="G69" s="590"/>
      <c r="H69" s="565" t="s">
        <v>91</v>
      </c>
      <c r="I69" s="590"/>
      <c r="J69" s="590"/>
      <c r="K69" s="565"/>
      <c r="L69" s="577" t="s">
        <v>91</v>
      </c>
      <c r="N69" s="749"/>
      <c r="O69" s="746"/>
      <c r="P69" s="748"/>
      <c r="Q69" s="748"/>
      <c r="R69" s="748"/>
      <c r="S69" s="748"/>
      <c r="T69" s="748"/>
      <c r="U69" s="767"/>
      <c r="W69" s="89"/>
    </row>
    <row r="70" spans="3:23" ht="14.1" customHeight="1">
      <c r="C70" s="411" t="s">
        <v>395</v>
      </c>
      <c r="D70" s="538" t="s">
        <v>156</v>
      </c>
      <c r="E70" s="539">
        <v>636554</v>
      </c>
      <c r="F70" s="575"/>
      <c r="G70" s="565" t="s">
        <v>149</v>
      </c>
      <c r="H70" s="565" t="s">
        <v>149</v>
      </c>
      <c r="I70" s="565"/>
      <c r="J70" s="565"/>
      <c r="K70" s="565"/>
      <c r="L70" s="577"/>
      <c r="N70" s="749"/>
      <c r="O70" s="746"/>
      <c r="P70" s="748"/>
      <c r="Q70" s="748"/>
      <c r="R70" s="748"/>
      <c r="S70" s="748"/>
      <c r="T70" s="748"/>
      <c r="U70" s="767"/>
      <c r="W70" s="89"/>
    </row>
    <row r="71" spans="3:23" ht="14.1" customHeight="1" thickBot="1">
      <c r="C71" s="973"/>
      <c r="D71" s="49"/>
      <c r="E71" s="534"/>
      <c r="F71" s="575"/>
      <c r="G71" s="565"/>
      <c r="H71" s="565"/>
      <c r="I71" s="565"/>
      <c r="J71" s="565"/>
      <c r="K71" s="565"/>
      <c r="L71" s="577"/>
      <c r="N71" s="749"/>
      <c r="O71" s="746"/>
      <c r="P71" s="748"/>
      <c r="Q71" s="748"/>
      <c r="R71" s="748"/>
      <c r="S71" s="748"/>
      <c r="T71" s="748"/>
      <c r="U71" s="767"/>
      <c r="W71" s="89"/>
    </row>
    <row r="72" spans="3:23" ht="14.1" customHeight="1">
      <c r="C72" s="724" t="s">
        <v>157</v>
      </c>
      <c r="D72" s="540" t="s">
        <v>157</v>
      </c>
      <c r="E72" s="54"/>
      <c r="F72" s="413"/>
      <c r="G72" s="414"/>
      <c r="H72" s="414"/>
      <c r="I72" s="414"/>
      <c r="J72" s="414"/>
      <c r="K72" s="414"/>
      <c r="L72" s="415"/>
      <c r="N72" s="749"/>
      <c r="O72" s="746"/>
      <c r="P72" s="748"/>
      <c r="Q72" s="748"/>
      <c r="R72" s="748"/>
      <c r="S72" s="748"/>
      <c r="T72" s="748"/>
      <c r="U72" s="767"/>
      <c r="W72" s="89"/>
    </row>
    <row r="73" spans="3:23" ht="14.1" customHeight="1">
      <c r="C73" s="541" t="s">
        <v>396</v>
      </c>
      <c r="D73" s="182" t="s">
        <v>159</v>
      </c>
      <c r="E73" s="615">
        <v>628440</v>
      </c>
      <c r="F73" s="568"/>
      <c r="G73" s="618"/>
      <c r="H73" s="618" t="s">
        <v>150</v>
      </c>
      <c r="I73" s="618" t="s">
        <v>404</v>
      </c>
      <c r="J73" s="618"/>
      <c r="K73" s="618" t="s">
        <v>149</v>
      </c>
      <c r="L73" s="618" t="s">
        <v>149</v>
      </c>
      <c r="N73" s="749"/>
      <c r="O73" s="746"/>
      <c r="P73" s="748"/>
      <c r="Q73" s="748"/>
      <c r="R73" s="748"/>
      <c r="S73" s="748"/>
      <c r="T73" s="748"/>
      <c r="U73" s="767"/>
      <c r="W73" s="89"/>
    </row>
    <row r="74" spans="3:23" ht="14.1" customHeight="1">
      <c r="C74" s="541" t="s">
        <v>397</v>
      </c>
      <c r="D74" s="183" t="s">
        <v>164</v>
      </c>
      <c r="E74" s="615">
        <v>653976</v>
      </c>
      <c r="F74" s="619"/>
      <c r="G74" s="624" t="s">
        <v>165</v>
      </c>
      <c r="H74" s="618" t="s">
        <v>161</v>
      </c>
      <c r="I74" s="618" t="s">
        <v>161</v>
      </c>
      <c r="J74" s="618" t="s">
        <v>161</v>
      </c>
      <c r="K74" s="619"/>
      <c r="L74" s="619"/>
      <c r="N74" s="749"/>
      <c r="O74" s="746"/>
      <c r="P74" s="748"/>
      <c r="Q74" s="748"/>
      <c r="R74" s="748"/>
      <c r="S74" s="748"/>
      <c r="T74" s="748"/>
      <c r="U74" s="767"/>
      <c r="W74" s="89"/>
    </row>
    <row r="75" spans="3:23" ht="14.1" customHeight="1">
      <c r="C75" s="85" t="s">
        <v>398</v>
      </c>
      <c r="D75" s="184" t="s">
        <v>166</v>
      </c>
      <c r="E75" s="615">
        <v>654362</v>
      </c>
      <c r="F75" s="618" t="s">
        <v>150</v>
      </c>
      <c r="G75" s="618" t="s">
        <v>150</v>
      </c>
      <c r="H75" s="618"/>
      <c r="I75" s="618" t="s">
        <v>149</v>
      </c>
      <c r="J75" s="618" t="s">
        <v>150</v>
      </c>
      <c r="K75" s="617"/>
      <c r="L75" s="617"/>
      <c r="N75" s="749"/>
      <c r="O75" s="746"/>
      <c r="P75" s="748"/>
      <c r="Q75" s="748"/>
      <c r="R75" s="748"/>
      <c r="S75" s="748"/>
      <c r="T75" s="748"/>
      <c r="U75" s="767"/>
      <c r="W75" s="89"/>
    </row>
    <row r="76" spans="3:23" ht="14.1" customHeight="1">
      <c r="C76" s="69" t="s">
        <v>399</v>
      </c>
      <c r="D76" s="184" t="s">
        <v>168</v>
      </c>
      <c r="E76" s="615">
        <v>615829</v>
      </c>
      <c r="F76" s="617"/>
      <c r="G76" s="617"/>
      <c r="H76" s="618" t="s">
        <v>150</v>
      </c>
      <c r="I76" s="618" t="s">
        <v>150</v>
      </c>
      <c r="J76" s="619"/>
      <c r="K76" s="619"/>
      <c r="L76" s="617"/>
      <c r="N76" s="528" t="s">
        <v>368</v>
      </c>
      <c r="O76" s="523" t="str">
        <f t="shared" ref="O76:U76" si="18">INDEX($C10:$L191,MATCH("*NHJ*",F10:F194,0),1)</f>
        <v>TORI-ANN HMO</v>
      </c>
      <c r="P76" s="500" t="str">
        <f t="shared" si="18"/>
        <v>ZOBIA HMO</v>
      </c>
      <c r="Q76" s="500" t="str">
        <f t="shared" si="18"/>
        <v>MILOS HMO</v>
      </c>
      <c r="R76" s="500" t="str">
        <f t="shared" si="18"/>
        <v>THOMAS HMO</v>
      </c>
      <c r="S76" s="500" t="str">
        <f t="shared" si="18"/>
        <v>MIKEY HMO</v>
      </c>
      <c r="T76" s="500" t="str">
        <f t="shared" si="18"/>
        <v>WILL HMO</v>
      </c>
      <c r="U76" s="501" t="str">
        <f t="shared" si="18"/>
        <v>BRIER HMO</v>
      </c>
      <c r="V76" s="34" t="s">
        <v>400</v>
      </c>
      <c r="W76" s="89">
        <v>1</v>
      </c>
    </row>
    <row r="77" spans="3:23" ht="14.1" customHeight="1">
      <c r="C77" s="541" t="s">
        <v>401</v>
      </c>
      <c r="D77" s="974" t="s">
        <v>170</v>
      </c>
      <c r="E77" s="615">
        <v>619567</v>
      </c>
      <c r="F77" s="618" t="s">
        <v>150</v>
      </c>
      <c r="G77" s="619"/>
      <c r="H77" s="619"/>
      <c r="I77" s="618" t="s">
        <v>149</v>
      </c>
      <c r="J77" s="618" t="s">
        <v>149</v>
      </c>
      <c r="K77" s="617"/>
      <c r="L77" s="619"/>
      <c r="N77" s="768" t="s">
        <v>325</v>
      </c>
      <c r="O77" s="787" t="str" cm="1">
        <f t="array" ref="O77">_xlfn.TEXTJOIN(CHAR(10),TRUE,_xlfn._xlws.FILTER($C7:$C185,RIGHT(F7:F185,LEN("nSSJ"))="nSSJ",""))</f>
        <v>WATHSALA HMO</v>
      </c>
      <c r="P77" s="750" t="str" cm="1">
        <f t="array" ref="P77">_xlfn.TEXTJOIN(CHAR(10),TRUE,_xlfn._xlws.FILTER($C7:$C185,RIGHT(G7:G185,LEN("nSSJ"))="nSSJ",""))</f>
        <v>THOMAS HMO</v>
      </c>
      <c r="Q77" s="750" t="str" cm="1">
        <f t="array" ref="Q77">_xlfn.TEXTJOIN(CHAR(10),TRUE,_xlfn._xlws.FILTER($C7:$C185,RIGHT(H7:H185,LEN("nSSJ"))="nSSJ",""))</f>
        <v>SHIV IR
FADIA HMO</v>
      </c>
      <c r="R77" s="750" t="str" cm="1">
        <f t="array" ref="R77">_xlfn.TEXTJOIN(CHAR(10),TRUE,_xlfn._xlws.FILTER($C7:$C185,RIGHT(I7:I185,LEN("nSSJ"))="nSSJ",""))</f>
        <v>SHIV IR
ZOBIA HMO</v>
      </c>
      <c r="S77" s="750" t="str" cm="1">
        <f t="array" ref="S77">_xlfn.TEXTJOIN(CHAR(10),TRUE,_xlfn._xlws.FILTER($C7:$C185,RIGHT(J7:J185,LEN("nSSJ"))="nSSJ",""))</f>
        <v>JOSHUA IR
PHILLIP HMO</v>
      </c>
      <c r="T77" s="750" t="str" cm="1">
        <f t="array" ref="T77">_xlfn.TEXTJOIN(CHAR(10),TRUE,_xlfn._xlws.FILTER($C7:$C185,RIGHT(K7:K185,LEN("nSSJ"))="nSSJ",""))</f>
        <v>JOSHUA IR
BRIER HMO</v>
      </c>
      <c r="U77" s="788" t="str" cm="1">
        <f t="array" ref="U77">_xlfn.TEXTJOIN(CHAR(10),TRUE,_xlfn._xlws.FILTER($C7:$C185,RIGHT(L7:L185,LEN("nSSJ"))="nSSJ",""))</f>
        <v>JOSHUA IR
NATHAN HMO</v>
      </c>
      <c r="V77" s="34" t="s">
        <v>402</v>
      </c>
      <c r="W77" s="89">
        <v>2</v>
      </c>
    </row>
    <row r="78" spans="3:23" ht="14.1" customHeight="1" thickBot="1">
      <c r="C78" s="543" t="s">
        <v>403</v>
      </c>
      <c r="D78" s="183" t="s">
        <v>171</v>
      </c>
      <c r="E78" s="615">
        <v>626157</v>
      </c>
      <c r="F78" s="618" t="s">
        <v>161</v>
      </c>
      <c r="G78" s="618" t="s">
        <v>161</v>
      </c>
      <c r="H78" s="620"/>
      <c r="I78" s="617"/>
      <c r="J78" s="617"/>
      <c r="K78" s="618" t="s">
        <v>150</v>
      </c>
      <c r="L78" s="618" t="s">
        <v>150</v>
      </c>
      <c r="N78" s="769"/>
      <c r="O78" s="975"/>
      <c r="P78" s="976"/>
      <c r="Q78" s="976"/>
      <c r="R78" s="976"/>
      <c r="S78" s="976"/>
      <c r="T78" s="976"/>
      <c r="U78" s="977"/>
      <c r="W78" s="89"/>
    </row>
    <row r="79" spans="3:23" ht="14.1" customHeight="1" thickBot="1">
      <c r="C79" s="69" t="s">
        <v>405</v>
      </c>
      <c r="D79" s="185" t="s">
        <v>173</v>
      </c>
      <c r="E79" s="615">
        <v>645122</v>
      </c>
      <c r="F79" s="617"/>
      <c r="G79" s="617"/>
      <c r="H79" s="619"/>
      <c r="I79" s="619"/>
      <c r="J79" s="617"/>
      <c r="K79" s="617"/>
      <c r="L79" s="617"/>
      <c r="N79" s="978" t="s">
        <v>406</v>
      </c>
      <c r="O79" s="110" t="str">
        <f t="shared" ref="O79:U79" si="19">INDEX($C7:$L189,MATCH("*PRC",F7:F192,0),1)</f>
        <v>JEREMY SMS</v>
      </c>
      <c r="P79" s="111" t="str">
        <f t="shared" si="19"/>
        <v>JACKIE SMS</v>
      </c>
      <c r="Q79" s="111" t="str">
        <f t="shared" si="19"/>
        <v>BRAD SMS</v>
      </c>
      <c r="R79" s="111" t="str">
        <f t="shared" si="19"/>
        <v>BEN SMS</v>
      </c>
      <c r="S79" s="111" t="str">
        <f t="shared" si="19"/>
        <v>ANDRE SMS</v>
      </c>
      <c r="T79" s="111" t="str">
        <f t="shared" si="19"/>
        <v>ABI SMS</v>
      </c>
      <c r="U79" s="111" t="str">
        <f t="shared" si="19"/>
        <v>YAN SMS</v>
      </c>
      <c r="W79" s="89"/>
    </row>
    <row r="80" spans="3:23" ht="14.1" customHeight="1" thickBot="1">
      <c r="C80" s="543" t="s">
        <v>407</v>
      </c>
      <c r="D80" s="186" t="s">
        <v>174</v>
      </c>
      <c r="E80" s="615">
        <v>615820</v>
      </c>
      <c r="F80" s="617"/>
      <c r="G80" s="618" t="s">
        <v>149</v>
      </c>
      <c r="H80" s="618" t="s">
        <v>149</v>
      </c>
      <c r="I80" s="617"/>
      <c r="J80" s="617"/>
      <c r="K80" s="617"/>
      <c r="L80" s="619"/>
      <c r="N80" s="106"/>
      <c r="O80" s="89"/>
      <c r="T80" s="979" t="str">
        <f>INDEX($C7:$L190,MATCH("*PGC",K7:K193,0),1)</f>
        <v>JAMES SMS</v>
      </c>
      <c r="U80" s="980" t="str">
        <f>INDEX($C8:$L190,MATCH("*PGC",L8:L193,0),1)</f>
        <v>ABI SMS</v>
      </c>
    </row>
    <row r="81" spans="3:22" ht="14.1" customHeight="1">
      <c r="C81" s="541" t="s">
        <v>408</v>
      </c>
      <c r="D81" s="544" t="s">
        <v>175</v>
      </c>
      <c r="E81" s="615">
        <v>624174</v>
      </c>
      <c r="F81" s="617"/>
      <c r="G81" s="617"/>
      <c r="H81" s="626"/>
      <c r="I81" s="626"/>
      <c r="J81" s="622"/>
      <c r="K81" s="618" t="s">
        <v>161</v>
      </c>
      <c r="L81" s="618" t="s">
        <v>161</v>
      </c>
      <c r="O81" s="89"/>
      <c r="V81" s="89"/>
    </row>
    <row r="82" spans="3:22" ht="14.1" customHeight="1">
      <c r="C82" s="543"/>
      <c r="D82" s="545"/>
      <c r="E82" s="625"/>
      <c r="F82" s="617"/>
      <c r="G82" s="617"/>
      <c r="H82" s="619"/>
      <c r="I82" s="619"/>
      <c r="J82" s="617"/>
      <c r="K82" s="618"/>
      <c r="L82" s="618"/>
      <c r="O82" s="89"/>
      <c r="V82" s="89"/>
    </row>
    <row r="83" spans="3:22" ht="14.1" customHeight="1">
      <c r="C83" s="728" t="s">
        <v>176</v>
      </c>
      <c r="D83" s="728" t="s">
        <v>176</v>
      </c>
      <c r="E83" s="198"/>
      <c r="F83" s="305"/>
      <c r="G83" s="305"/>
      <c r="H83" s="305"/>
      <c r="I83" s="305"/>
      <c r="J83" s="305"/>
      <c r="K83" s="305"/>
      <c r="L83" s="305"/>
      <c r="O83" s="89"/>
      <c r="V83" s="89"/>
    </row>
    <row r="84" spans="3:22" ht="14.1" customHeight="1">
      <c r="C84" s="411" t="s">
        <v>409</v>
      </c>
      <c r="D84" s="546" t="s">
        <v>177</v>
      </c>
      <c r="E84" s="615">
        <v>637990</v>
      </c>
      <c r="F84" s="618" t="s">
        <v>149</v>
      </c>
      <c r="G84" s="618" t="s">
        <v>150</v>
      </c>
      <c r="H84" s="565"/>
      <c r="I84" s="618" t="s">
        <v>150</v>
      </c>
      <c r="J84" s="618" t="s">
        <v>150</v>
      </c>
      <c r="K84" s="620"/>
      <c r="L84" s="620"/>
      <c r="O84" s="89"/>
      <c r="V84" s="89"/>
    </row>
    <row r="85" spans="3:22" ht="14.1" customHeight="1">
      <c r="C85" s="86" t="s">
        <v>410</v>
      </c>
      <c r="D85" s="184" t="s">
        <v>179</v>
      </c>
      <c r="E85" s="615">
        <v>652867</v>
      </c>
      <c r="F85" s="617"/>
      <c r="G85" s="630"/>
      <c r="H85" s="630"/>
      <c r="I85" s="565" t="s">
        <v>160</v>
      </c>
      <c r="J85" s="565" t="s">
        <v>178</v>
      </c>
      <c r="K85" s="565" t="s">
        <v>178</v>
      </c>
      <c r="L85" s="565" t="s">
        <v>178</v>
      </c>
      <c r="O85" s="89"/>
      <c r="V85" s="89"/>
    </row>
    <row r="86" spans="3:22" ht="14.1" customHeight="1">
      <c r="C86" s="543" t="s">
        <v>411</v>
      </c>
      <c r="D86" s="547" t="s">
        <v>180</v>
      </c>
      <c r="E86" s="615">
        <v>638831</v>
      </c>
      <c r="F86" s="618" t="s">
        <v>150</v>
      </c>
      <c r="G86" s="620"/>
      <c r="H86" s="618" t="s">
        <v>150</v>
      </c>
      <c r="I86" s="620"/>
      <c r="J86" s="618" t="s">
        <v>150</v>
      </c>
      <c r="K86" s="565"/>
      <c r="L86" s="565"/>
      <c r="O86" s="89"/>
      <c r="V86" s="89"/>
    </row>
    <row r="87" spans="3:22" ht="14.1" customHeight="1">
      <c r="C87" s="411" t="s">
        <v>412</v>
      </c>
      <c r="D87" s="548" t="s">
        <v>182</v>
      </c>
      <c r="E87" s="615">
        <v>631314</v>
      </c>
      <c r="F87" s="619"/>
      <c r="G87" s="617"/>
      <c r="H87" s="619"/>
      <c r="I87" s="616" t="s">
        <v>342</v>
      </c>
      <c r="J87" s="616" t="s">
        <v>530</v>
      </c>
      <c r="K87" s="617"/>
      <c r="L87" s="617"/>
      <c r="O87" s="89"/>
      <c r="V87" s="89"/>
    </row>
    <row r="88" spans="3:22" ht="14.1" customHeight="1">
      <c r="C88" s="69" t="s">
        <v>414</v>
      </c>
      <c r="D88" s="548" t="s">
        <v>185</v>
      </c>
      <c r="E88" s="615">
        <v>631732</v>
      </c>
      <c r="F88" s="619"/>
      <c r="G88" s="622"/>
      <c r="H88" s="565" t="s">
        <v>178</v>
      </c>
      <c r="I88" s="565" t="s">
        <v>178</v>
      </c>
      <c r="J88" s="617"/>
      <c r="K88" s="617"/>
      <c r="L88" s="617"/>
      <c r="O88" s="89"/>
      <c r="V88" s="89"/>
    </row>
    <row r="89" spans="3:22" ht="14.1" customHeight="1">
      <c r="C89" s="541" t="s">
        <v>415</v>
      </c>
      <c r="D89" s="549" t="s">
        <v>186</v>
      </c>
      <c r="E89" s="615">
        <v>634876</v>
      </c>
      <c r="F89" s="617"/>
      <c r="G89" s="618" t="s">
        <v>149</v>
      </c>
      <c r="H89" s="619"/>
      <c r="I89" s="626"/>
      <c r="J89" s="619"/>
      <c r="K89" s="618" t="s">
        <v>150</v>
      </c>
      <c r="L89" s="618" t="s">
        <v>150</v>
      </c>
      <c r="O89" s="89"/>
      <c r="V89" s="89"/>
    </row>
    <row r="90" spans="3:22" ht="14.1" customHeight="1">
      <c r="C90" s="541"/>
      <c r="D90" s="187"/>
      <c r="E90" s="199"/>
      <c r="F90" s="617"/>
      <c r="G90" s="618"/>
      <c r="H90" s="619"/>
      <c r="I90" s="619"/>
      <c r="J90" s="619"/>
      <c r="K90" s="618"/>
      <c r="L90" s="618"/>
      <c r="O90" s="89"/>
      <c r="V90" s="89"/>
    </row>
    <row r="91" spans="3:22" ht="14.1" customHeight="1">
      <c r="C91" s="4" t="s">
        <v>189</v>
      </c>
      <c r="D91" s="4" t="s">
        <v>189</v>
      </c>
      <c r="E91" s="444"/>
      <c r="F91" s="444"/>
      <c r="G91" s="444"/>
      <c r="H91" s="444"/>
      <c r="I91" s="444"/>
      <c r="J91" s="444"/>
      <c r="K91" s="444"/>
      <c r="L91" s="444"/>
      <c r="O91" s="89"/>
    </row>
    <row r="92" spans="3:22" ht="14.1" customHeight="1">
      <c r="C92" s="69" t="s">
        <v>416</v>
      </c>
      <c r="D92" s="188" t="s">
        <v>527</v>
      </c>
      <c r="E92" s="615">
        <v>648620</v>
      </c>
      <c r="F92" s="618"/>
      <c r="G92" s="618"/>
      <c r="H92" s="618" t="s">
        <v>191</v>
      </c>
      <c r="I92" s="618" t="s">
        <v>150</v>
      </c>
      <c r="J92" s="618"/>
      <c r="K92" s="618" t="s">
        <v>149</v>
      </c>
      <c r="L92" s="618" t="s">
        <v>149</v>
      </c>
      <c r="O92" s="34"/>
      <c r="P92" s="34"/>
      <c r="Q92" s="34"/>
      <c r="R92" s="34"/>
      <c r="S92" s="34"/>
      <c r="T92" s="34"/>
      <c r="U92" s="34"/>
    </row>
    <row r="93" spans="3:22" ht="14.1" customHeight="1">
      <c r="C93" s="550" t="s">
        <v>417</v>
      </c>
      <c r="D93" s="189" t="s">
        <v>193</v>
      </c>
      <c r="E93" s="615">
        <v>652357</v>
      </c>
      <c r="F93" s="618"/>
      <c r="G93" s="630"/>
      <c r="H93" s="630"/>
      <c r="I93" s="618" t="s">
        <v>149</v>
      </c>
      <c r="J93" s="618" t="s">
        <v>149</v>
      </c>
      <c r="K93" s="618" t="s">
        <v>149</v>
      </c>
      <c r="L93" s="620"/>
      <c r="O93" s="34"/>
      <c r="P93" s="34"/>
      <c r="Q93" s="34"/>
      <c r="R93" s="34"/>
      <c r="S93" s="34"/>
      <c r="T93" s="34"/>
      <c r="U93" s="34"/>
    </row>
    <row r="94" spans="3:22" ht="14.1" customHeight="1">
      <c r="C94" s="69" t="s">
        <v>418</v>
      </c>
      <c r="D94" s="551" t="s">
        <v>196</v>
      </c>
      <c r="E94" s="631">
        <v>703714</v>
      </c>
      <c r="F94" s="618" t="s">
        <v>150</v>
      </c>
      <c r="G94" s="568" t="s">
        <v>150</v>
      </c>
      <c r="H94" s="618" t="s">
        <v>150</v>
      </c>
      <c r="I94" s="617"/>
      <c r="J94" s="618" t="s">
        <v>191</v>
      </c>
      <c r="K94" s="618"/>
      <c r="L94" s="618"/>
      <c r="O94" s="89"/>
    </row>
    <row r="95" spans="3:22" ht="14.1" customHeight="1">
      <c r="C95" s="87" t="s">
        <v>419</v>
      </c>
      <c r="D95" s="189" t="s">
        <v>198</v>
      </c>
      <c r="E95" s="615">
        <v>655089</v>
      </c>
      <c r="F95" s="624"/>
      <c r="G95" s="618" t="s">
        <v>192</v>
      </c>
      <c r="H95" s="618" t="s">
        <v>192</v>
      </c>
      <c r="I95" s="618" t="s">
        <v>192</v>
      </c>
      <c r="J95" s="617"/>
      <c r="K95" s="622"/>
      <c r="L95" s="622"/>
      <c r="O95" s="34"/>
      <c r="P95" s="34"/>
      <c r="Q95" s="34"/>
      <c r="R95" s="34"/>
      <c r="S95" s="34"/>
    </row>
    <row r="96" spans="3:22" ht="14.1" customHeight="1">
      <c r="C96" s="69" t="s">
        <v>420</v>
      </c>
      <c r="D96" s="190" t="s">
        <v>199</v>
      </c>
      <c r="E96" s="615">
        <v>649364</v>
      </c>
      <c r="F96" s="618"/>
      <c r="G96" s="618" t="s">
        <v>191</v>
      </c>
      <c r="H96" s="618"/>
      <c r="I96" s="620"/>
      <c r="J96" s="618" t="s">
        <v>149</v>
      </c>
      <c r="K96" s="618"/>
      <c r="L96" s="618" t="s">
        <v>149</v>
      </c>
      <c r="O96" s="89"/>
    </row>
    <row r="97" spans="3:15" ht="14.1" customHeight="1">
      <c r="C97" s="543" t="s">
        <v>421</v>
      </c>
      <c r="D97" s="191" t="s">
        <v>200</v>
      </c>
      <c r="E97" s="615">
        <v>700872</v>
      </c>
      <c r="F97" s="618" t="s">
        <v>149</v>
      </c>
      <c r="G97" s="618" t="s">
        <v>149</v>
      </c>
      <c r="H97" s="622"/>
      <c r="I97" s="617"/>
      <c r="J97" s="618"/>
      <c r="K97" s="624" t="s">
        <v>163</v>
      </c>
      <c r="L97" s="618" t="s">
        <v>191</v>
      </c>
      <c r="O97" s="89"/>
    </row>
    <row r="98" spans="3:15" ht="14.1" customHeight="1">
      <c r="C98" s="543" t="s">
        <v>422</v>
      </c>
      <c r="D98" s="552" t="s">
        <v>202</v>
      </c>
      <c r="E98" s="631">
        <v>703861</v>
      </c>
      <c r="F98" s="618"/>
      <c r="G98" s="618"/>
      <c r="H98" s="618"/>
      <c r="I98" s="618" t="s">
        <v>192</v>
      </c>
      <c r="J98" s="618" t="s">
        <v>192</v>
      </c>
      <c r="K98" s="618" t="s">
        <v>192</v>
      </c>
      <c r="L98" s="618" t="s">
        <v>192</v>
      </c>
      <c r="O98" s="89"/>
    </row>
    <row r="99" spans="3:15" ht="14.1" customHeight="1">
      <c r="C99" s="543" t="s">
        <v>423</v>
      </c>
      <c r="D99" s="192" t="s">
        <v>204</v>
      </c>
      <c r="E99" s="615">
        <v>652868</v>
      </c>
      <c r="F99" s="619"/>
      <c r="G99" s="668" t="s">
        <v>504</v>
      </c>
      <c r="H99" s="619"/>
      <c r="I99" s="619"/>
      <c r="J99" s="619"/>
      <c r="K99" s="618" t="s">
        <v>150</v>
      </c>
      <c r="L99" s="619"/>
      <c r="O99" s="89"/>
    </row>
    <row r="100" spans="3:15" ht="14.1" customHeight="1">
      <c r="C100" s="543" t="s">
        <v>424</v>
      </c>
      <c r="D100" s="189" t="s">
        <v>205</v>
      </c>
      <c r="E100" s="615">
        <v>652998</v>
      </c>
      <c r="F100" s="668" t="s">
        <v>504</v>
      </c>
      <c r="G100" s="668" t="s">
        <v>504</v>
      </c>
      <c r="H100" s="618"/>
      <c r="I100" s="668" t="s">
        <v>504</v>
      </c>
      <c r="J100" s="668" t="s">
        <v>504</v>
      </c>
      <c r="K100" s="619"/>
      <c r="L100" s="618" t="s">
        <v>149</v>
      </c>
      <c r="O100" s="89"/>
    </row>
    <row r="101" spans="3:15" ht="14.1" customHeight="1">
      <c r="C101" s="543" t="s">
        <v>425</v>
      </c>
      <c r="D101" s="193" t="s">
        <v>206</v>
      </c>
      <c r="E101" s="631">
        <v>654959</v>
      </c>
      <c r="F101" s="568" t="s">
        <v>149</v>
      </c>
      <c r="G101" s="618" t="s">
        <v>150</v>
      </c>
      <c r="H101" s="618"/>
      <c r="I101" s="618" t="s">
        <v>191</v>
      </c>
      <c r="J101" s="618" t="s">
        <v>150</v>
      </c>
      <c r="K101" s="617"/>
      <c r="L101" s="617"/>
      <c r="O101" s="89"/>
    </row>
    <row r="102" spans="3:15" ht="14.1" customHeight="1">
      <c r="C102" s="85" t="s">
        <v>426</v>
      </c>
      <c r="D102" s="551" t="s">
        <v>207</v>
      </c>
      <c r="E102" s="615">
        <v>654981</v>
      </c>
      <c r="F102" s="618"/>
      <c r="G102" s="617"/>
      <c r="H102" s="618"/>
      <c r="I102" s="617"/>
      <c r="J102" s="618" t="s">
        <v>192</v>
      </c>
      <c r="K102" s="618" t="s">
        <v>192</v>
      </c>
      <c r="L102" s="618" t="s">
        <v>192</v>
      </c>
      <c r="O102" s="89"/>
    </row>
    <row r="103" spans="3:15" ht="14.1" customHeight="1">
      <c r="C103" s="85" t="s">
        <v>427</v>
      </c>
      <c r="D103" s="553" t="s">
        <v>208</v>
      </c>
      <c r="E103" s="615">
        <v>703795</v>
      </c>
      <c r="F103" s="618" t="s">
        <v>192</v>
      </c>
      <c r="G103" s="618" t="s">
        <v>192</v>
      </c>
      <c r="H103" s="618" t="s">
        <v>192</v>
      </c>
      <c r="I103" s="617"/>
      <c r="J103" s="618"/>
      <c r="K103" s="618"/>
      <c r="L103" s="618"/>
      <c r="O103" s="89"/>
    </row>
    <row r="104" spans="3:15" ht="14.1" customHeight="1">
      <c r="C104" s="730" t="s">
        <v>428</v>
      </c>
      <c r="D104" s="551" t="s">
        <v>209</v>
      </c>
      <c r="E104" s="615">
        <v>652364</v>
      </c>
      <c r="F104" s="618" t="s">
        <v>149</v>
      </c>
      <c r="G104" s="620"/>
      <c r="H104" s="618" t="s">
        <v>150</v>
      </c>
      <c r="I104" s="617"/>
      <c r="J104" s="618"/>
      <c r="K104" s="618" t="s">
        <v>188</v>
      </c>
      <c r="L104" s="618" t="s">
        <v>150</v>
      </c>
      <c r="O104" s="89"/>
    </row>
    <row r="105" spans="3:15" ht="14.1" customHeight="1">
      <c r="C105" s="543" t="s">
        <v>429</v>
      </c>
      <c r="D105" s="551" t="s">
        <v>210</v>
      </c>
      <c r="E105" s="615">
        <v>644433</v>
      </c>
      <c r="F105" s="618" t="s">
        <v>192</v>
      </c>
      <c r="G105" s="618" t="s">
        <v>192</v>
      </c>
      <c r="H105" s="617"/>
      <c r="I105" s="617"/>
      <c r="J105" s="617"/>
      <c r="K105" s="617"/>
      <c r="L105" s="617"/>
      <c r="O105" s="89"/>
    </row>
    <row r="106" spans="3:15" ht="14.1" customHeight="1">
      <c r="C106" s="87" t="s">
        <v>430</v>
      </c>
      <c r="D106" s="551" t="s">
        <v>211</v>
      </c>
      <c r="E106" s="615">
        <v>650602</v>
      </c>
      <c r="F106" s="691" t="s">
        <v>31</v>
      </c>
      <c r="G106" s="691"/>
      <c r="H106" s="691"/>
      <c r="I106" s="691"/>
      <c r="J106" s="691"/>
      <c r="K106" s="691"/>
      <c r="L106" s="691"/>
      <c r="O106" s="89"/>
    </row>
    <row r="107" spans="3:15" ht="14.1" customHeight="1">
      <c r="C107" s="87" t="s">
        <v>431</v>
      </c>
      <c r="D107" s="552" t="s">
        <v>212</v>
      </c>
      <c r="E107" s="631">
        <v>704893</v>
      </c>
      <c r="F107" s="618" t="s">
        <v>192</v>
      </c>
      <c r="G107" s="620"/>
      <c r="H107" s="617"/>
      <c r="I107" s="624" t="s">
        <v>163</v>
      </c>
      <c r="J107" s="618" t="s">
        <v>149</v>
      </c>
      <c r="K107" s="618" t="s">
        <v>191</v>
      </c>
      <c r="L107" s="618" t="s">
        <v>150</v>
      </c>
      <c r="O107" s="89"/>
    </row>
    <row r="108" spans="3:15" ht="14.1" customHeight="1">
      <c r="C108" s="87" t="s">
        <v>432</v>
      </c>
      <c r="D108" s="194" t="s">
        <v>214</v>
      </c>
      <c r="E108" s="615">
        <v>636733</v>
      </c>
      <c r="F108" s="620"/>
      <c r="G108" s="620"/>
      <c r="H108" s="617"/>
      <c r="I108" s="618"/>
      <c r="J108" s="618"/>
      <c r="K108" s="618" t="s">
        <v>149</v>
      </c>
      <c r="L108" s="624" t="s">
        <v>163</v>
      </c>
      <c r="O108" s="89"/>
    </row>
    <row r="109" spans="3:15" ht="14.1" customHeight="1">
      <c r="C109" s="69" t="s">
        <v>433</v>
      </c>
      <c r="D109" s="195" t="s">
        <v>216</v>
      </c>
      <c r="E109" s="200">
        <v>637770</v>
      </c>
      <c r="F109" s="254" t="s">
        <v>553</v>
      </c>
      <c r="G109" s="254"/>
      <c r="H109" s="254"/>
      <c r="I109" s="254"/>
      <c r="J109" s="254"/>
      <c r="K109" s="254"/>
      <c r="L109" s="254"/>
      <c r="O109" s="89"/>
    </row>
    <row r="110" spans="3:15" ht="14.1" customHeight="1">
      <c r="C110" s="543"/>
      <c r="D110" s="554"/>
      <c r="E110" s="625"/>
      <c r="F110" s="617"/>
      <c r="G110" s="617"/>
      <c r="H110" s="617"/>
      <c r="I110" s="617"/>
      <c r="J110" s="617"/>
      <c r="K110" s="617"/>
      <c r="L110" s="617"/>
      <c r="O110" s="89"/>
    </row>
    <row r="111" spans="3:15" ht="14.1" customHeight="1" thickBot="1">
      <c r="C111" s="543"/>
      <c r="D111" s="554"/>
      <c r="E111" s="166"/>
      <c r="F111" s="760" t="s">
        <v>218</v>
      </c>
      <c r="G111" s="761"/>
      <c r="H111" s="761"/>
      <c r="I111" s="761"/>
      <c r="J111" s="761"/>
      <c r="K111" s="761"/>
      <c r="L111" s="762"/>
      <c r="O111" s="89"/>
    </row>
    <row r="112" spans="3:15" ht="14.1" customHeight="1">
      <c r="C112" s="555" t="s">
        <v>434</v>
      </c>
      <c r="D112" s="167" t="s">
        <v>219</v>
      </c>
      <c r="E112" s="114"/>
      <c r="F112" s="71">
        <f t="shared" ref="F112:L112" si="20">F4</f>
        <v>46139</v>
      </c>
      <c r="G112" s="71">
        <f t="shared" si="20"/>
        <v>46140</v>
      </c>
      <c r="H112" s="71">
        <f t="shared" si="20"/>
        <v>46141</v>
      </c>
      <c r="I112" s="71">
        <f t="shared" si="20"/>
        <v>46142</v>
      </c>
      <c r="J112" s="71">
        <f t="shared" si="20"/>
        <v>46143</v>
      </c>
      <c r="K112" s="71">
        <f t="shared" si="20"/>
        <v>46144</v>
      </c>
      <c r="L112" s="71">
        <f t="shared" si="20"/>
        <v>46145</v>
      </c>
      <c r="O112" s="89"/>
    </row>
    <row r="113" spans="3:15" ht="14.1" customHeight="1">
      <c r="C113" s="556" t="s">
        <v>435</v>
      </c>
      <c r="D113" s="557" t="s">
        <v>220</v>
      </c>
      <c r="E113" s="633">
        <v>654686</v>
      </c>
      <c r="F113" s="222" t="s">
        <v>31</v>
      </c>
      <c r="G113" s="222"/>
      <c r="H113" s="222"/>
      <c r="I113" s="222"/>
      <c r="J113" s="222"/>
      <c r="K113" s="222"/>
      <c r="L113" s="222"/>
      <c r="O113" s="89"/>
    </row>
    <row r="114" spans="3:15" ht="14.1" customHeight="1">
      <c r="C114" s="556" t="s">
        <v>436</v>
      </c>
      <c r="D114" s="557" t="s">
        <v>227</v>
      </c>
      <c r="E114" s="633">
        <v>700581</v>
      </c>
      <c r="F114" s="635"/>
      <c r="G114" s="635"/>
      <c r="H114" s="635"/>
      <c r="I114" s="635"/>
      <c r="J114" s="635"/>
      <c r="K114" s="635"/>
      <c r="L114" s="635"/>
      <c r="O114" s="89"/>
    </row>
    <row r="115" spans="3:15" ht="14.1" customHeight="1">
      <c r="C115" s="88" t="s">
        <v>437</v>
      </c>
      <c r="D115" s="713" t="s">
        <v>228</v>
      </c>
      <c r="E115" s="671">
        <v>700540</v>
      </c>
      <c r="F115" s="566"/>
      <c r="G115" s="566"/>
      <c r="H115" s="566" t="s">
        <v>229</v>
      </c>
      <c r="I115" s="566"/>
      <c r="J115" s="566" t="s">
        <v>224</v>
      </c>
      <c r="K115" s="566" t="s">
        <v>150</v>
      </c>
      <c r="L115" s="566" t="s">
        <v>150</v>
      </c>
      <c r="O115" s="89"/>
    </row>
    <row r="116" spans="3:15" ht="14.1" customHeight="1">
      <c r="C116" s="556" t="s">
        <v>438</v>
      </c>
      <c r="D116" s="557" t="s">
        <v>230</v>
      </c>
      <c r="E116" s="633">
        <v>646665</v>
      </c>
      <c r="F116" s="565" t="s">
        <v>224</v>
      </c>
      <c r="G116" s="565"/>
      <c r="H116" s="565" t="s">
        <v>149</v>
      </c>
      <c r="I116" s="565" t="s">
        <v>149</v>
      </c>
      <c r="J116" s="565"/>
      <c r="K116" s="565" t="s">
        <v>222</v>
      </c>
      <c r="L116" s="565" t="s">
        <v>222</v>
      </c>
      <c r="O116" s="89"/>
    </row>
    <row r="117" spans="3:15" ht="14.1" customHeight="1">
      <c r="C117" s="556" t="s">
        <v>439</v>
      </c>
      <c r="D117" s="557" t="s">
        <v>231</v>
      </c>
      <c r="E117" s="633">
        <v>654598</v>
      </c>
      <c r="F117" s="565" t="s">
        <v>229</v>
      </c>
      <c r="G117" s="565" t="s">
        <v>224</v>
      </c>
      <c r="H117" s="565" t="s">
        <v>149</v>
      </c>
      <c r="I117" s="565"/>
      <c r="J117" s="565"/>
      <c r="K117" s="565"/>
      <c r="L117" s="565"/>
      <c r="O117" s="89"/>
    </row>
    <row r="118" spans="3:15" ht="14.1" customHeight="1">
      <c r="C118" s="556" t="s">
        <v>440</v>
      </c>
      <c r="D118" s="557" t="s">
        <v>232</v>
      </c>
      <c r="E118" s="633">
        <v>700591</v>
      </c>
      <c r="F118" s="565" t="s">
        <v>226</v>
      </c>
      <c r="G118" s="565" t="s">
        <v>150</v>
      </c>
      <c r="H118" s="565" t="s">
        <v>150</v>
      </c>
      <c r="I118" s="565"/>
      <c r="J118" s="565" t="s">
        <v>149</v>
      </c>
      <c r="K118" s="565"/>
      <c r="L118" s="565"/>
      <c r="O118" s="89"/>
    </row>
    <row r="119" spans="3:15" ht="14.1" customHeight="1">
      <c r="C119" s="556" t="s">
        <v>441</v>
      </c>
      <c r="D119" s="557" t="s">
        <v>233</v>
      </c>
      <c r="E119" s="633">
        <v>700648</v>
      </c>
      <c r="F119" s="635"/>
      <c r="G119" s="635"/>
      <c r="H119" s="635"/>
      <c r="I119" s="635"/>
      <c r="J119" s="635"/>
      <c r="K119" s="635"/>
      <c r="L119" s="635"/>
      <c r="O119" s="89"/>
    </row>
    <row r="120" spans="3:15" ht="14.1" customHeight="1">
      <c r="C120" s="556" t="s">
        <v>443</v>
      </c>
      <c r="D120" s="557" t="s">
        <v>234</v>
      </c>
      <c r="E120" s="633">
        <v>700653</v>
      </c>
      <c r="F120" s="565" t="s">
        <v>149</v>
      </c>
      <c r="G120" s="565" t="s">
        <v>222</v>
      </c>
      <c r="H120" s="565" t="s">
        <v>223</v>
      </c>
      <c r="I120" s="565"/>
      <c r="J120" s="565"/>
      <c r="K120" s="565" t="s">
        <v>150</v>
      </c>
      <c r="L120" s="565"/>
      <c r="O120" s="89"/>
    </row>
    <row r="121" spans="3:15" ht="14.1" customHeight="1">
      <c r="C121" s="556" t="s">
        <v>444</v>
      </c>
      <c r="D121" s="557" t="s">
        <v>235</v>
      </c>
      <c r="E121" s="633">
        <v>700604</v>
      </c>
      <c r="F121" s="565"/>
      <c r="G121" s="565" t="s">
        <v>149</v>
      </c>
      <c r="H121" s="565"/>
      <c r="I121" s="565" t="s">
        <v>224</v>
      </c>
      <c r="J121" s="565" t="s">
        <v>150</v>
      </c>
      <c r="K121" s="565"/>
      <c r="L121" s="565" t="s">
        <v>150</v>
      </c>
      <c r="O121" s="89"/>
    </row>
    <row r="122" spans="3:15" ht="14.1" customHeight="1">
      <c r="C122" s="556" t="s">
        <v>445</v>
      </c>
      <c r="D122" s="557" t="s">
        <v>236</v>
      </c>
      <c r="E122" s="633">
        <v>655170</v>
      </c>
      <c r="F122" s="565" t="s">
        <v>150</v>
      </c>
      <c r="G122" s="565"/>
      <c r="H122" s="565"/>
      <c r="I122" s="565" t="s">
        <v>225</v>
      </c>
      <c r="J122" s="565"/>
      <c r="K122" s="565" t="s">
        <v>224</v>
      </c>
      <c r="L122" s="565" t="s">
        <v>225</v>
      </c>
      <c r="O122" s="89"/>
    </row>
    <row r="123" spans="3:15" ht="14.1" customHeight="1">
      <c r="C123" s="556" t="s">
        <v>446</v>
      </c>
      <c r="D123" s="557" t="s">
        <v>237</v>
      </c>
      <c r="E123" s="633">
        <v>703000</v>
      </c>
      <c r="F123" s="648" t="s">
        <v>201</v>
      </c>
      <c r="G123" s="648"/>
      <c r="H123" s="648"/>
      <c r="I123" s="648"/>
      <c r="J123" s="648"/>
      <c r="K123" s="648"/>
      <c r="L123" s="648"/>
      <c r="O123" s="89"/>
    </row>
    <row r="124" spans="3:15" ht="14.1" customHeight="1">
      <c r="C124" s="556" t="s">
        <v>447</v>
      </c>
      <c r="D124" s="557" t="s">
        <v>238</v>
      </c>
      <c r="E124" s="633">
        <v>702770</v>
      </c>
      <c r="F124" s="565" t="s">
        <v>149</v>
      </c>
      <c r="G124" s="565" t="s">
        <v>223</v>
      </c>
      <c r="H124" s="565" t="s">
        <v>222</v>
      </c>
      <c r="I124" s="565" t="s">
        <v>221</v>
      </c>
      <c r="J124" s="565"/>
      <c r="K124" s="565"/>
      <c r="L124" s="565" t="s">
        <v>150</v>
      </c>
      <c r="O124" s="89"/>
    </row>
    <row r="125" spans="3:15" ht="14.1" customHeight="1">
      <c r="C125" s="556" t="s">
        <v>448</v>
      </c>
      <c r="D125" s="557" t="s">
        <v>239</v>
      </c>
      <c r="E125" s="633">
        <v>704108</v>
      </c>
      <c r="F125" s="565"/>
      <c r="G125" s="565" t="s">
        <v>149</v>
      </c>
      <c r="H125" s="565" t="s">
        <v>226</v>
      </c>
      <c r="I125" s="565" t="s">
        <v>222</v>
      </c>
      <c r="J125" s="565" t="s">
        <v>221</v>
      </c>
      <c r="K125" s="565"/>
      <c r="L125" s="565"/>
      <c r="O125" s="89"/>
    </row>
    <row r="126" spans="3:15" ht="14.1" customHeight="1">
      <c r="C126" s="556" t="s">
        <v>449</v>
      </c>
      <c r="D126" s="557" t="s">
        <v>240</v>
      </c>
      <c r="E126" s="633">
        <v>700734</v>
      </c>
      <c r="F126" s="565"/>
      <c r="G126" s="565" t="s">
        <v>150</v>
      </c>
      <c r="H126" s="565"/>
      <c r="I126" s="565" t="s">
        <v>149</v>
      </c>
      <c r="J126" s="565"/>
      <c r="K126" s="565" t="s">
        <v>149</v>
      </c>
      <c r="L126" s="565" t="s">
        <v>149</v>
      </c>
      <c r="O126" s="89"/>
    </row>
    <row r="127" spans="3:15" ht="14.1" customHeight="1">
      <c r="C127" s="556" t="s">
        <v>450</v>
      </c>
      <c r="D127" s="557" t="s">
        <v>241</v>
      </c>
      <c r="E127" s="633">
        <v>702035</v>
      </c>
      <c r="F127" s="565"/>
      <c r="G127" s="565" t="s">
        <v>226</v>
      </c>
      <c r="H127" s="565" t="s">
        <v>221</v>
      </c>
      <c r="I127" s="565" t="s">
        <v>222</v>
      </c>
      <c r="J127" s="565"/>
      <c r="K127" s="565"/>
      <c r="L127" s="565" t="s">
        <v>226</v>
      </c>
      <c r="O127" s="89"/>
    </row>
    <row r="128" spans="3:15" ht="14.1" customHeight="1">
      <c r="C128" s="556" t="s">
        <v>451</v>
      </c>
      <c r="D128" s="557" t="s">
        <v>242</v>
      </c>
      <c r="E128" s="633">
        <v>702779</v>
      </c>
      <c r="F128" s="635"/>
      <c r="G128" s="635"/>
      <c r="H128" s="635"/>
      <c r="I128" s="635"/>
      <c r="J128" s="635"/>
      <c r="K128" s="635"/>
      <c r="L128" s="635"/>
      <c r="O128" s="89"/>
    </row>
    <row r="129" spans="3:15" ht="14.1" customHeight="1">
      <c r="C129" s="556" t="s">
        <v>452</v>
      </c>
      <c r="D129" s="557" t="s">
        <v>243</v>
      </c>
      <c r="E129" s="633">
        <v>641339</v>
      </c>
      <c r="F129" s="565"/>
      <c r="G129" s="565"/>
      <c r="H129" s="565" t="s">
        <v>224</v>
      </c>
      <c r="I129" s="565"/>
      <c r="J129" s="565" t="s">
        <v>225</v>
      </c>
      <c r="K129" s="565" t="s">
        <v>149</v>
      </c>
      <c r="L129" s="565" t="s">
        <v>149</v>
      </c>
      <c r="O129" s="89"/>
    </row>
    <row r="130" spans="3:15" ht="14.1" customHeight="1">
      <c r="C130" s="556" t="s">
        <v>453</v>
      </c>
      <c r="D130" s="557" t="s">
        <v>244</v>
      </c>
      <c r="E130" s="633">
        <v>703783</v>
      </c>
      <c r="F130" s="635"/>
      <c r="G130" s="635"/>
      <c r="H130" s="635"/>
      <c r="I130" s="635"/>
      <c r="J130" s="635"/>
      <c r="K130" s="635"/>
      <c r="L130" s="635"/>
      <c r="O130" s="89"/>
    </row>
    <row r="131" spans="3:15" ht="14.1" customHeight="1">
      <c r="C131" s="556" t="s">
        <v>454</v>
      </c>
      <c r="D131" s="557" t="s">
        <v>245</v>
      </c>
      <c r="E131" s="625">
        <v>702087</v>
      </c>
      <c r="F131" s="565"/>
      <c r="G131" s="565"/>
      <c r="H131" s="565" t="s">
        <v>150</v>
      </c>
      <c r="I131" s="565"/>
      <c r="J131" s="565" t="s">
        <v>226</v>
      </c>
      <c r="K131" s="565"/>
      <c r="L131" s="565"/>
      <c r="O131" s="89"/>
    </row>
    <row r="132" spans="3:15" ht="14.1" customHeight="1">
      <c r="C132" s="556" t="s">
        <v>455</v>
      </c>
      <c r="D132" s="558" t="s">
        <v>246</v>
      </c>
      <c r="E132" s="625">
        <v>705039</v>
      </c>
      <c r="F132" s="565"/>
      <c r="G132" s="565"/>
      <c r="H132" s="565" t="s">
        <v>150</v>
      </c>
      <c r="I132" s="565"/>
      <c r="J132" s="565" t="s">
        <v>222</v>
      </c>
      <c r="K132" s="565" t="s">
        <v>222</v>
      </c>
      <c r="L132" s="565" t="s">
        <v>221</v>
      </c>
      <c r="O132" s="89"/>
    </row>
    <row r="133" spans="3:15" ht="14.1" customHeight="1">
      <c r="C133" s="556" t="s">
        <v>456</v>
      </c>
      <c r="D133" s="557" t="s">
        <v>247</v>
      </c>
      <c r="E133" s="625">
        <v>703186</v>
      </c>
      <c r="F133" s="565"/>
      <c r="G133" s="565"/>
      <c r="H133" s="565"/>
      <c r="I133" s="565" t="s">
        <v>150</v>
      </c>
      <c r="J133" s="565" t="s">
        <v>222</v>
      </c>
      <c r="K133" s="565" t="s">
        <v>221</v>
      </c>
      <c r="L133" s="565" t="s">
        <v>223</v>
      </c>
      <c r="O133" s="89"/>
    </row>
    <row r="134" spans="3:15" ht="14.1" customHeight="1">
      <c r="C134" s="556" t="s">
        <v>458</v>
      </c>
      <c r="D134" s="557" t="s">
        <v>248</v>
      </c>
      <c r="E134" s="625">
        <v>703168</v>
      </c>
      <c r="F134" s="565"/>
      <c r="G134" s="565" t="s">
        <v>225</v>
      </c>
      <c r="H134" s="565"/>
      <c r="I134" s="565"/>
      <c r="J134" s="565" t="s">
        <v>223</v>
      </c>
      <c r="K134" s="565" t="s">
        <v>222</v>
      </c>
      <c r="L134" s="565" t="s">
        <v>222</v>
      </c>
      <c r="O134" s="89"/>
    </row>
    <row r="135" spans="3:15" ht="14.1" customHeight="1">
      <c r="C135" s="556" t="s">
        <v>459</v>
      </c>
      <c r="D135" s="557" t="s">
        <v>249</v>
      </c>
      <c r="E135" s="625">
        <v>703270</v>
      </c>
      <c r="F135" s="565" t="s">
        <v>150</v>
      </c>
      <c r="G135" s="565" t="s">
        <v>150</v>
      </c>
      <c r="H135" s="565"/>
      <c r="I135" s="565"/>
      <c r="J135" s="565"/>
      <c r="K135" s="565" t="s">
        <v>223</v>
      </c>
      <c r="L135" s="565" t="s">
        <v>222</v>
      </c>
      <c r="O135" s="89"/>
    </row>
    <row r="136" spans="3:15" ht="14.1" customHeight="1">
      <c r="C136" s="556" t="s">
        <v>460</v>
      </c>
      <c r="D136" s="558" t="s">
        <v>251</v>
      </c>
      <c r="E136" s="625">
        <v>702481</v>
      </c>
      <c r="F136" s="565"/>
      <c r="G136" s="565" t="s">
        <v>229</v>
      </c>
      <c r="H136" s="565" t="s">
        <v>225</v>
      </c>
      <c r="I136" s="565" t="s">
        <v>226</v>
      </c>
      <c r="J136" s="565" t="s">
        <v>150</v>
      </c>
      <c r="K136" s="565"/>
      <c r="L136" s="565"/>
      <c r="O136" s="89"/>
    </row>
    <row r="137" spans="3:15" ht="14.1" customHeight="1">
      <c r="C137" s="556" t="s">
        <v>461</v>
      </c>
      <c r="D137" s="558" t="s">
        <v>252</v>
      </c>
      <c r="E137" s="625">
        <v>700682</v>
      </c>
      <c r="F137" s="565" t="s">
        <v>223</v>
      </c>
      <c r="G137" s="565"/>
      <c r="H137" s="565"/>
      <c r="I137" s="565" t="s">
        <v>150</v>
      </c>
      <c r="J137" s="565"/>
      <c r="K137" s="565" t="s">
        <v>225</v>
      </c>
      <c r="L137" s="565" t="s">
        <v>224</v>
      </c>
      <c r="O137" s="89"/>
    </row>
    <row r="138" spans="3:15" ht="14.1" customHeight="1">
      <c r="C138" s="556" t="s">
        <v>462</v>
      </c>
      <c r="D138" s="558" t="s">
        <v>253</v>
      </c>
      <c r="E138" s="625">
        <v>700721</v>
      </c>
      <c r="F138" s="634"/>
      <c r="G138" s="634"/>
      <c r="H138" s="634"/>
      <c r="I138" s="634"/>
      <c r="J138" s="634"/>
      <c r="K138" s="634"/>
      <c r="L138" s="634"/>
      <c r="O138" s="89"/>
    </row>
    <row r="139" spans="3:15" ht="14.1" customHeight="1">
      <c r="C139" s="556" t="s">
        <v>463</v>
      </c>
      <c r="D139" s="558" t="s">
        <v>254</v>
      </c>
      <c r="E139" s="625">
        <v>703820</v>
      </c>
      <c r="F139" s="565" t="s">
        <v>222</v>
      </c>
      <c r="G139" s="565"/>
      <c r="H139" s="565"/>
      <c r="I139" s="565" t="s">
        <v>150</v>
      </c>
      <c r="J139" s="565"/>
      <c r="K139" s="565" t="s">
        <v>150</v>
      </c>
      <c r="L139" s="565" t="s">
        <v>150</v>
      </c>
      <c r="O139" s="89"/>
    </row>
    <row r="140" spans="3:15" ht="14.1" customHeight="1">
      <c r="C140" s="714" t="s">
        <v>464</v>
      </c>
      <c r="D140" s="715" t="s">
        <v>255</v>
      </c>
      <c r="E140" s="716">
        <v>703788</v>
      </c>
      <c r="F140" s="634"/>
      <c r="G140" s="634"/>
      <c r="H140" s="634"/>
      <c r="I140" s="634"/>
      <c r="J140" s="634"/>
      <c r="K140" s="634"/>
      <c r="L140" s="634"/>
      <c r="O140" s="89"/>
    </row>
    <row r="141" spans="3:15" ht="14.1" customHeight="1">
      <c r="C141" s="556" t="s">
        <v>465</v>
      </c>
      <c r="D141" s="558" t="s">
        <v>256</v>
      </c>
      <c r="E141" s="625">
        <v>700646</v>
      </c>
      <c r="F141" s="634"/>
      <c r="G141" s="634"/>
      <c r="H141" s="634"/>
      <c r="I141" s="634"/>
      <c r="J141" s="634"/>
      <c r="K141" s="634"/>
      <c r="L141" s="634"/>
      <c r="O141" s="89"/>
    </row>
    <row r="142" spans="3:15" ht="14.1" customHeight="1">
      <c r="C142" s="556" t="s">
        <v>466</v>
      </c>
      <c r="D142" s="558" t="s">
        <v>257</v>
      </c>
      <c r="E142" s="633">
        <v>655539</v>
      </c>
      <c r="F142" s="634"/>
      <c r="G142" s="634"/>
      <c r="H142" s="634"/>
      <c r="I142" s="634"/>
      <c r="J142" s="634"/>
      <c r="K142" s="634"/>
      <c r="L142" s="634"/>
      <c r="O142" s="89"/>
    </row>
    <row r="143" spans="3:15" ht="14.1" customHeight="1">
      <c r="C143" s="556" t="s">
        <v>467</v>
      </c>
      <c r="D143" s="559" t="s">
        <v>258</v>
      </c>
      <c r="E143" s="633">
        <v>653933</v>
      </c>
      <c r="F143" s="565" t="s">
        <v>221</v>
      </c>
      <c r="G143" s="565" t="s">
        <v>222</v>
      </c>
      <c r="H143" s="565"/>
      <c r="I143" s="565"/>
      <c r="J143" s="565" t="s">
        <v>150</v>
      </c>
      <c r="K143" s="565" t="s">
        <v>226</v>
      </c>
      <c r="L143" s="565"/>
      <c r="O143" s="89"/>
    </row>
    <row r="144" spans="3:15" ht="14.1" customHeight="1">
      <c r="C144" s="556" t="s">
        <v>464</v>
      </c>
      <c r="D144" s="558" t="s">
        <v>255</v>
      </c>
      <c r="E144" s="625">
        <v>703788</v>
      </c>
      <c r="F144" s="565" t="s">
        <v>222</v>
      </c>
      <c r="G144" s="565"/>
      <c r="H144" s="565"/>
      <c r="I144" s="565" t="s">
        <v>150</v>
      </c>
      <c r="J144" s="565" t="s">
        <v>150</v>
      </c>
      <c r="K144" s="565" t="s">
        <v>150</v>
      </c>
      <c r="L144" s="565"/>
      <c r="O144" s="89"/>
    </row>
    <row r="145" spans="3:15" ht="14.1" customHeight="1">
      <c r="C145" s="556" t="s">
        <v>607</v>
      </c>
      <c r="D145" s="287" t="s">
        <v>608</v>
      </c>
      <c r="E145" s="306">
        <v>654995</v>
      </c>
      <c r="F145" s="303" t="s">
        <v>150</v>
      </c>
      <c r="G145" s="303" t="s">
        <v>150</v>
      </c>
      <c r="H145" s="303" t="s">
        <v>150</v>
      </c>
      <c r="I145" s="303"/>
      <c r="J145" s="303" t="s">
        <v>149</v>
      </c>
      <c r="K145" s="565"/>
      <c r="L145" s="565"/>
      <c r="O145" s="89"/>
    </row>
    <row r="146" spans="3:15" ht="14.1" customHeight="1">
      <c r="C146" s="556" t="s">
        <v>609</v>
      </c>
      <c r="D146" s="557" t="s">
        <v>610</v>
      </c>
      <c r="E146" s="633">
        <v>653206</v>
      </c>
      <c r="F146" s="565" t="s">
        <v>150</v>
      </c>
      <c r="G146" s="565" t="s">
        <v>221</v>
      </c>
      <c r="H146" s="565" t="s">
        <v>222</v>
      </c>
      <c r="I146" s="565" t="s">
        <v>223</v>
      </c>
      <c r="J146" s="565"/>
      <c r="K146" s="565"/>
      <c r="L146" s="565"/>
      <c r="O146" s="89"/>
    </row>
    <row r="147" spans="3:15" ht="14.1" customHeight="1">
      <c r="C147" s="556"/>
      <c r="D147" s="286"/>
      <c r="E147" s="304"/>
      <c r="G147" s="566"/>
      <c r="H147" s="566"/>
      <c r="I147" s="566"/>
      <c r="J147" s="566"/>
      <c r="K147" s="566"/>
      <c r="L147" s="566"/>
      <c r="O147" s="89"/>
    </row>
    <row r="148" spans="3:15" ht="14.1" customHeight="1">
      <c r="C148" s="560" t="s">
        <v>472</v>
      </c>
      <c r="D148" s="462" t="s">
        <v>260</v>
      </c>
      <c r="E148" s="463"/>
      <c r="F148" s="210"/>
      <c r="G148" s="578"/>
      <c r="H148" s="578"/>
      <c r="I148" s="578"/>
      <c r="J148" s="578"/>
      <c r="K148" s="578"/>
      <c r="L148" s="578"/>
      <c r="O148" s="89"/>
    </row>
    <row r="149" spans="3:15" ht="14.1" customHeight="1">
      <c r="C149" s="561" t="s">
        <v>554</v>
      </c>
      <c r="D149" s="694" t="s">
        <v>555</v>
      </c>
      <c r="E149" s="695">
        <v>703323</v>
      </c>
      <c r="F149" s="271" t="s">
        <v>561</v>
      </c>
      <c r="G149" s="261" t="s">
        <v>561</v>
      </c>
      <c r="H149" s="261" t="s">
        <v>222</v>
      </c>
      <c r="I149" s="261" t="s">
        <v>222</v>
      </c>
      <c r="J149" s="261" t="s">
        <v>222</v>
      </c>
      <c r="K149" s="261" t="s">
        <v>222</v>
      </c>
      <c r="L149" s="262" t="s">
        <v>561</v>
      </c>
      <c r="O149" s="89"/>
    </row>
    <row r="150" spans="3:15" ht="14.1" customHeight="1">
      <c r="C150" s="561" t="s">
        <v>556</v>
      </c>
      <c r="D150" s="307" t="s">
        <v>557</v>
      </c>
      <c r="E150" s="308">
        <v>703564</v>
      </c>
      <c r="F150" s="271" t="s">
        <v>150</v>
      </c>
      <c r="G150" s="261" t="s">
        <v>150</v>
      </c>
      <c r="H150" s="261" t="s">
        <v>561</v>
      </c>
      <c r="I150" s="261" t="s">
        <v>150</v>
      </c>
      <c r="J150" s="261" t="s">
        <v>150</v>
      </c>
      <c r="K150" s="261" t="s">
        <v>561</v>
      </c>
      <c r="L150" s="262" t="s">
        <v>561</v>
      </c>
      <c r="O150" s="89"/>
    </row>
    <row r="151" spans="3:15" ht="14.1" customHeight="1">
      <c r="C151" s="561" t="s">
        <v>587</v>
      </c>
      <c r="D151" s="307" t="s">
        <v>559</v>
      </c>
      <c r="E151" s="308">
        <v>703800</v>
      </c>
      <c r="F151" s="271" t="s">
        <v>561</v>
      </c>
      <c r="G151" s="261" t="s">
        <v>150</v>
      </c>
      <c r="H151" s="261" t="s">
        <v>150</v>
      </c>
      <c r="I151" s="261" t="s">
        <v>561</v>
      </c>
      <c r="J151" s="261" t="s">
        <v>561</v>
      </c>
      <c r="K151" s="261" t="s">
        <v>150</v>
      </c>
      <c r="L151" s="262" t="s">
        <v>222</v>
      </c>
      <c r="O151" s="89"/>
    </row>
    <row r="152" spans="3:15" ht="14.1" customHeight="1">
      <c r="C152" s="561" t="s">
        <v>562</v>
      </c>
      <c r="D152" s="307" t="s">
        <v>563</v>
      </c>
      <c r="E152" s="308">
        <v>703321</v>
      </c>
      <c r="F152" s="271" t="s">
        <v>150</v>
      </c>
      <c r="G152" s="261" t="s">
        <v>561</v>
      </c>
      <c r="H152" s="261" t="s">
        <v>561</v>
      </c>
      <c r="I152" s="261" t="s">
        <v>149</v>
      </c>
      <c r="J152" s="261" t="s">
        <v>149</v>
      </c>
      <c r="K152" s="261" t="s">
        <v>149</v>
      </c>
      <c r="L152" s="262" t="s">
        <v>149</v>
      </c>
      <c r="O152" s="89"/>
    </row>
    <row r="153" spans="3:15" ht="14.1" customHeight="1">
      <c r="C153" s="561" t="s">
        <v>565</v>
      </c>
      <c r="D153" s="307" t="s">
        <v>566</v>
      </c>
      <c r="E153" s="308">
        <v>703351</v>
      </c>
      <c r="F153" s="270" t="s">
        <v>263</v>
      </c>
      <c r="G153" s="258" t="s">
        <v>263</v>
      </c>
      <c r="H153" s="258" t="s">
        <v>263</v>
      </c>
      <c r="I153" s="258" t="s">
        <v>263</v>
      </c>
      <c r="J153" s="258" t="s">
        <v>263</v>
      </c>
      <c r="K153" s="258" t="s">
        <v>263</v>
      </c>
      <c r="L153" s="259" t="s">
        <v>263</v>
      </c>
      <c r="O153" s="89"/>
    </row>
    <row r="154" spans="3:15" ht="14.1" customHeight="1">
      <c r="C154" s="561" t="s">
        <v>568</v>
      </c>
      <c r="D154" s="307" t="s">
        <v>569</v>
      </c>
      <c r="E154" s="308">
        <v>703574</v>
      </c>
      <c r="F154" s="270" t="s">
        <v>263</v>
      </c>
      <c r="G154" s="258" t="s">
        <v>263</v>
      </c>
      <c r="H154" s="258" t="s">
        <v>263</v>
      </c>
      <c r="I154" s="258" t="s">
        <v>263</v>
      </c>
      <c r="J154" s="258" t="s">
        <v>263</v>
      </c>
      <c r="K154" s="258" t="s">
        <v>263</v>
      </c>
      <c r="L154" s="259" t="s">
        <v>263</v>
      </c>
      <c r="O154" s="89"/>
    </row>
    <row r="155" spans="3:15" ht="14.1" customHeight="1">
      <c r="C155" s="561" t="s">
        <v>570</v>
      </c>
      <c r="D155" s="307" t="s">
        <v>571</v>
      </c>
      <c r="E155" s="308">
        <v>703354</v>
      </c>
      <c r="F155" s="271" t="s">
        <v>222</v>
      </c>
      <c r="G155" s="261" t="s">
        <v>222</v>
      </c>
      <c r="H155" s="261" t="s">
        <v>561</v>
      </c>
      <c r="I155" s="261" t="s">
        <v>561</v>
      </c>
      <c r="J155" s="261" t="s">
        <v>561</v>
      </c>
      <c r="K155" s="261" t="s">
        <v>561</v>
      </c>
      <c r="L155" s="262" t="s">
        <v>561</v>
      </c>
      <c r="O155" s="89"/>
    </row>
    <row r="156" spans="3:15" ht="14.1" customHeight="1">
      <c r="C156" s="561" t="s">
        <v>572</v>
      </c>
      <c r="D156" s="307" t="s">
        <v>573</v>
      </c>
      <c r="E156" s="308">
        <v>703547</v>
      </c>
      <c r="F156" s="271" t="s">
        <v>150</v>
      </c>
      <c r="G156" s="261" t="s">
        <v>150</v>
      </c>
      <c r="H156" s="261" t="s">
        <v>150</v>
      </c>
      <c r="I156" s="261" t="s">
        <v>150</v>
      </c>
      <c r="J156" s="261" t="s">
        <v>561</v>
      </c>
      <c r="K156" s="261" t="s">
        <v>561</v>
      </c>
      <c r="L156" s="262" t="s">
        <v>561</v>
      </c>
      <c r="O156" s="89"/>
    </row>
    <row r="157" spans="3:15" ht="14.1" customHeight="1">
      <c r="C157" s="561" t="s">
        <v>575</v>
      </c>
      <c r="D157" s="307" t="s">
        <v>576</v>
      </c>
      <c r="E157" s="308">
        <v>703356</v>
      </c>
      <c r="F157" s="271" t="s">
        <v>149</v>
      </c>
      <c r="G157" s="261" t="s">
        <v>149</v>
      </c>
      <c r="H157" s="261" t="s">
        <v>149</v>
      </c>
      <c r="I157" s="261" t="s">
        <v>561</v>
      </c>
      <c r="J157" s="261" t="s">
        <v>561</v>
      </c>
      <c r="K157" s="261" t="s">
        <v>150</v>
      </c>
      <c r="L157" s="262" t="s">
        <v>150</v>
      </c>
      <c r="O157" s="89"/>
    </row>
    <row r="158" spans="3:15" ht="14.1" customHeight="1">
      <c r="C158" s="561" t="s">
        <v>577</v>
      </c>
      <c r="D158" s="307" t="s">
        <v>578</v>
      </c>
      <c r="E158" s="308">
        <v>703476</v>
      </c>
      <c r="F158" s="272" t="s">
        <v>561</v>
      </c>
      <c r="G158" s="264" t="s">
        <v>561</v>
      </c>
      <c r="H158" s="264" t="s">
        <v>149</v>
      </c>
      <c r="I158" s="264" t="s">
        <v>149</v>
      </c>
      <c r="J158" s="264" t="s">
        <v>149</v>
      </c>
      <c r="K158" s="264" t="s">
        <v>561</v>
      </c>
      <c r="L158" s="265" t="s">
        <v>149</v>
      </c>
      <c r="O158" s="89"/>
    </row>
    <row r="159" spans="3:15" ht="14.1" customHeight="1">
      <c r="C159" s="561"/>
      <c r="D159" s="175"/>
      <c r="E159" s="114"/>
      <c r="F159" s="981" t="s">
        <v>275</v>
      </c>
      <c r="G159" s="982"/>
      <c r="H159" s="982"/>
      <c r="I159" s="982"/>
      <c r="J159" s="982"/>
      <c r="K159" s="982"/>
      <c r="L159" s="983"/>
      <c r="O159" s="89"/>
    </row>
    <row r="160" spans="3:15" ht="14.1" customHeight="1">
      <c r="D160" s="476"/>
      <c r="E160" s="477"/>
      <c r="F160" s="566"/>
      <c r="G160" s="566"/>
      <c r="H160" s="566"/>
      <c r="I160" s="566"/>
      <c r="J160" s="566"/>
      <c r="K160" s="566"/>
      <c r="L160" s="566"/>
      <c r="O160" s="89"/>
    </row>
    <row r="161" spans="3:15" ht="14.1" customHeight="1">
      <c r="D161" s="479"/>
      <c r="E161" s="477"/>
      <c r="F161" s="566"/>
      <c r="G161" s="566"/>
      <c r="H161" s="566"/>
      <c r="I161" s="566"/>
      <c r="J161" s="566"/>
      <c r="K161" s="566"/>
      <c r="L161" s="566"/>
      <c r="O161" s="89"/>
    </row>
    <row r="162" spans="3:15" ht="14.1" customHeight="1">
      <c r="C162" s="563" t="s">
        <v>488</v>
      </c>
      <c r="D162" s="479" t="s">
        <v>488</v>
      </c>
      <c r="E162" s="477"/>
      <c r="F162" s="566"/>
      <c r="G162" s="566"/>
      <c r="H162" s="566"/>
      <c r="I162" s="566"/>
      <c r="J162" s="566"/>
      <c r="K162" s="566"/>
      <c r="L162" s="566"/>
      <c r="O162" s="89"/>
    </row>
    <row r="163" spans="3:15" ht="14.1" customHeight="1">
      <c r="C163" s="563"/>
      <c r="D163" s="563"/>
      <c r="E163" s="477"/>
      <c r="F163" s="566"/>
      <c r="G163" s="566"/>
      <c r="H163" s="566"/>
      <c r="I163" s="566"/>
      <c r="J163" s="566"/>
      <c r="K163" s="566"/>
      <c r="L163" s="566"/>
      <c r="O163" s="89"/>
    </row>
    <row r="164" spans="3:15" ht="14.1" customHeight="1">
      <c r="C164" s="563"/>
      <c r="D164" s="563"/>
      <c r="E164" s="477"/>
      <c r="F164" s="566"/>
      <c r="G164" s="566"/>
      <c r="H164" s="566"/>
      <c r="I164" s="566"/>
      <c r="J164" s="566"/>
      <c r="K164" s="566"/>
      <c r="L164" s="566"/>
      <c r="O164" s="89"/>
    </row>
    <row r="165" spans="3:15" ht="14.1" customHeight="1">
      <c r="C165" s="563"/>
      <c r="D165" s="563"/>
      <c r="E165" s="477"/>
      <c r="F165" s="566"/>
      <c r="G165" s="566"/>
      <c r="H165" s="566"/>
      <c r="I165" s="566"/>
      <c r="J165" s="566"/>
      <c r="K165" s="566"/>
      <c r="L165" s="566"/>
      <c r="O165" s="89"/>
    </row>
    <row r="166" spans="3:15" ht="14.1" customHeight="1">
      <c r="C166" s="563"/>
      <c r="D166" s="563"/>
      <c r="E166" s="477"/>
      <c r="G166" s="566"/>
      <c r="H166" s="566"/>
      <c r="I166" s="566"/>
      <c r="J166" s="566"/>
      <c r="K166" s="566"/>
      <c r="L166" s="566"/>
      <c r="O166" s="89"/>
    </row>
    <row r="167" spans="3:15" ht="14.1" customHeight="1">
      <c r="C167" s="563"/>
      <c r="D167" s="563"/>
      <c r="E167" s="477"/>
      <c r="G167" s="566"/>
      <c r="H167" s="566"/>
      <c r="I167" s="566"/>
      <c r="J167" s="566"/>
      <c r="K167" s="566"/>
      <c r="L167" s="566"/>
      <c r="O167" s="89"/>
    </row>
    <row r="168" spans="3:15" ht="14.1" customHeight="1">
      <c r="C168" s="563"/>
      <c r="D168" s="563"/>
      <c r="E168" s="477"/>
      <c r="G168" s="566"/>
      <c r="H168" s="566"/>
      <c r="I168" s="566"/>
      <c r="J168" s="566"/>
      <c r="K168" s="566"/>
      <c r="L168" s="566"/>
      <c r="O168" s="89"/>
    </row>
    <row r="169" spans="3:15" ht="14.1" customHeight="1">
      <c r="C169" s="563"/>
      <c r="D169" s="563"/>
      <c r="E169" s="477"/>
      <c r="F169" s="210"/>
      <c r="G169" s="578"/>
      <c r="H169" s="578"/>
      <c r="I169" s="578"/>
      <c r="J169" s="578"/>
      <c r="K169" s="578"/>
      <c r="L169" s="578"/>
      <c r="O169" s="89"/>
    </row>
    <row r="170" spans="3:15" ht="14.1" customHeight="1">
      <c r="C170" s="538" t="s">
        <v>1</v>
      </c>
      <c r="D170" s="538" t="s">
        <v>1</v>
      </c>
      <c r="E170" s="615"/>
      <c r="F170" s="565">
        <f t="shared" ref="F170:L170" si="21">COUNTIF(F6:F168,"0800-1730*")+COUNTIF(F6:F168,"0800-1800*")+COUNTIF(F6:F168,"0730-*")-COUNTIF(F6:F168,"*0800-1730 CS*")-COUNTIF(F6:F168,"*0800-1800 CS*")-COUNTIF(F6:F168,"*0800-1730 PHNW*")-COUNTIF(F6:F168,"*0800-1730 DEMT*")-COUNTIF(F6:F168,"*0800-1730 DD*")</f>
        <v>14</v>
      </c>
      <c r="G170" s="565">
        <f t="shared" si="21"/>
        <v>14</v>
      </c>
      <c r="H170" s="565">
        <f t="shared" si="21"/>
        <v>15</v>
      </c>
      <c r="I170" s="565">
        <f t="shared" si="21"/>
        <v>16</v>
      </c>
      <c r="J170" s="565">
        <f t="shared" si="21"/>
        <v>16</v>
      </c>
      <c r="K170" s="565">
        <f t="shared" si="21"/>
        <v>14</v>
      </c>
      <c r="L170" s="565">
        <f t="shared" si="21"/>
        <v>15</v>
      </c>
      <c r="O170" s="89"/>
    </row>
    <row r="171" spans="3:15" ht="14.1" customHeight="1">
      <c r="C171" s="538" t="s">
        <v>276</v>
      </c>
      <c r="D171" s="538" t="s">
        <v>276</v>
      </c>
      <c r="E171" s="615"/>
      <c r="F171" s="65">
        <f t="shared" ref="F171:L171" si="22">COUNTIF(F6:F168,"*SWA*")</f>
        <v>1</v>
      </c>
      <c r="G171" s="65">
        <f t="shared" si="22"/>
        <v>2</v>
      </c>
      <c r="H171" s="65">
        <f t="shared" si="22"/>
        <v>2</v>
      </c>
      <c r="I171" s="65">
        <f t="shared" si="22"/>
        <v>1</v>
      </c>
      <c r="J171" s="65">
        <f t="shared" si="22"/>
        <v>0</v>
      </c>
      <c r="K171" s="65">
        <f t="shared" si="22"/>
        <v>1</v>
      </c>
      <c r="L171" s="65">
        <f t="shared" si="22"/>
        <v>1</v>
      </c>
      <c r="O171" s="89"/>
    </row>
    <row r="172" spans="3:15" ht="14.1" customHeight="1">
      <c r="C172" s="538" t="s">
        <v>2</v>
      </c>
      <c r="D172" s="538" t="s">
        <v>2</v>
      </c>
      <c r="E172" s="615"/>
      <c r="F172" s="65">
        <f t="shared" ref="F172:L172" si="23">COUNTIF(F6:F168,"*1400-*")+COUNTIF(F6:F168,"*1430-*")</f>
        <v>16</v>
      </c>
      <c r="G172" s="65">
        <f t="shared" si="23"/>
        <v>18</v>
      </c>
      <c r="H172" s="65">
        <f t="shared" si="23"/>
        <v>18</v>
      </c>
      <c r="I172" s="65">
        <f t="shared" si="23"/>
        <v>15</v>
      </c>
      <c r="J172" s="65">
        <f t="shared" si="23"/>
        <v>16</v>
      </c>
      <c r="K172" s="65">
        <f t="shared" si="23"/>
        <v>15</v>
      </c>
      <c r="L172" s="65">
        <f t="shared" si="23"/>
        <v>15</v>
      </c>
      <c r="O172" s="89"/>
    </row>
    <row r="173" spans="3:15" ht="14.1" customHeight="1">
      <c r="C173" s="538" t="s">
        <v>277</v>
      </c>
      <c r="D173" s="538" t="s">
        <v>277</v>
      </c>
      <c r="E173" s="615"/>
      <c r="F173" s="65">
        <f t="shared" ref="F173:L173" si="24">COUNTIF(F7:F168,"*SWP*")</f>
        <v>0</v>
      </c>
      <c r="G173" s="65">
        <f t="shared" si="24"/>
        <v>0</v>
      </c>
      <c r="H173" s="65">
        <f t="shared" si="24"/>
        <v>0</v>
      </c>
      <c r="I173" s="65">
        <f t="shared" si="24"/>
        <v>1</v>
      </c>
      <c r="J173" s="65">
        <f t="shared" si="24"/>
        <v>0</v>
      </c>
      <c r="K173" s="65">
        <f t="shared" si="24"/>
        <v>0</v>
      </c>
      <c r="L173" s="65">
        <f t="shared" si="24"/>
        <v>0</v>
      </c>
      <c r="O173" s="89"/>
    </row>
    <row r="174" spans="3:15" ht="14.1" customHeight="1" thickBot="1">
      <c r="C174" s="984" t="s">
        <v>278</v>
      </c>
      <c r="D174" s="984" t="s">
        <v>278</v>
      </c>
      <c r="E174" s="615"/>
      <c r="F174" s="65">
        <f t="shared" ref="F174:L174" si="25">COUNTIF(F6:F168,"2300-*")</f>
        <v>9</v>
      </c>
      <c r="G174" s="65">
        <f t="shared" si="25"/>
        <v>9</v>
      </c>
      <c r="H174" s="65">
        <f t="shared" si="25"/>
        <v>9</v>
      </c>
      <c r="I174" s="65">
        <f t="shared" si="25"/>
        <v>9</v>
      </c>
      <c r="J174" s="65">
        <f t="shared" si="25"/>
        <v>9</v>
      </c>
      <c r="K174" s="65">
        <f t="shared" si="25"/>
        <v>10</v>
      </c>
      <c r="L174" s="65">
        <f t="shared" si="25"/>
        <v>10</v>
      </c>
      <c r="O174" s="89"/>
    </row>
    <row r="175" spans="3:15" ht="14.1" customHeight="1">
      <c r="C175" s="84"/>
      <c r="D175" s="556"/>
      <c r="E175" s="615"/>
      <c r="F175" s="65"/>
      <c r="G175" s="565"/>
      <c r="H175" s="565"/>
      <c r="I175" s="565"/>
      <c r="J175" s="565"/>
      <c r="K175" s="565"/>
      <c r="L175" s="565"/>
      <c r="O175" s="89"/>
    </row>
    <row r="176" spans="3:15" ht="14.1" customHeight="1">
      <c r="C176" s="50"/>
      <c r="D176" s="556" t="s">
        <v>489</v>
      </c>
      <c r="E176" s="615"/>
      <c r="G176" s="566"/>
      <c r="H176" s="566"/>
      <c r="I176" s="566"/>
      <c r="J176" s="566"/>
      <c r="K176" s="566"/>
      <c r="L176" s="566"/>
      <c r="O176" s="89"/>
    </row>
    <row r="177" spans="3:15" ht="14.1" customHeight="1">
      <c r="C177" s="50"/>
      <c r="D177" s="139" t="s">
        <v>157</v>
      </c>
      <c r="E177" s="615"/>
      <c r="F177" s="985"/>
      <c r="G177" s="985"/>
      <c r="H177" s="986"/>
      <c r="I177" s="985"/>
      <c r="J177" s="566"/>
      <c r="K177" s="566"/>
      <c r="L177" s="566"/>
      <c r="O177" s="89"/>
    </row>
    <row r="178" spans="3:15" ht="14.1" customHeight="1">
      <c r="C178" s="50"/>
      <c r="D178" s="182" t="s">
        <v>159</v>
      </c>
      <c r="E178" s="615">
        <v>628440</v>
      </c>
      <c r="F178" s="985"/>
      <c r="G178" s="985"/>
      <c r="H178" s="987" t="s">
        <v>279</v>
      </c>
      <c r="I178" s="985"/>
      <c r="J178" s="566"/>
      <c r="K178" s="566"/>
      <c r="L178" s="566"/>
      <c r="O178" s="89"/>
    </row>
    <row r="179" spans="3:15" ht="14.1" customHeight="1">
      <c r="C179" s="50"/>
      <c r="D179" s="183" t="s">
        <v>164</v>
      </c>
      <c r="E179" s="615">
        <v>653976</v>
      </c>
      <c r="F179" s="985"/>
      <c r="G179" s="985"/>
      <c r="H179" s="987" t="s">
        <v>279</v>
      </c>
      <c r="I179" s="985"/>
      <c r="J179" s="566"/>
      <c r="K179" s="566"/>
      <c r="L179" s="566"/>
      <c r="O179" s="89"/>
    </row>
    <row r="180" spans="3:15" ht="14.1" customHeight="1">
      <c r="C180" s="50"/>
      <c r="D180" s="184" t="s">
        <v>166</v>
      </c>
      <c r="E180" s="615">
        <v>654362</v>
      </c>
      <c r="F180" s="985"/>
      <c r="G180" s="985"/>
      <c r="H180" s="987" t="s">
        <v>279</v>
      </c>
      <c r="I180" s="985"/>
      <c r="J180" s="566"/>
      <c r="K180" s="566"/>
      <c r="L180" s="566"/>
      <c r="O180" s="89"/>
    </row>
    <row r="181" spans="3:15" ht="14.1" customHeight="1">
      <c r="C181" s="50"/>
      <c r="D181" s="184" t="s">
        <v>168</v>
      </c>
      <c r="E181" s="615">
        <v>615829</v>
      </c>
      <c r="F181" s="985"/>
      <c r="G181" s="985"/>
      <c r="H181" s="987" t="s">
        <v>280</v>
      </c>
      <c r="I181" s="985"/>
      <c r="J181" s="566"/>
      <c r="K181" s="566"/>
      <c r="L181" s="566"/>
      <c r="O181" s="89"/>
    </row>
    <row r="182" spans="3:15" ht="14.1" customHeight="1">
      <c r="C182" s="50"/>
      <c r="D182" s="974" t="s">
        <v>170</v>
      </c>
      <c r="E182" s="615">
        <v>619567</v>
      </c>
      <c r="F182" s="985"/>
      <c r="G182" s="985"/>
      <c r="H182" s="987" t="s">
        <v>280</v>
      </c>
      <c r="I182" s="985"/>
      <c r="J182" s="566"/>
      <c r="K182" s="566"/>
      <c r="L182" s="566"/>
      <c r="O182" s="89"/>
    </row>
    <row r="183" spans="3:15" ht="14.1" customHeight="1">
      <c r="C183" s="50"/>
      <c r="D183" s="183" t="s">
        <v>171</v>
      </c>
      <c r="E183" s="615">
        <v>626157</v>
      </c>
      <c r="F183" s="985"/>
      <c r="G183" s="985"/>
      <c r="H183" s="987" t="s">
        <v>281</v>
      </c>
      <c r="I183" s="985"/>
      <c r="J183" s="566"/>
      <c r="K183" s="566"/>
      <c r="L183" s="566"/>
      <c r="O183" s="89"/>
    </row>
    <row r="184" spans="3:15" ht="14.1" customHeight="1">
      <c r="C184" s="50"/>
      <c r="D184" s="185" t="s">
        <v>173</v>
      </c>
      <c r="E184" s="615">
        <v>645122</v>
      </c>
      <c r="F184" s="985"/>
      <c r="G184" s="985"/>
      <c r="H184" s="987" t="s">
        <v>281</v>
      </c>
      <c r="I184" s="985"/>
      <c r="J184" s="566"/>
      <c r="K184" s="566"/>
      <c r="L184" s="566"/>
      <c r="O184" s="89"/>
    </row>
    <row r="185" spans="3:15" ht="14.1" customHeight="1">
      <c r="C185" s="50"/>
      <c r="D185" s="182" t="s">
        <v>174</v>
      </c>
      <c r="E185" s="615">
        <v>615820</v>
      </c>
      <c r="F185" s="985"/>
      <c r="G185" s="985"/>
      <c r="H185" s="987" t="s">
        <v>282</v>
      </c>
      <c r="I185" s="985"/>
      <c r="J185" s="566"/>
      <c r="K185" s="566"/>
      <c r="L185" s="566"/>
      <c r="O185" s="89"/>
    </row>
    <row r="186" spans="3:15" ht="14.1" customHeight="1" thickBot="1">
      <c r="C186" s="50"/>
      <c r="D186" s="197" t="s">
        <v>175</v>
      </c>
      <c r="E186" s="615">
        <v>624174</v>
      </c>
      <c r="F186" s="985"/>
      <c r="G186" s="985"/>
      <c r="H186" s="988" t="s">
        <v>283</v>
      </c>
      <c r="I186" s="985"/>
      <c r="J186" s="566"/>
      <c r="K186" s="566"/>
      <c r="L186" s="566"/>
      <c r="O186" s="89"/>
    </row>
    <row r="187" spans="3:15" ht="14.1" customHeight="1">
      <c r="C187" s="50"/>
      <c r="D187" s="70" t="s">
        <v>176</v>
      </c>
      <c r="E187" s="625"/>
      <c r="F187" s="985"/>
      <c r="G187" s="985"/>
      <c r="H187" s="986"/>
      <c r="I187" s="985"/>
      <c r="J187" s="566"/>
      <c r="K187" s="566"/>
      <c r="L187" s="566"/>
      <c r="O187" s="89"/>
    </row>
    <row r="188" spans="3:15" ht="14.1" customHeight="1">
      <c r="C188" s="50"/>
      <c r="D188" s="546" t="s">
        <v>177</v>
      </c>
      <c r="E188" s="615">
        <v>637990</v>
      </c>
      <c r="F188" s="985"/>
      <c r="G188" s="985"/>
      <c r="H188" s="987" t="s">
        <v>279</v>
      </c>
      <c r="I188" s="985"/>
      <c r="J188" s="566"/>
      <c r="K188" s="566"/>
      <c r="L188" s="566"/>
      <c r="O188" s="89"/>
    </row>
    <row r="189" spans="3:15" ht="14.1" customHeight="1">
      <c r="C189" s="50"/>
      <c r="D189" s="184" t="s">
        <v>179</v>
      </c>
      <c r="E189" s="615">
        <v>652867</v>
      </c>
      <c r="F189" s="985"/>
      <c r="G189" s="985"/>
      <c r="H189" s="987" t="s">
        <v>279</v>
      </c>
      <c r="I189" s="985"/>
      <c r="J189" s="566"/>
      <c r="K189" s="566"/>
      <c r="L189" s="566"/>
      <c r="O189" s="89"/>
    </row>
    <row r="190" spans="3:15" ht="14.1" customHeight="1">
      <c r="C190" s="50"/>
      <c r="D190" s="547" t="s">
        <v>180</v>
      </c>
      <c r="E190" s="615">
        <v>638831</v>
      </c>
      <c r="F190" s="985"/>
      <c r="G190" s="985"/>
      <c r="H190" s="987" t="s">
        <v>279</v>
      </c>
      <c r="I190" s="985"/>
      <c r="J190" s="566"/>
      <c r="K190" s="566"/>
      <c r="L190" s="566"/>
      <c r="O190" s="89"/>
    </row>
    <row r="191" spans="3:15" ht="14.1" customHeight="1">
      <c r="C191" s="50"/>
      <c r="D191" s="548" t="s">
        <v>182</v>
      </c>
      <c r="E191" s="615">
        <v>631314</v>
      </c>
      <c r="F191" s="985"/>
      <c r="G191" s="985"/>
      <c r="H191" s="987" t="s">
        <v>281</v>
      </c>
      <c r="I191" s="985"/>
      <c r="J191" s="566"/>
      <c r="K191" s="566"/>
      <c r="L191" s="566"/>
      <c r="O191" s="89"/>
    </row>
    <row r="192" spans="3:15" ht="14.1" customHeight="1">
      <c r="C192" s="50"/>
      <c r="D192" s="548" t="s">
        <v>185</v>
      </c>
      <c r="E192" s="615">
        <v>631732</v>
      </c>
      <c r="F192" s="985"/>
      <c r="G192" s="985"/>
      <c r="H192" s="987" t="s">
        <v>281</v>
      </c>
      <c r="I192" s="985"/>
      <c r="J192" s="566"/>
      <c r="K192" s="566"/>
      <c r="L192" s="566"/>
      <c r="O192" s="89"/>
    </row>
    <row r="193" spans="3:15" ht="14.1" customHeight="1">
      <c r="C193" s="50"/>
      <c r="D193" s="549" t="s">
        <v>186</v>
      </c>
      <c r="E193" s="615">
        <v>634876</v>
      </c>
      <c r="F193" s="985"/>
      <c r="G193" s="985"/>
      <c r="H193" s="987" t="s">
        <v>281</v>
      </c>
      <c r="I193" s="985"/>
      <c r="J193" s="566"/>
      <c r="K193" s="566"/>
      <c r="L193" s="566"/>
      <c r="O193" s="89"/>
    </row>
    <row r="194" spans="3:15" ht="14.1" customHeight="1">
      <c r="C194" s="50"/>
      <c r="D194" s="989" t="s">
        <v>189</v>
      </c>
      <c r="E194" s="615"/>
      <c r="F194" s="985"/>
      <c r="G194" s="985"/>
      <c r="H194" s="986"/>
      <c r="I194" s="985"/>
      <c r="J194" s="566"/>
      <c r="K194" s="566"/>
      <c r="L194" s="566"/>
      <c r="O194" s="89"/>
    </row>
    <row r="195" spans="3:15" ht="14.1" customHeight="1">
      <c r="C195" s="50"/>
      <c r="D195" s="188" t="s">
        <v>190</v>
      </c>
      <c r="E195" s="615">
        <v>648620</v>
      </c>
      <c r="F195" s="985"/>
      <c r="G195" s="985"/>
      <c r="H195" s="987" t="s">
        <v>279</v>
      </c>
      <c r="I195" s="985"/>
      <c r="J195" s="566"/>
      <c r="K195" s="566"/>
      <c r="L195" s="566"/>
      <c r="O195" s="89"/>
    </row>
    <row r="196" spans="3:15" ht="14.1" customHeight="1">
      <c r="C196" s="50"/>
      <c r="D196" s="189" t="s">
        <v>193</v>
      </c>
      <c r="E196" s="615">
        <v>652357</v>
      </c>
      <c r="F196" s="985"/>
      <c r="G196" s="985"/>
      <c r="H196" s="987" t="s">
        <v>279</v>
      </c>
      <c r="I196" s="985"/>
      <c r="J196" s="566"/>
      <c r="K196" s="566"/>
      <c r="L196" s="566"/>
      <c r="O196" s="89"/>
    </row>
    <row r="197" spans="3:15" ht="14.1" customHeight="1">
      <c r="C197" s="50"/>
      <c r="D197" s="551" t="s">
        <v>196</v>
      </c>
      <c r="E197" s="631">
        <v>703714</v>
      </c>
      <c r="F197" s="985"/>
      <c r="G197" s="985"/>
      <c r="H197" s="987" t="s">
        <v>279</v>
      </c>
      <c r="I197" s="985"/>
      <c r="J197" s="566"/>
      <c r="K197" s="566"/>
      <c r="L197" s="566"/>
      <c r="O197" s="89"/>
    </row>
    <row r="198" spans="3:15" ht="14.1" customHeight="1">
      <c r="C198" s="50"/>
      <c r="D198" s="189" t="s">
        <v>198</v>
      </c>
      <c r="E198" s="615">
        <v>655089</v>
      </c>
      <c r="F198" s="985"/>
      <c r="G198" s="985"/>
      <c r="H198" s="987" t="s">
        <v>279</v>
      </c>
      <c r="I198" s="985"/>
      <c r="J198" s="566"/>
      <c r="K198" s="566"/>
      <c r="L198" s="566"/>
      <c r="O198" s="89"/>
    </row>
    <row r="199" spans="3:15" ht="14.1" customHeight="1">
      <c r="C199" s="50"/>
      <c r="D199" s="190" t="s">
        <v>199</v>
      </c>
      <c r="E199" s="615">
        <v>649364</v>
      </c>
      <c r="F199" s="985"/>
      <c r="G199" s="985"/>
      <c r="H199" s="987" t="s">
        <v>280</v>
      </c>
      <c r="I199" s="985"/>
      <c r="J199" s="566"/>
      <c r="K199" s="566"/>
      <c r="L199" s="566"/>
      <c r="O199" s="89"/>
    </row>
    <row r="200" spans="3:15" ht="14.1" customHeight="1">
      <c r="C200" s="50"/>
      <c r="D200" s="191" t="s">
        <v>200</v>
      </c>
      <c r="E200" s="615">
        <v>700872</v>
      </c>
      <c r="F200" s="985"/>
      <c r="G200" s="985"/>
      <c r="H200" s="987" t="s">
        <v>279</v>
      </c>
      <c r="I200" s="985"/>
      <c r="J200" s="566"/>
      <c r="K200" s="566"/>
      <c r="L200" s="566"/>
      <c r="O200" s="89"/>
    </row>
    <row r="201" spans="3:15" ht="14.1" customHeight="1">
      <c r="C201" s="50"/>
      <c r="D201" s="552" t="s">
        <v>202</v>
      </c>
      <c r="E201" s="631">
        <v>703861</v>
      </c>
      <c r="F201" s="985"/>
      <c r="G201" s="985"/>
      <c r="H201" s="987" t="s">
        <v>279</v>
      </c>
      <c r="I201" s="985"/>
      <c r="J201" s="566"/>
      <c r="K201" s="566"/>
      <c r="L201" s="566"/>
      <c r="O201" s="89"/>
    </row>
    <row r="202" spans="3:15" ht="14.1" customHeight="1">
      <c r="C202" s="50"/>
      <c r="D202" s="192" t="s">
        <v>204</v>
      </c>
      <c r="E202" s="615">
        <v>652868</v>
      </c>
      <c r="F202" s="985"/>
      <c r="G202" s="985"/>
      <c r="H202" s="987" t="s">
        <v>280</v>
      </c>
      <c r="I202" s="985"/>
      <c r="J202" s="566"/>
      <c r="K202" s="566"/>
      <c r="L202" s="566"/>
      <c r="O202" s="89"/>
    </row>
    <row r="203" spans="3:15" ht="14.1" customHeight="1">
      <c r="C203" s="50"/>
      <c r="D203" s="189" t="s">
        <v>205</v>
      </c>
      <c r="E203" s="615">
        <v>652998</v>
      </c>
      <c r="F203" s="985"/>
      <c r="G203" s="985"/>
      <c r="H203" s="987" t="s">
        <v>280</v>
      </c>
      <c r="I203" s="985"/>
      <c r="J203" s="566"/>
      <c r="K203" s="566"/>
      <c r="L203" s="566"/>
      <c r="O203" s="89"/>
    </row>
    <row r="204" spans="3:15" ht="14.1" customHeight="1">
      <c r="C204" s="50"/>
      <c r="D204" s="193" t="s">
        <v>206</v>
      </c>
      <c r="E204" s="631">
        <v>654959</v>
      </c>
      <c r="F204" s="985"/>
      <c r="G204" s="985"/>
      <c r="H204" s="987" t="s">
        <v>279</v>
      </c>
      <c r="I204" s="985"/>
      <c r="J204" s="566"/>
      <c r="K204" s="566"/>
      <c r="L204" s="566"/>
      <c r="O204" s="89"/>
    </row>
    <row r="205" spans="3:15" ht="14.1" customHeight="1">
      <c r="C205" s="50"/>
      <c r="D205" s="551" t="s">
        <v>207</v>
      </c>
      <c r="E205" s="615">
        <v>654981</v>
      </c>
      <c r="F205" s="985"/>
      <c r="G205" s="985"/>
      <c r="H205" s="987" t="s">
        <v>280</v>
      </c>
      <c r="I205" s="985"/>
      <c r="J205" s="566"/>
      <c r="K205" s="566"/>
      <c r="L205" s="566"/>
      <c r="O205" s="89"/>
    </row>
    <row r="206" spans="3:15" ht="14.1" customHeight="1">
      <c r="C206" s="50"/>
      <c r="D206" s="553" t="s">
        <v>208</v>
      </c>
      <c r="E206" s="615">
        <v>703795</v>
      </c>
      <c r="F206" s="985"/>
      <c r="G206" s="985"/>
      <c r="H206" s="987" t="s">
        <v>280</v>
      </c>
      <c r="I206" s="985"/>
      <c r="J206" s="566"/>
      <c r="K206" s="566"/>
      <c r="L206" s="566"/>
      <c r="O206" s="89"/>
    </row>
    <row r="207" spans="3:15" ht="14.1" customHeight="1">
      <c r="C207" s="50"/>
      <c r="D207" s="551" t="s">
        <v>209</v>
      </c>
      <c r="E207" s="615">
        <v>652364</v>
      </c>
      <c r="F207" s="985"/>
      <c r="G207" s="985"/>
      <c r="H207" s="987" t="s">
        <v>280</v>
      </c>
      <c r="I207" s="985"/>
      <c r="J207" s="566"/>
      <c r="K207" s="566"/>
      <c r="L207" s="566"/>
      <c r="O207" s="89"/>
    </row>
    <row r="208" spans="3:15" ht="14.1" customHeight="1">
      <c r="C208" s="50"/>
      <c r="D208" s="551" t="s">
        <v>210</v>
      </c>
      <c r="E208" s="615">
        <v>644433</v>
      </c>
      <c r="F208" s="985"/>
      <c r="G208" s="985"/>
      <c r="H208" s="987" t="s">
        <v>281</v>
      </c>
      <c r="I208" s="985"/>
      <c r="J208" s="566"/>
      <c r="K208" s="566"/>
      <c r="L208" s="566"/>
      <c r="O208" s="89"/>
    </row>
    <row r="209" spans="3:15" ht="14.1" customHeight="1">
      <c r="C209" s="50"/>
      <c r="D209" s="551" t="s">
        <v>211</v>
      </c>
      <c r="E209" s="615">
        <v>650602</v>
      </c>
      <c r="F209" s="985"/>
      <c r="G209" s="985"/>
      <c r="H209" s="987" t="s">
        <v>281</v>
      </c>
      <c r="I209" s="985"/>
      <c r="J209" s="566"/>
      <c r="K209" s="566"/>
      <c r="L209" s="566"/>
      <c r="O209" s="89"/>
    </row>
    <row r="210" spans="3:15" ht="14.1" customHeight="1">
      <c r="C210" s="50"/>
      <c r="D210" s="552" t="s">
        <v>212</v>
      </c>
      <c r="E210" s="631">
        <v>704893</v>
      </c>
      <c r="F210" s="985"/>
      <c r="G210" s="985"/>
      <c r="H210" s="987" t="s">
        <v>279</v>
      </c>
      <c r="I210" s="985"/>
      <c r="J210" s="566"/>
      <c r="K210" s="566"/>
      <c r="L210" s="566"/>
      <c r="O210" s="89"/>
    </row>
    <row r="211" spans="3:15" ht="14.1" customHeight="1">
      <c r="C211" s="50"/>
      <c r="D211" s="194" t="s">
        <v>214</v>
      </c>
      <c r="E211" s="615">
        <v>636733</v>
      </c>
      <c r="F211" s="985"/>
      <c r="G211" s="985"/>
      <c r="H211" s="987" t="s">
        <v>280</v>
      </c>
      <c r="I211" s="985"/>
      <c r="J211" s="566"/>
      <c r="K211" s="566"/>
      <c r="L211" s="566"/>
      <c r="O211" s="89"/>
    </row>
    <row r="212" spans="3:15" ht="14.1" customHeight="1">
      <c r="C212" s="50"/>
      <c r="D212" s="192" t="s">
        <v>216</v>
      </c>
      <c r="E212" s="200">
        <v>637770</v>
      </c>
      <c r="F212" s="985"/>
      <c r="G212" s="985"/>
      <c r="H212" s="987" t="s">
        <v>279</v>
      </c>
      <c r="I212" s="985"/>
      <c r="J212" s="566"/>
      <c r="K212" s="566"/>
      <c r="L212" s="566"/>
      <c r="O212" s="89"/>
    </row>
    <row r="213" spans="3:15" ht="14.1" customHeight="1">
      <c r="C213" s="50"/>
      <c r="D213" s="56"/>
      <c r="E213" s="82"/>
      <c r="G213" s="566"/>
      <c r="H213" s="566"/>
      <c r="I213" s="566"/>
      <c r="J213" s="566"/>
      <c r="K213" s="566"/>
      <c r="L213" s="566"/>
      <c r="O213" s="89"/>
    </row>
    <row r="214" spans="3:15" ht="14.1" customHeight="1">
      <c r="C214" s="564"/>
      <c r="D214" s="564"/>
      <c r="E214" s="82"/>
      <c r="G214" s="566"/>
      <c r="H214" s="566"/>
      <c r="I214" s="566"/>
      <c r="J214" s="566"/>
      <c r="K214" s="566"/>
      <c r="L214" s="566"/>
      <c r="O214" s="89"/>
    </row>
    <row r="215" spans="3:15" ht="14.1" customHeight="1">
      <c r="C215" s="564"/>
      <c r="D215" s="564"/>
      <c r="E215" s="82"/>
      <c r="G215" s="566"/>
      <c r="H215" s="566"/>
      <c r="I215" s="566"/>
      <c r="J215" s="566"/>
      <c r="K215" s="566"/>
      <c r="L215" s="566"/>
      <c r="O215" s="89"/>
    </row>
    <row r="216" spans="3:15" ht="14.1" customHeight="1">
      <c r="D216" s="56"/>
      <c r="E216" s="82"/>
      <c r="G216" s="566"/>
      <c r="H216" s="566"/>
      <c r="I216" s="566"/>
      <c r="J216" s="566"/>
      <c r="K216" s="566"/>
      <c r="L216" s="566"/>
      <c r="O216" s="89"/>
    </row>
    <row r="217" spans="3:15" ht="14.1" customHeight="1">
      <c r="C217" s="564"/>
      <c r="D217" s="564"/>
      <c r="E217" s="82"/>
      <c r="G217" s="566"/>
      <c r="H217" s="566"/>
      <c r="I217" s="566"/>
      <c r="J217" s="566"/>
      <c r="K217" s="566"/>
      <c r="L217" s="566"/>
      <c r="O217" s="89"/>
    </row>
    <row r="218" spans="3:15" ht="14.1" customHeight="1">
      <c r="C218" s="564"/>
      <c r="D218" s="564"/>
      <c r="E218" s="82"/>
      <c r="G218" s="566"/>
      <c r="H218" s="566"/>
      <c r="I218" s="566"/>
      <c r="J218" s="566"/>
      <c r="K218" s="566"/>
      <c r="L218" s="566"/>
      <c r="O218" s="89"/>
    </row>
    <row r="219" spans="3:15" ht="14.1" customHeight="1">
      <c r="D219" s="56"/>
      <c r="E219" s="82"/>
      <c r="G219" s="566"/>
      <c r="H219" s="566"/>
      <c r="I219" s="566"/>
      <c r="J219" s="566"/>
      <c r="K219" s="566"/>
      <c r="L219" s="566"/>
      <c r="O219" s="89"/>
    </row>
    <row r="220" spans="3:15" ht="14.1" customHeight="1">
      <c r="C220" s="564"/>
      <c r="D220" s="564"/>
      <c r="E220" s="82"/>
      <c r="G220" s="566"/>
      <c r="H220" s="566"/>
      <c r="I220" s="566"/>
      <c r="J220" s="566"/>
      <c r="K220" s="566"/>
      <c r="L220" s="566"/>
      <c r="O220" s="89"/>
    </row>
    <row r="221" spans="3:15" ht="14.1" customHeight="1">
      <c r="C221" s="564"/>
      <c r="D221" s="564"/>
      <c r="E221" s="82"/>
      <c r="G221" s="566"/>
      <c r="H221" s="566"/>
      <c r="I221" s="566"/>
      <c r="J221" s="566"/>
      <c r="K221" s="566"/>
      <c r="L221" s="566"/>
      <c r="O221" s="89"/>
    </row>
    <row r="222" spans="3:15" ht="14.1" customHeight="1">
      <c r="D222" s="56"/>
      <c r="E222" s="82"/>
      <c r="G222" s="566"/>
      <c r="H222" s="566"/>
      <c r="I222" s="566"/>
      <c r="J222" s="566"/>
      <c r="K222" s="566"/>
      <c r="L222" s="566"/>
      <c r="O222" s="89"/>
    </row>
    <row r="223" spans="3:15" ht="14.1" customHeight="1">
      <c r="C223" s="564"/>
      <c r="D223" s="564"/>
      <c r="E223" s="82"/>
      <c r="G223" s="566"/>
      <c r="H223" s="566"/>
      <c r="I223" s="566"/>
      <c r="J223" s="566"/>
      <c r="K223" s="566"/>
      <c r="L223" s="566"/>
      <c r="O223" s="89"/>
    </row>
    <row r="224" spans="3:15" ht="14.1" customHeight="1">
      <c r="C224" s="564"/>
      <c r="D224" s="564"/>
      <c r="E224" s="82"/>
      <c r="F224" s="65"/>
      <c r="G224" s="65"/>
      <c r="H224" s="65"/>
      <c r="I224" s="65"/>
      <c r="J224" s="65"/>
      <c r="K224" s="65"/>
      <c r="L224" s="65"/>
      <c r="O224" s="89"/>
    </row>
    <row r="225" spans="3:15" ht="14.1" customHeight="1">
      <c r="D225" s="56"/>
      <c r="E225" s="82"/>
      <c r="F225" s="65"/>
      <c r="G225" s="65"/>
      <c r="H225" s="65"/>
      <c r="I225" s="65"/>
      <c r="J225" s="65"/>
      <c r="K225" s="65"/>
      <c r="L225" s="65"/>
      <c r="O225" s="89"/>
    </row>
    <row r="226" spans="3:15" ht="14.1" customHeight="1">
      <c r="C226" s="564"/>
      <c r="D226" s="564"/>
      <c r="E226" s="82"/>
      <c r="F226" s="65"/>
      <c r="G226" s="65"/>
      <c r="H226" s="65"/>
      <c r="I226" s="65"/>
      <c r="J226" s="65"/>
      <c r="K226" s="65"/>
      <c r="L226" s="65"/>
      <c r="O226" s="89"/>
    </row>
    <row r="227" spans="3:15" ht="14.1" customHeight="1">
      <c r="C227" s="564"/>
      <c r="D227" s="564"/>
      <c r="E227" s="82"/>
      <c r="F227" s="65"/>
      <c r="G227" s="65"/>
      <c r="H227" s="65"/>
      <c r="I227" s="65"/>
      <c r="J227" s="65"/>
      <c r="K227" s="65"/>
      <c r="L227" s="65"/>
      <c r="O227" s="89"/>
    </row>
    <row r="228" spans="3:15" ht="14.1" customHeight="1">
      <c r="D228" s="56"/>
      <c r="E228" s="82"/>
      <c r="F228" s="65"/>
      <c r="G228" s="65"/>
      <c r="H228" s="65"/>
      <c r="I228" s="65"/>
      <c r="J228" s="65"/>
      <c r="K228" s="65"/>
      <c r="L228" s="65"/>
      <c r="O228" s="89"/>
    </row>
    <row r="229" spans="3:15" ht="14.1" customHeight="1">
      <c r="C229" s="564"/>
      <c r="D229" s="564"/>
      <c r="E229" s="82"/>
      <c r="F229" s="65"/>
      <c r="G229" s="565"/>
      <c r="H229" s="565"/>
      <c r="I229" s="565"/>
      <c r="J229" s="565"/>
      <c r="K229" s="565"/>
      <c r="L229" s="565"/>
      <c r="O229" s="89"/>
    </row>
    <row r="230" spans="3:15" ht="14.1" customHeight="1">
      <c r="C230" s="564"/>
      <c r="D230" s="564"/>
      <c r="E230" s="82"/>
      <c r="G230" s="66"/>
      <c r="H230" s="66"/>
      <c r="I230" s="66"/>
      <c r="J230" s="66"/>
      <c r="K230" s="566"/>
      <c r="L230" s="566"/>
      <c r="O230" s="89"/>
    </row>
    <row r="231" spans="3:15" ht="14.1" customHeight="1">
      <c r="D231" s="56"/>
      <c r="E231" s="82"/>
      <c r="G231" s="66"/>
      <c r="H231" s="66"/>
      <c r="I231" s="66"/>
      <c r="J231" s="66"/>
      <c r="K231" s="66"/>
      <c r="L231" s="66"/>
      <c r="O231" s="89"/>
    </row>
    <row r="232" spans="3:15" ht="14.1" customHeight="1">
      <c r="C232" s="564"/>
      <c r="D232" s="564"/>
      <c r="E232" s="82"/>
      <c r="G232" s="66"/>
      <c r="H232" s="66"/>
      <c r="I232" s="66"/>
      <c r="J232" s="66"/>
      <c r="K232" s="66"/>
      <c r="L232" s="66"/>
      <c r="O232" s="89"/>
    </row>
    <row r="233" spans="3:15" ht="14.1" customHeight="1">
      <c r="C233" s="564"/>
      <c r="D233" s="564"/>
      <c r="E233" s="82"/>
      <c r="G233" s="66"/>
      <c r="H233" s="66"/>
      <c r="I233" s="66"/>
      <c r="J233" s="66"/>
      <c r="K233" s="66"/>
      <c r="L233" s="66"/>
      <c r="O233" s="89"/>
    </row>
    <row r="234" spans="3:15" ht="14.1" customHeight="1">
      <c r="D234" s="56"/>
      <c r="E234" s="82"/>
      <c r="G234" s="66"/>
      <c r="H234" s="66"/>
      <c r="I234" s="66"/>
      <c r="J234" s="66"/>
      <c r="K234" s="66"/>
      <c r="L234" s="66"/>
      <c r="O234" s="89"/>
    </row>
    <row r="235" spans="3:15" ht="14.1" customHeight="1">
      <c r="C235" s="564"/>
      <c r="D235" s="564"/>
      <c r="E235" s="82"/>
      <c r="G235" s="66"/>
      <c r="H235" s="66"/>
      <c r="I235" s="66"/>
      <c r="J235" s="66"/>
      <c r="K235" s="66"/>
      <c r="L235" s="66"/>
      <c r="O235" s="567"/>
    </row>
    <row r="236" spans="3:15" ht="14.1" customHeight="1">
      <c r="C236" s="564"/>
      <c r="D236" s="564"/>
      <c r="E236" s="82"/>
      <c r="G236" s="66"/>
      <c r="H236" s="66"/>
      <c r="I236" s="66"/>
      <c r="J236" s="66"/>
      <c r="K236" s="66"/>
      <c r="L236" s="66"/>
      <c r="O236" s="567"/>
    </row>
    <row r="237" spans="3:15" ht="14.1" customHeight="1">
      <c r="D237" s="56"/>
      <c r="E237" s="82"/>
      <c r="G237" s="66"/>
      <c r="H237" s="66"/>
      <c r="I237" s="66"/>
      <c r="J237" s="66"/>
      <c r="K237" s="66"/>
      <c r="L237" s="66"/>
      <c r="O237" s="567"/>
    </row>
    <row r="238" spans="3:15" ht="14.1" customHeight="1">
      <c r="C238" s="564"/>
      <c r="D238" s="564"/>
      <c r="E238" s="82"/>
      <c r="G238" s="73"/>
      <c r="H238" s="66"/>
      <c r="I238" s="66"/>
      <c r="J238" s="66"/>
      <c r="K238" s="66"/>
      <c r="L238" s="66"/>
      <c r="O238" s="567"/>
    </row>
    <row r="239" spans="3:15" ht="14.1" customHeight="1">
      <c r="C239" s="564"/>
      <c r="D239" s="564"/>
      <c r="E239" s="82"/>
      <c r="G239" s="66"/>
      <c r="H239" s="66"/>
      <c r="I239" s="66"/>
      <c r="J239" s="66"/>
      <c r="K239" s="66"/>
      <c r="L239" s="66"/>
      <c r="O239" s="567"/>
    </row>
    <row r="240" spans="3:15" ht="14.1" customHeight="1">
      <c r="D240" s="56"/>
      <c r="E240" s="82"/>
      <c r="G240" s="66"/>
      <c r="H240" s="66"/>
      <c r="I240" s="66"/>
      <c r="J240" s="66"/>
      <c r="K240" s="66"/>
      <c r="L240" s="66"/>
      <c r="O240" s="567"/>
    </row>
    <row r="241" spans="3:15" ht="14.1" customHeight="1">
      <c r="C241" s="564"/>
      <c r="D241" s="564"/>
      <c r="E241" s="82"/>
      <c r="G241" s="74"/>
      <c r="H241" s="66"/>
      <c r="I241" s="66"/>
      <c r="J241" s="66"/>
      <c r="K241" s="66"/>
      <c r="L241" s="66"/>
      <c r="O241" s="567"/>
    </row>
    <row r="242" spans="3:15" ht="14.1" customHeight="1">
      <c r="C242" s="564"/>
      <c r="D242" s="564"/>
      <c r="E242" s="82"/>
      <c r="G242" s="66"/>
      <c r="H242" s="66"/>
      <c r="I242" s="66"/>
      <c r="J242" s="66"/>
      <c r="K242" s="66"/>
      <c r="L242" s="66"/>
      <c r="O242" s="567"/>
    </row>
    <row r="243" spans="3:15" ht="14.1" customHeight="1">
      <c r="D243" s="56"/>
      <c r="E243" s="82"/>
      <c r="G243" s="66"/>
      <c r="H243" s="66"/>
      <c r="I243" s="66"/>
      <c r="J243" s="66"/>
      <c r="K243" s="66"/>
      <c r="L243" s="66"/>
      <c r="O243" s="567"/>
    </row>
    <row r="244" spans="3:15" ht="14.1" customHeight="1">
      <c r="C244" s="564"/>
      <c r="D244" s="564"/>
      <c r="E244" s="82"/>
      <c r="G244" s="566"/>
      <c r="H244" s="566"/>
      <c r="I244" s="566"/>
      <c r="J244" s="566"/>
      <c r="K244" s="566"/>
      <c r="L244" s="566"/>
      <c r="O244" s="567"/>
    </row>
    <row r="245" spans="3:15" ht="14.1" customHeight="1">
      <c r="C245" s="564"/>
      <c r="D245" s="564"/>
      <c r="E245" s="82"/>
      <c r="G245" s="566"/>
      <c r="H245" s="566"/>
      <c r="I245" s="566"/>
      <c r="J245" s="566"/>
      <c r="K245" s="566"/>
      <c r="L245" s="566"/>
      <c r="O245" s="567"/>
    </row>
    <row r="246" spans="3:15" ht="14.1" customHeight="1">
      <c r="D246" s="56"/>
      <c r="E246" s="82"/>
      <c r="G246" s="566"/>
      <c r="H246" s="566"/>
      <c r="I246" s="566"/>
      <c r="J246" s="566"/>
      <c r="K246" s="566"/>
      <c r="L246" s="566"/>
      <c r="O246" s="567"/>
    </row>
    <row r="247" spans="3:15" ht="14.1" customHeight="1">
      <c r="C247" s="564"/>
      <c r="D247" s="564"/>
      <c r="E247" s="82"/>
      <c r="G247" s="566"/>
      <c r="H247" s="566"/>
      <c r="I247" s="566"/>
      <c r="J247" s="566"/>
      <c r="K247" s="566"/>
      <c r="L247" s="566"/>
      <c r="O247" s="567"/>
    </row>
    <row r="248" spans="3:15" ht="14.1" customHeight="1">
      <c r="C248" s="564"/>
      <c r="D248" s="564"/>
      <c r="E248" s="82"/>
      <c r="G248" s="566"/>
      <c r="H248" s="566"/>
      <c r="I248" s="566"/>
      <c r="J248" s="566"/>
      <c r="K248" s="566"/>
      <c r="L248" s="566"/>
      <c r="O248" s="567"/>
    </row>
    <row r="249" spans="3:15" ht="14.1" customHeight="1">
      <c r="D249" s="56"/>
      <c r="E249" s="82"/>
      <c r="G249" s="566"/>
      <c r="H249" s="566"/>
      <c r="I249" s="566"/>
      <c r="J249" s="566"/>
      <c r="K249" s="566"/>
      <c r="L249" s="566"/>
      <c r="O249" s="567"/>
    </row>
    <row r="250" spans="3:15" ht="14.1" customHeight="1">
      <c r="C250" s="564"/>
      <c r="D250" s="564"/>
      <c r="E250" s="82"/>
      <c r="G250" s="566"/>
      <c r="H250" s="566"/>
      <c r="I250" s="566"/>
      <c r="J250" s="566"/>
      <c r="K250" s="566"/>
      <c r="L250" s="566"/>
      <c r="O250" s="567"/>
    </row>
    <row r="251" spans="3:15" ht="14.1" customHeight="1">
      <c r="C251" s="564"/>
      <c r="D251" s="564"/>
      <c r="E251" s="82"/>
      <c r="G251" s="566"/>
      <c r="H251" s="566"/>
      <c r="I251" s="566"/>
      <c r="J251" s="566"/>
      <c r="K251" s="566"/>
      <c r="L251" s="566"/>
      <c r="O251" s="567"/>
    </row>
    <row r="252" spans="3:15" ht="14.1" customHeight="1">
      <c r="D252" s="56"/>
      <c r="E252" s="82"/>
      <c r="F252" s="65"/>
      <c r="G252" s="565"/>
      <c r="H252" s="565"/>
      <c r="I252" s="565"/>
      <c r="J252" s="565"/>
      <c r="K252" s="565"/>
      <c r="L252" s="565"/>
      <c r="O252" s="567"/>
    </row>
    <row r="253" spans="3:15" ht="14.1" customHeight="1">
      <c r="C253" s="564"/>
      <c r="D253" s="564"/>
      <c r="E253" s="82"/>
      <c r="F253" s="65"/>
      <c r="G253" s="565"/>
      <c r="H253" s="565"/>
      <c r="I253" s="565"/>
      <c r="J253" s="565"/>
      <c r="K253" s="565"/>
      <c r="L253" s="565"/>
      <c r="O253" s="567"/>
    </row>
    <row r="254" spans="3:15" ht="14.1" customHeight="1">
      <c r="C254" s="564"/>
      <c r="D254" s="564"/>
      <c r="E254" s="82"/>
      <c r="F254" s="65"/>
      <c r="G254" s="565"/>
      <c r="H254" s="565"/>
      <c r="I254" s="565"/>
      <c r="J254" s="565"/>
      <c r="K254" s="565"/>
      <c r="L254" s="565"/>
      <c r="O254" s="567"/>
    </row>
    <row r="255" spans="3:15" ht="14.1" customHeight="1">
      <c r="D255" s="56"/>
      <c r="E255" s="82"/>
      <c r="F255" s="65"/>
      <c r="G255" s="565"/>
      <c r="H255" s="565"/>
      <c r="I255" s="565"/>
      <c r="J255" s="565"/>
      <c r="K255" s="565"/>
      <c r="L255" s="565"/>
      <c r="O255" s="567"/>
    </row>
    <row r="256" spans="3:15" ht="14.1" customHeight="1">
      <c r="C256" s="564"/>
      <c r="D256" s="564"/>
      <c r="E256" s="82"/>
      <c r="F256" s="65"/>
      <c r="G256" s="565"/>
      <c r="H256" s="565"/>
      <c r="I256" s="565"/>
      <c r="J256" s="565"/>
      <c r="K256" s="565"/>
      <c r="L256" s="565"/>
      <c r="O256" s="567"/>
    </row>
    <row r="257" spans="4:15" ht="14.1" customHeight="1">
      <c r="D257" s="564"/>
      <c r="E257" s="82"/>
      <c r="F257" s="65"/>
      <c r="G257" s="565"/>
      <c r="H257" s="565"/>
      <c r="I257" s="565"/>
      <c r="J257" s="565"/>
      <c r="K257" s="565"/>
      <c r="L257" s="565"/>
      <c r="O257" s="567"/>
    </row>
    <row r="258" spans="4:15" ht="14.1" customHeight="1">
      <c r="D258" s="56"/>
      <c r="E258" s="82"/>
      <c r="F258" s="65"/>
      <c r="G258" s="565"/>
      <c r="H258" s="565"/>
      <c r="I258" s="565"/>
      <c r="J258" s="565"/>
      <c r="K258" s="565"/>
      <c r="L258" s="565"/>
      <c r="O258" s="567"/>
    </row>
    <row r="259" spans="4:15" ht="14.1" customHeight="1">
      <c r="D259" s="564"/>
      <c r="E259" s="82"/>
      <c r="F259" s="65"/>
      <c r="G259" s="565"/>
      <c r="H259" s="565"/>
      <c r="I259" s="565"/>
      <c r="J259" s="565"/>
      <c r="K259" s="565"/>
      <c r="L259" s="565"/>
      <c r="O259" s="567"/>
    </row>
    <row r="260" spans="4:15" ht="14.1" customHeight="1">
      <c r="D260" s="564"/>
      <c r="E260" s="82"/>
      <c r="F260" s="65"/>
      <c r="G260" s="565"/>
      <c r="H260" s="565"/>
      <c r="I260" s="565"/>
      <c r="J260" s="565"/>
      <c r="K260" s="565"/>
      <c r="L260" s="565"/>
      <c r="O260" s="567"/>
    </row>
    <row r="261" spans="4:15" ht="14.1" customHeight="1">
      <c r="D261" s="56"/>
      <c r="E261" s="82"/>
      <c r="F261" s="65"/>
      <c r="G261" s="565"/>
      <c r="H261" s="565"/>
      <c r="I261" s="565"/>
      <c r="J261" s="565"/>
      <c r="K261" s="565"/>
      <c r="L261" s="565"/>
      <c r="O261" s="567"/>
    </row>
    <row r="262" spans="4:15" ht="14.1" customHeight="1">
      <c r="D262" s="564"/>
      <c r="E262" s="82"/>
      <c r="F262" s="65"/>
      <c r="G262" s="565"/>
      <c r="H262" s="565"/>
      <c r="I262" s="565"/>
      <c r="J262" s="565"/>
      <c r="K262" s="565"/>
      <c r="L262" s="565"/>
      <c r="O262" s="567"/>
    </row>
    <row r="263" spans="4:15" ht="14.1" customHeight="1">
      <c r="D263" s="564"/>
      <c r="E263" s="82"/>
      <c r="F263" s="65"/>
      <c r="G263" s="565"/>
      <c r="H263" s="565"/>
      <c r="I263" s="565"/>
      <c r="J263" s="565"/>
      <c r="K263" s="565"/>
      <c r="L263" s="565"/>
      <c r="O263" s="567"/>
    </row>
    <row r="264" spans="4:15" ht="14.1" customHeight="1">
      <c r="D264" s="56"/>
      <c r="E264" s="82"/>
      <c r="F264" s="65"/>
      <c r="G264" s="565"/>
      <c r="H264" s="565"/>
      <c r="I264" s="565"/>
      <c r="J264" s="565"/>
      <c r="K264" s="565"/>
      <c r="L264" s="565"/>
      <c r="O264" s="567"/>
    </row>
    <row r="265" spans="4:15" ht="14.1" customHeight="1">
      <c r="D265" s="564"/>
      <c r="E265" s="82"/>
      <c r="F265" s="65"/>
      <c r="G265" s="565"/>
      <c r="H265" s="565"/>
      <c r="I265" s="565"/>
      <c r="J265" s="565"/>
      <c r="K265" s="565"/>
      <c r="L265" s="565"/>
      <c r="O265" s="567"/>
    </row>
    <row r="266" spans="4:15" ht="14.1" customHeight="1">
      <c r="D266" s="556"/>
      <c r="E266" s="82"/>
      <c r="F266" s="65"/>
      <c r="G266" s="565"/>
      <c r="H266" s="565"/>
      <c r="I266" s="565"/>
      <c r="J266" s="565"/>
      <c r="K266" s="565"/>
      <c r="L266" s="565"/>
      <c r="O266" s="567"/>
    </row>
    <row r="267" spans="4:15" ht="14.1" customHeight="1">
      <c r="D267" s="556"/>
      <c r="E267" s="82"/>
      <c r="F267" s="65"/>
      <c r="G267" s="565"/>
      <c r="H267" s="565"/>
      <c r="I267" s="565"/>
      <c r="J267" s="565"/>
      <c r="K267" s="565"/>
      <c r="L267" s="565"/>
      <c r="O267" s="567"/>
    </row>
    <row r="268" spans="4:15" ht="14.1" customHeight="1">
      <c r="D268" s="556"/>
      <c r="E268" s="82"/>
      <c r="F268" s="65"/>
      <c r="G268" s="565"/>
      <c r="H268" s="565"/>
      <c r="I268" s="565"/>
      <c r="J268" s="565"/>
      <c r="K268" s="565"/>
      <c r="L268" s="565"/>
      <c r="O268" s="567"/>
    </row>
    <row r="269" spans="4:15" ht="14.1" customHeight="1">
      <c r="D269" s="556"/>
      <c r="E269" s="82"/>
      <c r="F269" s="65"/>
      <c r="G269" s="565"/>
      <c r="H269" s="565"/>
      <c r="I269" s="565"/>
      <c r="J269" s="565"/>
      <c r="K269" s="565"/>
      <c r="L269" s="565"/>
      <c r="O269" s="567"/>
    </row>
    <row r="270" spans="4:15" ht="14.1" customHeight="1">
      <c r="D270" s="556"/>
      <c r="E270" s="82"/>
      <c r="F270" s="65"/>
      <c r="G270" s="565"/>
      <c r="H270" s="565"/>
      <c r="I270" s="565"/>
      <c r="J270" s="565"/>
      <c r="K270" s="565"/>
      <c r="L270" s="565"/>
      <c r="O270" s="567"/>
    </row>
    <row r="271" spans="4:15" ht="14.1" customHeight="1">
      <c r="D271" s="556"/>
      <c r="E271" s="82"/>
      <c r="F271" s="65"/>
      <c r="G271" s="565"/>
      <c r="H271" s="565"/>
      <c r="I271" s="565"/>
      <c r="J271" s="565"/>
      <c r="K271" s="565"/>
      <c r="L271" s="565"/>
      <c r="O271" s="567"/>
    </row>
    <row r="272" spans="4:15" ht="14.1" customHeight="1">
      <c r="D272" s="556"/>
      <c r="E272" s="82"/>
      <c r="F272" s="65"/>
      <c r="G272" s="565"/>
      <c r="H272" s="565"/>
      <c r="I272" s="565"/>
      <c r="J272" s="565"/>
      <c r="K272" s="565"/>
      <c r="L272" s="565"/>
      <c r="O272" s="567"/>
    </row>
    <row r="273" spans="4:15" ht="14.1" customHeight="1">
      <c r="D273" s="556"/>
      <c r="E273" s="82"/>
      <c r="F273" s="65"/>
      <c r="G273" s="565"/>
      <c r="H273" s="565"/>
      <c r="I273" s="565"/>
      <c r="J273" s="565"/>
      <c r="K273" s="565"/>
      <c r="L273" s="565"/>
      <c r="O273" s="567"/>
    </row>
    <row r="274" spans="4:15" ht="14.1" customHeight="1">
      <c r="D274" s="556"/>
      <c r="E274" s="82"/>
      <c r="F274" s="65"/>
      <c r="G274" s="565"/>
      <c r="H274" s="565"/>
      <c r="I274" s="565"/>
      <c r="J274" s="565"/>
      <c r="K274" s="565"/>
      <c r="L274" s="565"/>
      <c r="O274" s="567"/>
    </row>
    <row r="275" spans="4:15" ht="14.1" customHeight="1">
      <c r="D275" s="556"/>
      <c r="E275" s="82"/>
      <c r="F275" s="65"/>
      <c r="G275" s="565"/>
      <c r="H275" s="565"/>
      <c r="I275" s="565"/>
      <c r="J275" s="565"/>
      <c r="K275" s="565"/>
      <c r="L275" s="565"/>
      <c r="O275" s="567"/>
    </row>
    <row r="276" spans="4:15" ht="14.1" customHeight="1">
      <c r="D276" s="556"/>
      <c r="E276" s="82"/>
      <c r="F276" s="65"/>
      <c r="G276" s="565"/>
      <c r="H276" s="565"/>
      <c r="I276" s="565"/>
      <c r="J276" s="565"/>
      <c r="K276" s="565"/>
      <c r="L276" s="565"/>
      <c r="O276" s="567"/>
    </row>
    <row r="277" spans="4:15" ht="14.1" customHeight="1">
      <c r="D277" s="556"/>
      <c r="E277" s="82"/>
      <c r="F277" s="65"/>
      <c r="G277" s="565"/>
      <c r="H277" s="565"/>
      <c r="I277" s="565"/>
      <c r="J277" s="565"/>
      <c r="K277" s="565"/>
      <c r="L277" s="565"/>
      <c r="O277" s="567"/>
    </row>
    <row r="278" spans="4:15" ht="14.1" customHeight="1">
      <c r="D278" s="556"/>
      <c r="E278" s="82"/>
      <c r="F278" s="65"/>
      <c r="G278" s="565"/>
      <c r="H278" s="565"/>
      <c r="I278" s="565"/>
      <c r="J278" s="565"/>
      <c r="K278" s="565"/>
      <c r="L278" s="565"/>
      <c r="O278" s="567"/>
    </row>
    <row r="279" spans="4:15" ht="14.1" customHeight="1">
      <c r="D279" s="556"/>
      <c r="E279" s="568"/>
      <c r="F279" s="65"/>
      <c r="G279" s="565"/>
      <c r="H279" s="565"/>
      <c r="I279" s="565"/>
      <c r="J279" s="565"/>
      <c r="K279" s="565"/>
      <c r="L279" s="565"/>
      <c r="O279" s="567"/>
    </row>
    <row r="280" spans="4:15" ht="14.1" customHeight="1">
      <c r="D280" s="556"/>
      <c r="E280" s="568"/>
      <c r="F280" s="65"/>
      <c r="G280" s="565"/>
      <c r="H280" s="565"/>
      <c r="I280" s="565"/>
      <c r="J280" s="565"/>
      <c r="K280" s="565"/>
      <c r="L280" s="565"/>
      <c r="O280" s="567"/>
    </row>
    <row r="281" spans="4:15">
      <c r="D281" s="556"/>
      <c r="E281" s="568"/>
      <c r="F281" s="65"/>
      <c r="G281" s="565"/>
      <c r="H281" s="565"/>
      <c r="I281" s="565"/>
      <c r="J281" s="565"/>
      <c r="K281" s="565"/>
      <c r="L281" s="565"/>
      <c r="O281" s="567"/>
    </row>
    <row r="282" spans="4:15">
      <c r="D282" s="556"/>
      <c r="E282" s="568"/>
      <c r="F282" s="65"/>
      <c r="G282" s="565"/>
      <c r="H282" s="565"/>
      <c r="I282" s="565"/>
      <c r="J282" s="565"/>
      <c r="K282" s="565"/>
      <c r="L282" s="565"/>
      <c r="O282" s="567"/>
    </row>
    <row r="283" spans="4:15">
      <c r="D283" s="556"/>
      <c r="E283" s="568"/>
      <c r="F283" s="65"/>
      <c r="G283" s="565"/>
      <c r="H283" s="565"/>
      <c r="I283" s="565"/>
      <c r="J283" s="565"/>
      <c r="K283" s="565"/>
      <c r="L283" s="565"/>
      <c r="O283" s="567"/>
    </row>
    <row r="284" spans="4:15">
      <c r="D284" s="556"/>
      <c r="E284" s="568"/>
      <c r="F284" s="65"/>
      <c r="G284" s="565"/>
      <c r="H284" s="565"/>
      <c r="I284" s="565"/>
      <c r="J284" s="565"/>
      <c r="K284" s="565"/>
      <c r="L284" s="565"/>
      <c r="O284" s="567"/>
    </row>
    <row r="285" spans="4:15">
      <c r="D285" s="556"/>
      <c r="E285" s="568"/>
      <c r="F285" s="65"/>
      <c r="G285" s="565"/>
      <c r="H285" s="565"/>
      <c r="I285" s="565"/>
      <c r="J285" s="565"/>
      <c r="K285" s="565"/>
      <c r="L285" s="565"/>
      <c r="O285" s="567"/>
    </row>
    <row r="286" spans="4:15">
      <c r="D286" s="556"/>
      <c r="E286" s="568"/>
      <c r="F286" s="65"/>
      <c r="G286" s="565"/>
      <c r="H286" s="565"/>
      <c r="I286" s="565"/>
      <c r="J286" s="565"/>
      <c r="K286" s="565"/>
      <c r="L286" s="565"/>
      <c r="O286" s="567"/>
    </row>
    <row r="287" spans="4:15">
      <c r="D287" s="556"/>
      <c r="E287" s="568"/>
      <c r="F287" s="65"/>
      <c r="G287" s="565"/>
      <c r="H287" s="565"/>
      <c r="I287" s="565"/>
      <c r="J287" s="565"/>
      <c r="K287" s="565"/>
      <c r="L287" s="565"/>
      <c r="O287" s="567"/>
    </row>
    <row r="288" spans="4:15">
      <c r="D288" s="556"/>
      <c r="E288" s="568"/>
      <c r="F288" s="65"/>
      <c r="G288" s="565"/>
      <c r="H288" s="565"/>
      <c r="I288" s="565"/>
      <c r="J288" s="565"/>
      <c r="K288" s="565"/>
      <c r="L288" s="565"/>
      <c r="O288" s="567"/>
    </row>
    <row r="289" spans="4:15">
      <c r="D289" s="556"/>
      <c r="E289" s="568"/>
      <c r="F289" s="65"/>
      <c r="G289" s="565"/>
      <c r="H289" s="565"/>
      <c r="I289" s="565"/>
      <c r="J289" s="565"/>
      <c r="K289" s="565"/>
      <c r="L289" s="565"/>
      <c r="O289" s="567"/>
    </row>
    <row r="290" spans="4:15">
      <c r="D290" s="556"/>
      <c r="E290" s="568"/>
      <c r="F290" s="65"/>
      <c r="G290" s="565"/>
      <c r="H290" s="565"/>
      <c r="I290" s="565"/>
      <c r="J290" s="565"/>
      <c r="K290" s="565"/>
      <c r="L290" s="565"/>
      <c r="O290" s="567"/>
    </row>
    <row r="291" spans="4:15">
      <c r="D291" s="556"/>
      <c r="E291" s="568"/>
      <c r="F291" s="65"/>
      <c r="G291" s="565"/>
      <c r="H291" s="565"/>
      <c r="I291" s="565"/>
      <c r="J291" s="565"/>
      <c r="K291" s="565"/>
      <c r="L291" s="565"/>
      <c r="O291" s="567"/>
    </row>
    <row r="292" spans="4:15">
      <c r="D292" s="556"/>
      <c r="E292" s="568"/>
      <c r="F292" s="65"/>
      <c r="G292" s="565"/>
      <c r="H292" s="565"/>
      <c r="I292" s="565"/>
      <c r="J292" s="565"/>
      <c r="K292" s="565"/>
      <c r="L292" s="565"/>
      <c r="O292" s="567"/>
    </row>
  </sheetData>
  <sheetProtection sheet="1" formatCells="0" formatColumns="0" formatRows="0" insertColumns="0" insertRows="0"/>
  <mergeCells count="95">
    <mergeCell ref="F159:L159"/>
    <mergeCell ref="W51:W58"/>
    <mergeCell ref="N77:N78"/>
    <mergeCell ref="O77:O78"/>
    <mergeCell ref="P77:P78"/>
    <mergeCell ref="Q77:Q78"/>
    <mergeCell ref="R77:R78"/>
    <mergeCell ref="S77:S78"/>
    <mergeCell ref="N60:N63"/>
    <mergeCell ref="O60:O63"/>
    <mergeCell ref="P60:P63"/>
    <mergeCell ref="Q60:Q63"/>
    <mergeCell ref="R60:R63"/>
    <mergeCell ref="N67:N75"/>
    <mergeCell ref="O67:O75"/>
    <mergeCell ref="P67:P75"/>
    <mergeCell ref="S41:S47"/>
    <mergeCell ref="T41:T47"/>
    <mergeCell ref="U41:U47"/>
    <mergeCell ref="W41:W46"/>
    <mergeCell ref="S49:S50"/>
    <mergeCell ref="T49:T50"/>
    <mergeCell ref="U49:U50"/>
    <mergeCell ref="W49:W50"/>
    <mergeCell ref="N49:N50"/>
    <mergeCell ref="O49:O50"/>
    <mergeCell ref="P49:P50"/>
    <mergeCell ref="Q49:Q50"/>
    <mergeCell ref="R49:R50"/>
    <mergeCell ref="N41:N47"/>
    <mergeCell ref="O41:O47"/>
    <mergeCell ref="P41:P47"/>
    <mergeCell ref="Q41:Q47"/>
    <mergeCell ref="R41:R47"/>
    <mergeCell ref="O35:U35"/>
    <mergeCell ref="W36:W40"/>
    <mergeCell ref="S21:S27"/>
    <mergeCell ref="T21:T27"/>
    <mergeCell ref="U21:U27"/>
    <mergeCell ref="W21:W27"/>
    <mergeCell ref="S28:S30"/>
    <mergeCell ref="T28:T30"/>
    <mergeCell ref="U28:U30"/>
    <mergeCell ref="W28:W30"/>
    <mergeCell ref="O21:O27"/>
    <mergeCell ref="P21:P27"/>
    <mergeCell ref="Q21:Q27"/>
    <mergeCell ref="R21:R27"/>
    <mergeCell ref="N28:N30"/>
    <mergeCell ref="O28:O30"/>
    <mergeCell ref="P28:P30"/>
    <mergeCell ref="Q28:Q30"/>
    <mergeCell ref="R28:R30"/>
    <mergeCell ref="F111:L111"/>
    <mergeCell ref="F2:L2"/>
    <mergeCell ref="O2:U2"/>
    <mergeCell ref="O5:U5"/>
    <mergeCell ref="S11:S17"/>
    <mergeCell ref="T11:T17"/>
    <mergeCell ref="U11:U17"/>
    <mergeCell ref="N51:N58"/>
    <mergeCell ref="O51:O58"/>
    <mergeCell ref="P51:P58"/>
    <mergeCell ref="Q51:Q58"/>
    <mergeCell ref="R51:R58"/>
    <mergeCell ref="S51:S58"/>
    <mergeCell ref="T51:T58"/>
    <mergeCell ref="U51:U58"/>
    <mergeCell ref="N21:N27"/>
    <mergeCell ref="W11:W17"/>
    <mergeCell ref="N19:N20"/>
    <mergeCell ref="O19:O20"/>
    <mergeCell ref="P19:P20"/>
    <mergeCell ref="Q19:Q20"/>
    <mergeCell ref="R19:R20"/>
    <mergeCell ref="S19:S20"/>
    <mergeCell ref="T19:T20"/>
    <mergeCell ref="U19:U20"/>
    <mergeCell ref="W19:W20"/>
    <mergeCell ref="N11:N17"/>
    <mergeCell ref="O11:O17"/>
    <mergeCell ref="P11:P17"/>
    <mergeCell ref="Q11:Q17"/>
    <mergeCell ref="R11:R17"/>
    <mergeCell ref="T77:T78"/>
    <mergeCell ref="U77:U78"/>
    <mergeCell ref="S60:S63"/>
    <mergeCell ref="T60:T63"/>
    <mergeCell ref="U60:U63"/>
    <mergeCell ref="O65:U65"/>
    <mergeCell ref="S67:S75"/>
    <mergeCell ref="T67:T75"/>
    <mergeCell ref="U67:U75"/>
    <mergeCell ref="Q67:Q75"/>
    <mergeCell ref="R67:R75"/>
  </mergeCells>
  <phoneticPr fontId="15" type="noConversion"/>
  <conditionalFormatting sqref="C257:C267">
    <cfRule type="containsText" dxfId="118" priority="92" operator="containsText" text="FL">
      <formula>NOT(ISERROR(SEARCH("FL",C257)))</formula>
    </cfRule>
    <cfRule type="containsText" dxfId="117" priority="93" operator="containsText" text="FT">
      <formula>NOT(ISERROR(SEARCH("FT",C257)))</formula>
    </cfRule>
    <cfRule type="containsText" dxfId="116" priority="94" operator="containsText" text="SS">
      <formula>NOT(ISERROR(SEARCH("SS",C257)))</formula>
    </cfRule>
    <cfRule type="containsText" dxfId="115" priority="95" operator="containsText" text="GR">
      <formula>NOT(ISERROR(SEARCH("GR",C257)))</formula>
    </cfRule>
    <cfRule type="containsText" dxfId="114" priority="96" operator="containsText" text="GO">
      <formula>NOT(ISERROR(SEARCH("GO",C257)))</formula>
    </cfRule>
  </conditionalFormatting>
  <conditionalFormatting sqref="D72 D110:D111">
    <cfRule type="containsText" dxfId="113" priority="84" operator="containsText" text="GR">
      <formula>NOT(ISERROR(SEARCH("GR",D72)))</formula>
    </cfRule>
  </conditionalFormatting>
  <conditionalFormatting sqref="D80:D81 D73:D78">
    <cfRule type="duplicateValues" dxfId="112" priority="74"/>
  </conditionalFormatting>
  <conditionalFormatting sqref="D84:D88">
    <cfRule type="duplicateValues" dxfId="111" priority="73"/>
  </conditionalFormatting>
  <conditionalFormatting sqref="D85:D86">
    <cfRule type="duplicateValues" dxfId="110" priority="70"/>
    <cfRule type="duplicateValues" dxfId="109" priority="71"/>
  </conditionalFormatting>
  <conditionalFormatting sqref="D89:D90">
    <cfRule type="duplicateValues" dxfId="108" priority="72"/>
  </conditionalFormatting>
  <conditionalFormatting sqref="D92">
    <cfRule type="duplicateValues" dxfId="107" priority="1"/>
  </conditionalFormatting>
  <conditionalFormatting sqref="D104:D107 D93:D102">
    <cfRule type="duplicateValues" dxfId="106" priority="68"/>
  </conditionalFormatting>
  <conditionalFormatting sqref="D107">
    <cfRule type="duplicateValues" dxfId="105" priority="66"/>
    <cfRule type="duplicateValues" dxfId="104" priority="67"/>
  </conditionalFormatting>
  <conditionalFormatting sqref="D109">
    <cfRule type="duplicateValues" dxfId="103" priority="69"/>
  </conditionalFormatting>
  <conditionalFormatting sqref="D185:D186 D178:D183">
    <cfRule type="duplicateValues" dxfId="102" priority="65"/>
  </conditionalFormatting>
  <conditionalFormatting sqref="D188:D192">
    <cfRule type="duplicateValues" dxfId="101" priority="64"/>
  </conditionalFormatting>
  <conditionalFormatting sqref="D189:D190">
    <cfRule type="duplicateValues" dxfId="100" priority="61"/>
    <cfRule type="duplicateValues" dxfId="99" priority="62"/>
  </conditionalFormatting>
  <conditionalFormatting sqref="D193">
    <cfRule type="duplicateValues" dxfId="98" priority="63"/>
  </conditionalFormatting>
  <conditionalFormatting sqref="D207:D210 D195:D205">
    <cfRule type="duplicateValues" dxfId="97" priority="59"/>
  </conditionalFormatting>
  <conditionalFormatting sqref="D210">
    <cfRule type="duplicateValues" dxfId="96" priority="57"/>
    <cfRule type="duplicateValues" dxfId="95" priority="58"/>
  </conditionalFormatting>
  <conditionalFormatting sqref="D212">
    <cfRule type="duplicateValues" dxfId="94" priority="60"/>
  </conditionalFormatting>
  <conditionalFormatting sqref="E8 E13">
    <cfRule type="containsText" dxfId="93" priority="85" operator="containsText" text="FC">
      <formula>NOT(ISERROR(SEARCH("FC",E8)))</formula>
    </cfRule>
    <cfRule type="containsText" dxfId="92" priority="86" operator="containsText" text="PAC">
      <formula>NOT(ISERROR(SEARCH("PAC",E8)))</formula>
    </cfRule>
    <cfRule type="containsText" dxfId="91" priority="87" operator="containsText" text="AA">
      <formula>NOT(ISERROR(SEARCH("AA",E8)))</formula>
    </cfRule>
    <cfRule type="containsText" dxfId="90" priority="88" operator="containsText" text="RC">
      <formula>NOT(ISERROR(SEARCH("RC",E8)))</formula>
    </cfRule>
    <cfRule type="containsText" dxfId="89" priority="89" operator="containsText" text="GC">
      <formula>NOT(ISERROR(SEARCH("GC",E8)))</formula>
    </cfRule>
    <cfRule type="containsText" dxfId="88" priority="90" operator="containsText" text="SSC">
      <formula>NOT(ISERROR(SEARCH("SSC",E8)))</formula>
    </cfRule>
    <cfRule type="containsText" dxfId="87" priority="91" operator="containsText" text="CSO">
      <formula>NOT(ISERROR(SEARCH("CSO",E8)))</formula>
    </cfRule>
  </conditionalFormatting>
  <conditionalFormatting sqref="E20 E26 E30">
    <cfRule type="containsText" dxfId="86" priority="97" operator="containsText" text="PAC">
      <formula>NOT(ISERROR(SEARCH("PAC",E20)))</formula>
    </cfRule>
    <cfRule type="containsText" dxfId="85" priority="98" operator="containsText" text="GC">
      <formula>NOT(ISERROR(SEARCH("GC",E20)))</formula>
    </cfRule>
  </conditionalFormatting>
  <conditionalFormatting sqref="E20 E26 E30:E31">
    <cfRule type="containsText" dxfId="84" priority="75" operator="containsText" text="PSSC">
      <formula>NOT(ISERROR(SEARCH("PSSC",E20)))</formula>
    </cfRule>
    <cfRule type="containsText" dxfId="83" priority="76" operator="containsText" text="ASSC">
      <formula>NOT(ISERROR(SEARCH("ASSC",E20)))</formula>
    </cfRule>
    <cfRule type="containsText" dxfId="82" priority="77" operator="containsText" text="CC">
      <formula>NOT(ISERROR(SEARCH("CC",E20)))</formula>
    </cfRule>
    <cfRule type="containsText" dxfId="81" priority="78" operator="containsText" text="CSO">
      <formula>NOT(ISERROR(SEARCH("CSO",E20)))</formula>
    </cfRule>
    <cfRule type="containsText" dxfId="80" priority="79" operator="containsText" text="FC">
      <formula>NOT(ISERROR(SEARCH("FC",E20)))</formula>
    </cfRule>
    <cfRule type="containsText" dxfId="79" priority="80" operator="containsText" text="RC">
      <formula>NOT(ISERROR(SEARCH("RC",E20)))</formula>
    </cfRule>
    <cfRule type="containsText" dxfId="78" priority="99" stopIfTrue="1" operator="containsText" text="AAC">
      <formula>NOT(ISERROR(SEARCH("AAC",E20)))</formula>
    </cfRule>
  </conditionalFormatting>
  <conditionalFormatting sqref="E20">
    <cfRule type="containsText" dxfId="77" priority="81" stopIfTrue="1" operator="containsText" text="AAC">
      <formula>NOT(ISERROR(SEARCH("AAC",E20)))</formula>
    </cfRule>
    <cfRule type="containsText" dxfId="76" priority="82" operator="containsText" text="PAC">
      <formula>NOT(ISERROR(SEARCH("PAC",E20)))</formula>
    </cfRule>
    <cfRule type="containsText" dxfId="75" priority="83" operator="containsText" text="GC">
      <formula>NOT(ISERROR(SEARCH("GC",E20)))</formula>
    </cfRule>
  </conditionalFormatting>
  <conditionalFormatting sqref="E50:E53">
    <cfRule type="containsText" dxfId="74" priority="2" operator="containsText" text="PSSC">
      <formula>NOT(ISERROR(SEARCH("PSSC",E50)))</formula>
    </cfRule>
    <cfRule type="containsText" dxfId="73" priority="3" operator="containsText" text="ASSC">
      <formula>NOT(ISERROR(SEARCH("ASSC",E50)))</formula>
    </cfRule>
    <cfRule type="containsText" dxfId="72" priority="4" operator="containsText" text="CC">
      <formula>NOT(ISERROR(SEARCH("CC",E50)))</formula>
    </cfRule>
    <cfRule type="containsText" dxfId="71" priority="5" operator="containsText" text="CSO">
      <formula>NOT(ISERROR(SEARCH("CSO",E50)))</formula>
    </cfRule>
    <cfRule type="containsText" dxfId="70" priority="6" operator="containsText" text="FC">
      <formula>NOT(ISERROR(SEARCH("FC",E50)))</formula>
    </cfRule>
    <cfRule type="containsText" dxfId="69" priority="7" operator="containsText" text="RC">
      <formula>NOT(ISERROR(SEARCH("RC",E50)))</formula>
    </cfRule>
    <cfRule type="containsText" dxfId="68" priority="8" operator="containsText" text="PAC">
      <formula>NOT(ISERROR(SEARCH("PAC",E50)))</formula>
    </cfRule>
    <cfRule type="containsText" dxfId="67" priority="9" operator="containsText" text="GC">
      <formula>NOT(ISERROR(SEARCH("GC",E50)))</formula>
    </cfRule>
    <cfRule type="containsText" dxfId="66" priority="10" stopIfTrue="1" operator="containsText" text="AAC">
      <formula>NOT(ISERROR(SEARCH("AAC",E50)))</formula>
    </cfRule>
  </conditionalFormatting>
  <conditionalFormatting sqref="F84 H84:J84">
    <cfRule type="containsText" dxfId="65" priority="27" operator="containsText" text="PL">
      <formula>NOT(ISERROR(SEARCH("PL",F84)))</formula>
    </cfRule>
    <cfRule type="containsText" dxfId="64" priority="28" operator="containsText" text="SW">
      <formula>NOT(ISERROR(SEARCH("SW",F84)))</formula>
    </cfRule>
    <cfRule type="containsText" dxfId="63" priority="29" operator="containsText" text="AT">
      <formula>NOT(ISERROR(SEARCH("AT",F84)))</formula>
    </cfRule>
    <cfRule type="containsText" dxfId="62" priority="30" operator="containsText" text="SS">
      <formula>NOT(ISERROR(SEARCH("SS",F84)))</formula>
    </cfRule>
  </conditionalFormatting>
  <conditionalFormatting sqref="F86 H86 J86:L86">
    <cfRule type="containsText" dxfId="61" priority="31" operator="containsText" text="PL">
      <formula>NOT(ISERROR(SEARCH("PL",F86)))</formula>
    </cfRule>
    <cfRule type="containsText" dxfId="60" priority="32" operator="containsText" text="SW">
      <formula>NOT(ISERROR(SEARCH("SW",F86)))</formula>
    </cfRule>
    <cfRule type="containsText" dxfId="59" priority="33" operator="containsText" text="AT">
      <formula>NOT(ISERROR(SEARCH("AT",F86)))</formula>
    </cfRule>
    <cfRule type="containsText" dxfId="58" priority="34" operator="containsText" text="SS">
      <formula>NOT(ISERROR(SEARCH("SS",F86)))</formula>
    </cfRule>
  </conditionalFormatting>
  <conditionalFormatting sqref="F230:F243 G231:L243 G230:J230">
    <cfRule type="colorScale" priority="186">
      <colorScale>
        <cfvo type="num" val="0"/>
        <cfvo type="num" val="1"/>
        <cfvo type="num" val="2"/>
        <color theme="0"/>
        <color rgb="FFAFFC06"/>
        <color rgb="FFFF0000"/>
      </colorScale>
    </cfRule>
  </conditionalFormatting>
  <conditionalFormatting sqref="F62:J62">
    <cfRule type="containsText" dxfId="57" priority="46" operator="containsText" text="CSO">
      <formula>NOT(ISERROR(SEARCH("CSO",F62)))</formula>
    </cfRule>
    <cfRule type="containsText" dxfId="56" priority="47" operator="containsText" text="FC">
      <formula>NOT(ISERROR(SEARCH("FC",F62)))</formula>
    </cfRule>
    <cfRule type="containsText" dxfId="55" priority="48" operator="containsText" text="SS">
      <formula>NOT(ISERROR(SEARCH("SS",F62)))</formula>
    </cfRule>
    <cfRule type="containsText" dxfId="54" priority="49" operator="containsText" text="RC">
      <formula>NOT(ISERROR(SEARCH("RC",F62)))</formula>
    </cfRule>
    <cfRule type="containsText" dxfId="53" priority="50" operator="containsText" text="PAC">
      <formula>NOT(ISERROR(SEARCH("PAC",F62)))</formula>
    </cfRule>
    <cfRule type="containsText" dxfId="52" priority="51" operator="containsText" text="AAC">
      <formula>NOT(ISERROR(SEARCH("AAC",F62)))</formula>
    </cfRule>
    <cfRule type="containsText" dxfId="51" priority="52" operator="containsText" text="GC">
      <formula>NOT(ISERROR(SEARCH("GC",F62)))</formula>
    </cfRule>
  </conditionalFormatting>
  <conditionalFormatting sqref="F64:J65">
    <cfRule type="cellIs" dxfId="50" priority="55" operator="lessThan">
      <formula>5</formula>
    </cfRule>
  </conditionalFormatting>
  <conditionalFormatting sqref="F27:J27 F28:L59 F8:L8 F10:L26 H9:L9 F9">
    <cfRule type="containsText" dxfId="49" priority="37" operator="containsText" text="PAC">
      <formula>NOT(ISERROR(SEARCH("PAC",F8)))</formula>
    </cfRule>
    <cfRule type="containsText" dxfId="48" priority="38" operator="containsText" text="AAC">
      <formula>NOT(ISERROR(SEARCH("AAC",F8)))</formula>
    </cfRule>
    <cfRule type="containsText" dxfId="47" priority="39" operator="containsText" text="GC">
      <formula>NOT(ISERROR(SEARCH("GC",F8)))</formula>
    </cfRule>
    <cfRule type="containsText" dxfId="46" priority="40" operator="containsText" text="FC">
      <formula>NOT(ISERROR(SEARCH("FC",F8)))</formula>
    </cfRule>
    <cfRule type="containsText" dxfId="45" priority="41" operator="containsText" text="CC">
      <formula>NOT(ISERROR(SEARCH("CC",F8)))</formula>
    </cfRule>
    <cfRule type="containsText" dxfId="44" priority="42" operator="containsText" text="RC">
      <formula>NOT(ISERROR(SEARCH("RC",F8)))</formula>
    </cfRule>
    <cfRule type="containsText" dxfId="43" priority="43" operator="containsText" text="SSC">
      <formula>NOT(ISERROR(SEARCH("SSC",F8)))</formula>
    </cfRule>
    <cfRule type="containsText" dxfId="42" priority="44" operator="containsText" text="CSO">
      <formula>NOT(ISERROR(SEARCH("CSO",F8)))</formula>
    </cfRule>
  </conditionalFormatting>
  <conditionalFormatting sqref="F64:L64 F65:J65">
    <cfRule type="cellIs" dxfId="41" priority="56" operator="greaterThan">
      <formula>6</formula>
    </cfRule>
  </conditionalFormatting>
  <conditionalFormatting sqref="F67:L71">
    <cfRule type="containsText" dxfId="40" priority="35" operator="containsText" text="RC">
      <formula>NOT(ISERROR(SEARCH("RC",F67)))</formula>
    </cfRule>
    <cfRule type="containsText" dxfId="39" priority="36" operator="containsText" text="CC">
      <formula>NOT(ISERROR(SEARCH("CC",F67)))</formula>
    </cfRule>
  </conditionalFormatting>
  <conditionalFormatting sqref="F171:L171">
    <cfRule type="cellIs" dxfId="38" priority="54" operator="greaterThan">
      <formula>3</formula>
    </cfRule>
  </conditionalFormatting>
  <conditionalFormatting sqref="F173:L173">
    <cfRule type="cellIs" dxfId="37" priority="53" operator="greaterThan">
      <formula>4</formula>
    </cfRule>
  </conditionalFormatting>
  <conditionalFormatting sqref="G89:G90">
    <cfRule type="containsText" dxfId="36" priority="11" operator="containsText" text="PL">
      <formula>NOT(ISERROR(SEARCH("PL",G89)))</formula>
    </cfRule>
    <cfRule type="containsText" dxfId="35" priority="12" operator="containsText" text="SW">
      <formula>NOT(ISERROR(SEARCH("SW",G89)))</formula>
    </cfRule>
    <cfRule type="containsText" dxfId="34" priority="13" operator="containsText" text="AT">
      <formula>NOT(ISERROR(SEARCH("AT",G89)))</formula>
    </cfRule>
    <cfRule type="containsText" dxfId="33" priority="14" operator="containsText" text="SS">
      <formula>NOT(ISERROR(SEARCH("SS",G89)))</formula>
    </cfRule>
  </conditionalFormatting>
  <conditionalFormatting sqref="H88:I88">
    <cfRule type="containsText" dxfId="32" priority="19" operator="containsText" text="PL">
      <formula>NOT(ISERROR(SEARCH("PL",H88)))</formula>
    </cfRule>
    <cfRule type="containsText" dxfId="31" priority="20" operator="containsText" text="SW">
      <formula>NOT(ISERROR(SEARCH("SW",H88)))</formula>
    </cfRule>
    <cfRule type="containsText" dxfId="30" priority="21" operator="containsText" text="AT">
      <formula>NOT(ISERROR(SEARCH("AT",H88)))</formula>
    </cfRule>
    <cfRule type="containsText" dxfId="29" priority="22" operator="containsText" text="SS">
      <formula>NOT(ISERROR(SEARCH("SS",H88)))</formula>
    </cfRule>
  </conditionalFormatting>
  <conditionalFormatting sqref="I87:J87">
    <cfRule type="containsText" dxfId="28" priority="15" operator="containsText" text="PL">
      <formula>NOT(ISERROR(SEARCH("PL",I87)))</formula>
    </cfRule>
    <cfRule type="containsText" dxfId="27" priority="16" operator="containsText" text="SW">
      <formula>NOT(ISERROR(SEARCH("SW",I87)))</formula>
    </cfRule>
    <cfRule type="containsText" dxfId="26" priority="17" operator="containsText" text="AT">
      <formula>NOT(ISERROR(SEARCH("AT",I87)))</formula>
    </cfRule>
    <cfRule type="containsText" dxfId="25" priority="18" operator="containsText" text="SS">
      <formula>NOT(ISERROR(SEARCH("SS",I87)))</formula>
    </cfRule>
  </conditionalFormatting>
  <conditionalFormatting sqref="I85:L85">
    <cfRule type="containsText" dxfId="24" priority="23" operator="containsText" text="PL">
      <formula>NOT(ISERROR(SEARCH("PL",I85)))</formula>
    </cfRule>
    <cfRule type="containsText" dxfId="23" priority="24" operator="containsText" text="SW">
      <formula>NOT(ISERROR(SEARCH("SW",I85)))</formula>
    </cfRule>
    <cfRule type="containsText" dxfId="22" priority="25" operator="containsText" text="AT">
      <formula>NOT(ISERROR(SEARCH("AT",I85)))</formula>
    </cfRule>
    <cfRule type="containsText" dxfId="21" priority="26" operator="containsText" text="SS">
      <formula>NOT(ISERROR(SEARCH("SS",I85)))</formula>
    </cfRule>
  </conditionalFormatting>
  <conditionalFormatting sqref="K64:L65">
    <cfRule type="cellIs" dxfId="20" priority="45" operator="greaterThan">
      <formula>3</formula>
    </cfRule>
  </conditionalFormatting>
  <conditionalFormatting sqref="N38:N40">
    <cfRule type="containsText" dxfId="19" priority="136" operator="containsText" text="NAMIT">
      <formula>NOT(ISERROR(SEARCH("NAMIT",N38)))</formula>
    </cfRule>
  </conditionalFormatting>
  <conditionalFormatting sqref="O6:U6">
    <cfRule type="notContainsErrors" dxfId="18" priority="140">
      <formula>NOT(ISERROR(O6))</formula>
    </cfRule>
  </conditionalFormatting>
  <conditionalFormatting sqref="O7:U7 O37:U37">
    <cfRule type="notContainsErrors" dxfId="17" priority="135">
      <formula>NOT(ISERROR(O7))</formula>
    </cfRule>
  </conditionalFormatting>
  <conditionalFormatting sqref="O8:U8">
    <cfRule type="notContainsErrors" dxfId="16" priority="138">
      <formula>NOT(ISERROR(O8))</formula>
    </cfRule>
  </conditionalFormatting>
  <conditionalFormatting sqref="O9:U9">
    <cfRule type="notContainsErrors" dxfId="15" priority="149">
      <formula>NOT(ISERROR(O9))</formula>
    </cfRule>
  </conditionalFormatting>
  <conditionalFormatting sqref="O10:U10">
    <cfRule type="notContainsErrors" dxfId="14" priority="130">
      <formula>NOT(ISERROR(O10))</formula>
    </cfRule>
  </conditionalFormatting>
  <conditionalFormatting sqref="O18:U18">
    <cfRule type="notContainsErrors" dxfId="13" priority="148">
      <formula>NOT(ISERROR(O18))</formula>
    </cfRule>
  </conditionalFormatting>
  <conditionalFormatting sqref="O36:U36">
    <cfRule type="notContainsErrors" dxfId="12" priority="141">
      <formula>NOT(ISERROR(O36))</formula>
    </cfRule>
  </conditionalFormatting>
  <conditionalFormatting sqref="O38:U38">
    <cfRule type="notContainsErrors" dxfId="11" priority="139">
      <formula>NOT(ISERROR(O38))</formula>
    </cfRule>
  </conditionalFormatting>
  <conditionalFormatting sqref="O39:U39">
    <cfRule type="notContainsErrors" dxfId="10" priority="132">
      <formula>NOT(ISERROR(O39))</formula>
    </cfRule>
  </conditionalFormatting>
  <conditionalFormatting sqref="O40:U40">
    <cfRule type="notContainsErrors" dxfId="9" priority="134">
      <formula>NOT(ISERROR(O40))</formula>
    </cfRule>
  </conditionalFormatting>
  <conditionalFormatting sqref="O48:U48">
    <cfRule type="notContainsErrors" dxfId="8" priority="133">
      <formula>NOT(ISERROR(O48))</formula>
    </cfRule>
  </conditionalFormatting>
  <conditionalFormatting sqref="O66:U66">
    <cfRule type="notContainsErrors" dxfId="7" priority="131">
      <formula>NOT(ISERROR(O66))</formula>
    </cfRule>
  </conditionalFormatting>
  <conditionalFormatting sqref="O76:U76">
    <cfRule type="notContainsErrors" dxfId="6" priority="137">
      <formula>NOT(ISERROR(O76))</formula>
    </cfRule>
  </conditionalFormatting>
  <conditionalFormatting sqref="V132:V1048576 P235:U1048576">
    <cfRule type="containsText" dxfId="5" priority="142" operator="containsText" text="SW">
      <formula>NOT(ISERROR(SEARCH("SW",P132)))</formula>
    </cfRule>
    <cfRule type="containsText" dxfId="4" priority="143" operator="containsText" text="FL">
      <formula>NOT(ISERROR(SEARCH("FL",P132)))</formula>
    </cfRule>
    <cfRule type="containsText" dxfId="3" priority="144" operator="containsText" text="FT">
      <formula>NOT(ISERROR(SEARCH("FT",P132)))</formula>
    </cfRule>
    <cfRule type="containsText" dxfId="2" priority="145" operator="containsText" text="SS">
      <formula>NOT(ISERROR(SEARCH("SS",P132)))</formula>
    </cfRule>
    <cfRule type="containsText" dxfId="1" priority="146" operator="containsText" text="GR">
      <formula>NOT(ISERROR(SEARCH("GR",P132)))</formula>
    </cfRule>
    <cfRule type="containsText" dxfId="0" priority="147" operator="containsText" text="GO">
      <formula>NOT(ISERROR(SEARCH("GO",P132)))</formula>
    </cfRule>
  </conditionalFormatting>
  <dataValidations count="1">
    <dataValidation type="list" allowBlank="1" showInputMessage="1" sqref="F134:L135 J136:L141 F113:G131 G136:H141 H114:H131 I113:J131 K114:L131" xr:uid="{6787DD49-D46C-4A4B-8680-F87B9554D03E}">
      <formula1>#REF!</formula1>
    </dataValidation>
  </dataValidations>
  <pageMargins left="0.7" right="0.7" top="0.75" bottom="0.75" header="0.3" footer="0.3"/>
  <pageSetup paperSize="9" scale="6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968492235361429AAB52A6EA473C89" ma:contentTypeVersion="6" ma:contentTypeDescription="Create a new document." ma:contentTypeScope="" ma:versionID="d08431a72cb96d9d174d80017394f29d">
  <xsd:schema xmlns:xsd="http://www.w3.org/2001/XMLSchema" xmlns:xs="http://www.w3.org/2001/XMLSchema" xmlns:p="http://schemas.microsoft.com/office/2006/metadata/properties" xmlns:ns2="43f6a549-2e31-486a-8ca2-ecdbe383986a" xmlns:ns3="fb9eb030-2d7b-4852-82f9-9275a3af2213" targetNamespace="http://schemas.microsoft.com/office/2006/metadata/properties" ma:root="true" ma:fieldsID="6ba6c3e38b924713484521f5f5ff8431" ns2:_="" ns3:_="">
    <xsd:import namespace="43f6a549-2e31-486a-8ca2-ecdbe383986a"/>
    <xsd:import namespace="fb9eb030-2d7b-4852-82f9-9275a3af22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6a549-2e31-486a-8ca2-ecdbe38398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9eb030-2d7b-4852-82f9-9275a3af22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88494A-4432-4639-9285-64B78DE977FA}"/>
</file>

<file path=customXml/itemProps2.xml><?xml version="1.0" encoding="utf-8"?>
<ds:datastoreItem xmlns:ds="http://schemas.openxmlformats.org/officeDocument/2006/customXml" ds:itemID="{91315FD5-2004-467E-84CC-6C16E3E1D771}"/>
</file>

<file path=customXml/itemProps3.xml><?xml version="1.0" encoding="utf-8"?>
<ds:datastoreItem xmlns:ds="http://schemas.openxmlformats.org/officeDocument/2006/customXml" ds:itemID="{59A85FBC-4489-4424-95E2-AB497727D2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Tara Connell</dc:creator>
  <cp:keywords/>
  <dc:description/>
  <cp:lastModifiedBy>Grace Moretti</cp:lastModifiedBy>
  <cp:revision/>
  <dcterms:created xsi:type="dcterms:W3CDTF">2018-05-11T02:34:39Z</dcterms:created>
  <dcterms:modified xsi:type="dcterms:W3CDTF">2026-04-21T23:08:27Z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0x01010036968492235361429AAB52A6EA473C89</vt:lpwstr>
  </property>
  <property fmtid="{D5CDD505-2E9C-101B-9397-08002B2CF9AE}" pid="3" name="MSIP_Label_be4b8eb5-6a05-4586-852c-c0fcf36d592c_Enabled">
    <vt:lpwstr>true</vt:lpwstr>
  </property>
  <property fmtid="{D5CDD505-2E9C-101B-9397-08002B2CF9AE}" pid="4" name="MSIP_Label_be4b8eb5-6a05-4586-852c-c0fcf36d592c_SetDate">
    <vt:lpwstr>2026-01-12T00:39:00Z</vt:lpwstr>
  </property>
  <property fmtid="{D5CDD505-2E9C-101B-9397-08002B2CF9AE}" pid="5" name="MSIP_Label_be4b8eb5-6a05-4586-852c-c0fcf36d592c_Method">
    <vt:lpwstr>Standard</vt:lpwstr>
  </property>
  <property fmtid="{D5CDD505-2E9C-101B-9397-08002B2CF9AE}" pid="6" name="MSIP_Label_be4b8eb5-6a05-4586-852c-c0fcf36d592c_Name">
    <vt:lpwstr>Document_Email_Internal</vt:lpwstr>
  </property>
  <property fmtid="{D5CDD505-2E9C-101B-9397-08002B2CF9AE}" pid="7" name="MSIP_Label_be4b8eb5-6a05-4586-852c-c0fcf36d592c_SiteId">
    <vt:lpwstr>fd72cf66-868a-4edd-8f84-8e91a618ab7f</vt:lpwstr>
  </property>
  <property fmtid="{D5CDD505-2E9C-101B-9397-08002B2CF9AE}" pid="8" name="MSIP_Label_be4b8eb5-6a05-4586-852c-c0fcf36d592c_ActionId">
    <vt:lpwstr>b78f2002-26b2-403d-9811-a846789fc844</vt:lpwstr>
  </property>
  <property fmtid="{D5CDD505-2E9C-101B-9397-08002B2CF9AE}" pid="9" name="MSIP_Label_be4b8eb5-6a05-4586-852c-c0fcf36d592c_ContentBits">
    <vt:lpwstr>0</vt:lpwstr>
  </property>
  <property fmtid="{D5CDD505-2E9C-101B-9397-08002B2CF9AE}" pid="10" name="MSIP_Label_be4b8eb5-6a05-4586-852c-c0fcf36d592c_Tag">
    <vt:lpwstr>10, 3, 0, 2</vt:lpwstr>
  </property>
</Properties>
</file>