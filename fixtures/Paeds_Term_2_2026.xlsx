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05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monashhealth.sharepoint.com/sites/MonashEDMMC-CLA-PFU-DEP-MedicalRoster/Shared Documents/Medical Roster/"/>
    </mc:Choice>
  </mc:AlternateContent>
  <xr:revisionPtr revIDLastSave="0" documentId="8_{F44B0E0E-0F4C-43CB-ACF0-D20A2FD56D2A}" xr6:coauthVersionLast="47" xr6:coauthVersionMax="47" xr10:uidLastSave="{00000000-0000-0000-0000-000000000000}"/>
  <bookViews>
    <workbookView xWindow="-25500" yWindow="675" windowWidth="21960" windowHeight="14130" firstSheet="3" activeTab="3" xr2:uid="{00000000-000D-0000-FFFF-FFFF00000000}"/>
  </bookViews>
  <sheets>
    <sheet name="Week 1" sheetId="3" r:id="rId1"/>
    <sheet name="Week 2" sheetId="27" r:id="rId2"/>
    <sheet name="Week 3" sheetId="26" r:id="rId3"/>
    <sheet name="Week 4" sheetId="25" r:id="rId4"/>
    <sheet name="Week 5" sheetId="24" r:id="rId5"/>
    <sheet name="Week 6" sheetId="23" r:id="rId6"/>
    <sheet name="Week 7" sheetId="22" r:id="rId7"/>
    <sheet name="Week 8" sheetId="21" r:id="rId8"/>
    <sheet name="Week 9" sheetId="20" r:id="rId9"/>
    <sheet name="Week 10" sheetId="19" r:id="rId10"/>
    <sheet name="Week 11" sheetId="18" r:id="rId11"/>
    <sheet name="Week 12" sheetId="17" r:id="rId12"/>
    <sheet name="Week 13" sheetId="16" r:id="rId13"/>
    <sheet name="Term staffing" sheetId="31" r:id="rId14"/>
    <sheet name="Employee Numbers" sheetId="29" r:id="rId15"/>
    <sheet name="Week 0" sheetId="37" r:id="rId16"/>
  </sheets>
  <externalReferences>
    <externalReference r:id="rId17"/>
  </externalReferences>
  <definedNames>
    <definedName name="Lookup_Sheets" localSheetId="13">'Term staffing'!$AM$2:$AM$14</definedName>
    <definedName name="Lookup_Sheets">#REF!</definedName>
    <definedName name="_xlnm.Print_Area" localSheetId="0">'Week 1'!$A$1:$L$102</definedName>
    <definedName name="_xlnm.Print_Area" localSheetId="9">'Week 10'!$A$1:$L$104</definedName>
    <definedName name="_xlnm.Print_Area" localSheetId="1">'Week 2'!$A$1:$L$107</definedName>
    <definedName name="_xlnm.Print_Area" localSheetId="3">'Week 4'!$A$1:$L$104</definedName>
    <definedName name="_xlnm.Print_Area" localSheetId="4">'Week 5'!$A$1:$L$104</definedName>
    <definedName name="_xlnm.Print_Area" localSheetId="5">'Week 6'!$A$1:$L$104</definedName>
    <definedName name="_xlnm.Print_Area" localSheetId="6">'Week 7'!$A$1:$L$104</definedName>
    <definedName name="_xlnm.Print_Area" localSheetId="7">'Week 8'!$A$1:$L$105</definedName>
    <definedName name="_xlnm.Print_Area" localSheetId="8">'Week 9'!$A$1:$L$104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9" i="18" l="1"/>
  <c r="H169" i="17"/>
  <c r="H169" i="16"/>
  <c r="H169" i="19"/>
  <c r="H163" i="3"/>
  <c r="H174" i="19"/>
  <c r="H174" i="18"/>
  <c r="H174" i="17"/>
  <c r="H174" i="16"/>
  <c r="H175" i="16"/>
  <c r="H159" i="16"/>
  <c r="H158" i="16"/>
  <c r="H151" i="16"/>
  <c r="H150" i="16"/>
  <c r="H149" i="16"/>
  <c r="H148" i="16"/>
  <c r="H147" i="16"/>
  <c r="H175" i="17"/>
  <c r="H159" i="17"/>
  <c r="H158" i="17"/>
  <c r="H151" i="17"/>
  <c r="H150" i="17"/>
  <c r="H149" i="17"/>
  <c r="H148" i="17"/>
  <c r="H147" i="17"/>
  <c r="H175" i="18"/>
  <c r="H159" i="18"/>
  <c r="H158" i="18"/>
  <c r="H151" i="18"/>
  <c r="H150" i="18"/>
  <c r="H149" i="18"/>
  <c r="H148" i="18"/>
  <c r="H147" i="18"/>
  <c r="H175" i="19"/>
  <c r="H159" i="19"/>
  <c r="H158" i="19"/>
  <c r="H151" i="19"/>
  <c r="H150" i="19"/>
  <c r="H149" i="19"/>
  <c r="H148" i="19"/>
  <c r="H147" i="19"/>
  <c r="H175" i="20"/>
  <c r="H170" i="20"/>
  <c r="H159" i="20"/>
  <c r="H158" i="20"/>
  <c r="H151" i="20"/>
  <c r="H150" i="20"/>
  <c r="H149" i="20"/>
  <c r="H175" i="21"/>
  <c r="H170" i="21"/>
  <c r="H158" i="21"/>
  <c r="H151" i="21"/>
  <c r="H150" i="21"/>
  <c r="H149" i="21"/>
  <c r="H147" i="21"/>
  <c r="H175" i="22"/>
  <c r="H170" i="22"/>
  <c r="H158" i="22"/>
  <c r="H151" i="22"/>
  <c r="H150" i="22"/>
  <c r="H149" i="22"/>
  <c r="H148" i="22"/>
  <c r="H147" i="22"/>
  <c r="H175" i="23"/>
  <c r="H170" i="23"/>
  <c r="H159" i="23"/>
  <c r="H158" i="23"/>
  <c r="H151" i="23"/>
  <c r="H150" i="23"/>
  <c r="H149" i="23"/>
  <c r="H148" i="23"/>
  <c r="H147" i="23"/>
  <c r="H175" i="24"/>
  <c r="H170" i="24"/>
  <c r="H159" i="24"/>
  <c r="H158" i="24"/>
  <c r="H151" i="24"/>
  <c r="H150" i="24"/>
  <c r="H149" i="24"/>
  <c r="H148" i="24"/>
  <c r="H147" i="24"/>
  <c r="H175" i="25"/>
  <c r="H170" i="25"/>
  <c r="H159" i="25"/>
  <c r="H158" i="25"/>
  <c r="H151" i="25"/>
  <c r="H150" i="25"/>
  <c r="H149" i="25"/>
  <c r="H148" i="25"/>
  <c r="H175" i="26"/>
  <c r="H170" i="26"/>
  <c r="H159" i="26"/>
  <c r="H158" i="26"/>
  <c r="H151" i="26"/>
  <c r="H150" i="26"/>
  <c r="H149" i="26"/>
  <c r="H148" i="26"/>
  <c r="H147" i="26"/>
  <c r="H175" i="27"/>
  <c r="H170" i="27"/>
  <c r="H159" i="27"/>
  <c r="H158" i="27"/>
  <c r="H151" i="27"/>
  <c r="H150" i="27"/>
  <c r="H149" i="27"/>
  <c r="H148" i="27"/>
  <c r="H147" i="27"/>
  <c r="H175" i="3"/>
  <c r="H170" i="3"/>
  <c r="H158" i="3"/>
  <c r="H148" i="3"/>
  <c r="G52" i="3"/>
  <c r="H52" i="3" s="1"/>
  <c r="I52" i="3" s="1"/>
  <c r="J52" i="3" s="1"/>
  <c r="K52" i="3" s="1"/>
  <c r="L52" i="3" s="1"/>
  <c r="I19" i="3"/>
  <c r="F52" i="3"/>
  <c r="G2" i="3"/>
  <c r="N48" i="22" a="1"/>
  <c r="N48" i="22" s="1"/>
  <c r="P48" i="22" s="1"/>
  <c r="S48" i="22"/>
  <c r="V48" i="22"/>
  <c r="W48" i="22"/>
  <c r="Y48" i="22"/>
  <c r="N48" i="23" a="1"/>
  <c r="N48" i="23" s="1"/>
  <c r="P48" i="23" s="1"/>
  <c r="S48" i="23"/>
  <c r="V48" i="23"/>
  <c r="W48" i="23"/>
  <c r="Y48" i="23"/>
  <c r="E44" i="23"/>
  <c r="E44" i="24"/>
  <c r="E44" i="25"/>
  <c r="E44" i="26"/>
  <c r="E21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34" i="21"/>
  <c r="E35" i="21"/>
  <c r="E36" i="21"/>
  <c r="E37" i="21"/>
  <c r="E38" i="21"/>
  <c r="E39" i="21"/>
  <c r="E40" i="21"/>
  <c r="E41" i="21"/>
  <c r="E42" i="21"/>
  <c r="E43" i="21"/>
  <c r="E44" i="21"/>
  <c r="E45" i="21"/>
  <c r="E46" i="21"/>
  <c r="E47" i="21"/>
  <c r="E21" i="22"/>
  <c r="E22" i="22"/>
  <c r="E23" i="22"/>
  <c r="E24" i="22"/>
  <c r="E25" i="22"/>
  <c r="E26" i="22"/>
  <c r="E27" i="22"/>
  <c r="E28" i="22"/>
  <c r="E29" i="22"/>
  <c r="E30" i="22"/>
  <c r="E31" i="22"/>
  <c r="E32" i="22"/>
  <c r="E33" i="22"/>
  <c r="E34" i="22"/>
  <c r="E35" i="22"/>
  <c r="E36" i="22"/>
  <c r="E37" i="22"/>
  <c r="E38" i="22"/>
  <c r="E39" i="22"/>
  <c r="E40" i="22"/>
  <c r="E41" i="22"/>
  <c r="E42" i="22"/>
  <c r="E43" i="22"/>
  <c r="E44" i="22"/>
  <c r="E45" i="22"/>
  <c r="E46" i="22"/>
  <c r="E47" i="22"/>
  <c r="E21" i="23"/>
  <c r="E22" i="23"/>
  <c r="E23" i="23"/>
  <c r="E24" i="23"/>
  <c r="E25" i="23"/>
  <c r="E26" i="23"/>
  <c r="E27" i="23"/>
  <c r="E28" i="23"/>
  <c r="E29" i="23"/>
  <c r="E30" i="23"/>
  <c r="E31" i="23"/>
  <c r="E32" i="23"/>
  <c r="E33" i="23"/>
  <c r="E34" i="23"/>
  <c r="E35" i="23"/>
  <c r="E36" i="23"/>
  <c r="E37" i="23"/>
  <c r="E38" i="23"/>
  <c r="E39" i="23"/>
  <c r="E40" i="23"/>
  <c r="E41" i="23"/>
  <c r="E42" i="23"/>
  <c r="E43" i="23"/>
  <c r="E45" i="23"/>
  <c r="E46" i="23"/>
  <c r="E47" i="23"/>
  <c r="E21" i="24"/>
  <c r="E22" i="24"/>
  <c r="E23" i="24"/>
  <c r="E24" i="24"/>
  <c r="E25" i="24"/>
  <c r="E26" i="24"/>
  <c r="E27" i="24"/>
  <c r="E28" i="24"/>
  <c r="E29" i="24"/>
  <c r="E30" i="24"/>
  <c r="E31" i="24"/>
  <c r="E32" i="24"/>
  <c r="E33" i="24"/>
  <c r="E34" i="24"/>
  <c r="E35" i="24"/>
  <c r="E36" i="24"/>
  <c r="E37" i="24"/>
  <c r="E38" i="24"/>
  <c r="E39" i="24"/>
  <c r="E40" i="24"/>
  <c r="E41" i="24"/>
  <c r="E42" i="24"/>
  <c r="E43" i="24"/>
  <c r="E45" i="24"/>
  <c r="E46" i="24"/>
  <c r="E47" i="24"/>
  <c r="E21" i="25"/>
  <c r="E22" i="25"/>
  <c r="E23" i="25"/>
  <c r="E24" i="25"/>
  <c r="E25" i="25"/>
  <c r="E26" i="25"/>
  <c r="E27" i="25"/>
  <c r="E28" i="25"/>
  <c r="E29" i="25"/>
  <c r="E30" i="25"/>
  <c r="E31" i="25"/>
  <c r="E32" i="25"/>
  <c r="E33" i="25"/>
  <c r="E34" i="25"/>
  <c r="E35" i="25"/>
  <c r="E36" i="25"/>
  <c r="E37" i="25"/>
  <c r="E38" i="25"/>
  <c r="E39" i="25"/>
  <c r="E40" i="25"/>
  <c r="E41" i="25"/>
  <c r="E42" i="25"/>
  <c r="E43" i="25"/>
  <c r="E45" i="25"/>
  <c r="E46" i="25"/>
  <c r="E47" i="25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5" i="26"/>
  <c r="E46" i="26"/>
  <c r="E47" i="26"/>
  <c r="E21" i="27"/>
  <c r="E22" i="27"/>
  <c r="E23" i="27"/>
  <c r="E24" i="27"/>
  <c r="E25" i="27"/>
  <c r="E26" i="27"/>
  <c r="E27" i="27"/>
  <c r="E28" i="27"/>
  <c r="E29" i="27"/>
  <c r="E30" i="27"/>
  <c r="E31" i="27"/>
  <c r="E32" i="27"/>
  <c r="E33" i="27"/>
  <c r="E34" i="27"/>
  <c r="E35" i="27"/>
  <c r="E36" i="27"/>
  <c r="E37" i="27"/>
  <c r="E38" i="27"/>
  <c r="E39" i="27"/>
  <c r="E40" i="27"/>
  <c r="E41" i="27"/>
  <c r="E42" i="27"/>
  <c r="E43" i="27"/>
  <c r="E44" i="27"/>
  <c r="E45" i="27"/>
  <c r="E46" i="27"/>
  <c r="E47" i="27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G12" i="27" l="1"/>
  <c r="H12" i="27"/>
  <c r="I12" i="27"/>
  <c r="J12" i="27"/>
  <c r="K12" i="27"/>
  <c r="L12" i="27"/>
  <c r="G12" i="26"/>
  <c r="H12" i="26"/>
  <c r="I12" i="26"/>
  <c r="J12" i="26"/>
  <c r="K12" i="26"/>
  <c r="L12" i="26"/>
  <c r="G12" i="25"/>
  <c r="H12" i="25"/>
  <c r="I12" i="25"/>
  <c r="J12" i="25"/>
  <c r="K12" i="25"/>
  <c r="L12" i="25"/>
  <c r="G12" i="24"/>
  <c r="H12" i="24"/>
  <c r="I12" i="24"/>
  <c r="J12" i="24"/>
  <c r="K12" i="24"/>
  <c r="L12" i="24"/>
  <c r="G12" i="23"/>
  <c r="H12" i="23"/>
  <c r="I12" i="23"/>
  <c r="J12" i="23"/>
  <c r="K12" i="23"/>
  <c r="L12" i="23"/>
  <c r="G12" i="22"/>
  <c r="H12" i="22"/>
  <c r="I12" i="22"/>
  <c r="J12" i="22"/>
  <c r="K12" i="22"/>
  <c r="L12" i="22"/>
  <c r="G12" i="21"/>
  <c r="H12" i="21"/>
  <c r="I12" i="21"/>
  <c r="J12" i="21"/>
  <c r="K12" i="21"/>
  <c r="L12" i="21"/>
  <c r="G12" i="20"/>
  <c r="H12" i="20"/>
  <c r="I12" i="20"/>
  <c r="J12" i="20"/>
  <c r="K12" i="20"/>
  <c r="L12" i="20"/>
  <c r="G12" i="19"/>
  <c r="H12" i="19"/>
  <c r="I12" i="19"/>
  <c r="J12" i="19"/>
  <c r="K12" i="19"/>
  <c r="L12" i="19"/>
  <c r="G12" i="18"/>
  <c r="H12" i="18"/>
  <c r="I12" i="18"/>
  <c r="J12" i="18"/>
  <c r="K12" i="18"/>
  <c r="L12" i="18"/>
  <c r="G12" i="17"/>
  <c r="H12" i="17"/>
  <c r="I12" i="17"/>
  <c r="J12" i="17"/>
  <c r="K12" i="17"/>
  <c r="L12" i="17"/>
  <c r="G12" i="16"/>
  <c r="H12" i="16"/>
  <c r="I12" i="16"/>
  <c r="J12" i="16"/>
  <c r="K12" i="16"/>
  <c r="L12" i="16"/>
  <c r="G12" i="3"/>
  <c r="H12" i="3"/>
  <c r="I12" i="3"/>
  <c r="J12" i="3"/>
  <c r="K12" i="3"/>
  <c r="L12" i="3"/>
  <c r="F12" i="27"/>
  <c r="F12" i="26"/>
  <c r="F12" i="25"/>
  <c r="F12" i="24"/>
  <c r="F12" i="23"/>
  <c r="F12" i="22"/>
  <c r="F12" i="21"/>
  <c r="F12" i="20"/>
  <c r="F12" i="19"/>
  <c r="F12" i="18"/>
  <c r="F12" i="17"/>
  <c r="F12" i="16"/>
  <c r="F12" i="3"/>
  <c r="G10" i="27"/>
  <c r="H10" i="27"/>
  <c r="I10" i="27"/>
  <c r="J10" i="27"/>
  <c r="K10" i="27"/>
  <c r="L10" i="27"/>
  <c r="G10" i="26"/>
  <c r="H10" i="26"/>
  <c r="I10" i="26"/>
  <c r="J10" i="26"/>
  <c r="K10" i="26"/>
  <c r="L10" i="26"/>
  <c r="G10" i="25"/>
  <c r="H10" i="25"/>
  <c r="I10" i="25"/>
  <c r="J10" i="25"/>
  <c r="K10" i="25"/>
  <c r="L10" i="25"/>
  <c r="G10" i="24"/>
  <c r="H10" i="24"/>
  <c r="I10" i="24"/>
  <c r="J10" i="24"/>
  <c r="K10" i="24"/>
  <c r="L10" i="24"/>
  <c r="G10" i="23"/>
  <c r="H10" i="23"/>
  <c r="I10" i="23"/>
  <c r="J10" i="23"/>
  <c r="K10" i="23"/>
  <c r="L10" i="23"/>
  <c r="G10" i="22"/>
  <c r="H10" i="22"/>
  <c r="I10" i="22"/>
  <c r="J10" i="22"/>
  <c r="K10" i="22"/>
  <c r="L10" i="22"/>
  <c r="G10" i="21"/>
  <c r="H10" i="21"/>
  <c r="I10" i="21"/>
  <c r="J10" i="21"/>
  <c r="K10" i="21"/>
  <c r="L10" i="21"/>
  <c r="G10" i="20"/>
  <c r="H10" i="20"/>
  <c r="I10" i="20"/>
  <c r="J10" i="20"/>
  <c r="K10" i="20"/>
  <c r="L10" i="20"/>
  <c r="G10" i="19"/>
  <c r="H10" i="19"/>
  <c r="I10" i="19"/>
  <c r="J10" i="19"/>
  <c r="K10" i="19"/>
  <c r="L10" i="19"/>
  <c r="G10" i="18"/>
  <c r="H10" i="18"/>
  <c r="I10" i="18"/>
  <c r="J10" i="18"/>
  <c r="K10" i="18"/>
  <c r="L10" i="18"/>
  <c r="G10" i="17"/>
  <c r="H10" i="17"/>
  <c r="I10" i="17"/>
  <c r="J10" i="17"/>
  <c r="K10" i="17"/>
  <c r="L10" i="17"/>
  <c r="G10" i="16"/>
  <c r="H10" i="16"/>
  <c r="I10" i="16"/>
  <c r="J10" i="16"/>
  <c r="K10" i="16"/>
  <c r="L10" i="16"/>
  <c r="G10" i="3"/>
  <c r="H10" i="3"/>
  <c r="I10" i="3"/>
  <c r="J10" i="3"/>
  <c r="K10" i="3"/>
  <c r="L10" i="3"/>
  <c r="F10" i="27"/>
  <c r="F10" i="26"/>
  <c r="F10" i="25"/>
  <c r="F10" i="24"/>
  <c r="F10" i="23"/>
  <c r="F10" i="22"/>
  <c r="F10" i="21"/>
  <c r="F10" i="20"/>
  <c r="F10" i="19"/>
  <c r="F10" i="18"/>
  <c r="F10" i="17"/>
  <c r="F10" i="16"/>
  <c r="F10" i="3"/>
  <c r="G6" i="27"/>
  <c r="H6" i="27"/>
  <c r="I6" i="27"/>
  <c r="J6" i="27"/>
  <c r="K6" i="27"/>
  <c r="L6" i="27"/>
  <c r="G6" i="26"/>
  <c r="H6" i="26"/>
  <c r="I6" i="26"/>
  <c r="J6" i="26"/>
  <c r="K6" i="26"/>
  <c r="L6" i="26"/>
  <c r="G6" i="25"/>
  <c r="H6" i="25"/>
  <c r="I6" i="25"/>
  <c r="J6" i="25"/>
  <c r="K6" i="25"/>
  <c r="L6" i="25"/>
  <c r="G6" i="24"/>
  <c r="H6" i="24"/>
  <c r="I6" i="24"/>
  <c r="J6" i="24"/>
  <c r="K6" i="24"/>
  <c r="L6" i="24"/>
  <c r="G6" i="23"/>
  <c r="H6" i="23"/>
  <c r="I6" i="23"/>
  <c r="J6" i="23"/>
  <c r="K6" i="23"/>
  <c r="L6" i="23"/>
  <c r="G6" i="22"/>
  <c r="H6" i="22"/>
  <c r="I6" i="22"/>
  <c r="J6" i="22"/>
  <c r="K6" i="22"/>
  <c r="L6" i="22"/>
  <c r="G6" i="21"/>
  <c r="H6" i="21"/>
  <c r="I6" i="21"/>
  <c r="J6" i="21"/>
  <c r="K6" i="21"/>
  <c r="L6" i="21"/>
  <c r="G6" i="20"/>
  <c r="H6" i="20"/>
  <c r="I6" i="20"/>
  <c r="J6" i="20"/>
  <c r="K6" i="20"/>
  <c r="L6" i="20"/>
  <c r="G6" i="19"/>
  <c r="H6" i="19"/>
  <c r="I6" i="19"/>
  <c r="J6" i="19"/>
  <c r="K6" i="19"/>
  <c r="L6" i="19"/>
  <c r="G6" i="18"/>
  <c r="H6" i="18"/>
  <c r="I6" i="18"/>
  <c r="J6" i="18"/>
  <c r="K6" i="18"/>
  <c r="L6" i="18"/>
  <c r="G6" i="17"/>
  <c r="H6" i="17"/>
  <c r="I6" i="17"/>
  <c r="J6" i="17"/>
  <c r="K6" i="17"/>
  <c r="L6" i="17"/>
  <c r="G6" i="16"/>
  <c r="H6" i="16"/>
  <c r="I6" i="16"/>
  <c r="J6" i="16"/>
  <c r="K6" i="16"/>
  <c r="L6" i="16"/>
  <c r="G6" i="3"/>
  <c r="H6" i="3"/>
  <c r="I6" i="3"/>
  <c r="J6" i="3"/>
  <c r="K6" i="3"/>
  <c r="L6" i="3"/>
  <c r="F6" i="27"/>
  <c r="F6" i="26"/>
  <c r="F6" i="25"/>
  <c r="F6" i="24"/>
  <c r="F6" i="23"/>
  <c r="F6" i="22"/>
  <c r="F6" i="21"/>
  <c r="F6" i="20"/>
  <c r="F6" i="19"/>
  <c r="F6" i="18"/>
  <c r="F6" i="17"/>
  <c r="F6" i="16"/>
  <c r="F6" i="3"/>
  <c r="F19" i="3" l="1"/>
  <c r="V21" i="27" l="1"/>
  <c r="V21" i="26"/>
  <c r="V21" i="25"/>
  <c r="V21" i="24"/>
  <c r="V21" i="23"/>
  <c r="V21" i="22"/>
  <c r="V21" i="21"/>
  <c r="V21" i="20"/>
  <c r="V21" i="19"/>
  <c r="V21" i="18"/>
  <c r="V21" i="17"/>
  <c r="V21" i="16"/>
  <c r="V21" i="3"/>
  <c r="Y47" i="27"/>
  <c r="W47" i="27"/>
  <c r="V47" i="27"/>
  <c r="Y46" i="27"/>
  <c r="W46" i="27"/>
  <c r="V46" i="27"/>
  <c r="Y45" i="27"/>
  <c r="W45" i="27"/>
  <c r="V45" i="27"/>
  <c r="Y44" i="27"/>
  <c r="W44" i="27"/>
  <c r="V44" i="27"/>
  <c r="Y43" i="27"/>
  <c r="W43" i="27"/>
  <c r="V43" i="27"/>
  <c r="Y42" i="27"/>
  <c r="W42" i="27"/>
  <c r="V42" i="27"/>
  <c r="Y41" i="27"/>
  <c r="W41" i="27"/>
  <c r="V41" i="27"/>
  <c r="Y40" i="27"/>
  <c r="W40" i="27"/>
  <c r="V40" i="27"/>
  <c r="Y39" i="27"/>
  <c r="W39" i="27"/>
  <c r="V39" i="27"/>
  <c r="Y38" i="27"/>
  <c r="W38" i="27"/>
  <c r="V38" i="27"/>
  <c r="Y37" i="27"/>
  <c r="W37" i="27"/>
  <c r="V37" i="27"/>
  <c r="Y36" i="27"/>
  <c r="W36" i="27"/>
  <c r="V36" i="27"/>
  <c r="Y35" i="27"/>
  <c r="W35" i="27"/>
  <c r="V35" i="27"/>
  <c r="Y34" i="27"/>
  <c r="W34" i="27"/>
  <c r="V34" i="27"/>
  <c r="Y33" i="27"/>
  <c r="W33" i="27"/>
  <c r="V33" i="27"/>
  <c r="Y32" i="27"/>
  <c r="W32" i="27"/>
  <c r="V32" i="27"/>
  <c r="Y31" i="27"/>
  <c r="W31" i="27"/>
  <c r="V31" i="27"/>
  <c r="Y30" i="27"/>
  <c r="W30" i="27"/>
  <c r="V30" i="27"/>
  <c r="Y29" i="27"/>
  <c r="W29" i="27"/>
  <c r="V29" i="27"/>
  <c r="Y28" i="27"/>
  <c r="W28" i="27"/>
  <c r="V28" i="27"/>
  <c r="Y27" i="27"/>
  <c r="W27" i="27"/>
  <c r="V27" i="27"/>
  <c r="Y26" i="27"/>
  <c r="W26" i="27"/>
  <c r="V26" i="27"/>
  <c r="Y25" i="27"/>
  <c r="W25" i="27"/>
  <c r="V25" i="27"/>
  <c r="Y24" i="27"/>
  <c r="W24" i="27"/>
  <c r="V24" i="27"/>
  <c r="Y23" i="27"/>
  <c r="W23" i="27"/>
  <c r="V23" i="27"/>
  <c r="Y22" i="27"/>
  <c r="W22" i="27"/>
  <c r="V22" i="27"/>
  <c r="Y21" i="27"/>
  <c r="W21" i="27"/>
  <c r="Y47" i="26"/>
  <c r="W47" i="26"/>
  <c r="V47" i="26"/>
  <c r="Y46" i="26"/>
  <c r="W46" i="26"/>
  <c r="V46" i="26"/>
  <c r="Y45" i="26"/>
  <c r="W45" i="26"/>
  <c r="V45" i="26"/>
  <c r="Y44" i="26"/>
  <c r="W44" i="26"/>
  <c r="V44" i="26"/>
  <c r="Y43" i="26"/>
  <c r="W43" i="26"/>
  <c r="V43" i="26"/>
  <c r="Y42" i="26"/>
  <c r="W42" i="26"/>
  <c r="V42" i="26"/>
  <c r="Y41" i="26"/>
  <c r="W41" i="26"/>
  <c r="V41" i="26"/>
  <c r="Y40" i="26"/>
  <c r="W40" i="26"/>
  <c r="V40" i="26"/>
  <c r="Y39" i="26"/>
  <c r="W39" i="26"/>
  <c r="V39" i="26"/>
  <c r="Y38" i="26"/>
  <c r="W38" i="26"/>
  <c r="V38" i="26"/>
  <c r="Y37" i="26"/>
  <c r="W37" i="26"/>
  <c r="V37" i="26"/>
  <c r="Y36" i="26"/>
  <c r="W36" i="26"/>
  <c r="V36" i="26"/>
  <c r="Y35" i="26"/>
  <c r="W35" i="26"/>
  <c r="V35" i="26"/>
  <c r="Y34" i="26"/>
  <c r="W34" i="26"/>
  <c r="V34" i="26"/>
  <c r="Y33" i="26"/>
  <c r="W33" i="26"/>
  <c r="V33" i="26"/>
  <c r="Y32" i="26"/>
  <c r="W32" i="26"/>
  <c r="V32" i="26"/>
  <c r="Y31" i="26"/>
  <c r="W31" i="26"/>
  <c r="V31" i="26"/>
  <c r="Y30" i="26"/>
  <c r="W30" i="26"/>
  <c r="V30" i="26"/>
  <c r="Y29" i="26"/>
  <c r="W29" i="26"/>
  <c r="V29" i="26"/>
  <c r="Y28" i="26"/>
  <c r="W28" i="26"/>
  <c r="V28" i="26"/>
  <c r="Y27" i="26"/>
  <c r="W27" i="26"/>
  <c r="V27" i="26"/>
  <c r="Y26" i="26"/>
  <c r="W26" i="26"/>
  <c r="V26" i="26"/>
  <c r="Y25" i="26"/>
  <c r="W25" i="26"/>
  <c r="V25" i="26"/>
  <c r="Y24" i="26"/>
  <c r="W24" i="26"/>
  <c r="V24" i="26"/>
  <c r="Y23" i="26"/>
  <c r="W23" i="26"/>
  <c r="V23" i="26"/>
  <c r="Y22" i="26"/>
  <c r="W22" i="26"/>
  <c r="V22" i="26"/>
  <c r="Y21" i="26"/>
  <c r="W21" i="26"/>
  <c r="Y47" i="25"/>
  <c r="W47" i="25"/>
  <c r="V47" i="25"/>
  <c r="Y46" i="25"/>
  <c r="W46" i="25"/>
  <c r="V46" i="25"/>
  <c r="Y45" i="25"/>
  <c r="W45" i="25"/>
  <c r="V45" i="25"/>
  <c r="Y44" i="25"/>
  <c r="W44" i="25"/>
  <c r="V44" i="25"/>
  <c r="Y43" i="25"/>
  <c r="W43" i="25"/>
  <c r="V43" i="25"/>
  <c r="Y42" i="25"/>
  <c r="W42" i="25"/>
  <c r="V42" i="25"/>
  <c r="Y41" i="25"/>
  <c r="W41" i="25"/>
  <c r="V41" i="25"/>
  <c r="Y40" i="25"/>
  <c r="W40" i="25"/>
  <c r="V40" i="25"/>
  <c r="Y39" i="25"/>
  <c r="W39" i="25"/>
  <c r="V39" i="25"/>
  <c r="Y38" i="25"/>
  <c r="W38" i="25"/>
  <c r="V38" i="25"/>
  <c r="Y37" i="25"/>
  <c r="W37" i="25"/>
  <c r="V37" i="25"/>
  <c r="Y36" i="25"/>
  <c r="W36" i="25"/>
  <c r="V36" i="25"/>
  <c r="Y35" i="25"/>
  <c r="W35" i="25"/>
  <c r="V35" i="25"/>
  <c r="Y34" i="25"/>
  <c r="W34" i="25"/>
  <c r="V34" i="25"/>
  <c r="Y33" i="25"/>
  <c r="W33" i="25"/>
  <c r="V33" i="25"/>
  <c r="Y32" i="25"/>
  <c r="W32" i="25"/>
  <c r="V32" i="25"/>
  <c r="Y31" i="25"/>
  <c r="W31" i="25"/>
  <c r="V31" i="25"/>
  <c r="Y30" i="25"/>
  <c r="W30" i="25"/>
  <c r="V30" i="25"/>
  <c r="Y29" i="25"/>
  <c r="W29" i="25"/>
  <c r="V29" i="25"/>
  <c r="Y28" i="25"/>
  <c r="W28" i="25"/>
  <c r="V28" i="25"/>
  <c r="Y27" i="25"/>
  <c r="W27" i="25"/>
  <c r="V27" i="25"/>
  <c r="Y26" i="25"/>
  <c r="W26" i="25"/>
  <c r="V26" i="25"/>
  <c r="Y25" i="25"/>
  <c r="W25" i="25"/>
  <c r="V25" i="25"/>
  <c r="Y24" i="25"/>
  <c r="W24" i="25"/>
  <c r="V24" i="25"/>
  <c r="Y23" i="25"/>
  <c r="W23" i="25"/>
  <c r="V23" i="25"/>
  <c r="Y22" i="25"/>
  <c r="W22" i="25"/>
  <c r="V22" i="25"/>
  <c r="Y21" i="25"/>
  <c r="W21" i="25"/>
  <c r="Y47" i="24"/>
  <c r="W47" i="24"/>
  <c r="V47" i="24"/>
  <c r="Y46" i="24"/>
  <c r="W46" i="24"/>
  <c r="V46" i="24"/>
  <c r="Y45" i="24"/>
  <c r="W45" i="24"/>
  <c r="V45" i="24"/>
  <c r="Y44" i="24"/>
  <c r="W44" i="24"/>
  <c r="V44" i="24"/>
  <c r="Y43" i="24"/>
  <c r="W43" i="24"/>
  <c r="V43" i="24"/>
  <c r="Y42" i="24"/>
  <c r="W42" i="24"/>
  <c r="V42" i="24"/>
  <c r="Y41" i="24"/>
  <c r="W41" i="24"/>
  <c r="V41" i="24"/>
  <c r="Y40" i="24"/>
  <c r="W40" i="24"/>
  <c r="V40" i="24"/>
  <c r="Y39" i="24"/>
  <c r="W39" i="24"/>
  <c r="V39" i="24"/>
  <c r="Y38" i="24"/>
  <c r="W38" i="24"/>
  <c r="V38" i="24"/>
  <c r="Y37" i="24"/>
  <c r="W37" i="24"/>
  <c r="V37" i="24"/>
  <c r="Y36" i="24"/>
  <c r="W36" i="24"/>
  <c r="V36" i="24"/>
  <c r="Y35" i="24"/>
  <c r="W35" i="24"/>
  <c r="V35" i="24"/>
  <c r="Y34" i="24"/>
  <c r="W34" i="24"/>
  <c r="V34" i="24"/>
  <c r="Y33" i="24"/>
  <c r="W33" i="24"/>
  <c r="V33" i="24"/>
  <c r="Y32" i="24"/>
  <c r="W32" i="24"/>
  <c r="V32" i="24"/>
  <c r="Y31" i="24"/>
  <c r="W31" i="24"/>
  <c r="V31" i="24"/>
  <c r="Y30" i="24"/>
  <c r="W30" i="24"/>
  <c r="V30" i="24"/>
  <c r="Y29" i="24"/>
  <c r="W29" i="24"/>
  <c r="V29" i="24"/>
  <c r="Y28" i="24"/>
  <c r="W28" i="24"/>
  <c r="V28" i="24"/>
  <c r="Y27" i="24"/>
  <c r="W27" i="24"/>
  <c r="V27" i="24"/>
  <c r="Y26" i="24"/>
  <c r="W26" i="24"/>
  <c r="V26" i="24"/>
  <c r="Y25" i="24"/>
  <c r="W25" i="24"/>
  <c r="V25" i="24"/>
  <c r="Y24" i="24"/>
  <c r="W24" i="24"/>
  <c r="V24" i="24"/>
  <c r="Y23" i="24"/>
  <c r="W23" i="24"/>
  <c r="V23" i="24"/>
  <c r="Y22" i="24"/>
  <c r="W22" i="24"/>
  <c r="V22" i="24"/>
  <c r="Y21" i="24"/>
  <c r="W21" i="24"/>
  <c r="Y47" i="23"/>
  <c r="W47" i="23"/>
  <c r="V47" i="23"/>
  <c r="Y46" i="23"/>
  <c r="W46" i="23"/>
  <c r="V46" i="23"/>
  <c r="Y45" i="23"/>
  <c r="W45" i="23"/>
  <c r="V45" i="23"/>
  <c r="Y44" i="23"/>
  <c r="W44" i="23"/>
  <c r="V44" i="23"/>
  <c r="Y43" i="23"/>
  <c r="W43" i="23"/>
  <c r="V43" i="23"/>
  <c r="Y42" i="23"/>
  <c r="W42" i="23"/>
  <c r="V42" i="23"/>
  <c r="Y41" i="23"/>
  <c r="W41" i="23"/>
  <c r="V41" i="23"/>
  <c r="Y40" i="23"/>
  <c r="W40" i="23"/>
  <c r="V40" i="23"/>
  <c r="Y39" i="23"/>
  <c r="W39" i="23"/>
  <c r="V39" i="23"/>
  <c r="Y38" i="23"/>
  <c r="W38" i="23"/>
  <c r="V38" i="23"/>
  <c r="Y37" i="23"/>
  <c r="W37" i="23"/>
  <c r="V37" i="23"/>
  <c r="Y36" i="23"/>
  <c r="W36" i="23"/>
  <c r="V36" i="23"/>
  <c r="Y35" i="23"/>
  <c r="W35" i="23"/>
  <c r="V35" i="23"/>
  <c r="Y34" i="23"/>
  <c r="W34" i="23"/>
  <c r="V34" i="23"/>
  <c r="Y33" i="23"/>
  <c r="W33" i="23"/>
  <c r="V33" i="23"/>
  <c r="Y32" i="23"/>
  <c r="W32" i="23"/>
  <c r="V32" i="23"/>
  <c r="Y31" i="23"/>
  <c r="W31" i="23"/>
  <c r="V31" i="23"/>
  <c r="Y30" i="23"/>
  <c r="W30" i="23"/>
  <c r="V30" i="23"/>
  <c r="Y29" i="23"/>
  <c r="W29" i="23"/>
  <c r="V29" i="23"/>
  <c r="Y28" i="23"/>
  <c r="W28" i="23"/>
  <c r="V28" i="23"/>
  <c r="Y27" i="23"/>
  <c r="W27" i="23"/>
  <c r="V27" i="23"/>
  <c r="Y26" i="23"/>
  <c r="W26" i="23"/>
  <c r="V26" i="23"/>
  <c r="Y25" i="23"/>
  <c r="W25" i="23"/>
  <c r="V25" i="23"/>
  <c r="Y24" i="23"/>
  <c r="W24" i="23"/>
  <c r="V24" i="23"/>
  <c r="Y23" i="23"/>
  <c r="W23" i="23"/>
  <c r="V23" i="23"/>
  <c r="Y22" i="23"/>
  <c r="W22" i="23"/>
  <c r="V22" i="23"/>
  <c r="Y21" i="23"/>
  <c r="W21" i="23"/>
  <c r="Y47" i="22"/>
  <c r="W47" i="22"/>
  <c r="V47" i="22"/>
  <c r="Y46" i="22"/>
  <c r="W46" i="22"/>
  <c r="V46" i="22"/>
  <c r="Y45" i="22"/>
  <c r="W45" i="22"/>
  <c r="V45" i="22"/>
  <c r="Y44" i="22"/>
  <c r="W44" i="22"/>
  <c r="V44" i="22"/>
  <c r="Y43" i="22"/>
  <c r="W43" i="22"/>
  <c r="V43" i="22"/>
  <c r="Y42" i="22"/>
  <c r="W42" i="22"/>
  <c r="V42" i="22"/>
  <c r="Y41" i="22"/>
  <c r="W41" i="22"/>
  <c r="V41" i="22"/>
  <c r="Y40" i="22"/>
  <c r="W40" i="22"/>
  <c r="V40" i="22"/>
  <c r="Y39" i="22"/>
  <c r="W39" i="22"/>
  <c r="V39" i="22"/>
  <c r="Y38" i="22"/>
  <c r="W38" i="22"/>
  <c r="V38" i="22"/>
  <c r="Y37" i="22"/>
  <c r="W37" i="22"/>
  <c r="V37" i="22"/>
  <c r="Y36" i="22"/>
  <c r="W36" i="22"/>
  <c r="V36" i="22"/>
  <c r="Y35" i="22"/>
  <c r="W35" i="22"/>
  <c r="V35" i="22"/>
  <c r="Y34" i="22"/>
  <c r="W34" i="22"/>
  <c r="V34" i="22"/>
  <c r="Y33" i="22"/>
  <c r="W33" i="22"/>
  <c r="V33" i="22"/>
  <c r="Y32" i="22"/>
  <c r="W32" i="22"/>
  <c r="V32" i="22"/>
  <c r="Y31" i="22"/>
  <c r="W31" i="22"/>
  <c r="V31" i="22"/>
  <c r="Y30" i="22"/>
  <c r="W30" i="22"/>
  <c r="V30" i="22"/>
  <c r="Y29" i="22"/>
  <c r="W29" i="22"/>
  <c r="V29" i="22"/>
  <c r="Y28" i="22"/>
  <c r="W28" i="22"/>
  <c r="V28" i="22"/>
  <c r="Y27" i="22"/>
  <c r="W27" i="22"/>
  <c r="V27" i="22"/>
  <c r="Y26" i="22"/>
  <c r="W26" i="22"/>
  <c r="V26" i="22"/>
  <c r="Y25" i="22"/>
  <c r="W25" i="22"/>
  <c r="V25" i="22"/>
  <c r="Y24" i="22"/>
  <c r="W24" i="22"/>
  <c r="V24" i="22"/>
  <c r="Y23" i="22"/>
  <c r="W23" i="22"/>
  <c r="V23" i="22"/>
  <c r="Y22" i="22"/>
  <c r="W22" i="22"/>
  <c r="V22" i="22"/>
  <c r="Y21" i="22"/>
  <c r="W21" i="22"/>
  <c r="Y47" i="21"/>
  <c r="W47" i="21"/>
  <c r="V47" i="21"/>
  <c r="Y46" i="21"/>
  <c r="W46" i="21"/>
  <c r="V46" i="21"/>
  <c r="Y45" i="21"/>
  <c r="W45" i="21"/>
  <c r="V45" i="21"/>
  <c r="Y44" i="21"/>
  <c r="W44" i="21"/>
  <c r="V44" i="21"/>
  <c r="Y43" i="21"/>
  <c r="W43" i="21"/>
  <c r="V43" i="21"/>
  <c r="Y42" i="21"/>
  <c r="W42" i="21"/>
  <c r="V42" i="21"/>
  <c r="Y41" i="21"/>
  <c r="W41" i="21"/>
  <c r="V41" i="21"/>
  <c r="Y40" i="21"/>
  <c r="W40" i="21"/>
  <c r="V40" i="21"/>
  <c r="Y39" i="21"/>
  <c r="W39" i="21"/>
  <c r="V39" i="21"/>
  <c r="Y38" i="21"/>
  <c r="W38" i="21"/>
  <c r="V38" i="21"/>
  <c r="Y37" i="21"/>
  <c r="W37" i="21"/>
  <c r="V37" i="21"/>
  <c r="Y36" i="21"/>
  <c r="W36" i="21"/>
  <c r="V36" i="21"/>
  <c r="Y35" i="21"/>
  <c r="W35" i="21"/>
  <c r="V35" i="21"/>
  <c r="Y34" i="21"/>
  <c r="W34" i="21"/>
  <c r="V34" i="21"/>
  <c r="Y33" i="21"/>
  <c r="W33" i="21"/>
  <c r="V33" i="21"/>
  <c r="Y32" i="21"/>
  <c r="W32" i="21"/>
  <c r="V32" i="21"/>
  <c r="Y31" i="21"/>
  <c r="W31" i="21"/>
  <c r="V31" i="21"/>
  <c r="Y30" i="21"/>
  <c r="W30" i="21"/>
  <c r="V30" i="21"/>
  <c r="Y29" i="21"/>
  <c r="W29" i="21"/>
  <c r="V29" i="21"/>
  <c r="Y28" i="21"/>
  <c r="W28" i="21"/>
  <c r="V28" i="21"/>
  <c r="Y27" i="21"/>
  <c r="W27" i="21"/>
  <c r="V27" i="21"/>
  <c r="Y26" i="21"/>
  <c r="W26" i="21"/>
  <c r="V26" i="21"/>
  <c r="Y25" i="21"/>
  <c r="W25" i="21"/>
  <c r="V25" i="21"/>
  <c r="Y24" i="21"/>
  <c r="W24" i="21"/>
  <c r="V24" i="21"/>
  <c r="Y23" i="21"/>
  <c r="W23" i="21"/>
  <c r="V23" i="21"/>
  <c r="Y22" i="21"/>
  <c r="W22" i="21"/>
  <c r="V22" i="21"/>
  <c r="Y21" i="21"/>
  <c r="W21" i="21"/>
  <c r="Y47" i="20"/>
  <c r="W47" i="20"/>
  <c r="V47" i="20"/>
  <c r="Y46" i="20"/>
  <c r="W46" i="20"/>
  <c r="V46" i="20"/>
  <c r="Y45" i="20"/>
  <c r="W45" i="20"/>
  <c r="V45" i="20"/>
  <c r="Y44" i="20"/>
  <c r="W44" i="20"/>
  <c r="V44" i="20"/>
  <c r="Y43" i="20"/>
  <c r="W43" i="20"/>
  <c r="V43" i="20"/>
  <c r="Y42" i="20"/>
  <c r="W42" i="20"/>
  <c r="V42" i="20"/>
  <c r="Y41" i="20"/>
  <c r="W41" i="20"/>
  <c r="V41" i="20"/>
  <c r="Y40" i="20"/>
  <c r="W40" i="20"/>
  <c r="V40" i="20"/>
  <c r="Y39" i="20"/>
  <c r="W39" i="20"/>
  <c r="V39" i="20"/>
  <c r="Y38" i="20"/>
  <c r="W38" i="20"/>
  <c r="V38" i="20"/>
  <c r="Y37" i="20"/>
  <c r="W37" i="20"/>
  <c r="V37" i="20"/>
  <c r="Y36" i="20"/>
  <c r="W36" i="20"/>
  <c r="V36" i="20"/>
  <c r="Y35" i="20"/>
  <c r="W35" i="20"/>
  <c r="V35" i="20"/>
  <c r="Y34" i="20"/>
  <c r="W34" i="20"/>
  <c r="V34" i="20"/>
  <c r="Y33" i="20"/>
  <c r="W33" i="20"/>
  <c r="V33" i="20"/>
  <c r="Y32" i="20"/>
  <c r="W32" i="20"/>
  <c r="V32" i="20"/>
  <c r="Y31" i="20"/>
  <c r="W31" i="20"/>
  <c r="V31" i="20"/>
  <c r="Y30" i="20"/>
  <c r="W30" i="20"/>
  <c r="V30" i="20"/>
  <c r="Y29" i="20"/>
  <c r="W29" i="20"/>
  <c r="V29" i="20"/>
  <c r="Y28" i="20"/>
  <c r="W28" i="20"/>
  <c r="V28" i="20"/>
  <c r="Y27" i="20"/>
  <c r="W27" i="20"/>
  <c r="V27" i="20"/>
  <c r="Y26" i="20"/>
  <c r="W26" i="20"/>
  <c r="V26" i="20"/>
  <c r="Y25" i="20"/>
  <c r="W25" i="20"/>
  <c r="V25" i="20"/>
  <c r="Y24" i="20"/>
  <c r="W24" i="20"/>
  <c r="V24" i="20"/>
  <c r="Y23" i="20"/>
  <c r="W23" i="20"/>
  <c r="V23" i="20"/>
  <c r="Y22" i="20"/>
  <c r="W22" i="20"/>
  <c r="V22" i="20"/>
  <c r="Y21" i="20"/>
  <c r="W21" i="20"/>
  <c r="Y47" i="19"/>
  <c r="W47" i="19"/>
  <c r="V47" i="19"/>
  <c r="Y46" i="19"/>
  <c r="W46" i="19"/>
  <c r="V46" i="19"/>
  <c r="Y45" i="19"/>
  <c r="W45" i="19"/>
  <c r="V45" i="19"/>
  <c r="Y44" i="19"/>
  <c r="W44" i="19"/>
  <c r="V44" i="19"/>
  <c r="Y43" i="19"/>
  <c r="W43" i="19"/>
  <c r="V43" i="19"/>
  <c r="Y42" i="19"/>
  <c r="W42" i="19"/>
  <c r="V42" i="19"/>
  <c r="Y41" i="19"/>
  <c r="W41" i="19"/>
  <c r="V41" i="19"/>
  <c r="Y40" i="19"/>
  <c r="W40" i="19"/>
  <c r="V40" i="19"/>
  <c r="Y39" i="19"/>
  <c r="W39" i="19"/>
  <c r="V39" i="19"/>
  <c r="Y38" i="19"/>
  <c r="W38" i="19"/>
  <c r="V38" i="19"/>
  <c r="Y37" i="19"/>
  <c r="W37" i="19"/>
  <c r="V37" i="19"/>
  <c r="Y36" i="19"/>
  <c r="W36" i="19"/>
  <c r="V36" i="19"/>
  <c r="Y35" i="19"/>
  <c r="W35" i="19"/>
  <c r="V35" i="19"/>
  <c r="Y34" i="19"/>
  <c r="W34" i="19"/>
  <c r="V34" i="19"/>
  <c r="Y33" i="19"/>
  <c r="W33" i="19"/>
  <c r="V33" i="19"/>
  <c r="Y32" i="19"/>
  <c r="W32" i="19"/>
  <c r="V32" i="19"/>
  <c r="Y31" i="19"/>
  <c r="W31" i="19"/>
  <c r="V31" i="19"/>
  <c r="Y30" i="19"/>
  <c r="W30" i="19"/>
  <c r="V30" i="19"/>
  <c r="Y29" i="19"/>
  <c r="W29" i="19"/>
  <c r="V29" i="19"/>
  <c r="Y28" i="19"/>
  <c r="W28" i="19"/>
  <c r="V28" i="19"/>
  <c r="Y27" i="19"/>
  <c r="W27" i="19"/>
  <c r="V27" i="19"/>
  <c r="Y26" i="19"/>
  <c r="W26" i="19"/>
  <c r="V26" i="19"/>
  <c r="Y25" i="19"/>
  <c r="W25" i="19"/>
  <c r="V25" i="19"/>
  <c r="Y24" i="19"/>
  <c r="W24" i="19"/>
  <c r="V24" i="19"/>
  <c r="Y23" i="19"/>
  <c r="W23" i="19"/>
  <c r="V23" i="19"/>
  <c r="Y22" i="19"/>
  <c r="W22" i="19"/>
  <c r="V22" i="19"/>
  <c r="Y21" i="19"/>
  <c r="W21" i="19"/>
  <c r="Y47" i="18"/>
  <c r="W47" i="18"/>
  <c r="V47" i="18"/>
  <c r="Y46" i="18"/>
  <c r="W46" i="18"/>
  <c r="V46" i="18"/>
  <c r="Y45" i="18"/>
  <c r="W45" i="18"/>
  <c r="V45" i="18"/>
  <c r="Y44" i="18"/>
  <c r="W44" i="18"/>
  <c r="V44" i="18"/>
  <c r="Y43" i="18"/>
  <c r="W43" i="18"/>
  <c r="V43" i="18"/>
  <c r="Y42" i="18"/>
  <c r="W42" i="18"/>
  <c r="V42" i="18"/>
  <c r="Y41" i="18"/>
  <c r="W41" i="18"/>
  <c r="V41" i="18"/>
  <c r="Y40" i="18"/>
  <c r="W40" i="18"/>
  <c r="V40" i="18"/>
  <c r="Y39" i="18"/>
  <c r="W39" i="18"/>
  <c r="V39" i="18"/>
  <c r="Y38" i="18"/>
  <c r="W38" i="18"/>
  <c r="V38" i="18"/>
  <c r="Y37" i="18"/>
  <c r="W37" i="18"/>
  <c r="V37" i="18"/>
  <c r="Y36" i="18"/>
  <c r="W36" i="18"/>
  <c r="V36" i="18"/>
  <c r="Y35" i="18"/>
  <c r="W35" i="18"/>
  <c r="V35" i="18"/>
  <c r="Y34" i="18"/>
  <c r="W34" i="18"/>
  <c r="V34" i="18"/>
  <c r="Y33" i="18"/>
  <c r="W33" i="18"/>
  <c r="V33" i="18"/>
  <c r="Y32" i="18"/>
  <c r="W32" i="18"/>
  <c r="V32" i="18"/>
  <c r="Y31" i="18"/>
  <c r="W31" i="18"/>
  <c r="V31" i="18"/>
  <c r="Y30" i="18"/>
  <c r="W30" i="18"/>
  <c r="V30" i="18"/>
  <c r="Y29" i="18"/>
  <c r="W29" i="18"/>
  <c r="V29" i="18"/>
  <c r="Y28" i="18"/>
  <c r="W28" i="18"/>
  <c r="V28" i="18"/>
  <c r="Y27" i="18"/>
  <c r="W27" i="18"/>
  <c r="V27" i="18"/>
  <c r="Y26" i="18"/>
  <c r="W26" i="18"/>
  <c r="V26" i="18"/>
  <c r="Y25" i="18"/>
  <c r="W25" i="18"/>
  <c r="V25" i="18"/>
  <c r="Y24" i="18"/>
  <c r="W24" i="18"/>
  <c r="V24" i="18"/>
  <c r="Y23" i="18"/>
  <c r="W23" i="18"/>
  <c r="V23" i="18"/>
  <c r="Y22" i="18"/>
  <c r="W22" i="18"/>
  <c r="V22" i="18"/>
  <c r="Y21" i="18"/>
  <c r="W21" i="18"/>
  <c r="Y47" i="17"/>
  <c r="W47" i="17"/>
  <c r="V47" i="17"/>
  <c r="Y46" i="17"/>
  <c r="W46" i="17"/>
  <c r="V46" i="17"/>
  <c r="Y45" i="17"/>
  <c r="W45" i="17"/>
  <c r="V45" i="17"/>
  <c r="Y44" i="17"/>
  <c r="W44" i="17"/>
  <c r="V44" i="17"/>
  <c r="Y43" i="17"/>
  <c r="W43" i="17"/>
  <c r="V43" i="17"/>
  <c r="Y42" i="17"/>
  <c r="W42" i="17"/>
  <c r="V42" i="17"/>
  <c r="Y41" i="17"/>
  <c r="W41" i="17"/>
  <c r="V41" i="17"/>
  <c r="Y40" i="17"/>
  <c r="W40" i="17"/>
  <c r="V40" i="17"/>
  <c r="Y39" i="17"/>
  <c r="W39" i="17"/>
  <c r="V39" i="17"/>
  <c r="Y38" i="17"/>
  <c r="W38" i="17"/>
  <c r="V38" i="17"/>
  <c r="Y37" i="17"/>
  <c r="W37" i="17"/>
  <c r="V37" i="17"/>
  <c r="Y36" i="17"/>
  <c r="W36" i="17"/>
  <c r="V36" i="17"/>
  <c r="Y35" i="17"/>
  <c r="W35" i="17"/>
  <c r="V35" i="17"/>
  <c r="Y34" i="17"/>
  <c r="W34" i="17"/>
  <c r="V34" i="17"/>
  <c r="Y33" i="17"/>
  <c r="W33" i="17"/>
  <c r="V33" i="17"/>
  <c r="Y32" i="17"/>
  <c r="W32" i="17"/>
  <c r="V32" i="17"/>
  <c r="Y31" i="17"/>
  <c r="W31" i="17"/>
  <c r="V31" i="17"/>
  <c r="Y30" i="17"/>
  <c r="W30" i="17"/>
  <c r="V30" i="17"/>
  <c r="Y29" i="17"/>
  <c r="W29" i="17"/>
  <c r="V29" i="17"/>
  <c r="Y28" i="17"/>
  <c r="W28" i="17"/>
  <c r="V28" i="17"/>
  <c r="Y27" i="17"/>
  <c r="W27" i="17"/>
  <c r="V27" i="17"/>
  <c r="Y26" i="17"/>
  <c r="W26" i="17"/>
  <c r="V26" i="17"/>
  <c r="Y25" i="17"/>
  <c r="W25" i="17"/>
  <c r="V25" i="17"/>
  <c r="Y24" i="17"/>
  <c r="W24" i="17"/>
  <c r="V24" i="17"/>
  <c r="Y23" i="17"/>
  <c r="W23" i="17"/>
  <c r="V23" i="17"/>
  <c r="Y22" i="17"/>
  <c r="W22" i="17"/>
  <c r="V22" i="17"/>
  <c r="Y21" i="17"/>
  <c r="W21" i="17"/>
  <c r="Y47" i="16"/>
  <c r="W47" i="16"/>
  <c r="V47" i="16"/>
  <c r="Y46" i="16"/>
  <c r="W46" i="16"/>
  <c r="V46" i="16"/>
  <c r="Y45" i="16"/>
  <c r="W45" i="16"/>
  <c r="V45" i="16"/>
  <c r="Y44" i="16"/>
  <c r="W44" i="16"/>
  <c r="V44" i="16"/>
  <c r="Y43" i="16"/>
  <c r="W43" i="16"/>
  <c r="V43" i="16"/>
  <c r="Y42" i="16"/>
  <c r="W42" i="16"/>
  <c r="V42" i="16"/>
  <c r="Y41" i="16"/>
  <c r="W41" i="16"/>
  <c r="V41" i="16"/>
  <c r="Y40" i="16"/>
  <c r="W40" i="16"/>
  <c r="V40" i="16"/>
  <c r="Y39" i="16"/>
  <c r="W39" i="16"/>
  <c r="V39" i="16"/>
  <c r="Y38" i="16"/>
  <c r="W38" i="16"/>
  <c r="V38" i="16"/>
  <c r="Y37" i="16"/>
  <c r="W37" i="16"/>
  <c r="V37" i="16"/>
  <c r="Y36" i="16"/>
  <c r="W36" i="16"/>
  <c r="V36" i="16"/>
  <c r="Y35" i="16"/>
  <c r="W35" i="16"/>
  <c r="V35" i="16"/>
  <c r="Y34" i="16"/>
  <c r="W34" i="16"/>
  <c r="V34" i="16"/>
  <c r="Y33" i="16"/>
  <c r="W33" i="16"/>
  <c r="V33" i="16"/>
  <c r="Y32" i="16"/>
  <c r="W32" i="16"/>
  <c r="V32" i="16"/>
  <c r="Y31" i="16"/>
  <c r="W31" i="16"/>
  <c r="V31" i="16"/>
  <c r="Y30" i="16"/>
  <c r="W30" i="16"/>
  <c r="V30" i="16"/>
  <c r="Y29" i="16"/>
  <c r="W29" i="16"/>
  <c r="V29" i="16"/>
  <c r="Y28" i="16"/>
  <c r="W28" i="16"/>
  <c r="V28" i="16"/>
  <c r="Y27" i="16"/>
  <c r="W27" i="16"/>
  <c r="V27" i="16"/>
  <c r="Y26" i="16"/>
  <c r="W26" i="16"/>
  <c r="V26" i="16"/>
  <c r="Y25" i="16"/>
  <c r="W25" i="16"/>
  <c r="V25" i="16"/>
  <c r="Y24" i="16"/>
  <c r="W24" i="16"/>
  <c r="V24" i="16"/>
  <c r="Y23" i="16"/>
  <c r="W23" i="16"/>
  <c r="V23" i="16"/>
  <c r="Y22" i="16"/>
  <c r="W22" i="16"/>
  <c r="V22" i="16"/>
  <c r="Y21" i="16"/>
  <c r="W21" i="16"/>
  <c r="Y47" i="3"/>
  <c r="W47" i="3"/>
  <c r="V47" i="3"/>
  <c r="Y46" i="3"/>
  <c r="W46" i="3"/>
  <c r="V46" i="3"/>
  <c r="Y45" i="3"/>
  <c r="W45" i="3"/>
  <c r="V45" i="3"/>
  <c r="Y44" i="3"/>
  <c r="W44" i="3"/>
  <c r="V44" i="3"/>
  <c r="Y43" i="3"/>
  <c r="W43" i="3"/>
  <c r="V43" i="3"/>
  <c r="Y42" i="3"/>
  <c r="W42" i="3"/>
  <c r="V42" i="3"/>
  <c r="Y41" i="3"/>
  <c r="W41" i="3"/>
  <c r="V41" i="3"/>
  <c r="Y40" i="3"/>
  <c r="W40" i="3"/>
  <c r="V40" i="3"/>
  <c r="Y39" i="3"/>
  <c r="W39" i="3"/>
  <c r="V39" i="3"/>
  <c r="Y38" i="3"/>
  <c r="W38" i="3"/>
  <c r="V38" i="3"/>
  <c r="Y37" i="3"/>
  <c r="W37" i="3"/>
  <c r="V37" i="3"/>
  <c r="Y36" i="3"/>
  <c r="W36" i="3"/>
  <c r="V36" i="3"/>
  <c r="Y35" i="3"/>
  <c r="W35" i="3"/>
  <c r="V35" i="3"/>
  <c r="Y34" i="3"/>
  <c r="W34" i="3"/>
  <c r="V34" i="3"/>
  <c r="Y33" i="3"/>
  <c r="W33" i="3"/>
  <c r="V33" i="3"/>
  <c r="Y32" i="3"/>
  <c r="W32" i="3"/>
  <c r="V32" i="3"/>
  <c r="Y31" i="3"/>
  <c r="W31" i="3"/>
  <c r="V31" i="3"/>
  <c r="Y30" i="3"/>
  <c r="W30" i="3"/>
  <c r="V30" i="3"/>
  <c r="Y29" i="3"/>
  <c r="W29" i="3"/>
  <c r="V29" i="3"/>
  <c r="Y28" i="3"/>
  <c r="W28" i="3"/>
  <c r="V28" i="3"/>
  <c r="Y27" i="3"/>
  <c r="W27" i="3"/>
  <c r="V27" i="3"/>
  <c r="Y26" i="3"/>
  <c r="W26" i="3"/>
  <c r="V26" i="3"/>
  <c r="Y25" i="3"/>
  <c r="W25" i="3"/>
  <c r="V25" i="3"/>
  <c r="Y24" i="3"/>
  <c r="W24" i="3"/>
  <c r="V24" i="3"/>
  <c r="Y23" i="3"/>
  <c r="W23" i="3"/>
  <c r="V23" i="3"/>
  <c r="Y22" i="3"/>
  <c r="W22" i="3"/>
  <c r="V22" i="3"/>
  <c r="Y21" i="3"/>
  <c r="W21" i="3"/>
  <c r="P32" i="29" a="1"/>
  <c r="H32" i="29" a="1"/>
  <c r="J32" i="29" a="1"/>
  <c r="F32" i="29" a="1"/>
  <c r="K32" i="29" a="1"/>
  <c r="M32" i="29" a="1"/>
  <c r="I32" i="29" a="1"/>
  <c r="Q32" i="29" a="1"/>
  <c r="R32" i="29" a="1"/>
  <c r="N32" i="29" a="1"/>
  <c r="O32" i="29" a="1"/>
  <c r="L32" i="29" a="1"/>
  <c r="G32" i="29" a="1"/>
  <c r="L32" i="29" l="1"/>
  <c r="G32" i="29"/>
  <c r="Q32" i="29"/>
  <c r="R32" i="29"/>
  <c r="O32" i="29"/>
  <c r="F32" i="29"/>
  <c r="N32" i="29"/>
  <c r="P32" i="29"/>
  <c r="I32" i="29"/>
  <c r="M32" i="29"/>
  <c r="H32" i="29"/>
  <c r="J32" i="29"/>
  <c r="K32" i="29"/>
  <c r="C3" i="31"/>
  <c r="E102" i="16"/>
  <c r="E101" i="16"/>
  <c r="E99" i="16"/>
  <c r="E98" i="16"/>
  <c r="E97" i="16"/>
  <c r="E96" i="16"/>
  <c r="E95" i="16"/>
  <c r="E94" i="16"/>
  <c r="E93" i="16"/>
  <c r="E92" i="16"/>
  <c r="E91" i="16"/>
  <c r="E90" i="16"/>
  <c r="E89" i="16"/>
  <c r="E88" i="16"/>
  <c r="E87" i="16"/>
  <c r="E86" i="16"/>
  <c r="E84" i="16"/>
  <c r="E83" i="16"/>
  <c r="E82" i="16"/>
  <c r="E81" i="16"/>
  <c r="E80" i="16"/>
  <c r="E79" i="16"/>
  <c r="E78" i="16"/>
  <c r="E77" i="16"/>
  <c r="E76" i="16"/>
  <c r="E75" i="16"/>
  <c r="E74" i="16"/>
  <c r="E73" i="16"/>
  <c r="E72" i="16"/>
  <c r="E71" i="16"/>
  <c r="E70" i="16"/>
  <c r="E69" i="16"/>
  <c r="E68" i="16"/>
  <c r="E67" i="16"/>
  <c r="E66" i="16"/>
  <c r="E65" i="16"/>
  <c r="E64" i="16"/>
  <c r="E63" i="16"/>
  <c r="E62" i="16"/>
  <c r="E61" i="16"/>
  <c r="E59" i="16"/>
  <c r="E58" i="16"/>
  <c r="E57" i="16"/>
  <c r="E56" i="16"/>
  <c r="E55" i="16"/>
  <c r="E54" i="16"/>
  <c r="E49" i="16"/>
  <c r="E48" i="16"/>
  <c r="U47" i="16"/>
  <c r="U46" i="16"/>
  <c r="U45" i="16"/>
  <c r="U44" i="16"/>
  <c r="U43" i="16"/>
  <c r="U42" i="16"/>
  <c r="U41" i="16"/>
  <c r="U40" i="16"/>
  <c r="U39" i="16"/>
  <c r="U38" i="16"/>
  <c r="U37" i="16"/>
  <c r="U36" i="16"/>
  <c r="U35" i="16"/>
  <c r="U34" i="16"/>
  <c r="U33" i="16"/>
  <c r="U32" i="16"/>
  <c r="U31" i="16"/>
  <c r="U30" i="16"/>
  <c r="U29" i="16"/>
  <c r="U28" i="16"/>
  <c r="U27" i="16"/>
  <c r="U26" i="16"/>
  <c r="U25" i="16"/>
  <c r="U24" i="16"/>
  <c r="U23" i="16"/>
  <c r="U22" i="16"/>
  <c r="E102" i="17"/>
  <c r="E101" i="17"/>
  <c r="E99" i="17"/>
  <c r="E98" i="17"/>
  <c r="E97" i="17"/>
  <c r="E96" i="17"/>
  <c r="E95" i="17"/>
  <c r="E94" i="17"/>
  <c r="E93" i="17"/>
  <c r="E92" i="17"/>
  <c r="E91" i="17"/>
  <c r="E90" i="17"/>
  <c r="E89" i="17"/>
  <c r="E88" i="17"/>
  <c r="E87" i="17"/>
  <c r="E86" i="17"/>
  <c r="E84" i="17"/>
  <c r="E83" i="17"/>
  <c r="E82" i="17"/>
  <c r="E81" i="17"/>
  <c r="E80" i="17"/>
  <c r="E79" i="17"/>
  <c r="E78" i="17"/>
  <c r="E77" i="17"/>
  <c r="E76" i="17"/>
  <c r="E75" i="17"/>
  <c r="E74" i="17"/>
  <c r="E73" i="17"/>
  <c r="E72" i="17"/>
  <c r="E71" i="17"/>
  <c r="E70" i="17"/>
  <c r="E69" i="17"/>
  <c r="E68" i="17"/>
  <c r="E67" i="17"/>
  <c r="E66" i="17"/>
  <c r="E65" i="17"/>
  <c r="E64" i="17"/>
  <c r="E63" i="17"/>
  <c r="E62" i="17"/>
  <c r="E61" i="17"/>
  <c r="E59" i="17"/>
  <c r="E58" i="17"/>
  <c r="E57" i="17"/>
  <c r="E56" i="17"/>
  <c r="E55" i="17"/>
  <c r="E54" i="17"/>
  <c r="E49" i="17"/>
  <c r="E48" i="17"/>
  <c r="U47" i="17"/>
  <c r="U46" i="17"/>
  <c r="U45" i="17"/>
  <c r="U44" i="17"/>
  <c r="U43" i="17"/>
  <c r="U42" i="17"/>
  <c r="U41" i="17"/>
  <c r="U40" i="17"/>
  <c r="U39" i="17"/>
  <c r="U38" i="17"/>
  <c r="U37" i="17"/>
  <c r="U36" i="17"/>
  <c r="U35" i="17"/>
  <c r="U34" i="17"/>
  <c r="U33" i="17"/>
  <c r="U32" i="17"/>
  <c r="U31" i="17"/>
  <c r="U30" i="17"/>
  <c r="U29" i="17"/>
  <c r="U28" i="17"/>
  <c r="U27" i="17"/>
  <c r="U26" i="17"/>
  <c r="U25" i="17"/>
  <c r="U24" i="17"/>
  <c r="U23" i="17"/>
  <c r="U22" i="17"/>
  <c r="E102" i="18"/>
  <c r="E101" i="18"/>
  <c r="E99" i="18"/>
  <c r="E98" i="18"/>
  <c r="E97" i="18"/>
  <c r="E96" i="18"/>
  <c r="E95" i="18"/>
  <c r="E94" i="18"/>
  <c r="E93" i="18"/>
  <c r="E92" i="18"/>
  <c r="E91" i="18"/>
  <c r="E90" i="18"/>
  <c r="E89" i="18"/>
  <c r="E88" i="18"/>
  <c r="E87" i="18"/>
  <c r="E86" i="18"/>
  <c r="E84" i="18"/>
  <c r="E83" i="18"/>
  <c r="E82" i="18"/>
  <c r="E81" i="18"/>
  <c r="E80" i="18"/>
  <c r="E79" i="18"/>
  <c r="E78" i="18"/>
  <c r="E77" i="18"/>
  <c r="E76" i="18"/>
  <c r="E75" i="18"/>
  <c r="E74" i="18"/>
  <c r="E73" i="18"/>
  <c r="E72" i="18"/>
  <c r="E71" i="18"/>
  <c r="E70" i="18"/>
  <c r="E69" i="18"/>
  <c r="E68" i="18"/>
  <c r="E67" i="18"/>
  <c r="E66" i="18"/>
  <c r="E65" i="18"/>
  <c r="E64" i="18"/>
  <c r="E63" i="18"/>
  <c r="E62" i="18"/>
  <c r="E61" i="18"/>
  <c r="E59" i="18"/>
  <c r="E58" i="18"/>
  <c r="E57" i="18"/>
  <c r="E56" i="18"/>
  <c r="E55" i="18"/>
  <c r="E54" i="18"/>
  <c r="E49" i="18"/>
  <c r="E48" i="18"/>
  <c r="U47" i="18"/>
  <c r="U46" i="18"/>
  <c r="U45" i="18"/>
  <c r="U44" i="18"/>
  <c r="U43" i="18"/>
  <c r="U42" i="18"/>
  <c r="U41" i="18"/>
  <c r="U40" i="18"/>
  <c r="U39" i="18"/>
  <c r="U38" i="18"/>
  <c r="U37" i="18"/>
  <c r="U36" i="18"/>
  <c r="U35" i="18"/>
  <c r="U34" i="18"/>
  <c r="U33" i="18"/>
  <c r="U32" i="18"/>
  <c r="U31" i="18"/>
  <c r="U30" i="18"/>
  <c r="U29" i="18"/>
  <c r="U28" i="18"/>
  <c r="U27" i="18"/>
  <c r="U26" i="18"/>
  <c r="U25" i="18"/>
  <c r="U24" i="18"/>
  <c r="U23" i="18"/>
  <c r="U22" i="18"/>
  <c r="E102" i="19"/>
  <c r="E101" i="19"/>
  <c r="E99" i="19"/>
  <c r="E98" i="19"/>
  <c r="E97" i="19"/>
  <c r="E96" i="19"/>
  <c r="E95" i="19"/>
  <c r="E94" i="19"/>
  <c r="E93" i="19"/>
  <c r="E92" i="19"/>
  <c r="E91" i="19"/>
  <c r="E90" i="19"/>
  <c r="E89" i="19"/>
  <c r="E88" i="19"/>
  <c r="E87" i="19"/>
  <c r="E86" i="19"/>
  <c r="E84" i="19"/>
  <c r="E83" i="19"/>
  <c r="E82" i="19"/>
  <c r="E81" i="19"/>
  <c r="E80" i="19"/>
  <c r="E79" i="19"/>
  <c r="E78" i="19"/>
  <c r="E77" i="19"/>
  <c r="E76" i="19"/>
  <c r="E75" i="19"/>
  <c r="E74" i="19"/>
  <c r="E73" i="19"/>
  <c r="E72" i="19"/>
  <c r="E71" i="19"/>
  <c r="E70" i="19"/>
  <c r="E69" i="19"/>
  <c r="E68" i="19"/>
  <c r="E67" i="19"/>
  <c r="E66" i="19"/>
  <c r="E65" i="19"/>
  <c r="E64" i="19"/>
  <c r="E63" i="19"/>
  <c r="E62" i="19"/>
  <c r="E61" i="19"/>
  <c r="E59" i="19"/>
  <c r="E58" i="19"/>
  <c r="E57" i="19"/>
  <c r="E56" i="19"/>
  <c r="E55" i="19"/>
  <c r="E54" i="19"/>
  <c r="E49" i="19"/>
  <c r="E48" i="19"/>
  <c r="U47" i="19"/>
  <c r="U46" i="19"/>
  <c r="U45" i="19"/>
  <c r="U44" i="19"/>
  <c r="U43" i="19"/>
  <c r="U42" i="19"/>
  <c r="U41" i="19"/>
  <c r="U40" i="19"/>
  <c r="U39" i="19"/>
  <c r="U38" i="19"/>
  <c r="U37" i="19"/>
  <c r="U36" i="19"/>
  <c r="U35" i="19"/>
  <c r="U34" i="19"/>
  <c r="U33" i="19"/>
  <c r="U32" i="19"/>
  <c r="U31" i="19"/>
  <c r="U30" i="19"/>
  <c r="U29" i="19"/>
  <c r="U28" i="19"/>
  <c r="U27" i="19"/>
  <c r="U26" i="19"/>
  <c r="U25" i="19"/>
  <c r="U24" i="19"/>
  <c r="U23" i="19"/>
  <c r="U22" i="19"/>
  <c r="E102" i="20"/>
  <c r="E101" i="20"/>
  <c r="E99" i="20"/>
  <c r="E98" i="20"/>
  <c r="E97" i="20"/>
  <c r="E96" i="20"/>
  <c r="E95" i="20"/>
  <c r="E94" i="20"/>
  <c r="E93" i="20"/>
  <c r="E92" i="20"/>
  <c r="E91" i="20"/>
  <c r="E90" i="20"/>
  <c r="E89" i="20"/>
  <c r="E88" i="20"/>
  <c r="E87" i="20"/>
  <c r="E86" i="20"/>
  <c r="E84" i="20"/>
  <c r="E83" i="20"/>
  <c r="E82" i="20"/>
  <c r="E81" i="20"/>
  <c r="E80" i="20"/>
  <c r="E79" i="20"/>
  <c r="E78" i="20"/>
  <c r="E77" i="20"/>
  <c r="E76" i="20"/>
  <c r="E75" i="20"/>
  <c r="E74" i="20"/>
  <c r="E73" i="20"/>
  <c r="E72" i="20"/>
  <c r="E71" i="20"/>
  <c r="E70" i="20"/>
  <c r="E69" i="20"/>
  <c r="E68" i="20"/>
  <c r="E67" i="20"/>
  <c r="E66" i="20"/>
  <c r="E65" i="20"/>
  <c r="E64" i="20"/>
  <c r="E63" i="20"/>
  <c r="E62" i="20"/>
  <c r="E61" i="20"/>
  <c r="E59" i="20"/>
  <c r="E58" i="20"/>
  <c r="E57" i="20"/>
  <c r="E56" i="20"/>
  <c r="E55" i="20"/>
  <c r="E54" i="20"/>
  <c r="E49" i="20"/>
  <c r="E48" i="20"/>
  <c r="U47" i="20"/>
  <c r="U46" i="20"/>
  <c r="U45" i="20"/>
  <c r="U44" i="20"/>
  <c r="U43" i="20"/>
  <c r="U42" i="20"/>
  <c r="U41" i="20"/>
  <c r="U40" i="20"/>
  <c r="U39" i="20"/>
  <c r="U38" i="20"/>
  <c r="U37" i="20"/>
  <c r="U36" i="20"/>
  <c r="U35" i="20"/>
  <c r="U34" i="20"/>
  <c r="U33" i="20"/>
  <c r="U32" i="20"/>
  <c r="U31" i="20"/>
  <c r="U30" i="20"/>
  <c r="U29" i="20"/>
  <c r="U28" i="20"/>
  <c r="U27" i="20"/>
  <c r="U26" i="20"/>
  <c r="U25" i="20"/>
  <c r="U24" i="20"/>
  <c r="U23" i="20"/>
  <c r="U22" i="20"/>
  <c r="E102" i="21"/>
  <c r="E101" i="21"/>
  <c r="E99" i="21"/>
  <c r="E98" i="21"/>
  <c r="E97" i="21"/>
  <c r="E96" i="21"/>
  <c r="E95" i="21"/>
  <c r="E94" i="21"/>
  <c r="E93" i="21"/>
  <c r="E92" i="21"/>
  <c r="E91" i="21"/>
  <c r="E90" i="21"/>
  <c r="E89" i="21"/>
  <c r="E88" i="21"/>
  <c r="E87" i="21"/>
  <c r="E86" i="21"/>
  <c r="E84" i="21"/>
  <c r="E83" i="21"/>
  <c r="E82" i="21"/>
  <c r="E81" i="21"/>
  <c r="E80" i="21"/>
  <c r="E79" i="21"/>
  <c r="E78" i="21"/>
  <c r="E77" i="21"/>
  <c r="E76" i="21"/>
  <c r="E75" i="21"/>
  <c r="E74" i="21"/>
  <c r="E73" i="21"/>
  <c r="E72" i="21"/>
  <c r="E71" i="21"/>
  <c r="E70" i="21"/>
  <c r="E69" i="21"/>
  <c r="E68" i="21"/>
  <c r="E67" i="21"/>
  <c r="E66" i="21"/>
  <c r="E65" i="21"/>
  <c r="E64" i="21"/>
  <c r="E63" i="21"/>
  <c r="E62" i="21"/>
  <c r="E61" i="21"/>
  <c r="E59" i="21"/>
  <c r="E58" i="21"/>
  <c r="E57" i="21"/>
  <c r="E56" i="21"/>
  <c r="E55" i="21"/>
  <c r="E54" i="21"/>
  <c r="E49" i="21"/>
  <c r="E48" i="21"/>
  <c r="U47" i="21"/>
  <c r="U46" i="21"/>
  <c r="U45" i="21"/>
  <c r="U44" i="21"/>
  <c r="U43" i="21"/>
  <c r="U42" i="21"/>
  <c r="U41" i="21"/>
  <c r="U40" i="21"/>
  <c r="U39" i="21"/>
  <c r="U38" i="21"/>
  <c r="U37" i="21"/>
  <c r="U36" i="21"/>
  <c r="U35" i="21"/>
  <c r="U34" i="21"/>
  <c r="U33" i="21"/>
  <c r="U32" i="21"/>
  <c r="U31" i="21"/>
  <c r="U30" i="21"/>
  <c r="U29" i="21"/>
  <c r="U28" i="21"/>
  <c r="U27" i="21"/>
  <c r="U26" i="21"/>
  <c r="U25" i="21"/>
  <c r="U24" i="21"/>
  <c r="U23" i="21"/>
  <c r="U22" i="21"/>
  <c r="E102" i="22"/>
  <c r="E101" i="22"/>
  <c r="E99" i="22"/>
  <c r="E98" i="22"/>
  <c r="E97" i="22"/>
  <c r="E96" i="22"/>
  <c r="E95" i="22"/>
  <c r="E94" i="22"/>
  <c r="E93" i="22"/>
  <c r="E92" i="22"/>
  <c r="E91" i="22"/>
  <c r="E90" i="22"/>
  <c r="E89" i="22"/>
  <c r="E88" i="22"/>
  <c r="E87" i="22"/>
  <c r="E86" i="22"/>
  <c r="E84" i="22"/>
  <c r="E83" i="22"/>
  <c r="E82" i="22"/>
  <c r="E81" i="22"/>
  <c r="E80" i="22"/>
  <c r="E79" i="22"/>
  <c r="E78" i="22"/>
  <c r="E77" i="22"/>
  <c r="E76" i="22"/>
  <c r="E75" i="22"/>
  <c r="E74" i="22"/>
  <c r="E73" i="22"/>
  <c r="E72" i="22"/>
  <c r="E71" i="22"/>
  <c r="E70" i="22"/>
  <c r="E69" i="22"/>
  <c r="E68" i="22"/>
  <c r="E67" i="22"/>
  <c r="E66" i="22"/>
  <c r="E65" i="22"/>
  <c r="E64" i="22"/>
  <c r="E63" i="22"/>
  <c r="E62" i="22"/>
  <c r="E61" i="22"/>
  <c r="E59" i="22"/>
  <c r="E58" i="22"/>
  <c r="E57" i="22"/>
  <c r="E56" i="22"/>
  <c r="E55" i="22"/>
  <c r="E54" i="22"/>
  <c r="E49" i="22"/>
  <c r="E48" i="22"/>
  <c r="U47" i="22"/>
  <c r="U46" i="22"/>
  <c r="U45" i="22"/>
  <c r="U44" i="22"/>
  <c r="U43" i="22"/>
  <c r="U42" i="22"/>
  <c r="U41" i="22"/>
  <c r="U40" i="22"/>
  <c r="U39" i="22"/>
  <c r="U38" i="22"/>
  <c r="U37" i="22"/>
  <c r="U36" i="22"/>
  <c r="U35" i="22"/>
  <c r="U34" i="22"/>
  <c r="U33" i="22"/>
  <c r="U32" i="22"/>
  <c r="U31" i="22"/>
  <c r="U30" i="22"/>
  <c r="U29" i="22"/>
  <c r="U28" i="22"/>
  <c r="U27" i="22"/>
  <c r="U26" i="22"/>
  <c r="U25" i="22"/>
  <c r="U24" i="22"/>
  <c r="U23" i="22"/>
  <c r="U22" i="22"/>
  <c r="E102" i="23"/>
  <c r="E101" i="23"/>
  <c r="E99" i="23"/>
  <c r="E98" i="23"/>
  <c r="E97" i="23"/>
  <c r="E96" i="23"/>
  <c r="E95" i="23"/>
  <c r="E94" i="23"/>
  <c r="E93" i="23"/>
  <c r="E92" i="23"/>
  <c r="E91" i="23"/>
  <c r="E90" i="23"/>
  <c r="E89" i="23"/>
  <c r="E88" i="23"/>
  <c r="E87" i="23"/>
  <c r="E86" i="23"/>
  <c r="E84" i="23"/>
  <c r="E83" i="23"/>
  <c r="E82" i="23"/>
  <c r="E81" i="23"/>
  <c r="E80" i="23"/>
  <c r="E79" i="23"/>
  <c r="E78" i="23"/>
  <c r="E77" i="23"/>
  <c r="E76" i="23"/>
  <c r="E75" i="23"/>
  <c r="E74" i="23"/>
  <c r="E73" i="23"/>
  <c r="E72" i="23"/>
  <c r="E71" i="23"/>
  <c r="E70" i="23"/>
  <c r="E69" i="23"/>
  <c r="E68" i="23"/>
  <c r="E67" i="23"/>
  <c r="E66" i="23"/>
  <c r="E65" i="23"/>
  <c r="E64" i="23"/>
  <c r="E63" i="23"/>
  <c r="E62" i="23"/>
  <c r="E61" i="23"/>
  <c r="E59" i="23"/>
  <c r="E58" i="23"/>
  <c r="E57" i="23"/>
  <c r="E56" i="23"/>
  <c r="E55" i="23"/>
  <c r="E54" i="23"/>
  <c r="E49" i="23"/>
  <c r="E48" i="23"/>
  <c r="U47" i="23"/>
  <c r="U46" i="23"/>
  <c r="U45" i="23"/>
  <c r="U44" i="23"/>
  <c r="U43" i="23"/>
  <c r="U42" i="23"/>
  <c r="U41" i="23"/>
  <c r="U40" i="23"/>
  <c r="U39" i="23"/>
  <c r="U38" i="23"/>
  <c r="U37" i="23"/>
  <c r="U36" i="23"/>
  <c r="U35" i="23"/>
  <c r="U34" i="23"/>
  <c r="U33" i="23"/>
  <c r="U32" i="23"/>
  <c r="U31" i="23"/>
  <c r="U30" i="23"/>
  <c r="U29" i="23"/>
  <c r="U28" i="23"/>
  <c r="U27" i="23"/>
  <c r="U26" i="23"/>
  <c r="U25" i="23"/>
  <c r="U24" i="23"/>
  <c r="U23" i="23"/>
  <c r="U22" i="23"/>
  <c r="E102" i="24"/>
  <c r="E101" i="24"/>
  <c r="E99" i="24"/>
  <c r="E98" i="24"/>
  <c r="E97" i="24"/>
  <c r="E96" i="24"/>
  <c r="E95" i="24"/>
  <c r="E94" i="24"/>
  <c r="E93" i="24"/>
  <c r="E92" i="24"/>
  <c r="E91" i="24"/>
  <c r="E90" i="24"/>
  <c r="E89" i="24"/>
  <c r="E88" i="24"/>
  <c r="E87" i="24"/>
  <c r="E86" i="24"/>
  <c r="E84" i="24"/>
  <c r="E83" i="24"/>
  <c r="E82" i="24"/>
  <c r="E81" i="24"/>
  <c r="E80" i="24"/>
  <c r="E79" i="24"/>
  <c r="E78" i="24"/>
  <c r="E77" i="24"/>
  <c r="E76" i="24"/>
  <c r="E75" i="24"/>
  <c r="E74" i="24"/>
  <c r="E73" i="24"/>
  <c r="E72" i="24"/>
  <c r="E71" i="24"/>
  <c r="E70" i="24"/>
  <c r="E69" i="24"/>
  <c r="E68" i="24"/>
  <c r="E67" i="24"/>
  <c r="E66" i="24"/>
  <c r="E65" i="24"/>
  <c r="E64" i="24"/>
  <c r="E63" i="24"/>
  <c r="E62" i="24"/>
  <c r="E61" i="24"/>
  <c r="E59" i="24"/>
  <c r="E58" i="24"/>
  <c r="E57" i="24"/>
  <c r="E56" i="24"/>
  <c r="E55" i="24"/>
  <c r="E54" i="24"/>
  <c r="E49" i="24"/>
  <c r="E48" i="24"/>
  <c r="U47" i="24"/>
  <c r="U46" i="24"/>
  <c r="U45" i="24"/>
  <c r="U44" i="24"/>
  <c r="U43" i="24"/>
  <c r="U42" i="24"/>
  <c r="U41" i="24"/>
  <c r="U40" i="24"/>
  <c r="U39" i="24"/>
  <c r="U38" i="24"/>
  <c r="U37" i="24"/>
  <c r="U36" i="24"/>
  <c r="U35" i="24"/>
  <c r="U34" i="24"/>
  <c r="U33" i="24"/>
  <c r="U32" i="24"/>
  <c r="U31" i="24"/>
  <c r="U30" i="24"/>
  <c r="U29" i="24"/>
  <c r="U28" i="24"/>
  <c r="U27" i="24"/>
  <c r="U26" i="24"/>
  <c r="U25" i="24"/>
  <c r="U24" i="24"/>
  <c r="U23" i="24"/>
  <c r="U22" i="24"/>
  <c r="E102" i="25"/>
  <c r="E101" i="25"/>
  <c r="E99" i="25"/>
  <c r="E98" i="25"/>
  <c r="E97" i="25"/>
  <c r="E96" i="25"/>
  <c r="E95" i="25"/>
  <c r="E94" i="25"/>
  <c r="E93" i="25"/>
  <c r="E92" i="25"/>
  <c r="E91" i="25"/>
  <c r="E90" i="25"/>
  <c r="E89" i="25"/>
  <c r="E88" i="25"/>
  <c r="E87" i="25"/>
  <c r="E86" i="25"/>
  <c r="E84" i="25"/>
  <c r="E83" i="25"/>
  <c r="E82" i="25"/>
  <c r="E81" i="25"/>
  <c r="E80" i="25"/>
  <c r="E79" i="25"/>
  <c r="E78" i="25"/>
  <c r="E77" i="25"/>
  <c r="E76" i="25"/>
  <c r="E75" i="25"/>
  <c r="E74" i="25"/>
  <c r="E73" i="25"/>
  <c r="E72" i="25"/>
  <c r="E71" i="25"/>
  <c r="E70" i="25"/>
  <c r="E69" i="25"/>
  <c r="E68" i="25"/>
  <c r="E67" i="25"/>
  <c r="E66" i="25"/>
  <c r="E65" i="25"/>
  <c r="E64" i="25"/>
  <c r="E63" i="25"/>
  <c r="E62" i="25"/>
  <c r="E61" i="25"/>
  <c r="E59" i="25"/>
  <c r="E58" i="25"/>
  <c r="E57" i="25"/>
  <c r="E56" i="25"/>
  <c r="E55" i="25"/>
  <c r="E54" i="25"/>
  <c r="E49" i="25"/>
  <c r="E48" i="25"/>
  <c r="U47" i="25"/>
  <c r="U46" i="25"/>
  <c r="U45" i="25"/>
  <c r="U44" i="25"/>
  <c r="U43" i="25"/>
  <c r="U42" i="25"/>
  <c r="U41" i="25"/>
  <c r="U40" i="25"/>
  <c r="U39" i="25"/>
  <c r="U38" i="25"/>
  <c r="U37" i="25"/>
  <c r="U36" i="25"/>
  <c r="U35" i="25"/>
  <c r="U34" i="25"/>
  <c r="U33" i="25"/>
  <c r="U32" i="25"/>
  <c r="U31" i="25"/>
  <c r="U30" i="25"/>
  <c r="U29" i="25"/>
  <c r="U28" i="25"/>
  <c r="U27" i="25"/>
  <c r="U26" i="25"/>
  <c r="U25" i="25"/>
  <c r="U24" i="25"/>
  <c r="U23" i="25"/>
  <c r="U22" i="25"/>
  <c r="E102" i="26"/>
  <c r="E101" i="26"/>
  <c r="E99" i="26"/>
  <c r="E98" i="26"/>
  <c r="E97" i="26"/>
  <c r="E96" i="26"/>
  <c r="E95" i="26"/>
  <c r="E94" i="26"/>
  <c r="E93" i="26"/>
  <c r="E92" i="26"/>
  <c r="E91" i="26"/>
  <c r="E90" i="26"/>
  <c r="E89" i="26"/>
  <c r="E88" i="26"/>
  <c r="E87" i="26"/>
  <c r="E86" i="26"/>
  <c r="E84" i="26"/>
  <c r="E83" i="26"/>
  <c r="E82" i="26"/>
  <c r="E81" i="26"/>
  <c r="E80" i="26"/>
  <c r="E79" i="26"/>
  <c r="E78" i="26"/>
  <c r="E77" i="26"/>
  <c r="E76" i="26"/>
  <c r="E75" i="26"/>
  <c r="E74" i="26"/>
  <c r="E73" i="26"/>
  <c r="E72" i="26"/>
  <c r="E71" i="26"/>
  <c r="E70" i="26"/>
  <c r="E69" i="26"/>
  <c r="E68" i="26"/>
  <c r="E67" i="26"/>
  <c r="E66" i="26"/>
  <c r="E65" i="26"/>
  <c r="E64" i="26"/>
  <c r="E63" i="26"/>
  <c r="E62" i="26"/>
  <c r="E61" i="26"/>
  <c r="E59" i="26"/>
  <c r="E58" i="26"/>
  <c r="E57" i="26"/>
  <c r="E56" i="26"/>
  <c r="E55" i="26"/>
  <c r="E54" i="26"/>
  <c r="E49" i="26"/>
  <c r="E48" i="26"/>
  <c r="U47" i="26"/>
  <c r="U46" i="26"/>
  <c r="U45" i="26"/>
  <c r="U44" i="26"/>
  <c r="U43" i="26"/>
  <c r="U42" i="26"/>
  <c r="U41" i="26"/>
  <c r="U40" i="26"/>
  <c r="U39" i="26"/>
  <c r="U38" i="26"/>
  <c r="U37" i="26"/>
  <c r="U36" i="26"/>
  <c r="U35" i="26"/>
  <c r="U34" i="26"/>
  <c r="U33" i="26"/>
  <c r="U32" i="26"/>
  <c r="U31" i="26"/>
  <c r="U30" i="26"/>
  <c r="U29" i="26"/>
  <c r="U28" i="26"/>
  <c r="U27" i="26"/>
  <c r="U26" i="26"/>
  <c r="U25" i="26"/>
  <c r="U24" i="26"/>
  <c r="U23" i="26"/>
  <c r="U22" i="26"/>
  <c r="E102" i="27"/>
  <c r="E101" i="27"/>
  <c r="E99" i="27"/>
  <c r="E98" i="27"/>
  <c r="E97" i="27"/>
  <c r="E96" i="27"/>
  <c r="E95" i="27"/>
  <c r="E94" i="27"/>
  <c r="E93" i="27"/>
  <c r="E92" i="27"/>
  <c r="E91" i="27"/>
  <c r="E90" i="27"/>
  <c r="E89" i="27"/>
  <c r="E88" i="27"/>
  <c r="E87" i="27"/>
  <c r="E86" i="27"/>
  <c r="E84" i="27"/>
  <c r="E83" i="27"/>
  <c r="E82" i="27"/>
  <c r="E81" i="27"/>
  <c r="E80" i="27"/>
  <c r="E79" i="27"/>
  <c r="E78" i="27"/>
  <c r="E77" i="27"/>
  <c r="E76" i="27"/>
  <c r="E75" i="27"/>
  <c r="E74" i="27"/>
  <c r="E73" i="27"/>
  <c r="E72" i="27"/>
  <c r="E71" i="27"/>
  <c r="E70" i="27"/>
  <c r="E69" i="27"/>
  <c r="E68" i="27"/>
  <c r="E67" i="27"/>
  <c r="E66" i="27"/>
  <c r="E65" i="27"/>
  <c r="E64" i="27"/>
  <c r="E63" i="27"/>
  <c r="E62" i="27"/>
  <c r="E61" i="27"/>
  <c r="E59" i="27"/>
  <c r="E58" i="27"/>
  <c r="E57" i="27"/>
  <c r="E56" i="27"/>
  <c r="E55" i="27"/>
  <c r="E54" i="27"/>
  <c r="E49" i="27"/>
  <c r="E48" i="27"/>
  <c r="U47" i="27"/>
  <c r="U46" i="27"/>
  <c r="U45" i="27"/>
  <c r="U44" i="27"/>
  <c r="U43" i="27"/>
  <c r="U42" i="27"/>
  <c r="U41" i="27"/>
  <c r="U40" i="27"/>
  <c r="U39" i="27"/>
  <c r="U38" i="27"/>
  <c r="U37" i="27"/>
  <c r="U36" i="27"/>
  <c r="U35" i="27"/>
  <c r="U34" i="27"/>
  <c r="U33" i="27"/>
  <c r="U32" i="27"/>
  <c r="U31" i="27"/>
  <c r="U30" i="27"/>
  <c r="U29" i="27"/>
  <c r="U28" i="27"/>
  <c r="U27" i="27"/>
  <c r="U26" i="27"/>
  <c r="U25" i="27"/>
  <c r="U24" i="27"/>
  <c r="U23" i="27"/>
  <c r="U22" i="27"/>
  <c r="T102" i="27"/>
  <c r="T102" i="26"/>
  <c r="T102" i="25"/>
  <c r="T102" i="24"/>
  <c r="T102" i="23"/>
  <c r="T102" i="22"/>
  <c r="T102" i="21"/>
  <c r="T102" i="20"/>
  <c r="T102" i="19"/>
  <c r="T102" i="18"/>
  <c r="T102" i="17"/>
  <c r="T102" i="16"/>
  <c r="T102" i="3"/>
  <c r="T101" i="27"/>
  <c r="T101" i="26"/>
  <c r="T101" i="25"/>
  <c r="T101" i="24"/>
  <c r="T101" i="23"/>
  <c r="T101" i="22"/>
  <c r="T101" i="21"/>
  <c r="T101" i="20"/>
  <c r="T101" i="19"/>
  <c r="T101" i="18"/>
  <c r="T101" i="17"/>
  <c r="T101" i="16"/>
  <c r="T101" i="3"/>
  <c r="T87" i="27"/>
  <c r="T88" i="27"/>
  <c r="T89" i="27"/>
  <c r="T90" i="27"/>
  <c r="T91" i="27"/>
  <c r="T92" i="27"/>
  <c r="T93" i="27"/>
  <c r="T94" i="27"/>
  <c r="T95" i="27"/>
  <c r="T96" i="27"/>
  <c r="T97" i="27"/>
  <c r="T98" i="27"/>
  <c r="T99" i="27"/>
  <c r="T87" i="26"/>
  <c r="T88" i="26"/>
  <c r="T89" i="26"/>
  <c r="T90" i="26"/>
  <c r="T91" i="26"/>
  <c r="T92" i="26"/>
  <c r="T93" i="26"/>
  <c r="T94" i="26"/>
  <c r="T95" i="26"/>
  <c r="T96" i="26"/>
  <c r="T97" i="26"/>
  <c r="T98" i="26"/>
  <c r="T99" i="26"/>
  <c r="T87" i="25"/>
  <c r="T88" i="25"/>
  <c r="T89" i="25"/>
  <c r="T90" i="25"/>
  <c r="T91" i="25"/>
  <c r="T92" i="25"/>
  <c r="T93" i="25"/>
  <c r="T94" i="25"/>
  <c r="T95" i="25"/>
  <c r="T96" i="25"/>
  <c r="T97" i="25"/>
  <c r="T98" i="25"/>
  <c r="T99" i="25"/>
  <c r="T87" i="24"/>
  <c r="T88" i="24"/>
  <c r="T89" i="24"/>
  <c r="T90" i="24"/>
  <c r="T91" i="24"/>
  <c r="T92" i="24"/>
  <c r="T93" i="24"/>
  <c r="T94" i="24"/>
  <c r="T95" i="24"/>
  <c r="T96" i="24"/>
  <c r="T97" i="24"/>
  <c r="T98" i="24"/>
  <c r="T99" i="24"/>
  <c r="T87" i="23"/>
  <c r="T88" i="23"/>
  <c r="T89" i="23"/>
  <c r="T90" i="23"/>
  <c r="T91" i="23"/>
  <c r="T92" i="23"/>
  <c r="T93" i="23"/>
  <c r="T94" i="23"/>
  <c r="T95" i="23"/>
  <c r="T96" i="23"/>
  <c r="T97" i="23"/>
  <c r="T98" i="23"/>
  <c r="T99" i="23"/>
  <c r="T87" i="22"/>
  <c r="T88" i="22"/>
  <c r="T89" i="22"/>
  <c r="T90" i="22"/>
  <c r="T91" i="22"/>
  <c r="T92" i="22"/>
  <c r="T93" i="22"/>
  <c r="T94" i="22"/>
  <c r="T95" i="22"/>
  <c r="T96" i="22"/>
  <c r="T97" i="22"/>
  <c r="T98" i="22"/>
  <c r="T99" i="22"/>
  <c r="T87" i="21"/>
  <c r="T88" i="21"/>
  <c r="T89" i="21"/>
  <c r="T90" i="21"/>
  <c r="T91" i="21"/>
  <c r="T92" i="21"/>
  <c r="T93" i="21"/>
  <c r="T94" i="21"/>
  <c r="T95" i="21"/>
  <c r="T96" i="21"/>
  <c r="T97" i="21"/>
  <c r="T98" i="21"/>
  <c r="T99" i="21"/>
  <c r="T87" i="20"/>
  <c r="T88" i="20"/>
  <c r="T89" i="20"/>
  <c r="T90" i="20"/>
  <c r="T91" i="20"/>
  <c r="T92" i="20"/>
  <c r="T93" i="20"/>
  <c r="T94" i="20"/>
  <c r="T95" i="20"/>
  <c r="T96" i="20"/>
  <c r="T97" i="20"/>
  <c r="T98" i="20"/>
  <c r="T99" i="20"/>
  <c r="T87" i="19"/>
  <c r="T88" i="19"/>
  <c r="T89" i="19"/>
  <c r="T90" i="19"/>
  <c r="T91" i="19"/>
  <c r="T92" i="19"/>
  <c r="T93" i="19"/>
  <c r="T94" i="19"/>
  <c r="T95" i="19"/>
  <c r="T96" i="19"/>
  <c r="T97" i="19"/>
  <c r="T98" i="19"/>
  <c r="T99" i="19"/>
  <c r="T87" i="18"/>
  <c r="T88" i="18"/>
  <c r="T89" i="18"/>
  <c r="T90" i="18"/>
  <c r="T91" i="18"/>
  <c r="T92" i="18"/>
  <c r="T93" i="18"/>
  <c r="T94" i="18"/>
  <c r="T95" i="18"/>
  <c r="T96" i="18"/>
  <c r="T97" i="18"/>
  <c r="T98" i="18"/>
  <c r="T99" i="18"/>
  <c r="T87" i="17"/>
  <c r="T88" i="17"/>
  <c r="T89" i="17"/>
  <c r="T90" i="17"/>
  <c r="T91" i="17"/>
  <c r="T92" i="17"/>
  <c r="T93" i="17"/>
  <c r="T94" i="17"/>
  <c r="T95" i="17"/>
  <c r="T96" i="17"/>
  <c r="T97" i="17"/>
  <c r="T98" i="17"/>
  <c r="T99" i="17"/>
  <c r="T87" i="16"/>
  <c r="T88" i="16"/>
  <c r="T89" i="16"/>
  <c r="T90" i="16"/>
  <c r="T91" i="16"/>
  <c r="T92" i="16"/>
  <c r="T93" i="16"/>
  <c r="T94" i="16"/>
  <c r="T95" i="16"/>
  <c r="T96" i="16"/>
  <c r="T97" i="16"/>
  <c r="T98" i="16"/>
  <c r="T99" i="16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86" i="27"/>
  <c r="T86" i="26"/>
  <c r="T86" i="25"/>
  <c r="T86" i="24"/>
  <c r="T86" i="23"/>
  <c r="T86" i="22"/>
  <c r="T86" i="21"/>
  <c r="T86" i="20"/>
  <c r="T86" i="19"/>
  <c r="T86" i="18"/>
  <c r="T86" i="17"/>
  <c r="T86" i="16"/>
  <c r="T86" i="3"/>
  <c r="T62" i="27"/>
  <c r="T63" i="27"/>
  <c r="T64" i="27"/>
  <c r="T65" i="27"/>
  <c r="T66" i="27"/>
  <c r="T67" i="27"/>
  <c r="T68" i="27"/>
  <c r="T69" i="27"/>
  <c r="T70" i="27"/>
  <c r="T71" i="27"/>
  <c r="T72" i="27"/>
  <c r="T73" i="27"/>
  <c r="T74" i="27"/>
  <c r="T75" i="27"/>
  <c r="T76" i="27"/>
  <c r="T77" i="27"/>
  <c r="T78" i="27"/>
  <c r="T79" i="27"/>
  <c r="T80" i="27"/>
  <c r="T81" i="27"/>
  <c r="T82" i="27"/>
  <c r="T83" i="27"/>
  <c r="T84" i="27"/>
  <c r="T62" i="26"/>
  <c r="T63" i="26"/>
  <c r="T64" i="26"/>
  <c r="T65" i="26"/>
  <c r="T66" i="26"/>
  <c r="T67" i="26"/>
  <c r="T68" i="26"/>
  <c r="T69" i="26"/>
  <c r="T70" i="26"/>
  <c r="T71" i="26"/>
  <c r="T72" i="26"/>
  <c r="T73" i="26"/>
  <c r="T74" i="26"/>
  <c r="T75" i="26"/>
  <c r="T76" i="26"/>
  <c r="T77" i="26"/>
  <c r="T78" i="26"/>
  <c r="T79" i="26"/>
  <c r="T80" i="26"/>
  <c r="T81" i="26"/>
  <c r="T82" i="26"/>
  <c r="T83" i="26"/>
  <c r="T84" i="26"/>
  <c r="T62" i="25"/>
  <c r="T63" i="25"/>
  <c r="T64" i="25"/>
  <c r="T65" i="25"/>
  <c r="T66" i="25"/>
  <c r="T67" i="25"/>
  <c r="T68" i="25"/>
  <c r="T69" i="25"/>
  <c r="T70" i="25"/>
  <c r="T71" i="25"/>
  <c r="T72" i="25"/>
  <c r="T73" i="25"/>
  <c r="T74" i="25"/>
  <c r="T75" i="25"/>
  <c r="T76" i="25"/>
  <c r="T77" i="25"/>
  <c r="T78" i="25"/>
  <c r="T79" i="25"/>
  <c r="T80" i="25"/>
  <c r="T81" i="25"/>
  <c r="T82" i="25"/>
  <c r="T83" i="25"/>
  <c r="T84" i="25"/>
  <c r="T62" i="24"/>
  <c r="T63" i="24"/>
  <c r="T64" i="24"/>
  <c r="T65" i="24"/>
  <c r="T66" i="24"/>
  <c r="T67" i="24"/>
  <c r="T68" i="24"/>
  <c r="T69" i="24"/>
  <c r="T70" i="24"/>
  <c r="T71" i="24"/>
  <c r="T72" i="24"/>
  <c r="T73" i="24"/>
  <c r="T74" i="24"/>
  <c r="T75" i="24"/>
  <c r="T76" i="24"/>
  <c r="T77" i="24"/>
  <c r="T78" i="24"/>
  <c r="T79" i="24"/>
  <c r="T80" i="24"/>
  <c r="T81" i="24"/>
  <c r="T82" i="24"/>
  <c r="T83" i="24"/>
  <c r="T84" i="24"/>
  <c r="T62" i="23"/>
  <c r="T63" i="23"/>
  <c r="T64" i="23"/>
  <c r="T65" i="23"/>
  <c r="T66" i="23"/>
  <c r="T67" i="23"/>
  <c r="T68" i="23"/>
  <c r="T69" i="23"/>
  <c r="T70" i="23"/>
  <c r="T71" i="23"/>
  <c r="T72" i="23"/>
  <c r="T73" i="23"/>
  <c r="T74" i="23"/>
  <c r="T75" i="23"/>
  <c r="T76" i="23"/>
  <c r="T77" i="23"/>
  <c r="T78" i="23"/>
  <c r="T79" i="23"/>
  <c r="T80" i="23"/>
  <c r="T81" i="23"/>
  <c r="T82" i="23"/>
  <c r="T83" i="23"/>
  <c r="T84" i="23"/>
  <c r="T62" i="22"/>
  <c r="T63" i="22"/>
  <c r="T64" i="22"/>
  <c r="T65" i="22"/>
  <c r="T66" i="22"/>
  <c r="T67" i="22"/>
  <c r="T68" i="22"/>
  <c r="T69" i="22"/>
  <c r="T70" i="22"/>
  <c r="T71" i="22"/>
  <c r="T72" i="22"/>
  <c r="T73" i="22"/>
  <c r="T74" i="22"/>
  <c r="T75" i="22"/>
  <c r="T76" i="22"/>
  <c r="T77" i="22"/>
  <c r="T78" i="22"/>
  <c r="T79" i="22"/>
  <c r="T80" i="22"/>
  <c r="T81" i="22"/>
  <c r="T82" i="22"/>
  <c r="T83" i="22"/>
  <c r="T84" i="22"/>
  <c r="T62" i="21"/>
  <c r="T63" i="21"/>
  <c r="T64" i="21"/>
  <c r="T65" i="21"/>
  <c r="T66" i="21"/>
  <c r="T67" i="21"/>
  <c r="T68" i="21"/>
  <c r="T69" i="21"/>
  <c r="T70" i="21"/>
  <c r="T71" i="21"/>
  <c r="T72" i="21"/>
  <c r="T73" i="21"/>
  <c r="T74" i="21"/>
  <c r="T75" i="21"/>
  <c r="T76" i="21"/>
  <c r="T77" i="21"/>
  <c r="T78" i="21"/>
  <c r="T79" i="21"/>
  <c r="T80" i="21"/>
  <c r="T81" i="21"/>
  <c r="T82" i="21"/>
  <c r="T83" i="21"/>
  <c r="T84" i="21"/>
  <c r="T62" i="20"/>
  <c r="T63" i="20"/>
  <c r="T64" i="20"/>
  <c r="T65" i="20"/>
  <c r="T66" i="20"/>
  <c r="T67" i="20"/>
  <c r="T68" i="20"/>
  <c r="T69" i="20"/>
  <c r="T70" i="20"/>
  <c r="T71" i="20"/>
  <c r="T72" i="20"/>
  <c r="T73" i="20"/>
  <c r="T74" i="20"/>
  <c r="T75" i="20"/>
  <c r="T76" i="20"/>
  <c r="T77" i="20"/>
  <c r="T78" i="20"/>
  <c r="T79" i="20"/>
  <c r="T80" i="20"/>
  <c r="T81" i="20"/>
  <c r="T82" i="20"/>
  <c r="T83" i="20"/>
  <c r="T84" i="20"/>
  <c r="T62" i="19"/>
  <c r="T63" i="19"/>
  <c r="T64" i="19"/>
  <c r="T65" i="19"/>
  <c r="T66" i="19"/>
  <c r="T67" i="19"/>
  <c r="T68" i="19"/>
  <c r="T69" i="19"/>
  <c r="T70" i="19"/>
  <c r="T71" i="19"/>
  <c r="T72" i="19"/>
  <c r="T73" i="19"/>
  <c r="T74" i="19"/>
  <c r="T75" i="19"/>
  <c r="T76" i="19"/>
  <c r="T77" i="19"/>
  <c r="T78" i="19"/>
  <c r="T79" i="19"/>
  <c r="T80" i="19"/>
  <c r="T81" i="19"/>
  <c r="T82" i="19"/>
  <c r="T83" i="19"/>
  <c r="T84" i="19"/>
  <c r="T62" i="18"/>
  <c r="T63" i="18"/>
  <c r="T64" i="18"/>
  <c r="T65" i="18"/>
  <c r="T66" i="18"/>
  <c r="T67" i="18"/>
  <c r="T68" i="18"/>
  <c r="T69" i="18"/>
  <c r="T70" i="18"/>
  <c r="T71" i="18"/>
  <c r="T72" i="18"/>
  <c r="T73" i="18"/>
  <c r="T74" i="18"/>
  <c r="T75" i="18"/>
  <c r="T76" i="18"/>
  <c r="T77" i="18"/>
  <c r="T78" i="18"/>
  <c r="T79" i="18"/>
  <c r="T80" i="18"/>
  <c r="T81" i="18"/>
  <c r="T82" i="18"/>
  <c r="T83" i="18"/>
  <c r="T84" i="18"/>
  <c r="T62" i="17"/>
  <c r="T63" i="17"/>
  <c r="T64" i="17"/>
  <c r="T65" i="17"/>
  <c r="T66" i="17"/>
  <c r="T67" i="17"/>
  <c r="T68" i="17"/>
  <c r="T69" i="17"/>
  <c r="T70" i="17"/>
  <c r="T71" i="17"/>
  <c r="T72" i="17"/>
  <c r="T73" i="17"/>
  <c r="T74" i="17"/>
  <c r="T75" i="17"/>
  <c r="T76" i="17"/>
  <c r="T77" i="17"/>
  <c r="T78" i="17"/>
  <c r="T79" i="17"/>
  <c r="T80" i="17"/>
  <c r="T81" i="17"/>
  <c r="T82" i="17"/>
  <c r="T83" i="17"/>
  <c r="T84" i="17"/>
  <c r="T62" i="16"/>
  <c r="T63" i="16"/>
  <c r="T64" i="16"/>
  <c r="T65" i="16"/>
  <c r="T66" i="16"/>
  <c r="T67" i="16"/>
  <c r="T68" i="16"/>
  <c r="T69" i="16"/>
  <c r="T70" i="16"/>
  <c r="T71" i="16"/>
  <c r="T72" i="16"/>
  <c r="T73" i="16"/>
  <c r="T74" i="16"/>
  <c r="T75" i="16"/>
  <c r="T76" i="16"/>
  <c r="T77" i="16"/>
  <c r="T78" i="16"/>
  <c r="T79" i="16"/>
  <c r="T80" i="16"/>
  <c r="T81" i="16"/>
  <c r="T82" i="16"/>
  <c r="T83" i="16"/>
  <c r="T84" i="16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61" i="27"/>
  <c r="T61" i="26"/>
  <c r="T61" i="25"/>
  <c r="T61" i="24"/>
  <c r="T61" i="23"/>
  <c r="T61" i="22"/>
  <c r="T61" i="21"/>
  <c r="T61" i="20"/>
  <c r="T61" i="19"/>
  <c r="T61" i="18"/>
  <c r="T61" i="17"/>
  <c r="T61" i="16"/>
  <c r="T61" i="3"/>
  <c r="T55" i="27"/>
  <c r="T56" i="27"/>
  <c r="T57" i="27"/>
  <c r="T58" i="27"/>
  <c r="T59" i="27"/>
  <c r="T55" i="26"/>
  <c r="T56" i="26"/>
  <c r="T57" i="26"/>
  <c r="T58" i="26"/>
  <c r="T59" i="26"/>
  <c r="T55" i="25"/>
  <c r="T56" i="25"/>
  <c r="T57" i="25"/>
  <c r="T58" i="25"/>
  <c r="T59" i="25"/>
  <c r="T55" i="24"/>
  <c r="T56" i="24"/>
  <c r="T57" i="24"/>
  <c r="T58" i="24"/>
  <c r="T59" i="24"/>
  <c r="T55" i="23"/>
  <c r="T56" i="23"/>
  <c r="T57" i="23"/>
  <c r="T58" i="23"/>
  <c r="T59" i="23"/>
  <c r="T55" i="22"/>
  <c r="T56" i="22"/>
  <c r="T57" i="22"/>
  <c r="T58" i="22"/>
  <c r="T59" i="22"/>
  <c r="T55" i="21"/>
  <c r="T56" i="21"/>
  <c r="T57" i="21"/>
  <c r="T58" i="21"/>
  <c r="T59" i="21"/>
  <c r="T55" i="20"/>
  <c r="T56" i="20"/>
  <c r="T57" i="20"/>
  <c r="T58" i="20"/>
  <c r="T59" i="20"/>
  <c r="T55" i="19"/>
  <c r="T56" i="19"/>
  <c r="T57" i="19"/>
  <c r="T58" i="19"/>
  <c r="T59" i="19"/>
  <c r="T55" i="18"/>
  <c r="T56" i="18"/>
  <c r="T57" i="18"/>
  <c r="T58" i="18"/>
  <c r="T59" i="18"/>
  <c r="T55" i="17"/>
  <c r="T56" i="17"/>
  <c r="T57" i="17"/>
  <c r="T58" i="17"/>
  <c r="T59" i="17"/>
  <c r="T55" i="16"/>
  <c r="T56" i="16"/>
  <c r="T57" i="16"/>
  <c r="T58" i="16"/>
  <c r="T59" i="16"/>
  <c r="T55" i="3"/>
  <c r="T56" i="3"/>
  <c r="T57" i="3"/>
  <c r="T58" i="3"/>
  <c r="T59" i="3"/>
  <c r="T54" i="27"/>
  <c r="T54" i="26"/>
  <c r="T54" i="25"/>
  <c r="T54" i="24"/>
  <c r="T54" i="23"/>
  <c r="T54" i="22"/>
  <c r="T54" i="21"/>
  <c r="T54" i="20"/>
  <c r="T54" i="19"/>
  <c r="T54" i="18"/>
  <c r="T54" i="17"/>
  <c r="T54" i="16"/>
  <c r="T54" i="3"/>
  <c r="S22" i="27"/>
  <c r="S23" i="27"/>
  <c r="S24" i="27"/>
  <c r="S25" i="27"/>
  <c r="S26" i="27"/>
  <c r="S27" i="27"/>
  <c r="S28" i="27"/>
  <c r="S29" i="27"/>
  <c r="S30" i="27"/>
  <c r="S31" i="27"/>
  <c r="S32" i="27"/>
  <c r="S33" i="27"/>
  <c r="S34" i="27"/>
  <c r="S35" i="27"/>
  <c r="S36" i="27"/>
  <c r="S37" i="27"/>
  <c r="S38" i="27"/>
  <c r="S39" i="27"/>
  <c r="S40" i="27"/>
  <c r="S41" i="27"/>
  <c r="S42" i="27"/>
  <c r="S43" i="27"/>
  <c r="S44" i="27"/>
  <c r="S45" i="27"/>
  <c r="S46" i="27"/>
  <c r="S47" i="27"/>
  <c r="S22" i="26"/>
  <c r="S23" i="26"/>
  <c r="S24" i="26"/>
  <c r="S25" i="26"/>
  <c r="S26" i="26"/>
  <c r="S27" i="26"/>
  <c r="S28" i="26"/>
  <c r="S29" i="26"/>
  <c r="S30" i="26"/>
  <c r="S31" i="26"/>
  <c r="S32" i="26"/>
  <c r="S33" i="26"/>
  <c r="S34" i="26"/>
  <c r="S35" i="26"/>
  <c r="S36" i="26"/>
  <c r="S37" i="26"/>
  <c r="S38" i="26"/>
  <c r="S39" i="26"/>
  <c r="S40" i="26"/>
  <c r="S41" i="26"/>
  <c r="S42" i="26"/>
  <c r="S43" i="26"/>
  <c r="S44" i="26"/>
  <c r="S45" i="26"/>
  <c r="S46" i="26"/>
  <c r="S47" i="26"/>
  <c r="S22" i="25"/>
  <c r="S23" i="25"/>
  <c r="S24" i="25"/>
  <c r="S25" i="25"/>
  <c r="S26" i="25"/>
  <c r="S27" i="25"/>
  <c r="S28" i="25"/>
  <c r="S29" i="25"/>
  <c r="S30" i="25"/>
  <c r="S31" i="25"/>
  <c r="S32" i="25"/>
  <c r="S33" i="25"/>
  <c r="S34" i="25"/>
  <c r="S35" i="25"/>
  <c r="S36" i="25"/>
  <c r="S37" i="25"/>
  <c r="S38" i="25"/>
  <c r="S39" i="25"/>
  <c r="S40" i="25"/>
  <c r="S41" i="25"/>
  <c r="S42" i="25"/>
  <c r="S43" i="25"/>
  <c r="S44" i="25"/>
  <c r="S45" i="25"/>
  <c r="S46" i="25"/>
  <c r="S47" i="25"/>
  <c r="S22" i="24"/>
  <c r="S23" i="24"/>
  <c r="S24" i="24"/>
  <c r="S25" i="24"/>
  <c r="S26" i="24"/>
  <c r="S27" i="24"/>
  <c r="S28" i="24"/>
  <c r="S29" i="24"/>
  <c r="S30" i="24"/>
  <c r="S31" i="24"/>
  <c r="S32" i="24"/>
  <c r="S33" i="24"/>
  <c r="S34" i="24"/>
  <c r="S35" i="24"/>
  <c r="S36" i="24"/>
  <c r="S37" i="24"/>
  <c r="S38" i="24"/>
  <c r="S39" i="24"/>
  <c r="S40" i="24"/>
  <c r="S41" i="24"/>
  <c r="S42" i="24"/>
  <c r="S43" i="24"/>
  <c r="S44" i="24"/>
  <c r="S45" i="24"/>
  <c r="S46" i="24"/>
  <c r="S47" i="24"/>
  <c r="S22" i="23"/>
  <c r="S23" i="23"/>
  <c r="S24" i="23"/>
  <c r="S25" i="23"/>
  <c r="S26" i="23"/>
  <c r="S27" i="23"/>
  <c r="S28" i="23"/>
  <c r="S29" i="23"/>
  <c r="S30" i="23"/>
  <c r="S31" i="23"/>
  <c r="S32" i="23"/>
  <c r="S33" i="23"/>
  <c r="S34" i="23"/>
  <c r="S35" i="23"/>
  <c r="S36" i="23"/>
  <c r="S37" i="23"/>
  <c r="S38" i="23"/>
  <c r="S39" i="23"/>
  <c r="S40" i="23"/>
  <c r="S41" i="23"/>
  <c r="S42" i="23"/>
  <c r="S43" i="23"/>
  <c r="S44" i="23"/>
  <c r="S45" i="23"/>
  <c r="S46" i="23"/>
  <c r="S47" i="23"/>
  <c r="S22" i="22"/>
  <c r="S23" i="22"/>
  <c r="S24" i="22"/>
  <c r="S25" i="22"/>
  <c r="S26" i="22"/>
  <c r="S27" i="22"/>
  <c r="S28" i="22"/>
  <c r="S29" i="22"/>
  <c r="S30" i="22"/>
  <c r="S31" i="22"/>
  <c r="S32" i="22"/>
  <c r="S33" i="22"/>
  <c r="S34" i="22"/>
  <c r="S35" i="22"/>
  <c r="S36" i="22"/>
  <c r="S37" i="22"/>
  <c r="S38" i="22"/>
  <c r="S39" i="22"/>
  <c r="S40" i="22"/>
  <c r="S41" i="22"/>
  <c r="S42" i="22"/>
  <c r="S43" i="22"/>
  <c r="S44" i="22"/>
  <c r="S45" i="22"/>
  <c r="S46" i="22"/>
  <c r="S47" i="22"/>
  <c r="S22" i="21"/>
  <c r="S23" i="21"/>
  <c r="S24" i="21"/>
  <c r="S25" i="21"/>
  <c r="S26" i="21"/>
  <c r="S27" i="21"/>
  <c r="S28" i="21"/>
  <c r="S29" i="21"/>
  <c r="S30" i="21"/>
  <c r="S31" i="21"/>
  <c r="S32" i="21"/>
  <c r="S33" i="21"/>
  <c r="S34" i="21"/>
  <c r="S35" i="21"/>
  <c r="S36" i="21"/>
  <c r="S37" i="21"/>
  <c r="S38" i="21"/>
  <c r="S39" i="21"/>
  <c r="S40" i="21"/>
  <c r="S41" i="21"/>
  <c r="S42" i="21"/>
  <c r="S43" i="21"/>
  <c r="S44" i="21"/>
  <c r="S45" i="21"/>
  <c r="S46" i="21"/>
  <c r="S47" i="21"/>
  <c r="S22" i="20"/>
  <c r="S23" i="20"/>
  <c r="S24" i="20"/>
  <c r="S25" i="20"/>
  <c r="S26" i="20"/>
  <c r="S27" i="20"/>
  <c r="S28" i="20"/>
  <c r="S29" i="20"/>
  <c r="S30" i="20"/>
  <c r="S31" i="20"/>
  <c r="S32" i="20"/>
  <c r="S33" i="20"/>
  <c r="S34" i="20"/>
  <c r="S35" i="20"/>
  <c r="S36" i="20"/>
  <c r="S37" i="20"/>
  <c r="S38" i="20"/>
  <c r="S39" i="20"/>
  <c r="S40" i="20"/>
  <c r="S41" i="20"/>
  <c r="S42" i="20"/>
  <c r="S43" i="20"/>
  <c r="S44" i="20"/>
  <c r="S45" i="20"/>
  <c r="S46" i="20"/>
  <c r="S47" i="20"/>
  <c r="S22" i="19"/>
  <c r="S23" i="19"/>
  <c r="S24" i="19"/>
  <c r="S25" i="19"/>
  <c r="S26" i="19"/>
  <c r="S27" i="19"/>
  <c r="S28" i="19"/>
  <c r="S29" i="19"/>
  <c r="S30" i="19"/>
  <c r="S31" i="19"/>
  <c r="S32" i="19"/>
  <c r="S33" i="19"/>
  <c r="S34" i="19"/>
  <c r="S35" i="19"/>
  <c r="S36" i="19"/>
  <c r="S37" i="19"/>
  <c r="S38" i="19"/>
  <c r="S39" i="19"/>
  <c r="S40" i="19"/>
  <c r="S41" i="19"/>
  <c r="S42" i="19"/>
  <c r="S43" i="19"/>
  <c r="S44" i="19"/>
  <c r="S45" i="19"/>
  <c r="S46" i="19"/>
  <c r="S47" i="19"/>
  <c r="S22" i="18"/>
  <c r="S23" i="18"/>
  <c r="S24" i="18"/>
  <c r="S25" i="18"/>
  <c r="S26" i="18"/>
  <c r="S27" i="18"/>
  <c r="S28" i="18"/>
  <c r="S29" i="18"/>
  <c r="S30" i="18"/>
  <c r="S31" i="18"/>
  <c r="S32" i="18"/>
  <c r="S33" i="18"/>
  <c r="S34" i="18"/>
  <c r="S35" i="18"/>
  <c r="S36" i="18"/>
  <c r="S37" i="18"/>
  <c r="S38" i="18"/>
  <c r="S39" i="18"/>
  <c r="S40" i="18"/>
  <c r="S41" i="18"/>
  <c r="S42" i="18"/>
  <c r="S43" i="18"/>
  <c r="S44" i="18"/>
  <c r="S45" i="18"/>
  <c r="S46" i="18"/>
  <c r="S47" i="18"/>
  <c r="S22" i="17"/>
  <c r="S23" i="17"/>
  <c r="S24" i="17"/>
  <c r="S25" i="17"/>
  <c r="S26" i="17"/>
  <c r="S27" i="17"/>
  <c r="S28" i="17"/>
  <c r="S29" i="17"/>
  <c r="S30" i="17"/>
  <c r="S31" i="17"/>
  <c r="S32" i="17"/>
  <c r="S33" i="17"/>
  <c r="S34" i="17"/>
  <c r="S35" i="17"/>
  <c r="S36" i="17"/>
  <c r="S37" i="17"/>
  <c r="S38" i="17"/>
  <c r="S39" i="17"/>
  <c r="S40" i="17"/>
  <c r="S41" i="17"/>
  <c r="S42" i="17"/>
  <c r="S43" i="17"/>
  <c r="S44" i="17"/>
  <c r="S45" i="17"/>
  <c r="S46" i="17"/>
  <c r="S47" i="17"/>
  <c r="S22" i="16"/>
  <c r="S23" i="16"/>
  <c r="S24" i="16"/>
  <c r="S25" i="16"/>
  <c r="S26" i="16"/>
  <c r="S27" i="16"/>
  <c r="S28" i="16"/>
  <c r="S29" i="16"/>
  <c r="S30" i="16"/>
  <c r="S31" i="16"/>
  <c r="S32" i="16"/>
  <c r="S33" i="16"/>
  <c r="S34" i="16"/>
  <c r="S35" i="16"/>
  <c r="S36" i="16"/>
  <c r="S37" i="16"/>
  <c r="S38" i="16"/>
  <c r="S39" i="16"/>
  <c r="S40" i="16"/>
  <c r="S41" i="16"/>
  <c r="S42" i="16"/>
  <c r="S43" i="16"/>
  <c r="S44" i="16"/>
  <c r="S45" i="16"/>
  <c r="S46" i="16"/>
  <c r="S47" i="16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21" i="27"/>
  <c r="S21" i="26"/>
  <c r="S21" i="25"/>
  <c r="S21" i="24"/>
  <c r="S21" i="23"/>
  <c r="S21" i="22"/>
  <c r="S21" i="21"/>
  <c r="S21" i="20"/>
  <c r="S21" i="19"/>
  <c r="S21" i="18"/>
  <c r="S21" i="17"/>
  <c r="S21" i="16"/>
  <c r="S21" i="3"/>
  <c r="R76" i="29"/>
  <c r="G75" i="29"/>
  <c r="O73" i="29"/>
  <c r="Q71" i="29"/>
  <c r="H70" i="29"/>
  <c r="R30" i="29"/>
  <c r="N71" i="29"/>
  <c r="Q74" i="29"/>
  <c r="L69" i="29"/>
  <c r="L76" i="29"/>
  <c r="R74" i="29"/>
  <c r="N73" i="29"/>
  <c r="P71" i="29"/>
  <c r="M70" i="29"/>
  <c r="Q30" i="29"/>
  <c r="P74" i="29"/>
  <c r="R69" i="29"/>
  <c r="H71" i="29"/>
  <c r="Q76" i="29"/>
  <c r="L74" i="29"/>
  <c r="H73" i="29"/>
  <c r="O71" i="29"/>
  <c r="M30" i="29"/>
  <c r="H76" i="29"/>
  <c r="O74" i="29"/>
  <c r="R72" i="29"/>
  <c r="M71" i="29"/>
  <c r="Q69" i="29"/>
  <c r="O30" i="29"/>
  <c r="P70" i="29"/>
  <c r="G72" i="29"/>
  <c r="G76" i="29"/>
  <c r="N74" i="29"/>
  <c r="Q72" i="29"/>
  <c r="G71" i="29"/>
  <c r="P69" i="29"/>
  <c r="I30" i="29"/>
  <c r="H72" i="29"/>
  <c r="M76" i="29"/>
  <c r="H74" i="29"/>
  <c r="P72" i="29"/>
  <c r="R70" i="29"/>
  <c r="O69" i="29"/>
  <c r="N30" i="29"/>
  <c r="O75" i="29"/>
  <c r="H69" i="29"/>
  <c r="L73" i="29"/>
  <c r="O70" i="29"/>
  <c r="Q75" i="29"/>
  <c r="G74" i="29"/>
  <c r="O72" i="29"/>
  <c r="L70" i="29"/>
  <c r="N69" i="29"/>
  <c r="H30" i="29"/>
  <c r="R73" i="29"/>
  <c r="G30" i="29"/>
  <c r="N75" i="29"/>
  <c r="M69" i="29"/>
  <c r="O76" i="29"/>
  <c r="H75" i="29"/>
  <c r="P73" i="29"/>
  <c r="L71" i="29"/>
  <c r="N70" i="29"/>
  <c r="G69" i="29"/>
  <c r="G70" i="29"/>
  <c r="P76" i="29"/>
  <c r="M73" i="29"/>
  <c r="P30" i="29"/>
  <c r="N76" i="29"/>
  <c r="G73" i="29"/>
  <c r="J30" i="29"/>
  <c r="U48" i="23" l="1"/>
  <c r="U48" i="22"/>
  <c r="U21" i="27"/>
  <c r="U21" i="24"/>
  <c r="U21" i="21"/>
  <c r="U21" i="18"/>
  <c r="U21" i="25"/>
  <c r="U21" i="22"/>
  <c r="U21" i="19"/>
  <c r="U21" i="16"/>
  <c r="U21" i="26"/>
  <c r="U21" i="23"/>
  <c r="U21" i="20"/>
  <c r="U21" i="17"/>
  <c r="U21" i="3"/>
  <c r="T32" i="29"/>
  <c r="E102" i="3"/>
  <c r="E101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86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61" i="3"/>
  <c r="E55" i="3"/>
  <c r="E56" i="3"/>
  <c r="E57" i="3"/>
  <c r="E58" i="3"/>
  <c r="E59" i="3"/>
  <c r="E54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E48" i="3"/>
  <c r="E49" i="3"/>
  <c r="N55" i="27" a="1"/>
  <c r="N55" i="27" s="1"/>
  <c r="Q55" i="27" s="1"/>
  <c r="N56" i="27" a="1"/>
  <c r="N56" i="27" s="1"/>
  <c r="Q56" i="27" s="1"/>
  <c r="N57" i="27" a="1"/>
  <c r="N57" i="27" s="1"/>
  <c r="Q57" i="27" s="1"/>
  <c r="N58" i="27" a="1"/>
  <c r="N58" i="27" s="1"/>
  <c r="Q58" i="27" s="1"/>
  <c r="N59" i="27" a="1"/>
  <c r="N59" i="27" s="1"/>
  <c r="Q59" i="27" s="1"/>
  <c r="N55" i="26" a="1"/>
  <c r="N55" i="26" s="1"/>
  <c r="Q55" i="26" s="1"/>
  <c r="N56" i="26" a="1"/>
  <c r="N56" i="26" s="1"/>
  <c r="Q56" i="26" s="1"/>
  <c r="N57" i="26" a="1"/>
  <c r="N57" i="26" s="1"/>
  <c r="Q57" i="26" s="1"/>
  <c r="N58" i="26" a="1"/>
  <c r="N58" i="26" s="1"/>
  <c r="Q58" i="26" s="1"/>
  <c r="N59" i="26" a="1"/>
  <c r="N59" i="26" s="1"/>
  <c r="Q59" i="26" s="1"/>
  <c r="N55" i="25" a="1"/>
  <c r="N55" i="25" s="1"/>
  <c r="Q55" i="25" s="1"/>
  <c r="N56" i="25" a="1"/>
  <c r="N56" i="25" s="1"/>
  <c r="Q56" i="25" s="1"/>
  <c r="N57" i="25" a="1"/>
  <c r="N57" i="25" s="1"/>
  <c r="Q57" i="25" s="1"/>
  <c r="N58" i="25" a="1"/>
  <c r="N58" i="25" s="1"/>
  <c r="Q58" i="25" s="1"/>
  <c r="N59" i="25" a="1"/>
  <c r="N59" i="25" s="1"/>
  <c r="Q59" i="25" s="1"/>
  <c r="N55" i="24" a="1"/>
  <c r="N55" i="24" s="1"/>
  <c r="Q55" i="24" s="1"/>
  <c r="N56" i="24" a="1"/>
  <c r="N56" i="24" s="1"/>
  <c r="Q56" i="24" s="1"/>
  <c r="N57" i="24" a="1"/>
  <c r="N57" i="24" s="1"/>
  <c r="Q57" i="24" s="1"/>
  <c r="N58" i="24" a="1"/>
  <c r="N58" i="24" s="1"/>
  <c r="Q58" i="24" s="1"/>
  <c r="N59" i="24" a="1"/>
  <c r="N59" i="24" s="1"/>
  <c r="Q59" i="24" s="1"/>
  <c r="N55" i="23" a="1"/>
  <c r="N55" i="23" s="1"/>
  <c r="Q55" i="23" s="1"/>
  <c r="N56" i="23" a="1"/>
  <c r="N56" i="23" s="1"/>
  <c r="Q56" i="23" s="1"/>
  <c r="N57" i="23" a="1"/>
  <c r="N57" i="23" s="1"/>
  <c r="Q57" i="23" s="1"/>
  <c r="N58" i="23" a="1"/>
  <c r="N58" i="23" s="1"/>
  <c r="Q58" i="23" s="1"/>
  <c r="N59" i="23" a="1"/>
  <c r="N59" i="23" s="1"/>
  <c r="Q59" i="23" s="1"/>
  <c r="N55" i="22" a="1"/>
  <c r="N55" i="22" s="1"/>
  <c r="Q55" i="22" s="1"/>
  <c r="N56" i="22" a="1"/>
  <c r="N56" i="22" s="1"/>
  <c r="Q56" i="22" s="1"/>
  <c r="N57" i="22" a="1"/>
  <c r="N57" i="22" s="1"/>
  <c r="Q57" i="22" s="1"/>
  <c r="N58" i="22" a="1"/>
  <c r="N58" i="22" s="1"/>
  <c r="Q58" i="22" s="1"/>
  <c r="N59" i="22" a="1"/>
  <c r="N59" i="22" s="1"/>
  <c r="Q59" i="22" s="1"/>
  <c r="N55" i="21" a="1"/>
  <c r="N55" i="21" s="1"/>
  <c r="Q55" i="21" s="1"/>
  <c r="N56" i="21" a="1"/>
  <c r="N56" i="21" s="1"/>
  <c r="Q56" i="21" s="1"/>
  <c r="N57" i="21" a="1"/>
  <c r="N57" i="21" s="1"/>
  <c r="Q57" i="21" s="1"/>
  <c r="N58" i="21" a="1"/>
  <c r="N58" i="21" s="1"/>
  <c r="Q58" i="21" s="1"/>
  <c r="N59" i="21" a="1"/>
  <c r="N59" i="21" s="1"/>
  <c r="Q59" i="21" s="1"/>
  <c r="N55" i="20" a="1"/>
  <c r="N55" i="20" s="1"/>
  <c r="Q55" i="20" s="1"/>
  <c r="N56" i="20" a="1"/>
  <c r="N56" i="20" s="1"/>
  <c r="Q56" i="20" s="1"/>
  <c r="N57" i="20" a="1"/>
  <c r="N57" i="20" s="1"/>
  <c r="Q57" i="20" s="1"/>
  <c r="N58" i="20" a="1"/>
  <c r="N58" i="20" s="1"/>
  <c r="Q58" i="20" s="1"/>
  <c r="N59" i="20" a="1"/>
  <c r="N59" i="20" s="1"/>
  <c r="Q59" i="20" s="1"/>
  <c r="N55" i="19" a="1"/>
  <c r="N55" i="19" s="1"/>
  <c r="Q55" i="19" s="1"/>
  <c r="N56" i="19" a="1"/>
  <c r="N56" i="19" s="1"/>
  <c r="Q56" i="19" s="1"/>
  <c r="N57" i="19" a="1"/>
  <c r="N57" i="19" s="1"/>
  <c r="Q57" i="19" s="1"/>
  <c r="N58" i="19" a="1"/>
  <c r="N58" i="19" s="1"/>
  <c r="Q58" i="19" s="1"/>
  <c r="N59" i="19" a="1"/>
  <c r="N59" i="19" s="1"/>
  <c r="Q59" i="19" s="1"/>
  <c r="N55" i="18" a="1"/>
  <c r="N55" i="18" s="1"/>
  <c r="Q55" i="18" s="1"/>
  <c r="N56" i="18" a="1"/>
  <c r="N56" i="18" s="1"/>
  <c r="Q56" i="18" s="1"/>
  <c r="N57" i="18" a="1"/>
  <c r="N57" i="18" s="1"/>
  <c r="Q57" i="18" s="1"/>
  <c r="N58" i="18" a="1"/>
  <c r="N58" i="18" s="1"/>
  <c r="Q58" i="18" s="1"/>
  <c r="N59" i="18" a="1"/>
  <c r="N59" i="18" s="1"/>
  <c r="Q59" i="18" s="1"/>
  <c r="N55" i="17" a="1"/>
  <c r="N55" i="17" s="1"/>
  <c r="Q55" i="17" s="1"/>
  <c r="N56" i="17" a="1"/>
  <c r="N56" i="17" s="1"/>
  <c r="Q56" i="17" s="1"/>
  <c r="N57" i="17" a="1"/>
  <c r="N57" i="17" s="1"/>
  <c r="Q57" i="17" s="1"/>
  <c r="N58" i="17" a="1"/>
  <c r="N58" i="17" s="1"/>
  <c r="Q58" i="17" s="1"/>
  <c r="N59" i="17" a="1"/>
  <c r="N59" i="17" s="1"/>
  <c r="Q59" i="17" s="1"/>
  <c r="N55" i="16" a="1"/>
  <c r="N55" i="16" s="1"/>
  <c r="Q55" i="16" s="1"/>
  <c r="N56" i="16" a="1"/>
  <c r="N56" i="16" s="1"/>
  <c r="Q56" i="16" s="1"/>
  <c r="N57" i="16" a="1"/>
  <c r="N57" i="16" s="1"/>
  <c r="Q57" i="16" s="1"/>
  <c r="N58" i="16" a="1"/>
  <c r="N58" i="16" s="1"/>
  <c r="Q58" i="16" s="1"/>
  <c r="N59" i="16" a="1"/>
  <c r="N59" i="16" s="1"/>
  <c r="Q59" i="16" s="1"/>
  <c r="N55" i="3" a="1"/>
  <c r="N55" i="3" s="1"/>
  <c r="Q55" i="3" s="1"/>
  <c r="N56" i="3" a="1"/>
  <c r="N56" i="3" s="1"/>
  <c r="Q56" i="3" s="1"/>
  <c r="N57" i="3" a="1"/>
  <c r="N57" i="3" s="1"/>
  <c r="Q57" i="3" s="1"/>
  <c r="N58" i="3" a="1"/>
  <c r="N58" i="3" s="1"/>
  <c r="Q58" i="3" s="1"/>
  <c r="N59" i="3" a="1"/>
  <c r="N59" i="3" s="1"/>
  <c r="Q59" i="3" s="1"/>
  <c r="R57" i="27"/>
  <c r="R58" i="27"/>
  <c r="R59" i="27"/>
  <c r="R57" i="26"/>
  <c r="R58" i="26"/>
  <c r="R59" i="26"/>
  <c r="R57" i="25"/>
  <c r="R58" i="25"/>
  <c r="R59" i="25"/>
  <c r="R57" i="24"/>
  <c r="R58" i="24"/>
  <c r="R59" i="24"/>
  <c r="R57" i="23"/>
  <c r="R58" i="23"/>
  <c r="R59" i="23"/>
  <c r="R57" i="22"/>
  <c r="R58" i="22"/>
  <c r="R59" i="22"/>
  <c r="R57" i="21"/>
  <c r="R58" i="21"/>
  <c r="R59" i="21"/>
  <c r="R57" i="20"/>
  <c r="R58" i="20"/>
  <c r="R59" i="20"/>
  <c r="R57" i="19"/>
  <c r="R58" i="19"/>
  <c r="R59" i="19"/>
  <c r="R57" i="18"/>
  <c r="R58" i="18"/>
  <c r="R59" i="18"/>
  <c r="R57" i="17"/>
  <c r="R58" i="17"/>
  <c r="R59" i="17"/>
  <c r="R57" i="16"/>
  <c r="R58" i="16"/>
  <c r="R59" i="16"/>
  <c r="H149" i="3"/>
  <c r="R57" i="3" s="1"/>
  <c r="H150" i="3"/>
  <c r="R58" i="3" s="1"/>
  <c r="H151" i="3"/>
  <c r="R59" i="3" s="1"/>
  <c r="R56" i="27"/>
  <c r="R56" i="26"/>
  <c r="R56" i="25"/>
  <c r="R56" i="24"/>
  <c r="R56" i="23"/>
  <c r="R56" i="22"/>
  <c r="R56" i="21"/>
  <c r="R56" i="20"/>
  <c r="R56" i="19"/>
  <c r="R56" i="18"/>
  <c r="R56" i="17"/>
  <c r="R56" i="16"/>
  <c r="R56" i="3"/>
  <c r="D147" i="27"/>
  <c r="E147" i="27" s="1"/>
  <c r="R55" i="27"/>
  <c r="D148" i="27"/>
  <c r="E148" i="27" s="1"/>
  <c r="D149" i="27"/>
  <c r="E149" i="27" s="1"/>
  <c r="D150" i="27"/>
  <c r="E150" i="27" s="1"/>
  <c r="D151" i="27"/>
  <c r="E151" i="27" s="1"/>
  <c r="D147" i="26"/>
  <c r="E147" i="26" s="1"/>
  <c r="R55" i="26"/>
  <c r="D148" i="26"/>
  <c r="E148" i="26" s="1"/>
  <c r="D149" i="26"/>
  <c r="E149" i="26" s="1"/>
  <c r="D150" i="26"/>
  <c r="E150" i="26" s="1"/>
  <c r="D151" i="26"/>
  <c r="E151" i="26" s="1"/>
  <c r="D147" i="25"/>
  <c r="E147" i="25" s="1"/>
  <c r="R55" i="25"/>
  <c r="D148" i="25"/>
  <c r="E148" i="25" s="1"/>
  <c r="D149" i="25"/>
  <c r="E149" i="25" s="1"/>
  <c r="D150" i="25"/>
  <c r="E150" i="25" s="1"/>
  <c r="D151" i="25"/>
  <c r="E151" i="25" s="1"/>
  <c r="D147" i="24"/>
  <c r="E147" i="24" s="1"/>
  <c r="R55" i="24"/>
  <c r="D148" i="24"/>
  <c r="E148" i="24" s="1"/>
  <c r="D149" i="24"/>
  <c r="E149" i="24" s="1"/>
  <c r="D150" i="24"/>
  <c r="E150" i="24" s="1"/>
  <c r="D151" i="24"/>
  <c r="E151" i="24" s="1"/>
  <c r="D147" i="23"/>
  <c r="E147" i="23" s="1"/>
  <c r="R55" i="23"/>
  <c r="D148" i="23"/>
  <c r="E148" i="23" s="1"/>
  <c r="D149" i="23"/>
  <c r="E149" i="23" s="1"/>
  <c r="D150" i="23"/>
  <c r="E150" i="23" s="1"/>
  <c r="D151" i="23"/>
  <c r="E151" i="23" s="1"/>
  <c r="D147" i="22"/>
  <c r="E147" i="22" s="1"/>
  <c r="R55" i="22"/>
  <c r="D148" i="22"/>
  <c r="E148" i="22" s="1"/>
  <c r="D149" i="22"/>
  <c r="E149" i="22" s="1"/>
  <c r="D150" i="22"/>
  <c r="E150" i="22" s="1"/>
  <c r="D151" i="22"/>
  <c r="E151" i="22" s="1"/>
  <c r="D147" i="21"/>
  <c r="E147" i="21" s="1"/>
  <c r="R55" i="21"/>
  <c r="D148" i="21"/>
  <c r="E148" i="21" s="1"/>
  <c r="D149" i="21"/>
  <c r="E149" i="21" s="1"/>
  <c r="D150" i="21"/>
  <c r="E150" i="21" s="1"/>
  <c r="D151" i="21"/>
  <c r="E151" i="21" s="1"/>
  <c r="D147" i="20"/>
  <c r="E147" i="20" s="1"/>
  <c r="R55" i="20"/>
  <c r="D148" i="20"/>
  <c r="E148" i="20" s="1"/>
  <c r="D149" i="20"/>
  <c r="E149" i="20" s="1"/>
  <c r="D150" i="20"/>
  <c r="E150" i="20" s="1"/>
  <c r="D151" i="20"/>
  <c r="E151" i="20" s="1"/>
  <c r="D147" i="19"/>
  <c r="E147" i="19" s="1"/>
  <c r="R55" i="19"/>
  <c r="D148" i="19"/>
  <c r="E148" i="19" s="1"/>
  <c r="D149" i="19"/>
  <c r="E149" i="19" s="1"/>
  <c r="D150" i="19"/>
  <c r="E150" i="19" s="1"/>
  <c r="D151" i="19"/>
  <c r="E151" i="19" s="1"/>
  <c r="D147" i="18"/>
  <c r="E147" i="18" s="1"/>
  <c r="R55" i="18"/>
  <c r="D148" i="18"/>
  <c r="E148" i="18" s="1"/>
  <c r="D149" i="18"/>
  <c r="E149" i="18" s="1"/>
  <c r="D150" i="18"/>
  <c r="E150" i="18" s="1"/>
  <c r="D151" i="18"/>
  <c r="E151" i="18" s="1"/>
  <c r="D147" i="17"/>
  <c r="E147" i="17" s="1"/>
  <c r="R55" i="17"/>
  <c r="D148" i="17"/>
  <c r="E148" i="17" s="1"/>
  <c r="D149" i="17"/>
  <c r="E149" i="17" s="1"/>
  <c r="D150" i="17"/>
  <c r="E150" i="17" s="1"/>
  <c r="D151" i="17"/>
  <c r="E151" i="17" s="1"/>
  <c r="D147" i="16"/>
  <c r="E147" i="16" s="1"/>
  <c r="R55" i="16"/>
  <c r="D148" i="16"/>
  <c r="E148" i="16" s="1"/>
  <c r="D149" i="16"/>
  <c r="E149" i="16" s="1"/>
  <c r="D150" i="16"/>
  <c r="E150" i="16" s="1"/>
  <c r="D151" i="16"/>
  <c r="E151" i="16" s="1"/>
  <c r="D147" i="3"/>
  <c r="E147" i="3" s="1"/>
  <c r="H147" i="3"/>
  <c r="R55" i="3" s="1"/>
  <c r="D148" i="3"/>
  <c r="E148" i="3" s="1"/>
  <c r="D149" i="3"/>
  <c r="E149" i="3" s="1"/>
  <c r="D150" i="3"/>
  <c r="E150" i="3" s="1"/>
  <c r="D151" i="3"/>
  <c r="E151" i="3" s="1"/>
  <c r="F73" i="29"/>
  <c r="F69" i="29"/>
  <c r="F30" i="29"/>
  <c r="F75" i="29"/>
  <c r="S57" i="3"/>
  <c r="F72" i="29"/>
  <c r="F74" i="29"/>
  <c r="F71" i="29"/>
  <c r="S55" i="3"/>
  <c r="S59" i="3"/>
  <c r="L30" i="29"/>
  <c r="K30" i="29"/>
  <c r="S58" i="3"/>
  <c r="S56" i="3"/>
  <c r="F76" i="29"/>
  <c r="U22" i="3" l="1"/>
  <c r="K3" i="31"/>
  <c r="L176" i="27"/>
  <c r="K176" i="27"/>
  <c r="J176" i="27"/>
  <c r="I176" i="27"/>
  <c r="G176" i="27"/>
  <c r="F176" i="27"/>
  <c r="D176" i="27"/>
  <c r="E176" i="27" s="1"/>
  <c r="L175" i="27"/>
  <c r="K175" i="27"/>
  <c r="J175" i="27"/>
  <c r="I175" i="27"/>
  <c r="G175" i="27"/>
  <c r="F175" i="27"/>
  <c r="D175" i="27"/>
  <c r="E175" i="27" s="1"/>
  <c r="L174" i="27"/>
  <c r="K174" i="27"/>
  <c r="J174" i="27"/>
  <c r="I174" i="27"/>
  <c r="G174" i="27"/>
  <c r="F174" i="27"/>
  <c r="D174" i="27"/>
  <c r="E174" i="27" s="1"/>
  <c r="L173" i="27"/>
  <c r="K173" i="27"/>
  <c r="J173" i="27"/>
  <c r="I173" i="27"/>
  <c r="G173" i="27"/>
  <c r="F173" i="27"/>
  <c r="D173" i="27"/>
  <c r="E173" i="27" s="1"/>
  <c r="L172" i="27"/>
  <c r="K172" i="27"/>
  <c r="J172" i="27"/>
  <c r="I172" i="27"/>
  <c r="G172" i="27"/>
  <c r="F172" i="27"/>
  <c r="D172" i="27"/>
  <c r="E172" i="27" s="1"/>
  <c r="L171" i="27"/>
  <c r="K171" i="27"/>
  <c r="J171" i="27"/>
  <c r="I171" i="27"/>
  <c r="G171" i="27"/>
  <c r="F171" i="27"/>
  <c r="D171" i="27"/>
  <c r="E171" i="27" s="1"/>
  <c r="L170" i="27"/>
  <c r="K170" i="27"/>
  <c r="J170" i="27"/>
  <c r="I170" i="27"/>
  <c r="G170" i="27"/>
  <c r="F170" i="27"/>
  <c r="D170" i="27"/>
  <c r="E170" i="27" s="1"/>
  <c r="L169" i="27"/>
  <c r="K169" i="27"/>
  <c r="J169" i="27"/>
  <c r="I169" i="27"/>
  <c r="G169" i="27"/>
  <c r="F169" i="27"/>
  <c r="D169" i="27"/>
  <c r="E169" i="27" s="1"/>
  <c r="L168" i="27"/>
  <c r="K168" i="27"/>
  <c r="J168" i="27"/>
  <c r="I168" i="27"/>
  <c r="G168" i="27"/>
  <c r="F168" i="27"/>
  <c r="D168" i="27"/>
  <c r="E168" i="27" s="1"/>
  <c r="L167" i="27"/>
  <c r="K167" i="27"/>
  <c r="J167" i="27"/>
  <c r="I167" i="27"/>
  <c r="G167" i="27"/>
  <c r="F167" i="27"/>
  <c r="D167" i="27"/>
  <c r="E167" i="27" s="1"/>
  <c r="L166" i="27"/>
  <c r="K166" i="27"/>
  <c r="J166" i="27"/>
  <c r="I166" i="27"/>
  <c r="G166" i="27"/>
  <c r="F166" i="27"/>
  <c r="D166" i="27"/>
  <c r="E166" i="27" s="1"/>
  <c r="L165" i="27"/>
  <c r="K165" i="27"/>
  <c r="J165" i="27"/>
  <c r="I165" i="27"/>
  <c r="G165" i="27"/>
  <c r="F165" i="27"/>
  <c r="D165" i="27"/>
  <c r="E165" i="27" s="1"/>
  <c r="L164" i="27"/>
  <c r="K164" i="27"/>
  <c r="J164" i="27"/>
  <c r="I164" i="27"/>
  <c r="G164" i="27"/>
  <c r="F164" i="27"/>
  <c r="D164" i="27"/>
  <c r="E164" i="27" s="1"/>
  <c r="L163" i="27"/>
  <c r="K163" i="27"/>
  <c r="J163" i="27"/>
  <c r="I163" i="27"/>
  <c r="G163" i="27"/>
  <c r="F163" i="27"/>
  <c r="D163" i="27"/>
  <c r="E163" i="27" s="1"/>
  <c r="L162" i="27"/>
  <c r="K162" i="27"/>
  <c r="J162" i="27"/>
  <c r="I162" i="27"/>
  <c r="G162" i="27"/>
  <c r="F162" i="27"/>
  <c r="D162" i="27"/>
  <c r="E162" i="27" s="1"/>
  <c r="L161" i="27"/>
  <c r="K161" i="27"/>
  <c r="J161" i="27"/>
  <c r="I161" i="27"/>
  <c r="G161" i="27"/>
  <c r="F161" i="27"/>
  <c r="D161" i="27"/>
  <c r="E161" i="27" s="1"/>
  <c r="L160" i="27"/>
  <c r="K160" i="27"/>
  <c r="J160" i="27"/>
  <c r="I160" i="27"/>
  <c r="G160" i="27"/>
  <c r="F160" i="27"/>
  <c r="D160" i="27"/>
  <c r="E160" i="27" s="1"/>
  <c r="L159" i="27"/>
  <c r="K159" i="27"/>
  <c r="J159" i="27"/>
  <c r="I159" i="27"/>
  <c r="G159" i="27"/>
  <c r="F159" i="27"/>
  <c r="D159" i="27"/>
  <c r="E159" i="27" s="1"/>
  <c r="L158" i="27"/>
  <c r="K158" i="27"/>
  <c r="J158" i="27"/>
  <c r="I158" i="27"/>
  <c r="G158" i="27"/>
  <c r="F158" i="27"/>
  <c r="D158" i="27"/>
  <c r="E158" i="27" s="1"/>
  <c r="L157" i="27"/>
  <c r="K157" i="27"/>
  <c r="J157" i="27"/>
  <c r="I157" i="27"/>
  <c r="G157" i="27"/>
  <c r="F157" i="27"/>
  <c r="D157" i="27"/>
  <c r="E157" i="27" s="1"/>
  <c r="L156" i="27"/>
  <c r="K156" i="27"/>
  <c r="J156" i="27"/>
  <c r="I156" i="27"/>
  <c r="G156" i="27"/>
  <c r="F156" i="27"/>
  <c r="D156" i="27"/>
  <c r="E156" i="27" s="1"/>
  <c r="L155" i="27"/>
  <c r="K155" i="27"/>
  <c r="J155" i="27"/>
  <c r="I155" i="27"/>
  <c r="G155" i="27"/>
  <c r="F155" i="27"/>
  <c r="D155" i="27"/>
  <c r="E155" i="27" s="1"/>
  <c r="L154" i="27"/>
  <c r="K154" i="27"/>
  <c r="J154" i="27"/>
  <c r="I154" i="27"/>
  <c r="G154" i="27"/>
  <c r="F154" i="27"/>
  <c r="D154" i="27"/>
  <c r="E154" i="27" s="1"/>
  <c r="L153" i="27"/>
  <c r="K153" i="27"/>
  <c r="J153" i="27"/>
  <c r="I153" i="27"/>
  <c r="G153" i="27"/>
  <c r="F153" i="27"/>
  <c r="D153" i="27"/>
  <c r="E153" i="27" s="1"/>
  <c r="D146" i="27"/>
  <c r="E146" i="27" s="1"/>
  <c r="D145" i="27"/>
  <c r="D143" i="27"/>
  <c r="E143" i="27" s="1"/>
  <c r="D142" i="27"/>
  <c r="E142" i="27" s="1"/>
  <c r="D141" i="27"/>
  <c r="E141" i="27" s="1"/>
  <c r="D140" i="27"/>
  <c r="E140" i="27" s="1"/>
  <c r="D139" i="27"/>
  <c r="E139" i="27" s="1"/>
  <c r="D138" i="27"/>
  <c r="E138" i="27" s="1"/>
  <c r="D137" i="27"/>
  <c r="E137" i="27" s="1"/>
  <c r="D136" i="27"/>
  <c r="E136" i="27" s="1"/>
  <c r="D135" i="27"/>
  <c r="E135" i="27" s="1"/>
  <c r="D134" i="27"/>
  <c r="E134" i="27" s="1"/>
  <c r="D133" i="27"/>
  <c r="E133" i="27" s="1"/>
  <c r="D132" i="27"/>
  <c r="E132" i="27" s="1"/>
  <c r="D131" i="27"/>
  <c r="E131" i="27" s="1"/>
  <c r="D130" i="27"/>
  <c r="E130" i="27" s="1"/>
  <c r="D129" i="27"/>
  <c r="E129" i="27" s="1"/>
  <c r="D128" i="27"/>
  <c r="E128" i="27" s="1"/>
  <c r="D127" i="27"/>
  <c r="E127" i="27" s="1"/>
  <c r="D126" i="27"/>
  <c r="E126" i="27" s="1"/>
  <c r="D125" i="27"/>
  <c r="E125" i="27" s="1"/>
  <c r="D124" i="27"/>
  <c r="E124" i="27" s="1"/>
  <c r="D123" i="27"/>
  <c r="E123" i="27" s="1"/>
  <c r="D122" i="27"/>
  <c r="E122" i="27" s="1"/>
  <c r="D121" i="27"/>
  <c r="E121" i="27" s="1"/>
  <c r="D120" i="27"/>
  <c r="E120" i="27" s="1"/>
  <c r="D119" i="27"/>
  <c r="E119" i="27" s="1"/>
  <c r="D118" i="27"/>
  <c r="E118" i="27" s="1"/>
  <c r="D117" i="27"/>
  <c r="E117" i="27" s="1"/>
  <c r="D116" i="27"/>
  <c r="E116" i="27" s="1"/>
  <c r="D115" i="27"/>
  <c r="E115" i="27" s="1"/>
  <c r="G77" i="29" s="1"/>
  <c r="N102" i="27" a="1"/>
  <c r="N102" i="27" s="1"/>
  <c r="Q102" i="27" s="1"/>
  <c r="N101" i="27" a="1"/>
  <c r="N101" i="27" s="1"/>
  <c r="Q101" i="27" s="1"/>
  <c r="N99" i="27" a="1"/>
  <c r="N99" i="27" s="1"/>
  <c r="Q99" i="27" s="1"/>
  <c r="N98" i="27" a="1"/>
  <c r="N98" i="27" s="1"/>
  <c r="Q98" i="27" s="1"/>
  <c r="N97" i="27" a="1"/>
  <c r="N97" i="27" s="1"/>
  <c r="Q97" i="27" s="1"/>
  <c r="N96" i="27" a="1"/>
  <c r="N96" i="27" s="1"/>
  <c r="Q96" i="27" s="1"/>
  <c r="N95" i="27" a="1"/>
  <c r="N95" i="27" s="1"/>
  <c r="Q95" i="27" s="1"/>
  <c r="N94" i="27" a="1"/>
  <c r="N94" i="27" s="1"/>
  <c r="Q94" i="27" s="1"/>
  <c r="N93" i="27" a="1"/>
  <c r="N93" i="27" s="1"/>
  <c r="Q93" i="27" s="1"/>
  <c r="N92" i="27" a="1"/>
  <c r="N92" i="27" s="1"/>
  <c r="Q92" i="27" s="1"/>
  <c r="N91" i="27" a="1"/>
  <c r="N91" i="27" s="1"/>
  <c r="Q91" i="27" s="1"/>
  <c r="N90" i="27" a="1"/>
  <c r="N90" i="27" s="1"/>
  <c r="Q90" i="27" s="1"/>
  <c r="N89" i="27" a="1"/>
  <c r="N89" i="27" s="1"/>
  <c r="Q89" i="27" s="1"/>
  <c r="N88" i="27" a="1"/>
  <c r="N88" i="27" s="1"/>
  <c r="Q88" i="27" s="1"/>
  <c r="N87" i="27" a="1"/>
  <c r="N87" i="27" s="1"/>
  <c r="Q87" i="27" s="1"/>
  <c r="N86" i="27" a="1"/>
  <c r="N86" i="27" s="1"/>
  <c r="Q86" i="27" s="1"/>
  <c r="R84" i="27"/>
  <c r="N84" i="27" a="1"/>
  <c r="N84" i="27" s="1"/>
  <c r="Q84" i="27" s="1"/>
  <c r="R83" i="27"/>
  <c r="N83" i="27" a="1"/>
  <c r="N83" i="27" s="1"/>
  <c r="Q83" i="27" s="1"/>
  <c r="R82" i="27"/>
  <c r="N82" i="27" a="1"/>
  <c r="N82" i="27" s="1"/>
  <c r="Q82" i="27" s="1"/>
  <c r="R81" i="27"/>
  <c r="N81" i="27" a="1"/>
  <c r="N81" i="27" s="1"/>
  <c r="Q81" i="27" s="1"/>
  <c r="R80" i="27"/>
  <c r="N80" i="27" a="1"/>
  <c r="N80" i="27" s="1"/>
  <c r="Q80" i="27" s="1"/>
  <c r="R79" i="27"/>
  <c r="N79" i="27" a="1"/>
  <c r="N79" i="27" s="1"/>
  <c r="Q79" i="27" s="1"/>
  <c r="R78" i="27"/>
  <c r="N78" i="27" a="1"/>
  <c r="N78" i="27" s="1"/>
  <c r="Q78" i="27" s="1"/>
  <c r="R77" i="27"/>
  <c r="N77" i="27" a="1"/>
  <c r="N77" i="27" s="1"/>
  <c r="Q77" i="27" s="1"/>
  <c r="R76" i="27"/>
  <c r="N76" i="27" a="1"/>
  <c r="N76" i="27" s="1"/>
  <c r="Q76" i="27" s="1"/>
  <c r="R75" i="27"/>
  <c r="N75" i="27" a="1"/>
  <c r="N75" i="27" s="1"/>
  <c r="Q75" i="27" s="1"/>
  <c r="R74" i="27"/>
  <c r="N74" i="27" a="1"/>
  <c r="N74" i="27" s="1"/>
  <c r="Q74" i="27" s="1"/>
  <c r="R73" i="27"/>
  <c r="N73" i="27" a="1"/>
  <c r="N73" i="27" s="1"/>
  <c r="Q73" i="27" s="1"/>
  <c r="R72" i="27"/>
  <c r="N72" i="27" a="1"/>
  <c r="N72" i="27" s="1"/>
  <c r="Q72" i="27" s="1"/>
  <c r="R71" i="27"/>
  <c r="N71" i="27" a="1"/>
  <c r="N71" i="27" s="1"/>
  <c r="Q71" i="27" s="1"/>
  <c r="R70" i="27"/>
  <c r="N70" i="27" a="1"/>
  <c r="N70" i="27" s="1"/>
  <c r="Q70" i="27" s="1"/>
  <c r="R69" i="27"/>
  <c r="N69" i="27" a="1"/>
  <c r="N69" i="27" s="1"/>
  <c r="Q69" i="27" s="1"/>
  <c r="R68" i="27"/>
  <c r="N68" i="27" a="1"/>
  <c r="N68" i="27" s="1"/>
  <c r="Q68" i="27" s="1"/>
  <c r="R67" i="27"/>
  <c r="N67" i="27" a="1"/>
  <c r="N67" i="27" s="1"/>
  <c r="Q67" i="27" s="1"/>
  <c r="R66" i="27"/>
  <c r="N66" i="27" a="1"/>
  <c r="N66" i="27" s="1"/>
  <c r="Q66" i="27" s="1"/>
  <c r="R65" i="27"/>
  <c r="N65" i="27" a="1"/>
  <c r="N65" i="27" s="1"/>
  <c r="Q65" i="27" s="1"/>
  <c r="R64" i="27"/>
  <c r="N64" i="27" a="1"/>
  <c r="N64" i="27" s="1"/>
  <c r="Q64" i="27" s="1"/>
  <c r="R63" i="27"/>
  <c r="N63" i="27" a="1"/>
  <c r="N63" i="27" s="1"/>
  <c r="Q63" i="27" s="1"/>
  <c r="R62" i="27"/>
  <c r="N62" i="27" a="1"/>
  <c r="N62" i="27" s="1"/>
  <c r="Q62" i="27" s="1"/>
  <c r="R61" i="27"/>
  <c r="N61" i="27" a="1"/>
  <c r="N61" i="27" s="1"/>
  <c r="Q61" i="27" s="1"/>
  <c r="R54" i="27"/>
  <c r="N54" i="27" a="1"/>
  <c r="N54" i="27" s="1"/>
  <c r="N47" i="27" a="1"/>
  <c r="N47" i="27" s="1"/>
  <c r="P47" i="27" s="1"/>
  <c r="N46" i="27" a="1"/>
  <c r="N46" i="27" s="1"/>
  <c r="P46" i="27" s="1"/>
  <c r="N45" i="27" a="1"/>
  <c r="N45" i="27" s="1"/>
  <c r="P45" i="27" s="1"/>
  <c r="N44" i="27" a="1"/>
  <c r="N44" i="27" s="1"/>
  <c r="P44" i="27" s="1"/>
  <c r="N43" i="27" a="1"/>
  <c r="N43" i="27" s="1"/>
  <c r="P43" i="27" s="1"/>
  <c r="N42" i="27" a="1"/>
  <c r="N42" i="27" s="1"/>
  <c r="P42" i="27" s="1"/>
  <c r="N41" i="27" a="1"/>
  <c r="N41" i="27" s="1"/>
  <c r="P41" i="27" s="1"/>
  <c r="N40" i="27" a="1"/>
  <c r="N40" i="27" s="1"/>
  <c r="P40" i="27" s="1"/>
  <c r="N39" i="27" a="1"/>
  <c r="N39" i="27" s="1"/>
  <c r="P39" i="27" s="1"/>
  <c r="N38" i="27" a="1"/>
  <c r="N38" i="27" s="1"/>
  <c r="P38" i="27" s="1"/>
  <c r="N37" i="27" a="1"/>
  <c r="N37" i="27" s="1"/>
  <c r="P37" i="27" s="1"/>
  <c r="N36" i="27" a="1"/>
  <c r="N36" i="27" s="1"/>
  <c r="P36" i="27" s="1"/>
  <c r="N35" i="27" a="1"/>
  <c r="N35" i="27" s="1"/>
  <c r="P35" i="27" s="1"/>
  <c r="N34" i="27" a="1"/>
  <c r="N34" i="27" s="1"/>
  <c r="P34" i="27" s="1"/>
  <c r="N33" i="27" a="1"/>
  <c r="N33" i="27" s="1"/>
  <c r="P33" i="27" s="1"/>
  <c r="N32" i="27" a="1"/>
  <c r="N32" i="27" s="1"/>
  <c r="P32" i="27" s="1"/>
  <c r="N31" i="27" a="1"/>
  <c r="N31" i="27" s="1"/>
  <c r="P31" i="27" s="1"/>
  <c r="N30" i="27" a="1"/>
  <c r="N30" i="27" s="1"/>
  <c r="P30" i="27" s="1"/>
  <c r="N29" i="27" a="1"/>
  <c r="N29" i="27" s="1"/>
  <c r="P29" i="27" s="1"/>
  <c r="N28" i="27" a="1"/>
  <c r="N28" i="27" s="1"/>
  <c r="P28" i="27" s="1"/>
  <c r="N27" i="27" a="1"/>
  <c r="N27" i="27" s="1"/>
  <c r="P27" i="27" s="1"/>
  <c r="N26" i="27" a="1"/>
  <c r="N26" i="27" s="1"/>
  <c r="P26" i="27" s="1"/>
  <c r="N25" i="27" a="1"/>
  <c r="N25" i="27" s="1"/>
  <c r="P25" i="27" s="1"/>
  <c r="N24" i="27" a="1"/>
  <c r="N24" i="27" s="1"/>
  <c r="P24" i="27" s="1"/>
  <c r="N23" i="27" a="1"/>
  <c r="N23" i="27" s="1"/>
  <c r="P23" i="27" s="1"/>
  <c r="N22" i="27" a="1"/>
  <c r="N22" i="27" s="1"/>
  <c r="P22" i="27" s="1"/>
  <c r="N21" i="27" a="1"/>
  <c r="N21" i="27" s="1"/>
  <c r="P21" i="27" s="1"/>
  <c r="L16" i="27"/>
  <c r="K16" i="27"/>
  <c r="J16" i="27"/>
  <c r="I16" i="27"/>
  <c r="H16" i="27"/>
  <c r="G16" i="27"/>
  <c r="F16" i="27"/>
  <c r="L13" i="27"/>
  <c r="K13" i="27"/>
  <c r="J13" i="27"/>
  <c r="J14" i="27" s="1"/>
  <c r="I13" i="27"/>
  <c r="H13" i="27"/>
  <c r="G13" i="27"/>
  <c r="F13" i="27"/>
  <c r="I14" i="27"/>
  <c r="L11" i="27"/>
  <c r="K11" i="27"/>
  <c r="J11" i="27"/>
  <c r="I11" i="27"/>
  <c r="H11" i="27"/>
  <c r="G11" i="27"/>
  <c r="F11" i="27"/>
  <c r="L7" i="27"/>
  <c r="K7" i="27"/>
  <c r="J7" i="27"/>
  <c r="I7" i="27"/>
  <c r="H7" i="27"/>
  <c r="G7" i="27"/>
  <c r="F7" i="27"/>
  <c r="L176" i="26"/>
  <c r="K176" i="26"/>
  <c r="J176" i="26"/>
  <c r="I176" i="26"/>
  <c r="G176" i="26"/>
  <c r="F176" i="26"/>
  <c r="D176" i="26"/>
  <c r="E176" i="26" s="1"/>
  <c r="L175" i="26"/>
  <c r="K175" i="26"/>
  <c r="J175" i="26"/>
  <c r="I175" i="26"/>
  <c r="G175" i="26"/>
  <c r="F175" i="26"/>
  <c r="D175" i="26"/>
  <c r="E175" i="26" s="1"/>
  <c r="L174" i="26"/>
  <c r="K174" i="26"/>
  <c r="J174" i="26"/>
  <c r="I174" i="26"/>
  <c r="G174" i="26"/>
  <c r="F174" i="26"/>
  <c r="D174" i="26"/>
  <c r="E174" i="26" s="1"/>
  <c r="L173" i="26"/>
  <c r="K173" i="26"/>
  <c r="J173" i="26"/>
  <c r="I173" i="26"/>
  <c r="G173" i="26"/>
  <c r="F173" i="26"/>
  <c r="D173" i="26"/>
  <c r="E173" i="26" s="1"/>
  <c r="L172" i="26"/>
  <c r="K172" i="26"/>
  <c r="J172" i="26"/>
  <c r="I172" i="26"/>
  <c r="G172" i="26"/>
  <c r="F172" i="26"/>
  <c r="D172" i="26"/>
  <c r="E172" i="26" s="1"/>
  <c r="L171" i="26"/>
  <c r="K171" i="26"/>
  <c r="J171" i="26"/>
  <c r="I171" i="26"/>
  <c r="G171" i="26"/>
  <c r="F171" i="26"/>
  <c r="D171" i="26"/>
  <c r="E171" i="26" s="1"/>
  <c r="L170" i="26"/>
  <c r="K170" i="26"/>
  <c r="J170" i="26"/>
  <c r="I170" i="26"/>
  <c r="G170" i="26"/>
  <c r="F170" i="26"/>
  <c r="D170" i="26"/>
  <c r="E170" i="26" s="1"/>
  <c r="L169" i="26"/>
  <c r="K169" i="26"/>
  <c r="J169" i="26"/>
  <c r="I169" i="26"/>
  <c r="G169" i="26"/>
  <c r="F169" i="26"/>
  <c r="D169" i="26"/>
  <c r="E169" i="26" s="1"/>
  <c r="L168" i="26"/>
  <c r="K168" i="26"/>
  <c r="J168" i="26"/>
  <c r="I168" i="26"/>
  <c r="G168" i="26"/>
  <c r="F168" i="26"/>
  <c r="D168" i="26"/>
  <c r="E168" i="26" s="1"/>
  <c r="L167" i="26"/>
  <c r="K167" i="26"/>
  <c r="J167" i="26"/>
  <c r="I167" i="26"/>
  <c r="G167" i="26"/>
  <c r="F167" i="26"/>
  <c r="D167" i="26"/>
  <c r="E167" i="26" s="1"/>
  <c r="L166" i="26"/>
  <c r="K166" i="26"/>
  <c r="J166" i="26"/>
  <c r="I166" i="26"/>
  <c r="G166" i="26"/>
  <c r="F166" i="26"/>
  <c r="D166" i="26"/>
  <c r="E166" i="26" s="1"/>
  <c r="L165" i="26"/>
  <c r="K165" i="26"/>
  <c r="J165" i="26"/>
  <c r="I165" i="26"/>
  <c r="G165" i="26"/>
  <c r="F165" i="26"/>
  <c r="D165" i="26"/>
  <c r="E165" i="26" s="1"/>
  <c r="L164" i="26"/>
  <c r="K164" i="26"/>
  <c r="J164" i="26"/>
  <c r="I164" i="26"/>
  <c r="G164" i="26"/>
  <c r="F164" i="26"/>
  <c r="D164" i="26"/>
  <c r="E164" i="26" s="1"/>
  <c r="L163" i="26"/>
  <c r="K163" i="26"/>
  <c r="J163" i="26"/>
  <c r="I163" i="26"/>
  <c r="G163" i="26"/>
  <c r="F163" i="26"/>
  <c r="D163" i="26"/>
  <c r="E163" i="26" s="1"/>
  <c r="L162" i="26"/>
  <c r="K162" i="26"/>
  <c r="J162" i="26"/>
  <c r="I162" i="26"/>
  <c r="G162" i="26"/>
  <c r="F162" i="26"/>
  <c r="D162" i="26"/>
  <c r="E162" i="26" s="1"/>
  <c r="L161" i="26"/>
  <c r="K161" i="26"/>
  <c r="J161" i="26"/>
  <c r="I161" i="26"/>
  <c r="G161" i="26"/>
  <c r="F161" i="26"/>
  <c r="D161" i="26"/>
  <c r="E161" i="26" s="1"/>
  <c r="L160" i="26"/>
  <c r="K160" i="26"/>
  <c r="J160" i="26"/>
  <c r="I160" i="26"/>
  <c r="G160" i="26"/>
  <c r="F160" i="26"/>
  <c r="D160" i="26"/>
  <c r="E160" i="26" s="1"/>
  <c r="L159" i="26"/>
  <c r="K159" i="26"/>
  <c r="J159" i="26"/>
  <c r="I159" i="26"/>
  <c r="G159" i="26"/>
  <c r="F159" i="26"/>
  <c r="D159" i="26"/>
  <c r="E159" i="26" s="1"/>
  <c r="L158" i="26"/>
  <c r="K158" i="26"/>
  <c r="J158" i="26"/>
  <c r="I158" i="26"/>
  <c r="G158" i="26"/>
  <c r="F158" i="26"/>
  <c r="D158" i="26"/>
  <c r="E158" i="26" s="1"/>
  <c r="L157" i="26"/>
  <c r="K157" i="26"/>
  <c r="J157" i="26"/>
  <c r="I157" i="26"/>
  <c r="G157" i="26"/>
  <c r="F157" i="26"/>
  <c r="D157" i="26"/>
  <c r="E157" i="26" s="1"/>
  <c r="L156" i="26"/>
  <c r="K156" i="26"/>
  <c r="J156" i="26"/>
  <c r="I156" i="26"/>
  <c r="G156" i="26"/>
  <c r="F156" i="26"/>
  <c r="D156" i="26"/>
  <c r="E156" i="26" s="1"/>
  <c r="L155" i="26"/>
  <c r="K155" i="26"/>
  <c r="J155" i="26"/>
  <c r="I155" i="26"/>
  <c r="G155" i="26"/>
  <c r="F155" i="26"/>
  <c r="D155" i="26"/>
  <c r="E155" i="26" s="1"/>
  <c r="L154" i="26"/>
  <c r="K154" i="26"/>
  <c r="J154" i="26"/>
  <c r="I154" i="26"/>
  <c r="G154" i="26"/>
  <c r="F154" i="26"/>
  <c r="D154" i="26"/>
  <c r="E154" i="26" s="1"/>
  <c r="L153" i="26"/>
  <c r="K153" i="26"/>
  <c r="J153" i="26"/>
  <c r="I153" i="26"/>
  <c r="G153" i="26"/>
  <c r="F153" i="26"/>
  <c r="D153" i="26"/>
  <c r="E153" i="26" s="1"/>
  <c r="R54" i="26"/>
  <c r="D146" i="26"/>
  <c r="E146" i="26" s="1"/>
  <c r="D145" i="26"/>
  <c r="D143" i="26"/>
  <c r="E143" i="26" s="1"/>
  <c r="D142" i="26"/>
  <c r="D141" i="26"/>
  <c r="E141" i="26" s="1"/>
  <c r="D140" i="26"/>
  <c r="E140" i="26" s="1"/>
  <c r="D139" i="26"/>
  <c r="E139" i="26" s="1"/>
  <c r="D138" i="26"/>
  <c r="E138" i="26" s="1"/>
  <c r="D137" i="26"/>
  <c r="D136" i="26"/>
  <c r="E136" i="26" s="1"/>
  <c r="D135" i="26"/>
  <c r="D134" i="26"/>
  <c r="E134" i="26" s="1"/>
  <c r="D133" i="26"/>
  <c r="E133" i="26" s="1"/>
  <c r="D132" i="26"/>
  <c r="D131" i="26"/>
  <c r="E131" i="26" s="1"/>
  <c r="D130" i="26"/>
  <c r="E130" i="26" s="1"/>
  <c r="D129" i="26"/>
  <c r="E129" i="26" s="1"/>
  <c r="D128" i="26"/>
  <c r="E128" i="26" s="1"/>
  <c r="D127" i="26"/>
  <c r="E127" i="26" s="1"/>
  <c r="D126" i="26"/>
  <c r="E126" i="26" s="1"/>
  <c r="D125" i="26"/>
  <c r="E125" i="26" s="1"/>
  <c r="D124" i="26"/>
  <c r="D123" i="26"/>
  <c r="E123" i="26" s="1"/>
  <c r="D122" i="26"/>
  <c r="D121" i="26"/>
  <c r="E121" i="26" s="1"/>
  <c r="D120" i="26"/>
  <c r="E120" i="26" s="1"/>
  <c r="D119" i="26"/>
  <c r="D118" i="26"/>
  <c r="E118" i="26" s="1"/>
  <c r="D117" i="26"/>
  <c r="E117" i="26" s="1"/>
  <c r="D116" i="26"/>
  <c r="E116" i="26" s="1"/>
  <c r="D115" i="26"/>
  <c r="E115" i="26" s="1"/>
  <c r="N102" i="26" a="1"/>
  <c r="N102" i="26" s="1"/>
  <c r="Q102" i="26" s="1"/>
  <c r="N101" i="26" a="1"/>
  <c r="N101" i="26" s="1"/>
  <c r="Q101" i="26" s="1"/>
  <c r="N99" i="26" a="1"/>
  <c r="N99" i="26" s="1"/>
  <c r="Q99" i="26" s="1"/>
  <c r="N98" i="26" a="1"/>
  <c r="N98" i="26" s="1"/>
  <c r="Q98" i="26" s="1"/>
  <c r="N97" i="26" a="1"/>
  <c r="N97" i="26" s="1"/>
  <c r="Q97" i="26" s="1"/>
  <c r="N96" i="26" a="1"/>
  <c r="N96" i="26" s="1"/>
  <c r="Q96" i="26" s="1"/>
  <c r="N95" i="26" a="1"/>
  <c r="N95" i="26" s="1"/>
  <c r="Q95" i="26" s="1"/>
  <c r="N94" i="26" a="1"/>
  <c r="N94" i="26" s="1"/>
  <c r="Q94" i="26" s="1"/>
  <c r="N93" i="26" a="1"/>
  <c r="N93" i="26" s="1"/>
  <c r="Q93" i="26" s="1"/>
  <c r="N92" i="26" a="1"/>
  <c r="N92" i="26" s="1"/>
  <c r="Q92" i="26" s="1"/>
  <c r="N91" i="26" a="1"/>
  <c r="N91" i="26" s="1"/>
  <c r="Q91" i="26" s="1"/>
  <c r="N90" i="26" a="1"/>
  <c r="N90" i="26" s="1"/>
  <c r="Q90" i="26" s="1"/>
  <c r="N89" i="26" a="1"/>
  <c r="N89" i="26" s="1"/>
  <c r="Q89" i="26" s="1"/>
  <c r="N88" i="26" a="1"/>
  <c r="N88" i="26" s="1"/>
  <c r="Q88" i="26" s="1"/>
  <c r="N87" i="26" a="1"/>
  <c r="N87" i="26" s="1"/>
  <c r="Q87" i="26" s="1"/>
  <c r="N86" i="26" a="1"/>
  <c r="N86" i="26" s="1"/>
  <c r="Q86" i="26" s="1"/>
  <c r="R84" i="26"/>
  <c r="N84" i="26" a="1"/>
  <c r="N84" i="26" s="1"/>
  <c r="Q84" i="26" s="1"/>
  <c r="R83" i="26"/>
  <c r="N83" i="26" a="1"/>
  <c r="N83" i="26" s="1"/>
  <c r="Q83" i="26" s="1"/>
  <c r="R82" i="26"/>
  <c r="N82" i="26" a="1"/>
  <c r="N82" i="26" s="1"/>
  <c r="Q82" i="26" s="1"/>
  <c r="R81" i="26"/>
  <c r="N81" i="26" a="1"/>
  <c r="N81" i="26" s="1"/>
  <c r="Q81" i="26" s="1"/>
  <c r="R80" i="26"/>
  <c r="N80" i="26" a="1"/>
  <c r="N80" i="26" s="1"/>
  <c r="Q80" i="26" s="1"/>
  <c r="R79" i="26"/>
  <c r="N79" i="26" a="1"/>
  <c r="N79" i="26" s="1"/>
  <c r="Q79" i="26" s="1"/>
  <c r="R78" i="26"/>
  <c r="N78" i="26" a="1"/>
  <c r="N78" i="26" s="1"/>
  <c r="Q78" i="26" s="1"/>
  <c r="R77" i="26"/>
  <c r="N77" i="26" a="1"/>
  <c r="N77" i="26" s="1"/>
  <c r="Q77" i="26" s="1"/>
  <c r="R76" i="26"/>
  <c r="N76" i="26" a="1"/>
  <c r="N76" i="26" s="1"/>
  <c r="Q76" i="26" s="1"/>
  <c r="R75" i="26"/>
  <c r="N75" i="26" a="1"/>
  <c r="N75" i="26" s="1"/>
  <c r="Q75" i="26" s="1"/>
  <c r="R74" i="26"/>
  <c r="N74" i="26" a="1"/>
  <c r="N74" i="26" s="1"/>
  <c r="Q74" i="26" s="1"/>
  <c r="R73" i="26"/>
  <c r="N73" i="26" a="1"/>
  <c r="N73" i="26" s="1"/>
  <c r="Q73" i="26" s="1"/>
  <c r="R72" i="26"/>
  <c r="N72" i="26" a="1"/>
  <c r="N72" i="26" s="1"/>
  <c r="Q72" i="26" s="1"/>
  <c r="R71" i="26"/>
  <c r="N71" i="26" a="1"/>
  <c r="N71" i="26" s="1"/>
  <c r="Q71" i="26" s="1"/>
  <c r="R70" i="26"/>
  <c r="N70" i="26" a="1"/>
  <c r="N70" i="26" s="1"/>
  <c r="Q70" i="26" s="1"/>
  <c r="R69" i="26"/>
  <c r="N69" i="26" a="1"/>
  <c r="N69" i="26" s="1"/>
  <c r="Q69" i="26" s="1"/>
  <c r="R68" i="26"/>
  <c r="N68" i="26" a="1"/>
  <c r="N68" i="26" s="1"/>
  <c r="Q68" i="26" s="1"/>
  <c r="R67" i="26"/>
  <c r="N67" i="26" a="1"/>
  <c r="N67" i="26" s="1"/>
  <c r="Q67" i="26" s="1"/>
  <c r="R66" i="26"/>
  <c r="N66" i="26" a="1"/>
  <c r="N66" i="26" s="1"/>
  <c r="Q66" i="26" s="1"/>
  <c r="R65" i="26"/>
  <c r="N65" i="26" a="1"/>
  <c r="N65" i="26" s="1"/>
  <c r="Q65" i="26" s="1"/>
  <c r="R64" i="26"/>
  <c r="N64" i="26" a="1"/>
  <c r="N64" i="26" s="1"/>
  <c r="Q64" i="26" s="1"/>
  <c r="R63" i="26"/>
  <c r="N63" i="26" a="1"/>
  <c r="N63" i="26" s="1"/>
  <c r="Q63" i="26" s="1"/>
  <c r="R62" i="26"/>
  <c r="N62" i="26" a="1"/>
  <c r="N62" i="26" s="1"/>
  <c r="Q62" i="26" s="1"/>
  <c r="R61" i="26"/>
  <c r="N61" i="26" a="1"/>
  <c r="N61" i="26" s="1"/>
  <c r="Q61" i="26" s="1"/>
  <c r="N54" i="26" a="1"/>
  <c r="N54" i="26" s="1"/>
  <c r="N47" i="26" a="1"/>
  <c r="N47" i="26" s="1"/>
  <c r="P47" i="26" s="1"/>
  <c r="N46" i="26" a="1"/>
  <c r="N46" i="26" s="1"/>
  <c r="P46" i="26" s="1"/>
  <c r="N45" i="26" a="1"/>
  <c r="N45" i="26" s="1"/>
  <c r="P45" i="26" s="1"/>
  <c r="N44" i="26" a="1"/>
  <c r="N44" i="26" s="1"/>
  <c r="P44" i="26" s="1"/>
  <c r="N43" i="26" a="1"/>
  <c r="N43" i="26" s="1"/>
  <c r="P43" i="26" s="1"/>
  <c r="N42" i="26" a="1"/>
  <c r="N42" i="26" s="1"/>
  <c r="P42" i="26" s="1"/>
  <c r="N41" i="26" a="1"/>
  <c r="N41" i="26" s="1"/>
  <c r="P41" i="26" s="1"/>
  <c r="N40" i="26" a="1"/>
  <c r="N40" i="26" s="1"/>
  <c r="P40" i="26" s="1"/>
  <c r="N39" i="26" a="1"/>
  <c r="N39" i="26" s="1"/>
  <c r="P39" i="26" s="1"/>
  <c r="N38" i="26" a="1"/>
  <c r="N38" i="26" s="1"/>
  <c r="P38" i="26" s="1"/>
  <c r="N37" i="26" a="1"/>
  <c r="N37" i="26" s="1"/>
  <c r="P37" i="26" s="1"/>
  <c r="N36" i="26" a="1"/>
  <c r="N36" i="26" s="1"/>
  <c r="P36" i="26" s="1"/>
  <c r="N35" i="26" a="1"/>
  <c r="N35" i="26" s="1"/>
  <c r="P35" i="26" s="1"/>
  <c r="N34" i="26" a="1"/>
  <c r="N34" i="26" s="1"/>
  <c r="P34" i="26" s="1"/>
  <c r="N33" i="26" a="1"/>
  <c r="N33" i="26" s="1"/>
  <c r="P33" i="26" s="1"/>
  <c r="N32" i="26" a="1"/>
  <c r="N32" i="26" s="1"/>
  <c r="P32" i="26" s="1"/>
  <c r="N31" i="26" a="1"/>
  <c r="N31" i="26" s="1"/>
  <c r="P31" i="26" s="1"/>
  <c r="N30" i="26" a="1"/>
  <c r="N30" i="26" s="1"/>
  <c r="P30" i="26" s="1"/>
  <c r="N29" i="26" a="1"/>
  <c r="N29" i="26" s="1"/>
  <c r="P29" i="26" s="1"/>
  <c r="N28" i="26" a="1"/>
  <c r="N28" i="26" s="1"/>
  <c r="P28" i="26" s="1"/>
  <c r="N27" i="26" a="1"/>
  <c r="N27" i="26" s="1"/>
  <c r="P27" i="26" s="1"/>
  <c r="N26" i="26" a="1"/>
  <c r="N26" i="26" s="1"/>
  <c r="P26" i="26" s="1"/>
  <c r="N25" i="26" a="1"/>
  <c r="N25" i="26" s="1"/>
  <c r="P25" i="26" s="1"/>
  <c r="N24" i="26" a="1"/>
  <c r="N24" i="26" s="1"/>
  <c r="P24" i="26" s="1"/>
  <c r="N23" i="26" a="1"/>
  <c r="N23" i="26" s="1"/>
  <c r="P23" i="26" s="1"/>
  <c r="N22" i="26" a="1"/>
  <c r="N22" i="26" s="1"/>
  <c r="P22" i="26" s="1"/>
  <c r="N21" i="26" a="1"/>
  <c r="N21" i="26" s="1"/>
  <c r="P21" i="26" s="1"/>
  <c r="L16" i="26"/>
  <c r="K16" i="26"/>
  <c r="J16" i="26"/>
  <c r="I16" i="26"/>
  <c r="H16" i="26"/>
  <c r="G16" i="26"/>
  <c r="F16" i="26"/>
  <c r="L13" i="26"/>
  <c r="K13" i="26"/>
  <c r="J13" i="26"/>
  <c r="I13" i="26"/>
  <c r="H13" i="26"/>
  <c r="G13" i="26"/>
  <c r="F13" i="26"/>
  <c r="L11" i="26"/>
  <c r="K11" i="26"/>
  <c r="J11" i="26"/>
  <c r="I11" i="26"/>
  <c r="H11" i="26"/>
  <c r="G11" i="26"/>
  <c r="F11" i="26"/>
  <c r="L7" i="26"/>
  <c r="K7" i="26"/>
  <c r="J7" i="26"/>
  <c r="I7" i="26"/>
  <c r="H7" i="26"/>
  <c r="G7" i="26"/>
  <c r="F7" i="26"/>
  <c r="L176" i="25"/>
  <c r="K176" i="25"/>
  <c r="J176" i="25"/>
  <c r="I176" i="25"/>
  <c r="G176" i="25"/>
  <c r="F176" i="25"/>
  <c r="D176" i="25"/>
  <c r="E176" i="25" s="1"/>
  <c r="L175" i="25"/>
  <c r="K175" i="25"/>
  <c r="J175" i="25"/>
  <c r="I175" i="25"/>
  <c r="G175" i="25"/>
  <c r="F175" i="25"/>
  <c r="D175" i="25"/>
  <c r="E175" i="25" s="1"/>
  <c r="L174" i="25"/>
  <c r="K174" i="25"/>
  <c r="J174" i="25"/>
  <c r="I174" i="25"/>
  <c r="G174" i="25"/>
  <c r="F174" i="25"/>
  <c r="D174" i="25"/>
  <c r="E174" i="25" s="1"/>
  <c r="L173" i="25"/>
  <c r="K173" i="25"/>
  <c r="J173" i="25"/>
  <c r="I173" i="25"/>
  <c r="G173" i="25"/>
  <c r="F173" i="25"/>
  <c r="D173" i="25"/>
  <c r="E173" i="25" s="1"/>
  <c r="L172" i="25"/>
  <c r="K172" i="25"/>
  <c r="J172" i="25"/>
  <c r="I172" i="25"/>
  <c r="G172" i="25"/>
  <c r="F172" i="25"/>
  <c r="D172" i="25"/>
  <c r="E172" i="25" s="1"/>
  <c r="L171" i="25"/>
  <c r="K171" i="25"/>
  <c r="J171" i="25"/>
  <c r="I171" i="25"/>
  <c r="G171" i="25"/>
  <c r="F171" i="25"/>
  <c r="D171" i="25"/>
  <c r="E171" i="25" s="1"/>
  <c r="L170" i="25"/>
  <c r="K170" i="25"/>
  <c r="J170" i="25"/>
  <c r="I170" i="25"/>
  <c r="G170" i="25"/>
  <c r="F170" i="25"/>
  <c r="D170" i="25"/>
  <c r="E170" i="25" s="1"/>
  <c r="L169" i="25"/>
  <c r="K169" i="25"/>
  <c r="J169" i="25"/>
  <c r="I169" i="25"/>
  <c r="G169" i="25"/>
  <c r="F169" i="25"/>
  <c r="D169" i="25"/>
  <c r="E169" i="25" s="1"/>
  <c r="L168" i="25"/>
  <c r="K168" i="25"/>
  <c r="J168" i="25"/>
  <c r="I168" i="25"/>
  <c r="G168" i="25"/>
  <c r="F168" i="25"/>
  <c r="D168" i="25"/>
  <c r="E168" i="25" s="1"/>
  <c r="L167" i="25"/>
  <c r="K167" i="25"/>
  <c r="J167" i="25"/>
  <c r="I167" i="25"/>
  <c r="G167" i="25"/>
  <c r="F167" i="25"/>
  <c r="D167" i="25"/>
  <c r="E167" i="25" s="1"/>
  <c r="L166" i="25"/>
  <c r="K166" i="25"/>
  <c r="J166" i="25"/>
  <c r="I166" i="25"/>
  <c r="G166" i="25"/>
  <c r="F166" i="25"/>
  <c r="D166" i="25"/>
  <c r="E166" i="25" s="1"/>
  <c r="L165" i="25"/>
  <c r="K165" i="25"/>
  <c r="J165" i="25"/>
  <c r="I165" i="25"/>
  <c r="G165" i="25"/>
  <c r="F165" i="25"/>
  <c r="D165" i="25"/>
  <c r="E165" i="25" s="1"/>
  <c r="L164" i="25"/>
  <c r="K164" i="25"/>
  <c r="J164" i="25"/>
  <c r="I164" i="25"/>
  <c r="G164" i="25"/>
  <c r="F164" i="25"/>
  <c r="D164" i="25"/>
  <c r="E164" i="25" s="1"/>
  <c r="L163" i="25"/>
  <c r="K163" i="25"/>
  <c r="J163" i="25"/>
  <c r="I163" i="25"/>
  <c r="G163" i="25"/>
  <c r="F163" i="25"/>
  <c r="D163" i="25"/>
  <c r="E163" i="25" s="1"/>
  <c r="L162" i="25"/>
  <c r="K162" i="25"/>
  <c r="J162" i="25"/>
  <c r="I162" i="25"/>
  <c r="G162" i="25"/>
  <c r="F162" i="25"/>
  <c r="D162" i="25"/>
  <c r="E162" i="25" s="1"/>
  <c r="L161" i="25"/>
  <c r="K161" i="25"/>
  <c r="J161" i="25"/>
  <c r="I161" i="25"/>
  <c r="G161" i="25"/>
  <c r="F161" i="25"/>
  <c r="D161" i="25"/>
  <c r="E161" i="25" s="1"/>
  <c r="L160" i="25"/>
  <c r="K160" i="25"/>
  <c r="J160" i="25"/>
  <c r="I160" i="25"/>
  <c r="G160" i="25"/>
  <c r="F160" i="25"/>
  <c r="D160" i="25"/>
  <c r="E160" i="25" s="1"/>
  <c r="L159" i="25"/>
  <c r="K159" i="25"/>
  <c r="J159" i="25"/>
  <c r="I159" i="25"/>
  <c r="G159" i="25"/>
  <c r="F159" i="25"/>
  <c r="D159" i="25"/>
  <c r="E159" i="25" s="1"/>
  <c r="L158" i="25"/>
  <c r="K158" i="25"/>
  <c r="J158" i="25"/>
  <c r="I158" i="25"/>
  <c r="G158" i="25"/>
  <c r="F158" i="25"/>
  <c r="D158" i="25"/>
  <c r="E158" i="25" s="1"/>
  <c r="L157" i="25"/>
  <c r="K157" i="25"/>
  <c r="J157" i="25"/>
  <c r="I157" i="25"/>
  <c r="G157" i="25"/>
  <c r="F157" i="25"/>
  <c r="D157" i="25"/>
  <c r="E157" i="25" s="1"/>
  <c r="L156" i="25"/>
  <c r="K156" i="25"/>
  <c r="J156" i="25"/>
  <c r="I156" i="25"/>
  <c r="G156" i="25"/>
  <c r="F156" i="25"/>
  <c r="D156" i="25"/>
  <c r="E156" i="25" s="1"/>
  <c r="L155" i="25"/>
  <c r="K155" i="25"/>
  <c r="J155" i="25"/>
  <c r="I155" i="25"/>
  <c r="G155" i="25"/>
  <c r="F155" i="25"/>
  <c r="D155" i="25"/>
  <c r="E155" i="25" s="1"/>
  <c r="L154" i="25"/>
  <c r="K154" i="25"/>
  <c r="J154" i="25"/>
  <c r="I154" i="25"/>
  <c r="G154" i="25"/>
  <c r="F154" i="25"/>
  <c r="D154" i="25"/>
  <c r="E154" i="25" s="1"/>
  <c r="L153" i="25"/>
  <c r="K153" i="25"/>
  <c r="J153" i="25"/>
  <c r="I153" i="25"/>
  <c r="G153" i="25"/>
  <c r="F153" i="25"/>
  <c r="D153" i="25"/>
  <c r="E153" i="25" s="1"/>
  <c r="R54" i="25"/>
  <c r="D146" i="25"/>
  <c r="E146" i="25" s="1"/>
  <c r="D145" i="25"/>
  <c r="D143" i="25"/>
  <c r="E143" i="25" s="1"/>
  <c r="D142" i="25"/>
  <c r="E142" i="25" s="1"/>
  <c r="D141" i="25"/>
  <c r="E141" i="25" s="1"/>
  <c r="D140" i="25"/>
  <c r="E140" i="25" s="1"/>
  <c r="D139" i="25"/>
  <c r="E139" i="25" s="1"/>
  <c r="D138" i="25"/>
  <c r="E138" i="25" s="1"/>
  <c r="D137" i="25"/>
  <c r="E137" i="25" s="1"/>
  <c r="D136" i="25"/>
  <c r="E136" i="25" s="1"/>
  <c r="D135" i="25"/>
  <c r="E135" i="25" s="1"/>
  <c r="D134" i="25"/>
  <c r="E134" i="25" s="1"/>
  <c r="D133" i="25"/>
  <c r="E133" i="25" s="1"/>
  <c r="D132" i="25"/>
  <c r="E132" i="25" s="1"/>
  <c r="D131" i="25"/>
  <c r="E131" i="25" s="1"/>
  <c r="D130" i="25"/>
  <c r="E130" i="25" s="1"/>
  <c r="D129" i="25"/>
  <c r="E129" i="25" s="1"/>
  <c r="D128" i="25"/>
  <c r="E128" i="25" s="1"/>
  <c r="D127" i="25"/>
  <c r="E127" i="25" s="1"/>
  <c r="D126" i="25"/>
  <c r="E126" i="25" s="1"/>
  <c r="D125" i="25"/>
  <c r="E125" i="25" s="1"/>
  <c r="D124" i="25"/>
  <c r="E124" i="25" s="1"/>
  <c r="D123" i="25"/>
  <c r="E123" i="25" s="1"/>
  <c r="D122" i="25"/>
  <c r="E122" i="25" s="1"/>
  <c r="D121" i="25"/>
  <c r="E121" i="25" s="1"/>
  <c r="D120" i="25"/>
  <c r="E120" i="25" s="1"/>
  <c r="D119" i="25"/>
  <c r="E119" i="25" s="1"/>
  <c r="D118" i="25"/>
  <c r="E118" i="25" s="1"/>
  <c r="D117" i="25"/>
  <c r="E117" i="25" s="1"/>
  <c r="D116" i="25"/>
  <c r="E116" i="25" s="1"/>
  <c r="D115" i="25"/>
  <c r="E115" i="25" s="1"/>
  <c r="N102" i="25" a="1"/>
  <c r="N102" i="25" s="1"/>
  <c r="Q102" i="25" s="1"/>
  <c r="N101" i="25" a="1"/>
  <c r="N101" i="25" s="1"/>
  <c r="Q101" i="25" s="1"/>
  <c r="N99" i="25" a="1"/>
  <c r="N99" i="25" s="1"/>
  <c r="Q99" i="25" s="1"/>
  <c r="N98" i="25" a="1"/>
  <c r="N98" i="25" s="1"/>
  <c r="Q98" i="25" s="1"/>
  <c r="N97" i="25" a="1"/>
  <c r="N97" i="25" s="1"/>
  <c r="Q97" i="25" s="1"/>
  <c r="N96" i="25" a="1"/>
  <c r="N96" i="25" s="1"/>
  <c r="Q96" i="25" s="1"/>
  <c r="N95" i="25" a="1"/>
  <c r="N95" i="25" s="1"/>
  <c r="Q95" i="25" s="1"/>
  <c r="N94" i="25" a="1"/>
  <c r="N94" i="25" s="1"/>
  <c r="Q94" i="25" s="1"/>
  <c r="N93" i="25" a="1"/>
  <c r="N93" i="25" s="1"/>
  <c r="Q93" i="25" s="1"/>
  <c r="N92" i="25" a="1"/>
  <c r="N92" i="25" s="1"/>
  <c r="Q92" i="25" s="1"/>
  <c r="N91" i="25" a="1"/>
  <c r="N91" i="25" s="1"/>
  <c r="Q91" i="25" s="1"/>
  <c r="N90" i="25" a="1"/>
  <c r="N90" i="25" s="1"/>
  <c r="Q90" i="25" s="1"/>
  <c r="N89" i="25" a="1"/>
  <c r="N89" i="25" s="1"/>
  <c r="Q89" i="25" s="1"/>
  <c r="N88" i="25" a="1"/>
  <c r="N88" i="25" s="1"/>
  <c r="Q88" i="25" s="1"/>
  <c r="N87" i="25" a="1"/>
  <c r="N87" i="25" s="1"/>
  <c r="Q87" i="25" s="1"/>
  <c r="N86" i="25" a="1"/>
  <c r="N86" i="25" s="1"/>
  <c r="Q86" i="25" s="1"/>
  <c r="R84" i="25"/>
  <c r="N84" i="25" a="1"/>
  <c r="N84" i="25" s="1"/>
  <c r="Q84" i="25" s="1"/>
  <c r="R83" i="25"/>
  <c r="N83" i="25" a="1"/>
  <c r="N83" i="25" s="1"/>
  <c r="Q83" i="25" s="1"/>
  <c r="R82" i="25"/>
  <c r="N82" i="25" a="1"/>
  <c r="N82" i="25" s="1"/>
  <c r="Q82" i="25" s="1"/>
  <c r="R81" i="25"/>
  <c r="N81" i="25" a="1"/>
  <c r="N81" i="25" s="1"/>
  <c r="Q81" i="25" s="1"/>
  <c r="R80" i="25"/>
  <c r="N80" i="25" a="1"/>
  <c r="N80" i="25" s="1"/>
  <c r="Q80" i="25" s="1"/>
  <c r="R79" i="25"/>
  <c r="N79" i="25" a="1"/>
  <c r="N79" i="25" s="1"/>
  <c r="Q79" i="25" s="1"/>
  <c r="R78" i="25"/>
  <c r="N78" i="25" a="1"/>
  <c r="N78" i="25" s="1"/>
  <c r="Q78" i="25" s="1"/>
  <c r="R77" i="25"/>
  <c r="N77" i="25" a="1"/>
  <c r="N77" i="25" s="1"/>
  <c r="Q77" i="25" s="1"/>
  <c r="R76" i="25"/>
  <c r="N76" i="25" a="1"/>
  <c r="N76" i="25" s="1"/>
  <c r="Q76" i="25" s="1"/>
  <c r="R75" i="25"/>
  <c r="N75" i="25" a="1"/>
  <c r="N75" i="25" s="1"/>
  <c r="Q75" i="25" s="1"/>
  <c r="R74" i="25"/>
  <c r="N74" i="25" a="1"/>
  <c r="N74" i="25" s="1"/>
  <c r="Q74" i="25" s="1"/>
  <c r="R73" i="25"/>
  <c r="N73" i="25" a="1"/>
  <c r="N73" i="25" s="1"/>
  <c r="Q73" i="25" s="1"/>
  <c r="R72" i="25"/>
  <c r="N72" i="25" a="1"/>
  <c r="N72" i="25" s="1"/>
  <c r="Q72" i="25" s="1"/>
  <c r="R71" i="25"/>
  <c r="N71" i="25" a="1"/>
  <c r="N71" i="25" s="1"/>
  <c r="Q71" i="25" s="1"/>
  <c r="R70" i="25"/>
  <c r="N70" i="25" a="1"/>
  <c r="N70" i="25" s="1"/>
  <c r="Q70" i="25" s="1"/>
  <c r="R69" i="25"/>
  <c r="N69" i="25" a="1"/>
  <c r="N69" i="25" s="1"/>
  <c r="Q69" i="25" s="1"/>
  <c r="R68" i="25"/>
  <c r="N68" i="25" a="1"/>
  <c r="N68" i="25" s="1"/>
  <c r="Q68" i="25" s="1"/>
  <c r="R67" i="25"/>
  <c r="N67" i="25" a="1"/>
  <c r="N67" i="25" s="1"/>
  <c r="Q67" i="25" s="1"/>
  <c r="R66" i="25"/>
  <c r="N66" i="25" a="1"/>
  <c r="N66" i="25" s="1"/>
  <c r="Q66" i="25" s="1"/>
  <c r="R65" i="25"/>
  <c r="N65" i="25" a="1"/>
  <c r="N65" i="25" s="1"/>
  <c r="Q65" i="25" s="1"/>
  <c r="R64" i="25"/>
  <c r="N64" i="25" a="1"/>
  <c r="N64" i="25" s="1"/>
  <c r="Q64" i="25" s="1"/>
  <c r="R63" i="25"/>
  <c r="N63" i="25" a="1"/>
  <c r="N63" i="25" s="1"/>
  <c r="Q63" i="25" s="1"/>
  <c r="R62" i="25"/>
  <c r="N62" i="25" a="1"/>
  <c r="N62" i="25" s="1"/>
  <c r="Q62" i="25" s="1"/>
  <c r="R61" i="25"/>
  <c r="N61" i="25" a="1"/>
  <c r="N61" i="25" s="1"/>
  <c r="Q61" i="25" s="1"/>
  <c r="N54" i="25" a="1"/>
  <c r="N54" i="25" s="1"/>
  <c r="Q54" i="25" s="1"/>
  <c r="N47" i="25" a="1"/>
  <c r="N47" i="25" s="1"/>
  <c r="P47" i="25" s="1"/>
  <c r="N46" i="25" a="1"/>
  <c r="N46" i="25" s="1"/>
  <c r="P46" i="25" s="1"/>
  <c r="N45" i="25" a="1"/>
  <c r="N45" i="25" s="1"/>
  <c r="P45" i="25" s="1"/>
  <c r="N44" i="25" a="1"/>
  <c r="N44" i="25" s="1"/>
  <c r="P44" i="25" s="1"/>
  <c r="N43" i="25" a="1"/>
  <c r="N43" i="25" s="1"/>
  <c r="P43" i="25" s="1"/>
  <c r="N42" i="25" a="1"/>
  <c r="N42" i="25" s="1"/>
  <c r="P42" i="25" s="1"/>
  <c r="N41" i="25" a="1"/>
  <c r="N41" i="25" s="1"/>
  <c r="P41" i="25" s="1"/>
  <c r="N40" i="25" a="1"/>
  <c r="N40" i="25" s="1"/>
  <c r="P40" i="25" s="1"/>
  <c r="N39" i="25" a="1"/>
  <c r="N39" i="25" s="1"/>
  <c r="P39" i="25" s="1"/>
  <c r="N38" i="25" a="1"/>
  <c r="N38" i="25" s="1"/>
  <c r="P38" i="25" s="1"/>
  <c r="N37" i="25" a="1"/>
  <c r="N37" i="25" s="1"/>
  <c r="P37" i="25" s="1"/>
  <c r="N36" i="25" a="1"/>
  <c r="N36" i="25" s="1"/>
  <c r="P36" i="25" s="1"/>
  <c r="N35" i="25" a="1"/>
  <c r="N35" i="25" s="1"/>
  <c r="P35" i="25" s="1"/>
  <c r="N34" i="25" a="1"/>
  <c r="N34" i="25" s="1"/>
  <c r="P34" i="25" s="1"/>
  <c r="N33" i="25" a="1"/>
  <c r="N33" i="25" s="1"/>
  <c r="P33" i="25" s="1"/>
  <c r="N32" i="25" a="1"/>
  <c r="N32" i="25" s="1"/>
  <c r="P32" i="25" s="1"/>
  <c r="N31" i="25" a="1"/>
  <c r="N31" i="25" s="1"/>
  <c r="P31" i="25" s="1"/>
  <c r="N30" i="25" a="1"/>
  <c r="N30" i="25" s="1"/>
  <c r="P30" i="25" s="1"/>
  <c r="N29" i="25" a="1"/>
  <c r="N29" i="25" s="1"/>
  <c r="P29" i="25" s="1"/>
  <c r="N28" i="25" a="1"/>
  <c r="N28" i="25" s="1"/>
  <c r="P28" i="25" s="1"/>
  <c r="N27" i="25" a="1"/>
  <c r="N27" i="25" s="1"/>
  <c r="P27" i="25" s="1"/>
  <c r="N26" i="25" a="1"/>
  <c r="N26" i="25" s="1"/>
  <c r="P26" i="25" s="1"/>
  <c r="N25" i="25" a="1"/>
  <c r="N25" i="25" s="1"/>
  <c r="P25" i="25" s="1"/>
  <c r="N24" i="25" a="1"/>
  <c r="N24" i="25" s="1"/>
  <c r="P24" i="25" s="1"/>
  <c r="N23" i="25" a="1"/>
  <c r="N23" i="25" s="1"/>
  <c r="P23" i="25" s="1"/>
  <c r="N22" i="25" a="1"/>
  <c r="N22" i="25" s="1"/>
  <c r="P22" i="25" s="1"/>
  <c r="N21" i="25" a="1"/>
  <c r="N21" i="25" s="1"/>
  <c r="P21" i="25" s="1"/>
  <c r="L16" i="25"/>
  <c r="K16" i="25"/>
  <c r="J16" i="25"/>
  <c r="I16" i="25"/>
  <c r="H16" i="25"/>
  <c r="G16" i="25"/>
  <c r="F16" i="25"/>
  <c r="L13" i="25"/>
  <c r="K13" i="25"/>
  <c r="J13" i="25"/>
  <c r="I13" i="25"/>
  <c r="H13" i="25"/>
  <c r="G13" i="25"/>
  <c r="F13" i="25"/>
  <c r="L11" i="25"/>
  <c r="K11" i="25"/>
  <c r="J11" i="25"/>
  <c r="I11" i="25"/>
  <c r="H11" i="25"/>
  <c r="G11" i="25"/>
  <c r="F11" i="25"/>
  <c r="L7" i="25"/>
  <c r="K7" i="25"/>
  <c r="J7" i="25"/>
  <c r="I7" i="25"/>
  <c r="H7" i="25"/>
  <c r="G7" i="25"/>
  <c r="G8" i="25" s="1"/>
  <c r="F7" i="25"/>
  <c r="L176" i="24"/>
  <c r="K176" i="24"/>
  <c r="J176" i="24"/>
  <c r="I176" i="24"/>
  <c r="G176" i="24"/>
  <c r="F176" i="24"/>
  <c r="D176" i="24"/>
  <c r="E176" i="24" s="1"/>
  <c r="L175" i="24"/>
  <c r="K175" i="24"/>
  <c r="J175" i="24"/>
  <c r="I175" i="24"/>
  <c r="G175" i="24"/>
  <c r="F175" i="24"/>
  <c r="D175" i="24"/>
  <c r="E175" i="24" s="1"/>
  <c r="L174" i="24"/>
  <c r="K174" i="24"/>
  <c r="J174" i="24"/>
  <c r="I174" i="24"/>
  <c r="G174" i="24"/>
  <c r="F174" i="24"/>
  <c r="D174" i="24"/>
  <c r="E174" i="24" s="1"/>
  <c r="L173" i="24"/>
  <c r="K173" i="24"/>
  <c r="J173" i="24"/>
  <c r="I173" i="24"/>
  <c r="G173" i="24"/>
  <c r="F173" i="24"/>
  <c r="D173" i="24"/>
  <c r="E173" i="24" s="1"/>
  <c r="L172" i="24"/>
  <c r="K172" i="24"/>
  <c r="J172" i="24"/>
  <c r="I172" i="24"/>
  <c r="G172" i="24"/>
  <c r="F172" i="24"/>
  <c r="D172" i="24"/>
  <c r="E172" i="24" s="1"/>
  <c r="L171" i="24"/>
  <c r="K171" i="24"/>
  <c r="J171" i="24"/>
  <c r="I171" i="24"/>
  <c r="G171" i="24"/>
  <c r="F171" i="24"/>
  <c r="D171" i="24"/>
  <c r="E171" i="24" s="1"/>
  <c r="L170" i="24"/>
  <c r="K170" i="24"/>
  <c r="J170" i="24"/>
  <c r="I170" i="24"/>
  <c r="G170" i="24"/>
  <c r="F170" i="24"/>
  <c r="D170" i="24"/>
  <c r="E170" i="24" s="1"/>
  <c r="L169" i="24"/>
  <c r="K169" i="24"/>
  <c r="J169" i="24"/>
  <c r="I169" i="24"/>
  <c r="G169" i="24"/>
  <c r="F169" i="24"/>
  <c r="D169" i="24"/>
  <c r="E169" i="24" s="1"/>
  <c r="L168" i="24"/>
  <c r="K168" i="24"/>
  <c r="J168" i="24"/>
  <c r="I168" i="24"/>
  <c r="G168" i="24"/>
  <c r="F168" i="24"/>
  <c r="D168" i="24"/>
  <c r="E168" i="24" s="1"/>
  <c r="L167" i="24"/>
  <c r="K167" i="24"/>
  <c r="J167" i="24"/>
  <c r="I167" i="24"/>
  <c r="G167" i="24"/>
  <c r="F167" i="24"/>
  <c r="D167" i="24"/>
  <c r="E167" i="24" s="1"/>
  <c r="L166" i="24"/>
  <c r="K166" i="24"/>
  <c r="J166" i="24"/>
  <c r="I166" i="24"/>
  <c r="G166" i="24"/>
  <c r="F166" i="24"/>
  <c r="D166" i="24"/>
  <c r="E166" i="24" s="1"/>
  <c r="L165" i="24"/>
  <c r="K165" i="24"/>
  <c r="J165" i="24"/>
  <c r="I165" i="24"/>
  <c r="G165" i="24"/>
  <c r="F165" i="24"/>
  <c r="D165" i="24"/>
  <c r="E165" i="24" s="1"/>
  <c r="L164" i="24"/>
  <c r="K164" i="24"/>
  <c r="J164" i="24"/>
  <c r="I164" i="24"/>
  <c r="G164" i="24"/>
  <c r="F164" i="24"/>
  <c r="D164" i="24"/>
  <c r="E164" i="24" s="1"/>
  <c r="L163" i="24"/>
  <c r="K163" i="24"/>
  <c r="J163" i="24"/>
  <c r="I163" i="24"/>
  <c r="G163" i="24"/>
  <c r="F163" i="24"/>
  <c r="D163" i="24"/>
  <c r="E163" i="24" s="1"/>
  <c r="L162" i="24"/>
  <c r="K162" i="24"/>
  <c r="J162" i="24"/>
  <c r="I162" i="24"/>
  <c r="G162" i="24"/>
  <c r="F162" i="24"/>
  <c r="D162" i="24"/>
  <c r="E162" i="24" s="1"/>
  <c r="L161" i="24"/>
  <c r="K161" i="24"/>
  <c r="J161" i="24"/>
  <c r="I161" i="24"/>
  <c r="G161" i="24"/>
  <c r="F161" i="24"/>
  <c r="D161" i="24"/>
  <c r="E161" i="24" s="1"/>
  <c r="L160" i="24"/>
  <c r="K160" i="24"/>
  <c r="J160" i="24"/>
  <c r="I160" i="24"/>
  <c r="G160" i="24"/>
  <c r="F160" i="24"/>
  <c r="D160" i="24"/>
  <c r="E160" i="24" s="1"/>
  <c r="L159" i="24"/>
  <c r="K159" i="24"/>
  <c r="J159" i="24"/>
  <c r="I159" i="24"/>
  <c r="G159" i="24"/>
  <c r="F159" i="24"/>
  <c r="D159" i="24"/>
  <c r="E159" i="24" s="1"/>
  <c r="L158" i="24"/>
  <c r="K158" i="24"/>
  <c r="J158" i="24"/>
  <c r="I158" i="24"/>
  <c r="G158" i="24"/>
  <c r="F158" i="24"/>
  <c r="D158" i="24"/>
  <c r="E158" i="24" s="1"/>
  <c r="L157" i="24"/>
  <c r="K157" i="24"/>
  <c r="J157" i="24"/>
  <c r="I157" i="24"/>
  <c r="G157" i="24"/>
  <c r="F157" i="24"/>
  <c r="D157" i="24"/>
  <c r="E157" i="24" s="1"/>
  <c r="L156" i="24"/>
  <c r="K156" i="24"/>
  <c r="J156" i="24"/>
  <c r="I156" i="24"/>
  <c r="G156" i="24"/>
  <c r="F156" i="24"/>
  <c r="D156" i="24"/>
  <c r="E156" i="24" s="1"/>
  <c r="L155" i="24"/>
  <c r="K155" i="24"/>
  <c r="J155" i="24"/>
  <c r="I155" i="24"/>
  <c r="G155" i="24"/>
  <c r="F155" i="24"/>
  <c r="D155" i="24"/>
  <c r="E155" i="24" s="1"/>
  <c r="L154" i="24"/>
  <c r="K154" i="24"/>
  <c r="J154" i="24"/>
  <c r="I154" i="24"/>
  <c r="G154" i="24"/>
  <c r="F154" i="24"/>
  <c r="D154" i="24"/>
  <c r="E154" i="24" s="1"/>
  <c r="L153" i="24"/>
  <c r="K153" i="24"/>
  <c r="J153" i="24"/>
  <c r="I153" i="24"/>
  <c r="G153" i="24"/>
  <c r="F153" i="24"/>
  <c r="D153" i="24"/>
  <c r="E153" i="24" s="1"/>
  <c r="R54" i="24"/>
  <c r="D146" i="24"/>
  <c r="E146" i="24" s="1"/>
  <c r="D145" i="24"/>
  <c r="D143" i="24"/>
  <c r="E143" i="24" s="1"/>
  <c r="D142" i="24"/>
  <c r="E142" i="24" s="1"/>
  <c r="D141" i="24"/>
  <c r="E141" i="24" s="1"/>
  <c r="D140" i="24"/>
  <c r="E140" i="24" s="1"/>
  <c r="D139" i="24"/>
  <c r="E139" i="24" s="1"/>
  <c r="D138" i="24"/>
  <c r="E138" i="24" s="1"/>
  <c r="D137" i="24"/>
  <c r="E137" i="24" s="1"/>
  <c r="D136" i="24"/>
  <c r="E136" i="24" s="1"/>
  <c r="D135" i="24"/>
  <c r="E135" i="24" s="1"/>
  <c r="D134" i="24"/>
  <c r="E134" i="24" s="1"/>
  <c r="D133" i="24"/>
  <c r="E133" i="24" s="1"/>
  <c r="D132" i="24"/>
  <c r="E132" i="24" s="1"/>
  <c r="D131" i="24"/>
  <c r="E131" i="24" s="1"/>
  <c r="D130" i="24"/>
  <c r="E130" i="24" s="1"/>
  <c r="D129" i="24"/>
  <c r="E129" i="24" s="1"/>
  <c r="D128" i="24"/>
  <c r="E128" i="24" s="1"/>
  <c r="D127" i="24"/>
  <c r="E127" i="24" s="1"/>
  <c r="D126" i="24"/>
  <c r="E126" i="24" s="1"/>
  <c r="D125" i="24"/>
  <c r="E125" i="24" s="1"/>
  <c r="D124" i="24"/>
  <c r="E124" i="24" s="1"/>
  <c r="D123" i="24"/>
  <c r="E123" i="24" s="1"/>
  <c r="D122" i="24"/>
  <c r="E122" i="24" s="1"/>
  <c r="D121" i="24"/>
  <c r="E121" i="24" s="1"/>
  <c r="D120" i="24"/>
  <c r="E120" i="24" s="1"/>
  <c r="D119" i="24"/>
  <c r="E119" i="24" s="1"/>
  <c r="D118" i="24"/>
  <c r="E118" i="24" s="1"/>
  <c r="D117" i="24"/>
  <c r="E117" i="24" s="1"/>
  <c r="D116" i="24"/>
  <c r="E116" i="24" s="1"/>
  <c r="D115" i="24"/>
  <c r="E115" i="24" s="1"/>
  <c r="N102" i="24" a="1"/>
  <c r="N102" i="24" s="1"/>
  <c r="Q102" i="24" s="1"/>
  <c r="N101" i="24" a="1"/>
  <c r="N101" i="24" s="1"/>
  <c r="Q101" i="24" s="1"/>
  <c r="N99" i="24" a="1"/>
  <c r="N99" i="24" s="1"/>
  <c r="Q99" i="24" s="1"/>
  <c r="N98" i="24" a="1"/>
  <c r="N98" i="24" s="1"/>
  <c r="Q98" i="24" s="1"/>
  <c r="N97" i="24" a="1"/>
  <c r="N97" i="24" s="1"/>
  <c r="Q97" i="24" s="1"/>
  <c r="N96" i="24" a="1"/>
  <c r="N96" i="24" s="1"/>
  <c r="Q96" i="24" s="1"/>
  <c r="N95" i="24" a="1"/>
  <c r="N95" i="24" s="1"/>
  <c r="Q95" i="24" s="1"/>
  <c r="N94" i="24" a="1"/>
  <c r="N94" i="24" s="1"/>
  <c r="Q94" i="24" s="1"/>
  <c r="N93" i="24" a="1"/>
  <c r="N93" i="24" s="1"/>
  <c r="Q93" i="24" s="1"/>
  <c r="N92" i="24" a="1"/>
  <c r="N92" i="24" s="1"/>
  <c r="Q92" i="24" s="1"/>
  <c r="N91" i="24" a="1"/>
  <c r="N91" i="24" s="1"/>
  <c r="Q91" i="24" s="1"/>
  <c r="N90" i="24" a="1"/>
  <c r="N90" i="24" s="1"/>
  <c r="Q90" i="24" s="1"/>
  <c r="N89" i="24" a="1"/>
  <c r="N89" i="24" s="1"/>
  <c r="Q89" i="24" s="1"/>
  <c r="N88" i="24" a="1"/>
  <c r="N88" i="24" s="1"/>
  <c r="Q88" i="24" s="1"/>
  <c r="N87" i="24" a="1"/>
  <c r="N87" i="24" s="1"/>
  <c r="Q87" i="24" s="1"/>
  <c r="N86" i="24" a="1"/>
  <c r="N86" i="24" s="1"/>
  <c r="Q86" i="24" s="1"/>
  <c r="R84" i="24"/>
  <c r="N84" i="24" a="1"/>
  <c r="N84" i="24" s="1"/>
  <c r="Q84" i="24" s="1"/>
  <c r="R83" i="24"/>
  <c r="N83" i="24" a="1"/>
  <c r="N83" i="24" s="1"/>
  <c r="Q83" i="24" s="1"/>
  <c r="R82" i="24"/>
  <c r="N82" i="24" a="1"/>
  <c r="N82" i="24" s="1"/>
  <c r="Q82" i="24" s="1"/>
  <c r="R81" i="24"/>
  <c r="N81" i="24" a="1"/>
  <c r="N81" i="24" s="1"/>
  <c r="Q81" i="24" s="1"/>
  <c r="R80" i="24"/>
  <c r="N80" i="24" a="1"/>
  <c r="N80" i="24" s="1"/>
  <c r="Q80" i="24" s="1"/>
  <c r="R79" i="24"/>
  <c r="N79" i="24" a="1"/>
  <c r="N79" i="24" s="1"/>
  <c r="Q79" i="24" s="1"/>
  <c r="R78" i="24"/>
  <c r="N78" i="24" a="1"/>
  <c r="N78" i="24" s="1"/>
  <c r="Q78" i="24" s="1"/>
  <c r="R77" i="24"/>
  <c r="N77" i="24" a="1"/>
  <c r="N77" i="24" s="1"/>
  <c r="Q77" i="24" s="1"/>
  <c r="R76" i="24"/>
  <c r="N76" i="24" a="1"/>
  <c r="N76" i="24" s="1"/>
  <c r="Q76" i="24" s="1"/>
  <c r="R75" i="24"/>
  <c r="N75" i="24" a="1"/>
  <c r="N75" i="24" s="1"/>
  <c r="Q75" i="24" s="1"/>
  <c r="R74" i="24"/>
  <c r="N74" i="24" a="1"/>
  <c r="N74" i="24" s="1"/>
  <c r="Q74" i="24" s="1"/>
  <c r="R73" i="24"/>
  <c r="N73" i="24" a="1"/>
  <c r="N73" i="24" s="1"/>
  <c r="Q73" i="24" s="1"/>
  <c r="R72" i="24"/>
  <c r="N72" i="24" a="1"/>
  <c r="N72" i="24" s="1"/>
  <c r="Q72" i="24" s="1"/>
  <c r="R71" i="24"/>
  <c r="N71" i="24" a="1"/>
  <c r="N71" i="24" s="1"/>
  <c r="Q71" i="24" s="1"/>
  <c r="R70" i="24"/>
  <c r="N70" i="24" a="1"/>
  <c r="N70" i="24" s="1"/>
  <c r="Q70" i="24" s="1"/>
  <c r="R69" i="24"/>
  <c r="N69" i="24" a="1"/>
  <c r="N69" i="24" s="1"/>
  <c r="Q69" i="24" s="1"/>
  <c r="R68" i="24"/>
  <c r="N68" i="24" a="1"/>
  <c r="N68" i="24" s="1"/>
  <c r="Q68" i="24" s="1"/>
  <c r="R67" i="24"/>
  <c r="N67" i="24" a="1"/>
  <c r="N67" i="24" s="1"/>
  <c r="Q67" i="24" s="1"/>
  <c r="R66" i="24"/>
  <c r="N66" i="24" a="1"/>
  <c r="N66" i="24" s="1"/>
  <c r="Q66" i="24" s="1"/>
  <c r="R65" i="24"/>
  <c r="N65" i="24" a="1"/>
  <c r="N65" i="24" s="1"/>
  <c r="Q65" i="24" s="1"/>
  <c r="R64" i="24"/>
  <c r="N64" i="24" a="1"/>
  <c r="N64" i="24" s="1"/>
  <c r="Q64" i="24" s="1"/>
  <c r="R63" i="24"/>
  <c r="N63" i="24" a="1"/>
  <c r="N63" i="24" s="1"/>
  <c r="Q63" i="24" s="1"/>
  <c r="R62" i="24"/>
  <c r="N62" i="24" a="1"/>
  <c r="N62" i="24" s="1"/>
  <c r="Q62" i="24" s="1"/>
  <c r="R61" i="24"/>
  <c r="N61" i="24" a="1"/>
  <c r="N61" i="24" s="1"/>
  <c r="Q61" i="24" s="1"/>
  <c r="N54" i="24" a="1"/>
  <c r="N54" i="24" s="1"/>
  <c r="N47" i="24" a="1"/>
  <c r="N47" i="24" s="1"/>
  <c r="P47" i="24" s="1"/>
  <c r="N46" i="24" a="1"/>
  <c r="N46" i="24" s="1"/>
  <c r="P46" i="24" s="1"/>
  <c r="N45" i="24" a="1"/>
  <c r="N45" i="24" s="1"/>
  <c r="P45" i="24" s="1"/>
  <c r="N44" i="24" a="1"/>
  <c r="N44" i="24" s="1"/>
  <c r="P44" i="24" s="1"/>
  <c r="N43" i="24" a="1"/>
  <c r="N43" i="24" s="1"/>
  <c r="P43" i="24" s="1"/>
  <c r="N42" i="24" a="1"/>
  <c r="N42" i="24" s="1"/>
  <c r="P42" i="24" s="1"/>
  <c r="N41" i="24" a="1"/>
  <c r="N41" i="24" s="1"/>
  <c r="P41" i="24" s="1"/>
  <c r="N40" i="24" a="1"/>
  <c r="N40" i="24" s="1"/>
  <c r="P40" i="24" s="1"/>
  <c r="N39" i="24" a="1"/>
  <c r="N39" i="24" s="1"/>
  <c r="P39" i="24" s="1"/>
  <c r="N38" i="24" a="1"/>
  <c r="N38" i="24" s="1"/>
  <c r="P38" i="24" s="1"/>
  <c r="N37" i="24" a="1"/>
  <c r="N37" i="24" s="1"/>
  <c r="P37" i="24" s="1"/>
  <c r="N36" i="24" a="1"/>
  <c r="N36" i="24" s="1"/>
  <c r="P36" i="24" s="1"/>
  <c r="N35" i="24" a="1"/>
  <c r="N35" i="24" s="1"/>
  <c r="P35" i="24" s="1"/>
  <c r="N34" i="24" a="1"/>
  <c r="N34" i="24" s="1"/>
  <c r="P34" i="24" s="1"/>
  <c r="N33" i="24" a="1"/>
  <c r="N33" i="24" s="1"/>
  <c r="P33" i="24" s="1"/>
  <c r="N32" i="24" a="1"/>
  <c r="N32" i="24" s="1"/>
  <c r="P32" i="24" s="1"/>
  <c r="N31" i="24" a="1"/>
  <c r="N31" i="24" s="1"/>
  <c r="P31" i="24" s="1"/>
  <c r="N30" i="24" a="1"/>
  <c r="N30" i="24" s="1"/>
  <c r="P30" i="24" s="1"/>
  <c r="N29" i="24" a="1"/>
  <c r="N29" i="24" s="1"/>
  <c r="P29" i="24" s="1"/>
  <c r="N28" i="24" a="1"/>
  <c r="N28" i="24" s="1"/>
  <c r="P28" i="24" s="1"/>
  <c r="N27" i="24" a="1"/>
  <c r="N27" i="24" s="1"/>
  <c r="P27" i="24" s="1"/>
  <c r="N26" i="24" a="1"/>
  <c r="N26" i="24" s="1"/>
  <c r="P26" i="24" s="1"/>
  <c r="N25" i="24" a="1"/>
  <c r="N25" i="24" s="1"/>
  <c r="P25" i="24" s="1"/>
  <c r="N24" i="24" a="1"/>
  <c r="N24" i="24" s="1"/>
  <c r="P24" i="24" s="1"/>
  <c r="N23" i="24" a="1"/>
  <c r="N23" i="24" s="1"/>
  <c r="P23" i="24" s="1"/>
  <c r="N22" i="24" a="1"/>
  <c r="N22" i="24" s="1"/>
  <c r="P22" i="24" s="1"/>
  <c r="N21" i="24" a="1"/>
  <c r="N21" i="24" s="1"/>
  <c r="P21" i="24" s="1"/>
  <c r="L16" i="24"/>
  <c r="K16" i="24"/>
  <c r="J16" i="24"/>
  <c r="I16" i="24"/>
  <c r="H16" i="24"/>
  <c r="G16" i="24"/>
  <c r="F16" i="24"/>
  <c r="L13" i="24"/>
  <c r="K13" i="24"/>
  <c r="J13" i="24"/>
  <c r="I13" i="24"/>
  <c r="H13" i="24"/>
  <c r="G13" i="24"/>
  <c r="F13" i="24"/>
  <c r="H14" i="24"/>
  <c r="L11" i="24"/>
  <c r="K11" i="24"/>
  <c r="J11" i="24"/>
  <c r="I11" i="24"/>
  <c r="H11" i="24"/>
  <c r="G11" i="24"/>
  <c r="F11" i="24"/>
  <c r="L7" i="24"/>
  <c r="L8" i="24" s="1"/>
  <c r="K7" i="24"/>
  <c r="J7" i="24"/>
  <c r="I7" i="24"/>
  <c r="H7" i="24"/>
  <c r="G7" i="24"/>
  <c r="F7" i="24"/>
  <c r="L176" i="23"/>
  <c r="K176" i="23"/>
  <c r="J176" i="23"/>
  <c r="I176" i="23"/>
  <c r="G176" i="23"/>
  <c r="F176" i="23"/>
  <c r="D176" i="23"/>
  <c r="E176" i="23" s="1"/>
  <c r="L175" i="23"/>
  <c r="K175" i="23"/>
  <c r="J175" i="23"/>
  <c r="I175" i="23"/>
  <c r="G175" i="23"/>
  <c r="F175" i="23"/>
  <c r="D175" i="23"/>
  <c r="E175" i="23" s="1"/>
  <c r="L174" i="23"/>
  <c r="K174" i="23"/>
  <c r="J174" i="23"/>
  <c r="I174" i="23"/>
  <c r="G174" i="23"/>
  <c r="F174" i="23"/>
  <c r="D174" i="23"/>
  <c r="E174" i="23" s="1"/>
  <c r="L173" i="23"/>
  <c r="K173" i="23"/>
  <c r="J173" i="23"/>
  <c r="I173" i="23"/>
  <c r="G173" i="23"/>
  <c r="F173" i="23"/>
  <c r="D173" i="23"/>
  <c r="E173" i="23" s="1"/>
  <c r="L172" i="23"/>
  <c r="K172" i="23"/>
  <c r="J172" i="23"/>
  <c r="I172" i="23"/>
  <c r="G172" i="23"/>
  <c r="F172" i="23"/>
  <c r="D172" i="23"/>
  <c r="E172" i="23" s="1"/>
  <c r="L171" i="23"/>
  <c r="K171" i="23"/>
  <c r="J171" i="23"/>
  <c r="I171" i="23"/>
  <c r="G171" i="23"/>
  <c r="F171" i="23"/>
  <c r="D171" i="23"/>
  <c r="E171" i="23" s="1"/>
  <c r="L170" i="23"/>
  <c r="K170" i="23"/>
  <c r="J170" i="23"/>
  <c r="I170" i="23"/>
  <c r="G170" i="23"/>
  <c r="F170" i="23"/>
  <c r="D170" i="23"/>
  <c r="E170" i="23" s="1"/>
  <c r="L169" i="23"/>
  <c r="K169" i="23"/>
  <c r="J169" i="23"/>
  <c r="I169" i="23"/>
  <c r="G169" i="23"/>
  <c r="F169" i="23"/>
  <c r="D169" i="23"/>
  <c r="E169" i="23" s="1"/>
  <c r="L168" i="23"/>
  <c r="K168" i="23"/>
  <c r="J168" i="23"/>
  <c r="I168" i="23"/>
  <c r="G168" i="23"/>
  <c r="F168" i="23"/>
  <c r="D168" i="23"/>
  <c r="E168" i="23" s="1"/>
  <c r="L167" i="23"/>
  <c r="K167" i="23"/>
  <c r="J167" i="23"/>
  <c r="I167" i="23"/>
  <c r="G167" i="23"/>
  <c r="F167" i="23"/>
  <c r="D167" i="23"/>
  <c r="E167" i="23" s="1"/>
  <c r="L166" i="23"/>
  <c r="K166" i="23"/>
  <c r="J166" i="23"/>
  <c r="I166" i="23"/>
  <c r="G166" i="23"/>
  <c r="F166" i="23"/>
  <c r="D166" i="23"/>
  <c r="E166" i="23" s="1"/>
  <c r="L165" i="23"/>
  <c r="K165" i="23"/>
  <c r="J165" i="23"/>
  <c r="I165" i="23"/>
  <c r="G165" i="23"/>
  <c r="F165" i="23"/>
  <c r="D165" i="23"/>
  <c r="E165" i="23" s="1"/>
  <c r="L164" i="23"/>
  <c r="K164" i="23"/>
  <c r="J164" i="23"/>
  <c r="I164" i="23"/>
  <c r="G164" i="23"/>
  <c r="F164" i="23"/>
  <c r="D164" i="23"/>
  <c r="E164" i="23" s="1"/>
  <c r="L163" i="23"/>
  <c r="K163" i="23"/>
  <c r="J163" i="23"/>
  <c r="I163" i="23"/>
  <c r="G163" i="23"/>
  <c r="F163" i="23"/>
  <c r="D163" i="23"/>
  <c r="E163" i="23" s="1"/>
  <c r="L162" i="23"/>
  <c r="K162" i="23"/>
  <c r="J162" i="23"/>
  <c r="I162" i="23"/>
  <c r="G162" i="23"/>
  <c r="F162" i="23"/>
  <c r="D162" i="23"/>
  <c r="E162" i="23" s="1"/>
  <c r="L161" i="23"/>
  <c r="K161" i="23"/>
  <c r="J161" i="23"/>
  <c r="I161" i="23"/>
  <c r="G161" i="23"/>
  <c r="F161" i="23"/>
  <c r="D161" i="23"/>
  <c r="E161" i="23" s="1"/>
  <c r="L160" i="23"/>
  <c r="K160" i="23"/>
  <c r="J160" i="23"/>
  <c r="I160" i="23"/>
  <c r="G160" i="23"/>
  <c r="F160" i="23"/>
  <c r="D160" i="23"/>
  <c r="E160" i="23" s="1"/>
  <c r="L159" i="23"/>
  <c r="K159" i="23"/>
  <c r="J159" i="23"/>
  <c r="I159" i="23"/>
  <c r="G159" i="23"/>
  <c r="F159" i="23"/>
  <c r="D159" i="23"/>
  <c r="E159" i="23" s="1"/>
  <c r="L158" i="23"/>
  <c r="K158" i="23"/>
  <c r="J158" i="23"/>
  <c r="I158" i="23"/>
  <c r="G158" i="23"/>
  <c r="F158" i="23"/>
  <c r="D158" i="23"/>
  <c r="E158" i="23" s="1"/>
  <c r="L157" i="23"/>
  <c r="K157" i="23"/>
  <c r="J157" i="23"/>
  <c r="I157" i="23"/>
  <c r="G157" i="23"/>
  <c r="F157" i="23"/>
  <c r="D157" i="23"/>
  <c r="E157" i="23" s="1"/>
  <c r="L156" i="23"/>
  <c r="K156" i="23"/>
  <c r="J156" i="23"/>
  <c r="I156" i="23"/>
  <c r="G156" i="23"/>
  <c r="F156" i="23"/>
  <c r="D156" i="23"/>
  <c r="E156" i="23" s="1"/>
  <c r="L155" i="23"/>
  <c r="K155" i="23"/>
  <c r="J155" i="23"/>
  <c r="I155" i="23"/>
  <c r="G155" i="23"/>
  <c r="F155" i="23"/>
  <c r="D155" i="23"/>
  <c r="E155" i="23" s="1"/>
  <c r="L154" i="23"/>
  <c r="K154" i="23"/>
  <c r="J154" i="23"/>
  <c r="I154" i="23"/>
  <c r="G154" i="23"/>
  <c r="F154" i="23"/>
  <c r="D154" i="23"/>
  <c r="E154" i="23" s="1"/>
  <c r="L153" i="23"/>
  <c r="K153" i="23"/>
  <c r="J153" i="23"/>
  <c r="I153" i="23"/>
  <c r="G153" i="23"/>
  <c r="F153" i="23"/>
  <c r="D153" i="23"/>
  <c r="E153" i="23" s="1"/>
  <c r="D146" i="23"/>
  <c r="E146" i="23" s="1"/>
  <c r="D145" i="23"/>
  <c r="D143" i="23"/>
  <c r="E143" i="23" s="1"/>
  <c r="D142" i="23"/>
  <c r="E142" i="23" s="1"/>
  <c r="D141" i="23"/>
  <c r="E141" i="23" s="1"/>
  <c r="D140" i="23"/>
  <c r="E140" i="23" s="1"/>
  <c r="D139" i="23"/>
  <c r="E139" i="23" s="1"/>
  <c r="D138" i="23"/>
  <c r="E138" i="23" s="1"/>
  <c r="D137" i="23"/>
  <c r="D136" i="23"/>
  <c r="E136" i="23" s="1"/>
  <c r="D135" i="23"/>
  <c r="E135" i="23" s="1"/>
  <c r="D134" i="23"/>
  <c r="E134" i="23" s="1"/>
  <c r="D133" i="23"/>
  <c r="E133" i="23" s="1"/>
  <c r="D132" i="23"/>
  <c r="E132" i="23" s="1"/>
  <c r="D131" i="23"/>
  <c r="E131" i="23" s="1"/>
  <c r="D130" i="23"/>
  <c r="D129" i="23"/>
  <c r="E129" i="23" s="1"/>
  <c r="D128" i="23"/>
  <c r="E128" i="23" s="1"/>
  <c r="D127" i="23"/>
  <c r="E127" i="23" s="1"/>
  <c r="D126" i="23"/>
  <c r="E126" i="23" s="1"/>
  <c r="D125" i="23"/>
  <c r="E125" i="23" s="1"/>
  <c r="D124" i="23"/>
  <c r="E124" i="23" s="1"/>
  <c r="D123" i="23"/>
  <c r="E123" i="23" s="1"/>
  <c r="D122" i="23"/>
  <c r="D121" i="23"/>
  <c r="E121" i="23" s="1"/>
  <c r="D120" i="23"/>
  <c r="E120" i="23" s="1"/>
  <c r="D119" i="23"/>
  <c r="E119" i="23" s="1"/>
  <c r="D118" i="23"/>
  <c r="E118" i="23" s="1"/>
  <c r="D117" i="23"/>
  <c r="E117" i="23" s="1"/>
  <c r="D116" i="23"/>
  <c r="E116" i="23" s="1"/>
  <c r="D115" i="23"/>
  <c r="E115" i="23" s="1"/>
  <c r="N102" i="23" a="1"/>
  <c r="N102" i="23" s="1"/>
  <c r="Q102" i="23" s="1"/>
  <c r="N101" i="23" a="1"/>
  <c r="N101" i="23" s="1"/>
  <c r="Q101" i="23" s="1"/>
  <c r="N99" i="23" a="1"/>
  <c r="N99" i="23" s="1"/>
  <c r="Q99" i="23" s="1"/>
  <c r="N98" i="23" a="1"/>
  <c r="N98" i="23" s="1"/>
  <c r="Q98" i="23" s="1"/>
  <c r="N97" i="23" a="1"/>
  <c r="N97" i="23" s="1"/>
  <c r="Q97" i="23" s="1"/>
  <c r="N96" i="23" a="1"/>
  <c r="N96" i="23" s="1"/>
  <c r="Q96" i="23" s="1"/>
  <c r="N95" i="23" a="1"/>
  <c r="N95" i="23" s="1"/>
  <c r="Q95" i="23" s="1"/>
  <c r="N94" i="23" a="1"/>
  <c r="N94" i="23" s="1"/>
  <c r="Q94" i="23" s="1"/>
  <c r="N93" i="23" a="1"/>
  <c r="N93" i="23" s="1"/>
  <c r="Q93" i="23" s="1"/>
  <c r="N92" i="23" a="1"/>
  <c r="N92" i="23" s="1"/>
  <c r="Q92" i="23" s="1"/>
  <c r="N91" i="23" a="1"/>
  <c r="N91" i="23" s="1"/>
  <c r="Q91" i="23" s="1"/>
  <c r="N90" i="23" a="1"/>
  <c r="N90" i="23" s="1"/>
  <c r="Q90" i="23" s="1"/>
  <c r="N89" i="23" a="1"/>
  <c r="N89" i="23" s="1"/>
  <c r="Q89" i="23" s="1"/>
  <c r="N88" i="23" a="1"/>
  <c r="N88" i="23" s="1"/>
  <c r="Q88" i="23" s="1"/>
  <c r="N87" i="23" a="1"/>
  <c r="N87" i="23" s="1"/>
  <c r="Q87" i="23" s="1"/>
  <c r="N86" i="23" a="1"/>
  <c r="N86" i="23" s="1"/>
  <c r="Q86" i="23" s="1"/>
  <c r="R84" i="23"/>
  <c r="N84" i="23" a="1"/>
  <c r="N84" i="23" s="1"/>
  <c r="Q84" i="23" s="1"/>
  <c r="R83" i="23"/>
  <c r="N83" i="23" a="1"/>
  <c r="N83" i="23" s="1"/>
  <c r="Q83" i="23" s="1"/>
  <c r="R82" i="23"/>
  <c r="N82" i="23" a="1"/>
  <c r="N82" i="23" s="1"/>
  <c r="Q82" i="23" s="1"/>
  <c r="R81" i="23"/>
  <c r="N81" i="23" a="1"/>
  <c r="N81" i="23" s="1"/>
  <c r="Q81" i="23" s="1"/>
  <c r="R80" i="23"/>
  <c r="N80" i="23" a="1"/>
  <c r="N80" i="23" s="1"/>
  <c r="Q80" i="23" s="1"/>
  <c r="R79" i="23"/>
  <c r="N79" i="23" a="1"/>
  <c r="N79" i="23" s="1"/>
  <c r="Q79" i="23" s="1"/>
  <c r="R78" i="23"/>
  <c r="N78" i="23" a="1"/>
  <c r="N78" i="23" s="1"/>
  <c r="Q78" i="23" s="1"/>
  <c r="R77" i="23"/>
  <c r="N77" i="23" a="1"/>
  <c r="N77" i="23" s="1"/>
  <c r="Q77" i="23" s="1"/>
  <c r="R76" i="23"/>
  <c r="N76" i="23" a="1"/>
  <c r="N76" i="23" s="1"/>
  <c r="Q76" i="23" s="1"/>
  <c r="R75" i="23"/>
  <c r="N75" i="23" a="1"/>
  <c r="N75" i="23" s="1"/>
  <c r="Q75" i="23" s="1"/>
  <c r="R74" i="23"/>
  <c r="N74" i="23" a="1"/>
  <c r="N74" i="23" s="1"/>
  <c r="Q74" i="23" s="1"/>
  <c r="R73" i="23"/>
  <c r="N73" i="23" a="1"/>
  <c r="N73" i="23" s="1"/>
  <c r="Q73" i="23" s="1"/>
  <c r="R72" i="23"/>
  <c r="N72" i="23" a="1"/>
  <c r="N72" i="23" s="1"/>
  <c r="Q72" i="23" s="1"/>
  <c r="R71" i="23"/>
  <c r="N71" i="23" a="1"/>
  <c r="N71" i="23" s="1"/>
  <c r="Q71" i="23" s="1"/>
  <c r="R70" i="23"/>
  <c r="N70" i="23" a="1"/>
  <c r="N70" i="23" s="1"/>
  <c r="Q70" i="23" s="1"/>
  <c r="R69" i="23"/>
  <c r="N69" i="23" a="1"/>
  <c r="N69" i="23" s="1"/>
  <c r="Q69" i="23" s="1"/>
  <c r="R68" i="23"/>
  <c r="N68" i="23" a="1"/>
  <c r="N68" i="23" s="1"/>
  <c r="Q68" i="23" s="1"/>
  <c r="R67" i="23"/>
  <c r="N67" i="23" a="1"/>
  <c r="N67" i="23" s="1"/>
  <c r="Q67" i="23" s="1"/>
  <c r="R66" i="23"/>
  <c r="N66" i="23" a="1"/>
  <c r="N66" i="23" s="1"/>
  <c r="Q66" i="23" s="1"/>
  <c r="R65" i="23"/>
  <c r="N65" i="23" a="1"/>
  <c r="N65" i="23" s="1"/>
  <c r="Q65" i="23" s="1"/>
  <c r="R64" i="23"/>
  <c r="N64" i="23" a="1"/>
  <c r="N64" i="23" s="1"/>
  <c r="Q64" i="23" s="1"/>
  <c r="R63" i="23"/>
  <c r="N63" i="23" a="1"/>
  <c r="N63" i="23" s="1"/>
  <c r="Q63" i="23" s="1"/>
  <c r="R62" i="23"/>
  <c r="N62" i="23" a="1"/>
  <c r="N62" i="23" s="1"/>
  <c r="Q62" i="23" s="1"/>
  <c r="R61" i="23"/>
  <c r="N61" i="23" a="1"/>
  <c r="N61" i="23" s="1"/>
  <c r="Q61" i="23" s="1"/>
  <c r="R54" i="23"/>
  <c r="N54" i="23" a="1"/>
  <c r="N54" i="23" s="1"/>
  <c r="R51" i="23" s="1"/>
  <c r="N47" i="23" a="1"/>
  <c r="N47" i="23" s="1"/>
  <c r="P47" i="23" s="1"/>
  <c r="N46" i="23" a="1"/>
  <c r="N46" i="23" s="1"/>
  <c r="P46" i="23" s="1"/>
  <c r="N45" i="23" a="1"/>
  <c r="N45" i="23" s="1"/>
  <c r="P45" i="23" s="1"/>
  <c r="N44" i="23" a="1"/>
  <c r="N44" i="23" s="1"/>
  <c r="P44" i="23" s="1"/>
  <c r="N43" i="23" a="1"/>
  <c r="N43" i="23" s="1"/>
  <c r="P43" i="23" s="1"/>
  <c r="N42" i="23" a="1"/>
  <c r="N42" i="23" s="1"/>
  <c r="P42" i="23" s="1"/>
  <c r="N41" i="23" a="1"/>
  <c r="N41" i="23" s="1"/>
  <c r="P41" i="23" s="1"/>
  <c r="N40" i="23" a="1"/>
  <c r="N40" i="23" s="1"/>
  <c r="P40" i="23" s="1"/>
  <c r="N39" i="23" a="1"/>
  <c r="N39" i="23" s="1"/>
  <c r="P39" i="23" s="1"/>
  <c r="N38" i="23" a="1"/>
  <c r="N38" i="23" s="1"/>
  <c r="P38" i="23" s="1"/>
  <c r="N37" i="23" a="1"/>
  <c r="N37" i="23" s="1"/>
  <c r="P37" i="23" s="1"/>
  <c r="N36" i="23" a="1"/>
  <c r="N36" i="23" s="1"/>
  <c r="P36" i="23" s="1"/>
  <c r="N35" i="23" a="1"/>
  <c r="N35" i="23" s="1"/>
  <c r="P35" i="23" s="1"/>
  <c r="N34" i="23" a="1"/>
  <c r="N34" i="23" s="1"/>
  <c r="P34" i="23" s="1"/>
  <c r="N33" i="23" a="1"/>
  <c r="N33" i="23" s="1"/>
  <c r="P33" i="23" s="1"/>
  <c r="N32" i="23" a="1"/>
  <c r="N32" i="23" s="1"/>
  <c r="P32" i="23" s="1"/>
  <c r="N31" i="23" a="1"/>
  <c r="N31" i="23" s="1"/>
  <c r="P31" i="23" s="1"/>
  <c r="N30" i="23" a="1"/>
  <c r="N30" i="23" s="1"/>
  <c r="P30" i="23" s="1"/>
  <c r="N29" i="23" a="1"/>
  <c r="N29" i="23" s="1"/>
  <c r="P29" i="23" s="1"/>
  <c r="N28" i="23" a="1"/>
  <c r="N28" i="23" s="1"/>
  <c r="P28" i="23" s="1"/>
  <c r="N27" i="23" a="1"/>
  <c r="N27" i="23" s="1"/>
  <c r="P27" i="23" s="1"/>
  <c r="N26" i="23" a="1"/>
  <c r="N26" i="23" s="1"/>
  <c r="P26" i="23" s="1"/>
  <c r="N25" i="23" a="1"/>
  <c r="N25" i="23" s="1"/>
  <c r="P25" i="23" s="1"/>
  <c r="N24" i="23" a="1"/>
  <c r="N24" i="23" s="1"/>
  <c r="P24" i="23" s="1"/>
  <c r="N23" i="23" a="1"/>
  <c r="N23" i="23" s="1"/>
  <c r="P23" i="23" s="1"/>
  <c r="N22" i="23" a="1"/>
  <c r="N22" i="23" s="1"/>
  <c r="P22" i="23" s="1"/>
  <c r="N21" i="23" a="1"/>
  <c r="N21" i="23" s="1"/>
  <c r="P21" i="23" s="1"/>
  <c r="L16" i="23"/>
  <c r="K16" i="23"/>
  <c r="J16" i="23"/>
  <c r="I16" i="23"/>
  <c r="H16" i="23"/>
  <c r="G16" i="23"/>
  <c r="F16" i="23"/>
  <c r="L13" i="23"/>
  <c r="K13" i="23"/>
  <c r="J13" i="23"/>
  <c r="I13" i="23"/>
  <c r="I14" i="23" s="1"/>
  <c r="H13" i="23"/>
  <c r="G13" i="23"/>
  <c r="F13" i="23"/>
  <c r="L11" i="23"/>
  <c r="K11" i="23"/>
  <c r="J11" i="23"/>
  <c r="I11" i="23"/>
  <c r="H11" i="23"/>
  <c r="G11" i="23"/>
  <c r="F11" i="23"/>
  <c r="L7" i="23"/>
  <c r="K7" i="23"/>
  <c r="K8" i="23" s="1"/>
  <c r="J7" i="23"/>
  <c r="I7" i="23"/>
  <c r="H7" i="23"/>
  <c r="G7" i="23"/>
  <c r="F7" i="23"/>
  <c r="L176" i="22"/>
  <c r="K176" i="22"/>
  <c r="J176" i="22"/>
  <c r="I176" i="22"/>
  <c r="G176" i="22"/>
  <c r="F176" i="22"/>
  <c r="D176" i="22"/>
  <c r="E176" i="22" s="1"/>
  <c r="L175" i="22"/>
  <c r="K175" i="22"/>
  <c r="J175" i="22"/>
  <c r="I175" i="22"/>
  <c r="G175" i="22"/>
  <c r="F175" i="22"/>
  <c r="D175" i="22"/>
  <c r="E175" i="22" s="1"/>
  <c r="L174" i="22"/>
  <c r="K174" i="22"/>
  <c r="J174" i="22"/>
  <c r="I174" i="22"/>
  <c r="G174" i="22"/>
  <c r="F174" i="22"/>
  <c r="D174" i="22"/>
  <c r="E174" i="22" s="1"/>
  <c r="L173" i="22"/>
  <c r="K173" i="22"/>
  <c r="J173" i="22"/>
  <c r="I173" i="22"/>
  <c r="G173" i="22"/>
  <c r="F173" i="22"/>
  <c r="D173" i="22"/>
  <c r="E173" i="22" s="1"/>
  <c r="L172" i="22"/>
  <c r="K172" i="22"/>
  <c r="J172" i="22"/>
  <c r="I172" i="22"/>
  <c r="G172" i="22"/>
  <c r="F172" i="22"/>
  <c r="D172" i="22"/>
  <c r="E172" i="22" s="1"/>
  <c r="L171" i="22"/>
  <c r="K171" i="22"/>
  <c r="J171" i="22"/>
  <c r="I171" i="22"/>
  <c r="G171" i="22"/>
  <c r="F171" i="22"/>
  <c r="D171" i="22"/>
  <c r="E171" i="22" s="1"/>
  <c r="L170" i="22"/>
  <c r="K170" i="22"/>
  <c r="J170" i="22"/>
  <c r="I170" i="22"/>
  <c r="G170" i="22"/>
  <c r="F170" i="22"/>
  <c r="D170" i="22"/>
  <c r="E170" i="22" s="1"/>
  <c r="L169" i="22"/>
  <c r="K169" i="22"/>
  <c r="J169" i="22"/>
  <c r="I169" i="22"/>
  <c r="G169" i="22"/>
  <c r="F169" i="22"/>
  <c r="D169" i="22"/>
  <c r="E169" i="22" s="1"/>
  <c r="L168" i="22"/>
  <c r="K168" i="22"/>
  <c r="J168" i="22"/>
  <c r="I168" i="22"/>
  <c r="G168" i="22"/>
  <c r="F168" i="22"/>
  <c r="D168" i="22"/>
  <c r="E168" i="22" s="1"/>
  <c r="L167" i="22"/>
  <c r="K167" i="22"/>
  <c r="J167" i="22"/>
  <c r="I167" i="22"/>
  <c r="G167" i="22"/>
  <c r="F167" i="22"/>
  <c r="D167" i="22"/>
  <c r="E167" i="22" s="1"/>
  <c r="L166" i="22"/>
  <c r="K166" i="22"/>
  <c r="J166" i="22"/>
  <c r="I166" i="22"/>
  <c r="G166" i="22"/>
  <c r="F166" i="22"/>
  <c r="D166" i="22"/>
  <c r="E166" i="22" s="1"/>
  <c r="L165" i="22"/>
  <c r="K165" i="22"/>
  <c r="J165" i="22"/>
  <c r="I165" i="22"/>
  <c r="G165" i="22"/>
  <c r="F165" i="22"/>
  <c r="D165" i="22"/>
  <c r="E165" i="22" s="1"/>
  <c r="L164" i="22"/>
  <c r="K164" i="22"/>
  <c r="J164" i="22"/>
  <c r="I164" i="22"/>
  <c r="G164" i="22"/>
  <c r="F164" i="22"/>
  <c r="D164" i="22"/>
  <c r="E164" i="22" s="1"/>
  <c r="L163" i="22"/>
  <c r="K163" i="22"/>
  <c r="J163" i="22"/>
  <c r="I163" i="22"/>
  <c r="G163" i="22"/>
  <c r="F163" i="22"/>
  <c r="D163" i="22"/>
  <c r="E163" i="22" s="1"/>
  <c r="L162" i="22"/>
  <c r="K162" i="22"/>
  <c r="J162" i="22"/>
  <c r="I162" i="22"/>
  <c r="G162" i="22"/>
  <c r="F162" i="22"/>
  <c r="D162" i="22"/>
  <c r="E162" i="22" s="1"/>
  <c r="L161" i="22"/>
  <c r="K161" i="22"/>
  <c r="J161" i="22"/>
  <c r="I161" i="22"/>
  <c r="G161" i="22"/>
  <c r="F161" i="22"/>
  <c r="D161" i="22"/>
  <c r="E161" i="22" s="1"/>
  <c r="L160" i="22"/>
  <c r="K160" i="22"/>
  <c r="J160" i="22"/>
  <c r="I160" i="22"/>
  <c r="G160" i="22"/>
  <c r="F160" i="22"/>
  <c r="D160" i="22"/>
  <c r="E160" i="22" s="1"/>
  <c r="L159" i="22"/>
  <c r="K159" i="22"/>
  <c r="J159" i="22"/>
  <c r="I159" i="22"/>
  <c r="G159" i="22"/>
  <c r="F159" i="22"/>
  <c r="D159" i="22"/>
  <c r="E159" i="22" s="1"/>
  <c r="L158" i="22"/>
  <c r="K158" i="22"/>
  <c r="J158" i="22"/>
  <c r="I158" i="22"/>
  <c r="G158" i="22"/>
  <c r="F158" i="22"/>
  <c r="D158" i="22"/>
  <c r="E158" i="22" s="1"/>
  <c r="L157" i="22"/>
  <c r="K157" i="22"/>
  <c r="J157" i="22"/>
  <c r="I157" i="22"/>
  <c r="G157" i="22"/>
  <c r="F157" i="22"/>
  <c r="D157" i="22"/>
  <c r="E157" i="22" s="1"/>
  <c r="L156" i="22"/>
  <c r="K156" i="22"/>
  <c r="J156" i="22"/>
  <c r="I156" i="22"/>
  <c r="G156" i="22"/>
  <c r="F156" i="22"/>
  <c r="D156" i="22"/>
  <c r="E156" i="22" s="1"/>
  <c r="L155" i="22"/>
  <c r="K155" i="22"/>
  <c r="J155" i="22"/>
  <c r="I155" i="22"/>
  <c r="G155" i="22"/>
  <c r="F155" i="22"/>
  <c r="D155" i="22"/>
  <c r="E155" i="22" s="1"/>
  <c r="L154" i="22"/>
  <c r="K154" i="22"/>
  <c r="J154" i="22"/>
  <c r="I154" i="22"/>
  <c r="G154" i="22"/>
  <c r="F154" i="22"/>
  <c r="D154" i="22"/>
  <c r="E154" i="22" s="1"/>
  <c r="L153" i="22"/>
  <c r="K153" i="22"/>
  <c r="J153" i="22"/>
  <c r="I153" i="22"/>
  <c r="G153" i="22"/>
  <c r="F153" i="22"/>
  <c r="D153" i="22"/>
  <c r="E153" i="22" s="1"/>
  <c r="R54" i="22"/>
  <c r="D146" i="22"/>
  <c r="E146" i="22" s="1"/>
  <c r="D145" i="22"/>
  <c r="D143" i="22"/>
  <c r="E143" i="22" s="1"/>
  <c r="D142" i="22"/>
  <c r="E142" i="22" s="1"/>
  <c r="D141" i="22"/>
  <c r="E141" i="22" s="1"/>
  <c r="D140" i="22"/>
  <c r="E140" i="22" s="1"/>
  <c r="D139" i="22"/>
  <c r="E139" i="22" s="1"/>
  <c r="D138" i="22"/>
  <c r="E138" i="22" s="1"/>
  <c r="D137" i="22"/>
  <c r="E137" i="22" s="1"/>
  <c r="D136" i="22"/>
  <c r="E136" i="22" s="1"/>
  <c r="D135" i="22"/>
  <c r="E135" i="22" s="1"/>
  <c r="D134" i="22"/>
  <c r="E134" i="22" s="1"/>
  <c r="D133" i="22"/>
  <c r="E133" i="22" s="1"/>
  <c r="D132" i="22"/>
  <c r="E132" i="22" s="1"/>
  <c r="D131" i="22"/>
  <c r="E131" i="22" s="1"/>
  <c r="D130" i="22"/>
  <c r="E130" i="22" s="1"/>
  <c r="D129" i="22"/>
  <c r="E129" i="22" s="1"/>
  <c r="D128" i="22"/>
  <c r="E128" i="22" s="1"/>
  <c r="D127" i="22"/>
  <c r="E127" i="22" s="1"/>
  <c r="D126" i="22"/>
  <c r="E126" i="22" s="1"/>
  <c r="D125" i="22"/>
  <c r="E125" i="22" s="1"/>
  <c r="D124" i="22"/>
  <c r="E124" i="22" s="1"/>
  <c r="D123" i="22"/>
  <c r="E123" i="22" s="1"/>
  <c r="D122" i="22"/>
  <c r="E122" i="22" s="1"/>
  <c r="D121" i="22"/>
  <c r="E121" i="22" s="1"/>
  <c r="D120" i="22"/>
  <c r="E120" i="22" s="1"/>
  <c r="D119" i="22"/>
  <c r="E119" i="22" s="1"/>
  <c r="D118" i="22"/>
  <c r="E118" i="22" s="1"/>
  <c r="D117" i="22"/>
  <c r="E117" i="22" s="1"/>
  <c r="D116" i="22"/>
  <c r="E116" i="22" s="1"/>
  <c r="D115" i="22"/>
  <c r="E115" i="22" s="1"/>
  <c r="L77" i="29" s="1"/>
  <c r="N102" i="22" a="1"/>
  <c r="N102" i="22" s="1"/>
  <c r="Q102" i="22" s="1"/>
  <c r="N101" i="22" a="1"/>
  <c r="N101" i="22" s="1"/>
  <c r="Q101" i="22" s="1"/>
  <c r="N99" i="22" a="1"/>
  <c r="N99" i="22" s="1"/>
  <c r="Q99" i="22" s="1"/>
  <c r="N98" i="22" a="1"/>
  <c r="N98" i="22" s="1"/>
  <c r="Q98" i="22" s="1"/>
  <c r="N97" i="22" a="1"/>
  <c r="N97" i="22" s="1"/>
  <c r="Q97" i="22" s="1"/>
  <c r="N96" i="22" a="1"/>
  <c r="N96" i="22" s="1"/>
  <c r="Q96" i="22" s="1"/>
  <c r="N95" i="22" a="1"/>
  <c r="N95" i="22" s="1"/>
  <c r="Q95" i="22" s="1"/>
  <c r="N94" i="22" a="1"/>
  <c r="N94" i="22" s="1"/>
  <c r="Q94" i="22" s="1"/>
  <c r="N93" i="22" a="1"/>
  <c r="N93" i="22" s="1"/>
  <c r="Q93" i="22" s="1"/>
  <c r="N92" i="22" a="1"/>
  <c r="N92" i="22" s="1"/>
  <c r="Q92" i="22" s="1"/>
  <c r="N91" i="22" a="1"/>
  <c r="N91" i="22" s="1"/>
  <c r="Q91" i="22" s="1"/>
  <c r="N90" i="22" a="1"/>
  <c r="N90" i="22" s="1"/>
  <c r="Q90" i="22" s="1"/>
  <c r="N89" i="22" a="1"/>
  <c r="N89" i="22" s="1"/>
  <c r="Q89" i="22" s="1"/>
  <c r="N88" i="22" a="1"/>
  <c r="N88" i="22" s="1"/>
  <c r="Q88" i="22" s="1"/>
  <c r="N87" i="22" a="1"/>
  <c r="N87" i="22" s="1"/>
  <c r="Q87" i="22" s="1"/>
  <c r="N86" i="22" a="1"/>
  <c r="N86" i="22" s="1"/>
  <c r="Q86" i="22" s="1"/>
  <c r="R84" i="22"/>
  <c r="N84" i="22" a="1"/>
  <c r="N84" i="22" s="1"/>
  <c r="Q84" i="22" s="1"/>
  <c r="R83" i="22"/>
  <c r="N83" i="22" a="1"/>
  <c r="N83" i="22" s="1"/>
  <c r="Q83" i="22" s="1"/>
  <c r="R82" i="22"/>
  <c r="N82" i="22" a="1"/>
  <c r="N82" i="22" s="1"/>
  <c r="Q82" i="22" s="1"/>
  <c r="R81" i="22"/>
  <c r="N81" i="22" a="1"/>
  <c r="N81" i="22" s="1"/>
  <c r="Q81" i="22" s="1"/>
  <c r="R80" i="22"/>
  <c r="N80" i="22" a="1"/>
  <c r="N80" i="22" s="1"/>
  <c r="Q80" i="22" s="1"/>
  <c r="R79" i="22"/>
  <c r="N79" i="22" a="1"/>
  <c r="N79" i="22" s="1"/>
  <c r="Q79" i="22" s="1"/>
  <c r="R78" i="22"/>
  <c r="N78" i="22" a="1"/>
  <c r="N78" i="22" s="1"/>
  <c r="Q78" i="22" s="1"/>
  <c r="R77" i="22"/>
  <c r="N77" i="22" a="1"/>
  <c r="N77" i="22" s="1"/>
  <c r="Q77" i="22" s="1"/>
  <c r="R76" i="22"/>
  <c r="N76" i="22" a="1"/>
  <c r="N76" i="22" s="1"/>
  <c r="Q76" i="22" s="1"/>
  <c r="R75" i="22"/>
  <c r="N75" i="22" a="1"/>
  <c r="N75" i="22" s="1"/>
  <c r="Q75" i="22" s="1"/>
  <c r="R74" i="22"/>
  <c r="N74" i="22" a="1"/>
  <c r="N74" i="22" s="1"/>
  <c r="Q74" i="22" s="1"/>
  <c r="R73" i="22"/>
  <c r="N73" i="22" a="1"/>
  <c r="N73" i="22" s="1"/>
  <c r="Q73" i="22" s="1"/>
  <c r="R72" i="22"/>
  <c r="N72" i="22" a="1"/>
  <c r="N72" i="22" s="1"/>
  <c r="Q72" i="22" s="1"/>
  <c r="R71" i="22"/>
  <c r="N71" i="22" a="1"/>
  <c r="N71" i="22" s="1"/>
  <c r="Q71" i="22" s="1"/>
  <c r="R70" i="22"/>
  <c r="N70" i="22" a="1"/>
  <c r="N70" i="22" s="1"/>
  <c r="Q70" i="22" s="1"/>
  <c r="R69" i="22"/>
  <c r="N69" i="22" a="1"/>
  <c r="N69" i="22" s="1"/>
  <c r="Q69" i="22" s="1"/>
  <c r="R68" i="22"/>
  <c r="N68" i="22" a="1"/>
  <c r="N68" i="22" s="1"/>
  <c r="Q68" i="22" s="1"/>
  <c r="R67" i="22"/>
  <c r="N67" i="22" a="1"/>
  <c r="N67" i="22" s="1"/>
  <c r="Q67" i="22" s="1"/>
  <c r="R66" i="22"/>
  <c r="N66" i="22" a="1"/>
  <c r="N66" i="22" s="1"/>
  <c r="Q66" i="22" s="1"/>
  <c r="R65" i="22"/>
  <c r="N65" i="22" a="1"/>
  <c r="N65" i="22" s="1"/>
  <c r="Q65" i="22" s="1"/>
  <c r="R64" i="22"/>
  <c r="N64" i="22" a="1"/>
  <c r="N64" i="22" s="1"/>
  <c r="Q64" i="22" s="1"/>
  <c r="R63" i="22"/>
  <c r="N63" i="22" a="1"/>
  <c r="N63" i="22" s="1"/>
  <c r="Q63" i="22" s="1"/>
  <c r="R62" i="22"/>
  <c r="N62" i="22" a="1"/>
  <c r="N62" i="22" s="1"/>
  <c r="Q62" i="22" s="1"/>
  <c r="R61" i="22"/>
  <c r="N61" i="22" a="1"/>
  <c r="N61" i="22" s="1"/>
  <c r="Q61" i="22" s="1"/>
  <c r="N54" i="22" a="1"/>
  <c r="N54" i="22" s="1"/>
  <c r="N47" i="22" a="1"/>
  <c r="N47" i="22" s="1"/>
  <c r="P47" i="22" s="1"/>
  <c r="N46" i="22" a="1"/>
  <c r="N46" i="22" s="1"/>
  <c r="P46" i="22" s="1"/>
  <c r="N45" i="22" a="1"/>
  <c r="N45" i="22" s="1"/>
  <c r="P45" i="22" s="1"/>
  <c r="N44" i="22" a="1"/>
  <c r="N44" i="22" s="1"/>
  <c r="P44" i="22" s="1"/>
  <c r="N43" i="22" a="1"/>
  <c r="N43" i="22" s="1"/>
  <c r="P43" i="22" s="1"/>
  <c r="N42" i="22" a="1"/>
  <c r="N42" i="22" s="1"/>
  <c r="P42" i="22" s="1"/>
  <c r="N41" i="22" a="1"/>
  <c r="N41" i="22" s="1"/>
  <c r="P41" i="22" s="1"/>
  <c r="N40" i="22" a="1"/>
  <c r="N40" i="22" s="1"/>
  <c r="P40" i="22" s="1"/>
  <c r="N39" i="22" a="1"/>
  <c r="N39" i="22" s="1"/>
  <c r="P39" i="22" s="1"/>
  <c r="N38" i="22" a="1"/>
  <c r="N38" i="22" s="1"/>
  <c r="P38" i="22" s="1"/>
  <c r="N37" i="22" a="1"/>
  <c r="N37" i="22" s="1"/>
  <c r="P37" i="22" s="1"/>
  <c r="N36" i="22" a="1"/>
  <c r="N36" i="22" s="1"/>
  <c r="P36" i="22" s="1"/>
  <c r="N35" i="22" a="1"/>
  <c r="N35" i="22" s="1"/>
  <c r="P35" i="22" s="1"/>
  <c r="N34" i="22" a="1"/>
  <c r="N34" i="22" s="1"/>
  <c r="P34" i="22" s="1"/>
  <c r="N33" i="22" a="1"/>
  <c r="N33" i="22" s="1"/>
  <c r="P33" i="22" s="1"/>
  <c r="N32" i="22" a="1"/>
  <c r="N32" i="22" s="1"/>
  <c r="P32" i="22" s="1"/>
  <c r="N31" i="22" a="1"/>
  <c r="N31" i="22" s="1"/>
  <c r="P31" i="22" s="1"/>
  <c r="N30" i="22" a="1"/>
  <c r="N30" i="22" s="1"/>
  <c r="P30" i="22" s="1"/>
  <c r="N29" i="22" a="1"/>
  <c r="N29" i="22" s="1"/>
  <c r="P29" i="22" s="1"/>
  <c r="N28" i="22" a="1"/>
  <c r="N28" i="22" s="1"/>
  <c r="P28" i="22" s="1"/>
  <c r="N27" i="22" a="1"/>
  <c r="N27" i="22" s="1"/>
  <c r="P27" i="22" s="1"/>
  <c r="N26" i="22" a="1"/>
  <c r="N26" i="22" s="1"/>
  <c r="P26" i="22" s="1"/>
  <c r="N25" i="22" a="1"/>
  <c r="N25" i="22" s="1"/>
  <c r="P25" i="22" s="1"/>
  <c r="N24" i="22" a="1"/>
  <c r="N24" i="22" s="1"/>
  <c r="P24" i="22" s="1"/>
  <c r="N23" i="22" a="1"/>
  <c r="N23" i="22" s="1"/>
  <c r="P23" i="22" s="1"/>
  <c r="N22" i="22" a="1"/>
  <c r="N22" i="22" s="1"/>
  <c r="P22" i="22" s="1"/>
  <c r="N21" i="22" a="1"/>
  <c r="N21" i="22" s="1"/>
  <c r="P21" i="22" s="1"/>
  <c r="L16" i="22"/>
  <c r="K16" i="22"/>
  <c r="J16" i="22"/>
  <c r="I16" i="22"/>
  <c r="H16" i="22"/>
  <c r="G16" i="22"/>
  <c r="F16" i="22"/>
  <c r="L13" i="22"/>
  <c r="K13" i="22"/>
  <c r="J13" i="22"/>
  <c r="I13" i="22"/>
  <c r="H13" i="22"/>
  <c r="G13" i="22"/>
  <c r="F13" i="22"/>
  <c r="I14" i="22"/>
  <c r="L11" i="22"/>
  <c r="K11" i="22"/>
  <c r="J11" i="22"/>
  <c r="I11" i="22"/>
  <c r="H11" i="22"/>
  <c r="G11" i="22"/>
  <c r="F11" i="22"/>
  <c r="L7" i="22"/>
  <c r="K7" i="22"/>
  <c r="J7" i="22"/>
  <c r="I7" i="22"/>
  <c r="H7" i="22"/>
  <c r="G7" i="22"/>
  <c r="F7" i="22"/>
  <c r="L176" i="21"/>
  <c r="K176" i="21"/>
  <c r="J176" i="21"/>
  <c r="I176" i="21"/>
  <c r="G176" i="21"/>
  <c r="F176" i="21"/>
  <c r="D176" i="21"/>
  <c r="E176" i="21" s="1"/>
  <c r="L175" i="21"/>
  <c r="K175" i="21"/>
  <c r="J175" i="21"/>
  <c r="I175" i="21"/>
  <c r="G175" i="21"/>
  <c r="F175" i="21"/>
  <c r="D175" i="21"/>
  <c r="E175" i="21" s="1"/>
  <c r="L174" i="21"/>
  <c r="K174" i="21"/>
  <c r="J174" i="21"/>
  <c r="I174" i="21"/>
  <c r="G174" i="21"/>
  <c r="F174" i="21"/>
  <c r="D174" i="21"/>
  <c r="E174" i="21" s="1"/>
  <c r="L173" i="21"/>
  <c r="K173" i="21"/>
  <c r="J173" i="21"/>
  <c r="I173" i="21"/>
  <c r="G173" i="21"/>
  <c r="F173" i="21"/>
  <c r="D173" i="21"/>
  <c r="E173" i="21" s="1"/>
  <c r="L172" i="21"/>
  <c r="K172" i="21"/>
  <c r="J172" i="21"/>
  <c r="I172" i="21"/>
  <c r="G172" i="21"/>
  <c r="F172" i="21"/>
  <c r="D172" i="21"/>
  <c r="E172" i="21" s="1"/>
  <c r="L171" i="21"/>
  <c r="K171" i="21"/>
  <c r="J171" i="21"/>
  <c r="I171" i="21"/>
  <c r="G171" i="21"/>
  <c r="F171" i="21"/>
  <c r="D171" i="21"/>
  <c r="E171" i="21" s="1"/>
  <c r="L170" i="21"/>
  <c r="K170" i="21"/>
  <c r="J170" i="21"/>
  <c r="I170" i="21"/>
  <c r="G170" i="21"/>
  <c r="F170" i="21"/>
  <c r="D170" i="21"/>
  <c r="E170" i="21" s="1"/>
  <c r="L169" i="21"/>
  <c r="K169" i="21"/>
  <c r="J169" i="21"/>
  <c r="I169" i="21"/>
  <c r="G169" i="21"/>
  <c r="F169" i="21"/>
  <c r="D169" i="21"/>
  <c r="E169" i="21" s="1"/>
  <c r="L168" i="21"/>
  <c r="K168" i="21"/>
  <c r="J168" i="21"/>
  <c r="I168" i="21"/>
  <c r="G168" i="21"/>
  <c r="F168" i="21"/>
  <c r="D168" i="21"/>
  <c r="E168" i="21" s="1"/>
  <c r="L167" i="21"/>
  <c r="K167" i="21"/>
  <c r="J167" i="21"/>
  <c r="I167" i="21"/>
  <c r="G167" i="21"/>
  <c r="F167" i="21"/>
  <c r="D167" i="21"/>
  <c r="E167" i="21" s="1"/>
  <c r="L166" i="21"/>
  <c r="K166" i="21"/>
  <c r="J166" i="21"/>
  <c r="I166" i="21"/>
  <c r="G166" i="21"/>
  <c r="F166" i="21"/>
  <c r="D166" i="21"/>
  <c r="E166" i="21" s="1"/>
  <c r="L165" i="21"/>
  <c r="K165" i="21"/>
  <c r="J165" i="21"/>
  <c r="I165" i="21"/>
  <c r="G165" i="21"/>
  <c r="F165" i="21"/>
  <c r="D165" i="21"/>
  <c r="E165" i="21" s="1"/>
  <c r="L164" i="21"/>
  <c r="K164" i="21"/>
  <c r="J164" i="21"/>
  <c r="I164" i="21"/>
  <c r="G164" i="21"/>
  <c r="F164" i="21"/>
  <c r="D164" i="21"/>
  <c r="E164" i="21" s="1"/>
  <c r="L163" i="21"/>
  <c r="K163" i="21"/>
  <c r="J163" i="21"/>
  <c r="I163" i="21"/>
  <c r="G163" i="21"/>
  <c r="F163" i="21"/>
  <c r="D163" i="21"/>
  <c r="E163" i="21" s="1"/>
  <c r="L162" i="21"/>
  <c r="K162" i="21"/>
  <c r="J162" i="21"/>
  <c r="I162" i="21"/>
  <c r="G162" i="21"/>
  <c r="F162" i="21"/>
  <c r="D162" i="21"/>
  <c r="E162" i="21" s="1"/>
  <c r="L161" i="21"/>
  <c r="K161" i="21"/>
  <c r="J161" i="21"/>
  <c r="I161" i="21"/>
  <c r="G161" i="21"/>
  <c r="F161" i="21"/>
  <c r="D161" i="21"/>
  <c r="E161" i="21" s="1"/>
  <c r="L160" i="21"/>
  <c r="K160" i="21"/>
  <c r="J160" i="21"/>
  <c r="I160" i="21"/>
  <c r="G160" i="21"/>
  <c r="F160" i="21"/>
  <c r="D160" i="21"/>
  <c r="E160" i="21" s="1"/>
  <c r="L159" i="21"/>
  <c r="K159" i="21"/>
  <c r="J159" i="21"/>
  <c r="I159" i="21"/>
  <c r="G159" i="21"/>
  <c r="F159" i="21"/>
  <c r="D159" i="21"/>
  <c r="E159" i="21" s="1"/>
  <c r="L158" i="21"/>
  <c r="K158" i="21"/>
  <c r="J158" i="21"/>
  <c r="I158" i="21"/>
  <c r="G158" i="21"/>
  <c r="F158" i="21"/>
  <c r="D158" i="21"/>
  <c r="E158" i="21" s="1"/>
  <c r="L157" i="21"/>
  <c r="K157" i="21"/>
  <c r="J157" i="21"/>
  <c r="I157" i="21"/>
  <c r="G157" i="21"/>
  <c r="F157" i="21"/>
  <c r="D157" i="21"/>
  <c r="E157" i="21" s="1"/>
  <c r="L156" i="21"/>
  <c r="K156" i="21"/>
  <c r="J156" i="21"/>
  <c r="I156" i="21"/>
  <c r="G156" i="21"/>
  <c r="F156" i="21"/>
  <c r="D156" i="21"/>
  <c r="E156" i="21" s="1"/>
  <c r="L155" i="21"/>
  <c r="K155" i="21"/>
  <c r="J155" i="21"/>
  <c r="I155" i="21"/>
  <c r="G155" i="21"/>
  <c r="F155" i="21"/>
  <c r="D155" i="21"/>
  <c r="E155" i="21" s="1"/>
  <c r="L154" i="21"/>
  <c r="K154" i="21"/>
  <c r="J154" i="21"/>
  <c r="I154" i="21"/>
  <c r="G154" i="21"/>
  <c r="F154" i="21"/>
  <c r="D154" i="21"/>
  <c r="E154" i="21" s="1"/>
  <c r="L153" i="21"/>
  <c r="K153" i="21"/>
  <c r="J153" i="21"/>
  <c r="I153" i="21"/>
  <c r="G153" i="21"/>
  <c r="F153" i="21"/>
  <c r="D153" i="21"/>
  <c r="E153" i="21" s="1"/>
  <c r="R54" i="21"/>
  <c r="D146" i="21"/>
  <c r="E146" i="21" s="1"/>
  <c r="D145" i="21"/>
  <c r="D143" i="21"/>
  <c r="E143" i="21" s="1"/>
  <c r="D142" i="21"/>
  <c r="E142" i="21" s="1"/>
  <c r="D141" i="21"/>
  <c r="E141" i="21" s="1"/>
  <c r="D140" i="21"/>
  <c r="E140" i="21" s="1"/>
  <c r="D139" i="21"/>
  <c r="E139" i="21" s="1"/>
  <c r="D138" i="21"/>
  <c r="E138" i="21" s="1"/>
  <c r="D137" i="21"/>
  <c r="E137" i="21" s="1"/>
  <c r="D136" i="21"/>
  <c r="E136" i="21" s="1"/>
  <c r="D135" i="21"/>
  <c r="E135" i="21" s="1"/>
  <c r="D134" i="21"/>
  <c r="E134" i="21" s="1"/>
  <c r="D133" i="21"/>
  <c r="E133" i="21" s="1"/>
  <c r="D132" i="21"/>
  <c r="E132" i="21" s="1"/>
  <c r="D131" i="21"/>
  <c r="E131" i="21" s="1"/>
  <c r="D130" i="21"/>
  <c r="E130" i="21" s="1"/>
  <c r="D129" i="21"/>
  <c r="E129" i="21" s="1"/>
  <c r="D128" i="21"/>
  <c r="E128" i="21" s="1"/>
  <c r="D127" i="21"/>
  <c r="E127" i="21" s="1"/>
  <c r="D126" i="21"/>
  <c r="E126" i="21" s="1"/>
  <c r="D125" i="21"/>
  <c r="E125" i="21" s="1"/>
  <c r="D124" i="21"/>
  <c r="E124" i="21" s="1"/>
  <c r="D123" i="21"/>
  <c r="E123" i="21" s="1"/>
  <c r="D122" i="21"/>
  <c r="E122" i="21" s="1"/>
  <c r="D121" i="21"/>
  <c r="E121" i="21" s="1"/>
  <c r="D120" i="21"/>
  <c r="E120" i="21" s="1"/>
  <c r="D119" i="21"/>
  <c r="E119" i="21" s="1"/>
  <c r="D118" i="21"/>
  <c r="E118" i="21" s="1"/>
  <c r="D117" i="21"/>
  <c r="E117" i="21" s="1"/>
  <c r="D116" i="21"/>
  <c r="E116" i="21" s="1"/>
  <c r="D115" i="21"/>
  <c r="E115" i="21" s="1"/>
  <c r="M77" i="29" s="1"/>
  <c r="N102" i="21" a="1"/>
  <c r="N102" i="21" s="1"/>
  <c r="Q102" i="21" s="1"/>
  <c r="N101" i="21" a="1"/>
  <c r="N101" i="21" s="1"/>
  <c r="Q101" i="21" s="1"/>
  <c r="N99" i="21" a="1"/>
  <c r="N99" i="21" s="1"/>
  <c r="Q99" i="21" s="1"/>
  <c r="N98" i="21" a="1"/>
  <c r="N98" i="21" s="1"/>
  <c r="Q98" i="21" s="1"/>
  <c r="N97" i="21" a="1"/>
  <c r="N97" i="21" s="1"/>
  <c r="Q97" i="21" s="1"/>
  <c r="N96" i="21" a="1"/>
  <c r="N96" i="21" s="1"/>
  <c r="Q96" i="21" s="1"/>
  <c r="N95" i="21" a="1"/>
  <c r="N95" i="21" s="1"/>
  <c r="Q95" i="21" s="1"/>
  <c r="N94" i="21" a="1"/>
  <c r="N94" i="21" s="1"/>
  <c r="Q94" i="21" s="1"/>
  <c r="N93" i="21" a="1"/>
  <c r="N93" i="21" s="1"/>
  <c r="Q93" i="21" s="1"/>
  <c r="N92" i="21" a="1"/>
  <c r="N92" i="21" s="1"/>
  <c r="Q92" i="21" s="1"/>
  <c r="N91" i="21" a="1"/>
  <c r="N91" i="21" s="1"/>
  <c r="Q91" i="21" s="1"/>
  <c r="N90" i="21" a="1"/>
  <c r="N90" i="21" s="1"/>
  <c r="Q90" i="21" s="1"/>
  <c r="N89" i="21" a="1"/>
  <c r="N89" i="21" s="1"/>
  <c r="Q89" i="21" s="1"/>
  <c r="N88" i="21" a="1"/>
  <c r="N88" i="21" s="1"/>
  <c r="Q88" i="21" s="1"/>
  <c r="N87" i="21" a="1"/>
  <c r="N87" i="21" s="1"/>
  <c r="Q87" i="21" s="1"/>
  <c r="N86" i="21" a="1"/>
  <c r="N86" i="21" s="1"/>
  <c r="Q86" i="21" s="1"/>
  <c r="R84" i="21"/>
  <c r="N84" i="21" a="1"/>
  <c r="N84" i="21" s="1"/>
  <c r="Q84" i="21" s="1"/>
  <c r="R83" i="21"/>
  <c r="N83" i="21" a="1"/>
  <c r="N83" i="21" s="1"/>
  <c r="Q83" i="21" s="1"/>
  <c r="R82" i="21"/>
  <c r="N82" i="21" a="1"/>
  <c r="N82" i="21" s="1"/>
  <c r="Q82" i="21" s="1"/>
  <c r="R81" i="21"/>
  <c r="N81" i="21" a="1"/>
  <c r="N81" i="21" s="1"/>
  <c r="Q81" i="21" s="1"/>
  <c r="R80" i="21"/>
  <c r="N80" i="21" a="1"/>
  <c r="N80" i="21" s="1"/>
  <c r="Q80" i="21" s="1"/>
  <c r="R79" i="21"/>
  <c r="N79" i="21" a="1"/>
  <c r="N79" i="21" s="1"/>
  <c r="Q79" i="21" s="1"/>
  <c r="R78" i="21"/>
  <c r="N78" i="21" a="1"/>
  <c r="N78" i="21" s="1"/>
  <c r="Q78" i="21" s="1"/>
  <c r="R77" i="21"/>
  <c r="N77" i="21" a="1"/>
  <c r="N77" i="21" s="1"/>
  <c r="Q77" i="21" s="1"/>
  <c r="R76" i="21"/>
  <c r="N76" i="21" a="1"/>
  <c r="N76" i="21" s="1"/>
  <c r="Q76" i="21" s="1"/>
  <c r="R75" i="21"/>
  <c r="N75" i="21" a="1"/>
  <c r="N75" i="21" s="1"/>
  <c r="Q75" i="21" s="1"/>
  <c r="R74" i="21"/>
  <c r="N74" i="21" a="1"/>
  <c r="N74" i="21" s="1"/>
  <c r="Q74" i="21" s="1"/>
  <c r="R73" i="21"/>
  <c r="N73" i="21" a="1"/>
  <c r="N73" i="21" s="1"/>
  <c r="Q73" i="21" s="1"/>
  <c r="R72" i="21"/>
  <c r="N72" i="21" a="1"/>
  <c r="N72" i="21" s="1"/>
  <c r="Q72" i="21" s="1"/>
  <c r="R71" i="21"/>
  <c r="N71" i="21" a="1"/>
  <c r="N71" i="21" s="1"/>
  <c r="Q71" i="21" s="1"/>
  <c r="R70" i="21"/>
  <c r="N70" i="21" a="1"/>
  <c r="N70" i="21" s="1"/>
  <c r="Q70" i="21" s="1"/>
  <c r="R69" i="21"/>
  <c r="N69" i="21" a="1"/>
  <c r="N69" i="21" s="1"/>
  <c r="Q69" i="21" s="1"/>
  <c r="R68" i="21"/>
  <c r="N68" i="21" a="1"/>
  <c r="N68" i="21" s="1"/>
  <c r="Q68" i="21" s="1"/>
  <c r="R67" i="21"/>
  <c r="N67" i="21" a="1"/>
  <c r="N67" i="21" s="1"/>
  <c r="Q67" i="21" s="1"/>
  <c r="R66" i="21"/>
  <c r="N66" i="21" a="1"/>
  <c r="N66" i="21" s="1"/>
  <c r="Q66" i="21" s="1"/>
  <c r="R65" i="21"/>
  <c r="N65" i="21" a="1"/>
  <c r="N65" i="21" s="1"/>
  <c r="Q65" i="21" s="1"/>
  <c r="R64" i="21"/>
  <c r="N64" i="21" a="1"/>
  <c r="N64" i="21" s="1"/>
  <c r="Q64" i="21" s="1"/>
  <c r="R63" i="21"/>
  <c r="N63" i="21" a="1"/>
  <c r="N63" i="21" s="1"/>
  <c r="Q63" i="21" s="1"/>
  <c r="R62" i="21"/>
  <c r="N62" i="21" a="1"/>
  <c r="N62" i="21" s="1"/>
  <c r="Q62" i="21" s="1"/>
  <c r="R61" i="21"/>
  <c r="N61" i="21" a="1"/>
  <c r="N61" i="21" s="1"/>
  <c r="Q61" i="21" s="1"/>
  <c r="N54" i="21" a="1"/>
  <c r="N54" i="21" s="1"/>
  <c r="R51" i="21" s="1"/>
  <c r="N47" i="21" a="1"/>
  <c r="N47" i="21" s="1"/>
  <c r="P47" i="21" s="1"/>
  <c r="N46" i="21" a="1"/>
  <c r="N46" i="21" s="1"/>
  <c r="P46" i="21" s="1"/>
  <c r="N45" i="21" a="1"/>
  <c r="N45" i="21" s="1"/>
  <c r="P45" i="21" s="1"/>
  <c r="N44" i="21" a="1"/>
  <c r="N44" i="21" s="1"/>
  <c r="P44" i="21" s="1"/>
  <c r="N43" i="21" a="1"/>
  <c r="N43" i="21" s="1"/>
  <c r="P43" i="21" s="1"/>
  <c r="N42" i="21" a="1"/>
  <c r="N42" i="21" s="1"/>
  <c r="P42" i="21" s="1"/>
  <c r="N41" i="21" a="1"/>
  <c r="N41" i="21" s="1"/>
  <c r="P41" i="21" s="1"/>
  <c r="N40" i="21" a="1"/>
  <c r="N40" i="21" s="1"/>
  <c r="P40" i="21" s="1"/>
  <c r="N39" i="21" a="1"/>
  <c r="N39" i="21" s="1"/>
  <c r="P39" i="21" s="1"/>
  <c r="N38" i="21" a="1"/>
  <c r="N38" i="21" s="1"/>
  <c r="P38" i="21" s="1"/>
  <c r="N37" i="21" a="1"/>
  <c r="N37" i="21" s="1"/>
  <c r="P37" i="21" s="1"/>
  <c r="N36" i="21" a="1"/>
  <c r="N36" i="21" s="1"/>
  <c r="P36" i="21" s="1"/>
  <c r="N35" i="21" a="1"/>
  <c r="N35" i="21" s="1"/>
  <c r="P35" i="21" s="1"/>
  <c r="N34" i="21" a="1"/>
  <c r="N34" i="21" s="1"/>
  <c r="P34" i="21" s="1"/>
  <c r="N33" i="21" a="1"/>
  <c r="N33" i="21" s="1"/>
  <c r="P33" i="21" s="1"/>
  <c r="N32" i="21" a="1"/>
  <c r="N32" i="21" s="1"/>
  <c r="P32" i="21" s="1"/>
  <c r="N31" i="21" a="1"/>
  <c r="N31" i="21" s="1"/>
  <c r="P31" i="21" s="1"/>
  <c r="N30" i="21" a="1"/>
  <c r="N30" i="21" s="1"/>
  <c r="P30" i="21" s="1"/>
  <c r="N29" i="21" a="1"/>
  <c r="N29" i="21" s="1"/>
  <c r="P29" i="21" s="1"/>
  <c r="N28" i="21" a="1"/>
  <c r="N28" i="21" s="1"/>
  <c r="P28" i="21" s="1"/>
  <c r="N27" i="21" a="1"/>
  <c r="N27" i="21" s="1"/>
  <c r="P27" i="21" s="1"/>
  <c r="N26" i="21" a="1"/>
  <c r="N26" i="21" s="1"/>
  <c r="P26" i="21" s="1"/>
  <c r="N25" i="21" a="1"/>
  <c r="N25" i="21" s="1"/>
  <c r="P25" i="21" s="1"/>
  <c r="N24" i="21" a="1"/>
  <c r="N24" i="21" s="1"/>
  <c r="P24" i="21" s="1"/>
  <c r="N23" i="21" a="1"/>
  <c r="N23" i="21" s="1"/>
  <c r="P23" i="21" s="1"/>
  <c r="N22" i="21" a="1"/>
  <c r="N22" i="21" s="1"/>
  <c r="P22" i="21" s="1"/>
  <c r="N21" i="21" a="1"/>
  <c r="N21" i="21" s="1"/>
  <c r="P21" i="21" s="1"/>
  <c r="L16" i="21"/>
  <c r="K16" i="21"/>
  <c r="J16" i="21"/>
  <c r="I16" i="21"/>
  <c r="H16" i="21"/>
  <c r="G16" i="21"/>
  <c r="F16" i="21"/>
  <c r="L13" i="21"/>
  <c r="K13" i="21"/>
  <c r="J13" i="21"/>
  <c r="I13" i="21"/>
  <c r="H13" i="21"/>
  <c r="G13" i="21"/>
  <c r="F13" i="21"/>
  <c r="L11" i="21"/>
  <c r="K11" i="21"/>
  <c r="J11" i="21"/>
  <c r="I11" i="21"/>
  <c r="H11" i="21"/>
  <c r="G11" i="21"/>
  <c r="F11" i="21"/>
  <c r="L7" i="21"/>
  <c r="K7" i="21"/>
  <c r="J7" i="21"/>
  <c r="I7" i="21"/>
  <c r="H7" i="21"/>
  <c r="G7" i="21"/>
  <c r="F7" i="21"/>
  <c r="H8" i="21"/>
  <c r="L176" i="20"/>
  <c r="K176" i="20"/>
  <c r="J176" i="20"/>
  <c r="I176" i="20"/>
  <c r="G176" i="20"/>
  <c r="F176" i="20"/>
  <c r="D176" i="20"/>
  <c r="E176" i="20" s="1"/>
  <c r="L175" i="20"/>
  <c r="K175" i="20"/>
  <c r="J175" i="20"/>
  <c r="I175" i="20"/>
  <c r="G175" i="20"/>
  <c r="F175" i="20"/>
  <c r="D175" i="20"/>
  <c r="E175" i="20" s="1"/>
  <c r="L174" i="20"/>
  <c r="K174" i="20"/>
  <c r="J174" i="20"/>
  <c r="I174" i="20"/>
  <c r="G174" i="20"/>
  <c r="F174" i="20"/>
  <c r="D174" i="20"/>
  <c r="E174" i="20" s="1"/>
  <c r="L173" i="20"/>
  <c r="K173" i="20"/>
  <c r="J173" i="20"/>
  <c r="I173" i="20"/>
  <c r="G173" i="20"/>
  <c r="F173" i="20"/>
  <c r="D173" i="20"/>
  <c r="E173" i="20" s="1"/>
  <c r="L172" i="20"/>
  <c r="K172" i="20"/>
  <c r="J172" i="20"/>
  <c r="I172" i="20"/>
  <c r="G172" i="20"/>
  <c r="F172" i="20"/>
  <c r="D172" i="20"/>
  <c r="E172" i="20" s="1"/>
  <c r="L171" i="20"/>
  <c r="K171" i="20"/>
  <c r="J171" i="20"/>
  <c r="I171" i="20"/>
  <c r="G171" i="20"/>
  <c r="F171" i="20"/>
  <c r="D171" i="20"/>
  <c r="E171" i="20" s="1"/>
  <c r="L170" i="20"/>
  <c r="K170" i="20"/>
  <c r="J170" i="20"/>
  <c r="I170" i="20"/>
  <c r="G170" i="20"/>
  <c r="F170" i="20"/>
  <c r="D170" i="20"/>
  <c r="E170" i="20" s="1"/>
  <c r="L169" i="20"/>
  <c r="K169" i="20"/>
  <c r="J169" i="20"/>
  <c r="I169" i="20"/>
  <c r="G169" i="20"/>
  <c r="F169" i="20"/>
  <c r="D169" i="20"/>
  <c r="E169" i="20" s="1"/>
  <c r="L168" i="20"/>
  <c r="K168" i="20"/>
  <c r="J168" i="20"/>
  <c r="I168" i="20"/>
  <c r="G168" i="20"/>
  <c r="F168" i="20"/>
  <c r="D168" i="20"/>
  <c r="E168" i="20" s="1"/>
  <c r="L167" i="20"/>
  <c r="K167" i="20"/>
  <c r="J167" i="20"/>
  <c r="I167" i="20"/>
  <c r="G167" i="20"/>
  <c r="F167" i="20"/>
  <c r="D167" i="20"/>
  <c r="E167" i="20" s="1"/>
  <c r="L166" i="20"/>
  <c r="K166" i="20"/>
  <c r="J166" i="20"/>
  <c r="I166" i="20"/>
  <c r="G166" i="20"/>
  <c r="F166" i="20"/>
  <c r="D166" i="20"/>
  <c r="E166" i="20" s="1"/>
  <c r="L165" i="20"/>
  <c r="K165" i="20"/>
  <c r="J165" i="20"/>
  <c r="I165" i="20"/>
  <c r="G165" i="20"/>
  <c r="F165" i="20"/>
  <c r="D165" i="20"/>
  <c r="E165" i="20" s="1"/>
  <c r="L164" i="20"/>
  <c r="K164" i="20"/>
  <c r="J164" i="20"/>
  <c r="I164" i="20"/>
  <c r="G164" i="20"/>
  <c r="F164" i="20"/>
  <c r="D164" i="20"/>
  <c r="E164" i="20" s="1"/>
  <c r="L163" i="20"/>
  <c r="K163" i="20"/>
  <c r="J163" i="20"/>
  <c r="I163" i="20"/>
  <c r="G163" i="20"/>
  <c r="F163" i="20"/>
  <c r="D163" i="20"/>
  <c r="E163" i="20" s="1"/>
  <c r="L162" i="20"/>
  <c r="K162" i="20"/>
  <c r="J162" i="20"/>
  <c r="I162" i="20"/>
  <c r="G162" i="20"/>
  <c r="F162" i="20"/>
  <c r="D162" i="20"/>
  <c r="E162" i="20" s="1"/>
  <c r="L161" i="20"/>
  <c r="K161" i="20"/>
  <c r="J161" i="20"/>
  <c r="I161" i="20"/>
  <c r="G161" i="20"/>
  <c r="F161" i="20"/>
  <c r="D161" i="20"/>
  <c r="E161" i="20" s="1"/>
  <c r="L160" i="20"/>
  <c r="K160" i="20"/>
  <c r="J160" i="20"/>
  <c r="I160" i="20"/>
  <c r="G160" i="20"/>
  <c r="F160" i="20"/>
  <c r="D160" i="20"/>
  <c r="E160" i="20" s="1"/>
  <c r="L159" i="20"/>
  <c r="K159" i="20"/>
  <c r="J159" i="20"/>
  <c r="I159" i="20"/>
  <c r="G159" i="20"/>
  <c r="F159" i="20"/>
  <c r="D159" i="20"/>
  <c r="E159" i="20" s="1"/>
  <c r="L158" i="20"/>
  <c r="K158" i="20"/>
  <c r="J158" i="20"/>
  <c r="I158" i="20"/>
  <c r="G158" i="20"/>
  <c r="F158" i="20"/>
  <c r="D158" i="20"/>
  <c r="E158" i="20" s="1"/>
  <c r="L157" i="20"/>
  <c r="K157" i="20"/>
  <c r="J157" i="20"/>
  <c r="I157" i="20"/>
  <c r="G157" i="20"/>
  <c r="F157" i="20"/>
  <c r="D157" i="20"/>
  <c r="E157" i="20" s="1"/>
  <c r="L156" i="20"/>
  <c r="K156" i="20"/>
  <c r="J156" i="20"/>
  <c r="I156" i="20"/>
  <c r="G156" i="20"/>
  <c r="F156" i="20"/>
  <c r="D156" i="20"/>
  <c r="E156" i="20" s="1"/>
  <c r="L155" i="20"/>
  <c r="K155" i="20"/>
  <c r="J155" i="20"/>
  <c r="I155" i="20"/>
  <c r="G155" i="20"/>
  <c r="F155" i="20"/>
  <c r="D155" i="20"/>
  <c r="E155" i="20" s="1"/>
  <c r="L154" i="20"/>
  <c r="K154" i="20"/>
  <c r="J154" i="20"/>
  <c r="I154" i="20"/>
  <c r="G154" i="20"/>
  <c r="F154" i="20"/>
  <c r="D154" i="20"/>
  <c r="E154" i="20" s="1"/>
  <c r="L153" i="20"/>
  <c r="K153" i="20"/>
  <c r="J153" i="20"/>
  <c r="I153" i="20"/>
  <c r="G153" i="20"/>
  <c r="F153" i="20"/>
  <c r="D153" i="20"/>
  <c r="E153" i="20" s="1"/>
  <c r="R54" i="20"/>
  <c r="D146" i="20"/>
  <c r="E146" i="20" s="1"/>
  <c r="D145" i="20"/>
  <c r="D143" i="20"/>
  <c r="E143" i="20" s="1"/>
  <c r="D142" i="20"/>
  <c r="E142" i="20" s="1"/>
  <c r="D141" i="20"/>
  <c r="E141" i="20" s="1"/>
  <c r="D140" i="20"/>
  <c r="E140" i="20" s="1"/>
  <c r="D139" i="20"/>
  <c r="E139" i="20" s="1"/>
  <c r="D138" i="20"/>
  <c r="E138" i="20" s="1"/>
  <c r="D137" i="20"/>
  <c r="E137" i="20" s="1"/>
  <c r="D136" i="20"/>
  <c r="E136" i="20" s="1"/>
  <c r="D135" i="20"/>
  <c r="E135" i="20" s="1"/>
  <c r="D134" i="20"/>
  <c r="E134" i="20" s="1"/>
  <c r="D133" i="20"/>
  <c r="E133" i="20" s="1"/>
  <c r="D132" i="20"/>
  <c r="E132" i="20" s="1"/>
  <c r="D131" i="20"/>
  <c r="E131" i="20" s="1"/>
  <c r="D130" i="20"/>
  <c r="E130" i="20" s="1"/>
  <c r="D129" i="20"/>
  <c r="E129" i="20" s="1"/>
  <c r="D128" i="20"/>
  <c r="E128" i="20" s="1"/>
  <c r="D127" i="20"/>
  <c r="E127" i="20" s="1"/>
  <c r="D126" i="20"/>
  <c r="E126" i="20" s="1"/>
  <c r="D125" i="20"/>
  <c r="E125" i="20" s="1"/>
  <c r="D124" i="20"/>
  <c r="E124" i="20" s="1"/>
  <c r="D123" i="20"/>
  <c r="E123" i="20" s="1"/>
  <c r="D122" i="20"/>
  <c r="E122" i="20" s="1"/>
  <c r="D121" i="20"/>
  <c r="E121" i="20" s="1"/>
  <c r="D120" i="20"/>
  <c r="E120" i="20" s="1"/>
  <c r="D119" i="20"/>
  <c r="E119" i="20" s="1"/>
  <c r="D118" i="20"/>
  <c r="E118" i="20" s="1"/>
  <c r="D117" i="20"/>
  <c r="E117" i="20" s="1"/>
  <c r="D116" i="20"/>
  <c r="E116" i="20" s="1"/>
  <c r="D115" i="20"/>
  <c r="E115" i="20" s="1"/>
  <c r="N102" i="20" a="1"/>
  <c r="N102" i="20" s="1"/>
  <c r="Q102" i="20" s="1"/>
  <c r="N101" i="20" a="1"/>
  <c r="N101" i="20" s="1"/>
  <c r="Q101" i="20" s="1"/>
  <c r="N99" i="20" a="1"/>
  <c r="N99" i="20" s="1"/>
  <c r="Q99" i="20" s="1"/>
  <c r="N98" i="20" a="1"/>
  <c r="N98" i="20" s="1"/>
  <c r="Q98" i="20" s="1"/>
  <c r="N97" i="20" a="1"/>
  <c r="N97" i="20" s="1"/>
  <c r="Q97" i="20" s="1"/>
  <c r="N96" i="20" a="1"/>
  <c r="N96" i="20" s="1"/>
  <c r="Q96" i="20" s="1"/>
  <c r="N95" i="20" a="1"/>
  <c r="N95" i="20" s="1"/>
  <c r="Q95" i="20" s="1"/>
  <c r="N94" i="20" a="1"/>
  <c r="N94" i="20" s="1"/>
  <c r="Q94" i="20" s="1"/>
  <c r="N93" i="20" a="1"/>
  <c r="N93" i="20" s="1"/>
  <c r="Q93" i="20" s="1"/>
  <c r="N92" i="20" a="1"/>
  <c r="N92" i="20" s="1"/>
  <c r="Q92" i="20" s="1"/>
  <c r="N91" i="20" a="1"/>
  <c r="N91" i="20" s="1"/>
  <c r="Q91" i="20" s="1"/>
  <c r="N90" i="20" a="1"/>
  <c r="N90" i="20" s="1"/>
  <c r="Q90" i="20" s="1"/>
  <c r="N89" i="20" a="1"/>
  <c r="N89" i="20" s="1"/>
  <c r="Q89" i="20" s="1"/>
  <c r="N88" i="20" a="1"/>
  <c r="N88" i="20" s="1"/>
  <c r="Q88" i="20" s="1"/>
  <c r="N87" i="20" a="1"/>
  <c r="N87" i="20" s="1"/>
  <c r="Q87" i="20" s="1"/>
  <c r="N86" i="20" a="1"/>
  <c r="N86" i="20" s="1"/>
  <c r="Q86" i="20" s="1"/>
  <c r="R84" i="20"/>
  <c r="N84" i="20" a="1"/>
  <c r="N84" i="20" s="1"/>
  <c r="Q84" i="20" s="1"/>
  <c r="R83" i="20"/>
  <c r="N83" i="20" a="1"/>
  <c r="N83" i="20" s="1"/>
  <c r="Q83" i="20" s="1"/>
  <c r="R82" i="20"/>
  <c r="N82" i="20" a="1"/>
  <c r="N82" i="20" s="1"/>
  <c r="Q82" i="20" s="1"/>
  <c r="R81" i="20"/>
  <c r="N81" i="20" a="1"/>
  <c r="N81" i="20" s="1"/>
  <c r="Q81" i="20" s="1"/>
  <c r="R80" i="20"/>
  <c r="N80" i="20" a="1"/>
  <c r="N80" i="20" s="1"/>
  <c r="Q80" i="20" s="1"/>
  <c r="R79" i="20"/>
  <c r="N79" i="20" a="1"/>
  <c r="N79" i="20" s="1"/>
  <c r="Q79" i="20" s="1"/>
  <c r="R78" i="20"/>
  <c r="N78" i="20" a="1"/>
  <c r="N78" i="20" s="1"/>
  <c r="Q78" i="20" s="1"/>
  <c r="R77" i="20"/>
  <c r="N77" i="20" a="1"/>
  <c r="N77" i="20" s="1"/>
  <c r="Q77" i="20" s="1"/>
  <c r="R76" i="20"/>
  <c r="N76" i="20" a="1"/>
  <c r="N76" i="20" s="1"/>
  <c r="Q76" i="20" s="1"/>
  <c r="R75" i="20"/>
  <c r="N75" i="20" a="1"/>
  <c r="N75" i="20" s="1"/>
  <c r="Q75" i="20" s="1"/>
  <c r="R74" i="20"/>
  <c r="N74" i="20" a="1"/>
  <c r="N74" i="20" s="1"/>
  <c r="Q74" i="20" s="1"/>
  <c r="R73" i="20"/>
  <c r="N73" i="20" a="1"/>
  <c r="N73" i="20" s="1"/>
  <c r="Q73" i="20" s="1"/>
  <c r="R72" i="20"/>
  <c r="N72" i="20" a="1"/>
  <c r="N72" i="20" s="1"/>
  <c r="Q72" i="20" s="1"/>
  <c r="R71" i="20"/>
  <c r="N71" i="20" a="1"/>
  <c r="N71" i="20" s="1"/>
  <c r="Q71" i="20" s="1"/>
  <c r="R70" i="20"/>
  <c r="N70" i="20" a="1"/>
  <c r="N70" i="20" s="1"/>
  <c r="Q70" i="20" s="1"/>
  <c r="R69" i="20"/>
  <c r="N69" i="20" a="1"/>
  <c r="N69" i="20" s="1"/>
  <c r="Q69" i="20" s="1"/>
  <c r="R68" i="20"/>
  <c r="N68" i="20" a="1"/>
  <c r="N68" i="20" s="1"/>
  <c r="Q68" i="20" s="1"/>
  <c r="R67" i="20"/>
  <c r="N67" i="20" a="1"/>
  <c r="N67" i="20" s="1"/>
  <c r="Q67" i="20" s="1"/>
  <c r="R66" i="20"/>
  <c r="N66" i="20" a="1"/>
  <c r="N66" i="20" s="1"/>
  <c r="Q66" i="20" s="1"/>
  <c r="R65" i="20"/>
  <c r="N65" i="20" a="1"/>
  <c r="N65" i="20" s="1"/>
  <c r="Q65" i="20" s="1"/>
  <c r="R64" i="20"/>
  <c r="N64" i="20" a="1"/>
  <c r="N64" i="20" s="1"/>
  <c r="Q64" i="20" s="1"/>
  <c r="R63" i="20"/>
  <c r="N63" i="20" a="1"/>
  <c r="N63" i="20" s="1"/>
  <c r="Q63" i="20" s="1"/>
  <c r="R62" i="20"/>
  <c r="N62" i="20" a="1"/>
  <c r="N62" i="20" s="1"/>
  <c r="Q62" i="20" s="1"/>
  <c r="R61" i="20"/>
  <c r="N61" i="20" a="1"/>
  <c r="N61" i="20" s="1"/>
  <c r="Q61" i="20" s="1"/>
  <c r="N54" i="20" a="1"/>
  <c r="N54" i="20" s="1"/>
  <c r="N47" i="20" a="1"/>
  <c r="N47" i="20" s="1"/>
  <c r="P47" i="20" s="1"/>
  <c r="N46" i="20" a="1"/>
  <c r="N46" i="20" s="1"/>
  <c r="P46" i="20" s="1"/>
  <c r="N45" i="20" a="1"/>
  <c r="N45" i="20" s="1"/>
  <c r="P45" i="20" s="1"/>
  <c r="N44" i="20" a="1"/>
  <c r="N44" i="20" s="1"/>
  <c r="P44" i="20" s="1"/>
  <c r="N43" i="20" a="1"/>
  <c r="N43" i="20" s="1"/>
  <c r="P43" i="20" s="1"/>
  <c r="N42" i="20" a="1"/>
  <c r="N42" i="20" s="1"/>
  <c r="P42" i="20" s="1"/>
  <c r="N41" i="20" a="1"/>
  <c r="N41" i="20" s="1"/>
  <c r="P41" i="20" s="1"/>
  <c r="N40" i="20" a="1"/>
  <c r="N40" i="20" s="1"/>
  <c r="P40" i="20" s="1"/>
  <c r="N39" i="20" a="1"/>
  <c r="N39" i="20" s="1"/>
  <c r="P39" i="20" s="1"/>
  <c r="N38" i="20" a="1"/>
  <c r="N38" i="20" s="1"/>
  <c r="P38" i="20" s="1"/>
  <c r="N37" i="20" a="1"/>
  <c r="N37" i="20" s="1"/>
  <c r="P37" i="20" s="1"/>
  <c r="N36" i="20" a="1"/>
  <c r="N36" i="20" s="1"/>
  <c r="P36" i="20" s="1"/>
  <c r="N35" i="20" a="1"/>
  <c r="N35" i="20" s="1"/>
  <c r="P35" i="20" s="1"/>
  <c r="N34" i="20" a="1"/>
  <c r="N34" i="20" s="1"/>
  <c r="P34" i="20" s="1"/>
  <c r="N33" i="20" a="1"/>
  <c r="N33" i="20" s="1"/>
  <c r="P33" i="20" s="1"/>
  <c r="N32" i="20" a="1"/>
  <c r="N32" i="20" s="1"/>
  <c r="P32" i="20" s="1"/>
  <c r="N31" i="20" a="1"/>
  <c r="N31" i="20" s="1"/>
  <c r="P31" i="20" s="1"/>
  <c r="N30" i="20" a="1"/>
  <c r="N30" i="20" s="1"/>
  <c r="P30" i="20" s="1"/>
  <c r="N29" i="20" a="1"/>
  <c r="N29" i="20" s="1"/>
  <c r="P29" i="20" s="1"/>
  <c r="N28" i="20" a="1"/>
  <c r="N28" i="20" s="1"/>
  <c r="P28" i="20" s="1"/>
  <c r="N27" i="20" a="1"/>
  <c r="N27" i="20" s="1"/>
  <c r="P27" i="20" s="1"/>
  <c r="N26" i="20" a="1"/>
  <c r="N26" i="20" s="1"/>
  <c r="P26" i="20" s="1"/>
  <c r="N25" i="20" a="1"/>
  <c r="N25" i="20" s="1"/>
  <c r="P25" i="20" s="1"/>
  <c r="N24" i="20" a="1"/>
  <c r="N24" i="20" s="1"/>
  <c r="P24" i="20" s="1"/>
  <c r="N23" i="20" a="1"/>
  <c r="N23" i="20" s="1"/>
  <c r="P23" i="20" s="1"/>
  <c r="N22" i="20" a="1"/>
  <c r="N22" i="20" s="1"/>
  <c r="P22" i="20" s="1"/>
  <c r="N21" i="20" a="1"/>
  <c r="N21" i="20" s="1"/>
  <c r="P21" i="20" s="1"/>
  <c r="L16" i="20"/>
  <c r="K16" i="20"/>
  <c r="J16" i="20"/>
  <c r="I16" i="20"/>
  <c r="H16" i="20"/>
  <c r="G16" i="20"/>
  <c r="F16" i="20"/>
  <c r="L13" i="20"/>
  <c r="K13" i="20"/>
  <c r="J13" i="20"/>
  <c r="I13" i="20"/>
  <c r="H13" i="20"/>
  <c r="G13" i="20"/>
  <c r="F13" i="20"/>
  <c r="L11" i="20"/>
  <c r="K11" i="20"/>
  <c r="J11" i="20"/>
  <c r="I11" i="20"/>
  <c r="H11" i="20"/>
  <c r="G11" i="20"/>
  <c r="F11" i="20"/>
  <c r="L7" i="20"/>
  <c r="K7" i="20"/>
  <c r="J7" i="20"/>
  <c r="I7" i="20"/>
  <c r="H7" i="20"/>
  <c r="G7" i="20"/>
  <c r="F7" i="20"/>
  <c r="L176" i="19"/>
  <c r="K176" i="19"/>
  <c r="J176" i="19"/>
  <c r="I176" i="19"/>
  <c r="G176" i="19"/>
  <c r="F176" i="19"/>
  <c r="D176" i="19"/>
  <c r="E176" i="19" s="1"/>
  <c r="L175" i="19"/>
  <c r="K175" i="19"/>
  <c r="J175" i="19"/>
  <c r="I175" i="19"/>
  <c r="G175" i="19"/>
  <c r="F175" i="19"/>
  <c r="D175" i="19"/>
  <c r="E175" i="19" s="1"/>
  <c r="L174" i="19"/>
  <c r="K174" i="19"/>
  <c r="J174" i="19"/>
  <c r="I174" i="19"/>
  <c r="G174" i="19"/>
  <c r="F174" i="19"/>
  <c r="D174" i="19"/>
  <c r="E174" i="19" s="1"/>
  <c r="L173" i="19"/>
  <c r="K173" i="19"/>
  <c r="J173" i="19"/>
  <c r="I173" i="19"/>
  <c r="G173" i="19"/>
  <c r="F173" i="19"/>
  <c r="D173" i="19"/>
  <c r="E173" i="19" s="1"/>
  <c r="L172" i="19"/>
  <c r="K172" i="19"/>
  <c r="J172" i="19"/>
  <c r="I172" i="19"/>
  <c r="G172" i="19"/>
  <c r="F172" i="19"/>
  <c r="D172" i="19"/>
  <c r="E172" i="19" s="1"/>
  <c r="L171" i="19"/>
  <c r="K171" i="19"/>
  <c r="J171" i="19"/>
  <c r="I171" i="19"/>
  <c r="G171" i="19"/>
  <c r="F171" i="19"/>
  <c r="D171" i="19"/>
  <c r="E171" i="19" s="1"/>
  <c r="L170" i="19"/>
  <c r="K170" i="19"/>
  <c r="J170" i="19"/>
  <c r="I170" i="19"/>
  <c r="G170" i="19"/>
  <c r="F170" i="19"/>
  <c r="D170" i="19"/>
  <c r="E170" i="19" s="1"/>
  <c r="L169" i="19"/>
  <c r="K169" i="19"/>
  <c r="J169" i="19"/>
  <c r="I169" i="19"/>
  <c r="G169" i="19"/>
  <c r="F169" i="19"/>
  <c r="D169" i="19"/>
  <c r="E169" i="19" s="1"/>
  <c r="L168" i="19"/>
  <c r="K168" i="19"/>
  <c r="J168" i="19"/>
  <c r="I168" i="19"/>
  <c r="G168" i="19"/>
  <c r="F168" i="19"/>
  <c r="D168" i="19"/>
  <c r="E168" i="19" s="1"/>
  <c r="L167" i="19"/>
  <c r="K167" i="19"/>
  <c r="J167" i="19"/>
  <c r="I167" i="19"/>
  <c r="G167" i="19"/>
  <c r="F167" i="19"/>
  <c r="D167" i="19"/>
  <c r="E167" i="19" s="1"/>
  <c r="L166" i="19"/>
  <c r="K166" i="19"/>
  <c r="J166" i="19"/>
  <c r="I166" i="19"/>
  <c r="G166" i="19"/>
  <c r="F166" i="19"/>
  <c r="D166" i="19"/>
  <c r="E166" i="19" s="1"/>
  <c r="L165" i="19"/>
  <c r="K165" i="19"/>
  <c r="J165" i="19"/>
  <c r="I165" i="19"/>
  <c r="G165" i="19"/>
  <c r="F165" i="19"/>
  <c r="D165" i="19"/>
  <c r="E165" i="19" s="1"/>
  <c r="L164" i="19"/>
  <c r="K164" i="19"/>
  <c r="J164" i="19"/>
  <c r="I164" i="19"/>
  <c r="G164" i="19"/>
  <c r="F164" i="19"/>
  <c r="D164" i="19"/>
  <c r="E164" i="19" s="1"/>
  <c r="L163" i="19"/>
  <c r="K163" i="19"/>
  <c r="J163" i="19"/>
  <c r="I163" i="19"/>
  <c r="G163" i="19"/>
  <c r="F163" i="19"/>
  <c r="D163" i="19"/>
  <c r="E163" i="19" s="1"/>
  <c r="L162" i="19"/>
  <c r="K162" i="19"/>
  <c r="J162" i="19"/>
  <c r="I162" i="19"/>
  <c r="G162" i="19"/>
  <c r="F162" i="19"/>
  <c r="D162" i="19"/>
  <c r="E162" i="19" s="1"/>
  <c r="L161" i="19"/>
  <c r="K161" i="19"/>
  <c r="J161" i="19"/>
  <c r="I161" i="19"/>
  <c r="G161" i="19"/>
  <c r="F161" i="19"/>
  <c r="D161" i="19"/>
  <c r="E161" i="19" s="1"/>
  <c r="L160" i="19"/>
  <c r="K160" i="19"/>
  <c r="J160" i="19"/>
  <c r="I160" i="19"/>
  <c r="G160" i="19"/>
  <c r="F160" i="19"/>
  <c r="D160" i="19"/>
  <c r="E160" i="19" s="1"/>
  <c r="L159" i="19"/>
  <c r="K159" i="19"/>
  <c r="J159" i="19"/>
  <c r="I159" i="19"/>
  <c r="G159" i="19"/>
  <c r="F159" i="19"/>
  <c r="D159" i="19"/>
  <c r="E159" i="19" s="1"/>
  <c r="L158" i="19"/>
  <c r="K158" i="19"/>
  <c r="J158" i="19"/>
  <c r="I158" i="19"/>
  <c r="G158" i="19"/>
  <c r="F158" i="19"/>
  <c r="D158" i="19"/>
  <c r="E158" i="19" s="1"/>
  <c r="L157" i="19"/>
  <c r="K157" i="19"/>
  <c r="J157" i="19"/>
  <c r="I157" i="19"/>
  <c r="G157" i="19"/>
  <c r="F157" i="19"/>
  <c r="D157" i="19"/>
  <c r="E157" i="19" s="1"/>
  <c r="L156" i="19"/>
  <c r="K156" i="19"/>
  <c r="J156" i="19"/>
  <c r="I156" i="19"/>
  <c r="G156" i="19"/>
  <c r="F156" i="19"/>
  <c r="D156" i="19"/>
  <c r="E156" i="19" s="1"/>
  <c r="L155" i="19"/>
  <c r="K155" i="19"/>
  <c r="J155" i="19"/>
  <c r="I155" i="19"/>
  <c r="G155" i="19"/>
  <c r="F155" i="19"/>
  <c r="D155" i="19"/>
  <c r="E155" i="19" s="1"/>
  <c r="L154" i="19"/>
  <c r="K154" i="19"/>
  <c r="J154" i="19"/>
  <c r="I154" i="19"/>
  <c r="G154" i="19"/>
  <c r="F154" i="19"/>
  <c r="D154" i="19"/>
  <c r="E154" i="19" s="1"/>
  <c r="L153" i="19"/>
  <c r="K153" i="19"/>
  <c r="J153" i="19"/>
  <c r="I153" i="19"/>
  <c r="G153" i="19"/>
  <c r="F153" i="19"/>
  <c r="D153" i="19"/>
  <c r="E153" i="19" s="1"/>
  <c r="D146" i="19"/>
  <c r="E146" i="19" s="1"/>
  <c r="D145" i="19"/>
  <c r="D143" i="19"/>
  <c r="E143" i="19" s="1"/>
  <c r="D142" i="19"/>
  <c r="E142" i="19" s="1"/>
  <c r="D141" i="19"/>
  <c r="E141" i="19" s="1"/>
  <c r="D140" i="19"/>
  <c r="E140" i="19" s="1"/>
  <c r="D139" i="19"/>
  <c r="E139" i="19" s="1"/>
  <c r="D138" i="19"/>
  <c r="E138" i="19" s="1"/>
  <c r="D137" i="19"/>
  <c r="E137" i="19" s="1"/>
  <c r="D136" i="19"/>
  <c r="E136" i="19" s="1"/>
  <c r="D135" i="19"/>
  <c r="E135" i="19" s="1"/>
  <c r="D134" i="19"/>
  <c r="E134" i="19" s="1"/>
  <c r="D133" i="19"/>
  <c r="E133" i="19" s="1"/>
  <c r="D132" i="19"/>
  <c r="E132" i="19" s="1"/>
  <c r="D131" i="19"/>
  <c r="E131" i="19" s="1"/>
  <c r="D130" i="19"/>
  <c r="E130" i="19" s="1"/>
  <c r="D129" i="19"/>
  <c r="E129" i="19" s="1"/>
  <c r="D128" i="19"/>
  <c r="E128" i="19" s="1"/>
  <c r="D127" i="19"/>
  <c r="E127" i="19" s="1"/>
  <c r="D126" i="19"/>
  <c r="E126" i="19" s="1"/>
  <c r="D125" i="19"/>
  <c r="E125" i="19" s="1"/>
  <c r="D124" i="19"/>
  <c r="E124" i="19" s="1"/>
  <c r="D123" i="19"/>
  <c r="E123" i="19" s="1"/>
  <c r="D122" i="19"/>
  <c r="E122" i="19" s="1"/>
  <c r="D121" i="19"/>
  <c r="E121" i="19" s="1"/>
  <c r="D120" i="19"/>
  <c r="E120" i="19" s="1"/>
  <c r="D119" i="19"/>
  <c r="E119" i="19" s="1"/>
  <c r="D118" i="19"/>
  <c r="E118" i="19" s="1"/>
  <c r="D117" i="19"/>
  <c r="E117" i="19" s="1"/>
  <c r="D116" i="19"/>
  <c r="E116" i="19" s="1"/>
  <c r="D115" i="19"/>
  <c r="E115" i="19" s="1"/>
  <c r="O77" i="29" s="1"/>
  <c r="N102" i="19" a="1"/>
  <c r="N102" i="19" s="1"/>
  <c r="Q102" i="19" s="1"/>
  <c r="N101" i="19" a="1"/>
  <c r="N101" i="19" s="1"/>
  <c r="Q101" i="19" s="1"/>
  <c r="N99" i="19" a="1"/>
  <c r="N99" i="19" s="1"/>
  <c r="Q99" i="19" s="1"/>
  <c r="N98" i="19" a="1"/>
  <c r="N98" i="19" s="1"/>
  <c r="Q98" i="19" s="1"/>
  <c r="N97" i="19" a="1"/>
  <c r="N97" i="19" s="1"/>
  <c r="Q97" i="19" s="1"/>
  <c r="N96" i="19" a="1"/>
  <c r="N96" i="19" s="1"/>
  <c r="Q96" i="19" s="1"/>
  <c r="N95" i="19" a="1"/>
  <c r="N95" i="19" s="1"/>
  <c r="Q95" i="19" s="1"/>
  <c r="N94" i="19" a="1"/>
  <c r="N94" i="19" s="1"/>
  <c r="Q94" i="19" s="1"/>
  <c r="N93" i="19" a="1"/>
  <c r="N93" i="19" s="1"/>
  <c r="Q93" i="19" s="1"/>
  <c r="N92" i="19" a="1"/>
  <c r="N92" i="19" s="1"/>
  <c r="Q92" i="19" s="1"/>
  <c r="N91" i="19" a="1"/>
  <c r="N91" i="19" s="1"/>
  <c r="Q91" i="19" s="1"/>
  <c r="N90" i="19" a="1"/>
  <c r="N90" i="19" s="1"/>
  <c r="Q90" i="19" s="1"/>
  <c r="N89" i="19" a="1"/>
  <c r="N89" i="19" s="1"/>
  <c r="Q89" i="19" s="1"/>
  <c r="N88" i="19" a="1"/>
  <c r="N88" i="19" s="1"/>
  <c r="Q88" i="19" s="1"/>
  <c r="N87" i="19" a="1"/>
  <c r="N87" i="19" s="1"/>
  <c r="Q87" i="19" s="1"/>
  <c r="N86" i="19" a="1"/>
  <c r="N86" i="19" s="1"/>
  <c r="Q86" i="19" s="1"/>
  <c r="R84" i="19"/>
  <c r="N84" i="19" a="1"/>
  <c r="N84" i="19" s="1"/>
  <c r="Q84" i="19" s="1"/>
  <c r="R83" i="19"/>
  <c r="N83" i="19" a="1"/>
  <c r="N83" i="19" s="1"/>
  <c r="Q83" i="19" s="1"/>
  <c r="R82" i="19"/>
  <c r="N82" i="19" a="1"/>
  <c r="N82" i="19" s="1"/>
  <c r="Q82" i="19" s="1"/>
  <c r="R81" i="19"/>
  <c r="N81" i="19" a="1"/>
  <c r="N81" i="19" s="1"/>
  <c r="Q81" i="19" s="1"/>
  <c r="R80" i="19"/>
  <c r="N80" i="19" a="1"/>
  <c r="N80" i="19" s="1"/>
  <c r="Q80" i="19" s="1"/>
  <c r="R79" i="19"/>
  <c r="N79" i="19" a="1"/>
  <c r="N79" i="19" s="1"/>
  <c r="Q79" i="19" s="1"/>
  <c r="R78" i="19"/>
  <c r="N78" i="19" a="1"/>
  <c r="N78" i="19" s="1"/>
  <c r="Q78" i="19" s="1"/>
  <c r="R77" i="19"/>
  <c r="N77" i="19" a="1"/>
  <c r="N77" i="19" s="1"/>
  <c r="Q77" i="19" s="1"/>
  <c r="R76" i="19"/>
  <c r="N76" i="19" a="1"/>
  <c r="N76" i="19" s="1"/>
  <c r="Q76" i="19" s="1"/>
  <c r="R75" i="19"/>
  <c r="N75" i="19" a="1"/>
  <c r="N75" i="19" s="1"/>
  <c r="Q75" i="19" s="1"/>
  <c r="R74" i="19"/>
  <c r="N74" i="19" a="1"/>
  <c r="N74" i="19" s="1"/>
  <c r="Q74" i="19" s="1"/>
  <c r="R73" i="19"/>
  <c r="N73" i="19" a="1"/>
  <c r="N73" i="19" s="1"/>
  <c r="Q73" i="19" s="1"/>
  <c r="R72" i="19"/>
  <c r="N72" i="19" a="1"/>
  <c r="N72" i="19" s="1"/>
  <c r="Q72" i="19" s="1"/>
  <c r="R71" i="19"/>
  <c r="N71" i="19" a="1"/>
  <c r="N71" i="19" s="1"/>
  <c r="Q71" i="19" s="1"/>
  <c r="R70" i="19"/>
  <c r="N70" i="19" a="1"/>
  <c r="N70" i="19" s="1"/>
  <c r="Q70" i="19" s="1"/>
  <c r="R69" i="19"/>
  <c r="N69" i="19" a="1"/>
  <c r="N69" i="19" s="1"/>
  <c r="Q69" i="19" s="1"/>
  <c r="R68" i="19"/>
  <c r="N68" i="19" a="1"/>
  <c r="N68" i="19" s="1"/>
  <c r="Q68" i="19" s="1"/>
  <c r="R67" i="19"/>
  <c r="N67" i="19" a="1"/>
  <c r="N67" i="19" s="1"/>
  <c r="Q67" i="19" s="1"/>
  <c r="R66" i="19"/>
  <c r="N66" i="19" a="1"/>
  <c r="N66" i="19" s="1"/>
  <c r="Q66" i="19" s="1"/>
  <c r="R65" i="19"/>
  <c r="N65" i="19" a="1"/>
  <c r="N65" i="19" s="1"/>
  <c r="Q65" i="19" s="1"/>
  <c r="R64" i="19"/>
  <c r="N64" i="19" a="1"/>
  <c r="N64" i="19" s="1"/>
  <c r="Q64" i="19" s="1"/>
  <c r="R63" i="19"/>
  <c r="N63" i="19" a="1"/>
  <c r="N63" i="19" s="1"/>
  <c r="Q63" i="19" s="1"/>
  <c r="R62" i="19"/>
  <c r="N62" i="19" a="1"/>
  <c r="N62" i="19" s="1"/>
  <c r="Q62" i="19" s="1"/>
  <c r="R61" i="19"/>
  <c r="N61" i="19" a="1"/>
  <c r="N61" i="19" s="1"/>
  <c r="Q61" i="19" s="1"/>
  <c r="R54" i="19"/>
  <c r="N54" i="19" a="1"/>
  <c r="N54" i="19" s="1"/>
  <c r="Q54" i="19" s="1"/>
  <c r="N47" i="19" a="1"/>
  <c r="N47" i="19" s="1"/>
  <c r="P47" i="19" s="1"/>
  <c r="N46" i="19" a="1"/>
  <c r="N46" i="19" s="1"/>
  <c r="P46" i="19" s="1"/>
  <c r="N45" i="19" a="1"/>
  <c r="N45" i="19" s="1"/>
  <c r="P45" i="19" s="1"/>
  <c r="N44" i="19" a="1"/>
  <c r="N44" i="19" s="1"/>
  <c r="P44" i="19" s="1"/>
  <c r="N43" i="19" a="1"/>
  <c r="N43" i="19" s="1"/>
  <c r="P43" i="19" s="1"/>
  <c r="N42" i="19" a="1"/>
  <c r="N42" i="19" s="1"/>
  <c r="P42" i="19" s="1"/>
  <c r="N41" i="19" a="1"/>
  <c r="N41" i="19" s="1"/>
  <c r="P41" i="19" s="1"/>
  <c r="N40" i="19" a="1"/>
  <c r="N40" i="19" s="1"/>
  <c r="P40" i="19" s="1"/>
  <c r="N39" i="19" a="1"/>
  <c r="N39" i="19" s="1"/>
  <c r="P39" i="19" s="1"/>
  <c r="N38" i="19" a="1"/>
  <c r="N38" i="19" s="1"/>
  <c r="P38" i="19" s="1"/>
  <c r="N37" i="19" a="1"/>
  <c r="N37" i="19" s="1"/>
  <c r="P37" i="19" s="1"/>
  <c r="N36" i="19" a="1"/>
  <c r="N36" i="19" s="1"/>
  <c r="P36" i="19" s="1"/>
  <c r="N35" i="19" a="1"/>
  <c r="N35" i="19" s="1"/>
  <c r="P35" i="19" s="1"/>
  <c r="N34" i="19" a="1"/>
  <c r="N34" i="19" s="1"/>
  <c r="P34" i="19" s="1"/>
  <c r="N33" i="19" a="1"/>
  <c r="N33" i="19" s="1"/>
  <c r="P33" i="19" s="1"/>
  <c r="N32" i="19" a="1"/>
  <c r="N32" i="19" s="1"/>
  <c r="P32" i="19" s="1"/>
  <c r="N31" i="19" a="1"/>
  <c r="N31" i="19" s="1"/>
  <c r="P31" i="19" s="1"/>
  <c r="N30" i="19" a="1"/>
  <c r="N30" i="19" s="1"/>
  <c r="P30" i="19" s="1"/>
  <c r="N29" i="19" a="1"/>
  <c r="N29" i="19" s="1"/>
  <c r="P29" i="19" s="1"/>
  <c r="N28" i="19" a="1"/>
  <c r="N28" i="19" s="1"/>
  <c r="P28" i="19" s="1"/>
  <c r="N27" i="19" a="1"/>
  <c r="N27" i="19" s="1"/>
  <c r="P27" i="19" s="1"/>
  <c r="N26" i="19" a="1"/>
  <c r="N26" i="19" s="1"/>
  <c r="P26" i="19" s="1"/>
  <c r="N25" i="19" a="1"/>
  <c r="N25" i="19" s="1"/>
  <c r="P25" i="19" s="1"/>
  <c r="N24" i="19" a="1"/>
  <c r="N24" i="19" s="1"/>
  <c r="P24" i="19" s="1"/>
  <c r="N23" i="19" a="1"/>
  <c r="N23" i="19" s="1"/>
  <c r="P23" i="19" s="1"/>
  <c r="N22" i="19" a="1"/>
  <c r="N22" i="19" s="1"/>
  <c r="P22" i="19" s="1"/>
  <c r="N21" i="19" a="1"/>
  <c r="N21" i="19" s="1"/>
  <c r="P21" i="19" s="1"/>
  <c r="L16" i="19"/>
  <c r="K16" i="19"/>
  <c r="J16" i="19"/>
  <c r="I16" i="19"/>
  <c r="H16" i="19"/>
  <c r="G16" i="19"/>
  <c r="F16" i="19"/>
  <c r="L13" i="19"/>
  <c r="K13" i="19"/>
  <c r="J13" i="19"/>
  <c r="I13" i="19"/>
  <c r="H13" i="19"/>
  <c r="G13" i="19"/>
  <c r="F13" i="19"/>
  <c r="L11" i="19"/>
  <c r="K11" i="19"/>
  <c r="J11" i="19"/>
  <c r="I11" i="19"/>
  <c r="H11" i="19"/>
  <c r="G11" i="19"/>
  <c r="F11" i="19"/>
  <c r="L7" i="19"/>
  <c r="K7" i="19"/>
  <c r="J7" i="19"/>
  <c r="I7" i="19"/>
  <c r="H7" i="19"/>
  <c r="G7" i="19"/>
  <c r="F7" i="19"/>
  <c r="L176" i="18"/>
  <c r="K176" i="18"/>
  <c r="J176" i="18"/>
  <c r="I176" i="18"/>
  <c r="G176" i="18"/>
  <c r="F176" i="18"/>
  <c r="D176" i="18"/>
  <c r="E176" i="18" s="1"/>
  <c r="L175" i="18"/>
  <c r="K175" i="18"/>
  <c r="J175" i="18"/>
  <c r="I175" i="18"/>
  <c r="G175" i="18"/>
  <c r="F175" i="18"/>
  <c r="D175" i="18"/>
  <c r="E175" i="18" s="1"/>
  <c r="L174" i="18"/>
  <c r="K174" i="18"/>
  <c r="J174" i="18"/>
  <c r="I174" i="18"/>
  <c r="G174" i="18"/>
  <c r="F174" i="18"/>
  <c r="D174" i="18"/>
  <c r="E174" i="18" s="1"/>
  <c r="L173" i="18"/>
  <c r="K173" i="18"/>
  <c r="J173" i="18"/>
  <c r="I173" i="18"/>
  <c r="G173" i="18"/>
  <c r="F173" i="18"/>
  <c r="D173" i="18"/>
  <c r="E173" i="18" s="1"/>
  <c r="L172" i="18"/>
  <c r="K172" i="18"/>
  <c r="J172" i="18"/>
  <c r="I172" i="18"/>
  <c r="G172" i="18"/>
  <c r="F172" i="18"/>
  <c r="D172" i="18"/>
  <c r="E172" i="18" s="1"/>
  <c r="L171" i="18"/>
  <c r="K171" i="18"/>
  <c r="J171" i="18"/>
  <c r="I171" i="18"/>
  <c r="G171" i="18"/>
  <c r="F171" i="18"/>
  <c r="D171" i="18"/>
  <c r="E171" i="18" s="1"/>
  <c r="L170" i="18"/>
  <c r="K170" i="18"/>
  <c r="J170" i="18"/>
  <c r="I170" i="18"/>
  <c r="G170" i="18"/>
  <c r="F170" i="18"/>
  <c r="D170" i="18"/>
  <c r="E170" i="18" s="1"/>
  <c r="L169" i="18"/>
  <c r="K169" i="18"/>
  <c r="J169" i="18"/>
  <c r="I169" i="18"/>
  <c r="G169" i="18"/>
  <c r="F169" i="18"/>
  <c r="D169" i="18"/>
  <c r="E169" i="18" s="1"/>
  <c r="L168" i="18"/>
  <c r="K168" i="18"/>
  <c r="J168" i="18"/>
  <c r="I168" i="18"/>
  <c r="G168" i="18"/>
  <c r="F168" i="18"/>
  <c r="D168" i="18"/>
  <c r="E168" i="18" s="1"/>
  <c r="L167" i="18"/>
  <c r="K167" i="18"/>
  <c r="J167" i="18"/>
  <c r="I167" i="18"/>
  <c r="G167" i="18"/>
  <c r="F167" i="18"/>
  <c r="D167" i="18"/>
  <c r="E167" i="18" s="1"/>
  <c r="L166" i="18"/>
  <c r="K166" i="18"/>
  <c r="J166" i="18"/>
  <c r="I166" i="18"/>
  <c r="G166" i="18"/>
  <c r="F166" i="18"/>
  <c r="D166" i="18"/>
  <c r="E166" i="18" s="1"/>
  <c r="L165" i="18"/>
  <c r="K165" i="18"/>
  <c r="J165" i="18"/>
  <c r="I165" i="18"/>
  <c r="G165" i="18"/>
  <c r="F165" i="18"/>
  <c r="D165" i="18"/>
  <c r="E165" i="18" s="1"/>
  <c r="L164" i="18"/>
  <c r="K164" i="18"/>
  <c r="J164" i="18"/>
  <c r="I164" i="18"/>
  <c r="G164" i="18"/>
  <c r="F164" i="18"/>
  <c r="D164" i="18"/>
  <c r="E164" i="18" s="1"/>
  <c r="L163" i="18"/>
  <c r="K163" i="18"/>
  <c r="J163" i="18"/>
  <c r="I163" i="18"/>
  <c r="G163" i="18"/>
  <c r="F163" i="18"/>
  <c r="D163" i="18"/>
  <c r="E163" i="18" s="1"/>
  <c r="L162" i="18"/>
  <c r="K162" i="18"/>
  <c r="J162" i="18"/>
  <c r="I162" i="18"/>
  <c r="G162" i="18"/>
  <c r="F162" i="18"/>
  <c r="D162" i="18"/>
  <c r="E162" i="18" s="1"/>
  <c r="L161" i="18"/>
  <c r="K161" i="18"/>
  <c r="J161" i="18"/>
  <c r="I161" i="18"/>
  <c r="G161" i="18"/>
  <c r="F161" i="18"/>
  <c r="D161" i="18"/>
  <c r="E161" i="18" s="1"/>
  <c r="L160" i="18"/>
  <c r="K160" i="18"/>
  <c r="J160" i="18"/>
  <c r="I160" i="18"/>
  <c r="G160" i="18"/>
  <c r="F160" i="18"/>
  <c r="D160" i="18"/>
  <c r="E160" i="18" s="1"/>
  <c r="L159" i="18"/>
  <c r="K159" i="18"/>
  <c r="J159" i="18"/>
  <c r="I159" i="18"/>
  <c r="G159" i="18"/>
  <c r="F159" i="18"/>
  <c r="D159" i="18"/>
  <c r="E159" i="18" s="1"/>
  <c r="L158" i="18"/>
  <c r="K158" i="18"/>
  <c r="J158" i="18"/>
  <c r="I158" i="18"/>
  <c r="G158" i="18"/>
  <c r="F158" i="18"/>
  <c r="D158" i="18"/>
  <c r="E158" i="18" s="1"/>
  <c r="L157" i="18"/>
  <c r="K157" i="18"/>
  <c r="J157" i="18"/>
  <c r="I157" i="18"/>
  <c r="G157" i="18"/>
  <c r="F157" i="18"/>
  <c r="D157" i="18"/>
  <c r="E157" i="18" s="1"/>
  <c r="L156" i="18"/>
  <c r="K156" i="18"/>
  <c r="J156" i="18"/>
  <c r="I156" i="18"/>
  <c r="G156" i="18"/>
  <c r="F156" i="18"/>
  <c r="D156" i="18"/>
  <c r="E156" i="18" s="1"/>
  <c r="L155" i="18"/>
  <c r="K155" i="18"/>
  <c r="J155" i="18"/>
  <c r="I155" i="18"/>
  <c r="G155" i="18"/>
  <c r="F155" i="18"/>
  <c r="D155" i="18"/>
  <c r="E155" i="18" s="1"/>
  <c r="L154" i="18"/>
  <c r="K154" i="18"/>
  <c r="J154" i="18"/>
  <c r="I154" i="18"/>
  <c r="G154" i="18"/>
  <c r="F154" i="18"/>
  <c r="D154" i="18"/>
  <c r="E154" i="18" s="1"/>
  <c r="L153" i="18"/>
  <c r="K153" i="18"/>
  <c r="J153" i="18"/>
  <c r="I153" i="18"/>
  <c r="G153" i="18"/>
  <c r="F153" i="18"/>
  <c r="D153" i="18"/>
  <c r="E153" i="18" s="1"/>
  <c r="R54" i="18"/>
  <c r="D146" i="18"/>
  <c r="E146" i="18" s="1"/>
  <c r="D145" i="18"/>
  <c r="D143" i="18"/>
  <c r="E143" i="18" s="1"/>
  <c r="D142" i="18"/>
  <c r="E142" i="18" s="1"/>
  <c r="D141" i="18"/>
  <c r="E141" i="18" s="1"/>
  <c r="D140" i="18"/>
  <c r="E140" i="18" s="1"/>
  <c r="D139" i="18"/>
  <c r="E139" i="18" s="1"/>
  <c r="D138" i="18"/>
  <c r="E138" i="18" s="1"/>
  <c r="D137" i="18"/>
  <c r="E137" i="18" s="1"/>
  <c r="D136" i="18"/>
  <c r="E136" i="18" s="1"/>
  <c r="D135" i="18"/>
  <c r="E135" i="18" s="1"/>
  <c r="D134" i="18"/>
  <c r="E134" i="18" s="1"/>
  <c r="D133" i="18"/>
  <c r="E133" i="18" s="1"/>
  <c r="D132" i="18"/>
  <c r="E132" i="18" s="1"/>
  <c r="D131" i="18"/>
  <c r="E131" i="18" s="1"/>
  <c r="D130" i="18"/>
  <c r="E130" i="18" s="1"/>
  <c r="D129" i="18"/>
  <c r="E129" i="18" s="1"/>
  <c r="D128" i="18"/>
  <c r="E128" i="18" s="1"/>
  <c r="D127" i="18"/>
  <c r="E127" i="18" s="1"/>
  <c r="D126" i="18"/>
  <c r="E126" i="18" s="1"/>
  <c r="D125" i="18"/>
  <c r="E125" i="18" s="1"/>
  <c r="D124" i="18"/>
  <c r="E124" i="18" s="1"/>
  <c r="D123" i="18"/>
  <c r="E123" i="18" s="1"/>
  <c r="D122" i="18"/>
  <c r="E122" i="18" s="1"/>
  <c r="D121" i="18"/>
  <c r="E121" i="18" s="1"/>
  <c r="D120" i="18"/>
  <c r="E120" i="18" s="1"/>
  <c r="D119" i="18"/>
  <c r="E119" i="18" s="1"/>
  <c r="D118" i="18"/>
  <c r="E118" i="18" s="1"/>
  <c r="D117" i="18"/>
  <c r="E117" i="18" s="1"/>
  <c r="D116" i="18"/>
  <c r="E116" i="18" s="1"/>
  <c r="D115" i="18"/>
  <c r="E115" i="18" s="1"/>
  <c r="P77" i="29" s="1"/>
  <c r="N102" i="18" a="1"/>
  <c r="N102" i="18" s="1"/>
  <c r="Q102" i="18" s="1"/>
  <c r="N101" i="18" a="1"/>
  <c r="N101" i="18" s="1"/>
  <c r="Q101" i="18" s="1"/>
  <c r="N99" i="18" a="1"/>
  <c r="N99" i="18" s="1"/>
  <c r="Q99" i="18" s="1"/>
  <c r="N98" i="18" a="1"/>
  <c r="N98" i="18" s="1"/>
  <c r="Q98" i="18" s="1"/>
  <c r="N97" i="18" a="1"/>
  <c r="N97" i="18" s="1"/>
  <c r="Q97" i="18" s="1"/>
  <c r="N96" i="18" a="1"/>
  <c r="N96" i="18" s="1"/>
  <c r="Q96" i="18" s="1"/>
  <c r="N95" i="18" a="1"/>
  <c r="N95" i="18" s="1"/>
  <c r="Q95" i="18" s="1"/>
  <c r="N94" i="18" a="1"/>
  <c r="N94" i="18" s="1"/>
  <c r="Q94" i="18" s="1"/>
  <c r="N93" i="18" a="1"/>
  <c r="N93" i="18" s="1"/>
  <c r="Q93" i="18" s="1"/>
  <c r="N92" i="18" a="1"/>
  <c r="N92" i="18" s="1"/>
  <c r="Q92" i="18" s="1"/>
  <c r="N91" i="18" a="1"/>
  <c r="N91" i="18" s="1"/>
  <c r="Q91" i="18" s="1"/>
  <c r="N90" i="18" a="1"/>
  <c r="N90" i="18" s="1"/>
  <c r="Q90" i="18" s="1"/>
  <c r="N89" i="18" a="1"/>
  <c r="N89" i="18" s="1"/>
  <c r="Q89" i="18" s="1"/>
  <c r="N88" i="18" a="1"/>
  <c r="N88" i="18" s="1"/>
  <c r="Q88" i="18" s="1"/>
  <c r="N87" i="18" a="1"/>
  <c r="N87" i="18" s="1"/>
  <c r="Q87" i="18" s="1"/>
  <c r="N86" i="18" a="1"/>
  <c r="N86" i="18" s="1"/>
  <c r="Q86" i="18" s="1"/>
  <c r="R84" i="18"/>
  <c r="N84" i="18" a="1"/>
  <c r="N84" i="18" s="1"/>
  <c r="Q84" i="18" s="1"/>
  <c r="R83" i="18"/>
  <c r="N83" i="18" a="1"/>
  <c r="N83" i="18" s="1"/>
  <c r="Q83" i="18" s="1"/>
  <c r="R82" i="18"/>
  <c r="N82" i="18" a="1"/>
  <c r="N82" i="18" s="1"/>
  <c r="Q82" i="18" s="1"/>
  <c r="R81" i="18"/>
  <c r="N81" i="18" a="1"/>
  <c r="N81" i="18" s="1"/>
  <c r="Q81" i="18" s="1"/>
  <c r="R80" i="18"/>
  <c r="N80" i="18" a="1"/>
  <c r="N80" i="18" s="1"/>
  <c r="Q80" i="18" s="1"/>
  <c r="R79" i="18"/>
  <c r="N79" i="18" a="1"/>
  <c r="N79" i="18" s="1"/>
  <c r="Q79" i="18" s="1"/>
  <c r="R78" i="18"/>
  <c r="N78" i="18" a="1"/>
  <c r="N78" i="18" s="1"/>
  <c r="Q78" i="18" s="1"/>
  <c r="R77" i="18"/>
  <c r="N77" i="18" a="1"/>
  <c r="N77" i="18" s="1"/>
  <c r="Q77" i="18" s="1"/>
  <c r="R76" i="18"/>
  <c r="N76" i="18" a="1"/>
  <c r="N76" i="18" s="1"/>
  <c r="Q76" i="18" s="1"/>
  <c r="R75" i="18"/>
  <c r="N75" i="18" a="1"/>
  <c r="N75" i="18" s="1"/>
  <c r="Q75" i="18" s="1"/>
  <c r="R74" i="18"/>
  <c r="N74" i="18" a="1"/>
  <c r="N74" i="18" s="1"/>
  <c r="Q74" i="18" s="1"/>
  <c r="R73" i="18"/>
  <c r="N73" i="18" a="1"/>
  <c r="N73" i="18" s="1"/>
  <c r="Q73" i="18" s="1"/>
  <c r="R72" i="18"/>
  <c r="N72" i="18" a="1"/>
  <c r="N72" i="18" s="1"/>
  <c r="Q72" i="18" s="1"/>
  <c r="R71" i="18"/>
  <c r="N71" i="18" a="1"/>
  <c r="N71" i="18" s="1"/>
  <c r="Q71" i="18" s="1"/>
  <c r="R70" i="18"/>
  <c r="N70" i="18" a="1"/>
  <c r="N70" i="18" s="1"/>
  <c r="Q70" i="18" s="1"/>
  <c r="R69" i="18"/>
  <c r="N69" i="18" a="1"/>
  <c r="N69" i="18" s="1"/>
  <c r="Q69" i="18" s="1"/>
  <c r="R68" i="18"/>
  <c r="N68" i="18" a="1"/>
  <c r="N68" i="18" s="1"/>
  <c r="Q68" i="18" s="1"/>
  <c r="R67" i="18"/>
  <c r="N67" i="18" a="1"/>
  <c r="N67" i="18" s="1"/>
  <c r="Q67" i="18" s="1"/>
  <c r="R66" i="18"/>
  <c r="N66" i="18" a="1"/>
  <c r="N66" i="18" s="1"/>
  <c r="Q66" i="18" s="1"/>
  <c r="R65" i="18"/>
  <c r="N65" i="18" a="1"/>
  <c r="N65" i="18" s="1"/>
  <c r="Q65" i="18" s="1"/>
  <c r="R64" i="18"/>
  <c r="N64" i="18" a="1"/>
  <c r="N64" i="18" s="1"/>
  <c r="Q64" i="18" s="1"/>
  <c r="R63" i="18"/>
  <c r="N63" i="18" a="1"/>
  <c r="N63" i="18" s="1"/>
  <c r="Q63" i="18" s="1"/>
  <c r="R62" i="18"/>
  <c r="N62" i="18" a="1"/>
  <c r="N62" i="18" s="1"/>
  <c r="Q62" i="18" s="1"/>
  <c r="R61" i="18"/>
  <c r="N61" i="18" a="1"/>
  <c r="N61" i="18" s="1"/>
  <c r="Q61" i="18" s="1"/>
  <c r="N54" i="18" a="1"/>
  <c r="N54" i="18" s="1"/>
  <c r="N47" i="18" a="1"/>
  <c r="N47" i="18" s="1"/>
  <c r="P47" i="18" s="1"/>
  <c r="N46" i="18" a="1"/>
  <c r="N46" i="18" s="1"/>
  <c r="P46" i="18" s="1"/>
  <c r="N45" i="18" a="1"/>
  <c r="N45" i="18" s="1"/>
  <c r="P45" i="18" s="1"/>
  <c r="N44" i="18" a="1"/>
  <c r="N44" i="18" s="1"/>
  <c r="P44" i="18" s="1"/>
  <c r="N43" i="18" a="1"/>
  <c r="N43" i="18" s="1"/>
  <c r="P43" i="18" s="1"/>
  <c r="N42" i="18" a="1"/>
  <c r="N42" i="18" s="1"/>
  <c r="P42" i="18" s="1"/>
  <c r="N41" i="18" a="1"/>
  <c r="N41" i="18" s="1"/>
  <c r="P41" i="18" s="1"/>
  <c r="N40" i="18" a="1"/>
  <c r="N40" i="18" s="1"/>
  <c r="P40" i="18" s="1"/>
  <c r="N39" i="18" a="1"/>
  <c r="N39" i="18" s="1"/>
  <c r="P39" i="18" s="1"/>
  <c r="N38" i="18" a="1"/>
  <c r="N38" i="18" s="1"/>
  <c r="P38" i="18" s="1"/>
  <c r="N37" i="18" a="1"/>
  <c r="N37" i="18" s="1"/>
  <c r="P37" i="18" s="1"/>
  <c r="N36" i="18" a="1"/>
  <c r="N36" i="18" s="1"/>
  <c r="P36" i="18" s="1"/>
  <c r="N35" i="18" a="1"/>
  <c r="N35" i="18" s="1"/>
  <c r="P35" i="18" s="1"/>
  <c r="N34" i="18" a="1"/>
  <c r="N34" i="18" s="1"/>
  <c r="P34" i="18" s="1"/>
  <c r="N33" i="18" a="1"/>
  <c r="N33" i="18" s="1"/>
  <c r="P33" i="18" s="1"/>
  <c r="N32" i="18" a="1"/>
  <c r="N32" i="18" s="1"/>
  <c r="P32" i="18" s="1"/>
  <c r="N31" i="18" a="1"/>
  <c r="N31" i="18" s="1"/>
  <c r="P31" i="18" s="1"/>
  <c r="N30" i="18" a="1"/>
  <c r="N30" i="18" s="1"/>
  <c r="P30" i="18" s="1"/>
  <c r="N29" i="18" a="1"/>
  <c r="N29" i="18" s="1"/>
  <c r="P29" i="18" s="1"/>
  <c r="N28" i="18" a="1"/>
  <c r="N28" i="18" s="1"/>
  <c r="P28" i="18" s="1"/>
  <c r="N27" i="18" a="1"/>
  <c r="N27" i="18" s="1"/>
  <c r="P27" i="18" s="1"/>
  <c r="N26" i="18" a="1"/>
  <c r="N26" i="18" s="1"/>
  <c r="P26" i="18" s="1"/>
  <c r="N25" i="18" a="1"/>
  <c r="N25" i="18" s="1"/>
  <c r="P25" i="18" s="1"/>
  <c r="N24" i="18" a="1"/>
  <c r="N24" i="18" s="1"/>
  <c r="P24" i="18" s="1"/>
  <c r="N23" i="18" a="1"/>
  <c r="N23" i="18" s="1"/>
  <c r="P23" i="18" s="1"/>
  <c r="N22" i="18" a="1"/>
  <c r="N22" i="18" s="1"/>
  <c r="P22" i="18" s="1"/>
  <c r="N21" i="18" a="1"/>
  <c r="N21" i="18" s="1"/>
  <c r="P21" i="18" s="1"/>
  <c r="L16" i="18"/>
  <c r="K16" i="18"/>
  <c r="J16" i="18"/>
  <c r="I16" i="18"/>
  <c r="H16" i="18"/>
  <c r="G16" i="18"/>
  <c r="F16" i="18"/>
  <c r="L13" i="18"/>
  <c r="K13" i="18"/>
  <c r="J13" i="18"/>
  <c r="I13" i="18"/>
  <c r="H13" i="18"/>
  <c r="G13" i="18"/>
  <c r="F13" i="18"/>
  <c r="L11" i="18"/>
  <c r="K11" i="18"/>
  <c r="J11" i="18"/>
  <c r="I11" i="18"/>
  <c r="H11" i="18"/>
  <c r="G11" i="18"/>
  <c r="F11" i="18"/>
  <c r="L7" i="18"/>
  <c r="K7" i="18"/>
  <c r="J7" i="18"/>
  <c r="I7" i="18"/>
  <c r="H7" i="18"/>
  <c r="G7" i="18"/>
  <c r="F7" i="18"/>
  <c r="L176" i="17"/>
  <c r="K176" i="17"/>
  <c r="J176" i="17"/>
  <c r="I176" i="17"/>
  <c r="G176" i="17"/>
  <c r="F176" i="17"/>
  <c r="D176" i="17"/>
  <c r="E176" i="17" s="1"/>
  <c r="L175" i="17"/>
  <c r="K175" i="17"/>
  <c r="J175" i="17"/>
  <c r="I175" i="17"/>
  <c r="G175" i="17"/>
  <c r="F175" i="17"/>
  <c r="D175" i="17"/>
  <c r="E175" i="17" s="1"/>
  <c r="L174" i="17"/>
  <c r="K174" i="17"/>
  <c r="J174" i="17"/>
  <c r="I174" i="17"/>
  <c r="G174" i="17"/>
  <c r="F174" i="17"/>
  <c r="D174" i="17"/>
  <c r="E174" i="17" s="1"/>
  <c r="L173" i="17"/>
  <c r="K173" i="17"/>
  <c r="J173" i="17"/>
  <c r="I173" i="17"/>
  <c r="G173" i="17"/>
  <c r="F173" i="17"/>
  <c r="D173" i="17"/>
  <c r="E173" i="17" s="1"/>
  <c r="L172" i="17"/>
  <c r="K172" i="17"/>
  <c r="J172" i="17"/>
  <c r="I172" i="17"/>
  <c r="G172" i="17"/>
  <c r="F172" i="17"/>
  <c r="D172" i="17"/>
  <c r="E172" i="17" s="1"/>
  <c r="L171" i="17"/>
  <c r="K171" i="17"/>
  <c r="J171" i="17"/>
  <c r="I171" i="17"/>
  <c r="G171" i="17"/>
  <c r="F171" i="17"/>
  <c r="D171" i="17"/>
  <c r="E171" i="17" s="1"/>
  <c r="L170" i="17"/>
  <c r="K170" i="17"/>
  <c r="J170" i="17"/>
  <c r="I170" i="17"/>
  <c r="G170" i="17"/>
  <c r="F170" i="17"/>
  <c r="D170" i="17"/>
  <c r="E170" i="17" s="1"/>
  <c r="L169" i="17"/>
  <c r="K169" i="17"/>
  <c r="J169" i="17"/>
  <c r="I169" i="17"/>
  <c r="G169" i="17"/>
  <c r="F169" i="17"/>
  <c r="D169" i="17"/>
  <c r="E169" i="17" s="1"/>
  <c r="L168" i="17"/>
  <c r="K168" i="17"/>
  <c r="J168" i="17"/>
  <c r="I168" i="17"/>
  <c r="G168" i="17"/>
  <c r="F168" i="17"/>
  <c r="D168" i="17"/>
  <c r="E168" i="17" s="1"/>
  <c r="L167" i="17"/>
  <c r="K167" i="17"/>
  <c r="J167" i="17"/>
  <c r="I167" i="17"/>
  <c r="G167" i="17"/>
  <c r="F167" i="17"/>
  <c r="D167" i="17"/>
  <c r="E167" i="17" s="1"/>
  <c r="L166" i="17"/>
  <c r="K166" i="17"/>
  <c r="J166" i="17"/>
  <c r="I166" i="17"/>
  <c r="G166" i="17"/>
  <c r="F166" i="17"/>
  <c r="D166" i="17"/>
  <c r="E166" i="17" s="1"/>
  <c r="L165" i="17"/>
  <c r="K165" i="17"/>
  <c r="J165" i="17"/>
  <c r="I165" i="17"/>
  <c r="G165" i="17"/>
  <c r="F165" i="17"/>
  <c r="D165" i="17"/>
  <c r="E165" i="17" s="1"/>
  <c r="L164" i="17"/>
  <c r="K164" i="17"/>
  <c r="J164" i="17"/>
  <c r="I164" i="17"/>
  <c r="G164" i="17"/>
  <c r="F164" i="17"/>
  <c r="D164" i="17"/>
  <c r="E164" i="17" s="1"/>
  <c r="L163" i="17"/>
  <c r="K163" i="17"/>
  <c r="J163" i="17"/>
  <c r="I163" i="17"/>
  <c r="G163" i="17"/>
  <c r="F163" i="17"/>
  <c r="D163" i="17"/>
  <c r="E163" i="17" s="1"/>
  <c r="L162" i="17"/>
  <c r="K162" i="17"/>
  <c r="J162" i="17"/>
  <c r="I162" i="17"/>
  <c r="G162" i="17"/>
  <c r="F162" i="17"/>
  <c r="D162" i="17"/>
  <c r="E162" i="17" s="1"/>
  <c r="L161" i="17"/>
  <c r="K161" i="17"/>
  <c r="J161" i="17"/>
  <c r="I161" i="17"/>
  <c r="G161" i="17"/>
  <c r="F161" i="17"/>
  <c r="D161" i="17"/>
  <c r="E161" i="17" s="1"/>
  <c r="L160" i="17"/>
  <c r="K160" i="17"/>
  <c r="J160" i="17"/>
  <c r="I160" i="17"/>
  <c r="G160" i="17"/>
  <c r="F160" i="17"/>
  <c r="D160" i="17"/>
  <c r="E160" i="17" s="1"/>
  <c r="L159" i="17"/>
  <c r="K159" i="17"/>
  <c r="J159" i="17"/>
  <c r="I159" i="17"/>
  <c r="G159" i="17"/>
  <c r="F159" i="17"/>
  <c r="D159" i="17"/>
  <c r="E159" i="17" s="1"/>
  <c r="L158" i="17"/>
  <c r="K158" i="17"/>
  <c r="J158" i="17"/>
  <c r="I158" i="17"/>
  <c r="G158" i="17"/>
  <c r="F158" i="17"/>
  <c r="D158" i="17"/>
  <c r="E158" i="17" s="1"/>
  <c r="L157" i="17"/>
  <c r="K157" i="17"/>
  <c r="J157" i="17"/>
  <c r="I157" i="17"/>
  <c r="G157" i="17"/>
  <c r="F157" i="17"/>
  <c r="D157" i="17"/>
  <c r="E157" i="17" s="1"/>
  <c r="L156" i="17"/>
  <c r="K156" i="17"/>
  <c r="J156" i="17"/>
  <c r="I156" i="17"/>
  <c r="G156" i="17"/>
  <c r="F156" i="17"/>
  <c r="D156" i="17"/>
  <c r="E156" i="17" s="1"/>
  <c r="L155" i="17"/>
  <c r="K155" i="17"/>
  <c r="J155" i="17"/>
  <c r="I155" i="17"/>
  <c r="G155" i="17"/>
  <c r="F155" i="17"/>
  <c r="D155" i="17"/>
  <c r="E155" i="17" s="1"/>
  <c r="L154" i="17"/>
  <c r="K154" i="17"/>
  <c r="J154" i="17"/>
  <c r="I154" i="17"/>
  <c r="G154" i="17"/>
  <c r="F154" i="17"/>
  <c r="D154" i="17"/>
  <c r="E154" i="17" s="1"/>
  <c r="L153" i="17"/>
  <c r="K153" i="17"/>
  <c r="J153" i="17"/>
  <c r="I153" i="17"/>
  <c r="G153" i="17"/>
  <c r="F153" i="17"/>
  <c r="D153" i="17"/>
  <c r="E153" i="17" s="1"/>
  <c r="D146" i="17"/>
  <c r="E146" i="17" s="1"/>
  <c r="D145" i="17"/>
  <c r="D143" i="17"/>
  <c r="E143" i="17" s="1"/>
  <c r="D142" i="17"/>
  <c r="D141" i="17"/>
  <c r="D140" i="17"/>
  <c r="J140" i="17" s="1"/>
  <c r="D139" i="17"/>
  <c r="E139" i="17" s="1"/>
  <c r="D138" i="17"/>
  <c r="K138" i="17" s="1"/>
  <c r="D137" i="17"/>
  <c r="K137" i="17" s="1"/>
  <c r="D136" i="17"/>
  <c r="D135" i="17"/>
  <c r="D134" i="17"/>
  <c r="D133" i="17"/>
  <c r="J133" i="17" s="1"/>
  <c r="D132" i="17"/>
  <c r="E132" i="17" s="1"/>
  <c r="D131" i="17"/>
  <c r="D130" i="17"/>
  <c r="D129" i="17"/>
  <c r="J129" i="17" s="1"/>
  <c r="D128" i="17"/>
  <c r="E128" i="17" s="1"/>
  <c r="D127" i="17"/>
  <c r="L127" i="17" s="1"/>
  <c r="D126" i="17"/>
  <c r="F126" i="17" s="1"/>
  <c r="D125" i="17"/>
  <c r="H125" i="17" s="1"/>
  <c r="D124" i="17"/>
  <c r="D123" i="17"/>
  <c r="D122" i="17"/>
  <c r="D121" i="17"/>
  <c r="J121" i="17" s="1"/>
  <c r="D120" i="17"/>
  <c r="K120" i="17" s="1"/>
  <c r="D119" i="17"/>
  <c r="L119" i="17" s="1"/>
  <c r="D118" i="17"/>
  <c r="I118" i="17" s="1"/>
  <c r="D117" i="17"/>
  <c r="H117" i="17" s="1"/>
  <c r="D116" i="17"/>
  <c r="E116" i="17" s="1"/>
  <c r="D115" i="17"/>
  <c r="L115" i="17" s="1"/>
  <c r="N102" i="17" a="1"/>
  <c r="N102" i="17" s="1"/>
  <c r="Q102" i="17" s="1"/>
  <c r="N101" i="17" a="1"/>
  <c r="N101" i="17" s="1"/>
  <c r="Q101" i="17" s="1"/>
  <c r="N99" i="17" a="1"/>
  <c r="N99" i="17" s="1"/>
  <c r="Q99" i="17" s="1"/>
  <c r="N98" i="17" a="1"/>
  <c r="N98" i="17" s="1"/>
  <c r="Q98" i="17" s="1"/>
  <c r="N97" i="17" a="1"/>
  <c r="N97" i="17" s="1"/>
  <c r="Q97" i="17" s="1"/>
  <c r="N96" i="17" a="1"/>
  <c r="N96" i="17" s="1"/>
  <c r="Q96" i="17" s="1"/>
  <c r="N95" i="17" a="1"/>
  <c r="N95" i="17" s="1"/>
  <c r="Q95" i="17" s="1"/>
  <c r="N94" i="17" a="1"/>
  <c r="N94" i="17" s="1"/>
  <c r="Q94" i="17" s="1"/>
  <c r="N93" i="17" a="1"/>
  <c r="N93" i="17" s="1"/>
  <c r="Q93" i="17" s="1"/>
  <c r="N92" i="17" a="1"/>
  <c r="N92" i="17" s="1"/>
  <c r="Q92" i="17" s="1"/>
  <c r="N91" i="17" a="1"/>
  <c r="N91" i="17" s="1"/>
  <c r="Q91" i="17" s="1"/>
  <c r="N90" i="17" a="1"/>
  <c r="N90" i="17" s="1"/>
  <c r="Q90" i="17" s="1"/>
  <c r="N89" i="17" a="1"/>
  <c r="N89" i="17" s="1"/>
  <c r="Q89" i="17" s="1"/>
  <c r="N88" i="17" a="1"/>
  <c r="N88" i="17" s="1"/>
  <c r="Q88" i="17" s="1"/>
  <c r="N87" i="17" a="1"/>
  <c r="N87" i="17" s="1"/>
  <c r="Q87" i="17" s="1"/>
  <c r="N86" i="17" a="1"/>
  <c r="N86" i="17" s="1"/>
  <c r="Q86" i="17" s="1"/>
  <c r="R84" i="17"/>
  <c r="N84" i="17" a="1"/>
  <c r="N84" i="17" s="1"/>
  <c r="Q84" i="17" s="1"/>
  <c r="R83" i="17"/>
  <c r="N83" i="17" a="1"/>
  <c r="N83" i="17" s="1"/>
  <c r="Q83" i="17" s="1"/>
  <c r="R82" i="17"/>
  <c r="N82" i="17" a="1"/>
  <c r="N82" i="17" s="1"/>
  <c r="Q82" i="17" s="1"/>
  <c r="R81" i="17"/>
  <c r="N81" i="17" a="1"/>
  <c r="N81" i="17" s="1"/>
  <c r="Q81" i="17" s="1"/>
  <c r="R80" i="17"/>
  <c r="N80" i="17" a="1"/>
  <c r="N80" i="17" s="1"/>
  <c r="Q80" i="17" s="1"/>
  <c r="R79" i="17"/>
  <c r="N79" i="17" a="1"/>
  <c r="N79" i="17" s="1"/>
  <c r="Q79" i="17" s="1"/>
  <c r="R78" i="17"/>
  <c r="N78" i="17" a="1"/>
  <c r="N78" i="17" s="1"/>
  <c r="Q78" i="17" s="1"/>
  <c r="R77" i="17"/>
  <c r="N77" i="17" a="1"/>
  <c r="N77" i="17" s="1"/>
  <c r="Q77" i="17" s="1"/>
  <c r="R76" i="17"/>
  <c r="N76" i="17" a="1"/>
  <c r="N76" i="17" s="1"/>
  <c r="Q76" i="17" s="1"/>
  <c r="R75" i="17"/>
  <c r="N75" i="17" a="1"/>
  <c r="N75" i="17" s="1"/>
  <c r="Q75" i="17" s="1"/>
  <c r="R74" i="17"/>
  <c r="N74" i="17" a="1"/>
  <c r="N74" i="17" s="1"/>
  <c r="Q74" i="17" s="1"/>
  <c r="R73" i="17"/>
  <c r="N73" i="17" a="1"/>
  <c r="N73" i="17" s="1"/>
  <c r="Q73" i="17" s="1"/>
  <c r="R72" i="17"/>
  <c r="N72" i="17" a="1"/>
  <c r="N72" i="17" s="1"/>
  <c r="Q72" i="17" s="1"/>
  <c r="R71" i="17"/>
  <c r="N71" i="17" a="1"/>
  <c r="N71" i="17" s="1"/>
  <c r="Q71" i="17" s="1"/>
  <c r="R70" i="17"/>
  <c r="N70" i="17" a="1"/>
  <c r="N70" i="17" s="1"/>
  <c r="Q70" i="17" s="1"/>
  <c r="R69" i="17"/>
  <c r="N69" i="17" a="1"/>
  <c r="N69" i="17" s="1"/>
  <c r="Q69" i="17" s="1"/>
  <c r="R68" i="17"/>
  <c r="N68" i="17" a="1"/>
  <c r="N68" i="17" s="1"/>
  <c r="Q68" i="17" s="1"/>
  <c r="R67" i="17"/>
  <c r="N67" i="17" a="1"/>
  <c r="N67" i="17" s="1"/>
  <c r="Q67" i="17" s="1"/>
  <c r="R66" i="17"/>
  <c r="N66" i="17" a="1"/>
  <c r="N66" i="17" s="1"/>
  <c r="Q66" i="17" s="1"/>
  <c r="R65" i="17"/>
  <c r="N65" i="17" a="1"/>
  <c r="N65" i="17" s="1"/>
  <c r="Q65" i="17" s="1"/>
  <c r="R64" i="17"/>
  <c r="N64" i="17" a="1"/>
  <c r="N64" i="17" s="1"/>
  <c r="Q64" i="17" s="1"/>
  <c r="R63" i="17"/>
  <c r="N63" i="17" a="1"/>
  <c r="N63" i="17" s="1"/>
  <c r="Q63" i="17" s="1"/>
  <c r="R62" i="17"/>
  <c r="N62" i="17" a="1"/>
  <c r="N62" i="17" s="1"/>
  <c r="Q62" i="17" s="1"/>
  <c r="R61" i="17"/>
  <c r="N61" i="17" a="1"/>
  <c r="N61" i="17" s="1"/>
  <c r="Q61" i="17" s="1"/>
  <c r="R54" i="17"/>
  <c r="N54" i="17" a="1"/>
  <c r="N54" i="17" s="1"/>
  <c r="R51" i="17" s="1"/>
  <c r="N47" i="17" a="1"/>
  <c r="N47" i="17" s="1"/>
  <c r="P47" i="17" s="1"/>
  <c r="N46" i="17" a="1"/>
  <c r="N46" i="17" s="1"/>
  <c r="P46" i="17" s="1"/>
  <c r="N45" i="17" a="1"/>
  <c r="N45" i="17" s="1"/>
  <c r="P45" i="17" s="1"/>
  <c r="N44" i="17" a="1"/>
  <c r="N44" i="17" s="1"/>
  <c r="P44" i="17" s="1"/>
  <c r="N43" i="17" a="1"/>
  <c r="N43" i="17" s="1"/>
  <c r="P43" i="17" s="1"/>
  <c r="N42" i="17" a="1"/>
  <c r="N42" i="17" s="1"/>
  <c r="P42" i="17" s="1"/>
  <c r="N41" i="17" a="1"/>
  <c r="N41" i="17" s="1"/>
  <c r="P41" i="17" s="1"/>
  <c r="N40" i="17" a="1"/>
  <c r="N40" i="17" s="1"/>
  <c r="P40" i="17" s="1"/>
  <c r="N39" i="17" a="1"/>
  <c r="N39" i="17" s="1"/>
  <c r="P39" i="17" s="1"/>
  <c r="N38" i="17" a="1"/>
  <c r="N38" i="17" s="1"/>
  <c r="P38" i="17" s="1"/>
  <c r="N37" i="17" a="1"/>
  <c r="N37" i="17" s="1"/>
  <c r="P37" i="17" s="1"/>
  <c r="N36" i="17" a="1"/>
  <c r="N36" i="17" s="1"/>
  <c r="P36" i="17" s="1"/>
  <c r="N35" i="17" a="1"/>
  <c r="N35" i="17" s="1"/>
  <c r="P35" i="17" s="1"/>
  <c r="N34" i="17" a="1"/>
  <c r="N34" i="17" s="1"/>
  <c r="P34" i="17" s="1"/>
  <c r="N33" i="17" a="1"/>
  <c r="N33" i="17" s="1"/>
  <c r="P33" i="17" s="1"/>
  <c r="N32" i="17" a="1"/>
  <c r="N32" i="17" s="1"/>
  <c r="P32" i="17" s="1"/>
  <c r="N31" i="17" a="1"/>
  <c r="N31" i="17" s="1"/>
  <c r="P31" i="17" s="1"/>
  <c r="N30" i="17" a="1"/>
  <c r="N30" i="17" s="1"/>
  <c r="P30" i="17" s="1"/>
  <c r="N29" i="17" a="1"/>
  <c r="N29" i="17" s="1"/>
  <c r="P29" i="17" s="1"/>
  <c r="N28" i="17" a="1"/>
  <c r="N28" i="17" s="1"/>
  <c r="P28" i="17" s="1"/>
  <c r="N27" i="17" a="1"/>
  <c r="N27" i="17" s="1"/>
  <c r="P27" i="17" s="1"/>
  <c r="N26" i="17" a="1"/>
  <c r="N26" i="17" s="1"/>
  <c r="P26" i="17" s="1"/>
  <c r="N25" i="17" a="1"/>
  <c r="N25" i="17" s="1"/>
  <c r="P25" i="17" s="1"/>
  <c r="N24" i="17" a="1"/>
  <c r="N24" i="17" s="1"/>
  <c r="P24" i="17" s="1"/>
  <c r="N23" i="17" a="1"/>
  <c r="N23" i="17" s="1"/>
  <c r="P23" i="17" s="1"/>
  <c r="N22" i="17" a="1"/>
  <c r="N22" i="17" s="1"/>
  <c r="P22" i="17" s="1"/>
  <c r="N21" i="17" a="1"/>
  <c r="N21" i="17" s="1"/>
  <c r="P21" i="17" s="1"/>
  <c r="L16" i="17"/>
  <c r="K16" i="17"/>
  <c r="J16" i="17"/>
  <c r="I16" i="17"/>
  <c r="H16" i="17"/>
  <c r="G16" i="17"/>
  <c r="F16" i="17"/>
  <c r="L13" i="17"/>
  <c r="K13" i="17"/>
  <c r="J13" i="17"/>
  <c r="I13" i="17"/>
  <c r="H13" i="17"/>
  <c r="G13" i="17"/>
  <c r="F13" i="17"/>
  <c r="L11" i="17"/>
  <c r="K11" i="17"/>
  <c r="J11" i="17"/>
  <c r="I11" i="17"/>
  <c r="H11" i="17"/>
  <c r="G11" i="17"/>
  <c r="F11" i="17"/>
  <c r="L7" i="17"/>
  <c r="K7" i="17"/>
  <c r="J7" i="17"/>
  <c r="J8" i="17" s="1"/>
  <c r="I7" i="17"/>
  <c r="H7" i="17"/>
  <c r="G7" i="17"/>
  <c r="F7" i="17"/>
  <c r="L176" i="16"/>
  <c r="K176" i="16"/>
  <c r="J176" i="16"/>
  <c r="I176" i="16"/>
  <c r="G176" i="16"/>
  <c r="F176" i="16"/>
  <c r="D176" i="16"/>
  <c r="E176" i="16" s="1"/>
  <c r="L175" i="16"/>
  <c r="K175" i="16"/>
  <c r="J175" i="16"/>
  <c r="I175" i="16"/>
  <c r="G175" i="16"/>
  <c r="F175" i="16"/>
  <c r="D175" i="16"/>
  <c r="E175" i="16" s="1"/>
  <c r="L174" i="16"/>
  <c r="K174" i="16"/>
  <c r="J174" i="16"/>
  <c r="I174" i="16"/>
  <c r="G174" i="16"/>
  <c r="F174" i="16"/>
  <c r="D174" i="16"/>
  <c r="E174" i="16" s="1"/>
  <c r="L173" i="16"/>
  <c r="K173" i="16"/>
  <c r="J173" i="16"/>
  <c r="I173" i="16"/>
  <c r="G173" i="16"/>
  <c r="F173" i="16"/>
  <c r="D173" i="16"/>
  <c r="E173" i="16" s="1"/>
  <c r="L172" i="16"/>
  <c r="K172" i="16"/>
  <c r="J172" i="16"/>
  <c r="I172" i="16"/>
  <c r="G172" i="16"/>
  <c r="F172" i="16"/>
  <c r="D172" i="16"/>
  <c r="E172" i="16" s="1"/>
  <c r="L171" i="16"/>
  <c r="K171" i="16"/>
  <c r="J171" i="16"/>
  <c r="I171" i="16"/>
  <c r="G171" i="16"/>
  <c r="F171" i="16"/>
  <c r="D171" i="16"/>
  <c r="E171" i="16" s="1"/>
  <c r="L170" i="16"/>
  <c r="K170" i="16"/>
  <c r="J170" i="16"/>
  <c r="I170" i="16"/>
  <c r="G170" i="16"/>
  <c r="F170" i="16"/>
  <c r="D170" i="16"/>
  <c r="E170" i="16" s="1"/>
  <c r="L169" i="16"/>
  <c r="K169" i="16"/>
  <c r="J169" i="16"/>
  <c r="I169" i="16"/>
  <c r="G169" i="16"/>
  <c r="F169" i="16"/>
  <c r="D169" i="16"/>
  <c r="E169" i="16" s="1"/>
  <c r="L168" i="16"/>
  <c r="K168" i="16"/>
  <c r="J168" i="16"/>
  <c r="I168" i="16"/>
  <c r="G168" i="16"/>
  <c r="F168" i="16"/>
  <c r="D168" i="16"/>
  <c r="E168" i="16" s="1"/>
  <c r="L167" i="16"/>
  <c r="K167" i="16"/>
  <c r="J167" i="16"/>
  <c r="I167" i="16"/>
  <c r="G167" i="16"/>
  <c r="F167" i="16"/>
  <c r="D167" i="16"/>
  <c r="E167" i="16" s="1"/>
  <c r="L166" i="16"/>
  <c r="K166" i="16"/>
  <c r="J166" i="16"/>
  <c r="I166" i="16"/>
  <c r="G166" i="16"/>
  <c r="F166" i="16"/>
  <c r="D166" i="16"/>
  <c r="E166" i="16" s="1"/>
  <c r="L165" i="16"/>
  <c r="K165" i="16"/>
  <c r="J165" i="16"/>
  <c r="I165" i="16"/>
  <c r="G165" i="16"/>
  <c r="F165" i="16"/>
  <c r="D165" i="16"/>
  <c r="E165" i="16" s="1"/>
  <c r="L164" i="16"/>
  <c r="K164" i="16"/>
  <c r="J164" i="16"/>
  <c r="I164" i="16"/>
  <c r="G164" i="16"/>
  <c r="F164" i="16"/>
  <c r="D164" i="16"/>
  <c r="E164" i="16" s="1"/>
  <c r="L163" i="16"/>
  <c r="K163" i="16"/>
  <c r="J163" i="16"/>
  <c r="I163" i="16"/>
  <c r="G163" i="16"/>
  <c r="F163" i="16"/>
  <c r="D163" i="16"/>
  <c r="E163" i="16" s="1"/>
  <c r="L162" i="16"/>
  <c r="K162" i="16"/>
  <c r="J162" i="16"/>
  <c r="I162" i="16"/>
  <c r="G162" i="16"/>
  <c r="F162" i="16"/>
  <c r="D162" i="16"/>
  <c r="E162" i="16" s="1"/>
  <c r="L161" i="16"/>
  <c r="K161" i="16"/>
  <c r="J161" i="16"/>
  <c r="I161" i="16"/>
  <c r="G161" i="16"/>
  <c r="F161" i="16"/>
  <c r="D161" i="16"/>
  <c r="E161" i="16" s="1"/>
  <c r="L160" i="16"/>
  <c r="K160" i="16"/>
  <c r="J160" i="16"/>
  <c r="I160" i="16"/>
  <c r="G160" i="16"/>
  <c r="F160" i="16"/>
  <c r="D160" i="16"/>
  <c r="E160" i="16" s="1"/>
  <c r="L159" i="16"/>
  <c r="K159" i="16"/>
  <c r="J159" i="16"/>
  <c r="I159" i="16"/>
  <c r="G159" i="16"/>
  <c r="F159" i="16"/>
  <c r="D159" i="16"/>
  <c r="E159" i="16" s="1"/>
  <c r="L158" i="16"/>
  <c r="K158" i="16"/>
  <c r="J158" i="16"/>
  <c r="I158" i="16"/>
  <c r="G158" i="16"/>
  <c r="F158" i="16"/>
  <c r="D158" i="16"/>
  <c r="E158" i="16" s="1"/>
  <c r="L157" i="16"/>
  <c r="K157" i="16"/>
  <c r="J157" i="16"/>
  <c r="I157" i="16"/>
  <c r="G157" i="16"/>
  <c r="F157" i="16"/>
  <c r="D157" i="16"/>
  <c r="E157" i="16" s="1"/>
  <c r="L156" i="16"/>
  <c r="K156" i="16"/>
  <c r="J156" i="16"/>
  <c r="I156" i="16"/>
  <c r="G156" i="16"/>
  <c r="F156" i="16"/>
  <c r="D156" i="16"/>
  <c r="E156" i="16" s="1"/>
  <c r="L155" i="16"/>
  <c r="K155" i="16"/>
  <c r="J155" i="16"/>
  <c r="I155" i="16"/>
  <c r="G155" i="16"/>
  <c r="F155" i="16"/>
  <c r="D155" i="16"/>
  <c r="E155" i="16" s="1"/>
  <c r="L154" i="16"/>
  <c r="K154" i="16"/>
  <c r="J154" i="16"/>
  <c r="I154" i="16"/>
  <c r="G154" i="16"/>
  <c r="F154" i="16"/>
  <c r="D154" i="16"/>
  <c r="E154" i="16" s="1"/>
  <c r="L153" i="16"/>
  <c r="K153" i="16"/>
  <c r="J153" i="16"/>
  <c r="I153" i="16"/>
  <c r="G153" i="16"/>
  <c r="F153" i="16"/>
  <c r="D153" i="16"/>
  <c r="E153" i="16" s="1"/>
  <c r="R54" i="16"/>
  <c r="D146" i="16"/>
  <c r="E146" i="16" s="1"/>
  <c r="D145" i="16"/>
  <c r="D143" i="16"/>
  <c r="L143" i="16" s="1"/>
  <c r="D142" i="16"/>
  <c r="D141" i="16"/>
  <c r="D140" i="16"/>
  <c r="H140" i="16" s="1"/>
  <c r="D139" i="16"/>
  <c r="D138" i="16"/>
  <c r="D137" i="16"/>
  <c r="E137" i="16" s="1"/>
  <c r="D136" i="16"/>
  <c r="I136" i="16" s="1"/>
  <c r="D135" i="16"/>
  <c r="J135" i="16" s="1"/>
  <c r="D134" i="16"/>
  <c r="D133" i="16"/>
  <c r="H133" i="16" s="1"/>
  <c r="D132" i="16"/>
  <c r="D131" i="16"/>
  <c r="D130" i="16"/>
  <c r="D129" i="16"/>
  <c r="D128" i="16"/>
  <c r="D127" i="16"/>
  <c r="I127" i="16" s="1"/>
  <c r="D126" i="16"/>
  <c r="E126" i="16" s="1"/>
  <c r="D125" i="16"/>
  <c r="D124" i="16"/>
  <c r="D123" i="16"/>
  <c r="K123" i="16" s="1"/>
  <c r="D122" i="16"/>
  <c r="E122" i="16" s="1"/>
  <c r="D121" i="16"/>
  <c r="G121" i="16" s="1"/>
  <c r="D120" i="16"/>
  <c r="E120" i="16" s="1"/>
  <c r="D119" i="16"/>
  <c r="D118" i="16"/>
  <c r="D117" i="16"/>
  <c r="D116" i="16"/>
  <c r="E116" i="16" s="1"/>
  <c r="D115" i="16"/>
  <c r="L115" i="16" s="1"/>
  <c r="N102" i="16" a="1"/>
  <c r="N102" i="16" s="1"/>
  <c r="Q102" i="16" s="1"/>
  <c r="N101" i="16" a="1"/>
  <c r="N101" i="16" s="1"/>
  <c r="Q101" i="16" s="1"/>
  <c r="N99" i="16" a="1"/>
  <c r="N99" i="16" s="1"/>
  <c r="Q99" i="16" s="1"/>
  <c r="N98" i="16" a="1"/>
  <c r="N98" i="16" s="1"/>
  <c r="Q98" i="16" s="1"/>
  <c r="N97" i="16" a="1"/>
  <c r="N97" i="16" s="1"/>
  <c r="Q97" i="16" s="1"/>
  <c r="N96" i="16" a="1"/>
  <c r="N96" i="16" s="1"/>
  <c r="Q96" i="16" s="1"/>
  <c r="N95" i="16" a="1"/>
  <c r="N95" i="16" s="1"/>
  <c r="Q95" i="16" s="1"/>
  <c r="N94" i="16" a="1"/>
  <c r="N94" i="16" s="1"/>
  <c r="Q94" i="16" s="1"/>
  <c r="N93" i="16" a="1"/>
  <c r="N93" i="16" s="1"/>
  <c r="Q93" i="16" s="1"/>
  <c r="N92" i="16" a="1"/>
  <c r="N92" i="16" s="1"/>
  <c r="Q92" i="16" s="1"/>
  <c r="N91" i="16" a="1"/>
  <c r="N91" i="16" s="1"/>
  <c r="Q91" i="16" s="1"/>
  <c r="N90" i="16" a="1"/>
  <c r="N90" i="16" s="1"/>
  <c r="Q90" i="16" s="1"/>
  <c r="N89" i="16" a="1"/>
  <c r="N89" i="16" s="1"/>
  <c r="Q89" i="16" s="1"/>
  <c r="N88" i="16" a="1"/>
  <c r="N88" i="16" s="1"/>
  <c r="Q88" i="16" s="1"/>
  <c r="N87" i="16" a="1"/>
  <c r="N87" i="16" s="1"/>
  <c r="Q87" i="16" s="1"/>
  <c r="N86" i="16" a="1"/>
  <c r="N86" i="16" s="1"/>
  <c r="Q86" i="16" s="1"/>
  <c r="R84" i="16"/>
  <c r="N84" i="16" a="1"/>
  <c r="N84" i="16" s="1"/>
  <c r="Q84" i="16" s="1"/>
  <c r="R83" i="16"/>
  <c r="N83" i="16" a="1"/>
  <c r="N83" i="16" s="1"/>
  <c r="Q83" i="16" s="1"/>
  <c r="R82" i="16"/>
  <c r="N82" i="16" a="1"/>
  <c r="N82" i="16" s="1"/>
  <c r="Q82" i="16" s="1"/>
  <c r="R81" i="16"/>
  <c r="N81" i="16" a="1"/>
  <c r="N81" i="16" s="1"/>
  <c r="Q81" i="16" s="1"/>
  <c r="R80" i="16"/>
  <c r="N80" i="16" a="1"/>
  <c r="N80" i="16" s="1"/>
  <c r="Q80" i="16" s="1"/>
  <c r="R79" i="16"/>
  <c r="N79" i="16" a="1"/>
  <c r="N79" i="16" s="1"/>
  <c r="Q79" i="16" s="1"/>
  <c r="R78" i="16"/>
  <c r="N78" i="16" a="1"/>
  <c r="N78" i="16" s="1"/>
  <c r="Q78" i="16" s="1"/>
  <c r="R77" i="16"/>
  <c r="N77" i="16" a="1"/>
  <c r="N77" i="16" s="1"/>
  <c r="Q77" i="16" s="1"/>
  <c r="R76" i="16"/>
  <c r="N76" i="16" a="1"/>
  <c r="N76" i="16" s="1"/>
  <c r="Q76" i="16" s="1"/>
  <c r="R75" i="16"/>
  <c r="N75" i="16" a="1"/>
  <c r="N75" i="16" s="1"/>
  <c r="Q75" i="16" s="1"/>
  <c r="R74" i="16"/>
  <c r="N74" i="16" a="1"/>
  <c r="N74" i="16" s="1"/>
  <c r="Q74" i="16" s="1"/>
  <c r="R73" i="16"/>
  <c r="N73" i="16" a="1"/>
  <c r="N73" i="16" s="1"/>
  <c r="Q73" i="16" s="1"/>
  <c r="R72" i="16"/>
  <c r="N72" i="16" a="1"/>
  <c r="N72" i="16" s="1"/>
  <c r="Q72" i="16" s="1"/>
  <c r="R71" i="16"/>
  <c r="N71" i="16" a="1"/>
  <c r="N71" i="16" s="1"/>
  <c r="Q71" i="16" s="1"/>
  <c r="R70" i="16"/>
  <c r="N70" i="16" a="1"/>
  <c r="N70" i="16" s="1"/>
  <c r="Q70" i="16" s="1"/>
  <c r="R69" i="16"/>
  <c r="N69" i="16" a="1"/>
  <c r="N69" i="16" s="1"/>
  <c r="Q69" i="16" s="1"/>
  <c r="R68" i="16"/>
  <c r="N68" i="16" a="1"/>
  <c r="N68" i="16" s="1"/>
  <c r="Q68" i="16" s="1"/>
  <c r="R67" i="16"/>
  <c r="N67" i="16" a="1"/>
  <c r="N67" i="16" s="1"/>
  <c r="Q67" i="16" s="1"/>
  <c r="R66" i="16"/>
  <c r="N66" i="16" a="1"/>
  <c r="N66" i="16" s="1"/>
  <c r="Q66" i="16" s="1"/>
  <c r="R65" i="16"/>
  <c r="N65" i="16" a="1"/>
  <c r="N65" i="16" s="1"/>
  <c r="Q65" i="16" s="1"/>
  <c r="R64" i="16"/>
  <c r="N64" i="16" a="1"/>
  <c r="N64" i="16" s="1"/>
  <c r="Q64" i="16" s="1"/>
  <c r="R63" i="16"/>
  <c r="N63" i="16" a="1"/>
  <c r="N63" i="16" s="1"/>
  <c r="Q63" i="16" s="1"/>
  <c r="R62" i="16"/>
  <c r="N62" i="16" a="1"/>
  <c r="N62" i="16" s="1"/>
  <c r="Q62" i="16" s="1"/>
  <c r="R61" i="16"/>
  <c r="N61" i="16" a="1"/>
  <c r="N61" i="16" s="1"/>
  <c r="Q61" i="16" s="1"/>
  <c r="N54" i="16" a="1"/>
  <c r="N54" i="16" s="1"/>
  <c r="R51" i="16" s="1"/>
  <c r="N47" i="16" a="1"/>
  <c r="N47" i="16" s="1"/>
  <c r="P47" i="16" s="1"/>
  <c r="N46" i="16" a="1"/>
  <c r="N46" i="16" s="1"/>
  <c r="P46" i="16" s="1"/>
  <c r="N45" i="16" a="1"/>
  <c r="N45" i="16" s="1"/>
  <c r="P45" i="16" s="1"/>
  <c r="N44" i="16" a="1"/>
  <c r="N44" i="16" s="1"/>
  <c r="P44" i="16" s="1"/>
  <c r="N43" i="16" a="1"/>
  <c r="N43" i="16" s="1"/>
  <c r="P43" i="16" s="1"/>
  <c r="N42" i="16" a="1"/>
  <c r="N42" i="16" s="1"/>
  <c r="P42" i="16" s="1"/>
  <c r="N41" i="16" a="1"/>
  <c r="N41" i="16" s="1"/>
  <c r="P41" i="16" s="1"/>
  <c r="N40" i="16" a="1"/>
  <c r="N40" i="16" s="1"/>
  <c r="P40" i="16" s="1"/>
  <c r="N39" i="16" a="1"/>
  <c r="N39" i="16" s="1"/>
  <c r="P39" i="16" s="1"/>
  <c r="N38" i="16" a="1"/>
  <c r="N38" i="16" s="1"/>
  <c r="P38" i="16" s="1"/>
  <c r="N37" i="16" a="1"/>
  <c r="N37" i="16" s="1"/>
  <c r="P37" i="16" s="1"/>
  <c r="N36" i="16" a="1"/>
  <c r="N36" i="16" s="1"/>
  <c r="P36" i="16" s="1"/>
  <c r="N35" i="16" a="1"/>
  <c r="N35" i="16" s="1"/>
  <c r="P35" i="16" s="1"/>
  <c r="N34" i="16" a="1"/>
  <c r="N34" i="16" s="1"/>
  <c r="P34" i="16" s="1"/>
  <c r="N33" i="16" a="1"/>
  <c r="N33" i="16" s="1"/>
  <c r="P33" i="16" s="1"/>
  <c r="N32" i="16" a="1"/>
  <c r="N32" i="16" s="1"/>
  <c r="P32" i="16" s="1"/>
  <c r="N31" i="16" a="1"/>
  <c r="N31" i="16" s="1"/>
  <c r="P31" i="16" s="1"/>
  <c r="N30" i="16" a="1"/>
  <c r="N30" i="16" s="1"/>
  <c r="P30" i="16" s="1"/>
  <c r="N29" i="16" a="1"/>
  <c r="N29" i="16" s="1"/>
  <c r="P29" i="16" s="1"/>
  <c r="N28" i="16" a="1"/>
  <c r="N28" i="16" s="1"/>
  <c r="P28" i="16" s="1"/>
  <c r="N27" i="16" a="1"/>
  <c r="N27" i="16" s="1"/>
  <c r="P27" i="16" s="1"/>
  <c r="N26" i="16" a="1"/>
  <c r="N26" i="16" s="1"/>
  <c r="P26" i="16" s="1"/>
  <c r="N25" i="16" a="1"/>
  <c r="N25" i="16" s="1"/>
  <c r="P25" i="16" s="1"/>
  <c r="N24" i="16" a="1"/>
  <c r="N24" i="16" s="1"/>
  <c r="P24" i="16" s="1"/>
  <c r="N23" i="16" a="1"/>
  <c r="N23" i="16" s="1"/>
  <c r="P23" i="16" s="1"/>
  <c r="N22" i="16" a="1"/>
  <c r="N22" i="16" s="1"/>
  <c r="P22" i="16" s="1"/>
  <c r="N21" i="16" a="1"/>
  <c r="N21" i="16" s="1"/>
  <c r="P21" i="16" s="1"/>
  <c r="L16" i="16"/>
  <c r="K16" i="16"/>
  <c r="J16" i="16"/>
  <c r="I16" i="16"/>
  <c r="H16" i="16"/>
  <c r="G16" i="16"/>
  <c r="F16" i="16"/>
  <c r="L13" i="16"/>
  <c r="K13" i="16"/>
  <c r="J13" i="16"/>
  <c r="I13" i="16"/>
  <c r="H13" i="16"/>
  <c r="G13" i="16"/>
  <c r="F13" i="16"/>
  <c r="L11" i="16"/>
  <c r="K11" i="16"/>
  <c r="J11" i="16"/>
  <c r="I11" i="16"/>
  <c r="H11" i="16"/>
  <c r="G11" i="16"/>
  <c r="F11" i="16"/>
  <c r="L7" i="16"/>
  <c r="K7" i="16"/>
  <c r="J7" i="16"/>
  <c r="I7" i="16"/>
  <c r="H7" i="16"/>
  <c r="G7" i="16"/>
  <c r="F7" i="16"/>
  <c r="L176" i="3"/>
  <c r="K176" i="3"/>
  <c r="J176" i="3"/>
  <c r="I176" i="3"/>
  <c r="G176" i="3"/>
  <c r="F176" i="3"/>
  <c r="D176" i="3"/>
  <c r="E176" i="3" s="1"/>
  <c r="L175" i="3"/>
  <c r="K175" i="3"/>
  <c r="J175" i="3"/>
  <c r="I175" i="3"/>
  <c r="G175" i="3"/>
  <c r="F175" i="3"/>
  <c r="D175" i="3"/>
  <c r="E175" i="3" s="1"/>
  <c r="L174" i="3"/>
  <c r="K174" i="3"/>
  <c r="J174" i="3"/>
  <c r="I174" i="3"/>
  <c r="G174" i="3"/>
  <c r="F174" i="3"/>
  <c r="D174" i="3"/>
  <c r="E174" i="3" s="1"/>
  <c r="L173" i="3"/>
  <c r="K173" i="3"/>
  <c r="J173" i="3"/>
  <c r="I173" i="3"/>
  <c r="G173" i="3"/>
  <c r="F173" i="3"/>
  <c r="D173" i="3"/>
  <c r="E173" i="3" s="1"/>
  <c r="L172" i="3"/>
  <c r="K172" i="3"/>
  <c r="J172" i="3"/>
  <c r="I172" i="3"/>
  <c r="G172" i="3"/>
  <c r="F172" i="3"/>
  <c r="D172" i="3"/>
  <c r="E172" i="3" s="1"/>
  <c r="L171" i="3"/>
  <c r="K171" i="3"/>
  <c r="J171" i="3"/>
  <c r="I171" i="3"/>
  <c r="G171" i="3"/>
  <c r="F171" i="3"/>
  <c r="D171" i="3"/>
  <c r="E171" i="3" s="1"/>
  <c r="L170" i="3"/>
  <c r="K170" i="3"/>
  <c r="J170" i="3"/>
  <c r="I170" i="3"/>
  <c r="G170" i="3"/>
  <c r="F170" i="3"/>
  <c r="D170" i="3"/>
  <c r="E170" i="3" s="1"/>
  <c r="L169" i="3"/>
  <c r="K169" i="3"/>
  <c r="J169" i="3"/>
  <c r="I169" i="3"/>
  <c r="G169" i="3"/>
  <c r="F169" i="3"/>
  <c r="D169" i="3"/>
  <c r="E169" i="3" s="1"/>
  <c r="L168" i="3"/>
  <c r="K168" i="3"/>
  <c r="J168" i="3"/>
  <c r="I168" i="3"/>
  <c r="G168" i="3"/>
  <c r="F168" i="3"/>
  <c r="D168" i="3"/>
  <c r="E168" i="3" s="1"/>
  <c r="L167" i="3"/>
  <c r="K167" i="3"/>
  <c r="J167" i="3"/>
  <c r="I167" i="3"/>
  <c r="G167" i="3"/>
  <c r="F167" i="3"/>
  <c r="D167" i="3"/>
  <c r="E167" i="3" s="1"/>
  <c r="L166" i="3"/>
  <c r="K166" i="3"/>
  <c r="J166" i="3"/>
  <c r="I166" i="3"/>
  <c r="G166" i="3"/>
  <c r="F166" i="3"/>
  <c r="D166" i="3"/>
  <c r="E166" i="3" s="1"/>
  <c r="L165" i="3"/>
  <c r="K165" i="3"/>
  <c r="J165" i="3"/>
  <c r="I165" i="3"/>
  <c r="G165" i="3"/>
  <c r="F165" i="3"/>
  <c r="D165" i="3"/>
  <c r="E165" i="3" s="1"/>
  <c r="L164" i="3"/>
  <c r="K164" i="3"/>
  <c r="J164" i="3"/>
  <c r="I164" i="3"/>
  <c r="G164" i="3"/>
  <c r="F164" i="3"/>
  <c r="D164" i="3"/>
  <c r="E164" i="3" s="1"/>
  <c r="L163" i="3"/>
  <c r="K163" i="3"/>
  <c r="J163" i="3"/>
  <c r="I163" i="3"/>
  <c r="G163" i="3"/>
  <c r="F163" i="3"/>
  <c r="D163" i="3"/>
  <c r="E163" i="3" s="1"/>
  <c r="L162" i="3"/>
  <c r="K162" i="3"/>
  <c r="J162" i="3"/>
  <c r="I162" i="3"/>
  <c r="G162" i="3"/>
  <c r="F162" i="3"/>
  <c r="D162" i="3"/>
  <c r="E162" i="3" s="1"/>
  <c r="L161" i="3"/>
  <c r="K161" i="3"/>
  <c r="J161" i="3"/>
  <c r="I161" i="3"/>
  <c r="G161" i="3"/>
  <c r="F161" i="3"/>
  <c r="D161" i="3"/>
  <c r="E161" i="3" s="1"/>
  <c r="L160" i="3"/>
  <c r="K160" i="3"/>
  <c r="J160" i="3"/>
  <c r="I160" i="3"/>
  <c r="G160" i="3"/>
  <c r="F160" i="3"/>
  <c r="D160" i="3"/>
  <c r="E160" i="3" s="1"/>
  <c r="L159" i="3"/>
  <c r="K159" i="3"/>
  <c r="J159" i="3"/>
  <c r="I159" i="3"/>
  <c r="G159" i="3"/>
  <c r="F159" i="3"/>
  <c r="D159" i="3"/>
  <c r="E159" i="3" s="1"/>
  <c r="L158" i="3"/>
  <c r="K158" i="3"/>
  <c r="J158" i="3"/>
  <c r="I158" i="3"/>
  <c r="G158" i="3"/>
  <c r="F158" i="3"/>
  <c r="D158" i="3"/>
  <c r="E158" i="3" s="1"/>
  <c r="L157" i="3"/>
  <c r="K157" i="3"/>
  <c r="J157" i="3"/>
  <c r="I157" i="3"/>
  <c r="G157" i="3"/>
  <c r="F157" i="3"/>
  <c r="D157" i="3"/>
  <c r="E157" i="3" s="1"/>
  <c r="L156" i="3"/>
  <c r="K156" i="3"/>
  <c r="J156" i="3"/>
  <c r="I156" i="3"/>
  <c r="G156" i="3"/>
  <c r="F156" i="3"/>
  <c r="D156" i="3"/>
  <c r="E156" i="3" s="1"/>
  <c r="L155" i="3"/>
  <c r="K155" i="3"/>
  <c r="J155" i="3"/>
  <c r="I155" i="3"/>
  <c r="G155" i="3"/>
  <c r="F155" i="3"/>
  <c r="D155" i="3"/>
  <c r="E155" i="3" s="1"/>
  <c r="L154" i="3"/>
  <c r="K154" i="3"/>
  <c r="J154" i="3"/>
  <c r="I154" i="3"/>
  <c r="G154" i="3"/>
  <c r="F154" i="3"/>
  <c r="D154" i="3"/>
  <c r="E154" i="3" s="1"/>
  <c r="L153" i="3"/>
  <c r="K153" i="3"/>
  <c r="J153" i="3"/>
  <c r="I153" i="3"/>
  <c r="G153" i="3"/>
  <c r="F153" i="3"/>
  <c r="D153" i="3"/>
  <c r="E153" i="3" s="1"/>
  <c r="R54" i="3"/>
  <c r="D146" i="3"/>
  <c r="E146" i="3" s="1"/>
  <c r="D145" i="3"/>
  <c r="D143" i="3"/>
  <c r="I143" i="3" s="1"/>
  <c r="D142" i="3"/>
  <c r="H142" i="3" s="1"/>
  <c r="D141" i="3"/>
  <c r="D140" i="3"/>
  <c r="D139" i="3"/>
  <c r="K139" i="3" s="1"/>
  <c r="D138" i="3"/>
  <c r="L138" i="3" s="1"/>
  <c r="D137" i="3"/>
  <c r="D136" i="3"/>
  <c r="D135" i="3"/>
  <c r="D134" i="3"/>
  <c r="J134" i="3" s="1"/>
  <c r="D133" i="3"/>
  <c r="D132" i="3"/>
  <c r="D131" i="3"/>
  <c r="H131" i="3" s="1"/>
  <c r="D130" i="3"/>
  <c r="H130" i="3" s="1"/>
  <c r="D129" i="3"/>
  <c r="D128" i="3"/>
  <c r="D127" i="3"/>
  <c r="D126" i="3"/>
  <c r="K126" i="3" s="1"/>
  <c r="D125" i="3"/>
  <c r="D124" i="3"/>
  <c r="D123" i="3"/>
  <c r="D122" i="3"/>
  <c r="I122" i="3" s="1"/>
  <c r="D121" i="3"/>
  <c r="G121" i="3" s="1"/>
  <c r="D120" i="3"/>
  <c r="D119" i="3"/>
  <c r="D118" i="3"/>
  <c r="D117" i="3"/>
  <c r="D116" i="3"/>
  <c r="D115" i="3"/>
  <c r="N102" i="3" a="1"/>
  <c r="N102" i="3" s="1"/>
  <c r="Q102" i="3" s="1"/>
  <c r="N101" i="3" a="1"/>
  <c r="N101" i="3" s="1"/>
  <c r="Q101" i="3" s="1"/>
  <c r="N99" i="3" a="1"/>
  <c r="N99" i="3" s="1"/>
  <c r="Q99" i="3" s="1"/>
  <c r="N98" i="3" a="1"/>
  <c r="N98" i="3" s="1"/>
  <c r="Q98" i="3" s="1"/>
  <c r="N97" i="3" a="1"/>
  <c r="N97" i="3" s="1"/>
  <c r="Q97" i="3" s="1"/>
  <c r="N96" i="3" a="1"/>
  <c r="N96" i="3" s="1"/>
  <c r="Q96" i="3" s="1"/>
  <c r="N95" i="3" a="1"/>
  <c r="N95" i="3" s="1"/>
  <c r="Q95" i="3" s="1"/>
  <c r="N94" i="3" a="1"/>
  <c r="N94" i="3" s="1"/>
  <c r="Q94" i="3" s="1"/>
  <c r="N93" i="3" a="1"/>
  <c r="N93" i="3" s="1"/>
  <c r="Q93" i="3" s="1"/>
  <c r="N92" i="3" a="1"/>
  <c r="N92" i="3" s="1"/>
  <c r="Q92" i="3" s="1"/>
  <c r="N91" i="3" a="1"/>
  <c r="N91" i="3" s="1"/>
  <c r="Q91" i="3" s="1"/>
  <c r="N90" i="3" a="1"/>
  <c r="N90" i="3" s="1"/>
  <c r="Q90" i="3" s="1"/>
  <c r="N89" i="3" a="1"/>
  <c r="N89" i="3" s="1"/>
  <c r="Q89" i="3" s="1"/>
  <c r="N88" i="3" a="1"/>
  <c r="N88" i="3" s="1"/>
  <c r="Q88" i="3" s="1"/>
  <c r="N87" i="3" a="1"/>
  <c r="N87" i="3" s="1"/>
  <c r="Q87" i="3" s="1"/>
  <c r="N86" i="3" a="1"/>
  <c r="N86" i="3" s="1"/>
  <c r="Q86" i="3" s="1"/>
  <c r="R84" i="3"/>
  <c r="N84" i="3" a="1"/>
  <c r="N84" i="3" s="1"/>
  <c r="Q84" i="3" s="1"/>
  <c r="R83" i="3"/>
  <c r="N83" i="3" a="1"/>
  <c r="N83" i="3" s="1"/>
  <c r="Q83" i="3" s="1"/>
  <c r="R82" i="3"/>
  <c r="N82" i="3" a="1"/>
  <c r="N82" i="3" s="1"/>
  <c r="Q82" i="3" s="1"/>
  <c r="R81" i="3"/>
  <c r="N81" i="3" a="1"/>
  <c r="N81" i="3" s="1"/>
  <c r="Q81" i="3" s="1"/>
  <c r="R80" i="3"/>
  <c r="N80" i="3" a="1"/>
  <c r="N80" i="3" s="1"/>
  <c r="Q80" i="3" s="1"/>
  <c r="R79" i="3"/>
  <c r="N79" i="3" a="1"/>
  <c r="N79" i="3" s="1"/>
  <c r="Q79" i="3" s="1"/>
  <c r="R78" i="3"/>
  <c r="N78" i="3" a="1"/>
  <c r="N78" i="3" s="1"/>
  <c r="Q78" i="3" s="1"/>
  <c r="R77" i="3"/>
  <c r="N77" i="3" a="1"/>
  <c r="N77" i="3" s="1"/>
  <c r="Q77" i="3" s="1"/>
  <c r="R76" i="3"/>
  <c r="N76" i="3" a="1"/>
  <c r="N76" i="3" s="1"/>
  <c r="Q76" i="3" s="1"/>
  <c r="R75" i="3"/>
  <c r="N75" i="3" a="1"/>
  <c r="N75" i="3" s="1"/>
  <c r="Q75" i="3" s="1"/>
  <c r="R74" i="3"/>
  <c r="N74" i="3" a="1"/>
  <c r="N74" i="3" s="1"/>
  <c r="Q74" i="3" s="1"/>
  <c r="R73" i="3"/>
  <c r="N73" i="3" a="1"/>
  <c r="N73" i="3" s="1"/>
  <c r="Q73" i="3" s="1"/>
  <c r="R72" i="3"/>
  <c r="N72" i="3" a="1"/>
  <c r="N72" i="3" s="1"/>
  <c r="Q72" i="3" s="1"/>
  <c r="R71" i="3"/>
  <c r="N71" i="3" a="1"/>
  <c r="N71" i="3" s="1"/>
  <c r="Q71" i="3" s="1"/>
  <c r="R70" i="3"/>
  <c r="N70" i="3" a="1"/>
  <c r="N70" i="3" s="1"/>
  <c r="Q70" i="3" s="1"/>
  <c r="R69" i="3"/>
  <c r="N69" i="3" a="1"/>
  <c r="N69" i="3" s="1"/>
  <c r="Q69" i="3" s="1"/>
  <c r="R68" i="3"/>
  <c r="N68" i="3" a="1"/>
  <c r="N68" i="3" s="1"/>
  <c r="Q68" i="3" s="1"/>
  <c r="R67" i="3"/>
  <c r="N67" i="3" a="1"/>
  <c r="N67" i="3" s="1"/>
  <c r="Q67" i="3" s="1"/>
  <c r="R66" i="3"/>
  <c r="N66" i="3" a="1"/>
  <c r="N66" i="3" s="1"/>
  <c r="Q66" i="3" s="1"/>
  <c r="R65" i="3"/>
  <c r="N65" i="3" a="1"/>
  <c r="N65" i="3" s="1"/>
  <c r="Q65" i="3" s="1"/>
  <c r="R64" i="3"/>
  <c r="N64" i="3" a="1"/>
  <c r="N64" i="3" s="1"/>
  <c r="Q64" i="3" s="1"/>
  <c r="R63" i="3"/>
  <c r="N63" i="3" a="1"/>
  <c r="N63" i="3" s="1"/>
  <c r="Q63" i="3" s="1"/>
  <c r="R62" i="3"/>
  <c r="N62" i="3" a="1"/>
  <c r="N62" i="3" s="1"/>
  <c r="Q62" i="3" s="1"/>
  <c r="R61" i="3"/>
  <c r="N61" i="3" a="1"/>
  <c r="N61" i="3" s="1"/>
  <c r="Q61" i="3" s="1"/>
  <c r="N54" i="3" a="1"/>
  <c r="N54" i="3" s="1"/>
  <c r="N47" i="3" a="1"/>
  <c r="N47" i="3" s="1"/>
  <c r="P47" i="3" s="1"/>
  <c r="N46" i="3" a="1"/>
  <c r="N46" i="3" s="1"/>
  <c r="P46" i="3" s="1"/>
  <c r="N45" i="3" a="1"/>
  <c r="N45" i="3" s="1"/>
  <c r="P45" i="3" s="1"/>
  <c r="N44" i="3" a="1"/>
  <c r="N44" i="3" s="1"/>
  <c r="P44" i="3" s="1"/>
  <c r="N43" i="3" a="1"/>
  <c r="N43" i="3" s="1"/>
  <c r="P43" i="3" s="1"/>
  <c r="N42" i="3" a="1"/>
  <c r="N42" i="3" s="1"/>
  <c r="P42" i="3" s="1"/>
  <c r="N41" i="3" a="1"/>
  <c r="N41" i="3" s="1"/>
  <c r="P41" i="3" s="1"/>
  <c r="N40" i="3" a="1"/>
  <c r="N40" i="3" s="1"/>
  <c r="P40" i="3" s="1"/>
  <c r="N39" i="3" a="1"/>
  <c r="N39" i="3" s="1"/>
  <c r="P39" i="3" s="1"/>
  <c r="N38" i="3" a="1"/>
  <c r="N38" i="3" s="1"/>
  <c r="P38" i="3" s="1"/>
  <c r="N37" i="3" a="1"/>
  <c r="N37" i="3" s="1"/>
  <c r="P37" i="3" s="1"/>
  <c r="N36" i="3" a="1"/>
  <c r="N36" i="3" s="1"/>
  <c r="P36" i="3" s="1"/>
  <c r="N35" i="3" a="1"/>
  <c r="N35" i="3" s="1"/>
  <c r="P35" i="3" s="1"/>
  <c r="N34" i="3" a="1"/>
  <c r="N34" i="3" s="1"/>
  <c r="P34" i="3" s="1"/>
  <c r="N33" i="3" a="1"/>
  <c r="N33" i="3" s="1"/>
  <c r="P33" i="3" s="1"/>
  <c r="N32" i="3" a="1"/>
  <c r="N32" i="3" s="1"/>
  <c r="P32" i="3" s="1"/>
  <c r="N31" i="3" a="1"/>
  <c r="N31" i="3" s="1"/>
  <c r="P31" i="3" s="1"/>
  <c r="N30" i="3" a="1"/>
  <c r="N30" i="3" s="1"/>
  <c r="P30" i="3" s="1"/>
  <c r="N29" i="3" a="1"/>
  <c r="N29" i="3" s="1"/>
  <c r="P29" i="3" s="1"/>
  <c r="N28" i="3" a="1"/>
  <c r="N28" i="3" s="1"/>
  <c r="P28" i="3" s="1"/>
  <c r="N27" i="3" a="1"/>
  <c r="N27" i="3" s="1"/>
  <c r="P27" i="3" s="1"/>
  <c r="N26" i="3" a="1"/>
  <c r="N26" i="3" s="1"/>
  <c r="P26" i="3" s="1"/>
  <c r="N25" i="3" a="1"/>
  <c r="N25" i="3" s="1"/>
  <c r="P25" i="3" s="1"/>
  <c r="N24" i="3" a="1"/>
  <c r="N24" i="3" s="1"/>
  <c r="P24" i="3" s="1"/>
  <c r="N23" i="3" a="1"/>
  <c r="N23" i="3" s="1"/>
  <c r="P23" i="3" s="1"/>
  <c r="N22" i="3" a="1"/>
  <c r="N22" i="3" s="1"/>
  <c r="P22" i="3" s="1"/>
  <c r="N21" i="3" a="1"/>
  <c r="N21" i="3" s="1"/>
  <c r="P21" i="3" s="1"/>
  <c r="G19" i="3"/>
  <c r="H19" i="3" s="1"/>
  <c r="J19" i="3" s="1"/>
  <c r="K19" i="3" s="1"/>
  <c r="L19" i="3" s="1"/>
  <c r="L16" i="3"/>
  <c r="K16" i="3"/>
  <c r="J16" i="3"/>
  <c r="I16" i="3"/>
  <c r="H16" i="3"/>
  <c r="G16" i="3"/>
  <c r="F16" i="3"/>
  <c r="L13" i="3"/>
  <c r="K13" i="3"/>
  <c r="J13" i="3"/>
  <c r="I13" i="3"/>
  <c r="H13" i="3"/>
  <c r="G13" i="3"/>
  <c r="F13" i="3"/>
  <c r="L11" i="3"/>
  <c r="K11" i="3"/>
  <c r="J11" i="3"/>
  <c r="I11" i="3"/>
  <c r="H11" i="3"/>
  <c r="G11" i="3"/>
  <c r="F11" i="3"/>
  <c r="L7" i="3"/>
  <c r="K7" i="3"/>
  <c r="J7" i="3"/>
  <c r="I7" i="3"/>
  <c r="H7" i="3"/>
  <c r="G7" i="3"/>
  <c r="F7" i="3"/>
  <c r="I72" i="29"/>
  <c r="K76" i="29"/>
  <c r="J70" i="29"/>
  <c r="L75" i="29"/>
  <c r="I71" i="29"/>
  <c r="K75" i="29"/>
  <c r="L72" i="29"/>
  <c r="F70" i="29"/>
  <c r="I70" i="29"/>
  <c r="K74" i="29"/>
  <c r="N77" i="29"/>
  <c r="I74" i="29"/>
  <c r="I69" i="29"/>
  <c r="J77" i="29"/>
  <c r="K73" i="29"/>
  <c r="R75" i="29"/>
  <c r="M72" i="29"/>
  <c r="J76" i="29"/>
  <c r="K72" i="29"/>
  <c r="R71" i="29"/>
  <c r="F29" i="29"/>
  <c r="J75" i="29"/>
  <c r="K71" i="29"/>
  <c r="Q73" i="29"/>
  <c r="J69" i="29"/>
  <c r="J74" i="29"/>
  <c r="K70" i="29"/>
  <c r="I77" i="29"/>
  <c r="J73" i="29"/>
  <c r="K69" i="29"/>
  <c r="M75" i="29"/>
  <c r="N72" i="29"/>
  <c r="I73" i="29"/>
  <c r="I76" i="29"/>
  <c r="J72" i="29"/>
  <c r="M74" i="29"/>
  <c r="P75" i="29"/>
  <c r="Q70" i="29"/>
  <c r="I75" i="29"/>
  <c r="J71" i="29"/>
  <c r="F140" i="16" l="1"/>
  <c r="G139" i="3"/>
  <c r="K130" i="3"/>
  <c r="L125" i="17"/>
  <c r="R51" i="19"/>
  <c r="H123" i="16"/>
  <c r="F121" i="17"/>
  <c r="F133" i="17"/>
  <c r="K14" i="22"/>
  <c r="L14" i="21"/>
  <c r="K116" i="16"/>
  <c r="I126" i="17"/>
  <c r="F8" i="20"/>
  <c r="F8" i="21"/>
  <c r="F127" i="17"/>
  <c r="H8" i="24"/>
  <c r="H8" i="25"/>
  <c r="I8" i="25"/>
  <c r="F122" i="3"/>
  <c r="F129" i="17"/>
  <c r="K14" i="23"/>
  <c r="I14" i="26"/>
  <c r="G138" i="3"/>
  <c r="F125" i="17"/>
  <c r="F14" i="20"/>
  <c r="G14" i="20"/>
  <c r="G8" i="17"/>
  <c r="F142" i="3"/>
  <c r="L142" i="3"/>
  <c r="J14" i="20"/>
  <c r="K121" i="3"/>
  <c r="K128" i="17"/>
  <c r="F118" i="17"/>
  <c r="H137" i="17"/>
  <c r="G8" i="21"/>
  <c r="J14" i="23"/>
  <c r="R51" i="25"/>
  <c r="F138" i="17"/>
  <c r="H14" i="18"/>
  <c r="K8" i="19"/>
  <c r="I8" i="21"/>
  <c r="L14" i="23"/>
  <c r="F8" i="25"/>
  <c r="H14" i="27"/>
  <c r="F126" i="3"/>
  <c r="H126" i="3"/>
  <c r="I14" i="20"/>
  <c r="L8" i="23"/>
  <c r="G14" i="24"/>
  <c r="J8" i="25"/>
  <c r="L14" i="27"/>
  <c r="G127" i="16"/>
  <c r="G8" i="20"/>
  <c r="F8" i="22"/>
  <c r="J14" i="22"/>
  <c r="I14" i="24"/>
  <c r="L127" i="16"/>
  <c r="L14" i="22"/>
  <c r="L8" i="27"/>
  <c r="F130" i="3"/>
  <c r="H14" i="16"/>
  <c r="F115" i="17"/>
  <c r="K8" i="20"/>
  <c r="I8" i="24"/>
  <c r="J14" i="26"/>
  <c r="G14" i="23"/>
  <c r="J8" i="24"/>
  <c r="K14" i="26"/>
  <c r="F8" i="16"/>
  <c r="K14" i="19"/>
  <c r="H14" i="23"/>
  <c r="K8" i="24"/>
  <c r="L14" i="26"/>
  <c r="L115" i="3"/>
  <c r="E115" i="3"/>
  <c r="F117" i="3"/>
  <c r="E117" i="3"/>
  <c r="L119" i="3"/>
  <c r="E119" i="3"/>
  <c r="L120" i="3"/>
  <c r="E120" i="3"/>
  <c r="F125" i="3"/>
  <c r="E125" i="3"/>
  <c r="L127" i="3"/>
  <c r="E127" i="3"/>
  <c r="F129" i="3"/>
  <c r="E129" i="3"/>
  <c r="L132" i="3"/>
  <c r="E132" i="3"/>
  <c r="K136" i="3"/>
  <c r="E136" i="3"/>
  <c r="F141" i="3"/>
  <c r="E141" i="3"/>
  <c r="H115" i="3"/>
  <c r="G117" i="3"/>
  <c r="H119" i="3"/>
  <c r="F121" i="3"/>
  <c r="E121" i="3"/>
  <c r="L122" i="3"/>
  <c r="E122" i="3"/>
  <c r="L123" i="3"/>
  <c r="E123" i="3"/>
  <c r="L126" i="3"/>
  <c r="E126" i="3"/>
  <c r="I126" i="3"/>
  <c r="H127" i="3"/>
  <c r="G129" i="3"/>
  <c r="I131" i="3"/>
  <c r="E131" i="3"/>
  <c r="H133" i="3"/>
  <c r="E133" i="3"/>
  <c r="F137" i="3"/>
  <c r="E137" i="3"/>
  <c r="I142" i="3"/>
  <c r="E142" i="3"/>
  <c r="J142" i="3"/>
  <c r="F143" i="3"/>
  <c r="G117" i="16"/>
  <c r="E117" i="16"/>
  <c r="K128" i="16"/>
  <c r="E128" i="16"/>
  <c r="L131" i="16"/>
  <c r="E131" i="16"/>
  <c r="F133" i="16"/>
  <c r="F135" i="16"/>
  <c r="K139" i="16"/>
  <c r="E139" i="16"/>
  <c r="F142" i="16"/>
  <c r="E142" i="16"/>
  <c r="F8" i="17"/>
  <c r="F117" i="17"/>
  <c r="L117" i="17"/>
  <c r="F119" i="17"/>
  <c r="K124" i="17"/>
  <c r="E124" i="17"/>
  <c r="K126" i="17"/>
  <c r="E126" i="17"/>
  <c r="L126" i="17"/>
  <c r="I129" i="17"/>
  <c r="E129" i="17"/>
  <c r="J130" i="17"/>
  <c r="E130" i="17"/>
  <c r="I133" i="17"/>
  <c r="E133" i="17"/>
  <c r="J134" i="17"/>
  <c r="E134" i="17"/>
  <c r="I136" i="17"/>
  <c r="E136" i="17"/>
  <c r="K139" i="17"/>
  <c r="J141" i="17"/>
  <c r="E141" i="17"/>
  <c r="H143" i="17"/>
  <c r="L116" i="3"/>
  <c r="E116" i="3"/>
  <c r="L118" i="3"/>
  <c r="E118" i="3"/>
  <c r="K119" i="3"/>
  <c r="L124" i="3"/>
  <c r="E124" i="3"/>
  <c r="L128" i="3"/>
  <c r="E128" i="3"/>
  <c r="L130" i="3"/>
  <c r="E130" i="3"/>
  <c r="I130" i="3"/>
  <c r="F134" i="3"/>
  <c r="E134" i="3"/>
  <c r="L135" i="3"/>
  <c r="E135" i="3"/>
  <c r="I138" i="3"/>
  <c r="E138" i="3"/>
  <c r="L139" i="3"/>
  <c r="E139" i="3"/>
  <c r="L140" i="3"/>
  <c r="E140" i="3"/>
  <c r="K8" i="16"/>
  <c r="G14" i="16"/>
  <c r="K118" i="16"/>
  <c r="E118" i="16"/>
  <c r="K121" i="16"/>
  <c r="E121" i="16"/>
  <c r="G123" i="16"/>
  <c r="E123" i="16"/>
  <c r="F124" i="16"/>
  <c r="E124" i="16"/>
  <c r="F127" i="16"/>
  <c r="E127" i="16"/>
  <c r="J127" i="16"/>
  <c r="K129" i="16"/>
  <c r="E129" i="16"/>
  <c r="K132" i="16"/>
  <c r="E132" i="16"/>
  <c r="J140" i="16"/>
  <c r="E140" i="16"/>
  <c r="I140" i="16"/>
  <c r="K143" i="16"/>
  <c r="E143" i="16"/>
  <c r="I14" i="17"/>
  <c r="L14" i="17"/>
  <c r="J115" i="17"/>
  <c r="E115" i="17"/>
  <c r="K118" i="17"/>
  <c r="E118" i="17"/>
  <c r="L118" i="17"/>
  <c r="I121" i="17"/>
  <c r="E121" i="17"/>
  <c r="J122" i="17"/>
  <c r="E122" i="17"/>
  <c r="I125" i="17"/>
  <c r="E125" i="17"/>
  <c r="J125" i="17"/>
  <c r="J127" i="17"/>
  <c r="E127" i="17"/>
  <c r="J131" i="17"/>
  <c r="E131" i="17"/>
  <c r="J137" i="17"/>
  <c r="E137" i="17"/>
  <c r="J138" i="17"/>
  <c r="E138" i="17"/>
  <c r="L138" i="17"/>
  <c r="I140" i="17"/>
  <c r="E140" i="17"/>
  <c r="J142" i="17"/>
  <c r="E142" i="17"/>
  <c r="K143" i="17"/>
  <c r="J14" i="18"/>
  <c r="K143" i="3"/>
  <c r="E143" i="3"/>
  <c r="K115" i="16"/>
  <c r="E115" i="16"/>
  <c r="H119" i="16"/>
  <c r="E119" i="16"/>
  <c r="G125" i="16"/>
  <c r="E125" i="16"/>
  <c r="K130" i="16"/>
  <c r="E130" i="16"/>
  <c r="J133" i="16"/>
  <c r="E133" i="16"/>
  <c r="F134" i="16"/>
  <c r="E134" i="16"/>
  <c r="L135" i="16"/>
  <c r="E135" i="16"/>
  <c r="J136" i="16"/>
  <c r="E136" i="16"/>
  <c r="G138" i="16"/>
  <c r="E138" i="16"/>
  <c r="K141" i="16"/>
  <c r="E141" i="16"/>
  <c r="I117" i="17"/>
  <c r="E117" i="17"/>
  <c r="J117" i="17"/>
  <c r="J119" i="17"/>
  <c r="E119" i="17"/>
  <c r="H120" i="17"/>
  <c r="E120" i="17"/>
  <c r="J123" i="17"/>
  <c r="E123" i="17"/>
  <c r="K135" i="17"/>
  <c r="E135" i="17"/>
  <c r="K122" i="23"/>
  <c r="E122" i="23"/>
  <c r="K130" i="23"/>
  <c r="E130" i="23"/>
  <c r="K137" i="23"/>
  <c r="E137" i="23"/>
  <c r="G119" i="26"/>
  <c r="E119" i="26"/>
  <c r="J122" i="26"/>
  <c r="E122" i="26"/>
  <c r="J124" i="26"/>
  <c r="E124" i="26"/>
  <c r="G132" i="26"/>
  <c r="E132" i="26"/>
  <c r="J135" i="26"/>
  <c r="E135" i="26"/>
  <c r="J137" i="26"/>
  <c r="E137" i="26"/>
  <c r="G142" i="26"/>
  <c r="E142" i="26"/>
  <c r="I8" i="16"/>
  <c r="L8" i="17"/>
  <c r="H14" i="17"/>
  <c r="G14" i="18"/>
  <c r="K14" i="21"/>
  <c r="L8" i="22"/>
  <c r="H14" i="22"/>
  <c r="J8" i="23"/>
  <c r="G8" i="24"/>
  <c r="L14" i="25"/>
  <c r="L8" i="26"/>
  <c r="H14" i="26"/>
  <c r="K8" i="27"/>
  <c r="G14" i="27"/>
  <c r="G14" i="25"/>
  <c r="L8" i="18"/>
  <c r="J8" i="19"/>
  <c r="L8" i="16"/>
  <c r="L8" i="19"/>
  <c r="H8" i="20"/>
  <c r="H8" i="3"/>
  <c r="K14" i="18"/>
  <c r="I14" i="19"/>
  <c r="I8" i="20"/>
  <c r="K8" i="3"/>
  <c r="H8" i="17"/>
  <c r="G8" i="18"/>
  <c r="K8" i="21"/>
  <c r="G14" i="21"/>
  <c r="H8" i="22"/>
  <c r="F8" i="23"/>
  <c r="K14" i="24"/>
  <c r="L8" i="25"/>
  <c r="H14" i="25"/>
  <c r="H8" i="26"/>
  <c r="G8" i="27"/>
  <c r="L8" i="20"/>
  <c r="J14" i="24"/>
  <c r="K8" i="25"/>
  <c r="G8" i="26"/>
  <c r="I8" i="17"/>
  <c r="L8" i="21"/>
  <c r="H14" i="21"/>
  <c r="I8" i="22"/>
  <c r="G8" i="23"/>
  <c r="I14" i="25"/>
  <c r="I8" i="26"/>
  <c r="H8" i="27"/>
  <c r="F8" i="18"/>
  <c r="J8" i="21"/>
  <c r="G8" i="22"/>
  <c r="I8" i="18"/>
  <c r="K14" i="20"/>
  <c r="I14" i="21"/>
  <c r="J8" i="22"/>
  <c r="H8" i="23"/>
  <c r="J14" i="25"/>
  <c r="J8" i="26"/>
  <c r="I8" i="27"/>
  <c r="G14" i="3"/>
  <c r="F8" i="27"/>
  <c r="K8" i="17"/>
  <c r="H8" i="19"/>
  <c r="L14" i="20"/>
  <c r="J14" i="21"/>
  <c r="K8" i="22"/>
  <c r="G14" i="22"/>
  <c r="I8" i="23"/>
  <c r="F8" i="24"/>
  <c r="K14" i="25"/>
  <c r="K8" i="26"/>
  <c r="F14" i="27"/>
  <c r="G141" i="3"/>
  <c r="F136" i="16"/>
  <c r="F118" i="16"/>
  <c r="H141" i="3"/>
  <c r="I133" i="16"/>
  <c r="H136" i="16"/>
  <c r="J118" i="16"/>
  <c r="G142" i="16"/>
  <c r="L118" i="16"/>
  <c r="H138" i="16"/>
  <c r="I142" i="16"/>
  <c r="J142" i="16"/>
  <c r="L142" i="16"/>
  <c r="G129" i="16"/>
  <c r="L132" i="16"/>
  <c r="F14" i="17"/>
  <c r="F14" i="24"/>
  <c r="H115" i="16"/>
  <c r="F140" i="17"/>
  <c r="F14" i="23"/>
  <c r="G8" i="3"/>
  <c r="J8" i="3"/>
  <c r="F14" i="3"/>
  <c r="I14" i="3"/>
  <c r="L14" i="3"/>
  <c r="K115" i="3"/>
  <c r="K117" i="3"/>
  <c r="F118" i="3"/>
  <c r="I118" i="3"/>
  <c r="J119" i="3"/>
  <c r="H121" i="3"/>
  <c r="H122" i="3"/>
  <c r="K122" i="3"/>
  <c r="H123" i="3"/>
  <c r="G125" i="3"/>
  <c r="G126" i="3"/>
  <c r="J126" i="3"/>
  <c r="K127" i="3"/>
  <c r="G130" i="3"/>
  <c r="J130" i="3"/>
  <c r="L131" i="3"/>
  <c r="F132" i="3"/>
  <c r="J132" i="3"/>
  <c r="I133" i="3"/>
  <c r="H134" i="3"/>
  <c r="F135" i="3"/>
  <c r="K135" i="3"/>
  <c r="J136" i="3"/>
  <c r="H138" i="3"/>
  <c r="F139" i="3"/>
  <c r="I139" i="3"/>
  <c r="G142" i="3"/>
  <c r="K142" i="3"/>
  <c r="H143" i="3"/>
  <c r="J8" i="16"/>
  <c r="F14" i="16"/>
  <c r="I14" i="16"/>
  <c r="L14" i="16"/>
  <c r="K120" i="16"/>
  <c r="L120" i="16"/>
  <c r="F123" i="16"/>
  <c r="L123" i="16"/>
  <c r="I123" i="16"/>
  <c r="J123" i="16"/>
  <c r="H131" i="16"/>
  <c r="L134" i="16"/>
  <c r="K134" i="16"/>
  <c r="J141" i="16"/>
  <c r="L141" i="16"/>
  <c r="F141" i="16"/>
  <c r="G118" i="3"/>
  <c r="J118" i="3"/>
  <c r="J123" i="3"/>
  <c r="H125" i="3"/>
  <c r="H132" i="3"/>
  <c r="J133" i="3"/>
  <c r="H135" i="3"/>
  <c r="L136" i="3"/>
  <c r="J117" i="16"/>
  <c r="H117" i="16"/>
  <c r="I117" i="16"/>
  <c r="F119" i="16"/>
  <c r="L119" i="16"/>
  <c r="I119" i="16"/>
  <c r="J119" i="16"/>
  <c r="L122" i="16"/>
  <c r="F122" i="16"/>
  <c r="J125" i="16"/>
  <c r="I125" i="16"/>
  <c r="F125" i="16"/>
  <c r="H125" i="16"/>
  <c r="L130" i="16"/>
  <c r="F130" i="16"/>
  <c r="F131" i="16"/>
  <c r="J131" i="16"/>
  <c r="G131" i="16"/>
  <c r="I131" i="16"/>
  <c r="F8" i="3"/>
  <c r="H14" i="3"/>
  <c r="K14" i="3"/>
  <c r="J14" i="3"/>
  <c r="J115" i="3"/>
  <c r="H117" i="3"/>
  <c r="H118" i="3"/>
  <c r="K118" i="3"/>
  <c r="G122" i="3"/>
  <c r="J122" i="3"/>
  <c r="K123" i="3"/>
  <c r="K125" i="3"/>
  <c r="J127" i="3"/>
  <c r="H129" i="3"/>
  <c r="K131" i="3"/>
  <c r="I132" i="3"/>
  <c r="G133" i="3"/>
  <c r="K134" i="3"/>
  <c r="I135" i="3"/>
  <c r="G136" i="3"/>
  <c r="H139" i="3"/>
  <c r="G143" i="3"/>
  <c r="H8" i="16"/>
  <c r="F115" i="16"/>
  <c r="J115" i="16"/>
  <c r="G115" i="16"/>
  <c r="I115" i="16"/>
  <c r="F117" i="16"/>
  <c r="K117" i="16"/>
  <c r="G119" i="16"/>
  <c r="K119" i="16"/>
  <c r="J121" i="16"/>
  <c r="I121" i="16"/>
  <c r="F121" i="16"/>
  <c r="H121" i="16"/>
  <c r="K122" i="16"/>
  <c r="L124" i="16"/>
  <c r="J124" i="16"/>
  <c r="K125" i="16"/>
  <c r="J129" i="16"/>
  <c r="I129" i="16"/>
  <c r="F129" i="16"/>
  <c r="H129" i="16"/>
  <c r="J130" i="16"/>
  <c r="K131" i="16"/>
  <c r="F138" i="16"/>
  <c r="L138" i="16"/>
  <c r="I138" i="16"/>
  <c r="K138" i="16"/>
  <c r="J138" i="16"/>
  <c r="H115" i="17"/>
  <c r="G118" i="17"/>
  <c r="J118" i="17"/>
  <c r="H119" i="17"/>
  <c r="G121" i="17"/>
  <c r="K121" i="17"/>
  <c r="H122" i="17"/>
  <c r="K122" i="17"/>
  <c r="K123" i="17"/>
  <c r="G126" i="17"/>
  <c r="J126" i="17"/>
  <c r="H127" i="17"/>
  <c r="G129" i="17"/>
  <c r="K129" i="17"/>
  <c r="H130" i="17"/>
  <c r="K130" i="17"/>
  <c r="K131" i="17"/>
  <c r="G133" i="17"/>
  <c r="K133" i="17"/>
  <c r="H134" i="17"/>
  <c r="K134" i="17"/>
  <c r="H135" i="17"/>
  <c r="H136" i="17"/>
  <c r="L136" i="17"/>
  <c r="F137" i="17"/>
  <c r="I137" i="17"/>
  <c r="L137" i="17"/>
  <c r="G140" i="17"/>
  <c r="K140" i="17"/>
  <c r="H141" i="17"/>
  <c r="K141" i="17"/>
  <c r="K142" i="17"/>
  <c r="K14" i="17"/>
  <c r="K115" i="17"/>
  <c r="G117" i="17"/>
  <c r="K117" i="17"/>
  <c r="H118" i="17"/>
  <c r="K119" i="17"/>
  <c r="H121" i="17"/>
  <c r="L121" i="17"/>
  <c r="F122" i="17"/>
  <c r="I122" i="17"/>
  <c r="L122" i="17"/>
  <c r="F123" i="17"/>
  <c r="L123" i="17"/>
  <c r="G125" i="17"/>
  <c r="K125" i="17"/>
  <c r="H126" i="17"/>
  <c r="K127" i="17"/>
  <c r="H128" i="17"/>
  <c r="H129" i="17"/>
  <c r="L129" i="17"/>
  <c r="F130" i="17"/>
  <c r="I130" i="17"/>
  <c r="L130" i="17"/>
  <c r="F131" i="17"/>
  <c r="L131" i="17"/>
  <c r="H133" i="17"/>
  <c r="L133" i="17"/>
  <c r="F134" i="17"/>
  <c r="I134" i="17"/>
  <c r="L134" i="17"/>
  <c r="F136" i="17"/>
  <c r="J136" i="17"/>
  <c r="G137" i="17"/>
  <c r="H138" i="17"/>
  <c r="H140" i="17"/>
  <c r="L140" i="17"/>
  <c r="F141" i="17"/>
  <c r="I141" i="17"/>
  <c r="L141" i="17"/>
  <c r="F142" i="17"/>
  <c r="L142" i="17"/>
  <c r="H127" i="16"/>
  <c r="K127" i="16"/>
  <c r="G133" i="16"/>
  <c r="K133" i="16"/>
  <c r="G136" i="16"/>
  <c r="K136" i="16"/>
  <c r="G140" i="16"/>
  <c r="K140" i="16"/>
  <c r="H142" i="16"/>
  <c r="K142" i="16"/>
  <c r="J14" i="17"/>
  <c r="Q54" i="17"/>
  <c r="G122" i="17"/>
  <c r="H123" i="17"/>
  <c r="G130" i="17"/>
  <c r="H131" i="17"/>
  <c r="G134" i="17"/>
  <c r="G136" i="17"/>
  <c r="K136" i="17"/>
  <c r="G141" i="17"/>
  <c r="H142" i="17"/>
  <c r="J8" i="18"/>
  <c r="I14" i="18"/>
  <c r="L14" i="18"/>
  <c r="L115" i="18"/>
  <c r="K115" i="18"/>
  <c r="J115" i="18"/>
  <c r="I115" i="18"/>
  <c r="H115" i="18"/>
  <c r="G115" i="18"/>
  <c r="F115" i="18"/>
  <c r="J116" i="18"/>
  <c r="L116" i="18"/>
  <c r="K116" i="18"/>
  <c r="H116" i="18"/>
  <c r="F116" i="18"/>
  <c r="L117" i="18"/>
  <c r="K117" i="18"/>
  <c r="H117" i="18"/>
  <c r="I118" i="18"/>
  <c r="L118" i="18"/>
  <c r="K118" i="18"/>
  <c r="J118" i="18"/>
  <c r="H118" i="18"/>
  <c r="G118" i="18"/>
  <c r="F118" i="18"/>
  <c r="L119" i="18"/>
  <c r="K119" i="18"/>
  <c r="J119" i="18"/>
  <c r="I119" i="18"/>
  <c r="H119" i="18"/>
  <c r="G119" i="18"/>
  <c r="F119" i="18"/>
  <c r="J120" i="18"/>
  <c r="L120" i="18"/>
  <c r="K120" i="18"/>
  <c r="H120" i="18"/>
  <c r="F120" i="18"/>
  <c r="L121" i="18"/>
  <c r="K121" i="18"/>
  <c r="H121" i="18"/>
  <c r="I122" i="18"/>
  <c r="L122" i="18"/>
  <c r="K122" i="18"/>
  <c r="J122" i="18"/>
  <c r="H122" i="18"/>
  <c r="G122" i="18"/>
  <c r="F122" i="18"/>
  <c r="L123" i="18"/>
  <c r="K123" i="18"/>
  <c r="J123" i="18"/>
  <c r="I123" i="18"/>
  <c r="H123" i="18"/>
  <c r="G123" i="18"/>
  <c r="F123" i="18"/>
  <c r="F124" i="18"/>
  <c r="L124" i="18"/>
  <c r="I124" i="18"/>
  <c r="G124" i="18"/>
  <c r="I125" i="18"/>
  <c r="J125" i="18"/>
  <c r="F125" i="18"/>
  <c r="L126" i="18"/>
  <c r="J126" i="18"/>
  <c r="J127" i="18"/>
  <c r="L127" i="18"/>
  <c r="K127" i="18"/>
  <c r="H127" i="18"/>
  <c r="F127" i="18"/>
  <c r="F128" i="18"/>
  <c r="L128" i="18"/>
  <c r="I128" i="18"/>
  <c r="I129" i="18"/>
  <c r="L129" i="18"/>
  <c r="J129" i="18"/>
  <c r="H129" i="18"/>
  <c r="G129" i="18"/>
  <c r="F129" i="18"/>
  <c r="L130" i="18"/>
  <c r="J130" i="18"/>
  <c r="G130" i="18"/>
  <c r="L131" i="18"/>
  <c r="K131" i="18"/>
  <c r="H131" i="18"/>
  <c r="F132" i="18"/>
  <c r="L132" i="18"/>
  <c r="K132" i="18"/>
  <c r="I132" i="18"/>
  <c r="H132" i="18"/>
  <c r="G132" i="18"/>
  <c r="I133" i="18"/>
  <c r="L133" i="18"/>
  <c r="K133" i="18"/>
  <c r="J133" i="18"/>
  <c r="F133" i="18"/>
  <c r="F135" i="18"/>
  <c r="L135" i="18"/>
  <c r="K135" i="18"/>
  <c r="J135" i="18"/>
  <c r="I135" i="18"/>
  <c r="H135" i="18"/>
  <c r="G135" i="18"/>
  <c r="I136" i="18"/>
  <c r="L136" i="18"/>
  <c r="K136" i="18"/>
  <c r="J136" i="18"/>
  <c r="H136" i="18"/>
  <c r="G136" i="18"/>
  <c r="F136" i="18"/>
  <c r="L137" i="18"/>
  <c r="G137" i="18"/>
  <c r="L138" i="18"/>
  <c r="K138" i="18"/>
  <c r="J138" i="18"/>
  <c r="I138" i="18"/>
  <c r="H138" i="18"/>
  <c r="G138" i="18"/>
  <c r="F138" i="18"/>
  <c r="F139" i="18"/>
  <c r="L139" i="18"/>
  <c r="I139" i="18"/>
  <c r="G139" i="18"/>
  <c r="I140" i="18"/>
  <c r="J140" i="18"/>
  <c r="F140" i="18"/>
  <c r="L141" i="18"/>
  <c r="J141" i="18"/>
  <c r="J142" i="18"/>
  <c r="L142" i="18"/>
  <c r="K142" i="18"/>
  <c r="H142" i="18"/>
  <c r="F142" i="18"/>
  <c r="F143" i="18"/>
  <c r="L143" i="18"/>
  <c r="I143" i="18"/>
  <c r="F8" i="19"/>
  <c r="J14" i="19"/>
  <c r="L115" i="19"/>
  <c r="F116" i="19"/>
  <c r="L116" i="19"/>
  <c r="J116" i="19"/>
  <c r="H116" i="19"/>
  <c r="G116" i="19"/>
  <c r="I117" i="19"/>
  <c r="K117" i="19"/>
  <c r="J117" i="19"/>
  <c r="G117" i="19"/>
  <c r="L118" i="19"/>
  <c r="H118" i="19"/>
  <c r="F118" i="19"/>
  <c r="L119" i="19"/>
  <c r="F120" i="19"/>
  <c r="L120" i="19"/>
  <c r="J120" i="19"/>
  <c r="H120" i="19"/>
  <c r="G120" i="19"/>
  <c r="I121" i="19"/>
  <c r="K121" i="19"/>
  <c r="J121" i="19"/>
  <c r="G121" i="19"/>
  <c r="L122" i="19"/>
  <c r="H122" i="19"/>
  <c r="F122" i="19"/>
  <c r="L123" i="19"/>
  <c r="F124" i="19"/>
  <c r="L124" i="19"/>
  <c r="J124" i="19"/>
  <c r="H124" i="19"/>
  <c r="G124" i="19"/>
  <c r="I125" i="19"/>
  <c r="K125" i="19"/>
  <c r="J125" i="19"/>
  <c r="G125" i="19"/>
  <c r="L126" i="19"/>
  <c r="H126" i="19"/>
  <c r="F126" i="19"/>
  <c r="L127" i="19"/>
  <c r="F128" i="19"/>
  <c r="L128" i="19"/>
  <c r="J128" i="19"/>
  <c r="H128" i="19"/>
  <c r="G128" i="19"/>
  <c r="I129" i="19"/>
  <c r="K129" i="19"/>
  <c r="J129" i="19"/>
  <c r="G129" i="19"/>
  <c r="L130" i="19"/>
  <c r="H130" i="19"/>
  <c r="F130" i="19"/>
  <c r="L131" i="19"/>
  <c r="F132" i="19"/>
  <c r="L132" i="19"/>
  <c r="J132" i="19"/>
  <c r="H132" i="19"/>
  <c r="G132" i="19"/>
  <c r="I133" i="19"/>
  <c r="K133" i="19"/>
  <c r="J133" i="19"/>
  <c r="G133" i="19"/>
  <c r="L134" i="19"/>
  <c r="H134" i="19"/>
  <c r="F134" i="19"/>
  <c r="F135" i="19"/>
  <c r="L135" i="19"/>
  <c r="J135" i="19"/>
  <c r="H135" i="19"/>
  <c r="G135" i="19"/>
  <c r="I136" i="19"/>
  <c r="K136" i="19"/>
  <c r="J136" i="19"/>
  <c r="G136" i="19"/>
  <c r="L137" i="19"/>
  <c r="H137" i="19"/>
  <c r="F137" i="19"/>
  <c r="L138" i="19"/>
  <c r="F139" i="19"/>
  <c r="L139" i="19"/>
  <c r="J139" i="19"/>
  <c r="H139" i="19"/>
  <c r="G139" i="19"/>
  <c r="I140" i="19"/>
  <c r="K140" i="19"/>
  <c r="J140" i="19"/>
  <c r="G140" i="19"/>
  <c r="L141" i="19"/>
  <c r="H141" i="19"/>
  <c r="F141" i="19"/>
  <c r="L142" i="19"/>
  <c r="F143" i="19"/>
  <c r="L143" i="19"/>
  <c r="J143" i="19"/>
  <c r="H143" i="19"/>
  <c r="G143" i="19"/>
  <c r="J8" i="20"/>
  <c r="R51" i="20"/>
  <c r="Q54" i="20"/>
  <c r="F115" i="20"/>
  <c r="J115" i="20"/>
  <c r="H115" i="20"/>
  <c r="I116" i="20"/>
  <c r="K116" i="20"/>
  <c r="G116" i="20"/>
  <c r="K118" i="20"/>
  <c r="L118" i="20"/>
  <c r="J118" i="20"/>
  <c r="I118" i="20"/>
  <c r="H118" i="20"/>
  <c r="G118" i="20"/>
  <c r="F119" i="20"/>
  <c r="J119" i="20"/>
  <c r="H119" i="20"/>
  <c r="I120" i="20"/>
  <c r="K120" i="20"/>
  <c r="G120" i="20"/>
  <c r="K122" i="20"/>
  <c r="L122" i="20"/>
  <c r="J122" i="20"/>
  <c r="I122" i="20"/>
  <c r="H122" i="20"/>
  <c r="G122" i="20"/>
  <c r="F123" i="20"/>
  <c r="J123" i="20"/>
  <c r="H123" i="20"/>
  <c r="I124" i="20"/>
  <c r="K124" i="20"/>
  <c r="G124" i="20"/>
  <c r="K126" i="20"/>
  <c r="L126" i="20"/>
  <c r="J126" i="20"/>
  <c r="I126" i="20"/>
  <c r="H126" i="20"/>
  <c r="G126" i="20"/>
  <c r="F127" i="20"/>
  <c r="J127" i="20"/>
  <c r="H127" i="20"/>
  <c r="I128" i="20"/>
  <c r="K128" i="20"/>
  <c r="G128" i="20"/>
  <c r="K130" i="20"/>
  <c r="L130" i="20"/>
  <c r="J130" i="20"/>
  <c r="I130" i="20"/>
  <c r="H130" i="20"/>
  <c r="G130" i="20"/>
  <c r="F131" i="20"/>
  <c r="J131" i="20"/>
  <c r="H131" i="20"/>
  <c r="I132" i="20"/>
  <c r="K132" i="20"/>
  <c r="G132" i="20"/>
  <c r="K134" i="20"/>
  <c r="L134" i="20"/>
  <c r="J134" i="20"/>
  <c r="I134" i="20"/>
  <c r="H134" i="20"/>
  <c r="G134" i="20"/>
  <c r="I135" i="20"/>
  <c r="K135" i="20"/>
  <c r="G135" i="20"/>
  <c r="K137" i="20"/>
  <c r="L137" i="20"/>
  <c r="J137" i="20"/>
  <c r="I137" i="20"/>
  <c r="H137" i="20"/>
  <c r="G137" i="20"/>
  <c r="F138" i="20"/>
  <c r="J138" i="20"/>
  <c r="H138" i="20"/>
  <c r="I139" i="20"/>
  <c r="K139" i="20"/>
  <c r="G139" i="20"/>
  <c r="K141" i="20"/>
  <c r="L141" i="20"/>
  <c r="J141" i="20"/>
  <c r="I141" i="20"/>
  <c r="H141" i="20"/>
  <c r="G141" i="20"/>
  <c r="F142" i="20"/>
  <c r="J142" i="20"/>
  <c r="H142" i="20"/>
  <c r="I143" i="20"/>
  <c r="K143" i="20"/>
  <c r="G143" i="20"/>
  <c r="G115" i="21"/>
  <c r="K115" i="21"/>
  <c r="J115" i="21"/>
  <c r="I115" i="21"/>
  <c r="H115" i="21"/>
  <c r="J116" i="21"/>
  <c r="L116" i="21"/>
  <c r="I116" i="21"/>
  <c r="H116" i="21"/>
  <c r="G116" i="21"/>
  <c r="F116" i="21"/>
  <c r="K117" i="21"/>
  <c r="I117" i="21"/>
  <c r="L118" i="21"/>
  <c r="K118" i="21"/>
  <c r="J118" i="21"/>
  <c r="I118" i="21"/>
  <c r="H118" i="21"/>
  <c r="G118" i="21"/>
  <c r="F118" i="21"/>
  <c r="G119" i="21"/>
  <c r="L119" i="21"/>
  <c r="K119" i="21"/>
  <c r="J119" i="21"/>
  <c r="H119" i="21"/>
  <c r="J120" i="21"/>
  <c r="L120" i="21"/>
  <c r="I120" i="21"/>
  <c r="G120" i="21"/>
  <c r="I121" i="21"/>
  <c r="L121" i="21"/>
  <c r="K121" i="21"/>
  <c r="J121" i="21"/>
  <c r="H121" i="21"/>
  <c r="G121" i="21"/>
  <c r="F121" i="21"/>
  <c r="L122" i="21"/>
  <c r="K122" i="21"/>
  <c r="J122" i="21"/>
  <c r="I122" i="21"/>
  <c r="H122" i="21"/>
  <c r="G122" i="21"/>
  <c r="F122" i="21"/>
  <c r="G123" i="21"/>
  <c r="L123" i="21"/>
  <c r="J123" i="21"/>
  <c r="I123" i="21"/>
  <c r="H123" i="21"/>
  <c r="F123" i="21"/>
  <c r="J124" i="21"/>
  <c r="I124" i="21"/>
  <c r="L125" i="21"/>
  <c r="J125" i="21"/>
  <c r="I125" i="21"/>
  <c r="H125" i="21"/>
  <c r="G125" i="21"/>
  <c r="L126" i="21"/>
  <c r="K126" i="21"/>
  <c r="J126" i="21"/>
  <c r="I126" i="21"/>
  <c r="H126" i="21"/>
  <c r="G126" i="21"/>
  <c r="F126" i="21"/>
  <c r="G127" i="21"/>
  <c r="L127" i="21"/>
  <c r="J127" i="21"/>
  <c r="H127" i="21"/>
  <c r="J128" i="21"/>
  <c r="L128" i="21"/>
  <c r="K128" i="21"/>
  <c r="H128" i="21"/>
  <c r="G128" i="21"/>
  <c r="F128" i="21"/>
  <c r="H129" i="21"/>
  <c r="L129" i="21"/>
  <c r="K129" i="21"/>
  <c r="J129" i="21"/>
  <c r="I129" i="21"/>
  <c r="G129" i="21"/>
  <c r="L130" i="21"/>
  <c r="K130" i="21"/>
  <c r="J130" i="21"/>
  <c r="I130" i="21"/>
  <c r="H130" i="21"/>
  <c r="G130" i="21"/>
  <c r="F130" i="21"/>
  <c r="G131" i="21"/>
  <c r="J131" i="21"/>
  <c r="J132" i="21"/>
  <c r="K132" i="21"/>
  <c r="I132" i="21"/>
  <c r="H132" i="21"/>
  <c r="G132" i="21"/>
  <c r="J133" i="21"/>
  <c r="L133" i="21"/>
  <c r="K133" i="21"/>
  <c r="I133" i="21"/>
  <c r="H133" i="21"/>
  <c r="G133" i="21"/>
  <c r="F133" i="21"/>
  <c r="L134" i="21"/>
  <c r="K134" i="21"/>
  <c r="J134" i="21"/>
  <c r="I134" i="21"/>
  <c r="H134" i="21"/>
  <c r="G134" i="21"/>
  <c r="F134" i="21"/>
  <c r="J135" i="21"/>
  <c r="L135" i="21"/>
  <c r="K135" i="21"/>
  <c r="I135" i="21"/>
  <c r="G135" i="21"/>
  <c r="H136" i="21"/>
  <c r="K136" i="21"/>
  <c r="I136" i="21"/>
  <c r="G136" i="21"/>
  <c r="L137" i="21"/>
  <c r="K137" i="21"/>
  <c r="J137" i="21"/>
  <c r="I137" i="21"/>
  <c r="H137" i="21"/>
  <c r="G137" i="21"/>
  <c r="F137" i="21"/>
  <c r="G138" i="21"/>
  <c r="K138" i="21"/>
  <c r="J138" i="21"/>
  <c r="I138" i="21"/>
  <c r="H138" i="21"/>
  <c r="J139" i="21"/>
  <c r="L139" i="21"/>
  <c r="I139" i="21"/>
  <c r="H139" i="21"/>
  <c r="G139" i="21"/>
  <c r="F139" i="21"/>
  <c r="K140" i="21"/>
  <c r="I140" i="21"/>
  <c r="L141" i="21"/>
  <c r="K141" i="21"/>
  <c r="J141" i="21"/>
  <c r="I141" i="21"/>
  <c r="H141" i="21"/>
  <c r="G141" i="21"/>
  <c r="F141" i="21"/>
  <c r="G142" i="21"/>
  <c r="L142" i="21"/>
  <c r="K142" i="21"/>
  <c r="J142" i="21"/>
  <c r="H142" i="21"/>
  <c r="J143" i="21"/>
  <c r="L143" i="21"/>
  <c r="I143" i="21"/>
  <c r="G143" i="21"/>
  <c r="L115" i="22"/>
  <c r="K115" i="22"/>
  <c r="J115" i="22"/>
  <c r="I115" i="22"/>
  <c r="H115" i="22"/>
  <c r="G115" i="22"/>
  <c r="F115" i="22"/>
  <c r="G116" i="22"/>
  <c r="H116" i="22"/>
  <c r="J117" i="22"/>
  <c r="L117" i="22"/>
  <c r="K117" i="22"/>
  <c r="I117" i="22"/>
  <c r="H117" i="22"/>
  <c r="G117" i="22"/>
  <c r="F117" i="22"/>
  <c r="I118" i="22"/>
  <c r="L118" i="22"/>
  <c r="K118" i="22"/>
  <c r="J118" i="22"/>
  <c r="H118" i="22"/>
  <c r="L119" i="22"/>
  <c r="K119" i="22"/>
  <c r="J119" i="22"/>
  <c r="I119" i="22"/>
  <c r="H119" i="22"/>
  <c r="G119" i="22"/>
  <c r="F119" i="22"/>
  <c r="G120" i="22"/>
  <c r="H120" i="22"/>
  <c r="J121" i="22"/>
  <c r="L121" i="22"/>
  <c r="K121" i="22"/>
  <c r="I121" i="22"/>
  <c r="H121" i="22"/>
  <c r="G121" i="22"/>
  <c r="F121" i="22"/>
  <c r="I122" i="22"/>
  <c r="L122" i="22"/>
  <c r="K122" i="22"/>
  <c r="J122" i="22"/>
  <c r="H122" i="22"/>
  <c r="L123" i="22"/>
  <c r="K123" i="22"/>
  <c r="J123" i="22"/>
  <c r="I123" i="22"/>
  <c r="H123" i="22"/>
  <c r="G123" i="22"/>
  <c r="F123" i="22"/>
  <c r="G124" i="22"/>
  <c r="H124" i="22"/>
  <c r="J125" i="22"/>
  <c r="L125" i="22"/>
  <c r="K125" i="22"/>
  <c r="I125" i="22"/>
  <c r="H125" i="22"/>
  <c r="G125" i="22"/>
  <c r="F125" i="22"/>
  <c r="I126" i="22"/>
  <c r="L126" i="22"/>
  <c r="K126" i="22"/>
  <c r="J126" i="22"/>
  <c r="H126" i="22"/>
  <c r="L127" i="22"/>
  <c r="K127" i="22"/>
  <c r="J127" i="22"/>
  <c r="I127" i="22"/>
  <c r="H127" i="22"/>
  <c r="G127" i="22"/>
  <c r="F127" i="22"/>
  <c r="G128" i="22"/>
  <c r="H128" i="22"/>
  <c r="J129" i="22"/>
  <c r="L129" i="22"/>
  <c r="K129" i="22"/>
  <c r="I129" i="22"/>
  <c r="H129" i="22"/>
  <c r="G129" i="22"/>
  <c r="F129" i="22"/>
  <c r="I130" i="22"/>
  <c r="L130" i="22"/>
  <c r="K130" i="22"/>
  <c r="J130" i="22"/>
  <c r="H130" i="22"/>
  <c r="L131" i="22"/>
  <c r="K131" i="22"/>
  <c r="J131" i="22"/>
  <c r="I131" i="22"/>
  <c r="H131" i="22"/>
  <c r="G131" i="22"/>
  <c r="F131" i="22"/>
  <c r="G132" i="22"/>
  <c r="H132" i="22"/>
  <c r="J133" i="22"/>
  <c r="L133" i="22"/>
  <c r="K133" i="22"/>
  <c r="I133" i="22"/>
  <c r="H133" i="22"/>
  <c r="G133" i="22"/>
  <c r="F133" i="22"/>
  <c r="I134" i="22"/>
  <c r="L134" i="22"/>
  <c r="K134" i="22"/>
  <c r="J134" i="22"/>
  <c r="H134" i="22"/>
  <c r="G135" i="22"/>
  <c r="H135" i="22"/>
  <c r="J136" i="22"/>
  <c r="L136" i="22"/>
  <c r="K136" i="22"/>
  <c r="I136" i="22"/>
  <c r="H136" i="22"/>
  <c r="G136" i="22"/>
  <c r="F136" i="22"/>
  <c r="I137" i="22"/>
  <c r="L137" i="22"/>
  <c r="K137" i="22"/>
  <c r="J137" i="22"/>
  <c r="H137" i="22"/>
  <c r="L138" i="22"/>
  <c r="K138" i="22"/>
  <c r="J138" i="22"/>
  <c r="I138" i="22"/>
  <c r="H138" i="22"/>
  <c r="G138" i="22"/>
  <c r="F138" i="22"/>
  <c r="G139" i="22"/>
  <c r="H139" i="22"/>
  <c r="J140" i="22"/>
  <c r="L140" i="22"/>
  <c r="K140" i="22"/>
  <c r="I140" i="22"/>
  <c r="H140" i="22"/>
  <c r="G140" i="22"/>
  <c r="F140" i="22"/>
  <c r="I141" i="22"/>
  <c r="L141" i="22"/>
  <c r="K141" i="22"/>
  <c r="J141" i="22"/>
  <c r="H141" i="22"/>
  <c r="L142" i="22"/>
  <c r="K142" i="22"/>
  <c r="J142" i="22"/>
  <c r="I142" i="22"/>
  <c r="H142" i="22"/>
  <c r="G142" i="22"/>
  <c r="F142" i="22"/>
  <c r="G143" i="22"/>
  <c r="H143" i="22"/>
  <c r="L115" i="23"/>
  <c r="H115" i="23"/>
  <c r="G115" i="23"/>
  <c r="H116" i="23"/>
  <c r="K116" i="23"/>
  <c r="J116" i="23"/>
  <c r="K117" i="23"/>
  <c r="L117" i="23"/>
  <c r="J117" i="23"/>
  <c r="I117" i="23"/>
  <c r="H117" i="23"/>
  <c r="G117" i="23"/>
  <c r="F117" i="23"/>
  <c r="L119" i="23"/>
  <c r="H119" i="23"/>
  <c r="G119" i="23"/>
  <c r="H120" i="23"/>
  <c r="K120" i="23"/>
  <c r="J120" i="23"/>
  <c r="K121" i="23"/>
  <c r="L121" i="23"/>
  <c r="J121" i="23"/>
  <c r="I121" i="23"/>
  <c r="H121" i="23"/>
  <c r="G121" i="23"/>
  <c r="F121" i="23"/>
  <c r="L123" i="23"/>
  <c r="H123" i="23"/>
  <c r="G123" i="23"/>
  <c r="H124" i="23"/>
  <c r="K124" i="23"/>
  <c r="J124" i="23"/>
  <c r="K125" i="23"/>
  <c r="L125" i="23"/>
  <c r="J125" i="23"/>
  <c r="I125" i="23"/>
  <c r="H125" i="23"/>
  <c r="G125" i="23"/>
  <c r="F125" i="23"/>
  <c r="L127" i="23"/>
  <c r="H127" i="23"/>
  <c r="G127" i="23"/>
  <c r="H128" i="23"/>
  <c r="K128" i="23"/>
  <c r="J128" i="23"/>
  <c r="K129" i="23"/>
  <c r="L129" i="23"/>
  <c r="J129" i="23"/>
  <c r="I129" i="23"/>
  <c r="H129" i="23"/>
  <c r="G129" i="23"/>
  <c r="F129" i="23"/>
  <c r="L131" i="23"/>
  <c r="H131" i="23"/>
  <c r="G131" i="23"/>
  <c r="H132" i="23"/>
  <c r="K132" i="23"/>
  <c r="J132" i="23"/>
  <c r="K133" i="23"/>
  <c r="L133" i="23"/>
  <c r="J133" i="23"/>
  <c r="I133" i="23"/>
  <c r="H133" i="23"/>
  <c r="G133" i="23"/>
  <c r="F133" i="23"/>
  <c r="H135" i="23"/>
  <c r="K135" i="23"/>
  <c r="J135" i="23"/>
  <c r="K136" i="23"/>
  <c r="L136" i="23"/>
  <c r="J136" i="23"/>
  <c r="I136" i="23"/>
  <c r="H136" i="23"/>
  <c r="G136" i="23"/>
  <c r="F136" i="23"/>
  <c r="L138" i="23"/>
  <c r="H138" i="23"/>
  <c r="G138" i="23"/>
  <c r="H139" i="23"/>
  <c r="K139" i="23"/>
  <c r="J139" i="23"/>
  <c r="K140" i="23"/>
  <c r="L140" i="23"/>
  <c r="J140" i="23"/>
  <c r="I140" i="23"/>
  <c r="H140" i="23"/>
  <c r="G140" i="23"/>
  <c r="F140" i="23"/>
  <c r="L142" i="23"/>
  <c r="H142" i="23"/>
  <c r="G142" i="23"/>
  <c r="H143" i="23"/>
  <c r="K143" i="23"/>
  <c r="J143" i="23"/>
  <c r="L116" i="24"/>
  <c r="H116" i="24"/>
  <c r="G116" i="24"/>
  <c r="H117" i="24"/>
  <c r="L117" i="24"/>
  <c r="K117" i="24"/>
  <c r="J117" i="24"/>
  <c r="I117" i="24"/>
  <c r="G117" i="24"/>
  <c r="F117" i="24"/>
  <c r="K118" i="24"/>
  <c r="L118" i="24"/>
  <c r="J118" i="24"/>
  <c r="I118" i="24"/>
  <c r="H118" i="24"/>
  <c r="G118" i="24"/>
  <c r="F118" i="24"/>
  <c r="L120" i="24"/>
  <c r="H120" i="24"/>
  <c r="G120" i="24"/>
  <c r="H121" i="24"/>
  <c r="L121" i="24"/>
  <c r="K121" i="24"/>
  <c r="J121" i="24"/>
  <c r="I121" i="24"/>
  <c r="G121" i="24"/>
  <c r="F121" i="24"/>
  <c r="K122" i="24"/>
  <c r="L122" i="24"/>
  <c r="J122" i="24"/>
  <c r="I122" i="24"/>
  <c r="H122" i="24"/>
  <c r="G122" i="24"/>
  <c r="F122" i="24"/>
  <c r="L124" i="24"/>
  <c r="H124" i="24"/>
  <c r="G124" i="24"/>
  <c r="H125" i="24"/>
  <c r="L125" i="24"/>
  <c r="K125" i="24"/>
  <c r="J125" i="24"/>
  <c r="I125" i="24"/>
  <c r="G125" i="24"/>
  <c r="F125" i="24"/>
  <c r="K126" i="24"/>
  <c r="L126" i="24"/>
  <c r="J126" i="24"/>
  <c r="I126" i="24"/>
  <c r="H126" i="24"/>
  <c r="G126" i="24"/>
  <c r="F126" i="24"/>
  <c r="L128" i="24"/>
  <c r="H128" i="24"/>
  <c r="G128" i="24"/>
  <c r="I129" i="24"/>
  <c r="L129" i="24"/>
  <c r="K129" i="24"/>
  <c r="F129" i="24"/>
  <c r="F130" i="24"/>
  <c r="L130" i="24"/>
  <c r="J130" i="24"/>
  <c r="H130" i="24"/>
  <c r="I131" i="24"/>
  <c r="L131" i="24"/>
  <c r="K131" i="24"/>
  <c r="J131" i="24"/>
  <c r="H131" i="24"/>
  <c r="G131" i="24"/>
  <c r="F131" i="24"/>
  <c r="L132" i="24"/>
  <c r="K132" i="24"/>
  <c r="J132" i="24"/>
  <c r="I132" i="24"/>
  <c r="G132" i="24"/>
  <c r="F132" i="24"/>
  <c r="L133" i="24"/>
  <c r="K133" i="24"/>
  <c r="I133" i="24"/>
  <c r="G133" i="24"/>
  <c r="F134" i="24"/>
  <c r="K134" i="24"/>
  <c r="H134" i="24"/>
  <c r="G134" i="24"/>
  <c r="L135" i="24"/>
  <c r="J135" i="24"/>
  <c r="I135" i="24"/>
  <c r="H135" i="24"/>
  <c r="G135" i="24"/>
  <c r="F135" i="24"/>
  <c r="K136" i="24"/>
  <c r="L136" i="24"/>
  <c r="J136" i="24"/>
  <c r="G136" i="24"/>
  <c r="F136" i="24"/>
  <c r="F137" i="24"/>
  <c r="K137" i="24"/>
  <c r="J137" i="24"/>
  <c r="I137" i="24"/>
  <c r="H137" i="24"/>
  <c r="I138" i="24"/>
  <c r="L138" i="24"/>
  <c r="J138" i="24"/>
  <c r="H138" i="24"/>
  <c r="G138" i="24"/>
  <c r="F138" i="24"/>
  <c r="F140" i="24"/>
  <c r="J140" i="24"/>
  <c r="I140" i="24"/>
  <c r="H140" i="24"/>
  <c r="G140" i="24"/>
  <c r="F141" i="24"/>
  <c r="L141" i="24"/>
  <c r="G141" i="24"/>
  <c r="I142" i="24"/>
  <c r="K142" i="24"/>
  <c r="L143" i="24"/>
  <c r="H143" i="24"/>
  <c r="G143" i="24"/>
  <c r="F14" i="25"/>
  <c r="G115" i="25"/>
  <c r="L115" i="25"/>
  <c r="J115" i="25"/>
  <c r="I115" i="25"/>
  <c r="H115" i="25"/>
  <c r="I116" i="25"/>
  <c r="L116" i="25"/>
  <c r="K116" i="25"/>
  <c r="J116" i="25"/>
  <c r="H116" i="25"/>
  <c r="G116" i="25"/>
  <c r="F116" i="25"/>
  <c r="L117" i="25"/>
  <c r="K117" i="25"/>
  <c r="F117" i="25"/>
  <c r="J118" i="25"/>
  <c r="L118" i="25"/>
  <c r="K118" i="25"/>
  <c r="I118" i="25"/>
  <c r="G118" i="25"/>
  <c r="F118" i="25"/>
  <c r="G119" i="25"/>
  <c r="L119" i="25"/>
  <c r="J119" i="25"/>
  <c r="I119" i="25"/>
  <c r="H119" i="25"/>
  <c r="I120" i="25"/>
  <c r="L120" i="25"/>
  <c r="K120" i="25"/>
  <c r="J120" i="25"/>
  <c r="H120" i="25"/>
  <c r="G120" i="25"/>
  <c r="F120" i="25"/>
  <c r="L121" i="25"/>
  <c r="K121" i="25"/>
  <c r="F121" i="25"/>
  <c r="J122" i="25"/>
  <c r="L122" i="25"/>
  <c r="K122" i="25"/>
  <c r="I122" i="25"/>
  <c r="G122" i="25"/>
  <c r="F122" i="25"/>
  <c r="G123" i="25"/>
  <c r="L123" i="25"/>
  <c r="J123" i="25"/>
  <c r="I123" i="25"/>
  <c r="H123" i="25"/>
  <c r="I124" i="25"/>
  <c r="L124" i="25"/>
  <c r="K124" i="25"/>
  <c r="J124" i="25"/>
  <c r="H124" i="25"/>
  <c r="G124" i="25"/>
  <c r="F124" i="25"/>
  <c r="L125" i="25"/>
  <c r="K125" i="25"/>
  <c r="F125" i="25"/>
  <c r="J126" i="25"/>
  <c r="L126" i="25"/>
  <c r="K126" i="25"/>
  <c r="I126" i="25"/>
  <c r="G126" i="25"/>
  <c r="F126" i="25"/>
  <c r="G127" i="25"/>
  <c r="L127" i="25"/>
  <c r="J127" i="25"/>
  <c r="I127" i="25"/>
  <c r="H127" i="25"/>
  <c r="I128" i="25"/>
  <c r="L128" i="25"/>
  <c r="K128" i="25"/>
  <c r="J128" i="25"/>
  <c r="H128" i="25"/>
  <c r="G128" i="25"/>
  <c r="F128" i="25"/>
  <c r="L129" i="25"/>
  <c r="K129" i="25"/>
  <c r="F129" i="25"/>
  <c r="J130" i="25"/>
  <c r="L130" i="25"/>
  <c r="K130" i="25"/>
  <c r="I130" i="25"/>
  <c r="G130" i="25"/>
  <c r="F130" i="25"/>
  <c r="G131" i="25"/>
  <c r="L131" i="25"/>
  <c r="J131" i="25"/>
  <c r="I131" i="25"/>
  <c r="H131" i="25"/>
  <c r="I132" i="25"/>
  <c r="L132" i="25"/>
  <c r="K132" i="25"/>
  <c r="J132" i="25"/>
  <c r="H132" i="25"/>
  <c r="G132" i="25"/>
  <c r="F132" i="25"/>
  <c r="L133" i="25"/>
  <c r="K133" i="25"/>
  <c r="F133" i="25"/>
  <c r="J134" i="25"/>
  <c r="L134" i="25"/>
  <c r="K134" i="25"/>
  <c r="I134" i="25"/>
  <c r="G134" i="25"/>
  <c r="F134" i="25"/>
  <c r="I135" i="25"/>
  <c r="L135" i="25"/>
  <c r="K135" i="25"/>
  <c r="J135" i="25"/>
  <c r="H135" i="25"/>
  <c r="G135" i="25"/>
  <c r="F135" i="25"/>
  <c r="L136" i="25"/>
  <c r="K136" i="25"/>
  <c r="F136" i="25"/>
  <c r="J137" i="25"/>
  <c r="L137" i="25"/>
  <c r="K137" i="25"/>
  <c r="I137" i="25"/>
  <c r="G137" i="25"/>
  <c r="F137" i="25"/>
  <c r="G138" i="25"/>
  <c r="L138" i="25"/>
  <c r="J138" i="25"/>
  <c r="I138" i="25"/>
  <c r="I139" i="25"/>
  <c r="L139" i="25"/>
  <c r="K139" i="25"/>
  <c r="J139" i="25"/>
  <c r="H139" i="25"/>
  <c r="G139" i="25"/>
  <c r="F139" i="25"/>
  <c r="L140" i="25"/>
  <c r="K140" i="25"/>
  <c r="F140" i="25"/>
  <c r="J141" i="25"/>
  <c r="L141" i="25"/>
  <c r="K141" i="25"/>
  <c r="I141" i="25"/>
  <c r="G141" i="25"/>
  <c r="F141" i="25"/>
  <c r="G142" i="25"/>
  <c r="L142" i="25"/>
  <c r="J142" i="25"/>
  <c r="I142" i="25"/>
  <c r="I143" i="25"/>
  <c r="L143" i="25"/>
  <c r="K143" i="25"/>
  <c r="J143" i="25"/>
  <c r="H143" i="25"/>
  <c r="G143" i="25"/>
  <c r="F143" i="25"/>
  <c r="G14" i="26"/>
  <c r="R51" i="26"/>
  <c r="Q54" i="26"/>
  <c r="J116" i="26"/>
  <c r="G116" i="26"/>
  <c r="K117" i="26"/>
  <c r="J117" i="26"/>
  <c r="I117" i="26"/>
  <c r="H117" i="26"/>
  <c r="G117" i="26"/>
  <c r="F117" i="26"/>
  <c r="K121" i="26"/>
  <c r="J121" i="26"/>
  <c r="I121" i="26"/>
  <c r="H121" i="26"/>
  <c r="G121" i="26"/>
  <c r="F121" i="26"/>
  <c r="K125" i="26"/>
  <c r="J125" i="26"/>
  <c r="I125" i="26"/>
  <c r="H125" i="26"/>
  <c r="G125" i="26"/>
  <c r="F125" i="26"/>
  <c r="K129" i="26"/>
  <c r="J129" i="26"/>
  <c r="I129" i="26"/>
  <c r="H129" i="26"/>
  <c r="G129" i="26"/>
  <c r="F129" i="26"/>
  <c r="K133" i="26"/>
  <c r="J133" i="26"/>
  <c r="I133" i="26"/>
  <c r="H133" i="26"/>
  <c r="G133" i="26"/>
  <c r="F133" i="26"/>
  <c r="K136" i="26"/>
  <c r="J136" i="26"/>
  <c r="I136" i="26"/>
  <c r="H136" i="26"/>
  <c r="G136" i="26"/>
  <c r="F136" i="26"/>
  <c r="J139" i="26"/>
  <c r="G139" i="26"/>
  <c r="K140" i="26"/>
  <c r="J140" i="26"/>
  <c r="I140" i="26"/>
  <c r="H140" i="26"/>
  <c r="G140" i="26"/>
  <c r="F140" i="26"/>
  <c r="K14" i="27"/>
  <c r="L115" i="27"/>
  <c r="K115" i="27"/>
  <c r="H115" i="27"/>
  <c r="L116" i="27"/>
  <c r="K116" i="27"/>
  <c r="G116" i="27"/>
  <c r="G117" i="27"/>
  <c r="J117" i="27"/>
  <c r="H117" i="27"/>
  <c r="F117" i="27"/>
  <c r="F118" i="27"/>
  <c r="K118" i="27"/>
  <c r="J118" i="27"/>
  <c r="I118" i="27"/>
  <c r="H118" i="27"/>
  <c r="G118" i="27"/>
  <c r="L119" i="27"/>
  <c r="K119" i="27"/>
  <c r="H119" i="27"/>
  <c r="L120" i="27"/>
  <c r="K120" i="27"/>
  <c r="G120" i="27"/>
  <c r="G121" i="27"/>
  <c r="J121" i="27"/>
  <c r="H121" i="27"/>
  <c r="F121" i="27"/>
  <c r="F122" i="27"/>
  <c r="K122" i="27"/>
  <c r="J122" i="27"/>
  <c r="I122" i="27"/>
  <c r="H122" i="27"/>
  <c r="G122" i="27"/>
  <c r="L123" i="27"/>
  <c r="K123" i="27"/>
  <c r="L124" i="27"/>
  <c r="K124" i="27"/>
  <c r="G124" i="27"/>
  <c r="G125" i="27"/>
  <c r="J125" i="27"/>
  <c r="H125" i="27"/>
  <c r="F125" i="27"/>
  <c r="F126" i="27"/>
  <c r="K126" i="27"/>
  <c r="J126" i="27"/>
  <c r="I126" i="27"/>
  <c r="H126" i="27"/>
  <c r="G126" i="27"/>
  <c r="L127" i="27"/>
  <c r="K127" i="27"/>
  <c r="L128" i="27"/>
  <c r="K128" i="27"/>
  <c r="G128" i="27"/>
  <c r="G129" i="27"/>
  <c r="J129" i="27"/>
  <c r="H129" i="27"/>
  <c r="F129" i="27"/>
  <c r="F130" i="27"/>
  <c r="K130" i="27"/>
  <c r="J130" i="27"/>
  <c r="I130" i="27"/>
  <c r="H130" i="27"/>
  <c r="G130" i="27"/>
  <c r="L131" i="27"/>
  <c r="K131" i="27"/>
  <c r="L132" i="27"/>
  <c r="K132" i="27"/>
  <c r="G132" i="27"/>
  <c r="G133" i="27"/>
  <c r="J133" i="27"/>
  <c r="H133" i="27"/>
  <c r="F133" i="27"/>
  <c r="F134" i="27"/>
  <c r="K134" i="27"/>
  <c r="J134" i="27"/>
  <c r="I134" i="27"/>
  <c r="H134" i="27"/>
  <c r="G134" i="27"/>
  <c r="L135" i="27"/>
  <c r="K135" i="27"/>
  <c r="G135" i="27"/>
  <c r="G136" i="27"/>
  <c r="J136" i="27"/>
  <c r="H136" i="27"/>
  <c r="F136" i="27"/>
  <c r="F137" i="27"/>
  <c r="K137" i="27"/>
  <c r="J137" i="27"/>
  <c r="I137" i="27"/>
  <c r="H137" i="27"/>
  <c r="G137" i="27"/>
  <c r="L138" i="27"/>
  <c r="K138" i="27"/>
  <c r="L139" i="27"/>
  <c r="K139" i="27"/>
  <c r="G139" i="27"/>
  <c r="G140" i="27"/>
  <c r="J140" i="27"/>
  <c r="H140" i="27"/>
  <c r="F140" i="27"/>
  <c r="F141" i="27"/>
  <c r="K141" i="27"/>
  <c r="J141" i="27"/>
  <c r="I141" i="27"/>
  <c r="H141" i="27"/>
  <c r="G141" i="27"/>
  <c r="L142" i="27"/>
  <c r="K142" i="27"/>
  <c r="L143" i="27"/>
  <c r="K143" i="27"/>
  <c r="G143" i="27"/>
  <c r="L3" i="31"/>
  <c r="D3" i="31"/>
  <c r="S3" i="31"/>
  <c r="F8" i="26"/>
  <c r="I8" i="3"/>
  <c r="K14" i="16"/>
  <c r="G14" i="19"/>
  <c r="F14" i="22"/>
  <c r="L8" i="3"/>
  <c r="H14" i="19"/>
  <c r="G8" i="16"/>
  <c r="H8" i="18"/>
  <c r="F14" i="26"/>
  <c r="J8" i="27"/>
  <c r="K8" i="18"/>
  <c r="G8" i="19"/>
  <c r="L14" i="19"/>
  <c r="R51" i="3"/>
  <c r="Q54" i="3"/>
  <c r="J122" i="16"/>
  <c r="J134" i="16"/>
  <c r="F116" i="3"/>
  <c r="I117" i="3"/>
  <c r="F120" i="3"/>
  <c r="I121" i="3"/>
  <c r="F124" i="3"/>
  <c r="I125" i="3"/>
  <c r="F128" i="3"/>
  <c r="I129" i="3"/>
  <c r="G132" i="3"/>
  <c r="K133" i="3"/>
  <c r="J135" i="3"/>
  <c r="J138" i="3"/>
  <c r="I141" i="3"/>
  <c r="J143" i="3"/>
  <c r="L143" i="3"/>
  <c r="H124" i="16"/>
  <c r="H135" i="16"/>
  <c r="G14" i="17"/>
  <c r="I126" i="16"/>
  <c r="H126" i="16"/>
  <c r="G126" i="16"/>
  <c r="I137" i="16"/>
  <c r="H137" i="16"/>
  <c r="G137" i="16"/>
  <c r="G116" i="3"/>
  <c r="J117" i="3"/>
  <c r="G120" i="3"/>
  <c r="J121" i="3"/>
  <c r="G124" i="3"/>
  <c r="J125" i="3"/>
  <c r="G128" i="3"/>
  <c r="J129" i="3"/>
  <c r="L133" i="3"/>
  <c r="G137" i="3"/>
  <c r="K138" i="3"/>
  <c r="F140" i="3"/>
  <c r="J141" i="3"/>
  <c r="G116" i="16"/>
  <c r="I116" i="16"/>
  <c r="F126" i="16"/>
  <c r="G128" i="16"/>
  <c r="I128" i="16"/>
  <c r="F137" i="16"/>
  <c r="G139" i="16"/>
  <c r="I139" i="16"/>
  <c r="H116" i="3"/>
  <c r="H120" i="3"/>
  <c r="H124" i="3"/>
  <c r="H128" i="3"/>
  <c r="K129" i="3"/>
  <c r="H137" i="3"/>
  <c r="G140" i="3"/>
  <c r="K141" i="3"/>
  <c r="K124" i="16"/>
  <c r="J126" i="16"/>
  <c r="K135" i="16"/>
  <c r="J137" i="16"/>
  <c r="F115" i="3"/>
  <c r="I116" i="3"/>
  <c r="L117" i="3"/>
  <c r="F119" i="3"/>
  <c r="I120" i="3"/>
  <c r="L121" i="3"/>
  <c r="F123" i="3"/>
  <c r="I124" i="3"/>
  <c r="L125" i="3"/>
  <c r="F127" i="3"/>
  <c r="I128" i="3"/>
  <c r="L129" i="3"/>
  <c r="F131" i="3"/>
  <c r="I137" i="3"/>
  <c r="H140" i="3"/>
  <c r="L141" i="3"/>
  <c r="J14" i="16"/>
  <c r="Q54" i="16"/>
  <c r="F116" i="16"/>
  <c r="I118" i="16"/>
  <c r="H118" i="16"/>
  <c r="G118" i="16"/>
  <c r="K126" i="16"/>
  <c r="F128" i="16"/>
  <c r="I130" i="16"/>
  <c r="H130" i="16"/>
  <c r="G130" i="16"/>
  <c r="K137" i="16"/>
  <c r="F139" i="16"/>
  <c r="I141" i="16"/>
  <c r="H141" i="16"/>
  <c r="G141" i="16"/>
  <c r="G115" i="3"/>
  <c r="J116" i="3"/>
  <c r="G119" i="3"/>
  <c r="J120" i="3"/>
  <c r="G123" i="3"/>
  <c r="J124" i="3"/>
  <c r="G127" i="3"/>
  <c r="J128" i="3"/>
  <c r="G131" i="3"/>
  <c r="K132" i="3"/>
  <c r="G134" i="3"/>
  <c r="F136" i="3"/>
  <c r="J137" i="3"/>
  <c r="I140" i="3"/>
  <c r="H116" i="16"/>
  <c r="L126" i="16"/>
  <c r="H128" i="16"/>
  <c r="L137" i="16"/>
  <c r="H139" i="16"/>
  <c r="K116" i="3"/>
  <c r="K120" i="3"/>
  <c r="K124" i="3"/>
  <c r="K128" i="3"/>
  <c r="K137" i="3"/>
  <c r="J140" i="3"/>
  <c r="J116" i="16"/>
  <c r="G120" i="16"/>
  <c r="I120" i="16"/>
  <c r="J128" i="16"/>
  <c r="G132" i="16"/>
  <c r="I132" i="16"/>
  <c r="J139" i="16"/>
  <c r="G143" i="16"/>
  <c r="I143" i="16"/>
  <c r="I115" i="3"/>
  <c r="I119" i="3"/>
  <c r="I123" i="3"/>
  <c r="I127" i="3"/>
  <c r="J131" i="3"/>
  <c r="I134" i="3"/>
  <c r="H136" i="3"/>
  <c r="L137" i="3"/>
  <c r="K140" i="3"/>
  <c r="F133" i="3"/>
  <c r="I136" i="3"/>
  <c r="L116" i="16"/>
  <c r="F120" i="16"/>
  <c r="I122" i="16"/>
  <c r="H122" i="16"/>
  <c r="G122" i="16"/>
  <c r="L128" i="16"/>
  <c r="F132" i="16"/>
  <c r="I134" i="16"/>
  <c r="H134" i="16"/>
  <c r="G134" i="16"/>
  <c r="L139" i="16"/>
  <c r="F143" i="16"/>
  <c r="H120" i="16"/>
  <c r="H132" i="16"/>
  <c r="H143" i="16"/>
  <c r="L134" i="3"/>
  <c r="G135" i="3"/>
  <c r="F138" i="3"/>
  <c r="J139" i="3"/>
  <c r="J120" i="16"/>
  <c r="G124" i="16"/>
  <c r="I124" i="16"/>
  <c r="J132" i="16"/>
  <c r="G135" i="16"/>
  <c r="I135" i="16"/>
  <c r="J143" i="16"/>
  <c r="L117" i="16"/>
  <c r="L121" i="16"/>
  <c r="L125" i="16"/>
  <c r="L129" i="16"/>
  <c r="L133" i="16"/>
  <c r="L136" i="16"/>
  <c r="L140" i="16"/>
  <c r="L116" i="17"/>
  <c r="J116" i="17"/>
  <c r="I116" i="17"/>
  <c r="G116" i="17"/>
  <c r="F116" i="17"/>
  <c r="L132" i="17"/>
  <c r="J132" i="17"/>
  <c r="I132" i="17"/>
  <c r="G132" i="17"/>
  <c r="F132" i="17"/>
  <c r="L117" i="20"/>
  <c r="K117" i="20"/>
  <c r="J117" i="20"/>
  <c r="I117" i="20"/>
  <c r="H117" i="20"/>
  <c r="G117" i="20"/>
  <c r="F117" i="20"/>
  <c r="L140" i="20"/>
  <c r="K140" i="20"/>
  <c r="J140" i="20"/>
  <c r="I140" i="20"/>
  <c r="H140" i="20"/>
  <c r="G140" i="20"/>
  <c r="F140" i="20"/>
  <c r="H116" i="17"/>
  <c r="H132" i="17"/>
  <c r="I8" i="19"/>
  <c r="K116" i="17"/>
  <c r="L120" i="17"/>
  <c r="J120" i="17"/>
  <c r="I120" i="17"/>
  <c r="G120" i="17"/>
  <c r="F120" i="17"/>
  <c r="K132" i="17"/>
  <c r="L135" i="17"/>
  <c r="J135" i="17"/>
  <c r="I135" i="17"/>
  <c r="G135" i="17"/>
  <c r="F135" i="17"/>
  <c r="F14" i="18"/>
  <c r="R51" i="18"/>
  <c r="Q54" i="18"/>
  <c r="L124" i="17"/>
  <c r="J124" i="17"/>
  <c r="I124" i="17"/>
  <c r="G124" i="17"/>
  <c r="F124" i="17"/>
  <c r="L139" i="17"/>
  <c r="J139" i="17"/>
  <c r="I139" i="17"/>
  <c r="G139" i="17"/>
  <c r="F139" i="17"/>
  <c r="L134" i="18"/>
  <c r="K134" i="18"/>
  <c r="J134" i="18"/>
  <c r="I134" i="18"/>
  <c r="H134" i="18"/>
  <c r="G134" i="18"/>
  <c r="F134" i="18"/>
  <c r="H124" i="17"/>
  <c r="H139" i="17"/>
  <c r="L128" i="17"/>
  <c r="J128" i="17"/>
  <c r="I128" i="17"/>
  <c r="G128" i="17"/>
  <c r="F128" i="17"/>
  <c r="L143" i="17"/>
  <c r="J143" i="17"/>
  <c r="I143" i="17"/>
  <c r="G143" i="17"/>
  <c r="F143" i="17"/>
  <c r="I126" i="18"/>
  <c r="F137" i="18"/>
  <c r="I141" i="18"/>
  <c r="F117" i="18"/>
  <c r="F121" i="18"/>
  <c r="G125" i="18"/>
  <c r="K126" i="18"/>
  <c r="G128" i="18"/>
  <c r="K129" i="18"/>
  <c r="F131" i="18"/>
  <c r="J132" i="18"/>
  <c r="H137" i="18"/>
  <c r="G140" i="18"/>
  <c r="K141" i="18"/>
  <c r="G143" i="18"/>
  <c r="F14" i="19"/>
  <c r="G117" i="18"/>
  <c r="G121" i="18"/>
  <c r="H125" i="18"/>
  <c r="H128" i="18"/>
  <c r="G131" i="18"/>
  <c r="I137" i="18"/>
  <c r="H140" i="18"/>
  <c r="H143" i="18"/>
  <c r="J137" i="18"/>
  <c r="I117" i="18"/>
  <c r="I121" i="18"/>
  <c r="K125" i="18"/>
  <c r="J128" i="18"/>
  <c r="I131" i="18"/>
  <c r="K137" i="18"/>
  <c r="K140" i="18"/>
  <c r="J143" i="18"/>
  <c r="G115" i="17"/>
  <c r="G119" i="17"/>
  <c r="G123" i="17"/>
  <c r="G127" i="17"/>
  <c r="G131" i="17"/>
  <c r="G138" i="17"/>
  <c r="G142" i="17"/>
  <c r="G116" i="18"/>
  <c r="J117" i="18"/>
  <c r="G120" i="18"/>
  <c r="J121" i="18"/>
  <c r="H124" i="18"/>
  <c r="L125" i="18"/>
  <c r="G127" i="18"/>
  <c r="K128" i="18"/>
  <c r="F130" i="18"/>
  <c r="J131" i="18"/>
  <c r="H139" i="18"/>
  <c r="L140" i="18"/>
  <c r="G142" i="18"/>
  <c r="K143" i="18"/>
  <c r="I115" i="17"/>
  <c r="I119" i="17"/>
  <c r="I123" i="17"/>
  <c r="I127" i="17"/>
  <c r="I131" i="17"/>
  <c r="I138" i="17"/>
  <c r="I142" i="17"/>
  <c r="I116" i="18"/>
  <c r="I120" i="18"/>
  <c r="J124" i="18"/>
  <c r="I127" i="18"/>
  <c r="H130" i="18"/>
  <c r="G133" i="18"/>
  <c r="J139" i="18"/>
  <c r="I142" i="18"/>
  <c r="K124" i="18"/>
  <c r="F126" i="18"/>
  <c r="I130" i="18"/>
  <c r="H133" i="18"/>
  <c r="K139" i="18"/>
  <c r="F141" i="18"/>
  <c r="G126" i="18"/>
  <c r="G141" i="18"/>
  <c r="H126" i="18"/>
  <c r="K130" i="18"/>
  <c r="H141" i="18"/>
  <c r="F115" i="19"/>
  <c r="I116" i="19"/>
  <c r="L117" i="19"/>
  <c r="F119" i="19"/>
  <c r="I120" i="19"/>
  <c r="L121" i="19"/>
  <c r="F123" i="19"/>
  <c r="I124" i="19"/>
  <c r="L125" i="19"/>
  <c r="F127" i="19"/>
  <c r="I128" i="19"/>
  <c r="L129" i="19"/>
  <c r="F131" i="19"/>
  <c r="I132" i="19"/>
  <c r="L133" i="19"/>
  <c r="I135" i="19"/>
  <c r="L136" i="19"/>
  <c r="F138" i="19"/>
  <c r="I139" i="19"/>
  <c r="L140" i="19"/>
  <c r="F142" i="19"/>
  <c r="I143" i="19"/>
  <c r="G115" i="19"/>
  <c r="G119" i="19"/>
  <c r="G123" i="19"/>
  <c r="G127" i="19"/>
  <c r="G131" i="19"/>
  <c r="G138" i="19"/>
  <c r="G142" i="19"/>
  <c r="L121" i="20"/>
  <c r="K121" i="20"/>
  <c r="J121" i="20"/>
  <c r="I121" i="20"/>
  <c r="H121" i="20"/>
  <c r="G121" i="20"/>
  <c r="F121" i="20"/>
  <c r="H115" i="19"/>
  <c r="K116" i="19"/>
  <c r="H119" i="19"/>
  <c r="K120" i="19"/>
  <c r="H123" i="19"/>
  <c r="K124" i="19"/>
  <c r="H127" i="19"/>
  <c r="K128" i="19"/>
  <c r="H131" i="19"/>
  <c r="K132" i="19"/>
  <c r="K135" i="19"/>
  <c r="H138" i="19"/>
  <c r="K139" i="19"/>
  <c r="H142" i="19"/>
  <c r="K143" i="19"/>
  <c r="I115" i="19"/>
  <c r="I119" i="19"/>
  <c r="I123" i="19"/>
  <c r="I127" i="19"/>
  <c r="I131" i="19"/>
  <c r="I138" i="19"/>
  <c r="I142" i="19"/>
  <c r="L125" i="20"/>
  <c r="K125" i="20"/>
  <c r="J125" i="20"/>
  <c r="I125" i="20"/>
  <c r="H125" i="20"/>
  <c r="G125" i="20"/>
  <c r="F125" i="20"/>
  <c r="J115" i="19"/>
  <c r="G118" i="19"/>
  <c r="J119" i="19"/>
  <c r="G122" i="19"/>
  <c r="J123" i="19"/>
  <c r="G126" i="19"/>
  <c r="J127" i="19"/>
  <c r="G130" i="19"/>
  <c r="J131" i="19"/>
  <c r="G134" i="19"/>
  <c r="G137" i="19"/>
  <c r="J138" i="19"/>
  <c r="G141" i="19"/>
  <c r="J142" i="19"/>
  <c r="K115" i="19"/>
  <c r="K119" i="19"/>
  <c r="K123" i="19"/>
  <c r="K127" i="19"/>
  <c r="K131" i="19"/>
  <c r="K138" i="19"/>
  <c r="K142" i="19"/>
  <c r="L129" i="20"/>
  <c r="K129" i="20"/>
  <c r="J129" i="20"/>
  <c r="I129" i="20"/>
  <c r="H129" i="20"/>
  <c r="G129" i="20"/>
  <c r="F129" i="20"/>
  <c r="F117" i="19"/>
  <c r="I118" i="19"/>
  <c r="F121" i="19"/>
  <c r="I122" i="19"/>
  <c r="F125" i="19"/>
  <c r="I126" i="19"/>
  <c r="F129" i="19"/>
  <c r="I130" i="19"/>
  <c r="F133" i="19"/>
  <c r="I134" i="19"/>
  <c r="F136" i="19"/>
  <c r="I137" i="19"/>
  <c r="F140" i="19"/>
  <c r="I141" i="19"/>
  <c r="F14" i="21"/>
  <c r="J118" i="19"/>
  <c r="J122" i="19"/>
  <c r="J126" i="19"/>
  <c r="J130" i="19"/>
  <c r="J134" i="19"/>
  <c r="J137" i="19"/>
  <c r="J141" i="19"/>
  <c r="L133" i="20"/>
  <c r="K133" i="20"/>
  <c r="J133" i="20"/>
  <c r="I133" i="20"/>
  <c r="H133" i="20"/>
  <c r="G133" i="20"/>
  <c r="F133" i="20"/>
  <c r="H117" i="19"/>
  <c r="K118" i="19"/>
  <c r="H121" i="19"/>
  <c r="K122" i="19"/>
  <c r="H125" i="19"/>
  <c r="K126" i="19"/>
  <c r="H129" i="19"/>
  <c r="K130" i="19"/>
  <c r="H133" i="19"/>
  <c r="K134" i="19"/>
  <c r="H136" i="19"/>
  <c r="K137" i="19"/>
  <c r="H140" i="19"/>
  <c r="K141" i="19"/>
  <c r="H14" i="20"/>
  <c r="L136" i="20"/>
  <c r="K136" i="20"/>
  <c r="J136" i="20"/>
  <c r="I136" i="20"/>
  <c r="H136" i="20"/>
  <c r="G136" i="20"/>
  <c r="F136" i="20"/>
  <c r="G115" i="20"/>
  <c r="J116" i="20"/>
  <c r="G119" i="20"/>
  <c r="J120" i="20"/>
  <c r="G123" i="20"/>
  <c r="J124" i="20"/>
  <c r="G127" i="20"/>
  <c r="J128" i="20"/>
  <c r="G131" i="20"/>
  <c r="J132" i="20"/>
  <c r="J135" i="20"/>
  <c r="G138" i="20"/>
  <c r="J139" i="20"/>
  <c r="G142" i="20"/>
  <c r="J143" i="20"/>
  <c r="L117" i="21"/>
  <c r="F119" i="21"/>
  <c r="K120" i="21"/>
  <c r="K127" i="21"/>
  <c r="F129" i="21"/>
  <c r="F135" i="21"/>
  <c r="J136" i="21"/>
  <c r="L140" i="21"/>
  <c r="F142" i="21"/>
  <c r="K143" i="21"/>
  <c r="I115" i="20"/>
  <c r="L116" i="20"/>
  <c r="F118" i="20"/>
  <c r="I119" i="20"/>
  <c r="L120" i="20"/>
  <c r="F122" i="20"/>
  <c r="I123" i="20"/>
  <c r="L124" i="20"/>
  <c r="F126" i="20"/>
  <c r="I127" i="20"/>
  <c r="L128" i="20"/>
  <c r="F130" i="20"/>
  <c r="I131" i="20"/>
  <c r="L132" i="20"/>
  <c r="F134" i="20"/>
  <c r="L135" i="20"/>
  <c r="F137" i="20"/>
  <c r="I138" i="20"/>
  <c r="L139" i="20"/>
  <c r="F141" i="20"/>
  <c r="I142" i="20"/>
  <c r="L143" i="20"/>
  <c r="F115" i="21"/>
  <c r="K116" i="21"/>
  <c r="I119" i="21"/>
  <c r="K123" i="21"/>
  <c r="F125" i="21"/>
  <c r="F132" i="21"/>
  <c r="H135" i="21"/>
  <c r="L136" i="21"/>
  <c r="F138" i="21"/>
  <c r="K139" i="21"/>
  <c r="I142" i="21"/>
  <c r="K115" i="20"/>
  <c r="K119" i="20"/>
  <c r="K123" i="20"/>
  <c r="K127" i="20"/>
  <c r="K131" i="20"/>
  <c r="K138" i="20"/>
  <c r="K142" i="20"/>
  <c r="Q54" i="21"/>
  <c r="R51" i="22"/>
  <c r="Q54" i="22"/>
  <c r="L115" i="20"/>
  <c r="L119" i="20"/>
  <c r="L123" i="20"/>
  <c r="L127" i="20"/>
  <c r="L131" i="20"/>
  <c r="L138" i="20"/>
  <c r="L142" i="20"/>
  <c r="F117" i="21"/>
  <c r="F124" i="21"/>
  <c r="F131" i="21"/>
  <c r="F140" i="21"/>
  <c r="L115" i="21"/>
  <c r="G117" i="21"/>
  <c r="G124" i="21"/>
  <c r="K125" i="21"/>
  <c r="I128" i="21"/>
  <c r="H131" i="21"/>
  <c r="L132" i="21"/>
  <c r="L138" i="21"/>
  <c r="G140" i="21"/>
  <c r="F116" i="20"/>
  <c r="F120" i="20"/>
  <c r="F124" i="20"/>
  <c r="F128" i="20"/>
  <c r="F132" i="20"/>
  <c r="F135" i="20"/>
  <c r="F139" i="20"/>
  <c r="F143" i="20"/>
  <c r="H117" i="21"/>
  <c r="F120" i="21"/>
  <c r="H124" i="21"/>
  <c r="F127" i="21"/>
  <c r="I131" i="21"/>
  <c r="F136" i="21"/>
  <c r="H140" i="21"/>
  <c r="F143" i="21"/>
  <c r="H116" i="20"/>
  <c r="H120" i="20"/>
  <c r="H124" i="20"/>
  <c r="H128" i="20"/>
  <c r="H132" i="20"/>
  <c r="H135" i="20"/>
  <c r="H139" i="20"/>
  <c r="H143" i="20"/>
  <c r="J117" i="21"/>
  <c r="H120" i="21"/>
  <c r="K124" i="21"/>
  <c r="I127" i="21"/>
  <c r="K131" i="21"/>
  <c r="J140" i="21"/>
  <c r="H143" i="21"/>
  <c r="L124" i="21"/>
  <c r="L131" i="21"/>
  <c r="I116" i="22"/>
  <c r="I120" i="22"/>
  <c r="I124" i="22"/>
  <c r="I128" i="22"/>
  <c r="I132" i="22"/>
  <c r="I135" i="22"/>
  <c r="I139" i="22"/>
  <c r="I143" i="22"/>
  <c r="L14" i="24"/>
  <c r="J116" i="22"/>
  <c r="J120" i="22"/>
  <c r="J124" i="22"/>
  <c r="J128" i="22"/>
  <c r="J132" i="22"/>
  <c r="J135" i="22"/>
  <c r="J139" i="22"/>
  <c r="J143" i="22"/>
  <c r="L127" i="24"/>
  <c r="K127" i="24"/>
  <c r="J127" i="24"/>
  <c r="I127" i="24"/>
  <c r="H127" i="24"/>
  <c r="G127" i="24"/>
  <c r="F127" i="24"/>
  <c r="K116" i="22"/>
  <c r="K120" i="22"/>
  <c r="K124" i="22"/>
  <c r="K128" i="22"/>
  <c r="K132" i="22"/>
  <c r="K135" i="22"/>
  <c r="K139" i="22"/>
  <c r="K143" i="22"/>
  <c r="L116" i="22"/>
  <c r="F118" i="22"/>
  <c r="L120" i="22"/>
  <c r="F122" i="22"/>
  <c r="L124" i="22"/>
  <c r="F126" i="22"/>
  <c r="L128" i="22"/>
  <c r="F130" i="22"/>
  <c r="L132" i="22"/>
  <c r="F134" i="22"/>
  <c r="L135" i="22"/>
  <c r="F137" i="22"/>
  <c r="L139" i="22"/>
  <c r="F141" i="22"/>
  <c r="L143" i="22"/>
  <c r="L118" i="23"/>
  <c r="J118" i="23"/>
  <c r="I118" i="23"/>
  <c r="H118" i="23"/>
  <c r="G118" i="23"/>
  <c r="F118" i="23"/>
  <c r="L126" i="23"/>
  <c r="J126" i="23"/>
  <c r="I126" i="23"/>
  <c r="H126" i="23"/>
  <c r="G126" i="23"/>
  <c r="F126" i="23"/>
  <c r="L134" i="23"/>
  <c r="J134" i="23"/>
  <c r="I134" i="23"/>
  <c r="H134" i="23"/>
  <c r="G134" i="23"/>
  <c r="F134" i="23"/>
  <c r="L141" i="23"/>
  <c r="J141" i="23"/>
  <c r="I141" i="23"/>
  <c r="H141" i="23"/>
  <c r="G141" i="23"/>
  <c r="F141" i="23"/>
  <c r="G118" i="22"/>
  <c r="G122" i="22"/>
  <c r="G126" i="22"/>
  <c r="G130" i="22"/>
  <c r="G134" i="22"/>
  <c r="G137" i="22"/>
  <c r="G141" i="22"/>
  <c r="L123" i="24"/>
  <c r="K123" i="24"/>
  <c r="J123" i="24"/>
  <c r="I123" i="24"/>
  <c r="H123" i="24"/>
  <c r="G123" i="24"/>
  <c r="F123" i="24"/>
  <c r="K118" i="23"/>
  <c r="K126" i="23"/>
  <c r="K134" i="23"/>
  <c r="K141" i="23"/>
  <c r="L139" i="24"/>
  <c r="K139" i="24"/>
  <c r="J139" i="24"/>
  <c r="I139" i="24"/>
  <c r="H139" i="24"/>
  <c r="G139" i="24"/>
  <c r="F139" i="24"/>
  <c r="R51" i="24"/>
  <c r="Q54" i="24"/>
  <c r="L119" i="24"/>
  <c r="K119" i="24"/>
  <c r="J119" i="24"/>
  <c r="I119" i="24"/>
  <c r="H119" i="24"/>
  <c r="G119" i="24"/>
  <c r="F119" i="24"/>
  <c r="F116" i="22"/>
  <c r="F120" i="22"/>
  <c r="F124" i="22"/>
  <c r="F128" i="22"/>
  <c r="F132" i="22"/>
  <c r="F135" i="22"/>
  <c r="F139" i="22"/>
  <c r="F143" i="22"/>
  <c r="L122" i="23"/>
  <c r="J122" i="23"/>
  <c r="I122" i="23"/>
  <c r="H122" i="23"/>
  <c r="G122" i="23"/>
  <c r="F122" i="23"/>
  <c r="L130" i="23"/>
  <c r="J130" i="23"/>
  <c r="I130" i="23"/>
  <c r="H130" i="23"/>
  <c r="G130" i="23"/>
  <c r="F130" i="23"/>
  <c r="L137" i="23"/>
  <c r="J137" i="23"/>
  <c r="I137" i="23"/>
  <c r="H137" i="23"/>
  <c r="G137" i="23"/>
  <c r="F137" i="23"/>
  <c r="Q54" i="23"/>
  <c r="L115" i="24"/>
  <c r="K115" i="24"/>
  <c r="J115" i="24"/>
  <c r="I115" i="24"/>
  <c r="H115" i="24"/>
  <c r="G115" i="24"/>
  <c r="F115" i="24"/>
  <c r="F115" i="23"/>
  <c r="I116" i="23"/>
  <c r="F119" i="23"/>
  <c r="I120" i="23"/>
  <c r="F123" i="23"/>
  <c r="I124" i="23"/>
  <c r="F127" i="23"/>
  <c r="I128" i="23"/>
  <c r="F131" i="23"/>
  <c r="I132" i="23"/>
  <c r="I135" i="23"/>
  <c r="F138" i="23"/>
  <c r="I139" i="23"/>
  <c r="F142" i="23"/>
  <c r="I143" i="23"/>
  <c r="F116" i="24"/>
  <c r="F120" i="24"/>
  <c r="F124" i="24"/>
  <c r="F128" i="24"/>
  <c r="J129" i="24"/>
  <c r="K141" i="24"/>
  <c r="F143" i="24"/>
  <c r="I115" i="23"/>
  <c r="L116" i="23"/>
  <c r="I119" i="23"/>
  <c r="L120" i="23"/>
  <c r="I123" i="23"/>
  <c r="L124" i="23"/>
  <c r="I127" i="23"/>
  <c r="L128" i="23"/>
  <c r="I131" i="23"/>
  <c r="L132" i="23"/>
  <c r="L135" i="23"/>
  <c r="I138" i="23"/>
  <c r="L139" i="23"/>
  <c r="I142" i="23"/>
  <c r="L143" i="23"/>
  <c r="I116" i="24"/>
  <c r="I120" i="24"/>
  <c r="I124" i="24"/>
  <c r="I128" i="24"/>
  <c r="I143" i="24"/>
  <c r="J115" i="23"/>
  <c r="J119" i="23"/>
  <c r="J123" i="23"/>
  <c r="J127" i="23"/>
  <c r="J131" i="23"/>
  <c r="J138" i="23"/>
  <c r="J142" i="23"/>
  <c r="J116" i="24"/>
  <c r="J120" i="24"/>
  <c r="J124" i="24"/>
  <c r="J128" i="24"/>
  <c r="I134" i="24"/>
  <c r="H136" i="24"/>
  <c r="L137" i="24"/>
  <c r="K140" i="24"/>
  <c r="F142" i="24"/>
  <c r="J143" i="24"/>
  <c r="K115" i="23"/>
  <c r="K119" i="23"/>
  <c r="K123" i="23"/>
  <c r="K127" i="23"/>
  <c r="K131" i="23"/>
  <c r="K138" i="23"/>
  <c r="K142" i="23"/>
  <c r="K116" i="24"/>
  <c r="K120" i="24"/>
  <c r="K124" i="24"/>
  <c r="K128" i="24"/>
  <c r="G130" i="24"/>
  <c r="F133" i="24"/>
  <c r="J134" i="24"/>
  <c r="I136" i="24"/>
  <c r="L140" i="24"/>
  <c r="G142" i="24"/>
  <c r="K143" i="24"/>
  <c r="H142" i="24"/>
  <c r="I130" i="24"/>
  <c r="H133" i="24"/>
  <c r="L134" i="24"/>
  <c r="J142" i="24"/>
  <c r="F116" i="23"/>
  <c r="F120" i="23"/>
  <c r="F124" i="23"/>
  <c r="F128" i="23"/>
  <c r="F132" i="23"/>
  <c r="F135" i="23"/>
  <c r="F139" i="23"/>
  <c r="F143" i="23"/>
  <c r="G129" i="24"/>
  <c r="K130" i="24"/>
  <c r="J133" i="24"/>
  <c r="H141" i="24"/>
  <c r="L142" i="24"/>
  <c r="G116" i="23"/>
  <c r="G120" i="23"/>
  <c r="G124" i="23"/>
  <c r="G128" i="23"/>
  <c r="G132" i="23"/>
  <c r="G135" i="23"/>
  <c r="G139" i="23"/>
  <c r="G143" i="23"/>
  <c r="H129" i="24"/>
  <c r="I141" i="24"/>
  <c r="H132" i="24"/>
  <c r="K135" i="24"/>
  <c r="G137" i="24"/>
  <c r="K138" i="24"/>
  <c r="J141" i="24"/>
  <c r="H138" i="25"/>
  <c r="H142" i="25"/>
  <c r="F116" i="26"/>
  <c r="L116" i="26"/>
  <c r="K116" i="26"/>
  <c r="I116" i="26"/>
  <c r="H116" i="26"/>
  <c r="L119" i="26"/>
  <c r="K119" i="26"/>
  <c r="J119" i="26"/>
  <c r="I119" i="26"/>
  <c r="H119" i="26"/>
  <c r="F119" i="26"/>
  <c r="L122" i="26"/>
  <c r="K122" i="26"/>
  <c r="I122" i="26"/>
  <c r="H122" i="26"/>
  <c r="G122" i="26"/>
  <c r="F122" i="26"/>
  <c r="F139" i="26"/>
  <c r="L139" i="26"/>
  <c r="K139" i="26"/>
  <c r="I139" i="26"/>
  <c r="H139" i="26"/>
  <c r="L142" i="26"/>
  <c r="K142" i="26"/>
  <c r="J142" i="26"/>
  <c r="I142" i="26"/>
  <c r="H142" i="26"/>
  <c r="F142" i="26"/>
  <c r="F120" i="26"/>
  <c r="L120" i="26"/>
  <c r="K120" i="26"/>
  <c r="I120" i="26"/>
  <c r="H120" i="26"/>
  <c r="L123" i="26"/>
  <c r="K123" i="26"/>
  <c r="J123" i="26"/>
  <c r="I123" i="26"/>
  <c r="H123" i="26"/>
  <c r="F123" i="26"/>
  <c r="L126" i="26"/>
  <c r="K126" i="26"/>
  <c r="I126" i="26"/>
  <c r="H126" i="26"/>
  <c r="G126" i="26"/>
  <c r="F126" i="26"/>
  <c r="F143" i="26"/>
  <c r="L143" i="26"/>
  <c r="K143" i="26"/>
  <c r="I143" i="26"/>
  <c r="H143" i="26"/>
  <c r="K115" i="25"/>
  <c r="H118" i="25"/>
  <c r="K119" i="25"/>
  <c r="H122" i="25"/>
  <c r="K123" i="25"/>
  <c r="H126" i="25"/>
  <c r="K127" i="25"/>
  <c r="H130" i="25"/>
  <c r="K131" i="25"/>
  <c r="H134" i="25"/>
  <c r="H137" i="25"/>
  <c r="K138" i="25"/>
  <c r="H141" i="25"/>
  <c r="K142" i="25"/>
  <c r="G120" i="26"/>
  <c r="G123" i="26"/>
  <c r="J126" i="26"/>
  <c r="G143" i="26"/>
  <c r="J120" i="26"/>
  <c r="F124" i="26"/>
  <c r="L124" i="26"/>
  <c r="K124" i="26"/>
  <c r="I124" i="26"/>
  <c r="H124" i="26"/>
  <c r="L127" i="26"/>
  <c r="K127" i="26"/>
  <c r="J127" i="26"/>
  <c r="I127" i="26"/>
  <c r="H127" i="26"/>
  <c r="F127" i="26"/>
  <c r="L130" i="26"/>
  <c r="K130" i="26"/>
  <c r="I130" i="26"/>
  <c r="H130" i="26"/>
  <c r="G130" i="26"/>
  <c r="F130" i="26"/>
  <c r="J143" i="26"/>
  <c r="G117" i="25"/>
  <c r="G121" i="25"/>
  <c r="G125" i="25"/>
  <c r="G129" i="25"/>
  <c r="G133" i="25"/>
  <c r="G136" i="25"/>
  <c r="G140" i="25"/>
  <c r="G124" i="26"/>
  <c r="G127" i="26"/>
  <c r="J130" i="26"/>
  <c r="H117" i="25"/>
  <c r="H121" i="25"/>
  <c r="H125" i="25"/>
  <c r="H129" i="25"/>
  <c r="H133" i="25"/>
  <c r="H136" i="25"/>
  <c r="H140" i="25"/>
  <c r="F128" i="26"/>
  <c r="L128" i="26"/>
  <c r="K128" i="26"/>
  <c r="I128" i="26"/>
  <c r="H128" i="26"/>
  <c r="L131" i="26"/>
  <c r="K131" i="26"/>
  <c r="J131" i="26"/>
  <c r="I131" i="26"/>
  <c r="H131" i="26"/>
  <c r="F131" i="26"/>
  <c r="L134" i="26"/>
  <c r="K134" i="26"/>
  <c r="I134" i="26"/>
  <c r="H134" i="26"/>
  <c r="G134" i="26"/>
  <c r="F134" i="26"/>
  <c r="I117" i="25"/>
  <c r="I121" i="25"/>
  <c r="I125" i="25"/>
  <c r="I129" i="25"/>
  <c r="I133" i="25"/>
  <c r="I136" i="25"/>
  <c r="I140" i="25"/>
  <c r="G128" i="26"/>
  <c r="G131" i="26"/>
  <c r="J134" i="26"/>
  <c r="J117" i="25"/>
  <c r="J121" i="25"/>
  <c r="J125" i="25"/>
  <c r="J129" i="25"/>
  <c r="J133" i="25"/>
  <c r="J136" i="25"/>
  <c r="J140" i="25"/>
  <c r="J128" i="26"/>
  <c r="F132" i="26"/>
  <c r="L132" i="26"/>
  <c r="K132" i="26"/>
  <c r="I132" i="26"/>
  <c r="H132" i="26"/>
  <c r="L137" i="26"/>
  <c r="K137" i="26"/>
  <c r="I137" i="26"/>
  <c r="H137" i="26"/>
  <c r="G137" i="26"/>
  <c r="F137" i="26"/>
  <c r="R51" i="27"/>
  <c r="Q54" i="27"/>
  <c r="F115" i="25"/>
  <c r="F119" i="25"/>
  <c r="F123" i="25"/>
  <c r="F127" i="25"/>
  <c r="F131" i="25"/>
  <c r="F138" i="25"/>
  <c r="F142" i="25"/>
  <c r="L115" i="26"/>
  <c r="K115" i="26"/>
  <c r="J115" i="26"/>
  <c r="I115" i="26"/>
  <c r="H115" i="26"/>
  <c r="F115" i="26"/>
  <c r="L118" i="26"/>
  <c r="K118" i="26"/>
  <c r="I118" i="26"/>
  <c r="H118" i="26"/>
  <c r="G118" i="26"/>
  <c r="F118" i="26"/>
  <c r="J132" i="26"/>
  <c r="F135" i="26"/>
  <c r="L135" i="26"/>
  <c r="K135" i="26"/>
  <c r="I135" i="26"/>
  <c r="H135" i="26"/>
  <c r="L138" i="26"/>
  <c r="K138" i="26"/>
  <c r="J138" i="26"/>
  <c r="I138" i="26"/>
  <c r="H138" i="26"/>
  <c r="F138" i="26"/>
  <c r="L141" i="26"/>
  <c r="K141" i="26"/>
  <c r="I141" i="26"/>
  <c r="H141" i="26"/>
  <c r="G141" i="26"/>
  <c r="F141" i="26"/>
  <c r="G115" i="26"/>
  <c r="J118" i="26"/>
  <c r="G135" i="26"/>
  <c r="G138" i="26"/>
  <c r="J141" i="26"/>
  <c r="F116" i="27"/>
  <c r="I117" i="27"/>
  <c r="L118" i="27"/>
  <c r="F120" i="27"/>
  <c r="I121" i="27"/>
  <c r="L122" i="27"/>
  <c r="F124" i="27"/>
  <c r="I125" i="27"/>
  <c r="L126" i="27"/>
  <c r="F128" i="27"/>
  <c r="I129" i="27"/>
  <c r="L130" i="27"/>
  <c r="F132" i="27"/>
  <c r="I133" i="27"/>
  <c r="L134" i="27"/>
  <c r="F135" i="27"/>
  <c r="I136" i="27"/>
  <c r="L137" i="27"/>
  <c r="F139" i="27"/>
  <c r="I140" i="27"/>
  <c r="L141" i="27"/>
  <c r="F143" i="27"/>
  <c r="L117" i="26"/>
  <c r="L121" i="26"/>
  <c r="L125" i="26"/>
  <c r="L129" i="26"/>
  <c r="L133" i="26"/>
  <c r="L136" i="26"/>
  <c r="L140" i="26"/>
  <c r="H116" i="27"/>
  <c r="K117" i="27"/>
  <c r="H120" i="27"/>
  <c r="K121" i="27"/>
  <c r="H124" i="27"/>
  <c r="K125" i="27"/>
  <c r="H128" i="27"/>
  <c r="K129" i="27"/>
  <c r="H132" i="27"/>
  <c r="K133" i="27"/>
  <c r="H135" i="27"/>
  <c r="K136" i="27"/>
  <c r="H139" i="27"/>
  <c r="K140" i="27"/>
  <c r="H143" i="27"/>
  <c r="F115" i="27"/>
  <c r="I116" i="27"/>
  <c r="L117" i="27"/>
  <c r="F119" i="27"/>
  <c r="I120" i="27"/>
  <c r="L121" i="27"/>
  <c r="F123" i="27"/>
  <c r="I124" i="27"/>
  <c r="L125" i="27"/>
  <c r="F127" i="27"/>
  <c r="I128" i="27"/>
  <c r="L129" i="27"/>
  <c r="F131" i="27"/>
  <c r="I132" i="27"/>
  <c r="L133" i="27"/>
  <c r="I135" i="27"/>
  <c r="L136" i="27"/>
  <c r="F138" i="27"/>
  <c r="I139" i="27"/>
  <c r="L140" i="27"/>
  <c r="F142" i="27"/>
  <c r="I143" i="27"/>
  <c r="G115" i="27"/>
  <c r="J116" i="27"/>
  <c r="G119" i="27"/>
  <c r="J120" i="27"/>
  <c r="G123" i="27"/>
  <c r="J124" i="27"/>
  <c r="G127" i="27"/>
  <c r="J128" i="27"/>
  <c r="G131" i="27"/>
  <c r="J132" i="27"/>
  <c r="J135" i="27"/>
  <c r="G138" i="27"/>
  <c r="J139" i="27"/>
  <c r="G142" i="27"/>
  <c r="J143" i="27"/>
  <c r="H123" i="27"/>
  <c r="H127" i="27"/>
  <c r="H131" i="27"/>
  <c r="H138" i="27"/>
  <c r="H142" i="27"/>
  <c r="I115" i="27"/>
  <c r="I119" i="27"/>
  <c r="I123" i="27"/>
  <c r="I127" i="27"/>
  <c r="I131" i="27"/>
  <c r="I138" i="27"/>
  <c r="I142" i="27"/>
  <c r="J115" i="27"/>
  <c r="J119" i="27"/>
  <c r="J123" i="27"/>
  <c r="J127" i="27"/>
  <c r="J131" i="27"/>
  <c r="J138" i="27"/>
  <c r="J142" i="27"/>
  <c r="D4" i="26"/>
  <c r="D4" i="25"/>
  <c r="D4" i="24"/>
  <c r="D4" i="23"/>
  <c r="D4" i="22"/>
  <c r="D4" i="21"/>
  <c r="D4" i="20"/>
  <c r="D4" i="19"/>
  <c r="D4" i="18"/>
  <c r="D4" i="17"/>
  <c r="D4" i="16"/>
  <c r="D4" i="27"/>
  <c r="F55" i="29"/>
  <c r="R51" i="29"/>
  <c r="R67" i="29"/>
  <c r="R57" i="29"/>
  <c r="F66" i="29"/>
  <c r="F65" i="29"/>
  <c r="F47" i="29"/>
  <c r="Q49" i="29"/>
  <c r="Q47" i="29"/>
  <c r="R56" i="29"/>
  <c r="R65" i="29"/>
  <c r="F63" i="29"/>
  <c r="Q46" i="29"/>
  <c r="R48" i="29"/>
  <c r="Q58" i="29"/>
  <c r="Q43" i="29"/>
  <c r="Q54" i="29"/>
  <c r="F51" i="29"/>
  <c r="F53" i="29"/>
  <c r="F64" i="29"/>
  <c r="Q65" i="29"/>
  <c r="R44" i="29"/>
  <c r="F67" i="29"/>
  <c r="R58" i="29"/>
  <c r="R45" i="29"/>
  <c r="Q62" i="29"/>
  <c r="Q41" i="29"/>
  <c r="Q64" i="29"/>
  <c r="Q66" i="29"/>
  <c r="F50" i="29"/>
  <c r="Q50" i="29"/>
  <c r="F68" i="29"/>
  <c r="Q67" i="29"/>
  <c r="F42" i="29"/>
  <c r="Q56" i="29"/>
  <c r="F44" i="29"/>
  <c r="R47" i="29"/>
  <c r="F46" i="29"/>
  <c r="F43" i="29"/>
  <c r="F54" i="29"/>
  <c r="F58" i="29"/>
  <c r="R64" i="29"/>
  <c r="F45" i="29"/>
  <c r="Q42" i="29"/>
  <c r="R62" i="29"/>
  <c r="F49" i="29"/>
  <c r="Q60" i="29"/>
  <c r="F62" i="29"/>
  <c r="Q61" i="29"/>
  <c r="F60" i="29"/>
  <c r="R41" i="29"/>
  <c r="R50" i="29"/>
  <c r="R43" i="29"/>
  <c r="R68" i="29"/>
  <c r="R63" i="29"/>
  <c r="R55" i="29"/>
  <c r="F57" i="29"/>
  <c r="Q51" i="29"/>
  <c r="Q53" i="29"/>
  <c r="R59" i="29"/>
  <c r="Q63" i="29"/>
  <c r="F48" i="29"/>
  <c r="R60" i="29"/>
  <c r="Q59" i="29"/>
  <c r="R52" i="29"/>
  <c r="R49" i="29"/>
  <c r="R46" i="29"/>
  <c r="F56" i="29"/>
  <c r="F59" i="29"/>
  <c r="R66" i="29"/>
  <c r="Q57" i="29"/>
  <c r="Q55" i="29"/>
  <c r="Q68" i="29"/>
  <c r="Q45" i="29"/>
  <c r="Q44" i="29"/>
  <c r="R61" i="29"/>
  <c r="R53" i="29"/>
  <c r="Q48" i="29"/>
  <c r="R54" i="29"/>
  <c r="F52" i="29"/>
  <c r="F61" i="29"/>
  <c r="R42" i="29"/>
  <c r="F41" i="29"/>
  <c r="Q52" i="29"/>
  <c r="H77" i="29" l="1"/>
  <c r="K77" i="29"/>
  <c r="R77" i="29"/>
  <c r="Q77" i="29"/>
  <c r="F77" i="29"/>
  <c r="H2" i="3"/>
  <c r="M3" i="31"/>
  <c r="C19" i="31"/>
  <c r="T3" i="31"/>
  <c r="E3" i="31"/>
  <c r="AB30" i="29" a="1"/>
  <c r="AB30" i="29" l="1"/>
  <c r="I2" i="3"/>
  <c r="K19" i="31"/>
  <c r="D19" i="31"/>
  <c r="U3" i="31"/>
  <c r="F3" i="31"/>
  <c r="N3" i="31"/>
  <c r="F2" i="27"/>
  <c r="U28" i="29" a="1"/>
  <c r="W30" i="29" a="1"/>
  <c r="V28" i="29" a="1"/>
  <c r="V29" i="29" a="1"/>
  <c r="Z29" i="29" a="1"/>
  <c r="V30" i="29" a="1"/>
  <c r="AB28" i="29" a="1"/>
  <c r="U21" i="29" a="1"/>
  <c r="AB27" i="29" a="1"/>
  <c r="U27" i="29" a="1"/>
  <c r="U29" i="29" a="1"/>
  <c r="AB29" i="29" a="1"/>
  <c r="Y29" i="29" a="1"/>
  <c r="U26" i="29" a="1"/>
  <c r="Z30" i="29" a="1"/>
  <c r="Y30" i="29" a="1"/>
  <c r="W27" i="29" a="1"/>
  <c r="Y28" i="29" a="1"/>
  <c r="Y27" i="29" a="1"/>
  <c r="W29" i="29" a="1"/>
  <c r="V27" i="29" a="1"/>
  <c r="Z27" i="29" a="1"/>
  <c r="W28" i="29" a="1"/>
  <c r="Y28" i="29" l="1"/>
  <c r="U26" i="29"/>
  <c r="V28" i="29"/>
  <c r="Y27" i="29"/>
  <c r="Y30" i="29"/>
  <c r="Y29" i="29"/>
  <c r="V27" i="29"/>
  <c r="Z27" i="29"/>
  <c r="AB28" i="29"/>
  <c r="U29" i="29"/>
  <c r="U28" i="29"/>
  <c r="U27" i="29"/>
  <c r="W28" i="29"/>
  <c r="Z30" i="29"/>
  <c r="V29" i="29"/>
  <c r="W30" i="29"/>
  <c r="U21" i="29"/>
  <c r="AB27" i="29"/>
  <c r="Z29" i="29"/>
  <c r="W29" i="29"/>
  <c r="V30" i="29"/>
  <c r="AB29" i="29"/>
  <c r="W27" i="29"/>
  <c r="F52" i="27"/>
  <c r="F19" i="27"/>
  <c r="G19" i="27" s="1"/>
  <c r="H19" i="27" s="1"/>
  <c r="I19" i="27" s="1"/>
  <c r="J19" i="27" s="1"/>
  <c r="K19" i="27" s="1"/>
  <c r="L19" i="27" s="1"/>
  <c r="V3" i="31"/>
  <c r="L19" i="31"/>
  <c r="S19" i="31"/>
  <c r="G3" i="31"/>
  <c r="E19" i="31"/>
  <c r="O3" i="31"/>
  <c r="F2" i="26"/>
  <c r="B3" i="27"/>
  <c r="G2" i="27"/>
  <c r="G52" i="27" s="1"/>
  <c r="N27" i="29"/>
  <c r="M45" i="29"/>
  <c r="N60" i="29"/>
  <c r="N44" i="29"/>
  <c r="P49" i="29"/>
  <c r="N10" i="29"/>
  <c r="R26" i="3"/>
  <c r="K18" i="29"/>
  <c r="Z28" i="29" a="1"/>
  <c r="S87" i="3"/>
  <c r="G7" i="29"/>
  <c r="I54" i="29"/>
  <c r="S97" i="3"/>
  <c r="H9" i="29"/>
  <c r="J35" i="29"/>
  <c r="R15" i="29"/>
  <c r="U30" i="29" a="1"/>
  <c r="X27" i="29" l="1"/>
  <c r="X29" i="29"/>
  <c r="X28" i="29"/>
  <c r="U30" i="29"/>
  <c r="X30" i="29" s="1"/>
  <c r="Z28" i="29"/>
  <c r="F52" i="26"/>
  <c r="F19" i="26"/>
  <c r="G19" i="26" s="1"/>
  <c r="H19" i="26" s="1"/>
  <c r="I19" i="26" s="1"/>
  <c r="J19" i="26" s="1"/>
  <c r="K19" i="26" s="1"/>
  <c r="L19" i="26" s="1"/>
  <c r="C35" i="31"/>
  <c r="T19" i="31"/>
  <c r="F19" i="31"/>
  <c r="W3" i="31"/>
  <c r="P3" i="31"/>
  <c r="H3" i="31"/>
  <c r="M19" i="31"/>
  <c r="H2" i="27"/>
  <c r="H52" i="27" s="1"/>
  <c r="B3" i="26"/>
  <c r="F2" i="25"/>
  <c r="G2" i="26"/>
  <c r="G52" i="26" s="1"/>
  <c r="O7" i="29"/>
  <c r="O63" i="29"/>
  <c r="I65" i="29"/>
  <c r="S79" i="3"/>
  <c r="H54" i="29"/>
  <c r="J45" i="29"/>
  <c r="H18" i="29"/>
  <c r="O16" i="29"/>
  <c r="J49" i="29"/>
  <c r="I27" i="29"/>
  <c r="L5" i="29"/>
  <c r="O52" i="29"/>
  <c r="O13" i="29"/>
  <c r="L42" i="29"/>
  <c r="L8" i="29"/>
  <c r="G17" i="29"/>
  <c r="K34" i="29"/>
  <c r="S88" i="3"/>
  <c r="F28" i="29"/>
  <c r="H56" i="29"/>
  <c r="G18" i="29"/>
  <c r="R29" i="3"/>
  <c r="O27" i="29"/>
  <c r="I16" i="29"/>
  <c r="M53" i="29"/>
  <c r="I60" i="29"/>
  <c r="M35" i="29"/>
  <c r="K13" i="29"/>
  <c r="M6" i="29"/>
  <c r="J43" i="29"/>
  <c r="J7" i="29"/>
  <c r="G67" i="29"/>
  <c r="R6" i="29"/>
  <c r="N25" i="29"/>
  <c r="M67" i="29"/>
  <c r="G41" i="29"/>
  <c r="R35" i="3"/>
  <c r="K48" i="29"/>
  <c r="I11" i="29"/>
  <c r="R4" i="29"/>
  <c r="L61" i="29"/>
  <c r="L11" i="29"/>
  <c r="J13" i="29"/>
  <c r="J48" i="29"/>
  <c r="N29" i="29"/>
  <c r="R47" i="3"/>
  <c r="P4" i="29"/>
  <c r="I56" i="29"/>
  <c r="P56" i="29"/>
  <c r="G46" i="29"/>
  <c r="Q29" i="29"/>
  <c r="F52" i="25" l="1"/>
  <c r="F19" i="25"/>
  <c r="G19" i="25" s="1"/>
  <c r="H19" i="25" s="1"/>
  <c r="I19" i="25" s="1"/>
  <c r="J19" i="25" s="1"/>
  <c r="K19" i="25" s="1"/>
  <c r="L19" i="25" s="1"/>
  <c r="I3" i="31"/>
  <c r="X3" i="31"/>
  <c r="G19" i="31"/>
  <c r="N19" i="31"/>
  <c r="Q3" i="31"/>
  <c r="U19" i="31"/>
  <c r="D35" i="31"/>
  <c r="K35" i="31"/>
  <c r="H2" i="26"/>
  <c r="H52" i="26" s="1"/>
  <c r="B3" i="25"/>
  <c r="G2" i="25"/>
  <c r="G52" i="25" s="1"/>
  <c r="F2" i="24"/>
  <c r="I2" i="27"/>
  <c r="I52" i="27" s="1"/>
  <c r="K51" i="29"/>
  <c r="J54" i="29"/>
  <c r="O36" i="29"/>
  <c r="L50" i="29"/>
  <c r="M10" i="29"/>
  <c r="P52" i="29"/>
  <c r="J60" i="29"/>
  <c r="M62" i="29"/>
  <c r="P44" i="29"/>
  <c r="G49" i="29"/>
  <c r="Q24" i="29"/>
  <c r="J24" i="29"/>
  <c r="G20" i="29"/>
  <c r="H23" i="29"/>
  <c r="N63" i="29"/>
  <c r="G12" i="29"/>
  <c r="L23" i="29"/>
  <c r="K55" i="29"/>
  <c r="F52" i="24" l="1"/>
  <c r="F19" i="24"/>
  <c r="G19" i="24" s="1"/>
  <c r="H19" i="24" s="1"/>
  <c r="I19" i="24" s="1"/>
  <c r="J19" i="24" s="1"/>
  <c r="K19" i="24" s="1"/>
  <c r="L19" i="24" s="1"/>
  <c r="E35" i="31"/>
  <c r="Y3" i="31"/>
  <c r="H19" i="31"/>
  <c r="V19" i="31"/>
  <c r="O19" i="31"/>
  <c r="S35" i="31"/>
  <c r="L35" i="31"/>
  <c r="H2" i="25"/>
  <c r="H52" i="25" s="1"/>
  <c r="I2" i="26"/>
  <c r="I52" i="26" s="1"/>
  <c r="J2" i="27"/>
  <c r="J52" i="27" s="1"/>
  <c r="B3" i="24"/>
  <c r="G2" i="24"/>
  <c r="G52" i="24" s="1"/>
  <c r="F2" i="23"/>
  <c r="I12" i="29"/>
  <c r="Q36" i="29"/>
  <c r="R22" i="29"/>
  <c r="G61" i="29"/>
  <c r="S98" i="3"/>
  <c r="J47" i="29"/>
  <c r="G60" i="29"/>
  <c r="H8" i="29"/>
  <c r="F20" i="29"/>
  <c r="F52" i="23" l="1"/>
  <c r="F19" i="23"/>
  <c r="G19" i="23" s="1"/>
  <c r="H19" i="23" s="1"/>
  <c r="I19" i="23" s="1"/>
  <c r="J19" i="23" s="1"/>
  <c r="K19" i="23" s="1"/>
  <c r="L19" i="23" s="1"/>
  <c r="M35" i="31"/>
  <c r="P19" i="31"/>
  <c r="I19" i="31"/>
  <c r="W19" i="31"/>
  <c r="C52" i="31"/>
  <c r="T35" i="31"/>
  <c r="F35" i="31"/>
  <c r="I2" i="25"/>
  <c r="I52" i="25" s="1"/>
  <c r="H2" i="24"/>
  <c r="H52" i="24" s="1"/>
  <c r="J2" i="26"/>
  <c r="J52" i="26" s="1"/>
  <c r="K2" i="27"/>
  <c r="K52" i="27" s="1"/>
  <c r="B3" i="23"/>
  <c r="G2" i="23"/>
  <c r="G52" i="23" s="1"/>
  <c r="F2" i="22"/>
  <c r="J2" i="3"/>
  <c r="G8" i="29"/>
  <c r="K22" i="29"/>
  <c r="S78" i="3"/>
  <c r="L24" i="29"/>
  <c r="H26" i="29"/>
  <c r="P7" i="29"/>
  <c r="K9" i="29"/>
  <c r="L4" i="29"/>
  <c r="K28" i="29"/>
  <c r="N65" i="29"/>
  <c r="F52" i="22" l="1"/>
  <c r="F19" i="22"/>
  <c r="G19" i="22" s="1"/>
  <c r="H19" i="22" s="1"/>
  <c r="I19" i="22" s="1"/>
  <c r="J19" i="22" s="1"/>
  <c r="K19" i="22" s="1"/>
  <c r="L19" i="22" s="1"/>
  <c r="U35" i="31"/>
  <c r="N35" i="31"/>
  <c r="K52" i="31"/>
  <c r="D52" i="31"/>
  <c r="X19" i="31"/>
  <c r="G35" i="31"/>
  <c r="Q19" i="31"/>
  <c r="J2" i="25"/>
  <c r="J52" i="25" s="1"/>
  <c r="H2" i="23"/>
  <c r="H52" i="23" s="1"/>
  <c r="K2" i="26"/>
  <c r="K52" i="26" s="1"/>
  <c r="I2" i="24"/>
  <c r="I52" i="24" s="1"/>
  <c r="B3" i="22"/>
  <c r="G2" i="22"/>
  <c r="G52" i="22" s="1"/>
  <c r="F2" i="21"/>
  <c r="L2" i="27"/>
  <c r="L52" i="27" s="1"/>
  <c r="K2" i="3"/>
  <c r="I15" i="29"/>
  <c r="R10" i="29"/>
  <c r="L10" i="29"/>
  <c r="G28" i="29"/>
  <c r="P35" i="29"/>
  <c r="P65" i="29"/>
  <c r="M49" i="29"/>
  <c r="M11" i="29"/>
  <c r="F15" i="29"/>
  <c r="S63" i="3"/>
  <c r="G59" i="29"/>
  <c r="P47" i="29"/>
  <c r="P50" i="29"/>
  <c r="J59" i="29"/>
  <c r="N17" i="29"/>
  <c r="P34" i="29"/>
  <c r="F52" i="21" l="1"/>
  <c r="F19" i="21"/>
  <c r="G19" i="21" s="1"/>
  <c r="H19" i="21" s="1"/>
  <c r="I19" i="21" s="1"/>
  <c r="J19" i="21" s="1"/>
  <c r="K19" i="21" s="1"/>
  <c r="L19" i="21" s="1"/>
  <c r="S52" i="31"/>
  <c r="L52" i="31"/>
  <c r="V35" i="31"/>
  <c r="E52" i="31"/>
  <c r="H35" i="31"/>
  <c r="Y19" i="31"/>
  <c r="O35" i="31"/>
  <c r="K2" i="25"/>
  <c r="K52" i="25" s="1"/>
  <c r="H2" i="22"/>
  <c r="H52" i="22" s="1"/>
  <c r="J2" i="24"/>
  <c r="J52" i="24" s="1"/>
  <c r="L2" i="26"/>
  <c r="L52" i="26" s="1"/>
  <c r="I2" i="23"/>
  <c r="I52" i="23" s="1"/>
  <c r="B3" i="21"/>
  <c r="G2" i="21"/>
  <c r="G52" i="21" s="1"/>
  <c r="F2" i="20"/>
  <c r="L2" i="3"/>
  <c r="Q22" i="29"/>
  <c r="O56" i="29"/>
  <c r="N50" i="29"/>
  <c r="O50" i="29"/>
  <c r="K59" i="29"/>
  <c r="J27" i="29"/>
  <c r="O67" i="29"/>
  <c r="F52" i="20" l="1"/>
  <c r="F19" i="20"/>
  <c r="G19" i="20" s="1"/>
  <c r="H19" i="20" s="1"/>
  <c r="I19" i="20" s="1"/>
  <c r="J19" i="20" s="1"/>
  <c r="K19" i="20" s="1"/>
  <c r="L19" i="20" s="1"/>
  <c r="W35" i="31"/>
  <c r="T52" i="31"/>
  <c r="C68" i="31"/>
  <c r="M52" i="31"/>
  <c r="F52" i="31"/>
  <c r="P35" i="31"/>
  <c r="I35" i="31"/>
  <c r="L2" i="25"/>
  <c r="J2" i="23"/>
  <c r="J52" i="23" s="1"/>
  <c r="K2" i="24"/>
  <c r="K52" i="24" s="1"/>
  <c r="I2" i="22"/>
  <c r="I52" i="22" s="1"/>
  <c r="B3" i="20"/>
  <c r="F2" i="19"/>
  <c r="G2" i="20"/>
  <c r="G52" i="20" s="1"/>
  <c r="H2" i="21"/>
  <c r="H52" i="21" s="1"/>
  <c r="J53" i="29"/>
  <c r="N52" i="29"/>
  <c r="R22" i="3"/>
  <c r="P28" i="29"/>
  <c r="L52" i="25" l="1"/>
  <c r="F52" i="19"/>
  <c r="F19" i="19"/>
  <c r="G19" i="19" s="1"/>
  <c r="H19" i="19" s="1"/>
  <c r="I19" i="19" s="1"/>
  <c r="J19" i="19" s="1"/>
  <c r="K19" i="19" s="1"/>
  <c r="L19" i="19" s="1"/>
  <c r="D68" i="31"/>
  <c r="Q35" i="31"/>
  <c r="U52" i="31"/>
  <c r="N52" i="31"/>
  <c r="G52" i="31"/>
  <c r="X35" i="31"/>
  <c r="H2" i="20"/>
  <c r="H52" i="20" s="1"/>
  <c r="J2" i="22"/>
  <c r="J52" i="22" s="1"/>
  <c r="L2" i="24"/>
  <c r="K2" i="23"/>
  <c r="K52" i="23" s="1"/>
  <c r="I2" i="21"/>
  <c r="I52" i="21" s="1"/>
  <c r="F2" i="18"/>
  <c r="B3" i="19"/>
  <c r="G2" i="19"/>
  <c r="G52" i="19" s="1"/>
  <c r="N5" i="29"/>
  <c r="F52" i="18" l="1"/>
  <c r="F19" i="18"/>
  <c r="G19" i="18" s="1"/>
  <c r="H19" i="18" s="1"/>
  <c r="I19" i="18" s="1"/>
  <c r="J19" i="18" s="1"/>
  <c r="K19" i="18" s="1"/>
  <c r="L19" i="18" s="1"/>
  <c r="L52" i="24"/>
  <c r="H52" i="31"/>
  <c r="E68" i="31"/>
  <c r="V52" i="31"/>
  <c r="Y35" i="31"/>
  <c r="O52" i="31"/>
  <c r="L2" i="23"/>
  <c r="H2" i="19"/>
  <c r="H52" i="19" s="1"/>
  <c r="K2" i="22"/>
  <c r="K52" i="22" s="1"/>
  <c r="I2" i="20"/>
  <c r="I52" i="20" s="1"/>
  <c r="B3" i="18"/>
  <c r="G2" i="18"/>
  <c r="G52" i="18" s="1"/>
  <c r="F2" i="17"/>
  <c r="J2" i="21"/>
  <c r="J52" i="21" s="1"/>
  <c r="I64" i="29"/>
  <c r="R9" i="29"/>
  <c r="G56" i="29"/>
  <c r="J26" i="29"/>
  <c r="I5" i="29"/>
  <c r="K35" i="29"/>
  <c r="L57" i="29"/>
  <c r="J56" i="29"/>
  <c r="N16" i="29"/>
  <c r="I6" i="29"/>
  <c r="L15" i="29"/>
  <c r="M24" i="29"/>
  <c r="P17" i="29"/>
  <c r="L48" i="29"/>
  <c r="N34" i="29"/>
  <c r="J68" i="29"/>
  <c r="G48" i="29"/>
  <c r="F52" i="17" l="1"/>
  <c r="F19" i="17"/>
  <c r="G19" i="17" s="1"/>
  <c r="H19" i="17" s="1"/>
  <c r="I19" i="17" s="1"/>
  <c r="J19" i="17" s="1"/>
  <c r="K19" i="17" s="1"/>
  <c r="L19" i="17" s="1"/>
  <c r="L52" i="23"/>
  <c r="P52" i="31"/>
  <c r="F68" i="31"/>
  <c r="W52" i="31"/>
  <c r="I52" i="31"/>
  <c r="J2" i="20"/>
  <c r="J52" i="20" s="1"/>
  <c r="L2" i="22"/>
  <c r="H2" i="18"/>
  <c r="H52" i="18" s="1"/>
  <c r="I2" i="19"/>
  <c r="I52" i="19" s="1"/>
  <c r="K2" i="21"/>
  <c r="K52" i="21" s="1"/>
  <c r="F2" i="16"/>
  <c r="G2" i="17"/>
  <c r="G52" i="17" s="1"/>
  <c r="B3" i="17"/>
  <c r="S86" i="3"/>
  <c r="F52" i="16" l="1"/>
  <c r="F19" i="16"/>
  <c r="G19" i="16" s="1"/>
  <c r="H19" i="16" s="1"/>
  <c r="I19" i="16" s="1"/>
  <c r="J19" i="16" s="1"/>
  <c r="K19" i="16" s="1"/>
  <c r="L19" i="16" s="1"/>
  <c r="L52" i="22"/>
  <c r="G68" i="31"/>
  <c r="X52" i="31"/>
  <c r="Q52" i="31"/>
  <c r="J2" i="19"/>
  <c r="J52" i="19" s="1"/>
  <c r="I2" i="18"/>
  <c r="I52" i="18" s="1"/>
  <c r="H2" i="17"/>
  <c r="H52" i="17" s="1"/>
  <c r="K2" i="20"/>
  <c r="K52" i="20" s="1"/>
  <c r="B3" i="16"/>
  <c r="G2" i="16"/>
  <c r="G52" i="16" s="1"/>
  <c r="L2" i="21"/>
  <c r="S71" i="3"/>
  <c r="M41" i="29"/>
  <c r="K11" i="29"/>
  <c r="S83" i="3"/>
  <c r="L52" i="21" l="1"/>
  <c r="H68" i="31"/>
  <c r="Y52" i="31"/>
  <c r="L2" i="20"/>
  <c r="J2" i="18"/>
  <c r="J52" i="18" s="1"/>
  <c r="H2" i="16"/>
  <c r="H52" i="16" s="1"/>
  <c r="K2" i="19"/>
  <c r="K52" i="19" s="1"/>
  <c r="I2" i="17"/>
  <c r="I52" i="17" s="1"/>
  <c r="H49" i="29"/>
  <c r="M34" i="29"/>
  <c r="L52" i="20" l="1"/>
  <c r="I68" i="31"/>
  <c r="L2" i="19"/>
  <c r="J2" i="17"/>
  <c r="J52" i="17" s="1"/>
  <c r="I2" i="16"/>
  <c r="I52" i="16" s="1"/>
  <c r="K2" i="18"/>
  <c r="K52" i="18" s="1"/>
  <c r="R21" i="29"/>
  <c r="Q34" i="29"/>
  <c r="Q5" i="29"/>
  <c r="F34" i="29"/>
  <c r="P23" i="29"/>
  <c r="R33" i="3"/>
  <c r="L52" i="19" l="1"/>
  <c r="J2" i="16"/>
  <c r="J52" i="16" s="1"/>
  <c r="L2" i="18"/>
  <c r="K2" i="17"/>
  <c r="K52" i="17" s="1"/>
  <c r="P26" i="29"/>
  <c r="N59" i="29"/>
  <c r="F5" i="29"/>
  <c r="J50" i="29"/>
  <c r="P53" i="29"/>
  <c r="K12" i="29"/>
  <c r="I19" i="29"/>
  <c r="G21" i="29"/>
  <c r="H28" i="29"/>
  <c r="N24" i="29"/>
  <c r="O26" i="29"/>
  <c r="J46" i="29"/>
  <c r="L52" i="18" l="1"/>
  <c r="L2" i="17"/>
  <c r="K2" i="16"/>
  <c r="K52" i="16" s="1"/>
  <c r="N12" i="29"/>
  <c r="L19" i="29"/>
  <c r="N45" i="29"/>
  <c r="I41" i="29"/>
  <c r="I63" i="29"/>
  <c r="R45" i="3"/>
  <c r="R3" i="29"/>
  <c r="J8" i="29"/>
  <c r="H45" i="29"/>
  <c r="N56" i="29"/>
  <c r="M52" i="29"/>
  <c r="J34" i="29"/>
  <c r="L52" i="17" l="1"/>
  <c r="L2" i="16"/>
  <c r="L52" i="16" l="1"/>
  <c r="G45" i="31" a="1"/>
  <c r="I21" i="29"/>
  <c r="S39" i="31" a="1"/>
  <c r="I26" i="29"/>
  <c r="S39" i="31" l="1"/>
  <c r="G45" i="31"/>
  <c r="M48" i="31" a="1"/>
  <c r="O31" i="31" a="1"/>
  <c r="O45" i="31" a="1"/>
  <c r="O45" i="31" l="1"/>
  <c r="M48" i="31"/>
  <c r="O31" i="31"/>
  <c r="N55" i="31" a="1"/>
  <c r="N55" i="31" l="1"/>
  <c r="R25" i="3"/>
  <c r="Y38" i="31" a="1"/>
  <c r="K42" i="29"/>
  <c r="G12" i="31" a="1"/>
  <c r="R19" i="29"/>
  <c r="F18" i="29"/>
  <c r="P26" i="31" a="1"/>
  <c r="M16" i="29"/>
  <c r="P6" i="29"/>
  <c r="M60" i="31" a="1"/>
  <c r="F74" i="31" a="1"/>
  <c r="L55" i="31" a="1"/>
  <c r="G12" i="31" l="1"/>
  <c r="P26" i="31"/>
  <c r="M60" i="31"/>
  <c r="F74" i="31"/>
  <c r="Y38" i="31"/>
  <c r="L55" i="31"/>
  <c r="F22" i="29"/>
  <c r="G14" i="29"/>
  <c r="Q28" i="29"/>
  <c r="Q7" i="29"/>
  <c r="R8" i="29"/>
  <c r="O39" i="31" a="1"/>
  <c r="I11" i="31" a="1"/>
  <c r="O5" i="29"/>
  <c r="Y55" i="31" a="1"/>
  <c r="Q3" i="29"/>
  <c r="W39" i="31" a="1"/>
  <c r="F14" i="29"/>
  <c r="M29" i="29"/>
  <c r="P60" i="29"/>
  <c r="F36" i="29"/>
  <c r="N4" i="29"/>
  <c r="P24" i="29"/>
  <c r="X58" i="31" a="1"/>
  <c r="G42" i="29"/>
  <c r="O49" i="29"/>
  <c r="P10" i="31" a="1"/>
  <c r="S58" i="31" a="1"/>
  <c r="N5" i="31" a="1"/>
  <c r="S25" i="31" a="1"/>
  <c r="O3" i="29"/>
  <c r="O25" i="29"/>
  <c r="U31" i="31" a="1"/>
  <c r="H75" i="31" a="1"/>
  <c r="V26" i="31" a="1"/>
  <c r="E44" i="31" a="1"/>
  <c r="I11" i="31" l="1"/>
  <c r="P10" i="31"/>
  <c r="S25" i="31"/>
  <c r="E44" i="31"/>
  <c r="U31" i="31"/>
  <c r="Y55" i="31"/>
  <c r="H75" i="31"/>
  <c r="O39" i="31"/>
  <c r="S58" i="31"/>
  <c r="V26" i="31"/>
  <c r="N5" i="31"/>
  <c r="W39" i="31"/>
  <c r="X58" i="31"/>
  <c r="P28" i="31" a="1"/>
  <c r="I17" i="29"/>
  <c r="L17" i="29"/>
  <c r="C6" i="31" a="1"/>
  <c r="P58" i="31" a="1"/>
  <c r="G43" i="29"/>
  <c r="P5" i="29"/>
  <c r="P21" i="29"/>
  <c r="X31" i="31" a="1"/>
  <c r="W26" i="31" a="1"/>
  <c r="W55" i="31" a="1"/>
  <c r="J67" i="29"/>
  <c r="L27" i="29"/>
  <c r="T25" i="31" a="1"/>
  <c r="I58" i="29"/>
  <c r="I59" i="31" a="1"/>
  <c r="N12" i="31" a="1"/>
  <c r="R20" i="29"/>
  <c r="K8" i="29"/>
  <c r="R16" i="29"/>
  <c r="R26" i="29"/>
  <c r="N55" i="29"/>
  <c r="O42" i="31" a="1"/>
  <c r="H77" i="31" a="1"/>
  <c r="E61" i="31" a="1"/>
  <c r="M23" i="29"/>
  <c r="X59" i="31" a="1"/>
  <c r="H19" i="29"/>
  <c r="T11" i="31" a="1"/>
  <c r="H25" i="29"/>
  <c r="F11" i="29"/>
  <c r="H9" i="31" a="1"/>
  <c r="U44" i="31" a="1"/>
  <c r="W55" i="31" l="1"/>
  <c r="W26" i="31"/>
  <c r="T11" i="31"/>
  <c r="E61" i="31"/>
  <c r="I59" i="31"/>
  <c r="T25" i="31"/>
  <c r="N12" i="31"/>
  <c r="P28" i="31"/>
  <c r="C6" i="31"/>
  <c r="O42" i="31"/>
  <c r="U44" i="31"/>
  <c r="P58" i="31"/>
  <c r="X59" i="31"/>
  <c r="H77" i="31"/>
  <c r="H9" i="31"/>
  <c r="X31" i="31"/>
  <c r="S81" i="3"/>
  <c r="N46" i="29"/>
  <c r="M59" i="31" a="1"/>
  <c r="P44" i="31" a="1"/>
  <c r="O24" i="29"/>
  <c r="P62" i="29"/>
  <c r="R42" i="3"/>
  <c r="M65" i="29"/>
  <c r="T55" i="31" a="1"/>
  <c r="T15" i="31" a="1"/>
  <c r="J10" i="29"/>
  <c r="R23" i="29"/>
  <c r="F24" i="29"/>
  <c r="T39" i="31" a="1"/>
  <c r="G3" i="29"/>
  <c r="Z7" i="29" a="1"/>
  <c r="E6" i="31" a="1"/>
  <c r="J28" i="29"/>
  <c r="N26" i="31" a="1"/>
  <c r="V28" i="31" a="1"/>
  <c r="R11" i="29"/>
  <c r="W21" i="31" a="1"/>
  <c r="K54" i="31" a="1"/>
  <c r="G31" i="31" a="1"/>
  <c r="R27" i="29"/>
  <c r="I10" i="31" a="1"/>
  <c r="J12" i="29"/>
  <c r="K54" i="31" l="1"/>
  <c r="V28" i="31"/>
  <c r="E6" i="31"/>
  <c r="G31" i="31"/>
  <c r="T15" i="31"/>
  <c r="N26" i="31"/>
  <c r="I10" i="31"/>
  <c r="W21" i="31"/>
  <c r="P44" i="31"/>
  <c r="Z7" i="29"/>
  <c r="M59" i="31"/>
  <c r="T55" i="31"/>
  <c r="T39" i="31"/>
  <c r="Y6" i="29" a="1"/>
  <c r="G6" i="29"/>
  <c r="X11" i="31" a="1"/>
  <c r="S67" i="3"/>
  <c r="P59" i="29"/>
  <c r="L20" i="29"/>
  <c r="T5" i="31" a="1"/>
  <c r="Y45" i="31" a="1"/>
  <c r="L48" i="31" a="1"/>
  <c r="R44" i="3"/>
  <c r="T44" i="31" a="1"/>
  <c r="M55" i="29"/>
  <c r="K44" i="31" a="1"/>
  <c r="Y25" i="31" a="1"/>
  <c r="E25" i="31" a="1"/>
  <c r="L64" i="31" a="1"/>
  <c r="O54" i="29"/>
  <c r="Z18" i="29" a="1"/>
  <c r="S75" i="3"/>
  <c r="G24" i="29"/>
  <c r="K15" i="29"/>
  <c r="Y39" i="31" a="1"/>
  <c r="V42" i="31" a="1"/>
  <c r="X22" i="31" a="1"/>
  <c r="K14" i="29"/>
  <c r="N35" i="29"/>
  <c r="P42" i="29"/>
  <c r="W25" i="29" a="1"/>
  <c r="V23" i="29" a="1"/>
  <c r="L62" i="29"/>
  <c r="L9" i="29"/>
  <c r="F48" i="31" a="1"/>
  <c r="E21" i="31" a="1"/>
  <c r="N9" i="29"/>
  <c r="W15" i="31" a="1"/>
  <c r="M28" i="29"/>
  <c r="L18" i="29"/>
  <c r="P61" i="31" a="1"/>
  <c r="I15" i="31" a="1"/>
  <c r="AB7" i="29" a="1"/>
  <c r="D48" i="31" a="1"/>
  <c r="I28" i="31" a="1"/>
  <c r="H51" i="29"/>
  <c r="AB20" i="29" a="1"/>
  <c r="S48" i="31" a="1"/>
  <c r="L67" i="29"/>
  <c r="F43" i="31" a="1"/>
  <c r="I9" i="31" a="1"/>
  <c r="U39" i="31" a="1"/>
  <c r="W10" i="29" a="1"/>
  <c r="K36" i="29"/>
  <c r="D77" i="31" a="1"/>
  <c r="S45" i="31" a="1"/>
  <c r="G16" i="29"/>
  <c r="AB24" i="29" a="1"/>
  <c r="W20" i="29" a="1"/>
  <c r="Y5" i="31" a="1"/>
  <c r="X28" i="31" a="1"/>
  <c r="H64" i="31" a="1"/>
  <c r="H59" i="29"/>
  <c r="M12" i="29"/>
  <c r="O23" i="29"/>
  <c r="F35" i="29"/>
  <c r="L41" i="29"/>
  <c r="L15" i="31" a="1"/>
  <c r="P38" i="31" a="1"/>
  <c r="P16" i="29"/>
  <c r="AB15" i="29" a="1"/>
  <c r="F71" i="31" a="1"/>
  <c r="Q26" i="29"/>
  <c r="I61" i="31" a="1"/>
  <c r="Y11" i="29" a="1"/>
  <c r="F11" i="31" a="1"/>
  <c r="U26" i="31" a="1"/>
  <c r="O58" i="31" a="1"/>
  <c r="G39" i="31" a="1"/>
  <c r="I42" i="31" a="1"/>
  <c r="G9" i="31" a="1"/>
  <c r="G76" i="31" a="1"/>
  <c r="N9" i="31" a="1"/>
  <c r="O64" i="31" a="1"/>
  <c r="N20" i="29"/>
  <c r="G5" i="29"/>
  <c r="F31" i="31" a="1"/>
  <c r="Q5" i="31" a="1"/>
  <c r="M39" i="31" a="1"/>
  <c r="S70" i="3"/>
  <c r="K10" i="29"/>
  <c r="I29" i="29"/>
  <c r="D10" i="31" a="1"/>
  <c r="C39" i="31" a="1"/>
  <c r="P27" i="29"/>
  <c r="G28" i="31" a="1"/>
  <c r="Q8" i="29"/>
  <c r="I44" i="31" a="1"/>
  <c r="T61" i="31" a="1"/>
  <c r="R17" i="29"/>
  <c r="G42" i="31" a="1"/>
  <c r="W5" i="31" a="1"/>
  <c r="N15" i="29"/>
  <c r="U6" i="29" a="1"/>
  <c r="O11" i="31" a="1"/>
  <c r="D75" i="31" a="1"/>
  <c r="J22" i="29"/>
  <c r="C27" i="31" a="1"/>
  <c r="D71" i="31" a="1"/>
  <c r="F55" i="31" a="1"/>
  <c r="G58" i="29"/>
  <c r="W54" i="31" a="1"/>
  <c r="M5" i="29"/>
  <c r="H63" i="29"/>
  <c r="P59" i="31" a="1"/>
  <c r="S73" i="3"/>
  <c r="AB16" i="29" a="1"/>
  <c r="I12" i="31" a="1"/>
  <c r="G74" i="31" a="1"/>
  <c r="P15" i="29"/>
  <c r="S94" i="3"/>
  <c r="O15" i="31" a="1"/>
  <c r="J25" i="29"/>
  <c r="C58" i="31" a="1"/>
  <c r="C11" i="31" a="1"/>
  <c r="M3" i="29"/>
  <c r="L22" i="29"/>
  <c r="P31" i="31" a="1"/>
  <c r="S38" i="31" a="1"/>
  <c r="Y27" i="31" a="1"/>
  <c r="I24" i="29"/>
  <c r="C45" i="31" a="1"/>
  <c r="K12" i="31" a="1"/>
  <c r="J16" i="29"/>
  <c r="F5" i="31" a="1"/>
  <c r="S99" i="3"/>
  <c r="K57" i="29"/>
  <c r="G15" i="31" a="1"/>
  <c r="G23" i="29"/>
  <c r="G15" i="29"/>
  <c r="I25" i="31" a="1"/>
  <c r="P67" i="29"/>
  <c r="T27" i="31" a="1"/>
  <c r="U11" i="29" a="1"/>
  <c r="P11" i="31" a="1"/>
  <c r="Q61" i="31" a="1"/>
  <c r="M54" i="31" a="1"/>
  <c r="H10" i="29"/>
  <c r="Q23" i="29"/>
  <c r="H53" i="29"/>
  <c r="K21" i="29"/>
  <c r="N59" i="31" a="1"/>
  <c r="V10" i="29" a="1"/>
  <c r="S96" i="3"/>
  <c r="E59" i="31" a="1"/>
  <c r="S55" i="31" a="1"/>
  <c r="F9" i="29"/>
  <c r="K58" i="31" a="1"/>
  <c r="C42" i="31" a="1"/>
  <c r="L9" i="31" a="1"/>
  <c r="M42" i="29"/>
  <c r="J23" i="29"/>
  <c r="R23" i="3"/>
  <c r="Y28" i="31" a="1"/>
  <c r="H44" i="31" a="1"/>
  <c r="U10" i="31" a="1"/>
  <c r="M27" i="31" a="1"/>
  <c r="E5" i="31" a="1"/>
  <c r="H64" i="29"/>
  <c r="K62" i="29"/>
  <c r="U22" i="31" a="1"/>
  <c r="U12" i="29" a="1"/>
  <c r="X38" i="31" a="1"/>
  <c r="M54" i="29"/>
  <c r="N22" i="31" a="1"/>
  <c r="R34" i="29"/>
  <c r="K17" i="29"/>
  <c r="F28" i="31" a="1"/>
  <c r="I39" i="31" a="1"/>
  <c r="R39" i="3"/>
  <c r="AB23" i="29" a="1"/>
  <c r="Z3" i="29" a="1"/>
  <c r="P18" i="29"/>
  <c r="R7" i="29"/>
  <c r="W61" i="31" a="1"/>
  <c r="F75" i="31" a="1"/>
  <c r="G43" i="31" a="1"/>
  <c r="G51" i="29"/>
  <c r="F21" i="31" a="1"/>
  <c r="G55" i="31" a="1"/>
  <c r="H27" i="29"/>
  <c r="Z23" i="29" a="1"/>
  <c r="P42" i="31" a="1"/>
  <c r="O61" i="31" a="1"/>
  <c r="F27" i="31" a="1"/>
  <c r="U11" i="31" a="1"/>
  <c r="O47" i="29"/>
  <c r="C48" i="31" a="1"/>
  <c r="V39" i="31" a="1"/>
  <c r="H68" i="29"/>
  <c r="N42" i="31" a="1"/>
  <c r="F80" i="31" a="1"/>
  <c r="H42" i="29"/>
  <c r="Y25" i="29" a="1"/>
  <c r="M15" i="31" a="1"/>
  <c r="U10" i="29" a="1"/>
  <c r="L28" i="31" a="1"/>
  <c r="X9" i="31" a="1"/>
  <c r="Q12" i="29"/>
  <c r="K39" i="31" a="1"/>
  <c r="V11" i="31" a="1"/>
  <c r="X42" i="31" a="1"/>
  <c r="L52" i="29"/>
  <c r="C43" i="31" a="1"/>
  <c r="V59" i="31" a="1"/>
  <c r="E38" i="31" a="1"/>
  <c r="M11" i="31" a="1"/>
  <c r="U3" i="29" a="1"/>
  <c r="R24" i="29"/>
  <c r="M31" i="31" a="1"/>
  <c r="AB19" i="29" a="1"/>
  <c r="G19" i="29"/>
  <c r="P25" i="29"/>
  <c r="G11" i="29"/>
  <c r="I61" i="29"/>
  <c r="J42" i="29"/>
  <c r="D42" i="31" a="1"/>
  <c r="M58" i="31" a="1"/>
  <c r="F10" i="29"/>
  <c r="W12" i="29" a="1"/>
  <c r="U38" i="31" a="1"/>
  <c r="O41" i="29"/>
  <c r="C74" i="31" a="1"/>
  <c r="N21" i="31" a="1"/>
  <c r="S84" i="3"/>
  <c r="M8" i="29"/>
  <c r="H29" i="29"/>
  <c r="H6" i="31" a="1"/>
  <c r="Y48" i="31" a="1"/>
  <c r="V27" i="31" a="1"/>
  <c r="S90" i="3"/>
  <c r="E11" i="31" a="1"/>
  <c r="W21" i="29" a="1"/>
  <c r="E75" i="31" a="1"/>
  <c r="R41" i="3"/>
  <c r="U14" i="29" a="1"/>
  <c r="D70" i="31" a="1"/>
  <c r="C31" i="31" a="1"/>
  <c r="N62" i="29"/>
  <c r="F8" i="29"/>
  <c r="C75" i="31" a="1"/>
  <c r="H62" i="29"/>
  <c r="Y23" i="29" a="1"/>
  <c r="J66" i="29"/>
  <c r="U8" i="29" a="1"/>
  <c r="H20" i="29"/>
  <c r="H66" i="29"/>
  <c r="L58" i="31" a="1"/>
  <c r="N43" i="29"/>
  <c r="Q10" i="31" a="1"/>
  <c r="K27" i="31" a="1"/>
  <c r="I27" i="31" a="1"/>
  <c r="S64" i="31" a="1"/>
  <c r="Q21" i="29"/>
  <c r="K48" i="31" a="1"/>
  <c r="T54" i="31" a="1"/>
  <c r="Q42" i="31" a="1"/>
  <c r="J4" i="29"/>
  <c r="H48" i="31" a="1"/>
  <c r="N47" i="29"/>
  <c r="N28" i="29"/>
  <c r="G22" i="29"/>
  <c r="Y6" i="31" a="1"/>
  <c r="AB17" i="29" a="1"/>
  <c r="K63" i="29"/>
  <c r="X64" i="31" a="1"/>
  <c r="Q64" i="31" a="1"/>
  <c r="G13" i="29"/>
  <c r="J15" i="29"/>
  <c r="O65" i="29"/>
  <c r="P13" i="29"/>
  <c r="D64" i="31" a="1"/>
  <c r="V19" i="29" a="1"/>
  <c r="F60" i="31" a="1"/>
  <c r="Q11" i="31" a="1"/>
  <c r="K61" i="29"/>
  <c r="K46" i="29"/>
  <c r="S102" i="3"/>
  <c r="S6" i="31" a="1"/>
  <c r="E27" i="31" a="1"/>
  <c r="G70" i="31" a="1"/>
  <c r="O55" i="29"/>
  <c r="N67" i="29"/>
  <c r="H47" i="29"/>
  <c r="H43" i="31" a="1"/>
  <c r="M27" i="29"/>
  <c r="S62" i="3"/>
  <c r="S42" i="31" a="1"/>
  <c r="G38" i="31" a="1"/>
  <c r="U45" i="31" a="1"/>
  <c r="T38" i="31" a="1"/>
  <c r="K61" i="31" a="1"/>
  <c r="K3" i="29"/>
  <c r="F77" i="31" a="1"/>
  <c r="D15" i="31" a="1"/>
  <c r="G64" i="31" a="1"/>
  <c r="P27" i="31" a="1"/>
  <c r="P61" i="29"/>
  <c r="L55" i="29"/>
  <c r="Y15" i="31" a="1"/>
  <c r="R32" i="3"/>
  <c r="R5" i="29"/>
  <c r="M17" i="29"/>
  <c r="I31" i="31" a="1"/>
  <c r="N10" i="31" a="1"/>
  <c r="H21" i="31" a="1"/>
  <c r="Q38" i="31" a="1"/>
  <c r="K20" i="29"/>
  <c r="N11" i="31" a="1"/>
  <c r="E31" i="31" a="1"/>
  <c r="I44" i="29"/>
  <c r="K26" i="31" a="1"/>
  <c r="I45" i="29"/>
  <c r="O19" i="29"/>
  <c r="Z10" i="29" a="1"/>
  <c r="Q21" i="31" a="1"/>
  <c r="E71" i="31" a="1"/>
  <c r="K64" i="29"/>
  <c r="L51" i="29"/>
  <c r="W22" i="31" a="1"/>
  <c r="N38" i="31" a="1"/>
  <c r="U21" i="31" a="1"/>
  <c r="L12" i="29"/>
  <c r="R31" i="3"/>
  <c r="U61" i="31" a="1"/>
  <c r="I42" i="29"/>
  <c r="L59" i="29"/>
  <c r="N51" i="29"/>
  <c r="Y26" i="29" a="1"/>
  <c r="I57" i="29"/>
  <c r="P64" i="31" a="1"/>
  <c r="H21" i="29"/>
  <c r="J44" i="29"/>
  <c r="M63" i="29"/>
  <c r="K45" i="31" a="1"/>
  <c r="I43" i="31" a="1"/>
  <c r="M10" i="31" a="1"/>
  <c r="P68" i="29"/>
  <c r="P45" i="31" a="1"/>
  <c r="C71" i="31" a="1"/>
  <c r="S21" i="31" a="1"/>
  <c r="M15" i="29"/>
  <c r="F61" i="31" a="1"/>
  <c r="E26" i="31" a="1"/>
  <c r="D39" i="31" a="1"/>
  <c r="I38" i="31" a="1"/>
  <c r="U55" i="31" a="1"/>
  <c r="L10" i="31" a="1"/>
  <c r="J57" i="29"/>
  <c r="O44" i="31" a="1"/>
  <c r="P36" i="29"/>
  <c r="I66" i="29"/>
  <c r="O14" i="29"/>
  <c r="F6" i="31" a="1"/>
  <c r="S69" i="3"/>
  <c r="P66" i="29"/>
  <c r="N11" i="29"/>
  <c r="O55" i="31" a="1"/>
  <c r="N58" i="31" a="1"/>
  <c r="E60" i="31" a="1"/>
  <c r="U22" i="29" a="1"/>
  <c r="F54" i="31" a="1"/>
  <c r="X27" i="31" a="1"/>
  <c r="I48" i="29"/>
  <c r="AB14" i="29" a="1"/>
  <c r="Y21" i="31" a="1"/>
  <c r="I6" i="31" a="1"/>
  <c r="M25" i="29"/>
  <c r="F38" i="31" a="1"/>
  <c r="L58" i="29"/>
  <c r="V22" i="31" a="1"/>
  <c r="S27" i="31" a="1"/>
  <c r="L11" i="31" a="1"/>
  <c r="K22" i="31" a="1"/>
  <c r="W31" i="31" a="1"/>
  <c r="P3" i="29"/>
  <c r="U4" i="29" a="1"/>
  <c r="C80" i="31" a="1"/>
  <c r="T6" i="31" a="1"/>
  <c r="Z4" i="29" a="1"/>
  <c r="V31" i="31" a="1"/>
  <c r="H80" i="31" a="1"/>
  <c r="L43" i="31" a="1"/>
  <c r="H45" i="31" a="1"/>
  <c r="H60" i="29"/>
  <c r="T58" i="31" a="1"/>
  <c r="N48" i="31" a="1"/>
  <c r="I14" i="29"/>
  <c r="O44" i="29"/>
  <c r="V9" i="31" a="1"/>
  <c r="I8" i="29"/>
  <c r="I49" i="29"/>
  <c r="AB6" i="29" a="1"/>
  <c r="L42" i="31" a="1"/>
  <c r="H70" i="31" a="1"/>
  <c r="R30" i="3"/>
  <c r="M6" i="31" a="1"/>
  <c r="G27" i="29"/>
  <c r="L21" i="29"/>
  <c r="I10" i="29"/>
  <c r="R13" i="29"/>
  <c r="O48" i="29"/>
  <c r="O59" i="29"/>
  <c r="W6" i="29" a="1"/>
  <c r="E76" i="31" a="1"/>
  <c r="W15" i="29" a="1"/>
  <c r="V20" i="29" a="1"/>
  <c r="X60" i="31" a="1"/>
  <c r="Q31" i="31" a="1"/>
  <c r="O35" i="29"/>
  <c r="U54" i="31" a="1"/>
  <c r="R36" i="3"/>
  <c r="L14" i="29"/>
  <c r="N66" i="29"/>
  <c r="H59" i="31" a="1"/>
  <c r="I64" i="31" a="1"/>
  <c r="J58" i="29"/>
  <c r="K29" i="29"/>
  <c r="D58" i="31" a="1"/>
  <c r="K45" i="29"/>
  <c r="C9" i="31" a="1"/>
  <c r="C10" i="31" a="1"/>
  <c r="S82" i="3"/>
  <c r="M60" i="29"/>
  <c r="L66" i="29"/>
  <c r="Q14" i="29"/>
  <c r="M19" i="29"/>
  <c r="L25" i="29"/>
  <c r="K52" i="29"/>
  <c r="P29" i="29"/>
  <c r="G54" i="29"/>
  <c r="M44" i="29"/>
  <c r="V3" i="29" a="1"/>
  <c r="N57" i="29"/>
  <c r="Y12" i="31" a="1"/>
  <c r="G60" i="31" a="1"/>
  <c r="O38" i="31" a="1"/>
  <c r="M58" i="29"/>
  <c r="G9" i="29"/>
  <c r="O25" i="31" a="1"/>
  <c r="I21" i="31" a="1"/>
  <c r="Z5" i="29" a="1"/>
  <c r="I22" i="29"/>
  <c r="AB21" i="29" a="1"/>
  <c r="E58" i="31" a="1"/>
  <c r="K43" i="31" a="1"/>
  <c r="O60" i="31" a="1"/>
  <c r="AB12" i="29" a="1"/>
  <c r="K16" i="29"/>
  <c r="P22" i="29"/>
  <c r="H39" i="31" a="1"/>
  <c r="Q12" i="31" a="1"/>
  <c r="V4" i="29" a="1"/>
  <c r="U15" i="31" a="1"/>
  <c r="Y61" i="31" a="1"/>
  <c r="T45" i="31" a="1"/>
  <c r="V25" i="29" a="1"/>
  <c r="J65" i="29"/>
  <c r="N25" i="31" a="1"/>
  <c r="S5" i="31" a="1"/>
  <c r="V6" i="31" a="1"/>
  <c r="G35" i="29"/>
  <c r="N61" i="29"/>
  <c r="K60" i="31" a="1"/>
  <c r="Y59" i="31" a="1"/>
  <c r="J5" i="29"/>
  <c r="L31" i="31" a="1"/>
  <c r="P54" i="29"/>
  <c r="W42" i="31" a="1"/>
  <c r="K10" i="31" a="1"/>
  <c r="F15" i="31" a="1"/>
  <c r="Q10" i="29"/>
  <c r="S77" i="3"/>
  <c r="H76" i="31" a="1"/>
  <c r="Q11" i="29"/>
  <c r="L21" i="31" a="1"/>
  <c r="H46" i="29"/>
  <c r="O60" i="29"/>
  <c r="V16" i="29" a="1"/>
  <c r="L45" i="29"/>
  <c r="H38" i="31" a="1"/>
  <c r="C25" i="31" a="1"/>
  <c r="P43" i="31" a="1"/>
  <c r="L45" i="31" a="1"/>
  <c r="M64" i="31" a="1"/>
  <c r="J36" i="29"/>
  <c r="O4" i="29"/>
  <c r="P39" i="31" a="1"/>
  <c r="O22" i="29"/>
  <c r="N8" i="29"/>
  <c r="E74" i="31" a="1"/>
  <c r="P11" i="29"/>
  <c r="Z11" i="29" a="1"/>
  <c r="Q9" i="29"/>
  <c r="Q28" i="31" a="1"/>
  <c r="N15" i="31" a="1"/>
  <c r="R12" i="29"/>
  <c r="H12" i="29"/>
  <c r="U7" i="29" a="1"/>
  <c r="D9" i="31" a="1"/>
  <c r="V7" i="29" a="1"/>
  <c r="M36" i="29"/>
  <c r="K68" i="29"/>
  <c r="D61" i="31" a="1"/>
  <c r="I22" i="31" a="1"/>
  <c r="M50" i="29"/>
  <c r="K47" i="29"/>
  <c r="H11" i="29"/>
  <c r="G36" i="29"/>
  <c r="I36" i="29"/>
  <c r="N49" i="29"/>
  <c r="O54" i="31" a="1"/>
  <c r="O10" i="29"/>
  <c r="Z9" i="29" a="1"/>
  <c r="X10" i="31" a="1"/>
  <c r="L60" i="31" a="1"/>
  <c r="AB11" i="29" a="1"/>
  <c r="Z13" i="29" a="1"/>
  <c r="Q26" i="31" a="1"/>
  <c r="G45" i="29"/>
  <c r="H10" i="31" a="1"/>
  <c r="M61" i="31" a="1"/>
  <c r="C59" i="31" a="1"/>
  <c r="O46" i="29"/>
  <c r="N27" i="31" a="1"/>
  <c r="K50" i="29"/>
  <c r="R28" i="3"/>
  <c r="D45" i="31" a="1"/>
  <c r="N19" i="29"/>
  <c r="I47" i="29"/>
  <c r="I74" i="31" a="1"/>
  <c r="V8" i="29" a="1"/>
  <c r="W43" i="31" a="1"/>
  <c r="J62" i="29"/>
  <c r="V45" i="31" a="1"/>
  <c r="O6" i="29"/>
  <c r="M5" i="31" a="1"/>
  <c r="AB10" i="29" a="1"/>
  <c r="K38" i="31" a="1"/>
  <c r="H11" i="31" a="1"/>
  <c r="K55" i="31" a="1"/>
  <c r="O45" i="29"/>
  <c r="W44" i="31" a="1"/>
  <c r="Y19" i="29" a="1"/>
  <c r="F3" i="29"/>
  <c r="V38" i="31" a="1"/>
  <c r="Y5" i="29" a="1"/>
  <c r="F19" i="29"/>
  <c r="M45" i="31" a="1"/>
  <c r="P51" i="29"/>
  <c r="I3" i="29"/>
  <c r="D60" i="31" a="1"/>
  <c r="H50" i="29"/>
  <c r="O64" i="29"/>
  <c r="K65" i="29"/>
  <c r="K23" i="29"/>
  <c r="Y17" i="29" a="1"/>
  <c r="U6" i="31" a="1"/>
  <c r="H43" i="29"/>
  <c r="M68" i="29"/>
  <c r="T22" i="31" a="1"/>
  <c r="V15" i="29" a="1"/>
  <c r="V12" i="29" a="1"/>
  <c r="S31" i="31" a="1"/>
  <c r="W6" i="31" a="1"/>
  <c r="Q45" i="31" a="1"/>
  <c r="Y9" i="31" a="1"/>
  <c r="G22" i="31" a="1"/>
  <c r="Q58" i="31" a="1"/>
  <c r="T12" i="31" a="1"/>
  <c r="H60" i="31" a="1"/>
  <c r="V25" i="31" a="1"/>
  <c r="O9" i="29"/>
  <c r="G5" i="31" a="1"/>
  <c r="C55" i="31" a="1"/>
  <c r="K31" i="31" a="1"/>
  <c r="L54" i="31" a="1"/>
  <c r="F26" i="29"/>
  <c r="E43" i="31" a="1"/>
  <c r="J61" i="29"/>
  <c r="Y14" i="29" a="1"/>
  <c r="L6" i="29"/>
  <c r="L25" i="31" a="1"/>
  <c r="O43" i="31" a="1"/>
  <c r="G26" i="29"/>
  <c r="N21" i="29"/>
  <c r="M13" i="29"/>
  <c r="E39" i="31" a="1"/>
  <c r="M7" i="29"/>
  <c r="P64" i="29"/>
  <c r="U9" i="31" a="1"/>
  <c r="J51" i="29"/>
  <c r="Y54" i="31" a="1"/>
  <c r="H34" i="29"/>
  <c r="W9" i="31" a="1"/>
  <c r="V55" i="31" a="1"/>
  <c r="C28" i="31" a="1"/>
  <c r="N42" i="29"/>
  <c r="U48" i="31" a="1"/>
  <c r="K54" i="29"/>
  <c r="Q44" i="31" a="1"/>
  <c r="C22" i="31" a="1"/>
  <c r="W12" i="31" a="1"/>
  <c r="W58" i="31" a="1"/>
  <c r="G61" i="31" a="1"/>
  <c r="I68" i="29"/>
  <c r="C70" i="31" a="1"/>
  <c r="Z6" i="29" a="1"/>
  <c r="O9" i="31" a="1"/>
  <c r="M18" i="29"/>
  <c r="P55" i="31" a="1"/>
  <c r="C15" i="31" a="1"/>
  <c r="D5" i="31" a="1"/>
  <c r="I58" i="31" a="1"/>
  <c r="G10" i="31" a="1"/>
  <c r="E77" i="31" a="1"/>
  <c r="X43" i="31" a="1"/>
  <c r="Q4" i="29"/>
  <c r="L7" i="29"/>
  <c r="Y11" i="31" a="1"/>
  <c r="U60" i="31" a="1"/>
  <c r="AB5" i="29" a="1"/>
  <c r="S60" i="31" a="1"/>
  <c r="D6" i="31" a="1"/>
  <c r="Y64" i="31" a="1"/>
  <c r="U42" i="31" a="1"/>
  <c r="I43" i="29"/>
  <c r="G66" i="29"/>
  <c r="X26" i="31" a="1"/>
  <c r="H65" i="29"/>
  <c r="I62" i="29"/>
  <c r="W17" i="29" a="1"/>
  <c r="W59" i="31" a="1"/>
  <c r="U15" i="29" a="1"/>
  <c r="W14" i="29" a="1"/>
  <c r="N58" i="29"/>
  <c r="P48" i="31" a="1"/>
  <c r="F26" i="31" a="1"/>
  <c r="S10" i="31" a="1"/>
  <c r="M48" i="29"/>
  <c r="I54" i="31" a="1"/>
  <c r="Z15" i="29" a="1"/>
  <c r="O12" i="31" a="1"/>
  <c r="M12" i="31" a="1"/>
  <c r="T28" i="31" a="1"/>
  <c r="W60" i="31" a="1"/>
  <c r="F9" i="31" a="1"/>
  <c r="V6" i="29" a="1"/>
  <c r="X5" i="31" a="1"/>
  <c r="R34" i="3"/>
  <c r="Q25" i="29"/>
  <c r="H67" i="29"/>
  <c r="Q48" i="31" a="1"/>
  <c r="L43" i="29"/>
  <c r="L64" i="29"/>
  <c r="V26" i="29" a="1"/>
  <c r="L59" i="31" a="1"/>
  <c r="Y18" i="29" a="1"/>
  <c r="Z22" i="29" a="1"/>
  <c r="Y10" i="29" a="1"/>
  <c r="V48" i="31" a="1"/>
  <c r="L60" i="29"/>
  <c r="X55" i="31" a="1"/>
  <c r="K6" i="31" a="1"/>
  <c r="Y7" i="29" a="1"/>
  <c r="N45" i="31" a="1"/>
  <c r="O8" i="29"/>
  <c r="O11" i="29"/>
  <c r="I77" i="31" a="1"/>
  <c r="X25" i="31" a="1"/>
  <c r="Y9" i="29" a="1"/>
  <c r="M38" i="31" a="1"/>
  <c r="AB9" i="29" a="1"/>
  <c r="Y58" i="31" a="1"/>
  <c r="I60" i="31" a="1"/>
  <c r="R43" i="3"/>
  <c r="S95" i="3"/>
  <c r="O6" i="31" a="1"/>
  <c r="D80" i="31" a="1"/>
  <c r="S54" i="3"/>
  <c r="W16" i="29" a="1"/>
  <c r="V64" i="31" a="1"/>
  <c r="W45" i="31" a="1"/>
  <c r="H22" i="29"/>
  <c r="T9" i="31" a="1"/>
  <c r="S72" i="3"/>
  <c r="S65" i="3"/>
  <c r="F42" i="31" a="1"/>
  <c r="N6" i="31" a="1"/>
  <c r="I48" i="31" a="1"/>
  <c r="N14" i="29"/>
  <c r="O17" i="29"/>
  <c r="G63" i="29"/>
  <c r="P21" i="31" a="1"/>
  <c r="Q55" i="31" a="1"/>
  <c r="V18" i="29" a="1"/>
  <c r="S26" i="31" a="1"/>
  <c r="T10" i="31" a="1"/>
  <c r="AB22" i="29" a="1"/>
  <c r="I50" i="29"/>
  <c r="O12" i="29"/>
  <c r="P57" i="29"/>
  <c r="S76" i="3"/>
  <c r="AB13" i="29" a="1"/>
  <c r="P60" i="31" a="1"/>
  <c r="K25" i="31" a="1"/>
  <c r="W48" i="31" a="1"/>
  <c r="J6" i="29"/>
  <c r="J64" i="29"/>
  <c r="J63" i="29"/>
  <c r="W7" i="29" a="1"/>
  <c r="J3" i="29"/>
  <c r="E64" i="31" a="1"/>
  <c r="O22" i="31" a="1"/>
  <c r="C61" i="31" a="1"/>
  <c r="T60" i="31" a="1"/>
  <c r="F6" i="29"/>
  <c r="C26" i="31" a="1"/>
  <c r="Y60" i="31" a="1"/>
  <c r="Y15" i="29" a="1"/>
  <c r="H16" i="29"/>
  <c r="R27" i="3"/>
  <c r="I75" i="31" a="1"/>
  <c r="T59" i="31" a="1"/>
  <c r="N39" i="31" a="1"/>
  <c r="Q18" i="29"/>
  <c r="Q6" i="29"/>
  <c r="W23" i="29" a="1"/>
  <c r="N7" i="29"/>
  <c r="N43" i="31" a="1"/>
  <c r="U12" i="31" a="1"/>
  <c r="O43" i="29"/>
  <c r="AB8" i="29" a="1"/>
  <c r="I20" i="29"/>
  <c r="K26" i="29"/>
  <c r="AB18" i="29" a="1"/>
  <c r="F12" i="31" a="1"/>
  <c r="H36" i="29"/>
  <c r="O29" i="29"/>
  <c r="E10" i="31" a="1"/>
  <c r="W25" i="31" a="1"/>
  <c r="K44" i="29"/>
  <c r="E9" i="31" a="1"/>
  <c r="L44" i="29"/>
  <c r="V15" i="31" a="1"/>
  <c r="I23" i="29"/>
  <c r="G80" i="31" a="1"/>
  <c r="V54" i="31" a="1"/>
  <c r="M57" i="29"/>
  <c r="X61" i="31" a="1"/>
  <c r="R25" i="29"/>
  <c r="J9" i="29"/>
  <c r="L38" i="31" a="1"/>
  <c r="Q13" i="29"/>
  <c r="V12" i="31" a="1"/>
  <c r="E80" i="31" a="1"/>
  <c r="S11" i="31" a="1"/>
  <c r="O5" i="31" a="1"/>
  <c r="G11" i="31" a="1"/>
  <c r="K58" i="29"/>
  <c r="I4" i="29"/>
  <c r="V5" i="29" a="1"/>
  <c r="P48" i="29"/>
  <c r="S74" i="3"/>
  <c r="I59" i="29"/>
  <c r="K49" i="29"/>
  <c r="N54" i="31" a="1"/>
  <c r="Q17" i="29"/>
  <c r="X6" i="31" a="1"/>
  <c r="H27" i="31" a="1"/>
  <c r="L29" i="29"/>
  <c r="Q25" i="31" a="1"/>
  <c r="R24" i="3"/>
  <c r="Z24" i="29" a="1"/>
  <c r="E22" i="31" a="1"/>
  <c r="K15" i="31" a="1"/>
  <c r="M59" i="29"/>
  <c r="K41" i="29"/>
  <c r="S89" i="3"/>
  <c r="H3" i="29"/>
  <c r="P25" i="31" a="1"/>
  <c r="N68" i="29"/>
  <c r="P14" i="29"/>
  <c r="O20" i="29"/>
  <c r="D55" i="31" a="1"/>
  <c r="Q27" i="31" a="1"/>
  <c r="K11" i="31" a="1"/>
  <c r="S101" i="3"/>
  <c r="Q6" i="31" a="1"/>
  <c r="R18" i="29"/>
  <c r="H4" i="29"/>
  <c r="Y26" i="31" a="1"/>
  <c r="I52" i="29"/>
  <c r="N28" i="31" a="1"/>
  <c r="Y4" i="29" a="1"/>
  <c r="H24" i="29"/>
  <c r="M47" i="29"/>
  <c r="O48" i="31" a="1"/>
  <c r="W8" i="29" a="1"/>
  <c r="Z19" i="29" a="1"/>
  <c r="E48" i="31" a="1"/>
  <c r="I53" i="29"/>
  <c r="F7" i="29"/>
  <c r="M9" i="29"/>
  <c r="G64" i="29"/>
  <c r="K7" i="29"/>
  <c r="L36" i="29"/>
  <c r="D11" i="31" a="1"/>
  <c r="P54" i="31" a="1"/>
  <c r="D12" i="31" a="1"/>
  <c r="D76" i="31" a="1"/>
  <c r="G55" i="29"/>
  <c r="P10" i="29"/>
  <c r="W4" i="29" a="1"/>
  <c r="T64" i="31" a="1"/>
  <c r="U5" i="31" a="1"/>
  <c r="H26" i="31" a="1"/>
  <c r="H55" i="31" a="1"/>
  <c r="J21" i="29"/>
  <c r="T43" i="31" a="1"/>
  <c r="Q22" i="31" a="1"/>
  <c r="H12" i="31" a="1"/>
  <c r="R46" i="3"/>
  <c r="I76" i="31" a="1"/>
  <c r="G47" i="29"/>
  <c r="N61" i="31" a="1"/>
  <c r="K59" i="31" a="1"/>
  <c r="J19" i="29"/>
  <c r="Y22" i="31" a="1"/>
  <c r="G77" i="31" a="1"/>
  <c r="F23" i="29"/>
  <c r="I5" i="31" a="1"/>
  <c r="N3" i="29"/>
  <c r="U43" i="31" a="1"/>
  <c r="I28" i="29"/>
  <c r="L46" i="29"/>
  <c r="O62" i="29"/>
  <c r="F76" i="31" a="1"/>
  <c r="W19" i="29" a="1"/>
  <c r="I55" i="31" a="1"/>
  <c r="M4" i="29"/>
  <c r="Y43" i="31" a="1"/>
  <c r="R35" i="29"/>
  <c r="T48" i="31" a="1"/>
  <c r="L26" i="31" a="1"/>
  <c r="P15" i="31" a="1"/>
  <c r="S64" i="3"/>
  <c r="H58" i="29"/>
  <c r="P6" i="31" a="1"/>
  <c r="D22" i="31" a="1"/>
  <c r="G44" i="29"/>
  <c r="Y13" i="29" a="1"/>
  <c r="C76" i="31" a="1"/>
  <c r="M55" i="31" a="1"/>
  <c r="P41" i="29"/>
  <c r="L26" i="29"/>
  <c r="G34" i="29"/>
  <c r="K24" i="29"/>
  <c r="L28" i="29"/>
  <c r="L12" i="31" a="1"/>
  <c r="M42" i="31" a="1"/>
  <c r="P9" i="29"/>
  <c r="X21" i="31" a="1"/>
  <c r="O15" i="29"/>
  <c r="F12" i="29"/>
  <c r="Q59" i="31" a="1"/>
  <c r="F27" i="29"/>
  <c r="K6" i="29"/>
  <c r="K67" i="29"/>
  <c r="I9" i="29"/>
  <c r="Y16" i="29" a="1"/>
  <c r="M56" i="29"/>
  <c r="G65" i="29"/>
  <c r="T26" i="31" a="1"/>
  <c r="S28" i="31" a="1"/>
  <c r="Z20" i="29" a="1"/>
  <c r="S44" i="31" a="1"/>
  <c r="V21" i="31" a="1"/>
  <c r="P12" i="29"/>
  <c r="I67" i="29"/>
  <c r="I46" i="29"/>
  <c r="D26" i="31" a="1"/>
  <c r="M21" i="31" a="1"/>
  <c r="G4" i="29"/>
  <c r="E70" i="31" a="1"/>
  <c r="I25" i="29"/>
  <c r="J52" i="29"/>
  <c r="Z17" i="29" a="1"/>
  <c r="Q60" i="31" a="1"/>
  <c r="M22" i="29"/>
  <c r="K9" i="31" a="1"/>
  <c r="Q39" i="31" a="1"/>
  <c r="X12" i="31" a="1"/>
  <c r="W9" i="29" a="1"/>
  <c r="N54" i="29"/>
  <c r="W13" i="29" a="1"/>
  <c r="W26" i="29" a="1"/>
  <c r="C64" i="31" a="1"/>
  <c r="O18" i="29"/>
  <c r="N53" i="29"/>
  <c r="M22" i="31" a="1"/>
  <c r="O58" i="29"/>
  <c r="V9" i="29" a="1"/>
  <c r="K4" i="29"/>
  <c r="L63" i="29"/>
  <c r="I7" i="29"/>
  <c r="L44" i="31" a="1"/>
  <c r="G6" i="31" a="1"/>
  <c r="P43" i="29"/>
  <c r="W11" i="29" a="1"/>
  <c r="I55" i="29"/>
  <c r="N23" i="29"/>
  <c r="L61" i="31" a="1"/>
  <c r="N18" i="29"/>
  <c r="G52" i="29"/>
  <c r="E12" i="31" a="1"/>
  <c r="P55" i="29"/>
  <c r="L65" i="29"/>
  <c r="P5" i="31" a="1"/>
  <c r="H61" i="29"/>
  <c r="K53" i="29"/>
  <c r="V43" i="31" a="1"/>
  <c r="O34" i="29"/>
  <c r="F10" i="31" a="1"/>
  <c r="R21" i="3"/>
  <c r="Q15" i="31" a="1"/>
  <c r="S61" i="3"/>
  <c r="L54" i="29"/>
  <c r="Y22" i="29" a="1"/>
  <c r="R14" i="29"/>
  <c r="P8" i="29"/>
  <c r="L47" i="29"/>
  <c r="C12" i="31" a="1"/>
  <c r="V61" i="31" a="1"/>
  <c r="C54" i="31" a="1"/>
  <c r="L68" i="29"/>
  <c r="G48" i="31" a="1"/>
  <c r="K5" i="31" a="1"/>
  <c r="O28" i="31" a="1"/>
  <c r="L16" i="29"/>
  <c r="V14" i="29" a="1"/>
  <c r="Q54" i="31" a="1"/>
  <c r="L56" i="29"/>
  <c r="Q27" i="29"/>
  <c r="K28" i="31" a="1"/>
  <c r="Y8" i="29" a="1"/>
  <c r="Q20" i="29"/>
  <c r="H57" i="29"/>
  <c r="T42" i="31" a="1"/>
  <c r="O42" i="29"/>
  <c r="Q19" i="29"/>
  <c r="U18" i="29" a="1"/>
  <c r="U25" i="31" a="1"/>
  <c r="R40" i="3"/>
  <c r="F13" i="29"/>
  <c r="H31" i="31" a="1"/>
  <c r="H7" i="29"/>
  <c r="L22" i="31" a="1"/>
  <c r="D28" i="31" a="1"/>
  <c r="G25" i="31" a="1"/>
  <c r="O27" i="31" a="1"/>
  <c r="K5" i="29"/>
  <c r="N41" i="29"/>
  <c r="Q16" i="29"/>
  <c r="AB26" i="29" a="1"/>
  <c r="T31" i="31" a="1"/>
  <c r="V11" i="29" a="1"/>
  <c r="L34" i="29"/>
  <c r="M25" i="31" a="1"/>
  <c r="D44" i="31" a="1"/>
  <c r="Y21" i="29" a="1"/>
  <c r="G25" i="29"/>
  <c r="E45" i="31" a="1"/>
  <c r="D31" i="31" a="1"/>
  <c r="C38" i="31" a="1"/>
  <c r="I80" i="31" a="1"/>
  <c r="M26" i="29"/>
  <c r="C5" i="31" a="1"/>
  <c r="W11" i="31" a="1"/>
  <c r="W3" i="29" a="1"/>
  <c r="G62" i="29"/>
  <c r="S22" i="31" a="1"/>
  <c r="H42" i="31" a="1"/>
  <c r="U28" i="31" a="1"/>
  <c r="U59" i="31" a="1"/>
  <c r="W22" i="29" a="1"/>
  <c r="C44" i="31" a="1"/>
  <c r="G54" i="31" a="1"/>
  <c r="Q9" i="31" a="1"/>
  <c r="O10" i="31" a="1"/>
  <c r="P12" i="31" a="1"/>
  <c r="H14" i="29"/>
  <c r="G21" i="31" a="1"/>
  <c r="S91" i="3"/>
  <c r="K43" i="29"/>
  <c r="C21" i="31" a="1"/>
  <c r="U17" i="29" a="1"/>
  <c r="H44" i="29"/>
  <c r="C77" i="31" a="1"/>
  <c r="F44" i="31" a="1"/>
  <c r="U5" i="29" a="1"/>
  <c r="H5" i="31" a="1"/>
  <c r="D25" i="31" a="1"/>
  <c r="V17" i="29" a="1"/>
  <c r="L27" i="31" a="1"/>
  <c r="H52" i="29"/>
  <c r="L5" i="31" a="1"/>
  <c r="R36" i="29"/>
  <c r="O66" i="29"/>
  <c r="D59" i="31" a="1"/>
  <c r="T21" i="31" a="1"/>
  <c r="V5" i="31" a="1"/>
  <c r="Y31" i="31" a="1"/>
  <c r="S59" i="31" a="1"/>
  <c r="H74" i="31" a="1"/>
  <c r="M21" i="29"/>
  <c r="R28" i="29"/>
  <c r="O26" i="31" a="1"/>
  <c r="N64" i="31" a="1"/>
  <c r="F17" i="29"/>
  <c r="K25" i="29"/>
  <c r="F21" i="29"/>
  <c r="V58" i="31" a="1"/>
  <c r="K60" i="29"/>
  <c r="H48" i="29"/>
  <c r="S92" i="3"/>
  <c r="J41" i="29"/>
  <c r="H25" i="31" a="1"/>
  <c r="S12" i="31" a="1"/>
  <c r="W28" i="31" a="1"/>
  <c r="G53" i="29"/>
  <c r="Q15" i="29"/>
  <c r="N26" i="29"/>
  <c r="M61" i="29"/>
  <c r="L6" i="31" a="1"/>
  <c r="M51" i="29"/>
  <c r="S66" i="3"/>
  <c r="N31" i="31" a="1"/>
  <c r="P46" i="29"/>
  <c r="V21" i="29" a="1"/>
  <c r="W64" i="31" a="1"/>
  <c r="V44" i="31" a="1"/>
  <c r="G68" i="29"/>
  <c r="H71" i="31" a="1"/>
  <c r="F4" i="29"/>
  <c r="P19" i="29"/>
  <c r="D38" i="31" a="1"/>
  <c r="AB3" i="29" a="1"/>
  <c r="N13" i="29"/>
  <c r="W18" i="29" a="1"/>
  <c r="E55" i="31" a="1"/>
  <c r="W24" i="29" a="1"/>
  <c r="M9" i="31" a="1"/>
  <c r="M43" i="29"/>
  <c r="H28" i="31" a="1"/>
  <c r="M46" i="29"/>
  <c r="Z12" i="29" a="1"/>
  <c r="H35" i="29"/>
  <c r="F25" i="29"/>
  <c r="F59" i="31" a="1"/>
  <c r="F16" i="29"/>
  <c r="I18" i="29"/>
  <c r="D43" i="31" a="1"/>
  <c r="P58" i="29"/>
  <c r="F39" i="31" a="1"/>
  <c r="P63" i="29"/>
  <c r="D21" i="31" a="1"/>
  <c r="D54" i="31" a="1"/>
  <c r="H13" i="29"/>
  <c r="M66" i="29"/>
  <c r="Y44" i="31" a="1"/>
  <c r="P45" i="29"/>
  <c r="L3" i="29"/>
  <c r="M64" i="29"/>
  <c r="Y42" i="31" a="1"/>
  <c r="Q43" i="31" a="1"/>
  <c r="U24" i="29" a="1"/>
  <c r="C4" i="27"/>
  <c r="N48" i="29"/>
  <c r="N60" i="31" a="1"/>
  <c r="U58" i="31" a="1"/>
  <c r="G57" i="29"/>
  <c r="M14" i="29"/>
  <c r="W5" i="29" a="1"/>
  <c r="U20" i="29" a="1"/>
  <c r="W38" i="31" a="1"/>
  <c r="J17" i="29"/>
  <c r="M44" i="31" a="1"/>
  <c r="F64" i="31" a="1"/>
  <c r="F70" i="31" a="1"/>
  <c r="Z8" i="29" a="1"/>
  <c r="Y10" i="31" a="1"/>
  <c r="K27" i="29"/>
  <c r="I70" i="31" a="1"/>
  <c r="J55" i="29"/>
  <c r="N36" i="29"/>
  <c r="O68" i="29"/>
  <c r="U23" i="29" a="1"/>
  <c r="X39" i="31" a="1"/>
  <c r="G44" i="31" a="1"/>
  <c r="I26" i="31" a="1"/>
  <c r="AB25" i="29" a="1"/>
  <c r="K56" i="29"/>
  <c r="M43" i="31" a="1"/>
  <c r="Z25" i="29" a="1"/>
  <c r="Z26" i="29" a="1"/>
  <c r="E54" i="31" a="1"/>
  <c r="P9" i="31" a="1"/>
  <c r="E15" i="31" a="1"/>
  <c r="V22" i="29" a="1"/>
  <c r="U9" i="29" a="1"/>
  <c r="L39" i="31" a="1"/>
  <c r="S80" i="3"/>
  <c r="C4" i="26"/>
  <c r="G71" i="31" a="1"/>
  <c r="O21" i="31" a="1"/>
  <c r="S61" i="31" a="1"/>
  <c r="K42" i="31" a="1"/>
  <c r="H54" i="31" a="1"/>
  <c r="G59" i="31" a="1"/>
  <c r="M20" i="29"/>
  <c r="G50" i="29"/>
  <c r="R38" i="3"/>
  <c r="U64" i="31" a="1"/>
  <c r="K19" i="29"/>
  <c r="G10" i="29"/>
  <c r="E42" i="31" a="1"/>
  <c r="F58" i="31" a="1"/>
  <c r="I34" i="29"/>
  <c r="AB4" i="29" a="1"/>
  <c r="H41" i="29"/>
  <c r="J18" i="29"/>
  <c r="O21" i="29"/>
  <c r="D74" i="31" a="1"/>
  <c r="X48" i="31" a="1"/>
  <c r="F45" i="31" a="1"/>
  <c r="S9" i="31" a="1"/>
  <c r="N64" i="29"/>
  <c r="K66" i="29"/>
  <c r="X15" i="31" a="1"/>
  <c r="J20" i="29"/>
  <c r="H15" i="29"/>
  <c r="C60" i="31" a="1"/>
  <c r="S68" i="3"/>
  <c r="Z21" i="29" a="1"/>
  <c r="R29" i="29"/>
  <c r="P22" i="31" a="1"/>
  <c r="N6" i="29"/>
  <c r="J14" i="29"/>
  <c r="O61" i="29"/>
  <c r="Z14" i="29" a="1"/>
  <c r="M28" i="31" a="1"/>
  <c r="S15" i="31" a="1"/>
  <c r="H5" i="29"/>
  <c r="D27" i="31" a="1"/>
  <c r="H22" i="31" a="1"/>
  <c r="I35" i="29"/>
  <c r="K64" i="31" a="1"/>
  <c r="X44" i="31" a="1"/>
  <c r="H55" i="29"/>
  <c r="U13" i="29" a="1"/>
  <c r="Y20" i="29" a="1"/>
  <c r="V24" i="29" a="1"/>
  <c r="L13" i="29"/>
  <c r="Z16" i="29" a="1"/>
  <c r="X54" i="31" a="1"/>
  <c r="S43" i="31" a="1"/>
  <c r="F25" i="31" a="1"/>
  <c r="L35" i="29"/>
  <c r="Y24" i="29" a="1"/>
  <c r="O57" i="29"/>
  <c r="G27" i="31" a="1"/>
  <c r="V60" i="31" a="1"/>
  <c r="U16" i="29" a="1"/>
  <c r="U27" i="31" a="1"/>
  <c r="E28" i="31" a="1"/>
  <c r="Y12" i="29" a="1"/>
  <c r="N22" i="29"/>
  <c r="R37" i="3"/>
  <c r="H15" i="31" a="1"/>
  <c r="H58" i="31" a="1"/>
  <c r="I51" i="29"/>
  <c r="O51" i="29"/>
  <c r="K21" i="31" a="1"/>
  <c r="U25" i="29" a="1"/>
  <c r="M26" i="31" a="1"/>
  <c r="G75" i="31" a="1"/>
  <c r="G26" i="31" a="1"/>
  <c r="H17" i="29"/>
  <c r="J11" i="29"/>
  <c r="O59" i="31" a="1"/>
  <c r="V10" i="31" a="1"/>
  <c r="Y3" i="29" a="1"/>
  <c r="G58" i="31" a="1"/>
  <c r="H61" i="31" a="1"/>
  <c r="H6" i="29"/>
  <c r="V13" i="29" a="1"/>
  <c r="I45" i="31" a="1"/>
  <c r="O28" i="29"/>
  <c r="F22" i="31" a="1"/>
  <c r="U19" i="29" a="1"/>
  <c r="N44" i="31" a="1"/>
  <c r="G29" i="29"/>
  <c r="W27" i="31" a="1"/>
  <c r="S93" i="3"/>
  <c r="P20" i="29"/>
  <c r="W10" i="31" a="1"/>
  <c r="I13" i="29"/>
  <c r="L53" i="29"/>
  <c r="J29" i="29"/>
  <c r="O53" i="29"/>
  <c r="L49" i="29"/>
  <c r="S54" i="31" a="1"/>
  <c r="X45" i="31" a="1"/>
  <c r="I71" i="31" a="1"/>
  <c r="Q35" i="29"/>
  <c r="C4" i="25"/>
  <c r="C4" i="24"/>
  <c r="C4" i="23"/>
  <c r="C4" i="22"/>
  <c r="C4" i="21"/>
  <c r="C4" i="20"/>
  <c r="C4" i="19"/>
  <c r="C4" i="18"/>
  <c r="C4" i="17"/>
  <c r="C4" i="16"/>
  <c r="I71" i="31" l="1"/>
  <c r="X45" i="31"/>
  <c r="S54" i="31"/>
  <c r="W10" i="31"/>
  <c r="W27" i="31"/>
  <c r="N44" i="31"/>
  <c r="U19" i="29"/>
  <c r="F22" i="31"/>
  <c r="I45" i="31"/>
  <c r="V13" i="29"/>
  <c r="H61" i="31"/>
  <c r="G58" i="31"/>
  <c r="Y3" i="29"/>
  <c r="V10" i="31"/>
  <c r="O59" i="31"/>
  <c r="G26" i="31"/>
  <c r="G75" i="31"/>
  <c r="M26" i="31"/>
  <c r="U25" i="29"/>
  <c r="K21" i="31"/>
  <c r="H58" i="31"/>
  <c r="H15" i="31"/>
  <c r="Y12" i="29"/>
  <c r="E28" i="31"/>
  <c r="U27" i="31"/>
  <c r="U16" i="29"/>
  <c r="V60" i="31"/>
  <c r="G27" i="31"/>
  <c r="Y24" i="29"/>
  <c r="F25" i="31"/>
  <c r="S43" i="31"/>
  <c r="X54" i="31"/>
  <c r="Z16" i="29"/>
  <c r="V24" i="29"/>
  <c r="Y20" i="29"/>
  <c r="U13" i="29"/>
  <c r="X44" i="31"/>
  <c r="X46" i="31" s="1"/>
  <c r="K64" i="31"/>
  <c r="H22" i="31"/>
  <c r="D27" i="31"/>
  <c r="S15" i="31"/>
  <c r="M28" i="31"/>
  <c r="Z14" i="29"/>
  <c r="P22" i="31"/>
  <c r="Z21" i="29"/>
  <c r="C60" i="31"/>
  <c r="X15" i="31"/>
  <c r="S9" i="31"/>
  <c r="F45" i="31"/>
  <c r="X48" i="31"/>
  <c r="D74" i="31"/>
  <c r="AB4" i="29"/>
  <c r="F58" i="31"/>
  <c r="E42" i="31"/>
  <c r="U64" i="31"/>
  <c r="G59" i="31"/>
  <c r="H54" i="31"/>
  <c r="K42" i="31"/>
  <c r="S61" i="31"/>
  <c r="O21" i="31"/>
  <c r="G71" i="31"/>
  <c r="L39" i="31"/>
  <c r="U9" i="29"/>
  <c r="V22" i="29"/>
  <c r="E15" i="31"/>
  <c r="P9" i="31"/>
  <c r="E54" i="31"/>
  <c r="Z26" i="29"/>
  <c r="Z25" i="29"/>
  <c r="M43" i="31"/>
  <c r="AB25" i="29"/>
  <c r="I26" i="31"/>
  <c r="G44" i="31"/>
  <c r="G46" i="31" s="1"/>
  <c r="X39" i="31"/>
  <c r="U23" i="29"/>
  <c r="I70" i="31"/>
  <c r="I72" i="31" s="1"/>
  <c r="Y10" i="31"/>
  <c r="Z8" i="29"/>
  <c r="F70" i="31"/>
  <c r="F64" i="31"/>
  <c r="M44" i="31"/>
  <c r="W38" i="31"/>
  <c r="W40" i="31" s="1"/>
  <c r="U20" i="29"/>
  <c r="W5" i="29"/>
  <c r="U58" i="31"/>
  <c r="N60" i="31"/>
  <c r="U24" i="29"/>
  <c r="Q43" i="31"/>
  <c r="Y42" i="31"/>
  <c r="Y44" i="31"/>
  <c r="D54" i="31"/>
  <c r="D21" i="31"/>
  <c r="F39" i="31"/>
  <c r="D43" i="31"/>
  <c r="F59" i="31"/>
  <c r="Z12" i="29"/>
  <c r="H28" i="31"/>
  <c r="M9" i="31"/>
  <c r="W24" i="29"/>
  <c r="X24" i="29" s="1"/>
  <c r="E55" i="31"/>
  <c r="W18" i="29"/>
  <c r="AB3" i="29"/>
  <c r="D38" i="31"/>
  <c r="H71" i="31"/>
  <c r="V44" i="31"/>
  <c r="W64" i="31"/>
  <c r="V21" i="29"/>
  <c r="N31" i="31"/>
  <c r="L6" i="31"/>
  <c r="W28" i="31"/>
  <c r="S12" i="31"/>
  <c r="H25" i="31"/>
  <c r="V58" i="31"/>
  <c r="N64" i="31"/>
  <c r="O26" i="31"/>
  <c r="H74" i="31"/>
  <c r="S59" i="31"/>
  <c r="Y31" i="31"/>
  <c r="V5" i="31"/>
  <c r="T21" i="31"/>
  <c r="D59" i="31"/>
  <c r="L5" i="31"/>
  <c r="L27" i="31"/>
  <c r="V17" i="29"/>
  <c r="D25" i="31"/>
  <c r="H5" i="31"/>
  <c r="U5" i="29"/>
  <c r="F44" i="31"/>
  <c r="F46" i="31" s="1"/>
  <c r="C77" i="31"/>
  <c r="U17" i="29"/>
  <c r="C21" i="31"/>
  <c r="G21" i="31"/>
  <c r="P12" i="31"/>
  <c r="O10" i="31"/>
  <c r="Q9" i="31"/>
  <c r="G54" i="31"/>
  <c r="C44" i="31"/>
  <c r="W22" i="29"/>
  <c r="U59" i="31"/>
  <c r="U28" i="31"/>
  <c r="H42" i="31"/>
  <c r="S22" i="31"/>
  <c r="W3" i="29"/>
  <c r="W11" i="31"/>
  <c r="C5" i="31"/>
  <c r="C7" i="31" s="1"/>
  <c r="I80" i="31"/>
  <c r="C38" i="31"/>
  <c r="D31" i="31"/>
  <c r="E45" i="31"/>
  <c r="E46" i="31" s="1"/>
  <c r="Y21" i="29"/>
  <c r="D44" i="31"/>
  <c r="M25" i="31"/>
  <c r="V11" i="29"/>
  <c r="T31" i="31"/>
  <c r="AB26" i="29"/>
  <c r="O27" i="31"/>
  <c r="G25" i="31"/>
  <c r="D28" i="31"/>
  <c r="L22" i="31"/>
  <c r="H31" i="31"/>
  <c r="U25" i="31"/>
  <c r="U18" i="29"/>
  <c r="T42" i="31"/>
  <c r="Y8" i="29"/>
  <c r="K28" i="31"/>
  <c r="Q54" i="31"/>
  <c r="V14" i="29"/>
  <c r="O28" i="31"/>
  <c r="K5" i="31"/>
  <c r="G48" i="31"/>
  <c r="C54" i="31"/>
  <c r="V61" i="31"/>
  <c r="C12" i="31"/>
  <c r="Y22" i="29"/>
  <c r="Q15" i="31"/>
  <c r="F10" i="31"/>
  <c r="V43" i="31"/>
  <c r="P5" i="31"/>
  <c r="P7" i="31" s="1"/>
  <c r="E12" i="31"/>
  <c r="L61" i="31"/>
  <c r="W11" i="29"/>
  <c r="G6" i="31"/>
  <c r="L44" i="31"/>
  <c r="V9" i="29"/>
  <c r="M22" i="31"/>
  <c r="C64" i="31"/>
  <c r="W26" i="29"/>
  <c r="W13" i="29"/>
  <c r="X13" i="29" s="1"/>
  <c r="W9" i="29"/>
  <c r="X12" i="31"/>
  <c r="Q39" i="31"/>
  <c r="K9" i="31"/>
  <c r="Q60" i="31"/>
  <c r="Z17" i="29"/>
  <c r="E70" i="31"/>
  <c r="M21" i="31"/>
  <c r="M23" i="31" s="1"/>
  <c r="D26" i="31"/>
  <c r="V21" i="31"/>
  <c r="S44" i="31"/>
  <c r="Z20" i="29"/>
  <c r="S28" i="31"/>
  <c r="T26" i="31"/>
  <c r="Y16" i="29"/>
  <c r="Q59" i="31"/>
  <c r="X21" i="31"/>
  <c r="M42" i="31"/>
  <c r="L12" i="31"/>
  <c r="M55" i="31"/>
  <c r="C76" i="31"/>
  <c r="C78" i="31" s="1"/>
  <c r="Y13" i="29"/>
  <c r="D22" i="31"/>
  <c r="P6" i="31"/>
  <c r="P15" i="31"/>
  <c r="L26" i="31"/>
  <c r="T48" i="31"/>
  <c r="Y43" i="31"/>
  <c r="I55" i="31"/>
  <c r="W19" i="29"/>
  <c r="F76" i="31"/>
  <c r="U43" i="31"/>
  <c r="I5" i="31"/>
  <c r="G77" i="31"/>
  <c r="Y22" i="31"/>
  <c r="K59" i="31"/>
  <c r="N61" i="31"/>
  <c r="I76" i="31"/>
  <c r="H12" i="31"/>
  <c r="Q22" i="31"/>
  <c r="T43" i="31"/>
  <c r="H55" i="31"/>
  <c r="H26" i="31"/>
  <c r="U5" i="31"/>
  <c r="T64" i="31"/>
  <c r="W4" i="29"/>
  <c r="D76" i="31"/>
  <c r="D12" i="31"/>
  <c r="P54" i="31"/>
  <c r="D11" i="31"/>
  <c r="D13" i="31" s="1"/>
  <c r="E48" i="31"/>
  <c r="Z19" i="29"/>
  <c r="W8" i="29"/>
  <c r="O48" i="31"/>
  <c r="Y4" i="29"/>
  <c r="N28" i="31"/>
  <c r="Y26" i="31"/>
  <c r="Q6" i="31"/>
  <c r="K11" i="31"/>
  <c r="Q27" i="31"/>
  <c r="D55" i="31"/>
  <c r="P25" i="31"/>
  <c r="K15" i="31"/>
  <c r="E22" i="31"/>
  <c r="Z24" i="29"/>
  <c r="Q25" i="31"/>
  <c r="H27" i="31"/>
  <c r="H29" i="31" s="1"/>
  <c r="X6" i="31"/>
  <c r="N54" i="31"/>
  <c r="N56" i="31" s="1"/>
  <c r="V5" i="29"/>
  <c r="G11" i="31"/>
  <c r="G13" i="31" s="1"/>
  <c r="O5" i="31"/>
  <c r="S11" i="31"/>
  <c r="S13" i="31" s="1"/>
  <c r="E80" i="31"/>
  <c r="V12" i="31"/>
  <c r="L38" i="31"/>
  <c r="L40" i="31" s="1"/>
  <c r="X61" i="31"/>
  <c r="V54" i="31"/>
  <c r="G80" i="31"/>
  <c r="V15" i="31"/>
  <c r="E9" i="31"/>
  <c r="W25" i="31"/>
  <c r="E10" i="31"/>
  <c r="F12" i="31"/>
  <c r="AB18" i="29"/>
  <c r="AB8" i="29"/>
  <c r="U12" i="31"/>
  <c r="N43" i="31"/>
  <c r="W23" i="29"/>
  <c r="N39" i="31"/>
  <c r="T59" i="31"/>
  <c r="I75" i="31"/>
  <c r="Y15" i="29"/>
  <c r="Y60" i="31"/>
  <c r="C26" i="31"/>
  <c r="T60" i="31"/>
  <c r="C61" i="31"/>
  <c r="O22" i="31"/>
  <c r="E64" i="31"/>
  <c r="W7" i="29"/>
  <c r="W48" i="31"/>
  <c r="K25" i="31"/>
  <c r="P60" i="31"/>
  <c r="AB13" i="29"/>
  <c r="AB22" i="29"/>
  <c r="T10" i="31"/>
  <c r="S26" i="31"/>
  <c r="V18" i="29"/>
  <c r="Q55" i="31"/>
  <c r="P21" i="31"/>
  <c r="P23" i="31" s="1"/>
  <c r="I48" i="31"/>
  <c r="N6" i="31"/>
  <c r="N7" i="31" s="1"/>
  <c r="F42" i="31"/>
  <c r="T9" i="31"/>
  <c r="W45" i="31"/>
  <c r="V64" i="31"/>
  <c r="W16" i="29"/>
  <c r="D80" i="31"/>
  <c r="O6" i="31"/>
  <c r="I60" i="31"/>
  <c r="Y58" i="31"/>
  <c r="AB9" i="29"/>
  <c r="M38" i="31"/>
  <c r="Y9" i="29"/>
  <c r="X25" i="31"/>
  <c r="I77" i="31"/>
  <c r="N45" i="31"/>
  <c r="Y7" i="29"/>
  <c r="K6" i="31"/>
  <c r="X55" i="31"/>
  <c r="V48" i="31"/>
  <c r="Y10" i="29"/>
  <c r="Z22" i="29"/>
  <c r="Y18" i="29"/>
  <c r="L59" i="31"/>
  <c r="V26" i="29"/>
  <c r="Q48" i="31"/>
  <c r="X5" i="31"/>
  <c r="X7" i="31" s="1"/>
  <c r="V6" i="29"/>
  <c r="F9" i="31"/>
  <c r="W60" i="31"/>
  <c r="T28" i="31"/>
  <c r="M12" i="31"/>
  <c r="O12" i="31"/>
  <c r="Z15" i="29"/>
  <c r="I54" i="31"/>
  <c r="I56" i="31" s="1"/>
  <c r="S10" i="31"/>
  <c r="F26" i="31"/>
  <c r="P48" i="31"/>
  <c r="W14" i="29"/>
  <c r="U15" i="29"/>
  <c r="W59" i="31"/>
  <c r="W17" i="29"/>
  <c r="X17" i="29" s="1"/>
  <c r="X26" i="31"/>
  <c r="U42" i="31"/>
  <c r="Y64" i="31"/>
  <c r="D6" i="31"/>
  <c r="S60" i="31"/>
  <c r="S62" i="31" s="1"/>
  <c r="AB5" i="29"/>
  <c r="U60" i="31"/>
  <c r="Y11" i="31"/>
  <c r="X43" i="31"/>
  <c r="E77" i="31"/>
  <c r="G10" i="31"/>
  <c r="I58" i="31"/>
  <c r="D5" i="31"/>
  <c r="D7" i="31" s="1"/>
  <c r="C15" i="31"/>
  <c r="P55" i="31"/>
  <c r="O9" i="31"/>
  <c r="Z6" i="29"/>
  <c r="C70" i="31"/>
  <c r="G61" i="31"/>
  <c r="W58" i="31"/>
  <c r="W12" i="31"/>
  <c r="C22" i="31"/>
  <c r="Q44" i="31"/>
  <c r="U48" i="31"/>
  <c r="C28" i="31"/>
  <c r="V55" i="31"/>
  <c r="W9" i="31"/>
  <c r="Y54" i="31"/>
  <c r="Y56" i="31" s="1"/>
  <c r="U9" i="31"/>
  <c r="E39" i="31"/>
  <c r="O43" i="31"/>
  <c r="L25" i="31"/>
  <c r="Y14" i="29"/>
  <c r="E43" i="31"/>
  <c r="L54" i="31"/>
  <c r="L56" i="31" s="1"/>
  <c r="K31" i="31"/>
  <c r="C55" i="31"/>
  <c r="G5" i="31"/>
  <c r="G7" i="31" s="1"/>
  <c r="V25" i="31"/>
  <c r="H60" i="31"/>
  <c r="H62" i="31" s="1"/>
  <c r="T12" i="31"/>
  <c r="T13" i="31" s="1"/>
  <c r="Q58" i="31"/>
  <c r="G22" i="31"/>
  <c r="Y9" i="31"/>
  <c r="Q45" i="31"/>
  <c r="W6" i="31"/>
  <c r="S31" i="31"/>
  <c r="V12" i="29"/>
  <c r="V15" i="29"/>
  <c r="T22" i="31"/>
  <c r="U6" i="31"/>
  <c r="Y17" i="29"/>
  <c r="D60" i="31"/>
  <c r="M45" i="31"/>
  <c r="Y5" i="29"/>
  <c r="V38" i="31"/>
  <c r="Y19" i="29"/>
  <c r="W44" i="31"/>
  <c r="W46" i="31" s="1"/>
  <c r="K55" i="31"/>
  <c r="K56" i="31" s="1"/>
  <c r="H11" i="31"/>
  <c r="H13" i="31" s="1"/>
  <c r="K38" i="31"/>
  <c r="AB10" i="29"/>
  <c r="M5" i="31"/>
  <c r="V45" i="31"/>
  <c r="W43" i="31"/>
  <c r="V8" i="29"/>
  <c r="I74" i="31"/>
  <c r="D45" i="31"/>
  <c r="N27" i="31"/>
  <c r="N29" i="31" s="1"/>
  <c r="C59" i="31"/>
  <c r="M61" i="31"/>
  <c r="M62" i="31" s="1"/>
  <c r="H10" i="31"/>
  <c r="Q26" i="31"/>
  <c r="Z13" i="29"/>
  <c r="AB11" i="29"/>
  <c r="L60" i="31"/>
  <c r="L62" i="31" s="1"/>
  <c r="X10" i="31"/>
  <c r="Z9" i="29"/>
  <c r="O54" i="31"/>
  <c r="I22" i="31"/>
  <c r="D61" i="31"/>
  <c r="V7" i="29"/>
  <c r="D9" i="31"/>
  <c r="U7" i="29"/>
  <c r="N15" i="31"/>
  <c r="Q28" i="31"/>
  <c r="Z11" i="29"/>
  <c r="E74" i="31"/>
  <c r="P39" i="31"/>
  <c r="M64" i="31"/>
  <c r="L45" i="31"/>
  <c r="P43" i="31"/>
  <c r="C25" i="31"/>
  <c r="H38" i="31"/>
  <c r="V16" i="29"/>
  <c r="L21" i="31"/>
  <c r="L23" i="31" s="1"/>
  <c r="H76" i="31"/>
  <c r="H78" i="31" s="1"/>
  <c r="F15" i="31"/>
  <c r="K10" i="31"/>
  <c r="W42" i="31"/>
  <c r="L31" i="31"/>
  <c r="Y59" i="31"/>
  <c r="K60" i="31"/>
  <c r="V6" i="31"/>
  <c r="S5" i="31"/>
  <c r="N25" i="31"/>
  <c r="V25" i="29"/>
  <c r="T45" i="31"/>
  <c r="Y61" i="31"/>
  <c r="U15" i="31"/>
  <c r="V4" i="29"/>
  <c r="Q12" i="31"/>
  <c r="H39" i="31"/>
  <c r="AB12" i="29"/>
  <c r="O60" i="31"/>
  <c r="K43" i="31"/>
  <c r="E58" i="31"/>
  <c r="AB21" i="29"/>
  <c r="Z5" i="29"/>
  <c r="I21" i="31"/>
  <c r="I23" i="31" s="1"/>
  <c r="O25" i="31"/>
  <c r="O38" i="31"/>
  <c r="O40" i="31" s="1"/>
  <c r="G60" i="31"/>
  <c r="G62" i="31" s="1"/>
  <c r="Y12" i="31"/>
  <c r="V3" i="29"/>
  <c r="C10" i="31"/>
  <c r="C9" i="31"/>
  <c r="D58" i="31"/>
  <c r="I64" i="31"/>
  <c r="H59" i="31"/>
  <c r="U54" i="31"/>
  <c r="Q31" i="31"/>
  <c r="X60" i="31"/>
  <c r="X62" i="31" s="1"/>
  <c r="V20" i="29"/>
  <c r="W15" i="29"/>
  <c r="X15" i="29" s="1"/>
  <c r="E76" i="31"/>
  <c r="E78" i="31" s="1"/>
  <c r="W6" i="29"/>
  <c r="M6" i="31"/>
  <c r="H70" i="31"/>
  <c r="H72" i="31" s="1"/>
  <c r="L42" i="31"/>
  <c r="AB6" i="29"/>
  <c r="V9" i="31"/>
  <c r="N48" i="31"/>
  <c r="T58" i="31"/>
  <c r="H45" i="31"/>
  <c r="L43" i="31"/>
  <c r="H80" i="31"/>
  <c r="V31" i="31"/>
  <c r="Z4" i="29"/>
  <c r="T6" i="31"/>
  <c r="C80" i="31"/>
  <c r="U4" i="29"/>
  <c r="W31" i="31"/>
  <c r="K22" i="31"/>
  <c r="L11" i="31"/>
  <c r="L13" i="31" s="1"/>
  <c r="S27" i="31"/>
  <c r="S29" i="31" s="1"/>
  <c r="V22" i="31"/>
  <c r="F38" i="31"/>
  <c r="F40" i="31" s="1"/>
  <c r="I6" i="31"/>
  <c r="Y21" i="31"/>
  <c r="Y23" i="31" s="1"/>
  <c r="AB14" i="29"/>
  <c r="X27" i="31"/>
  <c r="F54" i="31"/>
  <c r="U22" i="29"/>
  <c r="E60" i="31"/>
  <c r="E62" i="31" s="1"/>
  <c r="N58" i="31"/>
  <c r="O55" i="31"/>
  <c r="F6" i="31"/>
  <c r="O44" i="31"/>
  <c r="O46" i="31" s="1"/>
  <c r="L10" i="31"/>
  <c r="U55" i="31"/>
  <c r="I38" i="31"/>
  <c r="D39" i="31"/>
  <c r="E26" i="31"/>
  <c r="F61" i="31"/>
  <c r="S21" i="31"/>
  <c r="S23" i="31" s="1"/>
  <c r="C71" i="31"/>
  <c r="P45" i="31"/>
  <c r="P46" i="31" s="1"/>
  <c r="M10" i="31"/>
  <c r="I43" i="31"/>
  <c r="K45" i="31"/>
  <c r="P64" i="31"/>
  <c r="Y26" i="29"/>
  <c r="U61" i="31"/>
  <c r="U21" i="31"/>
  <c r="N38" i="31"/>
  <c r="N40" i="31" s="1"/>
  <c r="W22" i="31"/>
  <c r="W23" i="31" s="1"/>
  <c r="E71" i="31"/>
  <c r="Q21" i="31"/>
  <c r="Q23" i="31" s="1"/>
  <c r="Z10" i="29"/>
  <c r="K26" i="31"/>
  <c r="E31" i="31"/>
  <c r="N11" i="31"/>
  <c r="N13" i="31" s="1"/>
  <c r="Q38" i="31"/>
  <c r="Q40" i="31" s="1"/>
  <c r="H21" i="31"/>
  <c r="H23" i="31" s="1"/>
  <c r="N10" i="31"/>
  <c r="I31" i="31"/>
  <c r="Y15" i="31"/>
  <c r="P27" i="31"/>
  <c r="P29" i="31" s="1"/>
  <c r="G64" i="31"/>
  <c r="D15" i="31"/>
  <c r="F77" i="31"/>
  <c r="K61" i="31"/>
  <c r="T38" i="31"/>
  <c r="T40" i="31" s="1"/>
  <c r="U45" i="31"/>
  <c r="U46" i="31" s="1"/>
  <c r="G38" i="31"/>
  <c r="S42" i="31"/>
  <c r="H43" i="31"/>
  <c r="G70" i="31"/>
  <c r="G72" i="31" s="1"/>
  <c r="E27" i="31"/>
  <c r="E29" i="31" s="1"/>
  <c r="S6" i="31"/>
  <c r="Q11" i="31"/>
  <c r="Q13" i="31" s="1"/>
  <c r="F60" i="31"/>
  <c r="F62" i="31" s="1"/>
  <c r="V19" i="29"/>
  <c r="D64" i="31"/>
  <c r="Q64" i="31"/>
  <c r="X64" i="31"/>
  <c r="AB17" i="29"/>
  <c r="Y6" i="31"/>
  <c r="H48" i="31"/>
  <c r="Q42" i="31"/>
  <c r="T54" i="31"/>
  <c r="T56" i="31" s="1"/>
  <c r="K48" i="31"/>
  <c r="S64" i="31"/>
  <c r="I27" i="31"/>
  <c r="K27" i="31"/>
  <c r="K29" i="31" s="1"/>
  <c r="Q10" i="31"/>
  <c r="L58" i="31"/>
  <c r="U8" i="29"/>
  <c r="Y23" i="29"/>
  <c r="C75" i="31"/>
  <c r="C31" i="31"/>
  <c r="D70" i="31"/>
  <c r="U14" i="29"/>
  <c r="E75" i="31"/>
  <c r="W21" i="29"/>
  <c r="X21" i="29" s="1"/>
  <c r="E11" i="31"/>
  <c r="E13" i="31" s="1"/>
  <c r="V27" i="31"/>
  <c r="V29" i="31" s="1"/>
  <c r="Y48" i="31"/>
  <c r="H6" i="31"/>
  <c r="N21" i="31"/>
  <c r="C74" i="31"/>
  <c r="U38" i="31"/>
  <c r="W12" i="29"/>
  <c r="M58" i="31"/>
  <c r="D42" i="31"/>
  <c r="AB19" i="29"/>
  <c r="M31" i="31"/>
  <c r="U3" i="29"/>
  <c r="M11" i="31"/>
  <c r="M13" i="31" s="1"/>
  <c r="E38" i="31"/>
  <c r="E40" i="31" s="1"/>
  <c r="V59" i="31"/>
  <c r="C43" i="31"/>
  <c r="X42" i="31"/>
  <c r="V11" i="31"/>
  <c r="V13" i="31" s="1"/>
  <c r="K39" i="31"/>
  <c r="K40" i="31" s="1"/>
  <c r="X9" i="31"/>
  <c r="L28" i="31"/>
  <c r="U10" i="29"/>
  <c r="M15" i="31"/>
  <c r="Y25" i="29"/>
  <c r="F80" i="31"/>
  <c r="N42" i="31"/>
  <c r="V39" i="31"/>
  <c r="C48" i="31"/>
  <c r="U11" i="31"/>
  <c r="U13" i="31" s="1"/>
  <c r="F27" i="31"/>
  <c r="O61" i="31"/>
  <c r="O62" i="31" s="1"/>
  <c r="P42" i="31"/>
  <c r="Z23" i="29"/>
  <c r="G55" i="31"/>
  <c r="F21" i="31"/>
  <c r="F23" i="31" s="1"/>
  <c r="G43" i="31"/>
  <c r="F75" i="31"/>
  <c r="W61" i="31"/>
  <c r="Z3" i="29"/>
  <c r="AB23" i="29"/>
  <c r="I39" i="31"/>
  <c r="F28" i="31"/>
  <c r="N22" i="31"/>
  <c r="X38" i="31"/>
  <c r="X40" i="31" s="1"/>
  <c r="U12" i="29"/>
  <c r="U22" i="31"/>
  <c r="E5" i="31"/>
  <c r="E7" i="31" s="1"/>
  <c r="M27" i="31"/>
  <c r="M29" i="31" s="1"/>
  <c r="U10" i="31"/>
  <c r="H44" i="31"/>
  <c r="H46" i="31" s="1"/>
  <c r="Y28" i="31"/>
  <c r="L9" i="31"/>
  <c r="C42" i="31"/>
  <c r="K58" i="31"/>
  <c r="S55" i="31"/>
  <c r="E59" i="31"/>
  <c r="V10" i="29"/>
  <c r="N59" i="31"/>
  <c r="M54" i="31"/>
  <c r="M56" i="31" s="1"/>
  <c r="Q61" i="31"/>
  <c r="Q62" i="31" s="1"/>
  <c r="P11" i="31"/>
  <c r="P13" i="31" s="1"/>
  <c r="U11" i="29"/>
  <c r="T27" i="31"/>
  <c r="T29" i="31" s="1"/>
  <c r="I25" i="31"/>
  <c r="G15" i="31"/>
  <c r="F5" i="31"/>
  <c r="F7" i="31" s="1"/>
  <c r="K12" i="31"/>
  <c r="K13" i="31" s="1"/>
  <c r="C45" i="31"/>
  <c r="Y27" i="31"/>
  <c r="Y29" i="31" s="1"/>
  <c r="S38" i="31"/>
  <c r="S40" i="31" s="1"/>
  <c r="P31" i="31"/>
  <c r="C11" i="31"/>
  <c r="C13" i="31" s="1"/>
  <c r="C58" i="31"/>
  <c r="O15" i="31"/>
  <c r="G74" i="31"/>
  <c r="I12" i="31"/>
  <c r="I13" i="31" s="1"/>
  <c r="AB16" i="29"/>
  <c r="P59" i="31"/>
  <c r="W54" i="31"/>
  <c r="W56" i="31" s="1"/>
  <c r="F55" i="31"/>
  <c r="D71" i="31"/>
  <c r="C27" i="31"/>
  <c r="C29" i="31" s="1"/>
  <c r="D75" i="31"/>
  <c r="O11" i="31"/>
  <c r="O13" i="31" s="1"/>
  <c r="U6" i="29"/>
  <c r="W5" i="31"/>
  <c r="W7" i="31" s="1"/>
  <c r="G42" i="31"/>
  <c r="T61" i="31"/>
  <c r="I44" i="31"/>
  <c r="I46" i="31" s="1"/>
  <c r="G28" i="31"/>
  <c r="C39" i="31"/>
  <c r="D10" i="31"/>
  <c r="M39" i="31"/>
  <c r="Q5" i="31"/>
  <c r="Q7" i="31" s="1"/>
  <c r="F31" i="31"/>
  <c r="O64" i="31"/>
  <c r="N9" i="31"/>
  <c r="G76" i="31"/>
  <c r="G78" i="31" s="1"/>
  <c r="G9" i="31"/>
  <c r="I42" i="31"/>
  <c r="G39" i="31"/>
  <c r="O58" i="31"/>
  <c r="U26" i="31"/>
  <c r="F11" i="31"/>
  <c r="F13" i="31" s="1"/>
  <c r="Y11" i="29"/>
  <c r="I61" i="31"/>
  <c r="F71" i="31"/>
  <c r="F72" i="31" s="1"/>
  <c r="AB15" i="29"/>
  <c r="P38" i="31"/>
  <c r="P40" i="31" s="1"/>
  <c r="L15" i="31"/>
  <c r="H64" i="31"/>
  <c r="X28" i="31"/>
  <c r="Y5" i="31"/>
  <c r="Y7" i="31" s="1"/>
  <c r="W20" i="29"/>
  <c r="X20" i="29" s="1"/>
  <c r="AB24" i="29"/>
  <c r="S45" i="31"/>
  <c r="D77" i="31"/>
  <c r="W10" i="29"/>
  <c r="X10" i="29" s="1"/>
  <c r="U39" i="31"/>
  <c r="I9" i="31"/>
  <c r="F43" i="31"/>
  <c r="S48" i="31"/>
  <c r="AB20" i="29"/>
  <c r="I28" i="31"/>
  <c r="D48" i="31"/>
  <c r="AB7" i="29"/>
  <c r="I15" i="31"/>
  <c r="P61" i="31"/>
  <c r="W15" i="31"/>
  <c r="E21" i="31"/>
  <c r="E23" i="31" s="1"/>
  <c r="F48" i="31"/>
  <c r="V23" i="29"/>
  <c r="W25" i="29"/>
  <c r="X25" i="29" s="1"/>
  <c r="X22" i="31"/>
  <c r="V42" i="31"/>
  <c r="Y39" i="31"/>
  <c r="Y40" i="31" s="1"/>
  <c r="Z18" i="29"/>
  <c r="L64" i="31"/>
  <c r="E25" i="31"/>
  <c r="Y25" i="31"/>
  <c r="K44" i="31"/>
  <c r="K46" i="31" s="1"/>
  <c r="T44" i="31"/>
  <c r="T46" i="31" s="1"/>
  <c r="L48" i="31"/>
  <c r="Y45" i="31"/>
  <c r="T5" i="31"/>
  <c r="T7" i="31" s="1"/>
  <c r="X11" i="31"/>
  <c r="X13" i="31" s="1"/>
  <c r="Y6" i="29"/>
  <c r="S88" i="16"/>
  <c r="S82" i="16"/>
  <c r="S83" i="16"/>
  <c r="R43" i="16"/>
  <c r="R37" i="16"/>
  <c r="R40" i="16"/>
  <c r="S74" i="16"/>
  <c r="S89" i="16"/>
  <c r="R26" i="16"/>
  <c r="S92" i="16"/>
  <c r="S68" i="16"/>
  <c r="S66" i="16"/>
  <c r="R22" i="16"/>
  <c r="R47" i="16"/>
  <c r="R24" i="16"/>
  <c r="S54" i="16"/>
  <c r="S99" i="16"/>
  <c r="S80" i="16"/>
  <c r="S86" i="16"/>
  <c r="S59" i="16"/>
  <c r="S91" i="16"/>
  <c r="R45" i="16"/>
  <c r="R28" i="16"/>
  <c r="S75" i="16"/>
  <c r="R27" i="16"/>
  <c r="R21" i="17"/>
  <c r="S62" i="17"/>
  <c r="S97" i="17"/>
  <c r="S88" i="17"/>
  <c r="R47" i="17"/>
  <c r="S84" i="17"/>
  <c r="R36" i="17"/>
  <c r="R34" i="17"/>
  <c r="S80" i="17"/>
  <c r="R46" i="17"/>
  <c r="R27" i="17"/>
  <c r="R45" i="17"/>
  <c r="R25" i="17"/>
  <c r="S73" i="17"/>
  <c r="R40" i="17"/>
  <c r="S76" i="17"/>
  <c r="S70" i="17"/>
  <c r="S63" i="17"/>
  <c r="R22" i="17"/>
  <c r="S96" i="17"/>
  <c r="R28" i="17"/>
  <c r="R39" i="17"/>
  <c r="S89" i="17"/>
  <c r="S99" i="17"/>
  <c r="R21" i="18"/>
  <c r="R25" i="18"/>
  <c r="S94" i="18"/>
  <c r="R24" i="18"/>
  <c r="S87" i="18"/>
  <c r="S79" i="18"/>
  <c r="R36" i="18"/>
  <c r="S77" i="18"/>
  <c r="R26" i="18"/>
  <c r="R46" i="18"/>
  <c r="S69" i="18"/>
  <c r="S67" i="18"/>
  <c r="R23" i="18"/>
  <c r="R29" i="18"/>
  <c r="S99" i="18"/>
  <c r="S66" i="18"/>
  <c r="R43" i="18"/>
  <c r="R44" i="18"/>
  <c r="S80" i="18"/>
  <c r="R41" i="18"/>
  <c r="S96" i="18"/>
  <c r="S101" i="18"/>
  <c r="R34" i="18"/>
  <c r="R22" i="18"/>
  <c r="S76" i="19"/>
  <c r="R38" i="19"/>
  <c r="S87" i="19"/>
  <c r="R43" i="19"/>
  <c r="S54" i="19"/>
  <c r="S102" i="19"/>
  <c r="S101" i="19"/>
  <c r="R36" i="19"/>
  <c r="S69" i="19"/>
  <c r="S59" i="19"/>
  <c r="S63" i="19"/>
  <c r="S55" i="19"/>
  <c r="S70" i="19"/>
  <c r="R44" i="19"/>
  <c r="S77" i="19"/>
  <c r="S79" i="19"/>
  <c r="S91" i="19"/>
  <c r="R30" i="19"/>
  <c r="S88" i="19"/>
  <c r="S95" i="19"/>
  <c r="S71" i="19"/>
  <c r="S92" i="19"/>
  <c r="S83" i="19"/>
  <c r="S56" i="19"/>
  <c r="S62" i="19"/>
  <c r="R42" i="20"/>
  <c r="S56" i="20"/>
  <c r="R31" i="20"/>
  <c r="S99" i="20"/>
  <c r="S75" i="20"/>
  <c r="S55" i="20"/>
  <c r="S57" i="20"/>
  <c r="R32" i="20"/>
  <c r="S87" i="20"/>
  <c r="S81" i="20"/>
  <c r="S88" i="20"/>
  <c r="S84" i="20"/>
  <c r="S71" i="20"/>
  <c r="S65" i="20"/>
  <c r="S77" i="20"/>
  <c r="R34" i="20"/>
  <c r="S74" i="20"/>
  <c r="S61" i="20"/>
  <c r="S93" i="20"/>
  <c r="S66" i="20"/>
  <c r="S80" i="20"/>
  <c r="S59" i="20"/>
  <c r="R33" i="20"/>
  <c r="S64" i="20"/>
  <c r="R26" i="21"/>
  <c r="R21" i="21"/>
  <c r="S80" i="21"/>
  <c r="S65" i="21"/>
  <c r="R43" i="21"/>
  <c r="R30" i="21"/>
  <c r="S57" i="21"/>
  <c r="S70" i="21"/>
  <c r="S96" i="21"/>
  <c r="R32" i="21"/>
  <c r="S69" i="21"/>
  <c r="R37" i="21"/>
  <c r="S79" i="21"/>
  <c r="S99" i="21"/>
  <c r="R42" i="21"/>
  <c r="R39" i="21"/>
  <c r="S74" i="21"/>
  <c r="S76" i="21"/>
  <c r="R40" i="21"/>
  <c r="S56" i="21"/>
  <c r="R38" i="21"/>
  <c r="R46" i="21"/>
  <c r="R29" i="21"/>
  <c r="R25" i="21"/>
  <c r="S90" i="22"/>
  <c r="R44" i="22"/>
  <c r="S61" i="22"/>
  <c r="R23" i="22"/>
  <c r="R26" i="22"/>
  <c r="R24" i="22"/>
  <c r="R28" i="22"/>
  <c r="S69" i="22"/>
  <c r="R42" i="22"/>
  <c r="R35" i="22"/>
  <c r="S95" i="22"/>
  <c r="S54" i="22"/>
  <c r="R33" i="22"/>
  <c r="R45" i="22"/>
  <c r="S98" i="22"/>
  <c r="R21" i="22"/>
  <c r="S62" i="22"/>
  <c r="S55" i="22"/>
  <c r="S82" i="22"/>
  <c r="S97" i="22"/>
  <c r="R27" i="22"/>
  <c r="S99" i="22"/>
  <c r="R39" i="22"/>
  <c r="S91" i="22"/>
  <c r="S84" i="22"/>
  <c r="S59" i="23"/>
  <c r="S65" i="23"/>
  <c r="S98" i="23"/>
  <c r="S77" i="23"/>
  <c r="S67" i="23"/>
  <c r="R29" i="23"/>
  <c r="S89" i="23"/>
  <c r="R23" i="23"/>
  <c r="S92" i="23"/>
  <c r="S91" i="23"/>
  <c r="R38" i="23"/>
  <c r="S81" i="23"/>
  <c r="S66" i="23"/>
  <c r="S61" i="23"/>
  <c r="S99" i="23"/>
  <c r="R43" i="23"/>
  <c r="R28" i="23"/>
  <c r="S86" i="23"/>
  <c r="S88" i="23"/>
  <c r="S101" i="23"/>
  <c r="S93" i="23"/>
  <c r="S84" i="23"/>
  <c r="R22" i="23"/>
  <c r="S68" i="23"/>
  <c r="S90" i="23"/>
  <c r="S57" i="24"/>
  <c r="R32" i="24"/>
  <c r="S73" i="24"/>
  <c r="S61" i="24"/>
  <c r="S72" i="24"/>
  <c r="S63" i="24"/>
  <c r="S65" i="24"/>
  <c r="R28" i="24"/>
  <c r="R38" i="24"/>
  <c r="R21" i="24"/>
  <c r="R36" i="24"/>
  <c r="R39" i="24"/>
  <c r="R30" i="24"/>
  <c r="S76" i="24"/>
  <c r="R45" i="24"/>
  <c r="R33" i="24"/>
  <c r="R43" i="24"/>
  <c r="R37" i="24"/>
  <c r="S67" i="24"/>
  <c r="R24" i="24"/>
  <c r="S66" i="24"/>
  <c r="S99" i="24"/>
  <c r="S87" i="24"/>
  <c r="R23" i="24"/>
  <c r="R41" i="25"/>
  <c r="S58" i="25"/>
  <c r="S76" i="25"/>
  <c r="R47" i="25"/>
  <c r="S55" i="25"/>
  <c r="R31" i="25"/>
  <c r="S54" i="25"/>
  <c r="S78" i="25"/>
  <c r="R29" i="25"/>
  <c r="S90" i="25"/>
  <c r="S93" i="25"/>
  <c r="S94" i="25"/>
  <c r="R37" i="25"/>
  <c r="R43" i="25"/>
  <c r="S88" i="25"/>
  <c r="S91" i="25"/>
  <c r="R40" i="25"/>
  <c r="S59" i="25"/>
  <c r="S101" i="25"/>
  <c r="S65" i="25"/>
  <c r="S79" i="25"/>
  <c r="S86" i="25"/>
  <c r="R27" i="25"/>
  <c r="S62" i="25"/>
  <c r="S58" i="26"/>
  <c r="S73" i="26"/>
  <c r="S76" i="26"/>
  <c r="R40" i="26"/>
  <c r="S75" i="26"/>
  <c r="S101" i="16"/>
  <c r="R29" i="16"/>
  <c r="S65" i="16"/>
  <c r="S67" i="16"/>
  <c r="R36" i="16"/>
  <c r="R30" i="16"/>
  <c r="R33" i="16"/>
  <c r="R34" i="16"/>
  <c r="S56" i="16"/>
  <c r="R38" i="16"/>
  <c r="S87" i="16"/>
  <c r="R39" i="16"/>
  <c r="R23" i="16"/>
  <c r="S70" i="16"/>
  <c r="S69" i="16"/>
  <c r="S73" i="16"/>
  <c r="R21" i="16"/>
  <c r="R41" i="16"/>
  <c r="S96" i="16"/>
  <c r="S93" i="16"/>
  <c r="S79" i="16"/>
  <c r="S77" i="16"/>
  <c r="S81" i="16"/>
  <c r="R46" i="16"/>
  <c r="S69" i="17"/>
  <c r="R29" i="17"/>
  <c r="R44" i="17"/>
  <c r="S59" i="17"/>
  <c r="S90" i="17"/>
  <c r="S56" i="17"/>
  <c r="R43" i="17"/>
  <c r="S77" i="17"/>
  <c r="S75" i="17"/>
  <c r="S101" i="17"/>
  <c r="S83" i="17"/>
  <c r="S71" i="17"/>
  <c r="S68" i="17"/>
  <c r="R26" i="17"/>
  <c r="R42" i="17"/>
  <c r="S64" i="17"/>
  <c r="S87" i="17"/>
  <c r="R33" i="17"/>
  <c r="S93" i="17"/>
  <c r="S78" i="17"/>
  <c r="S58" i="17"/>
  <c r="R35" i="17"/>
  <c r="S94" i="17"/>
  <c r="S81" i="17"/>
  <c r="S91" i="17"/>
  <c r="S70" i="18"/>
  <c r="R45" i="18"/>
  <c r="S81" i="18"/>
  <c r="S86" i="18"/>
  <c r="S64" i="18"/>
  <c r="S65" i="18"/>
  <c r="S102" i="18"/>
  <c r="S95" i="18"/>
  <c r="R35" i="18"/>
  <c r="S91" i="18"/>
  <c r="S84" i="18"/>
  <c r="R39" i="18"/>
  <c r="R40" i="18"/>
  <c r="S89" i="18"/>
  <c r="R28" i="18"/>
  <c r="S75" i="18"/>
  <c r="S58" i="18"/>
  <c r="S83" i="18"/>
  <c r="S92" i="18"/>
  <c r="S63" i="18"/>
  <c r="S98" i="18"/>
  <c r="R47" i="18"/>
  <c r="R32" i="18"/>
  <c r="S73" i="18"/>
  <c r="R39" i="19"/>
  <c r="S82" i="19"/>
  <c r="R33" i="19"/>
  <c r="S57" i="19"/>
  <c r="R29" i="19"/>
  <c r="S67" i="19"/>
  <c r="S99" i="19"/>
  <c r="R35" i="19"/>
  <c r="S93" i="19"/>
  <c r="S65" i="19"/>
  <c r="S66" i="19"/>
  <c r="R46" i="19"/>
  <c r="R26" i="19"/>
  <c r="R32" i="19"/>
  <c r="S72" i="19"/>
  <c r="S98" i="19"/>
  <c r="S90" i="19"/>
  <c r="R23" i="19"/>
  <c r="S64" i="19"/>
  <c r="S73" i="19"/>
  <c r="R31" i="19"/>
  <c r="R25" i="19"/>
  <c r="S78" i="19"/>
  <c r="S89" i="19"/>
  <c r="S86" i="20"/>
  <c r="R39" i="20"/>
  <c r="S92" i="20"/>
  <c r="S89" i="20"/>
  <c r="R45" i="20"/>
  <c r="S78" i="20"/>
  <c r="S94" i="20"/>
  <c r="R27" i="20"/>
  <c r="R41" i="20"/>
  <c r="R26" i="20"/>
  <c r="R29" i="20"/>
  <c r="S69" i="20"/>
  <c r="R35" i="20"/>
  <c r="S102" i="20"/>
  <c r="S62" i="20"/>
  <c r="R44" i="20"/>
  <c r="S54" i="20"/>
  <c r="S70" i="20"/>
  <c r="R47" i="20"/>
  <c r="S83" i="20"/>
  <c r="S82" i="20"/>
  <c r="R40" i="20"/>
  <c r="S73" i="20"/>
  <c r="R43" i="20"/>
  <c r="S79" i="20"/>
  <c r="R31" i="21"/>
  <c r="S67" i="21"/>
  <c r="S102" i="21"/>
  <c r="S77" i="21"/>
  <c r="R35" i="21"/>
  <c r="R22" i="21"/>
  <c r="S64" i="21"/>
  <c r="S72" i="21"/>
  <c r="R36" i="21"/>
  <c r="S82" i="21"/>
  <c r="S86" i="21"/>
  <c r="R23" i="21"/>
  <c r="S75" i="21"/>
  <c r="S87" i="21"/>
  <c r="R27" i="21"/>
  <c r="S58" i="21"/>
  <c r="S68" i="21"/>
  <c r="S83" i="21"/>
  <c r="R24" i="21"/>
  <c r="S63" i="21"/>
  <c r="R47" i="21"/>
  <c r="S62" i="21"/>
  <c r="S92" i="21"/>
  <c r="S54" i="21"/>
  <c r="S70" i="22"/>
  <c r="S89" i="22"/>
  <c r="S80" i="22"/>
  <c r="S67" i="22"/>
  <c r="R47" i="22"/>
  <c r="S72" i="22"/>
  <c r="S79" i="22"/>
  <c r="R31" i="22"/>
  <c r="R32" i="22"/>
  <c r="S88" i="22"/>
  <c r="R43" i="22"/>
  <c r="S59" i="22"/>
  <c r="S102" i="22"/>
  <c r="S83" i="22"/>
  <c r="S101" i="22"/>
  <c r="R37" i="22"/>
  <c r="R22" i="22"/>
  <c r="R46" i="22"/>
  <c r="S66" i="22"/>
  <c r="R34" i="22"/>
  <c r="R30" i="22"/>
  <c r="S86" i="22"/>
  <c r="R25" i="22"/>
  <c r="R41" i="22"/>
  <c r="R48" i="22"/>
  <c r="S73" i="23"/>
  <c r="S54" i="23"/>
  <c r="R45" i="23"/>
  <c r="S96" i="23"/>
  <c r="R42" i="23"/>
  <c r="S83" i="23"/>
  <c r="S102" i="23"/>
  <c r="S82" i="23"/>
  <c r="S56" i="23"/>
  <c r="S75" i="23"/>
  <c r="R39" i="23"/>
  <c r="R32" i="23"/>
  <c r="S57" i="23"/>
  <c r="R35" i="23"/>
  <c r="S63" i="23"/>
  <c r="R21" i="23"/>
  <c r="R33" i="23"/>
  <c r="S95" i="23"/>
  <c r="S79" i="23"/>
  <c r="R48" i="23"/>
  <c r="S64" i="23"/>
  <c r="R44" i="23"/>
  <c r="S80" i="23"/>
  <c r="R36" i="23"/>
  <c r="S64" i="24"/>
  <c r="S75" i="24"/>
  <c r="R25" i="24"/>
  <c r="R46" i="24"/>
  <c r="S78" i="24"/>
  <c r="S97" i="24"/>
  <c r="R44" i="24"/>
  <c r="S55" i="24"/>
  <c r="S86" i="24"/>
  <c r="S77" i="24"/>
  <c r="S82" i="24"/>
  <c r="R47" i="24"/>
  <c r="R35" i="24"/>
  <c r="S54" i="24"/>
  <c r="S98" i="24"/>
  <c r="S59" i="24"/>
  <c r="R41" i="24"/>
  <c r="S94" i="24"/>
  <c r="S83" i="24"/>
  <c r="S69" i="24"/>
  <c r="S90" i="24"/>
  <c r="S84" i="24"/>
  <c r="S70" i="24"/>
  <c r="S71" i="24"/>
  <c r="S96" i="24"/>
  <c r="S77" i="25"/>
  <c r="R33" i="25"/>
  <c r="S57" i="25"/>
  <c r="S67" i="25"/>
  <c r="S64" i="25"/>
  <c r="R26" i="25"/>
  <c r="R44" i="25"/>
  <c r="S82" i="25"/>
  <c r="R21" i="25"/>
  <c r="S80" i="25"/>
  <c r="S70" i="25"/>
  <c r="R46" i="25"/>
  <c r="S66" i="25"/>
  <c r="R24" i="25"/>
  <c r="S87" i="25"/>
  <c r="R32" i="25"/>
  <c r="S95" i="25"/>
  <c r="R42" i="25"/>
  <c r="S68" i="25"/>
  <c r="R34" i="25"/>
  <c r="S73" i="25"/>
  <c r="S98" i="25"/>
  <c r="R38" i="25"/>
  <c r="S61" i="25"/>
  <c r="S91" i="26"/>
  <c r="R29" i="26"/>
  <c r="R47" i="26"/>
  <c r="S54" i="26"/>
  <c r="S102" i="26"/>
  <c r="S78" i="26"/>
  <c r="S56" i="26"/>
  <c r="R27" i="26"/>
  <c r="S55" i="26"/>
  <c r="R41" i="26"/>
  <c r="S83" i="26"/>
  <c r="S70" i="26"/>
  <c r="S63" i="26"/>
  <c r="R42" i="26"/>
  <c r="S68" i="26"/>
  <c r="R28" i="26"/>
  <c r="S72" i="26"/>
  <c r="R31" i="16"/>
  <c r="S94" i="16"/>
  <c r="S98" i="16"/>
  <c r="R25" i="16"/>
  <c r="R35" i="16"/>
  <c r="S95" i="16"/>
  <c r="S72" i="16"/>
  <c r="S58" i="16"/>
  <c r="R44" i="16"/>
  <c r="S64" i="16"/>
  <c r="S97" i="16"/>
  <c r="S63" i="16"/>
  <c r="S55" i="16"/>
  <c r="S62" i="16"/>
  <c r="R32" i="16"/>
  <c r="S102" i="16"/>
  <c r="S78" i="16"/>
  <c r="S90" i="16"/>
  <c r="S57" i="16"/>
  <c r="S84" i="16"/>
  <c r="S61" i="16"/>
  <c r="S71" i="16"/>
  <c r="R42" i="16"/>
  <c r="S76" i="16"/>
  <c r="R23" i="17"/>
  <c r="S54" i="17"/>
  <c r="S72" i="17"/>
  <c r="R32" i="17"/>
  <c r="S66" i="17"/>
  <c r="R30" i="17"/>
  <c r="S98" i="17"/>
  <c r="R24" i="17"/>
  <c r="S102" i="17"/>
  <c r="R37" i="17"/>
  <c r="S95" i="17"/>
  <c r="S79" i="17"/>
  <c r="S92" i="17"/>
  <c r="S82" i="17"/>
  <c r="S86" i="17"/>
  <c r="S65" i="17"/>
  <c r="S67" i="17"/>
  <c r="R38" i="17"/>
  <c r="R31" i="17"/>
  <c r="S57" i="17"/>
  <c r="S61" i="17"/>
  <c r="R41" i="17"/>
  <c r="S74" i="17"/>
  <c r="S55" i="17"/>
  <c r="R42" i="18"/>
  <c r="S90" i="18"/>
  <c r="R33" i="18"/>
  <c r="S59" i="18"/>
  <c r="R30" i="18"/>
  <c r="R31" i="18"/>
  <c r="S93" i="18"/>
  <c r="R38" i="18"/>
  <c r="S57" i="18"/>
  <c r="S88" i="18"/>
  <c r="R27" i="18"/>
  <c r="S55" i="18"/>
  <c r="S97" i="18"/>
  <c r="S54" i="18"/>
  <c r="S71" i="18"/>
  <c r="S68" i="18"/>
  <c r="R37" i="18"/>
  <c r="S82" i="18"/>
  <c r="S78" i="18"/>
  <c r="S72" i="18"/>
  <c r="S74" i="18"/>
  <c r="S61" i="18"/>
  <c r="S62" i="18"/>
  <c r="S76" i="18"/>
  <c r="S56" i="18"/>
  <c r="R34" i="19"/>
  <c r="S84" i="19"/>
  <c r="R21" i="19"/>
  <c r="R22" i="19"/>
  <c r="S96" i="19"/>
  <c r="R41" i="19"/>
  <c r="R47" i="19"/>
  <c r="S94" i="19"/>
  <c r="R40" i="19"/>
  <c r="R45" i="19"/>
  <c r="R42" i="19"/>
  <c r="R27" i="19"/>
  <c r="S97" i="19"/>
  <c r="S68" i="19"/>
  <c r="S74" i="19"/>
  <c r="S58" i="19"/>
  <c r="S81" i="19"/>
  <c r="S75" i="19"/>
  <c r="R28" i="19"/>
  <c r="S86" i="19"/>
  <c r="R37" i="19"/>
  <c r="R24" i="19"/>
  <c r="S61" i="19"/>
  <c r="S80" i="19"/>
  <c r="S63" i="20"/>
  <c r="R22" i="20"/>
  <c r="R24" i="20"/>
  <c r="S95" i="20"/>
  <c r="S90" i="20"/>
  <c r="S91" i="20"/>
  <c r="S58" i="20"/>
  <c r="S97" i="20"/>
  <c r="R25" i="20"/>
  <c r="S76" i="20"/>
  <c r="R21" i="20"/>
  <c r="R38" i="20"/>
  <c r="R36" i="20"/>
  <c r="R30" i="20"/>
  <c r="S67" i="20"/>
  <c r="R28" i="20"/>
  <c r="R46" i="20"/>
  <c r="S72" i="20"/>
  <c r="S96" i="20"/>
  <c r="S68" i="20"/>
  <c r="S98" i="20"/>
  <c r="S101" i="20"/>
  <c r="R23" i="20"/>
  <c r="R37" i="20"/>
  <c r="R34" i="21"/>
  <c r="S91" i="21"/>
  <c r="S95" i="21"/>
  <c r="S71" i="21"/>
  <c r="S61" i="21"/>
  <c r="R41" i="21"/>
  <c r="S78" i="21"/>
  <c r="S90" i="21"/>
  <c r="R33" i="21"/>
  <c r="S73" i="21"/>
  <c r="S101" i="21"/>
  <c r="S98" i="21"/>
  <c r="S89" i="21"/>
  <c r="S97" i="21"/>
  <c r="S88" i="21"/>
  <c r="S94" i="21"/>
  <c r="S59" i="21"/>
  <c r="R28" i="21"/>
  <c r="R45" i="21"/>
  <c r="S81" i="21"/>
  <c r="S93" i="21"/>
  <c r="S66" i="21"/>
  <c r="R44" i="21"/>
  <c r="S84" i="21"/>
  <c r="S55" i="21"/>
  <c r="R38" i="22"/>
  <c r="S74" i="22"/>
  <c r="R29" i="22"/>
  <c r="S57" i="22"/>
  <c r="S77" i="22"/>
  <c r="S71" i="22"/>
  <c r="S75" i="22"/>
  <c r="S64" i="22"/>
  <c r="S92" i="22"/>
  <c r="S73" i="22"/>
  <c r="S81" i="22"/>
  <c r="R40" i="22"/>
  <c r="S65" i="22"/>
  <c r="S93" i="22"/>
  <c r="S58" i="22"/>
  <c r="R36" i="22"/>
  <c r="S68" i="22"/>
  <c r="S96" i="22"/>
  <c r="S76" i="22"/>
  <c r="S87" i="22"/>
  <c r="S94" i="22"/>
  <c r="S63" i="22"/>
  <c r="S78" i="22"/>
  <c r="S56" i="22"/>
  <c r="R30" i="23"/>
  <c r="S97" i="23"/>
  <c r="R37" i="23"/>
  <c r="R41" i="23"/>
  <c r="R40" i="23"/>
  <c r="S71" i="23"/>
  <c r="R31" i="23"/>
  <c r="S76" i="23"/>
  <c r="S58" i="23"/>
  <c r="S69" i="23"/>
  <c r="S62" i="23"/>
  <c r="S94" i="23"/>
  <c r="R47" i="23"/>
  <c r="R27" i="23"/>
  <c r="R34" i="23"/>
  <c r="S55" i="23"/>
  <c r="S87" i="23"/>
  <c r="S70" i="23"/>
  <c r="S72" i="23"/>
  <c r="R26" i="23"/>
  <c r="R46" i="23"/>
  <c r="R24" i="23"/>
  <c r="S74" i="23"/>
  <c r="R25" i="23"/>
  <c r="S78" i="23"/>
  <c r="S58" i="24"/>
  <c r="S91" i="24"/>
  <c r="R27" i="24"/>
  <c r="S88" i="24"/>
  <c r="S93" i="24"/>
  <c r="S80" i="24"/>
  <c r="S62" i="24"/>
  <c r="S79" i="24"/>
  <c r="S74" i="24"/>
  <c r="R40" i="24"/>
  <c r="R34" i="24"/>
  <c r="S56" i="24"/>
  <c r="S101" i="24"/>
  <c r="S102" i="24"/>
  <c r="R29" i="24"/>
  <c r="R26" i="24"/>
  <c r="R22" i="24"/>
  <c r="S92" i="24"/>
  <c r="S89" i="24"/>
  <c r="S68" i="24"/>
  <c r="R42" i="24"/>
  <c r="R31" i="24"/>
  <c r="S95" i="24"/>
  <c r="S81" i="24"/>
  <c r="S72" i="25"/>
  <c r="R28" i="25"/>
  <c r="S81" i="25"/>
  <c r="R22" i="25"/>
  <c r="R30" i="25"/>
  <c r="R39" i="25"/>
  <c r="S83" i="25"/>
  <c r="R36" i="25"/>
  <c r="S97" i="25"/>
  <c r="R23" i="25"/>
  <c r="S56" i="25"/>
  <c r="S63" i="25"/>
  <c r="S92" i="25"/>
  <c r="S74" i="25"/>
  <c r="S96" i="25"/>
  <c r="R35" i="25"/>
  <c r="S75" i="25"/>
  <c r="S69" i="25"/>
  <c r="R25" i="25"/>
  <c r="S102" i="25"/>
  <c r="R45" i="25"/>
  <c r="S84" i="25"/>
  <c r="S71" i="25"/>
  <c r="S99" i="25"/>
  <c r="S89" i="25"/>
  <c r="S84" i="26"/>
  <c r="S87" i="26"/>
  <c r="R33" i="26"/>
  <c r="S62" i="26"/>
  <c r="S101" i="26"/>
  <c r="R38" i="26"/>
  <c r="R37" i="26"/>
  <c r="S95" i="26"/>
  <c r="R24" i="26"/>
  <c r="R23" i="26"/>
  <c r="S67" i="26"/>
  <c r="S64" i="26"/>
  <c r="S90" i="26"/>
  <c r="S57" i="26"/>
  <c r="R45" i="26"/>
  <c r="R35" i="26"/>
  <c r="S99" i="26"/>
  <c r="R36" i="26"/>
  <c r="R43" i="26"/>
  <c r="R39" i="26"/>
  <c r="R34" i="27"/>
  <c r="R41" i="27"/>
  <c r="R30" i="27"/>
  <c r="S77" i="27"/>
  <c r="S92" i="27"/>
  <c r="S58" i="27"/>
  <c r="R42" i="27"/>
  <c r="R28" i="27"/>
  <c r="S68" i="27"/>
  <c r="S59" i="27"/>
  <c r="S80" i="27"/>
  <c r="S84" i="27"/>
  <c r="R44" i="27"/>
  <c r="S89" i="27"/>
  <c r="S75" i="27"/>
  <c r="R37" i="27"/>
  <c r="S69" i="27"/>
  <c r="R27" i="27"/>
  <c r="S73" i="27"/>
  <c r="S72" i="27"/>
  <c r="R46" i="27"/>
  <c r="R23" i="27"/>
  <c r="S96" i="27"/>
  <c r="S95" i="27"/>
  <c r="S61" i="27"/>
  <c r="S59" i="26"/>
  <c r="S93" i="26"/>
  <c r="R34" i="26"/>
  <c r="S71" i="26"/>
  <c r="R32" i="26"/>
  <c r="S92" i="26"/>
  <c r="S61" i="26"/>
  <c r="S65" i="26"/>
  <c r="S74" i="26"/>
  <c r="S96" i="26"/>
  <c r="S89" i="26"/>
  <c r="S88" i="26"/>
  <c r="R26" i="26"/>
  <c r="S86" i="26"/>
  <c r="S82" i="26"/>
  <c r="S98" i="26"/>
  <c r="S97" i="27"/>
  <c r="R45" i="27"/>
  <c r="S81" i="27"/>
  <c r="S70" i="27"/>
  <c r="R36" i="27"/>
  <c r="S94" i="27"/>
  <c r="R35" i="27"/>
  <c r="R24" i="27"/>
  <c r="S102" i="27"/>
  <c r="S79" i="27"/>
  <c r="S90" i="27"/>
  <c r="S93" i="27"/>
  <c r="S71" i="27"/>
  <c r="S98" i="27"/>
  <c r="R32" i="27"/>
  <c r="S66" i="27"/>
  <c r="S56" i="27"/>
  <c r="S55" i="27"/>
  <c r="R25" i="27"/>
  <c r="S88" i="27"/>
  <c r="S62" i="27"/>
  <c r="S57" i="27"/>
  <c r="R38" i="27"/>
  <c r="S86" i="27"/>
  <c r="R21" i="26"/>
  <c r="S77" i="26"/>
  <c r="R22" i="26"/>
  <c r="S69" i="26"/>
  <c r="S94" i="26"/>
  <c r="R31" i="26"/>
  <c r="S97" i="26"/>
  <c r="S79" i="26"/>
  <c r="R30" i="26"/>
  <c r="R25" i="26"/>
  <c r="S66" i="26"/>
  <c r="R44" i="26"/>
  <c r="S81" i="26"/>
  <c r="R46" i="26"/>
  <c r="S80" i="26"/>
  <c r="S83" i="27"/>
  <c r="S74" i="27"/>
  <c r="R39" i="27"/>
  <c r="S91" i="27"/>
  <c r="S54" i="27"/>
  <c r="S76" i="27"/>
  <c r="S64" i="27"/>
  <c r="R33" i="27"/>
  <c r="S65" i="27"/>
  <c r="R29" i="27"/>
  <c r="S101" i="27"/>
  <c r="R40" i="27"/>
  <c r="S67" i="27"/>
  <c r="R47" i="27"/>
  <c r="R21" i="27"/>
  <c r="S63" i="27"/>
  <c r="S87" i="27"/>
  <c r="R22" i="27"/>
  <c r="S82" i="27"/>
  <c r="R43" i="27"/>
  <c r="R31" i="27"/>
  <c r="R26" i="27"/>
  <c r="S99" i="27"/>
  <c r="S78" i="27"/>
  <c r="D72" i="31" l="1"/>
  <c r="G40" i="31"/>
  <c r="U23" i="31"/>
  <c r="X6" i="29"/>
  <c r="U56" i="31"/>
  <c r="V40" i="31"/>
  <c r="D62" i="31"/>
  <c r="Q46" i="31"/>
  <c r="Y13" i="31"/>
  <c r="X23" i="29"/>
  <c r="X8" i="29"/>
  <c r="D78" i="31"/>
  <c r="U7" i="31"/>
  <c r="I78" i="31"/>
  <c r="X23" i="31"/>
  <c r="S46" i="31"/>
  <c r="X26" i="29"/>
  <c r="X11" i="29"/>
  <c r="K7" i="31"/>
  <c r="Q56" i="31"/>
  <c r="D46" i="31"/>
  <c r="G56" i="31"/>
  <c r="D40" i="31"/>
  <c r="D56" i="31"/>
  <c r="N62" i="31"/>
  <c r="X12" i="29"/>
  <c r="N23" i="31"/>
  <c r="I40" i="31"/>
  <c r="F56" i="31"/>
  <c r="K62" i="31"/>
  <c r="H40" i="31"/>
  <c r="O56" i="31"/>
  <c r="U62" i="31"/>
  <c r="P62" i="31"/>
  <c r="X7" i="29"/>
  <c r="Y62" i="31"/>
  <c r="P56" i="31"/>
  <c r="X4" i="29"/>
  <c r="F78" i="31"/>
  <c r="V23" i="31"/>
  <c r="E72" i="31"/>
  <c r="X9" i="29"/>
  <c r="L46" i="31"/>
  <c r="C56" i="31"/>
  <c r="O29" i="31"/>
  <c r="C40" i="31"/>
  <c r="W13" i="31"/>
  <c r="X22" i="29"/>
  <c r="G23" i="31"/>
  <c r="H7" i="31"/>
  <c r="L29" i="31"/>
  <c r="T23" i="31"/>
  <c r="V46" i="31"/>
  <c r="AB32" i="29"/>
  <c r="Y46" i="31"/>
  <c r="E56" i="31"/>
  <c r="F29" i="31"/>
  <c r="U40" i="31"/>
  <c r="I29" i="31"/>
  <c r="X29" i="31"/>
  <c r="S7" i="31"/>
  <c r="M7" i="31"/>
  <c r="C72" i="31"/>
  <c r="X14" i="29"/>
  <c r="W62" i="31"/>
  <c r="M40" i="31"/>
  <c r="I62" i="31"/>
  <c r="X16" i="29"/>
  <c r="T62" i="31"/>
  <c r="V56" i="31"/>
  <c r="O7" i="31"/>
  <c r="Q29" i="31"/>
  <c r="I7" i="31"/>
  <c r="X19" i="29"/>
  <c r="X3" i="29"/>
  <c r="C46" i="31"/>
  <c r="C23" i="31"/>
  <c r="L7" i="31"/>
  <c r="V7" i="31"/>
  <c r="X18" i="29"/>
  <c r="D23" i="31"/>
  <c r="X5" i="29"/>
  <c r="M46" i="31"/>
  <c r="O23" i="31"/>
  <c r="H56" i="31"/>
  <c r="V62" i="31"/>
  <c r="N46" i="31"/>
  <c r="S56" i="31"/>
  <c r="X56" i="31"/>
  <c r="K23" i="31"/>
  <c r="W29" i="31"/>
  <c r="C62" i="31"/>
  <c r="D29" i="31"/>
  <c r="G29" i="31"/>
  <c r="U29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tc={5A8B8B63-47AC-4DFF-AEBA-5BB3177B4978}</author>
    <author>tc={D5C6B2CE-98E4-4A20-BD8A-90E7E36D71A7}</author>
    <author>tc={32244544-1FC0-46B1-8E17-40291B7AA830}</author>
  </authors>
  <commentList>
    <comment ref="L69" authorId="0" shapeId="0" xr:uid="{5A8B8B63-47AC-4DFF-AEBA-5BB3177B4978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 with rita 15/5 &amp; 17/5</t>
      </text>
    </comment>
    <comment ref="K73" authorId="1" shapeId="0" xr:uid="{D5C6B2CE-98E4-4A20-BD8A-90E7E36D71A7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 with leila 12/5  &amp; 16/5</t>
      </text>
    </comment>
    <comment ref="I75" authorId="2" shapeId="0" xr:uid="{32244544-1FC0-46B1-8E17-40291B7AA830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 with efi and pam 14/5 &amp; 29/5 approved by adam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tc={61A1EC3A-B388-48BC-BBBD-28D75FB285F9}</author>
  </authors>
  <commentList>
    <comment ref="I35" authorId="0" shapeId="0" xr:uid="{00000000-0006-0000-02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Pay AM shift - to be worked 17/7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tc={385171A2-92E2-44CB-B315-99B0E010BFAE}</author>
  </authors>
  <commentList>
    <comment ref="J70" authorId="0" shapeId="0" xr:uid="{385171A2-92E2-44CB-B315-99B0E010BFAE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 with pam 14/5  &amp; 29/5 adam approved.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tc={A95CA098-0C36-4F05-A5DA-225ADB8AA537}</author>
  </authors>
  <commentList>
    <comment ref="H28" authorId="0" shapeId="0" xr:uid="{A95CA098-0C36-4F05-A5DA-225ADB8AA537}">
      <text>
        <t>[Threaded comment]
Your version of Excel allows you to read this threaded comment; however, any edits to it will get removed if the file is opened in a newer version of Excel. Learn more: https://go.microsoft.com/fwlink/?linkid=870924
Comment:
    do not add to UKG - to be paid 2/7 (week 9)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tc={3BA0B7D9-2D52-4624-827F-F59636DF727E}</author>
  </authors>
  <commentList>
    <comment ref="H35" authorId="0" shapeId="0" xr:uid="{00000000-0006-0000-06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do not add to UKG - Shift paid 17/6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tc={E6569F91-E144-47AB-A2BA-188EB7AE79F8}</author>
  </authors>
  <commentList>
    <comment ref="I28" authorId="0" shapeId="0" xr:uid="{E6569F91-E144-47AB-A2BA-188EB7AE79F8}">
      <text>
        <t>[Threaded comment]
Your version of Excel allows you to read this threaded comment; however, any edits to it will get removed if the file is opened in a newer version of Excel. Learn more: https://go.microsoft.com/fwlink/?linkid=870924
Comment:
    Pay PM - worked 10/6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<sst xmlns="http://schemas.openxmlformats.org/spreadsheetml/2006/main" count="9162" uniqueCount="212">
  <si>
    <t>Role  (uploaded)</t>
  </si>
  <si>
    <t>Pager No (uploaded)</t>
  </si>
  <si>
    <t>Cost Centre  (Not Used)</t>
  </si>
  <si>
    <t>Name  (Not Used)</t>
  </si>
  <si>
    <t>Emp No</t>
  </si>
  <si>
    <t>Monday</t>
  </si>
  <si>
    <t>Tuesday</t>
  </si>
  <si>
    <t>Wednesday</t>
  </si>
  <si>
    <t>Thursday</t>
  </si>
  <si>
    <t>Friday</t>
  </si>
  <si>
    <t>Saturday</t>
  </si>
  <si>
    <t>Sunday</t>
  </si>
  <si>
    <t>ONCALL  Workrule  Code</t>
  </si>
  <si>
    <t>Date</t>
  </si>
  <si>
    <t>Week</t>
  </si>
  <si>
    <t>PAY PERIOD WEEK</t>
  </si>
  <si>
    <t>PAEDIATRIC EMERGENCY DEPARTMENT ROSTER - Term 2 2026</t>
  </si>
  <si>
    <t>AM SMS</t>
  </si>
  <si>
    <t>AM JMS</t>
  </si>
  <si>
    <t>AM Total</t>
  </si>
  <si>
    <t>SMS Swing</t>
  </si>
  <si>
    <t>JMS Swing</t>
  </si>
  <si>
    <t>PM SMS</t>
  </si>
  <si>
    <t>PM JMS</t>
  </si>
  <si>
    <t>PM Total</t>
  </si>
  <si>
    <t>Night</t>
  </si>
  <si>
    <t>Name</t>
  </si>
  <si>
    <t>Weekly</t>
  </si>
  <si>
    <t xml:space="preserve"> Leave</t>
  </si>
  <si>
    <t>Total</t>
  </si>
  <si>
    <t xml:space="preserve">PP </t>
  </si>
  <si>
    <t xml:space="preserve">PP Contracted </t>
  </si>
  <si>
    <t>(shifts)</t>
  </si>
  <si>
    <t>AM</t>
  </si>
  <si>
    <t>PM</t>
  </si>
  <si>
    <t>CS</t>
  </si>
  <si>
    <t>Swing</t>
  </si>
  <si>
    <t>Weekend</t>
  </si>
  <si>
    <t>Staff Specialist</t>
  </si>
  <si>
    <t>Paediatric Emergency Consultant</t>
  </si>
  <si>
    <t>Dr Adam West</t>
  </si>
  <si>
    <t>0800-1730 CS</t>
  </si>
  <si>
    <t>1430-0000</t>
  </si>
  <si>
    <t>Dr Toby VanHest</t>
  </si>
  <si>
    <t>0800-1730</t>
  </si>
  <si>
    <t>Dr Bob Seith</t>
  </si>
  <si>
    <t>0800-1730 DEMT</t>
  </si>
  <si>
    <t>1430-2300</t>
  </si>
  <si>
    <t>0800-1730CS</t>
  </si>
  <si>
    <t>Dr Simon Craig</t>
  </si>
  <si>
    <t>SAB/L</t>
  </si>
  <si>
    <t>Dr Celia Bagshaw</t>
  </si>
  <si>
    <t>Dr Adnan Bilgrami</t>
  </si>
  <si>
    <t>Dr Preeti Ramaswamy</t>
  </si>
  <si>
    <t>1500-0030</t>
  </si>
  <si>
    <t>Dr Erin Mills</t>
  </si>
  <si>
    <t>Dr Stella Robinson</t>
  </si>
  <si>
    <t>Dr Bev Thompson</t>
  </si>
  <si>
    <t>Dr John Unwin</t>
  </si>
  <si>
    <t>Dr Siri Samudrala</t>
  </si>
  <si>
    <t>AL</t>
  </si>
  <si>
    <t>Dr Tessa Smith</t>
  </si>
  <si>
    <t>Dr Brad Dent</t>
  </si>
  <si>
    <t>0800-1730 OCS</t>
  </si>
  <si>
    <t>Dr Marjolein Slaa</t>
  </si>
  <si>
    <t>S/L AM</t>
  </si>
  <si>
    <t>Dr Natalie Hood</t>
  </si>
  <si>
    <t>Dr Michael Coman</t>
  </si>
  <si>
    <t>Dr Andrew Hardy</t>
  </si>
  <si>
    <t>CME/L</t>
  </si>
  <si>
    <t>ME/L</t>
  </si>
  <si>
    <t>Dr Gargi Kanabar</t>
  </si>
  <si>
    <t>Dr Mandy Parr</t>
  </si>
  <si>
    <t>Dr Tecwyn Davies</t>
  </si>
  <si>
    <t>Dr Patrick Finn</t>
  </si>
  <si>
    <t>PAT/L</t>
  </si>
  <si>
    <t>Dr Chris Fong</t>
  </si>
  <si>
    <t>Dr Matthew Tang</t>
  </si>
  <si>
    <t>Dr Niki Talic</t>
  </si>
  <si>
    <t>Dr Deb Morawetz</t>
  </si>
  <si>
    <t>Dr Priya Jeyaveerasingam</t>
  </si>
  <si>
    <t>Locum</t>
  </si>
  <si>
    <t>ONCALL 0000-0800</t>
  </si>
  <si>
    <t>Annual &amp; parental leave</t>
  </si>
  <si>
    <t>Exam/Conf leave</t>
  </si>
  <si>
    <t>Training time</t>
  </si>
  <si>
    <t xml:space="preserve">Fellow </t>
  </si>
  <si>
    <t>Wednesday Teaching 1000-1400</t>
  </si>
  <si>
    <t>no TT</t>
  </si>
  <si>
    <t>TT</t>
  </si>
  <si>
    <t>(hours)</t>
  </si>
  <si>
    <t>Paediatric Emergency Fellow</t>
  </si>
  <si>
    <t>Ellen Scott (0.75)</t>
  </si>
  <si>
    <t>Seamus Harrington</t>
  </si>
  <si>
    <t>Antra Ansons</t>
  </si>
  <si>
    <t xml:space="preserve">S/L AM </t>
  </si>
  <si>
    <t>Registrar</t>
  </si>
  <si>
    <t xml:space="preserve"> Registrar</t>
  </si>
  <si>
    <t>Paediatric Emergency Registrar</t>
  </si>
  <si>
    <t>Mark Lim</t>
  </si>
  <si>
    <t>2300-0830</t>
  </si>
  <si>
    <t xml:space="preserve">Melanie Engel </t>
  </si>
  <si>
    <t>Exam</t>
  </si>
  <si>
    <t>Marian Isaac  (0.75)</t>
  </si>
  <si>
    <t xml:space="preserve">Jonathan Wong (0.75) </t>
  </si>
  <si>
    <t xml:space="preserve">Joshua Feek </t>
  </si>
  <si>
    <t xml:space="preserve">Andrea Lim (0.5) </t>
  </si>
  <si>
    <t>Jessica Burgess (0.5)</t>
  </si>
  <si>
    <t>Elisha Gallivan</t>
  </si>
  <si>
    <t>Leila Dosso</t>
  </si>
  <si>
    <t xml:space="preserve">Efi Tsampou </t>
  </si>
  <si>
    <t>Marian Panlilio</t>
  </si>
  <si>
    <t xml:space="preserve">S/L PM </t>
  </si>
  <si>
    <t>Takhfif Othman</t>
  </si>
  <si>
    <t xml:space="preserve">Toby Obrien </t>
  </si>
  <si>
    <t>William Jiang</t>
  </si>
  <si>
    <t>Pam Nelson</t>
  </si>
  <si>
    <t xml:space="preserve">Phoebe Franich </t>
  </si>
  <si>
    <t>EDO</t>
  </si>
  <si>
    <t xml:space="preserve">Marie Papadopulos </t>
  </si>
  <si>
    <t>Stormie de Groot (0.5)</t>
  </si>
  <si>
    <t>S/L PM</t>
  </si>
  <si>
    <t xml:space="preserve">Joanne Eaton </t>
  </si>
  <si>
    <t xml:space="preserve">Helena Li </t>
  </si>
  <si>
    <t xml:space="preserve">Mustafa Ozkul </t>
  </si>
  <si>
    <t>Ritu Chaurasia (0.75)</t>
  </si>
  <si>
    <t>Jamie Nicholls (0.5)</t>
  </si>
  <si>
    <t xml:space="preserve">Rachel Morgan  </t>
  </si>
  <si>
    <t>HMO</t>
  </si>
  <si>
    <t>Paediatric Emergency HMO</t>
  </si>
  <si>
    <t>Firas Hamdan</t>
  </si>
  <si>
    <t>Nicola Sheppard</t>
  </si>
  <si>
    <t>Ashwin Anand</t>
  </si>
  <si>
    <t xml:space="preserve">Yvonne Lynn Wun Zhang </t>
  </si>
  <si>
    <t xml:space="preserve">Mehro Mashhadi </t>
  </si>
  <si>
    <t xml:space="preserve">Orlaith O'Donovan </t>
  </si>
  <si>
    <t xml:space="preserve">Wenqian Li </t>
  </si>
  <si>
    <t>Angela Yan</t>
  </si>
  <si>
    <t xml:space="preserve">Ashlea Coxhill </t>
  </si>
  <si>
    <t xml:space="preserve">Phillip Romo </t>
  </si>
  <si>
    <t xml:space="preserve">Houshmand  Refaei </t>
  </si>
  <si>
    <t xml:space="preserve">Pavani Wijesuriya </t>
  </si>
  <si>
    <t>Intern</t>
  </si>
  <si>
    <t>Paediatric Emergency Intern</t>
  </si>
  <si>
    <t>Nanditha Hareesh</t>
  </si>
  <si>
    <t> </t>
  </si>
  <si>
    <t>Peter Ahn</t>
  </si>
  <si>
    <t>1230-2200</t>
  </si>
  <si>
    <t>Medical Student</t>
  </si>
  <si>
    <t>N/A</t>
  </si>
  <si>
    <t>requested off</t>
  </si>
  <si>
    <r>
      <rPr>
        <b/>
        <sz val="11"/>
        <color theme="1"/>
        <rFont val="Calibri"/>
        <family val="2"/>
        <scheme val="minor"/>
      </rPr>
      <t xml:space="preserve">*EMR* &amp; EDO </t>
    </r>
    <r>
      <rPr>
        <sz val="11"/>
        <color theme="1"/>
        <rFont val="Calibri"/>
        <family val="2"/>
        <scheme val="minor"/>
      </rPr>
      <t>- EMR training session runs 0730 - 1000 via WEBEX - details in your Monash email. This can be completed from home. Attend the Paediatric ED for your local orientation at 1430 and a short shift until 1730. The extra hours are paid to cover your online learning package.</t>
    </r>
  </si>
  <si>
    <t>annual leave</t>
  </si>
  <si>
    <r>
      <rPr>
        <b/>
        <sz val="11"/>
        <color theme="1"/>
        <rFont val="Calibri"/>
        <family val="2"/>
        <scheme val="minor"/>
      </rPr>
      <t>EDO</t>
    </r>
    <r>
      <rPr>
        <sz val="11"/>
        <color theme="1"/>
        <rFont val="Calibri"/>
        <family val="2"/>
        <scheme val="minor"/>
      </rPr>
      <t xml:space="preserve">  - you will be oriented to the ED at the start of your first shift ie. at 0800 or 1430</t>
    </r>
  </si>
  <si>
    <t>exam leave</t>
  </si>
  <si>
    <t>* teaching runs on WEDNESDAY 1000-1400, start in ED at 1430 if rostered an evening - see www.GCS16.com</t>
  </si>
  <si>
    <t>conference leave</t>
  </si>
  <si>
    <t>oncall: to cover ED or wards in times of desperation</t>
  </si>
  <si>
    <t>First day of rotation</t>
  </si>
  <si>
    <t>CS = clinical support shifts for fellows</t>
  </si>
  <si>
    <t>anast -  anaesthetic shifts 1300-1800 - go to theatre and ask the in-charge anaesthetist to attach you to a list (this is your training time for the week)</t>
  </si>
  <si>
    <t>Paediatric Emergency Consultant - Oncall</t>
  </si>
  <si>
    <t>Paediatric Emergency calls to go to Paediatric Emergency AO phone, 857 25145, SMS Oncall calls only to mobile</t>
  </si>
  <si>
    <t xml:space="preserve">Pager or Mobile No
</t>
  </si>
  <si>
    <t>Cost Centre</t>
  </si>
  <si>
    <t>ONCALL - Workrule  Code</t>
  </si>
  <si>
    <t>PEM Fellow - Training time &amp; oncall</t>
  </si>
  <si>
    <t>trg_3.75_0900</t>
  </si>
  <si>
    <t>59-OC-16</t>
  </si>
  <si>
    <t>PEM Registrar - Training time &amp; oncall</t>
  </si>
  <si>
    <t>trg_5_0900</t>
  </si>
  <si>
    <t>0800-1730 0CS</t>
  </si>
  <si>
    <t>0800-1730 CSOS</t>
  </si>
  <si>
    <t xml:space="preserve">PM </t>
  </si>
  <si>
    <t>1100-2030</t>
  </si>
  <si>
    <t>Sanna Wei</t>
  </si>
  <si>
    <t>A/L</t>
  </si>
  <si>
    <t>C/L</t>
  </si>
  <si>
    <t>AL 0.5</t>
  </si>
  <si>
    <t>PHNW 0800-1730</t>
  </si>
  <si>
    <t>CL</t>
  </si>
  <si>
    <t>LSL</t>
  </si>
  <si>
    <t>A/L 0.5</t>
  </si>
  <si>
    <t>0800-1730 EDO</t>
  </si>
  <si>
    <t>Dr Pat Finn</t>
  </si>
  <si>
    <t>Week 1</t>
  </si>
  <si>
    <t>Week 2</t>
  </si>
  <si>
    <t>Week 3</t>
  </si>
  <si>
    <t>Lookup Sheets</t>
  </si>
  <si>
    <t>Week 4</t>
  </si>
  <si>
    <t>Week 5</t>
  </si>
  <si>
    <t>Week 6</t>
  </si>
  <si>
    <t>Week 7</t>
  </si>
  <si>
    <t>Swing SMS</t>
  </si>
  <si>
    <t>Week 8</t>
  </si>
  <si>
    <t>Swing JMS</t>
  </si>
  <si>
    <t>Week 9</t>
  </si>
  <si>
    <t>Week 10</t>
  </si>
  <si>
    <t>Week 11</t>
  </si>
  <si>
    <t>Week 12</t>
  </si>
  <si>
    <t>Week 13</t>
  </si>
  <si>
    <t>Week 14</t>
  </si>
  <si>
    <t>Employee Number</t>
  </si>
  <si>
    <t>EFT</t>
  </si>
  <si>
    <t>Leave</t>
  </si>
  <si>
    <t>Column1</t>
  </si>
  <si>
    <t>(1 sabatical)</t>
  </si>
  <si>
    <t>Shifts leave</t>
  </si>
  <si>
    <t>Brad</t>
  </si>
  <si>
    <t>Siri</t>
  </si>
  <si>
    <t>Andy</t>
  </si>
  <si>
    <t>DO NOT DELETE - BLANK FOR CALCULATION PURPOSES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</si>
</sst>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;@"/>
  </numFmts>
  <fonts count="3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9C570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sz val="11"/>
      <color rgb="FF000000"/>
      <name val="Calibri"/>
      <family val="2"/>
      <scheme val="minor"/>
    </font>
    <font>
      <b/>
      <u/>
      <sz val="12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i/>
      <sz val="12"/>
      <name val="Calibri"/>
      <family val="2"/>
    </font>
    <font>
      <sz val="11"/>
      <color rgb="FF757575"/>
      <name val="72"/>
      <charset val="1"/>
    </font>
    <font>
      <sz val="12"/>
      <color rgb="FF000000"/>
      <name val="Calibri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CC3300"/>
        <bgColor indexed="64"/>
      </patternFill>
    </fill>
    <fill>
      <patternFill patternType="solid">
        <fgColor rgb="FFFF65FF"/>
        <bgColor indexed="64"/>
      </patternFill>
    </fill>
    <fill>
      <patternFill patternType="solid">
        <fgColor rgb="FF09FFFF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8064A2"/>
        <bgColor rgb="FF000000"/>
      </patternFill>
    </fill>
    <fill>
      <patternFill patternType="solid">
        <fgColor rgb="FFCCC0DA"/>
        <bgColor rgb="FF000000"/>
      </patternFill>
    </fill>
    <fill>
      <patternFill patternType="solid">
        <fgColor rgb="FFFFEB9C"/>
        <bgColor rgb="FFFFFFFF"/>
      </patternFill>
    </fill>
    <fill>
      <patternFill patternType="solid">
        <fgColor rgb="FFFF3399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EB9C"/>
      </patternFill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5FF"/>
        <bgColor rgb="FF000000"/>
      </patternFill>
    </fill>
    <fill>
      <patternFill patternType="solid">
        <fgColor rgb="FF09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6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9">
    <xf numFmtId="0" fontId="0" fillId="0" borderId="0"/>
    <xf numFmtId="0" fontId="3" fillId="0" borderId="0"/>
    <xf numFmtId="0" fontId="2" fillId="0" borderId="0"/>
    <xf numFmtId="0" fontId="17" fillId="17" borderId="0" applyNumberFormat="0" applyBorder="0" applyAlignment="0" applyProtection="0"/>
    <xf numFmtId="0" fontId="19" fillId="0" borderId="0"/>
    <xf numFmtId="0" fontId="1" fillId="0" borderId="0"/>
    <xf numFmtId="0" fontId="27" fillId="20" borderId="0" applyNumberFormat="0" applyBorder="0" applyAlignment="0" applyProtection="0"/>
    <xf numFmtId="0" fontId="28" fillId="22" borderId="0" applyNumberFormat="0" applyBorder="0" applyAlignment="0" applyProtection="0"/>
    <xf numFmtId="0" fontId="29" fillId="23" borderId="0" applyNumberFormat="0" applyBorder="0" applyAlignment="0" applyProtection="0"/>
  </cellStyleXfs>
  <cellXfs count="361">
    <xf numFmtId="0" fontId="0" fillId="0" borderId="0" xfId="0"/>
    <xf numFmtId="0" fontId="0" fillId="3" borderId="0" xfId="0" applyFill="1"/>
    <xf numFmtId="0" fontId="6" fillId="0" borderId="0" xfId="0" applyFont="1"/>
    <xf numFmtId="0" fontId="0" fillId="0" borderId="1" xfId="0" applyBorder="1"/>
    <xf numFmtId="0" fontId="0" fillId="0" borderId="10" xfId="0" applyBorder="1"/>
    <xf numFmtId="0" fontId="9" fillId="0" borderId="0" xfId="0" applyFont="1"/>
    <xf numFmtId="0" fontId="9" fillId="0" borderId="17" xfId="0" applyFont="1" applyBorder="1"/>
    <xf numFmtId="0" fontId="9" fillId="0" borderId="13" xfId="0" applyFont="1" applyBorder="1"/>
    <xf numFmtId="0" fontId="9" fillId="0" borderId="0" xfId="0" applyFont="1" applyAlignment="1">
      <alignment horizontal="center"/>
    </xf>
    <xf numFmtId="0" fontId="6" fillId="0" borderId="5" xfId="0" applyFont="1" applyBorder="1"/>
    <xf numFmtId="164" fontId="14" fillId="5" borderId="10" xfId="0" applyNumberFormat="1" applyFont="1" applyFill="1" applyBorder="1"/>
    <xf numFmtId="164" fontId="12" fillId="5" borderId="10" xfId="0" applyNumberFormat="1" applyFont="1" applyFill="1" applyBorder="1"/>
    <xf numFmtId="0" fontId="13" fillId="6" borderId="19" xfId="0" applyFont="1" applyFill="1" applyBorder="1" applyAlignment="1">
      <alignment horizontal="center"/>
    </xf>
    <xf numFmtId="0" fontId="14" fillId="0" borderId="0" xfId="0" applyFont="1"/>
    <xf numFmtId="0" fontId="7" fillId="0" borderId="0" xfId="0" applyFont="1"/>
    <xf numFmtId="164" fontId="12" fillId="5" borderId="18" xfId="0" applyNumberFormat="1" applyFont="1" applyFill="1" applyBorder="1"/>
    <xf numFmtId="0" fontId="14" fillId="0" borderId="24" xfId="0" applyFont="1" applyBorder="1"/>
    <xf numFmtId="0" fontId="0" fillId="0" borderId="13" xfId="0" applyBorder="1"/>
    <xf numFmtId="0" fontId="9" fillId="0" borderId="27" xfId="0" applyFont="1" applyBorder="1"/>
    <xf numFmtId="0" fontId="6" fillId="5" borderId="14" xfId="0" applyFont="1" applyFill="1" applyBorder="1" applyAlignment="1">
      <alignment horizontal="center"/>
    </xf>
    <xf numFmtId="0" fontId="13" fillId="6" borderId="6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12" borderId="5" xfId="0" applyFont="1" applyFill="1" applyBorder="1" applyAlignment="1">
      <alignment horizontal="center" vertical="top"/>
    </xf>
    <xf numFmtId="0" fontId="13" fillId="6" borderId="29" xfId="0" applyFont="1" applyFill="1" applyBorder="1" applyAlignment="1">
      <alignment horizontal="center"/>
    </xf>
    <xf numFmtId="0" fontId="0" fillId="0" borderId="16" xfId="0" applyBorder="1" applyAlignment="1">
      <alignment horizontal="left"/>
    </xf>
    <xf numFmtId="0" fontId="0" fillId="0" borderId="26" xfId="0" applyBorder="1" applyAlignment="1">
      <alignment horizontal="left"/>
    </xf>
    <xf numFmtId="0" fontId="8" fillId="6" borderId="19" xfId="1" applyFont="1" applyFill="1" applyBorder="1"/>
    <xf numFmtId="0" fontId="6" fillId="0" borderId="11" xfId="0" applyFont="1" applyBorder="1" applyAlignment="1">
      <alignment horizontal="left" vertical="center"/>
    </xf>
    <xf numFmtId="0" fontId="1" fillId="3" borderId="23" xfId="0" applyFont="1" applyFill="1" applyBorder="1"/>
    <xf numFmtId="0" fontId="6" fillId="0" borderId="36" xfId="0" applyFont="1" applyBorder="1"/>
    <xf numFmtId="0" fontId="6" fillId="12" borderId="37" xfId="0" applyFont="1" applyFill="1" applyBorder="1"/>
    <xf numFmtId="0" fontId="6" fillId="0" borderId="37" xfId="0" applyFont="1" applyBorder="1"/>
    <xf numFmtId="0" fontId="0" fillId="0" borderId="37" xfId="0" applyBorder="1"/>
    <xf numFmtId="0" fontId="6" fillId="5" borderId="0" xfId="0" applyFont="1" applyFill="1"/>
    <xf numFmtId="0" fontId="13" fillId="0" borderId="0" xfId="0" applyFont="1" applyAlignment="1">
      <alignment wrapText="1"/>
    </xf>
    <xf numFmtId="0" fontId="15" fillId="0" borderId="0" xfId="0" applyFont="1"/>
    <xf numFmtId="0" fontId="5" fillId="0" borderId="37" xfId="0" applyFont="1" applyBorder="1"/>
    <xf numFmtId="0" fontId="1" fillId="0" borderId="37" xfId="0" applyFont="1" applyBorder="1"/>
    <xf numFmtId="0" fontId="9" fillId="0" borderId="37" xfId="0" applyFont="1" applyBorder="1"/>
    <xf numFmtId="0" fontId="6" fillId="12" borderId="37" xfId="0" applyFont="1" applyFill="1" applyBorder="1" applyAlignment="1">
      <alignment horizontal="center" vertical="top"/>
    </xf>
    <xf numFmtId="0" fontId="8" fillId="2" borderId="37" xfId="0" applyFont="1" applyFill="1" applyBorder="1" applyAlignment="1">
      <alignment horizontal="left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8" fillId="5" borderId="40" xfId="0" applyFont="1" applyFill="1" applyBorder="1" applyAlignment="1">
      <alignment horizontal="left" vertical="center"/>
    </xf>
    <xf numFmtId="0" fontId="6" fillId="5" borderId="0" xfId="0" applyFont="1" applyFill="1" applyAlignment="1">
      <alignment horizontal="center"/>
    </xf>
    <xf numFmtId="0" fontId="6" fillId="12" borderId="0" xfId="0" applyFont="1" applyFill="1"/>
    <xf numFmtId="0" fontId="6" fillId="12" borderId="0" xfId="0" applyFont="1" applyFill="1" applyAlignment="1">
      <alignment horizontal="center"/>
    </xf>
    <xf numFmtId="0" fontId="6" fillId="0" borderId="0" xfId="0" applyFont="1" applyAlignment="1">
      <alignment wrapText="1"/>
    </xf>
    <xf numFmtId="0" fontId="12" fillId="0" borderId="0" xfId="0" applyFont="1" applyAlignment="1">
      <alignment horizontal="center"/>
    </xf>
    <xf numFmtId="0" fontId="13" fillId="6" borderId="0" xfId="0" applyFont="1" applyFill="1"/>
    <xf numFmtId="0" fontId="13" fillId="6" borderId="0" xfId="0" applyFont="1" applyFill="1" applyAlignment="1">
      <alignment horizontal="center"/>
    </xf>
    <xf numFmtId="0" fontId="13" fillId="11" borderId="0" xfId="0" applyFont="1" applyFill="1"/>
    <xf numFmtId="0" fontId="13" fillId="11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8" fillId="9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wrapText="1"/>
    </xf>
    <xf numFmtId="0" fontId="8" fillId="2" borderId="0" xfId="0" applyFont="1" applyFill="1" applyAlignment="1">
      <alignment horizontal="left" vertical="center" wrapText="1"/>
    </xf>
    <xf numFmtId="0" fontId="8" fillId="9" borderId="37" xfId="0" applyFont="1" applyFill="1" applyBorder="1" applyAlignment="1">
      <alignment horizontal="left" vertical="center" wrapText="1"/>
    </xf>
    <xf numFmtId="0" fontId="6" fillId="0" borderId="24" xfId="0" applyFont="1" applyBorder="1" applyAlignment="1">
      <alignment horizontal="center"/>
    </xf>
    <xf numFmtId="0" fontId="1" fillId="3" borderId="31" xfId="0" applyFont="1" applyFill="1" applyBorder="1"/>
    <xf numFmtId="0" fontId="1" fillId="3" borderId="32" xfId="0" applyFont="1" applyFill="1" applyBorder="1"/>
    <xf numFmtId="0" fontId="12" fillId="0" borderId="20" xfId="0" applyFont="1" applyBorder="1" applyAlignment="1">
      <alignment horizontal="center" wrapText="1"/>
    </xf>
    <xf numFmtId="0" fontId="12" fillId="0" borderId="21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164" fontId="12" fillId="0" borderId="31" xfId="0" applyNumberFormat="1" applyFont="1" applyBorder="1" applyAlignment="1">
      <alignment horizontal="center"/>
    </xf>
    <xf numFmtId="164" fontId="12" fillId="0" borderId="32" xfId="0" applyNumberFormat="1" applyFont="1" applyBorder="1" applyAlignment="1">
      <alignment horizontal="center"/>
    </xf>
    <xf numFmtId="0" fontId="16" fillId="0" borderId="23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6" xfId="0" applyFont="1" applyBorder="1"/>
    <xf numFmtId="0" fontId="15" fillId="0" borderId="16" xfId="0" applyFont="1" applyBorder="1"/>
    <xf numFmtId="14" fontId="0" fillId="0" borderId="0" xfId="0" applyNumberFormat="1"/>
    <xf numFmtId="0" fontId="20" fillId="0" borderId="24" xfId="0" applyFont="1" applyBorder="1" applyAlignment="1">
      <alignment horizontal="center"/>
    </xf>
    <xf numFmtId="0" fontId="20" fillId="0" borderId="41" xfId="0" applyFont="1" applyBorder="1" applyAlignment="1">
      <alignment horizontal="center"/>
    </xf>
    <xf numFmtId="0" fontId="20" fillId="0" borderId="33" xfId="0" applyFont="1" applyBorder="1" applyAlignment="1">
      <alignment horizontal="center"/>
    </xf>
    <xf numFmtId="0" fontId="0" fillId="0" borderId="24" xfId="0" applyBorder="1"/>
    <xf numFmtId="0" fontId="0" fillId="0" borderId="41" xfId="0" applyBorder="1"/>
    <xf numFmtId="0" fontId="0" fillId="0" borderId="33" xfId="0" applyBorder="1"/>
    <xf numFmtId="0" fontId="5" fillId="4" borderId="36" xfId="0" applyFont="1" applyFill="1" applyBorder="1"/>
    <xf numFmtId="0" fontId="5" fillId="13" borderId="36" xfId="0" applyFont="1" applyFill="1" applyBorder="1"/>
    <xf numFmtId="0" fontId="5" fillId="14" borderId="36" xfId="0" applyFont="1" applyFill="1" applyBorder="1"/>
    <xf numFmtId="0" fontId="5" fillId="15" borderId="36" xfId="0" applyFont="1" applyFill="1" applyBorder="1"/>
    <xf numFmtId="0" fontId="5" fillId="16" borderId="36" xfId="0" applyFont="1" applyFill="1" applyBorder="1"/>
    <xf numFmtId="0" fontId="8" fillId="5" borderId="36" xfId="0" applyFont="1" applyFill="1" applyBorder="1" applyAlignment="1">
      <alignment horizontal="left" vertical="center"/>
    </xf>
    <xf numFmtId="0" fontId="13" fillId="6" borderId="35" xfId="0" applyFont="1" applyFill="1" applyBorder="1" applyAlignment="1">
      <alignment horizontal="center"/>
    </xf>
    <xf numFmtId="0" fontId="1" fillId="0" borderId="36" xfId="0" applyFont="1" applyBorder="1" applyAlignment="1">
      <alignment vertical="center"/>
    </xf>
    <xf numFmtId="0" fontId="6" fillId="12" borderId="37" xfId="0" applyFont="1" applyFill="1" applyBorder="1" applyAlignment="1">
      <alignment vertical="center"/>
    </xf>
    <xf numFmtId="0" fontId="6" fillId="0" borderId="37" xfId="0" applyFont="1" applyBorder="1" applyAlignment="1">
      <alignment vertical="center"/>
    </xf>
    <xf numFmtId="0" fontId="0" fillId="3" borderId="37" xfId="0" applyFill="1" applyBorder="1"/>
    <xf numFmtId="0" fontId="0" fillId="0" borderId="25" xfId="0" applyBorder="1" applyAlignment="1">
      <alignment horizontal="left" wrapText="1"/>
    </xf>
    <xf numFmtId="0" fontId="0" fillId="0" borderId="12" xfId="0" applyBorder="1" applyAlignment="1">
      <alignment wrapText="1"/>
    </xf>
    <xf numFmtId="0" fontId="0" fillId="0" borderId="28" xfId="0" applyBorder="1" applyAlignment="1">
      <alignment wrapText="1"/>
    </xf>
    <xf numFmtId="0" fontId="6" fillId="0" borderId="32" xfId="0" applyFont="1" applyBorder="1" applyAlignment="1">
      <alignment horizontal="center"/>
    </xf>
    <xf numFmtId="164" fontId="14" fillId="0" borderId="42" xfId="0" applyNumberFormat="1" applyFont="1" applyBorder="1" applyAlignment="1">
      <alignment horizontal="center"/>
    </xf>
    <xf numFmtId="0" fontId="6" fillId="0" borderId="31" xfId="0" applyFont="1" applyBorder="1"/>
    <xf numFmtId="164" fontId="14" fillId="0" borderId="0" xfId="0" applyNumberFormat="1" applyFont="1" applyAlignment="1">
      <alignment horizontal="center"/>
    </xf>
    <xf numFmtId="164" fontId="12" fillId="0" borderId="0" xfId="0" applyNumberFormat="1" applyFont="1" applyAlignment="1">
      <alignment horizontal="center"/>
    </xf>
    <xf numFmtId="0" fontId="20" fillId="0" borderId="25" xfId="0" applyFont="1" applyBorder="1"/>
    <xf numFmtId="0" fontId="20" fillId="0" borderId="12" xfId="0" applyFont="1" applyBorder="1" applyAlignment="1">
      <alignment horizontal="center"/>
    </xf>
    <xf numFmtId="0" fontId="15" fillId="0" borderId="26" xfId="0" applyFont="1" applyBorder="1"/>
    <xf numFmtId="0" fontId="20" fillId="0" borderId="13" xfId="0" applyFont="1" applyBorder="1" applyAlignment="1">
      <alignment horizontal="center"/>
    </xf>
    <xf numFmtId="0" fontId="15" fillId="0" borderId="24" xfId="0" applyFont="1" applyBorder="1"/>
    <xf numFmtId="0" fontId="16" fillId="0" borderId="4" xfId="0" applyFont="1" applyBorder="1" applyAlignment="1">
      <alignment horizontal="center"/>
    </xf>
    <xf numFmtId="0" fontId="16" fillId="0" borderId="38" xfId="0" applyFont="1" applyBorder="1" applyAlignment="1">
      <alignment horizontal="center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wrapText="1"/>
    </xf>
    <xf numFmtId="0" fontId="13" fillId="11" borderId="37" xfId="0" applyFont="1" applyFill="1" applyBorder="1" applyAlignment="1">
      <alignment horizontal="center" vertical="center"/>
    </xf>
    <xf numFmtId="0" fontId="13" fillId="11" borderId="37" xfId="0" applyFont="1" applyFill="1" applyBorder="1" applyAlignment="1">
      <alignment horizontal="center" vertical="center" wrapText="1"/>
    </xf>
    <xf numFmtId="0" fontId="8" fillId="9" borderId="37" xfId="0" applyFont="1" applyFill="1" applyBorder="1" applyAlignment="1">
      <alignment horizontal="center" vertical="center" wrapText="1"/>
    </xf>
    <xf numFmtId="0" fontId="20" fillId="0" borderId="43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7" fillId="0" borderId="37" xfId="0" applyFont="1" applyBorder="1"/>
    <xf numFmtId="164" fontId="14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1" xfId="0" applyFont="1" applyBorder="1" applyAlignment="1">
      <alignment wrapText="1"/>
    </xf>
    <xf numFmtId="0" fontId="21" fillId="19" borderId="15" xfId="0" applyFont="1" applyFill="1" applyBorder="1" applyAlignment="1">
      <alignment horizontal="left" vertical="center"/>
    </xf>
    <xf numFmtId="0" fontId="6" fillId="19" borderId="0" xfId="0" applyFont="1" applyFill="1"/>
    <xf numFmtId="0" fontId="6" fillId="19" borderId="0" xfId="0" applyFont="1" applyFill="1" applyAlignment="1">
      <alignment horizontal="center"/>
    </xf>
    <xf numFmtId="0" fontId="21" fillId="19" borderId="25" xfId="0" applyFont="1" applyFill="1" applyBorder="1" applyAlignment="1">
      <alignment horizontal="left" vertical="center"/>
    </xf>
    <xf numFmtId="0" fontId="14" fillId="19" borderId="20" xfId="0" applyFont="1" applyFill="1" applyBorder="1"/>
    <xf numFmtId="0" fontId="12" fillId="19" borderId="21" xfId="0" applyFont="1" applyFill="1" applyBorder="1"/>
    <xf numFmtId="0" fontId="12" fillId="19" borderId="22" xfId="0" applyFont="1" applyFill="1" applyBorder="1"/>
    <xf numFmtId="0" fontId="14" fillId="18" borderId="45" xfId="0" applyFont="1" applyFill="1" applyBorder="1" applyAlignment="1">
      <alignment horizontal="center"/>
    </xf>
    <xf numFmtId="14" fontId="14" fillId="18" borderId="45" xfId="0" applyNumberFormat="1" applyFont="1" applyFill="1" applyBorder="1" applyAlignment="1">
      <alignment horizontal="center"/>
    </xf>
    <xf numFmtId="0" fontId="6" fillId="12" borderId="1" xfId="0" applyFont="1" applyFill="1" applyBorder="1" applyAlignment="1">
      <alignment vertical="center"/>
    </xf>
    <xf numFmtId="0" fontId="6" fillId="12" borderId="1" xfId="0" applyFont="1" applyFill="1" applyBorder="1" applyAlignment="1">
      <alignment horizontal="center" vertical="top"/>
    </xf>
    <xf numFmtId="0" fontId="7" fillId="0" borderId="1" xfId="0" applyFont="1" applyBorder="1"/>
    <xf numFmtId="164" fontId="12" fillId="0" borderId="35" xfId="0" applyNumberFormat="1" applyFont="1" applyBorder="1" applyAlignment="1">
      <alignment horizontal="center" vertical="center"/>
    </xf>
    <xf numFmtId="0" fontId="13" fillId="6" borderId="41" xfId="0" applyFont="1" applyFill="1" applyBorder="1" applyAlignment="1">
      <alignment horizontal="center" vertical="center"/>
    </xf>
    <xf numFmtId="0" fontId="6" fillId="12" borderId="35" xfId="0" applyFont="1" applyFill="1" applyBorder="1" applyAlignment="1">
      <alignment vertical="center"/>
    </xf>
    <xf numFmtId="0" fontId="6" fillId="12" borderId="35" xfId="0" applyFont="1" applyFill="1" applyBorder="1" applyAlignment="1">
      <alignment horizontal="center" vertical="top"/>
    </xf>
    <xf numFmtId="0" fontId="1" fillId="0" borderId="1" xfId="0" applyFont="1" applyBorder="1"/>
    <xf numFmtId="0" fontId="13" fillId="11" borderId="41" xfId="0" applyFont="1" applyFill="1" applyBorder="1"/>
    <xf numFmtId="0" fontId="13" fillId="11" borderId="41" xfId="0" applyFont="1" applyFill="1" applyBorder="1" applyAlignment="1">
      <alignment horizontal="center"/>
    </xf>
    <xf numFmtId="0" fontId="13" fillId="11" borderId="31" xfId="0" applyFont="1" applyFill="1" applyBorder="1" applyAlignment="1">
      <alignment horizontal="center" vertical="center"/>
    </xf>
    <xf numFmtId="0" fontId="13" fillId="11" borderId="31" xfId="0" applyFont="1" applyFill="1" applyBorder="1" applyAlignment="1">
      <alignment horizontal="center" vertical="center" wrapText="1"/>
    </xf>
    <xf numFmtId="0" fontId="13" fillId="11" borderId="32" xfId="0" applyFont="1" applyFill="1" applyBorder="1" applyAlignment="1">
      <alignment horizontal="center" vertical="center"/>
    </xf>
    <xf numFmtId="0" fontId="6" fillId="0" borderId="35" xfId="0" applyFont="1" applyBorder="1"/>
    <xf numFmtId="0" fontId="8" fillId="8" borderId="24" xfId="0" applyFont="1" applyFill="1" applyBorder="1" applyAlignment="1">
      <alignment horizontal="left" vertical="center"/>
    </xf>
    <xf numFmtId="0" fontId="13" fillId="10" borderId="41" xfId="0" applyFont="1" applyFill="1" applyBorder="1"/>
    <xf numFmtId="0" fontId="13" fillId="10" borderId="41" xfId="0" applyFont="1" applyFill="1" applyBorder="1" applyAlignment="1">
      <alignment horizontal="center"/>
    </xf>
    <xf numFmtId="0" fontId="8" fillId="8" borderId="31" xfId="0" applyFont="1" applyFill="1" applyBorder="1" applyAlignment="1">
      <alignment horizontal="left" vertical="center"/>
    </xf>
    <xf numFmtId="0" fontId="13" fillId="10" borderId="31" xfId="0" applyFont="1" applyFill="1" applyBorder="1" applyAlignment="1">
      <alignment horizontal="center"/>
    </xf>
    <xf numFmtId="0" fontId="22" fillId="0" borderId="0" xfId="0" applyFont="1"/>
    <xf numFmtId="0" fontId="23" fillId="0" borderId="0" xfId="0" applyFont="1"/>
    <xf numFmtId="0" fontId="24" fillId="0" borderId="0" xfId="0" applyFont="1"/>
    <xf numFmtId="0" fontId="6" fillId="0" borderId="0" xfId="0" applyFont="1" applyAlignment="1">
      <alignment horizontal="center" vertical="top"/>
    </xf>
    <xf numFmtId="0" fontId="6" fillId="0" borderId="35" xfId="0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6" fillId="0" borderId="10" xfId="0" applyFont="1" applyBorder="1" applyAlignment="1">
      <alignment horizontal="center"/>
    </xf>
    <xf numFmtId="0" fontId="0" fillId="0" borderId="10" xfId="0" applyBorder="1" applyAlignment="1">
      <alignment horizontal="center" vertical="top"/>
    </xf>
    <xf numFmtId="0" fontId="0" fillId="0" borderId="10" xfId="0" applyBorder="1" applyAlignment="1">
      <alignment vertical="top"/>
    </xf>
    <xf numFmtId="0" fontId="6" fillId="0" borderId="10" xfId="0" applyFont="1" applyBorder="1"/>
    <xf numFmtId="0" fontId="6" fillId="0" borderId="0" xfId="0" applyFont="1" applyAlignment="1">
      <alignment horizontal="center" vertical="top" wrapText="1"/>
    </xf>
    <xf numFmtId="0" fontId="25" fillId="0" borderId="37" xfId="0" applyFont="1" applyBorder="1"/>
    <xf numFmtId="0" fontId="26" fillId="0" borderId="37" xfId="0" applyFont="1" applyBorder="1" applyAlignment="1">
      <alignment horizontal="center"/>
    </xf>
    <xf numFmtId="0" fontId="6" fillId="19" borderId="25" xfId="0" applyFont="1" applyFill="1" applyBorder="1" applyAlignment="1">
      <alignment horizontal="center"/>
    </xf>
    <xf numFmtId="0" fontId="6" fillId="12" borderId="46" xfId="0" applyFont="1" applyFill="1" applyBorder="1" applyAlignment="1">
      <alignment horizontal="center" vertical="top"/>
    </xf>
    <xf numFmtId="0" fontId="16" fillId="0" borderId="47" xfId="0" applyFont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16" fillId="0" borderId="45" xfId="0" applyFont="1" applyBorder="1" applyAlignment="1">
      <alignment horizontal="center"/>
    </xf>
    <xf numFmtId="0" fontId="0" fillId="0" borderId="0" xfId="0" applyAlignment="1">
      <alignment vertical="top"/>
    </xf>
    <xf numFmtId="0" fontId="16" fillId="0" borderId="3" xfId="0" applyFont="1" applyBorder="1" applyAlignment="1">
      <alignment horizontal="center"/>
    </xf>
    <xf numFmtId="0" fontId="6" fillId="21" borderId="0" xfId="0" applyFont="1" applyFill="1"/>
    <xf numFmtId="0" fontId="6" fillId="21" borderId="0" xfId="0" applyFont="1" applyFill="1" applyAlignment="1">
      <alignment wrapText="1"/>
    </xf>
    <xf numFmtId="0" fontId="6" fillId="21" borderId="0" xfId="0" applyFont="1" applyFill="1" applyAlignment="1">
      <alignment horizontal="center"/>
    </xf>
    <xf numFmtId="0" fontId="6" fillId="21" borderId="46" xfId="0" applyFont="1" applyFill="1" applyBorder="1" applyAlignment="1">
      <alignment horizontal="center" vertical="top"/>
    </xf>
    <xf numFmtId="0" fontId="6" fillId="21" borderId="37" xfId="0" applyFont="1" applyFill="1" applyBorder="1"/>
    <xf numFmtId="0" fontId="6" fillId="21" borderId="39" xfId="0" applyFont="1" applyFill="1" applyBorder="1"/>
    <xf numFmtId="0" fontId="8" fillId="6" borderId="24" xfId="5" applyFont="1" applyFill="1" applyBorder="1" applyAlignment="1">
      <alignment vertical="center"/>
    </xf>
    <xf numFmtId="0" fontId="8" fillId="6" borderId="41" xfId="5" applyFont="1" applyFill="1" applyBorder="1" applyAlignment="1">
      <alignment vertical="center"/>
    </xf>
    <xf numFmtId="0" fontId="8" fillId="7" borderId="24" xfId="5" applyFont="1" applyFill="1" applyBorder="1"/>
    <xf numFmtId="0" fontId="8" fillId="7" borderId="31" xfId="5" applyFont="1" applyFill="1" applyBorder="1"/>
    <xf numFmtId="0" fontId="8" fillId="6" borderId="0" xfId="5" applyFont="1" applyFill="1"/>
    <xf numFmtId="0" fontId="8" fillId="6" borderId="19" xfId="5" applyFont="1" applyFill="1" applyBorder="1"/>
    <xf numFmtId="0" fontId="8" fillId="7" borderId="0" xfId="5" applyFont="1" applyFill="1"/>
    <xf numFmtId="0" fontId="8" fillId="7" borderId="37" xfId="5" applyFont="1" applyFill="1" applyBorder="1"/>
    <xf numFmtId="0" fontId="6" fillId="21" borderId="36" xfId="0" applyFont="1" applyFill="1" applyBorder="1"/>
    <xf numFmtId="0" fontId="20" fillId="0" borderId="0" xfId="4" applyFont="1"/>
    <xf numFmtId="0" fontId="6" fillId="0" borderId="1" xfId="0" applyFont="1" applyBorder="1"/>
    <xf numFmtId="0" fontId="16" fillId="0" borderId="48" xfId="0" applyFont="1" applyBorder="1" applyAlignment="1">
      <alignment horizontal="center"/>
    </xf>
    <xf numFmtId="0" fontId="21" fillId="19" borderId="37" xfId="0" applyFont="1" applyFill="1" applyBorder="1" applyAlignment="1">
      <alignment horizontal="left" vertical="center"/>
    </xf>
    <xf numFmtId="0" fontId="21" fillId="19" borderId="37" xfId="0" applyFont="1" applyFill="1" applyBorder="1"/>
    <xf numFmtId="0" fontId="28" fillId="22" borderId="25" xfId="7" applyBorder="1"/>
    <xf numFmtId="0" fontId="28" fillId="22" borderId="28" xfId="7" applyBorder="1"/>
    <xf numFmtId="0" fontId="17" fillId="17" borderId="0" xfId="3"/>
    <xf numFmtId="0" fontId="27" fillId="20" borderId="0" xfId="6"/>
    <xf numFmtId="0" fontId="28" fillId="22" borderId="6" xfId="7" applyBorder="1"/>
    <xf numFmtId="0" fontId="0" fillId="0" borderId="16" xfId="0" applyBorder="1"/>
    <xf numFmtId="0" fontId="0" fillId="0" borderId="17" xfId="0" applyBorder="1"/>
    <xf numFmtId="0" fontId="0" fillId="0" borderId="2" xfId="0" applyBorder="1"/>
    <xf numFmtId="0" fontId="0" fillId="0" borderId="25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6" xfId="0" applyBorder="1" applyAlignment="1">
      <alignment horizontal="center"/>
    </xf>
    <xf numFmtId="2" fontId="0" fillId="0" borderId="0" xfId="0" applyNumberFormat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9" fillId="0" borderId="0" xfId="8" applyFont="1" applyFill="1" applyBorder="1" applyAlignment="1">
      <alignment horizontal="center"/>
    </xf>
    <xf numFmtId="0" fontId="9" fillId="0" borderId="16" xfId="8" applyFont="1" applyFill="1" applyBorder="1" applyAlignment="1">
      <alignment horizontal="center"/>
    </xf>
    <xf numFmtId="0" fontId="9" fillId="0" borderId="17" xfId="8" applyFont="1" applyFill="1" applyBorder="1" applyAlignment="1">
      <alignment horizontal="center"/>
    </xf>
    <xf numFmtId="2" fontId="9" fillId="0" borderId="0" xfId="6" applyNumberFormat="1" applyFont="1" applyFill="1"/>
    <xf numFmtId="2" fontId="9" fillId="0" borderId="0" xfId="0" applyNumberFormat="1" applyFont="1"/>
    <xf numFmtId="0" fontId="25" fillId="0" borderId="49" xfId="0" applyFont="1" applyBorder="1"/>
    <xf numFmtId="0" fontId="21" fillId="0" borderId="1" xfId="0" applyFont="1" applyBorder="1" applyAlignment="1">
      <alignment horizontal="left" vertical="center"/>
    </xf>
    <xf numFmtId="0" fontId="21" fillId="0" borderId="1" xfId="0" applyFont="1" applyBorder="1"/>
    <xf numFmtId="0" fontId="6" fillId="24" borderId="37" xfId="0" applyFont="1" applyFill="1" applyBorder="1" applyAlignment="1">
      <alignment horizontal="left" vertical="center" wrapText="1"/>
    </xf>
    <xf numFmtId="0" fontId="25" fillId="3" borderId="37" xfId="0" applyFont="1" applyFill="1" applyBorder="1"/>
    <xf numFmtId="0" fontId="25" fillId="3" borderId="34" xfId="0" applyFont="1" applyFill="1" applyBorder="1"/>
    <xf numFmtId="0" fontId="6" fillId="3" borderId="37" xfId="0" applyFont="1" applyFill="1" applyBorder="1" applyAlignment="1">
      <alignment horizontal="left" vertical="center" wrapText="1"/>
    </xf>
    <xf numFmtId="0" fontId="6" fillId="3" borderId="37" xfId="0" applyFont="1" applyFill="1" applyBorder="1" applyAlignment="1">
      <alignment vertical="center" wrapText="1"/>
    </xf>
    <xf numFmtId="0" fontId="6" fillId="24" borderId="37" xfId="0" applyFont="1" applyFill="1" applyBorder="1" applyAlignment="1">
      <alignment vertical="center" wrapText="1"/>
    </xf>
    <xf numFmtId="0" fontId="7" fillId="3" borderId="37" xfId="0" applyFont="1" applyFill="1" applyBorder="1"/>
    <xf numFmtId="0" fontId="6" fillId="24" borderId="37" xfId="0" applyFont="1" applyFill="1" applyBorder="1"/>
    <xf numFmtId="0" fontId="6" fillId="3" borderId="37" xfId="0" applyFont="1" applyFill="1" applyBorder="1" applyAlignment="1">
      <alignment vertical="center"/>
    </xf>
    <xf numFmtId="0" fontId="6" fillId="3" borderId="37" xfId="0" applyFont="1" applyFill="1" applyBorder="1" applyAlignment="1">
      <alignment horizontal="right" vertical="top"/>
    </xf>
    <xf numFmtId="0" fontId="0" fillId="3" borderId="38" xfId="0" applyFill="1" applyBorder="1"/>
    <xf numFmtId="0" fontId="6" fillId="24" borderId="40" xfId="0" applyFont="1" applyFill="1" applyBorder="1" applyAlignment="1">
      <alignment vertical="center" wrapText="1"/>
    </xf>
    <xf numFmtId="0" fontId="6" fillId="3" borderId="44" xfId="0" applyFont="1" applyFill="1" applyBorder="1" applyAlignment="1">
      <alignment horizontal="left" vertical="center" wrapText="1"/>
    </xf>
    <xf numFmtId="0" fontId="6" fillId="24" borderId="0" xfId="0" applyFont="1" applyFill="1" applyAlignment="1">
      <alignment vertical="center" wrapText="1"/>
    </xf>
    <xf numFmtId="0" fontId="6" fillId="3" borderId="0" xfId="0" applyFont="1" applyFill="1" applyAlignment="1">
      <alignment horizontal="right" vertical="top"/>
    </xf>
    <xf numFmtId="0" fontId="25" fillId="3" borderId="15" xfId="0" applyFont="1" applyFill="1" applyBorder="1"/>
    <xf numFmtId="0" fontId="6" fillId="3" borderId="35" xfId="0" applyFont="1" applyFill="1" applyBorder="1" applyAlignment="1">
      <alignment vertical="center" wrapText="1"/>
    </xf>
    <xf numFmtId="0" fontId="25" fillId="3" borderId="35" xfId="0" applyFont="1" applyFill="1" applyBorder="1"/>
    <xf numFmtId="0" fontId="25" fillId="3" borderId="29" xfId="0" applyFont="1" applyFill="1" applyBorder="1"/>
    <xf numFmtId="0" fontId="6" fillId="0" borderId="46" xfId="0" applyFont="1" applyBorder="1" applyAlignment="1">
      <alignment horizontal="center" vertical="top"/>
    </xf>
    <xf numFmtId="0" fontId="6" fillId="0" borderId="46" xfId="0" applyFont="1" applyBorder="1" applyAlignment="1">
      <alignment vertical="center" wrapText="1"/>
    </xf>
    <xf numFmtId="0" fontId="6" fillId="0" borderId="39" xfId="0" applyFont="1" applyBorder="1"/>
    <xf numFmtId="0" fontId="6" fillId="0" borderId="46" xfId="0" applyFont="1" applyBorder="1" applyAlignment="1">
      <alignment horizontal="left" vertical="center" wrapText="1"/>
    </xf>
    <xf numFmtId="0" fontId="6" fillId="0" borderId="46" xfId="0" applyFont="1" applyBorder="1"/>
    <xf numFmtId="0" fontId="6" fillId="0" borderId="19" xfId="0" applyFont="1" applyBorder="1"/>
    <xf numFmtId="0" fontId="6" fillId="0" borderId="30" xfId="0" applyFont="1" applyBorder="1"/>
    <xf numFmtId="0" fontId="6" fillId="0" borderId="47" xfId="0" applyFont="1" applyBorder="1" applyAlignment="1">
      <alignment horizontal="center" vertical="top"/>
    </xf>
    <xf numFmtId="0" fontId="6" fillId="21" borderId="50" xfId="0" applyFont="1" applyFill="1" applyBorder="1" applyAlignment="1">
      <alignment horizontal="left" vertical="center" wrapText="1"/>
    </xf>
    <xf numFmtId="0" fontId="6" fillId="21" borderId="11" xfId="0" applyFont="1" applyFill="1" applyBorder="1"/>
    <xf numFmtId="0" fontId="6" fillId="21" borderId="5" xfId="0" applyFont="1" applyFill="1" applyBorder="1"/>
    <xf numFmtId="0" fontId="6" fillId="21" borderId="7" xfId="0" applyFont="1" applyFill="1" applyBorder="1"/>
    <xf numFmtId="0" fontId="12" fillId="21" borderId="0" xfId="0" applyFont="1" applyFill="1" applyAlignment="1">
      <alignment horizontal="center"/>
    </xf>
    <xf numFmtId="0" fontId="6" fillId="21" borderId="46" xfId="0" applyFont="1" applyFill="1" applyBorder="1" applyAlignment="1">
      <alignment horizontal="left" vertical="center" wrapText="1"/>
    </xf>
    <xf numFmtId="0" fontId="6" fillId="21" borderId="46" xfId="0" applyFont="1" applyFill="1" applyBorder="1" applyAlignment="1">
      <alignment vertical="center" wrapText="1"/>
    </xf>
    <xf numFmtId="0" fontId="6" fillId="21" borderId="46" xfId="0" applyFont="1" applyFill="1" applyBorder="1" applyAlignment="1">
      <alignment vertical="center"/>
    </xf>
    <xf numFmtId="0" fontId="6" fillId="21" borderId="2" xfId="0" applyFont="1" applyFill="1" applyBorder="1" applyAlignment="1">
      <alignment vertical="center" wrapText="1"/>
    </xf>
    <xf numFmtId="0" fontId="6" fillId="21" borderId="47" xfId="0" applyFont="1" applyFill="1" applyBorder="1"/>
    <xf numFmtId="0" fontId="6" fillId="21" borderId="48" xfId="0" applyFont="1" applyFill="1" applyBorder="1" applyAlignment="1">
      <alignment horizontal="center" vertical="top"/>
    </xf>
    <xf numFmtId="0" fontId="6" fillId="21" borderId="19" xfId="0" applyFont="1" applyFill="1" applyBorder="1"/>
    <xf numFmtId="0" fontId="6" fillId="21" borderId="35" xfId="0" applyFont="1" applyFill="1" applyBorder="1"/>
    <xf numFmtId="0" fontId="6" fillId="21" borderId="30" xfId="0" applyFont="1" applyFill="1" applyBorder="1"/>
    <xf numFmtId="0" fontId="6" fillId="21" borderId="47" xfId="0" applyFont="1" applyFill="1" applyBorder="1" applyAlignment="1">
      <alignment horizontal="center" vertical="top"/>
    </xf>
    <xf numFmtId="0" fontId="1" fillId="0" borderId="46" xfId="0" applyFont="1" applyBorder="1"/>
    <xf numFmtId="0" fontId="6" fillId="0" borderId="36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21" borderId="36" xfId="0" applyFont="1" applyFill="1" applyBorder="1" applyAlignment="1">
      <alignment horizontal="center"/>
    </xf>
    <xf numFmtId="0" fontId="6" fillId="21" borderId="37" xfId="0" applyFont="1" applyFill="1" applyBorder="1" applyAlignment="1">
      <alignment horizontal="center"/>
    </xf>
    <xf numFmtId="0" fontId="6" fillId="21" borderId="39" xfId="0" applyFont="1" applyFill="1" applyBorder="1" applyAlignment="1">
      <alignment horizontal="center"/>
    </xf>
    <xf numFmtId="0" fontId="6" fillId="21" borderId="35" xfId="0" applyFont="1" applyFill="1" applyBorder="1" applyAlignment="1">
      <alignment horizontal="center"/>
    </xf>
    <xf numFmtId="0" fontId="6" fillId="0" borderId="37" xfId="0" applyFont="1" applyBorder="1" applyAlignment="1">
      <alignment horizontal="left"/>
    </xf>
    <xf numFmtId="0" fontId="6" fillId="21" borderId="39" xfId="0" applyFont="1" applyFill="1" applyBorder="1" applyAlignment="1">
      <alignment horizontal="left"/>
    </xf>
    <xf numFmtId="0" fontId="0" fillId="0" borderId="51" xfId="0" applyBorder="1"/>
    <xf numFmtId="0" fontId="0" fillId="5" borderId="17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30" fillId="25" borderId="51" xfId="0" applyFont="1" applyFill="1" applyBorder="1"/>
    <xf numFmtId="0" fontId="23" fillId="26" borderId="51" xfId="0" applyFont="1" applyFill="1" applyBorder="1"/>
    <xf numFmtId="0" fontId="0" fillId="0" borderId="52" xfId="0" applyBorder="1"/>
    <xf numFmtId="0" fontId="6" fillId="12" borderId="40" xfId="0" applyFont="1" applyFill="1" applyBorder="1" applyAlignment="1">
      <alignment horizontal="center" vertical="top"/>
    </xf>
    <xf numFmtId="0" fontId="13" fillId="6" borderId="53" xfId="0" applyFont="1" applyFill="1" applyBorder="1" applyAlignment="1">
      <alignment horizontal="center" vertical="center"/>
    </xf>
    <xf numFmtId="0" fontId="13" fillId="6" borderId="12" xfId="0" applyFont="1" applyFill="1" applyBorder="1" applyAlignment="1">
      <alignment horizontal="center" vertical="center"/>
    </xf>
    <xf numFmtId="0" fontId="13" fillId="6" borderId="12" xfId="0" applyFont="1" applyFill="1" applyBorder="1" applyAlignment="1">
      <alignment horizontal="center" vertical="center" wrapText="1"/>
    </xf>
    <xf numFmtId="0" fontId="13" fillId="6" borderId="28" xfId="0" applyFont="1" applyFill="1" applyBorder="1" applyAlignment="1">
      <alignment horizontal="center" vertical="center"/>
    </xf>
    <xf numFmtId="0" fontId="13" fillId="11" borderId="21" xfId="0" applyFont="1" applyFill="1" applyBorder="1" applyAlignment="1">
      <alignment horizontal="center" vertical="center"/>
    </xf>
    <xf numFmtId="0" fontId="13" fillId="11" borderId="21" xfId="0" applyFont="1" applyFill="1" applyBorder="1" applyAlignment="1">
      <alignment horizontal="center" vertical="center" wrapText="1"/>
    </xf>
    <xf numFmtId="0" fontId="13" fillId="11" borderId="22" xfId="0" applyFont="1" applyFill="1" applyBorder="1" applyAlignment="1">
      <alignment horizontal="center" vertical="center"/>
    </xf>
    <xf numFmtId="0" fontId="0" fillId="27" borderId="0" xfId="0" applyFill="1"/>
    <xf numFmtId="0" fontId="0" fillId="2" borderId="52" xfId="0" applyFill="1" applyBorder="1"/>
    <xf numFmtId="0" fontId="0" fillId="28" borderId="52" xfId="0" applyFill="1" applyBorder="1"/>
    <xf numFmtId="0" fontId="0" fillId="18" borderId="52" xfId="0" applyFill="1" applyBorder="1"/>
    <xf numFmtId="0" fontId="0" fillId="2" borderId="54" xfId="0" applyFill="1" applyBorder="1"/>
    <xf numFmtId="0" fontId="0" fillId="27" borderId="52" xfId="0" applyFill="1" applyBorder="1"/>
    <xf numFmtId="0" fontId="0" fillId="0" borderId="54" xfId="0" applyBorder="1"/>
    <xf numFmtId="0" fontId="1" fillId="0" borderId="52" xfId="0" applyFont="1" applyBorder="1"/>
    <xf numFmtId="0" fontId="13" fillId="10" borderId="21" xfId="0" applyFont="1" applyFill="1" applyBorder="1" applyAlignment="1">
      <alignment horizontal="center"/>
    </xf>
    <xf numFmtId="0" fontId="13" fillId="10" borderId="22" xfId="0" applyFont="1" applyFill="1" applyBorder="1" applyAlignment="1">
      <alignment horizontal="center"/>
    </xf>
    <xf numFmtId="0" fontId="0" fillId="3" borderId="52" xfId="0" applyFill="1" applyBorder="1"/>
    <xf numFmtId="0" fontId="6" fillId="12" borderId="49" xfId="0" applyFont="1" applyFill="1" applyBorder="1" applyAlignment="1">
      <alignment horizontal="center" vertical="top"/>
    </xf>
    <xf numFmtId="0" fontId="6" fillId="12" borderId="34" xfId="0" applyFont="1" applyFill="1" applyBorder="1" applyAlignment="1">
      <alignment horizontal="center" vertical="top"/>
    </xf>
    <xf numFmtId="0" fontId="0" fillId="28" borderId="54" xfId="0" applyFill="1" applyBorder="1"/>
    <xf numFmtId="0" fontId="1" fillId="0" borderId="36" xfId="0" applyFont="1" applyBorder="1"/>
    <xf numFmtId="0" fontId="1" fillId="0" borderId="35" xfId="0" applyFont="1" applyBorder="1"/>
    <xf numFmtId="0" fontId="0" fillId="10" borderId="52" xfId="0" applyFill="1" applyBorder="1"/>
    <xf numFmtId="0" fontId="1" fillId="0" borderId="10" xfId="0" applyFont="1" applyBorder="1"/>
    <xf numFmtId="0" fontId="1" fillId="28" borderId="37" xfId="0" applyFont="1" applyFill="1" applyBorder="1"/>
    <xf numFmtId="0" fontId="7" fillId="0" borderId="35" xfId="0" applyFont="1" applyBorder="1"/>
    <xf numFmtId="0" fontId="7" fillId="28" borderId="35" xfId="0" applyFont="1" applyFill="1" applyBorder="1"/>
    <xf numFmtId="0" fontId="6" fillId="28" borderId="35" xfId="0" applyFont="1" applyFill="1" applyBorder="1"/>
    <xf numFmtId="0" fontId="0" fillId="0" borderId="25" xfId="0" applyBorder="1"/>
    <xf numFmtId="0" fontId="0" fillId="0" borderId="28" xfId="0" applyBorder="1"/>
    <xf numFmtId="0" fontId="0" fillId="0" borderId="26" xfId="0" applyBorder="1"/>
    <xf numFmtId="0" fontId="0" fillId="0" borderId="27" xfId="0" applyBorder="1"/>
    <xf numFmtId="0" fontId="30" fillId="0" borderId="52" xfId="0" applyFont="1" applyBorder="1"/>
    <xf numFmtId="0" fontId="30" fillId="0" borderId="55" xfId="0" applyFont="1" applyBorder="1"/>
    <xf numFmtId="0" fontId="30" fillId="0" borderId="56" xfId="0" applyFont="1" applyBorder="1"/>
    <xf numFmtId="0" fontId="30" fillId="0" borderId="57" xfId="0" applyFont="1" applyBorder="1"/>
    <xf numFmtId="0" fontId="30" fillId="4" borderId="57" xfId="0" applyFont="1" applyFill="1" applyBorder="1"/>
    <xf numFmtId="0" fontId="30" fillId="13" borderId="56" xfId="0" applyFont="1" applyFill="1" applyBorder="1"/>
    <xf numFmtId="0" fontId="30" fillId="13" borderId="57" xfId="0" applyFont="1" applyFill="1" applyBorder="1"/>
    <xf numFmtId="0" fontId="30" fillId="0" borderId="58" xfId="0" applyFont="1" applyBorder="1"/>
    <xf numFmtId="0" fontId="30" fillId="0" borderId="59" xfId="0" applyFont="1" applyBorder="1"/>
    <xf numFmtId="0" fontId="30" fillId="4" borderId="55" xfId="0" applyFont="1" applyFill="1" applyBorder="1"/>
    <xf numFmtId="0" fontId="31" fillId="15" borderId="36" xfId="0" applyFont="1" applyFill="1" applyBorder="1"/>
    <xf numFmtId="0" fontId="30" fillId="13" borderId="58" xfId="0" applyFont="1" applyFill="1" applyBorder="1"/>
    <xf numFmtId="0" fontId="30" fillId="13" borderId="59" xfId="0" applyFont="1" applyFill="1" applyBorder="1"/>
    <xf numFmtId="0" fontId="30" fillId="14" borderId="57" xfId="0" applyFont="1" applyFill="1" applyBorder="1"/>
    <xf numFmtId="0" fontId="30" fillId="4" borderId="56" xfId="0" applyFont="1" applyFill="1" applyBorder="1"/>
    <xf numFmtId="0" fontId="30" fillId="13" borderId="52" xfId="0" applyFont="1" applyFill="1" applyBorder="1"/>
    <xf numFmtId="0" fontId="30" fillId="13" borderId="55" xfId="0" applyFont="1" applyFill="1" applyBorder="1"/>
    <xf numFmtId="0" fontId="30" fillId="29" borderId="56" xfId="0" applyFont="1" applyFill="1" applyBorder="1"/>
    <xf numFmtId="0" fontId="31" fillId="0" borderId="10" xfId="0" applyFont="1" applyBorder="1"/>
    <xf numFmtId="0" fontId="31" fillId="0" borderId="14" xfId="0" applyFont="1" applyBorder="1"/>
    <xf numFmtId="0" fontId="31" fillId="0" borderId="60" xfId="0" applyFont="1" applyBorder="1"/>
    <xf numFmtId="0" fontId="31" fillId="0" borderId="37" xfId="0" applyFont="1" applyBorder="1"/>
    <xf numFmtId="0" fontId="31" fillId="0" borderId="36" xfId="0" applyFont="1" applyBorder="1"/>
    <xf numFmtId="0" fontId="31" fillId="0" borderId="1" xfId="0" applyFont="1" applyBorder="1"/>
    <xf numFmtId="0" fontId="32" fillId="30" borderId="21" xfId="0" applyFont="1" applyFill="1" applyBorder="1"/>
    <xf numFmtId="0" fontId="32" fillId="30" borderId="61" xfId="0" applyFont="1" applyFill="1" applyBorder="1"/>
    <xf numFmtId="0" fontId="32" fillId="30" borderId="61" xfId="0" applyFont="1" applyFill="1" applyBorder="1" applyAlignment="1">
      <alignment wrapText="1"/>
    </xf>
    <xf numFmtId="0" fontId="32" fillId="30" borderId="22" xfId="0" applyFont="1" applyFill="1" applyBorder="1"/>
    <xf numFmtId="0" fontId="30" fillId="4" borderId="52" xfId="0" applyFont="1" applyFill="1" applyBorder="1"/>
    <xf numFmtId="0" fontId="31" fillId="15" borderId="58" xfId="0" applyFont="1" applyFill="1" applyBorder="1"/>
    <xf numFmtId="0" fontId="22" fillId="0" borderId="1" xfId="0" applyFont="1" applyBorder="1"/>
    <xf numFmtId="0" fontId="22" fillId="0" borderId="60" xfId="0" applyFont="1" applyBorder="1"/>
    <xf numFmtId="0" fontId="22" fillId="0" borderId="10" xfId="0" applyFont="1" applyBorder="1"/>
    <xf numFmtId="0" fontId="22" fillId="0" borderId="14" xfId="0" applyFont="1" applyBorder="1"/>
    <xf numFmtId="0" fontId="32" fillId="29" borderId="21" xfId="0" applyFont="1" applyFill="1" applyBorder="1"/>
    <xf numFmtId="0" fontId="32" fillId="29" borderId="61" xfId="0" applyFont="1" applyFill="1" applyBorder="1"/>
    <xf numFmtId="0" fontId="32" fillId="29" borderId="22" xfId="0" applyFont="1" applyFill="1" applyBorder="1"/>
    <xf numFmtId="0" fontId="31" fillId="15" borderId="19" xfId="0" applyFont="1" applyFill="1" applyBorder="1"/>
    <xf numFmtId="0" fontId="30" fillId="4" borderId="59" xfId="0" applyFont="1" applyFill="1" applyBorder="1"/>
    <xf numFmtId="0" fontId="0" fillId="0" borderId="56" xfId="0" applyBorder="1"/>
    <xf numFmtId="0" fontId="33" fillId="0" borderId="0" xfId="0" applyFont="1"/>
    <xf numFmtId="0" fontId="6" fillId="5" borderId="37" xfId="0" applyFont="1" applyFill="1" applyBorder="1"/>
    <xf numFmtId="0" fontId="0" fillId="5" borderId="52" xfId="0" applyFill="1" applyBorder="1"/>
    <xf numFmtId="0" fontId="31" fillId="0" borderId="0" xfId="0" applyFont="1"/>
    <xf numFmtId="0" fontId="31" fillId="31" borderId="37" xfId="0" applyFont="1" applyFill="1" applyBorder="1" applyAlignment="1">
      <alignment wrapText="1"/>
    </xf>
    <xf numFmtId="0" fontId="22" fillId="0" borderId="36" xfId="0" applyFont="1" applyBorder="1"/>
    <xf numFmtId="0" fontId="31" fillId="31" borderId="36" xfId="0" applyFont="1" applyFill="1" applyBorder="1" applyAlignment="1">
      <alignment wrapText="1"/>
    </xf>
    <xf numFmtId="0" fontId="31" fillId="31" borderId="1" xfId="0" applyFont="1" applyFill="1" applyBorder="1" applyAlignment="1">
      <alignment wrapText="1"/>
    </xf>
    <xf numFmtId="0" fontId="31" fillId="31" borderId="60" xfId="0" applyFont="1" applyFill="1" applyBorder="1" applyAlignment="1">
      <alignment wrapText="1"/>
    </xf>
    <xf numFmtId="0" fontId="34" fillId="0" borderId="37" xfId="0" applyFont="1" applyBorder="1"/>
    <xf numFmtId="0" fontId="0" fillId="32" borderId="52" xfId="0" applyFill="1" applyBorder="1"/>
    <xf numFmtId="0" fontId="0" fillId="32" borderId="54" xfId="0" applyFill="1" applyBorder="1"/>
    <xf numFmtId="0" fontId="30" fillId="32" borderId="52" xfId="0" applyFont="1" applyFill="1" applyBorder="1"/>
    <xf numFmtId="0" fontId="30" fillId="32" borderId="57" xfId="0" applyFont="1" applyFill="1" applyBorder="1"/>
    <xf numFmtId="0" fontId="30" fillId="32" borderId="56" xfId="0" applyFont="1" applyFill="1" applyBorder="1"/>
    <xf numFmtId="0" fontId="30" fillId="32" borderId="55" xfId="0" applyFont="1" applyFill="1" applyBorder="1"/>
    <xf numFmtId="0" fontId="0" fillId="33" borderId="52" xfId="0" applyFill="1" applyBorder="1"/>
    <xf numFmtId="0" fontId="0" fillId="33" borderId="54" xfId="0" applyFill="1" applyBorder="1"/>
    <xf numFmtId="0" fontId="1" fillId="33" borderId="37" xfId="0" applyFont="1" applyFill="1" applyBorder="1"/>
    <xf numFmtId="0" fontId="0" fillId="5" borderId="54" xfId="0" applyFill="1" applyBorder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</cellXfs>
  <cellStyles count="9">
    <cellStyle name="Bad" xfId="8" builtinId="27"/>
    <cellStyle name="Good" xfId="7" builtinId="26"/>
    <cellStyle name="Neutral" xfId="6" builtinId="28"/>
    <cellStyle name="Neutral 2" xfId="3" xr:uid="{00000000-0005-0000-0000-000003000000}"/>
    <cellStyle name="Normal" xfId="0" builtinId="0"/>
    <cellStyle name="Normal 2" xfId="1" xr:uid="{00000000-0005-0000-0000-000005000000}"/>
    <cellStyle name="Normal 2 2" xfId="2" xr:uid="{00000000-0005-0000-0000-000006000000}"/>
    <cellStyle name="Normal 2 3" xfId="5" xr:uid="{00000000-0005-0000-0000-000007000000}"/>
    <cellStyle name="Normal 3" xfId="4" xr:uid="{00000000-0005-0000-0000-000008000000}"/>
  </cellStyles>
  <dxfs count="912">
    <dxf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 outline="0">
        <bottom style="thin">
          <color indexed="64"/>
        </bottom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3399"/>
      <color rgb="FFFF9900"/>
      <color rgb="FFFF65FF"/>
      <color rgb="FFCC99FF"/>
      <color rgb="FFEAEAEA"/>
      <color rgb="FF09FFFF"/>
      <color rgb="FF67FE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eek%201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 14"/>
    </sheetNames>
    <sheetDataSet>
      <sheetData sheetId="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karen riccioni" id="{924D9C1A-4218-4462-BDFE-026942CFDD84}" userId="S::248142@monashhealth.org::108d7e24-374f-400e-bbe8-9724a4484812" providerId="AD"/>
  <person displayName="Tobias VanHest" id="{EC93AAA4-1F19-439C-8553-D44431B133D2}" userId="S::609660@monashhealth.org::1ff67ee5-d3f0-4d8a-87e3-7412e42a8700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2:D31" totalsRowShown="0" dataDxfId="6" headerRowBorderDxfId="4" tableBorderDxfId="5">
  <autoFilter ref="A2:D31" xr:uid="{00000000-0009-0000-0100-000002000000}"/>
  <tableColumns count="4">
    <tableColumn id="1" xr3:uid="{00000000-0010-0000-0000-000001000000}" name="Staff Specialist" dataDxfId="3"/>
    <tableColumn id="2" xr3:uid="{00000000-0010-0000-0000-000002000000}" name="Employee Number" dataDxfId="2"/>
    <tableColumn id="3" xr3:uid="{00000000-0010-0000-0000-000003000000}" name="EFT" dataDxfId="1"/>
    <tableColumn id="4" xr3:uid="{00000000-0010-0000-0000-000004000000}" name="Column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69" dT="2026-05-05T00:03:18.88" personId="{924D9C1A-4218-4462-BDFE-026942CFDD84}" id="{5A8B8B63-47AC-4DFF-AEBA-5BB3177B4978}">
    <text>swap with rita 15/5 &amp; 17/5</text>
  </threadedComment>
  <threadedComment ref="K73" dT="2026-05-07T00:50:16.03" personId="{924D9C1A-4218-4462-BDFE-026942CFDD84}" id="{D5C6B2CE-98E4-4A20-BD8A-90E7E36D71A7}">
    <text>swap with leila 12/5  &amp; 16/5</text>
  </threadedComment>
  <threadedComment ref="I75" dT="2026-05-08T04:36:52.47" personId="{924D9C1A-4218-4462-BDFE-026942CFDD84}" id="{32244544-1FC0-46B1-8E17-40291B7AA830}">
    <text>swap with efi and pam 14/5 &amp; 29/5 approved by adam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35" dT="2026-04-08T00:53:19.04" personId="{EC93AAA4-1F19-439C-8553-D44431B133D2}" id="{61A1EC3A-B388-48BC-BBBD-28D75FB285F9}">
    <text>Pay AM shift - to be worked 17/7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J70" dT="2026-05-08T04:38:07.88" personId="{924D9C1A-4218-4462-BDFE-026942CFDD84}" id="{385171A2-92E2-44CB-B315-99B0E010BFAE}">
    <text>swap with pam 14/5  &amp; 29/5 adam approved.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H28" dT="2026-04-16T11:30:20.64" personId="{EC93AAA4-1F19-439C-8553-D44431B133D2}" id="{A95CA098-0C36-4F05-A5DA-225ADB8AA537}">
    <text>do not add to UKG - to be paid 2/7 (week 9)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H35" dT="2026-04-08T00:52:46.93" personId="{EC93AAA4-1F19-439C-8553-D44431B133D2}" id="{3BA0B7D9-2D52-4624-827F-F59636DF727E}">
    <text>do not add to UKG - Shift paid 17/6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I28" dT="2026-04-16T11:29:53.34" personId="{EC93AAA4-1F19-439C-8553-D44431B133D2}" id="{E6569F91-E144-47AB-A2BA-188EB7AE79F8}">
    <text>Pay PM - worked 10/6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76"/>
  <sheetViews>
    <sheetView topLeftCell="A55" workbookViewId="0">
      <selection activeCell="I82" sqref="I82"/>
    </sheetView>
  </sheetViews>
  <sheetFormatPr defaultColWidth="31.28515625" defaultRowHeight="15" customHeight="1"/>
  <cols>
    <col min="1" max="1" width="15.140625" style="5" customWidth="1"/>
    <col min="2" max="2" width="10.42578125" style="5" customWidth="1"/>
    <col min="3" max="3" width="6" style="8" customWidth="1"/>
    <col min="4" max="4" width="26.7109375" style="5" bestFit="1" customWidth="1"/>
    <col min="5" max="5" width="8.42578125" style="8" customWidth="1"/>
    <col min="6" max="7" width="15.85546875" style="5" customWidth="1"/>
    <col min="8" max="8" width="20" style="5" customWidth="1"/>
    <col min="9" max="12" width="15.85546875" style="5" customWidth="1"/>
    <col min="13" max="13" width="31.28515625" style="5"/>
    <col min="14" max="15" width="7.85546875" style="5" customWidth="1"/>
    <col min="16" max="16" width="8.42578125" style="5" customWidth="1"/>
    <col min="17" max="17" width="8.7109375" style="5" customWidth="1"/>
    <col min="18" max="18" width="12.7109375" style="5" customWidth="1"/>
    <col min="19" max="20" width="31.28515625" style="5"/>
    <col min="21" max="25" width="7.140625" style="5" customWidth="1"/>
    <col min="26" max="16384" width="31.28515625" style="5"/>
  </cols>
  <sheetData>
    <row r="1" spans="1:22" s="2" customFormat="1" ht="15" customHeight="1" thickBot="1">
      <c r="A1" s="34" t="s">
        <v>0</v>
      </c>
      <c r="B1" s="103" t="s">
        <v>1</v>
      </c>
      <c r="C1" s="104" t="s">
        <v>2</v>
      </c>
      <c r="D1" s="104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 t="s">
        <v>8</v>
      </c>
      <c r="J1" s="47" t="s">
        <v>9</v>
      </c>
      <c r="K1" s="47" t="s">
        <v>10</v>
      </c>
      <c r="L1" s="47" t="s">
        <v>11</v>
      </c>
      <c r="M1" s="103" t="s">
        <v>12</v>
      </c>
      <c r="V1" s="142"/>
    </row>
    <row r="2" spans="1:22" s="2" customFormat="1" ht="15" customHeight="1" thickBot="1">
      <c r="A2" s="13" t="s">
        <v>13</v>
      </c>
      <c r="C2" s="21"/>
      <c r="E2" s="21"/>
      <c r="F2" s="122">
        <v>46146</v>
      </c>
      <c r="G2" s="95">
        <f>F2+1</f>
        <v>46147</v>
      </c>
      <c r="H2" s="95">
        <f>G2+1</f>
        <v>46148</v>
      </c>
      <c r="I2" s="95">
        <f>H2+1</f>
        <v>46149</v>
      </c>
      <c r="J2" s="95">
        <f t="shared" ref="J2:L2" si="0">I2+1</f>
        <v>46150</v>
      </c>
      <c r="K2" s="95">
        <f t="shared" si="0"/>
        <v>46151</v>
      </c>
      <c r="L2" s="95">
        <f t="shared" si="0"/>
        <v>46152</v>
      </c>
      <c r="V2" s="142"/>
    </row>
    <row r="3" spans="1:22" s="2" customFormat="1" ht="15" customHeight="1" thickBot="1">
      <c r="A3" s="111" t="s">
        <v>14</v>
      </c>
      <c r="B3" s="112">
        <v>1</v>
      </c>
      <c r="E3" s="21"/>
      <c r="F3" s="94"/>
      <c r="G3" s="95"/>
      <c r="H3" s="95"/>
      <c r="I3" s="95"/>
      <c r="J3" s="95"/>
      <c r="K3" s="95"/>
      <c r="L3" s="95"/>
      <c r="V3" s="142"/>
    </row>
    <row r="4" spans="1:22" ht="22.5" customHeight="1" thickBot="1">
      <c r="A4" s="13" t="s">
        <v>15</v>
      </c>
      <c r="B4" s="2"/>
      <c r="C4" s="121">
        <v>1</v>
      </c>
      <c r="D4" s="359" t="s">
        <v>16</v>
      </c>
      <c r="E4" s="360"/>
      <c r="F4" s="360"/>
      <c r="G4" s="360"/>
      <c r="H4" s="360"/>
      <c r="I4" s="360"/>
      <c r="J4" s="360"/>
      <c r="K4" s="360"/>
      <c r="L4" s="360"/>
      <c r="V4" s="143"/>
    </row>
    <row r="5" spans="1:22" s="2" customFormat="1" ht="15" customHeight="1" thickBot="1">
      <c r="A5" s="13"/>
      <c r="C5" s="21"/>
      <c r="E5" s="21"/>
      <c r="F5" s="94"/>
      <c r="G5" s="95"/>
      <c r="H5" s="95"/>
      <c r="I5" s="95"/>
      <c r="J5" s="95"/>
      <c r="K5" s="95"/>
      <c r="L5" s="95"/>
      <c r="V5" s="142"/>
    </row>
    <row r="6" spans="1:22" s="2" customFormat="1" ht="15" customHeight="1">
      <c r="A6" s="13"/>
      <c r="C6" s="21"/>
      <c r="D6" s="96" t="s">
        <v>17</v>
      </c>
      <c r="E6" s="97"/>
      <c r="F6" s="101">
        <f>COUNTIF(F$21:F$49,"0800-1???")-COUNTIFS(F$48,"0800-1???",$D$48,"Locum")-COUNTIFS(F$49,"0800-1???",$D$49,"Locum")</f>
        <v>3</v>
      </c>
      <c r="G6" s="101">
        <f t="shared" ref="G6:L6" si="1">COUNTIF(G$21:G$49,"0800-1???")-COUNTIFS(G$48,"0800-1???",$D$48,"Locum")-COUNTIFS(G$49,"0800-1???",$D$49,"Locum")</f>
        <v>4</v>
      </c>
      <c r="H6" s="101">
        <f t="shared" si="1"/>
        <v>3</v>
      </c>
      <c r="I6" s="101">
        <f t="shared" si="1"/>
        <v>2</v>
      </c>
      <c r="J6" s="101">
        <f t="shared" si="1"/>
        <v>3</v>
      </c>
      <c r="K6" s="101">
        <f t="shared" si="1"/>
        <v>2</v>
      </c>
      <c r="L6" s="101">
        <f t="shared" si="1"/>
        <v>2</v>
      </c>
      <c r="V6" s="142"/>
    </row>
    <row r="7" spans="1:22" s="2" customFormat="1" ht="15" customHeight="1" thickBot="1">
      <c r="A7" s="13"/>
      <c r="C7" s="21"/>
      <c r="D7" s="68" t="s">
        <v>18</v>
      </c>
      <c r="E7" s="67"/>
      <c r="F7" s="109">
        <f t="shared" ref="F7:L7" si="2">COUNTIF(F$54:F$102,"0800-1???")</f>
        <v>9</v>
      </c>
      <c r="G7" s="109">
        <f t="shared" si="2"/>
        <v>3</v>
      </c>
      <c r="H7" s="109">
        <f t="shared" si="2"/>
        <v>4</v>
      </c>
      <c r="I7" s="109">
        <f t="shared" si="2"/>
        <v>7</v>
      </c>
      <c r="J7" s="109">
        <f t="shared" si="2"/>
        <v>4</v>
      </c>
      <c r="K7" s="109">
        <f t="shared" si="2"/>
        <v>4</v>
      </c>
      <c r="L7" s="157">
        <f t="shared" si="2"/>
        <v>4</v>
      </c>
      <c r="V7" s="142"/>
    </row>
    <row r="8" spans="1:22" s="2" customFormat="1" ht="15" customHeight="1" thickBot="1">
      <c r="A8" s="13"/>
      <c r="C8" s="21"/>
      <c r="D8" s="98" t="s">
        <v>19</v>
      </c>
      <c r="E8" s="99"/>
      <c r="F8" s="108">
        <f>F6+F7</f>
        <v>12</v>
      </c>
      <c r="G8" s="108">
        <f t="shared" ref="G8:L8" si="3">G6+G7</f>
        <v>7</v>
      </c>
      <c r="H8" s="108">
        <f t="shared" si="3"/>
        <v>7</v>
      </c>
      <c r="I8" s="108">
        <f t="shared" si="3"/>
        <v>9</v>
      </c>
      <c r="J8" s="108">
        <f t="shared" si="3"/>
        <v>7</v>
      </c>
      <c r="K8" s="108">
        <f t="shared" si="3"/>
        <v>6</v>
      </c>
      <c r="L8" s="158">
        <f t="shared" si="3"/>
        <v>6</v>
      </c>
      <c r="V8" s="142"/>
    </row>
    <row r="9" spans="1:22" s="2" customFormat="1" ht="15" customHeight="1" thickBot="1">
      <c r="A9" s="13"/>
      <c r="C9" s="21"/>
      <c r="E9" s="21"/>
      <c r="F9" s="21"/>
      <c r="G9" s="21"/>
      <c r="H9" s="21"/>
      <c r="I9" s="21"/>
      <c r="J9" s="21"/>
      <c r="K9" s="21"/>
      <c r="L9" s="21"/>
      <c r="V9" s="142"/>
    </row>
    <row r="10" spans="1:22" s="2" customFormat="1" ht="15" customHeight="1">
      <c r="A10" s="13"/>
      <c r="C10" s="21"/>
      <c r="D10" s="96" t="s">
        <v>20</v>
      </c>
      <c r="E10" s="97"/>
      <c r="F10" s="101">
        <f>COUNTIF(F$21:F$49,"1100-????")-COUNTIFS(F$48,"1100-????",$D$48,"Locum")-COUNTIFS(F$49,"1100-????",$D$49,"Locum")</f>
        <v>0</v>
      </c>
      <c r="G10" s="101">
        <f t="shared" ref="G10:L10" si="4">COUNTIF(G$21:G$49,"1100-????")-COUNTIFS(G$48,"1100-????",$D$48,"Locum")-COUNTIFS(G$49,"1100-????",$D$49,"Locum")</f>
        <v>0</v>
      </c>
      <c r="H10" s="101">
        <f t="shared" si="4"/>
        <v>0</v>
      </c>
      <c r="I10" s="101">
        <f t="shared" si="4"/>
        <v>0</v>
      </c>
      <c r="J10" s="101">
        <f t="shared" si="4"/>
        <v>0</v>
      </c>
      <c r="K10" s="101">
        <f t="shared" si="4"/>
        <v>0</v>
      </c>
      <c r="L10" s="101">
        <f t="shared" si="4"/>
        <v>0</v>
      </c>
      <c r="V10" s="142"/>
    </row>
    <row r="11" spans="1:22" s="2" customFormat="1" ht="15" customHeight="1">
      <c r="A11" s="13"/>
      <c r="C11" s="21"/>
      <c r="D11" s="68" t="s">
        <v>21</v>
      </c>
      <c r="E11" s="67"/>
      <c r="F11" s="161">
        <f>COUNTIF(F$54:F$102,"1100-????")</f>
        <v>0</v>
      </c>
      <c r="G11" s="161">
        <f t="shared" ref="G11:L11" si="5">COUNTIF(G$54:G$102,"1100-????")</f>
        <v>0</v>
      </c>
      <c r="H11" s="161">
        <f t="shared" si="5"/>
        <v>0</v>
      </c>
      <c r="I11" s="161">
        <f t="shared" si="5"/>
        <v>0</v>
      </c>
      <c r="J11" s="161">
        <f t="shared" si="5"/>
        <v>0</v>
      </c>
      <c r="K11" s="161">
        <f t="shared" si="5"/>
        <v>0</v>
      </c>
      <c r="L11" s="179">
        <f t="shared" si="5"/>
        <v>0</v>
      </c>
      <c r="V11" s="142"/>
    </row>
    <row r="12" spans="1:22" s="2" customFormat="1" ht="15" customHeight="1">
      <c r="A12" s="13"/>
      <c r="C12" s="21"/>
      <c r="D12" s="68" t="s">
        <v>22</v>
      </c>
      <c r="E12" s="67"/>
      <c r="F12" s="102">
        <f>COUNTIF(F$21:F$49,"1???-00?0")-COUNTIFS(F$48,"1???-00?0",$D$48,"Locum")-COUNTIFS(F$49,"1???-00?0",$D$49,"Locum")</f>
        <v>3</v>
      </c>
      <c r="G12" s="102">
        <f t="shared" ref="G12:L12" si="6">COUNTIF(G$21:G$49,"1???-00?0")-COUNTIFS(G$48,"1???-00?0",$D$48,"Locum")-COUNTIFS(G$49,"1???-00?0",$D$49,"Locum")</f>
        <v>3</v>
      </c>
      <c r="H12" s="102">
        <f t="shared" si="6"/>
        <v>2</v>
      </c>
      <c r="I12" s="102">
        <f t="shared" si="6"/>
        <v>3</v>
      </c>
      <c r="J12" s="102">
        <f t="shared" si="6"/>
        <v>3</v>
      </c>
      <c r="K12" s="102">
        <f t="shared" si="6"/>
        <v>2</v>
      </c>
      <c r="L12" s="102">
        <f t="shared" si="6"/>
        <v>2</v>
      </c>
      <c r="V12" s="142"/>
    </row>
    <row r="13" spans="1:22" s="2" customFormat="1" ht="15" customHeight="1" thickBot="1">
      <c r="A13" s="13"/>
      <c r="C13" s="21"/>
      <c r="D13" s="68" t="s">
        <v>23</v>
      </c>
      <c r="E13" s="67"/>
      <c r="F13" s="109">
        <f>COUNTIF(F$54:F$102,"1???-0000*")</f>
        <v>9</v>
      </c>
      <c r="G13" s="109">
        <f t="shared" ref="G13:L13" si="7">COUNTIF(G$54:G$102,"1???-0000*")</f>
        <v>7</v>
      </c>
      <c r="H13" s="109">
        <f t="shared" si="7"/>
        <v>5</v>
      </c>
      <c r="I13" s="109">
        <f t="shared" si="7"/>
        <v>7</v>
      </c>
      <c r="J13" s="109">
        <f t="shared" si="7"/>
        <v>7</v>
      </c>
      <c r="K13" s="109">
        <f t="shared" si="7"/>
        <v>8</v>
      </c>
      <c r="L13" s="157">
        <f t="shared" si="7"/>
        <v>8</v>
      </c>
      <c r="V13" s="142"/>
    </row>
    <row r="14" spans="1:22" s="2" customFormat="1" ht="15" customHeight="1" thickBot="1">
      <c r="A14" s="13"/>
      <c r="C14" s="21"/>
      <c r="D14" s="98" t="s">
        <v>24</v>
      </c>
      <c r="E14" s="99"/>
      <c r="F14" s="108">
        <f>F12+F13</f>
        <v>12</v>
      </c>
      <c r="G14" s="108">
        <f t="shared" ref="G14:L14" si="8">G12+G13</f>
        <v>10</v>
      </c>
      <c r="H14" s="108">
        <f t="shared" si="8"/>
        <v>7</v>
      </c>
      <c r="I14" s="108">
        <f t="shared" si="8"/>
        <v>10</v>
      </c>
      <c r="J14" s="108">
        <f t="shared" si="8"/>
        <v>10</v>
      </c>
      <c r="K14" s="108">
        <f t="shared" si="8"/>
        <v>10</v>
      </c>
      <c r="L14" s="158">
        <f t="shared" si="8"/>
        <v>10</v>
      </c>
      <c r="V14" s="142"/>
    </row>
    <row r="15" spans="1:22" s="2" customFormat="1" ht="15" customHeight="1" thickBot="1">
      <c r="A15" s="13"/>
      <c r="C15" s="21"/>
      <c r="E15" s="21"/>
      <c r="F15" s="21"/>
      <c r="G15" s="21"/>
      <c r="H15" s="21"/>
      <c r="I15" s="21"/>
      <c r="J15" s="21"/>
      <c r="K15" s="21"/>
      <c r="L15" s="21"/>
      <c r="V15" s="142"/>
    </row>
    <row r="16" spans="1:22" s="2" customFormat="1" ht="15" customHeight="1" thickBot="1">
      <c r="A16" s="13"/>
      <c r="C16" s="21"/>
      <c r="D16" s="100" t="s">
        <v>25</v>
      </c>
      <c r="E16" s="72"/>
      <c r="F16" s="66">
        <f t="shared" ref="F16:L16" si="9">COUNTIF(F$54:F$99,"2300-0830")</f>
        <v>4</v>
      </c>
      <c r="G16" s="66">
        <f t="shared" si="9"/>
        <v>4</v>
      </c>
      <c r="H16" s="66">
        <f t="shared" si="9"/>
        <v>4</v>
      </c>
      <c r="I16" s="66">
        <f t="shared" si="9"/>
        <v>4</v>
      </c>
      <c r="J16" s="66">
        <f t="shared" si="9"/>
        <v>5</v>
      </c>
      <c r="K16" s="66">
        <f t="shared" si="9"/>
        <v>5</v>
      </c>
      <c r="L16" s="159">
        <f t="shared" si="9"/>
        <v>5</v>
      </c>
      <c r="V16" s="142"/>
    </row>
    <row r="17" spans="1:25" s="2" customFormat="1" ht="15" customHeight="1" thickBot="1">
      <c r="A17" s="13"/>
      <c r="C17" s="21"/>
      <c r="E17" s="21"/>
      <c r="F17" s="21"/>
      <c r="G17" s="21"/>
      <c r="H17" s="21"/>
      <c r="I17" s="21"/>
      <c r="J17" s="21"/>
      <c r="K17" s="21"/>
      <c r="L17" s="21"/>
      <c r="V17" s="142"/>
    </row>
    <row r="18" spans="1:25" s="2" customFormat="1" ht="15" customHeight="1" thickBot="1">
      <c r="A18" s="13"/>
      <c r="C18" s="21"/>
      <c r="D18" s="61" t="s">
        <v>26</v>
      </c>
      <c r="E18" s="62" t="s">
        <v>4</v>
      </c>
      <c r="F18" s="62" t="s">
        <v>5</v>
      </c>
      <c r="G18" s="62" t="s">
        <v>6</v>
      </c>
      <c r="H18" s="62" t="s">
        <v>7</v>
      </c>
      <c r="I18" s="62" t="s">
        <v>8</v>
      </c>
      <c r="J18" s="62" t="s">
        <v>9</v>
      </c>
      <c r="K18" s="62" t="s">
        <v>10</v>
      </c>
      <c r="L18" s="63" t="s">
        <v>11</v>
      </c>
      <c r="N18" s="145" t="s">
        <v>27</v>
      </c>
      <c r="O18" s="145" t="s">
        <v>28</v>
      </c>
      <c r="P18" s="136" t="s">
        <v>29</v>
      </c>
      <c r="R18" s="146" t="s">
        <v>30</v>
      </c>
      <c r="S18" s="145" t="s">
        <v>31</v>
      </c>
      <c r="V18" s="142"/>
    </row>
    <row r="19" spans="1:25" s="2" customFormat="1" ht="15" customHeight="1" thickBot="1">
      <c r="A19" s="13"/>
      <c r="C19" s="21"/>
      <c r="D19" s="93"/>
      <c r="E19" s="91"/>
      <c r="F19" s="92">
        <f>F2</f>
        <v>46146</v>
      </c>
      <c r="G19" s="64">
        <f t="shared" ref="G19:L19" si="10">F19+1</f>
        <v>46147</v>
      </c>
      <c r="H19" s="64">
        <f t="shared" si="10"/>
        <v>46148</v>
      </c>
      <c r="I19" s="64">
        <f>H19+1</f>
        <v>46149</v>
      </c>
      <c r="J19" s="64">
        <f t="shared" si="10"/>
        <v>46150</v>
      </c>
      <c r="K19" s="64">
        <f t="shared" si="10"/>
        <v>46151</v>
      </c>
      <c r="L19" s="65">
        <f t="shared" si="10"/>
        <v>46152</v>
      </c>
      <c r="N19" s="147" t="s">
        <v>32</v>
      </c>
      <c r="O19" s="21" t="s">
        <v>32</v>
      </c>
      <c r="P19" s="148"/>
      <c r="R19" s="149" t="s">
        <v>32</v>
      </c>
      <c r="S19" s="147" t="s">
        <v>32</v>
      </c>
      <c r="U19" s="2" t="s">
        <v>33</v>
      </c>
      <c r="V19" s="142" t="s">
        <v>34</v>
      </c>
      <c r="W19" s="2" t="s">
        <v>35</v>
      </c>
      <c r="X19" s="2" t="s">
        <v>36</v>
      </c>
      <c r="Y19" s="2" t="s">
        <v>37</v>
      </c>
    </row>
    <row r="20" spans="1:25" s="2" customFormat="1" ht="15.75" customHeight="1" thickBot="1">
      <c r="A20" s="114" t="s">
        <v>38</v>
      </c>
      <c r="B20" s="115"/>
      <c r="C20" s="116"/>
      <c r="D20" s="117" t="s">
        <v>38</v>
      </c>
      <c r="E20" s="155"/>
      <c r="F20" s="118"/>
      <c r="G20" s="119"/>
      <c r="H20" s="119"/>
      <c r="I20" s="119"/>
      <c r="J20" s="119"/>
      <c r="K20" s="119"/>
      <c r="L20" s="120"/>
      <c r="N20" s="160"/>
      <c r="O20" s="160"/>
      <c r="P20" s="150"/>
      <c r="R20" s="151"/>
      <c r="S20" s="160"/>
      <c r="T20" s="160"/>
      <c r="U20" s="160"/>
      <c r="V20" s="142"/>
    </row>
    <row r="21" spans="1:25" s="2" customFormat="1" ht="15" customHeight="1">
      <c r="A21" s="162" t="s">
        <v>39</v>
      </c>
      <c r="B21" s="162"/>
      <c r="C21" s="164"/>
      <c r="D21" s="234" t="s">
        <v>40</v>
      </c>
      <c r="E21" s="165">
        <f>IFERROR(VLOOKUP(D21,'Employee Numbers'!$A$3:$B$84,2,FALSE),"NOT FOUND")</f>
        <v>287628</v>
      </c>
      <c r="F21" s="235" t="s">
        <v>41</v>
      </c>
      <c r="G21" s="236" t="s">
        <v>41</v>
      </c>
      <c r="H21" s="236" t="s">
        <v>41</v>
      </c>
      <c r="I21" s="236"/>
      <c r="J21" s="236" t="s">
        <v>42</v>
      </c>
      <c r="K21" s="236"/>
      <c r="L21" s="237"/>
      <c r="N21">
        <f t="array" ref="N21">((SUM(IFERROR((TEXT(IF(ISNUMBER(SEARCH("-", F21:L21)), MID(F21:L21, SEARCH("-", F21:L21) + 1, 4), ""), "00\:00") - TEXT(IF(ISNUMBER(SEARCH("-", F21:L21)), MID(F21:L21, SEARCH("-", F21:L21) - 4, 4), ""), "00\:00") + IF(TEXT(IF(ISNUMBER(SEARCH("-", F21:L21)), MID(F21:L21, SEARCH("-", F21:L21) + 1, 4), ""), "00\:00") &lt; TEXT(IF(ISNUMBER(SEARCH("-", F21:L21)), MID(F21:L21, SEARCH("-", F21:L21) - 4, 4), ""), "00\:00"), 1, 0))*24,""))))/9.5</f>
        <v>4</v>
      </c>
      <c r="O21"/>
      <c r="P21" s="151">
        <f>N21+O21</f>
        <v>4</v>
      </c>
      <c r="Q21"/>
      <c r="R21" s="4">
        <f ca="1">IF($C$4=1,SUM(P21+INDIRECT("'Week "&amp;($B$3+1)&amp;"'!P"&amp;(ROW()))),IF($C$4=2,SUM(P21+INDIRECT("'Week "&amp;($B$3-1)&amp;"'!P"&amp;(ROW())))))</f>
        <v>8</v>
      </c>
      <c r="S21" s="2">
        <f>(IFERROR(VLOOKUP(D21,'Employee Numbers'!$A$3:$C$84,3,FALSE),"NOT FOUND"))*8</f>
        <v>8</v>
      </c>
      <c r="U21" s="142">
        <f>COUNTIF(E21:K21,"0800-1730")</f>
        <v>0</v>
      </c>
      <c r="V21" s="142">
        <f>COUNTIF(F21:L21,"1???-00?0")</f>
        <v>1</v>
      </c>
      <c r="W21" s="2">
        <f>COUNTIF(F21:L21,"*0800-1730*CS*")+COUNTIF(F21:L21,"*0800-1730*DEMT*")</f>
        <v>3</v>
      </c>
      <c r="Y21" s="2">
        <f>COUNTIF(K21:L21,"???0-*")</f>
        <v>0</v>
      </c>
    </row>
    <row r="22" spans="1:25" s="2" customFormat="1" ht="15" customHeight="1">
      <c r="A22" s="2" t="s">
        <v>39</v>
      </c>
      <c r="B22" s="46"/>
      <c r="C22" s="21"/>
      <c r="D22" s="227" t="s">
        <v>43</v>
      </c>
      <c r="E22" s="226">
        <f>IFERROR(VLOOKUP(D22,'Employee Numbers'!$A$3:$B$83,2,FALSE),"NOT FOUND")</f>
        <v>609660</v>
      </c>
      <c r="F22" s="29" t="s">
        <v>41</v>
      </c>
      <c r="G22" s="31" t="s">
        <v>41</v>
      </c>
      <c r="H22" s="31"/>
      <c r="I22" s="31"/>
      <c r="J22" s="31"/>
      <c r="K22" s="31" t="s">
        <v>44</v>
      </c>
      <c r="L22" s="228" t="s">
        <v>44</v>
      </c>
      <c r="N22">
        <f t="array" ref="N22">((SUM(IFERROR((TEXT(IF(ISNUMBER(SEARCH("-", F22:L22)), MID(F22:L22, SEARCH("-", F22:L22) + 1, 4), ""), "00\:00") - TEXT(IF(ISNUMBER(SEARCH("-", F22:L22)), MID(F22:L22, SEARCH("-", F22:L22) - 4, 4), ""), "00\:00") + IF(TEXT(IF(ISNUMBER(SEARCH("-", F22:L22)), MID(F22:L22, SEARCH("-", F22:L22) + 1, 4), ""), "00\:00") &lt; TEXT(IF(ISNUMBER(SEARCH("-", F22:L22)), MID(F22:L22, SEARCH("-", F22:L22) - 4, 4), ""), "00\:00"), 1, 0))*24,""))))/9.5</f>
        <v>4</v>
      </c>
      <c r="O22"/>
      <c r="P22" s="151">
        <f t="shared" ref="P22:P46" si="11">N22+O22</f>
        <v>4</v>
      </c>
      <c r="Q22"/>
      <c r="R22" s="4">
        <f t="shared" ref="R22:R47" ca="1" si="12">IF($C$4=1,SUM(P22+INDIRECT("'Week "&amp;($B$3+1)&amp;"'!P"&amp;(ROW()))),IF($C$4=2,SUM(P22+INDIRECT("'Week "&amp;($B$3-1)&amp;"'!P"&amp;(ROW())))))</f>
        <v>8</v>
      </c>
      <c r="S22" s="2">
        <f>(IFERROR(VLOOKUP(D22,'Employee Numbers'!$A$3:$C$84,3,FALSE),"NOT FOUND"))*8</f>
        <v>8</v>
      </c>
      <c r="U22" s="142">
        <f t="shared" ref="U22:U47" si="13">COUNTIF(E22:K22,"0800-1730")</f>
        <v>1</v>
      </c>
      <c r="V22" s="142">
        <f t="shared" ref="V22:V47" si="14">COUNTIF(F22:L22,"1???-00?0")</f>
        <v>0</v>
      </c>
      <c r="W22" s="2">
        <f t="shared" ref="W22:W47" si="15">COUNTIF(F22:L22,"*0800-1730*CS*")+COUNTIF(F22:L22,"*0800-1730*DEMT*")</f>
        <v>2</v>
      </c>
      <c r="Y22" s="2">
        <f t="shared" ref="Y22:Y47" si="16">COUNTIF(K22:L22,"???0-*")</f>
        <v>2</v>
      </c>
    </row>
    <row r="23" spans="1:25" s="2" customFormat="1" ht="15" customHeight="1">
      <c r="A23" s="162" t="s">
        <v>39</v>
      </c>
      <c r="B23" s="163"/>
      <c r="C23" s="238"/>
      <c r="D23" s="239" t="s">
        <v>45</v>
      </c>
      <c r="E23" s="165">
        <f>IFERROR(VLOOKUP(D23,'Employee Numbers'!$A$3:$B$83,2,FALSE),"NOT FOUND")</f>
        <v>610036</v>
      </c>
      <c r="F23" s="176" t="s">
        <v>46</v>
      </c>
      <c r="G23" s="166" t="s">
        <v>42</v>
      </c>
      <c r="H23" s="166" t="s">
        <v>47</v>
      </c>
      <c r="I23" s="166" t="s">
        <v>48</v>
      </c>
      <c r="J23" s="166"/>
      <c r="K23" s="166"/>
      <c r="L23" s="167"/>
      <c r="N23">
        <f t="array" ref="N23">((SUM(IFERROR((TEXT(IF(ISNUMBER(SEARCH("-", F23:L23)), MID(F23:L23, SEARCH("-", F23:L23) + 1, 4), ""), "00\:00") - TEXT(IF(ISNUMBER(SEARCH("-", F23:L23)), MID(F23:L23, SEARCH("-", F23:L23) - 4, 4), ""), "00\:00") + IF(TEXT(IF(ISNUMBER(SEARCH("-", F23:L23)), MID(F23:L23, SEARCH("-", F23:L23) + 1, 4), ""), "00\:00") &lt; TEXT(IF(ISNUMBER(SEARCH("-", F23:L23)), MID(F23:L23, SEARCH("-", F23:L23) - 4, 4), ""), "00\:00"), 1, 0))*24,""))))/9.5</f>
        <v>3.8947368421052633</v>
      </c>
      <c r="O23"/>
      <c r="P23" s="151">
        <f t="shared" si="11"/>
        <v>3.8947368421052633</v>
      </c>
      <c r="Q23"/>
      <c r="R23" s="4">
        <f t="shared" ca="1" si="12"/>
        <v>7.8947368421052637</v>
      </c>
      <c r="S23" s="2">
        <f>(IFERROR(VLOOKUP(D23,'Employee Numbers'!$A$3:$C$84,3,FALSE),"NOT FOUND"))*8</f>
        <v>8</v>
      </c>
      <c r="U23" s="142">
        <f t="shared" si="13"/>
        <v>0</v>
      </c>
      <c r="V23" s="142">
        <f t="shared" si="14"/>
        <v>1</v>
      </c>
      <c r="W23" s="2">
        <f t="shared" si="15"/>
        <v>2</v>
      </c>
      <c r="Y23" s="2">
        <f t="shared" si="16"/>
        <v>0</v>
      </c>
    </row>
    <row r="24" spans="1:25" s="2" customFormat="1" ht="15" customHeight="1">
      <c r="A24" s="2" t="s">
        <v>39</v>
      </c>
      <c r="B24" s="46"/>
      <c r="C24" s="47"/>
      <c r="D24" s="227" t="s">
        <v>49</v>
      </c>
      <c r="E24" s="226">
        <f>IFERROR(VLOOKUP(D24,'Employee Numbers'!$A$3:$B$83,2,FALSE),"NOT FOUND")</f>
        <v>533509</v>
      </c>
      <c r="F24" s="29" t="s">
        <v>50</v>
      </c>
      <c r="G24" s="31" t="s">
        <v>50</v>
      </c>
      <c r="H24" s="31" t="s">
        <v>50</v>
      </c>
      <c r="I24" s="31" t="s">
        <v>50</v>
      </c>
      <c r="J24" s="31" t="s">
        <v>50</v>
      </c>
      <c r="K24" s="31" t="s">
        <v>50</v>
      </c>
      <c r="L24" s="228" t="s">
        <v>50</v>
      </c>
      <c r="N24">
        <f t="array" ref="N24">((SUM(IFERROR((TEXT(IF(ISNUMBER(SEARCH("-", F24:L24)), MID(F24:L24, SEARCH("-", F24:L24) + 1, 4), ""), "00\:00") - TEXT(IF(ISNUMBER(SEARCH("-", F24:L24)), MID(F24:L24, SEARCH("-", F24:L24) - 4, 4), ""), "00\:00") + IF(TEXT(IF(ISNUMBER(SEARCH("-", F24:L24)), MID(F24:L24, SEARCH("-", F24:L24) + 1, 4), ""), "00\:00") &lt; TEXT(IF(ISNUMBER(SEARCH("-", F24:L24)), MID(F24:L24, SEARCH("-", F24:L24) - 4, 4), ""), "00\:00"), 1, 0))*24,""))))/9.5</f>
        <v>0</v>
      </c>
      <c r="O24"/>
      <c r="P24" s="151">
        <f t="shared" si="11"/>
        <v>0</v>
      </c>
      <c r="Q24"/>
      <c r="R24" s="4">
        <f t="shared" ca="1" si="12"/>
        <v>0</v>
      </c>
      <c r="S24" s="2">
        <f>(IFERROR(VLOOKUP(D24,'Employee Numbers'!$A$3:$C$84,3,FALSE),"NOT FOUND"))*8</f>
        <v>0</v>
      </c>
      <c r="U24" s="142">
        <f t="shared" si="13"/>
        <v>0</v>
      </c>
      <c r="V24" s="142">
        <f t="shared" si="14"/>
        <v>0</v>
      </c>
      <c r="W24" s="2">
        <f t="shared" si="15"/>
        <v>0</v>
      </c>
      <c r="Y24" s="2">
        <f t="shared" si="16"/>
        <v>0</v>
      </c>
    </row>
    <row r="25" spans="1:25" s="2" customFormat="1" ht="15" customHeight="1">
      <c r="A25" s="162" t="s">
        <v>39</v>
      </c>
      <c r="B25" s="163"/>
      <c r="C25" s="238"/>
      <c r="D25" s="240" t="s">
        <v>51</v>
      </c>
      <c r="E25" s="165">
        <f>IFERROR(VLOOKUP(D25,'Employee Numbers'!$A$3:$B$83,2,FALSE),"NOT FOUND")</f>
        <v>625985</v>
      </c>
      <c r="F25" s="176" t="s">
        <v>42</v>
      </c>
      <c r="G25" s="166" t="s">
        <v>41</v>
      </c>
      <c r="H25" s="166" t="s">
        <v>44</v>
      </c>
      <c r="I25" s="166" t="s">
        <v>42</v>
      </c>
      <c r="J25" s="166"/>
      <c r="K25" s="166"/>
      <c r="L25" s="167"/>
      <c r="N25">
        <f t="array" ref="N25">((SUM(IFERROR((TEXT(IF(ISNUMBER(SEARCH("-", F25:L25)), MID(F25:L25, SEARCH("-", F25:L25) + 1, 4), ""), "00\:00") - TEXT(IF(ISNUMBER(SEARCH("-", F25:L25)), MID(F25:L25, SEARCH("-", F25:L25) - 4, 4), ""), "00\:00") + IF(TEXT(IF(ISNUMBER(SEARCH("-", F25:L25)), MID(F25:L25, SEARCH("-", F25:L25) + 1, 4), ""), "00\:00") &lt; TEXT(IF(ISNUMBER(SEARCH("-", F25:L25)), MID(F25:L25, SEARCH("-", F25:L25) - 4, 4), ""), "00\:00"), 1, 0))*24,""))))/9.5</f>
        <v>4</v>
      </c>
      <c r="O25"/>
      <c r="P25" s="151">
        <f t="shared" si="11"/>
        <v>4</v>
      </c>
      <c r="Q25"/>
      <c r="R25" s="4">
        <f t="shared" ca="1" si="12"/>
        <v>8</v>
      </c>
      <c r="S25" s="2">
        <f>(IFERROR(VLOOKUP(D25,'Employee Numbers'!$A$3:$C$84,3,FALSE),"NOT FOUND"))*8</f>
        <v>8</v>
      </c>
      <c r="U25" s="142">
        <f t="shared" si="13"/>
        <v>1</v>
      </c>
      <c r="V25" s="142">
        <f t="shared" si="14"/>
        <v>2</v>
      </c>
      <c r="W25" s="2">
        <f t="shared" si="15"/>
        <v>1</v>
      </c>
      <c r="Y25" s="2">
        <f t="shared" si="16"/>
        <v>0</v>
      </c>
    </row>
    <row r="26" spans="1:25" s="2" customFormat="1" ht="15" customHeight="1">
      <c r="A26" s="2" t="s">
        <v>39</v>
      </c>
      <c r="B26" s="46"/>
      <c r="C26" s="47"/>
      <c r="D26" s="227" t="s">
        <v>52</v>
      </c>
      <c r="E26" s="226">
        <f>IFERROR(VLOOKUP(D26,'Employee Numbers'!$A$3:$B$83,2,FALSE),"NOT FOUND")</f>
        <v>632301</v>
      </c>
      <c r="F26" s="29" t="s">
        <v>44</v>
      </c>
      <c r="G26" s="31" t="s">
        <v>42</v>
      </c>
      <c r="H26" s="31"/>
      <c r="I26" s="31" t="s">
        <v>41</v>
      </c>
      <c r="J26" s="31" t="s">
        <v>44</v>
      </c>
      <c r="K26" s="31"/>
      <c r="L26" s="228"/>
      <c r="M26" s="13"/>
      <c r="N26">
        <f t="array" ref="N26">((SUM(IFERROR((TEXT(IF(ISNUMBER(SEARCH("-", F26:L26)), MID(F26:L26, SEARCH("-", F26:L26) + 1, 4), ""), "00\:00") - TEXT(IF(ISNUMBER(SEARCH("-", F26:L26)), MID(F26:L26, SEARCH("-", F26:L26) - 4, 4), ""), "00\:00") + IF(TEXT(IF(ISNUMBER(SEARCH("-", F26:L26)), MID(F26:L26, SEARCH("-", F26:L26) + 1, 4), ""), "00\:00") &lt; TEXT(IF(ISNUMBER(SEARCH("-", F26:L26)), MID(F26:L26, SEARCH("-", F26:L26) - 4, 4), ""), "00\:00"), 1, 0))*24,""))))/9.5</f>
        <v>4</v>
      </c>
      <c r="O26"/>
      <c r="P26" s="151">
        <f t="shared" si="11"/>
        <v>4</v>
      </c>
      <c r="Q26"/>
      <c r="R26" s="4">
        <f t="shared" ca="1" si="12"/>
        <v>8</v>
      </c>
      <c r="S26" s="2">
        <f>(IFERROR(VLOOKUP(D26,'Employee Numbers'!$A$3:$C$84,3,FALSE),"NOT FOUND"))*8</f>
        <v>8</v>
      </c>
      <c r="U26" s="142">
        <f t="shared" si="13"/>
        <v>2</v>
      </c>
      <c r="V26" s="142">
        <f t="shared" si="14"/>
        <v>1</v>
      </c>
      <c r="W26" s="2">
        <f t="shared" si="15"/>
        <v>1</v>
      </c>
      <c r="Y26" s="2">
        <f t="shared" si="16"/>
        <v>0</v>
      </c>
    </row>
    <row r="27" spans="1:25" s="2" customFormat="1" ht="15" customHeight="1">
      <c r="A27" s="162" t="s">
        <v>39</v>
      </c>
      <c r="B27" s="163"/>
      <c r="C27" s="238"/>
      <c r="D27" s="240" t="s">
        <v>53</v>
      </c>
      <c r="E27" s="165">
        <f>IFERROR(VLOOKUP(D27,'Employee Numbers'!$A$3:$B$83,2,FALSE),"NOT FOUND")</f>
        <v>613891</v>
      </c>
      <c r="F27" s="176" t="s">
        <v>42</v>
      </c>
      <c r="G27" s="166"/>
      <c r="H27" s="166" t="s">
        <v>41</v>
      </c>
      <c r="I27" s="166"/>
      <c r="J27" s="166"/>
      <c r="K27" s="166" t="s">
        <v>54</v>
      </c>
      <c r="L27" s="167"/>
      <c r="M27" s="13"/>
      <c r="N27">
        <f t="array" ref="N27">((SUM(IFERROR((TEXT(IF(ISNUMBER(SEARCH("-", F27:L27)), MID(F27:L27, SEARCH("-", F27:L27) + 1, 4), ""), "00\:00") - TEXT(IF(ISNUMBER(SEARCH("-", F27:L27)), MID(F27:L27, SEARCH("-", F27:L27) - 4, 4), ""), "00\:00") + IF(TEXT(IF(ISNUMBER(SEARCH("-", F27:L27)), MID(F27:L27, SEARCH("-", F27:L27) + 1, 4), ""), "00\:00") &lt; TEXT(IF(ISNUMBER(SEARCH("-", F27:L27)), MID(F27:L27, SEARCH("-", F27:L27) - 4, 4), ""), "00\:00"), 1, 0))*24,""))))/9.5</f>
        <v>3</v>
      </c>
      <c r="O27"/>
      <c r="P27" s="151">
        <f t="shared" si="11"/>
        <v>3</v>
      </c>
      <c r="Q27"/>
      <c r="R27" s="4">
        <f t="shared" ca="1" si="12"/>
        <v>6</v>
      </c>
      <c r="S27" s="2">
        <f>(IFERROR(VLOOKUP(D27,'Employee Numbers'!$A$3:$C$84,3,FALSE),"NOT FOUND"))*8</f>
        <v>6</v>
      </c>
      <c r="U27" s="142">
        <f t="shared" si="13"/>
        <v>0</v>
      </c>
      <c r="V27" s="142">
        <f t="shared" si="14"/>
        <v>2</v>
      </c>
      <c r="W27" s="2">
        <f t="shared" si="15"/>
        <v>1</v>
      </c>
      <c r="Y27" s="2">
        <f t="shared" si="16"/>
        <v>1</v>
      </c>
    </row>
    <row r="28" spans="1:25" s="2" customFormat="1" ht="15" customHeight="1">
      <c r="A28" s="2" t="s">
        <v>39</v>
      </c>
      <c r="B28" s="46"/>
      <c r="C28" s="21"/>
      <c r="D28" s="227" t="s">
        <v>55</v>
      </c>
      <c r="E28" s="226">
        <f>IFERROR(VLOOKUP(D28,'Employee Numbers'!$A$3:$B$83,2,FALSE),"NOT FOUND")</f>
        <v>623657</v>
      </c>
      <c r="F28" s="29"/>
      <c r="G28" s="31"/>
      <c r="H28" s="31" t="s">
        <v>44</v>
      </c>
      <c r="I28" s="31"/>
      <c r="J28" s="31"/>
      <c r="K28" s="31"/>
      <c r="L28" s="228"/>
      <c r="N28">
        <f t="array" ref="N28">((SUM(IFERROR((TEXT(IF(ISNUMBER(SEARCH("-", F28:L28)), MID(F28:L28, SEARCH("-", F28:L28) + 1, 4), ""), "00\:00") - TEXT(IF(ISNUMBER(SEARCH("-", F28:L28)), MID(F28:L28, SEARCH("-", F28:L28) - 4, 4), ""), "00\:00") + IF(TEXT(IF(ISNUMBER(SEARCH("-", F28:L28)), MID(F28:L28, SEARCH("-", F28:L28) + 1, 4), ""), "00\:00") &lt; TEXT(IF(ISNUMBER(SEARCH("-", F28:L28)), MID(F28:L28, SEARCH("-", F28:L28) - 4, 4), ""), "00\:00"), 1, 0))*24,""))))/9.5</f>
        <v>1</v>
      </c>
      <c r="O28"/>
      <c r="P28" s="151">
        <f t="shared" si="11"/>
        <v>1</v>
      </c>
      <c r="Q28"/>
      <c r="R28" s="4">
        <f t="shared" ca="1" si="12"/>
        <v>2</v>
      </c>
      <c r="S28" s="2">
        <f>(IFERROR(VLOOKUP(D28,'Employee Numbers'!$A$3:$C$84,3,FALSE),"NOT FOUND"))*8</f>
        <v>2</v>
      </c>
      <c r="U28" s="142">
        <f t="shared" si="13"/>
        <v>1</v>
      </c>
      <c r="V28" s="142">
        <f t="shared" si="14"/>
        <v>0</v>
      </c>
      <c r="W28" s="2">
        <f t="shared" si="15"/>
        <v>0</v>
      </c>
      <c r="Y28" s="2">
        <f t="shared" si="16"/>
        <v>0</v>
      </c>
    </row>
    <row r="29" spans="1:25" s="2" customFormat="1" ht="15" customHeight="1">
      <c r="A29" s="162" t="s">
        <v>39</v>
      </c>
      <c r="B29" s="163"/>
      <c r="C29" s="164"/>
      <c r="D29" s="240" t="s">
        <v>56</v>
      </c>
      <c r="E29" s="165">
        <f>IFERROR(VLOOKUP(D29,'Employee Numbers'!$A$3:$B$83,2,FALSE),"NOT FOUND")</f>
        <v>623708</v>
      </c>
      <c r="F29" s="176"/>
      <c r="G29" s="166" t="s">
        <v>42</v>
      </c>
      <c r="H29" s="166" t="s">
        <v>41</v>
      </c>
      <c r="I29" s="166"/>
      <c r="J29" s="166"/>
      <c r="K29" s="166" t="s">
        <v>44</v>
      </c>
      <c r="L29" s="167"/>
      <c r="N29">
        <f t="array" ref="N29">((SUM(IFERROR((TEXT(IF(ISNUMBER(SEARCH("-", F29:L29)), MID(F29:L29, SEARCH("-", F29:L29) + 1, 4), ""), "00\:00") - TEXT(IF(ISNUMBER(SEARCH("-", F29:L29)), MID(F29:L29, SEARCH("-", F29:L29) - 4, 4), ""), "00\:00") + IF(TEXT(IF(ISNUMBER(SEARCH("-", F29:L29)), MID(F29:L29, SEARCH("-", F29:L29) + 1, 4), ""), "00\:00") &lt; TEXT(IF(ISNUMBER(SEARCH("-", F29:L29)), MID(F29:L29, SEARCH("-", F29:L29) - 4, 4), ""), "00\:00"), 1, 0))*24,""))))/9.5</f>
        <v>3</v>
      </c>
      <c r="O29"/>
      <c r="P29" s="151">
        <f t="shared" si="11"/>
        <v>3</v>
      </c>
      <c r="Q29"/>
      <c r="R29" s="4">
        <f t="shared" ca="1" si="12"/>
        <v>6</v>
      </c>
      <c r="S29" s="2">
        <f>(IFERROR(VLOOKUP(D29,'Employee Numbers'!$A$3:$C$84,3,FALSE),"NOT FOUND"))*8</f>
        <v>6</v>
      </c>
      <c r="U29" s="142">
        <f t="shared" si="13"/>
        <v>1</v>
      </c>
      <c r="V29" s="142">
        <f t="shared" si="14"/>
        <v>1</v>
      </c>
      <c r="W29" s="2">
        <f t="shared" si="15"/>
        <v>1</v>
      </c>
      <c r="Y29" s="2">
        <f t="shared" si="16"/>
        <v>1</v>
      </c>
    </row>
    <row r="30" spans="1:25" s="2" customFormat="1" ht="15" customHeight="1">
      <c r="A30" s="2" t="s">
        <v>39</v>
      </c>
      <c r="B30" s="46"/>
      <c r="C30" s="21"/>
      <c r="D30" s="227" t="s">
        <v>57</v>
      </c>
      <c r="E30" s="226">
        <f>IFERROR(VLOOKUP(D30,'Employee Numbers'!$A$3:$B$83,2,FALSE),"NOT FOUND")</f>
        <v>627680</v>
      </c>
      <c r="F30" s="29"/>
      <c r="G30" s="31"/>
      <c r="H30" s="31" t="s">
        <v>41</v>
      </c>
      <c r="I30" s="31" t="s">
        <v>44</v>
      </c>
      <c r="J30" s="31"/>
      <c r="K30" s="31" t="s">
        <v>54</v>
      </c>
      <c r="L30" s="228"/>
      <c r="N30">
        <f t="array" ref="N30">((SUM(IFERROR((TEXT(IF(ISNUMBER(SEARCH("-", F30:L30)), MID(F30:L30, SEARCH("-", F30:L30) + 1, 4), ""), "00\:00") - TEXT(IF(ISNUMBER(SEARCH("-", F30:L30)), MID(F30:L30, SEARCH("-", F30:L30) - 4, 4), ""), "00\:00") + IF(TEXT(IF(ISNUMBER(SEARCH("-", F30:L30)), MID(F30:L30, SEARCH("-", F30:L30) + 1, 4), ""), "00\:00") &lt; TEXT(IF(ISNUMBER(SEARCH("-", F30:L30)), MID(F30:L30, SEARCH("-", F30:L30) - 4, 4), ""), "00\:00"), 1, 0))*24,""))))/9.5</f>
        <v>3</v>
      </c>
      <c r="O30"/>
      <c r="P30" s="151">
        <f t="shared" si="11"/>
        <v>3</v>
      </c>
      <c r="Q30"/>
      <c r="R30" s="4">
        <f t="shared" ca="1" si="12"/>
        <v>6</v>
      </c>
      <c r="S30" s="2">
        <f>(IFERROR(VLOOKUP(D30,'Employee Numbers'!$A$3:$C$84,3,FALSE),"NOT FOUND"))*8</f>
        <v>6</v>
      </c>
      <c r="U30" s="142">
        <f t="shared" si="13"/>
        <v>1</v>
      </c>
      <c r="V30" s="142">
        <f t="shared" si="14"/>
        <v>1</v>
      </c>
      <c r="W30" s="2">
        <f t="shared" si="15"/>
        <v>1</v>
      </c>
      <c r="Y30" s="2">
        <f t="shared" si="16"/>
        <v>1</v>
      </c>
    </row>
    <row r="31" spans="1:25" s="2" customFormat="1" ht="15" customHeight="1">
      <c r="A31" s="162" t="s">
        <v>39</v>
      </c>
      <c r="B31" s="163"/>
      <c r="C31" s="164"/>
      <c r="D31" s="240" t="s">
        <v>58</v>
      </c>
      <c r="E31" s="165">
        <f>IFERROR(VLOOKUP(D31,'Employee Numbers'!$A$3:$B$83,2,FALSE),"NOT FOUND")</f>
        <v>633210</v>
      </c>
      <c r="F31" s="176"/>
      <c r="G31" s="166"/>
      <c r="H31" s="166"/>
      <c r="I31" s="166" t="s">
        <v>44</v>
      </c>
      <c r="J31" s="166" t="s">
        <v>44</v>
      </c>
      <c r="K31" s="166"/>
      <c r="L31" s="167"/>
      <c r="N31">
        <f t="array" ref="N31">((SUM(IFERROR((TEXT(IF(ISNUMBER(SEARCH("-", F31:L31)), MID(F31:L31, SEARCH("-", F31:L31) + 1, 4), ""), "00\:00") - TEXT(IF(ISNUMBER(SEARCH("-", F31:L31)), MID(F31:L31, SEARCH("-", F31:L31) - 4, 4), ""), "00\:00") + IF(TEXT(IF(ISNUMBER(SEARCH("-", F31:L31)), MID(F31:L31, SEARCH("-", F31:L31) + 1, 4), ""), "00\:00") &lt; TEXT(IF(ISNUMBER(SEARCH("-", F31:L31)), MID(F31:L31, SEARCH("-", F31:L31) - 4, 4), ""), "00\:00"), 1, 0))*24,""))))/9.5</f>
        <v>2</v>
      </c>
      <c r="O31"/>
      <c r="P31" s="151">
        <f t="shared" si="11"/>
        <v>2</v>
      </c>
      <c r="Q31"/>
      <c r="R31" s="4">
        <f t="shared" ca="1" si="12"/>
        <v>6</v>
      </c>
      <c r="S31" s="2">
        <f>(IFERROR(VLOOKUP(D31,'Employee Numbers'!$A$3:$C$84,3,FALSE),"NOT FOUND"))*8</f>
        <v>6</v>
      </c>
      <c r="U31" s="142">
        <f t="shared" si="13"/>
        <v>2</v>
      </c>
      <c r="V31" s="142">
        <f t="shared" si="14"/>
        <v>0</v>
      </c>
      <c r="W31" s="2">
        <f t="shared" si="15"/>
        <v>0</v>
      </c>
      <c r="Y31" s="2">
        <f t="shared" si="16"/>
        <v>0</v>
      </c>
    </row>
    <row r="32" spans="1:25" s="2" customFormat="1" ht="15" customHeight="1">
      <c r="A32" s="2" t="s">
        <v>39</v>
      </c>
      <c r="B32" s="46"/>
      <c r="C32" s="21"/>
      <c r="D32" s="230" t="s">
        <v>59</v>
      </c>
      <c r="E32" s="226">
        <f>IFERROR(VLOOKUP(D32,'Employee Numbers'!$A$3:$B$83,2,FALSE),"NOT FOUND")</f>
        <v>618952</v>
      </c>
      <c r="F32" s="29" t="s">
        <v>60</v>
      </c>
      <c r="G32" s="31" t="s">
        <v>60</v>
      </c>
      <c r="H32" s="31" t="s">
        <v>60</v>
      </c>
      <c r="I32" s="31" t="s">
        <v>60</v>
      </c>
      <c r="J32" s="31" t="s">
        <v>60</v>
      </c>
      <c r="K32" s="31" t="s">
        <v>60</v>
      </c>
      <c r="L32" s="228" t="s">
        <v>60</v>
      </c>
      <c r="N32">
        <f t="array" ref="N32">((SUM(IFERROR((TEXT(IF(ISNUMBER(SEARCH("-", F32:L32)), MID(F32:L32, SEARCH("-", F32:L32) + 1, 4), ""), "00\:00") - TEXT(IF(ISNUMBER(SEARCH("-", F32:L32)), MID(F32:L32, SEARCH("-", F32:L32) - 4, 4), ""), "00\:00") + IF(TEXT(IF(ISNUMBER(SEARCH("-", F32:L32)), MID(F32:L32, SEARCH("-", F32:L32) + 1, 4), ""), "00\:00") &lt; TEXT(IF(ISNUMBER(SEARCH("-", F32:L32)), MID(F32:L32, SEARCH("-", F32:L32) - 4, 4), ""), "00\:00"), 1, 0))*24,""))))/9.5</f>
        <v>0</v>
      </c>
      <c r="O32"/>
      <c r="P32" s="151">
        <f t="shared" si="11"/>
        <v>0</v>
      </c>
      <c r="Q32"/>
      <c r="R32" s="4">
        <f t="shared" ca="1" si="12"/>
        <v>3</v>
      </c>
      <c r="S32" s="2">
        <f>(IFERROR(VLOOKUP(D32,'Employee Numbers'!$A$3:$C$84,3,FALSE),"NOT FOUND"))*8</f>
        <v>6</v>
      </c>
      <c r="U32" s="142">
        <f t="shared" si="13"/>
        <v>0</v>
      </c>
      <c r="V32" s="142">
        <f t="shared" si="14"/>
        <v>0</v>
      </c>
      <c r="W32" s="2">
        <f t="shared" si="15"/>
        <v>0</v>
      </c>
      <c r="Y32" s="2">
        <f t="shared" si="16"/>
        <v>0</v>
      </c>
    </row>
    <row r="33" spans="1:25" s="2" customFormat="1" ht="15" customHeight="1">
      <c r="A33" s="162" t="s">
        <v>39</v>
      </c>
      <c r="B33" s="163"/>
      <c r="C33" s="164"/>
      <c r="D33" s="241" t="s">
        <v>61</v>
      </c>
      <c r="E33" s="165">
        <f>IFERROR(VLOOKUP(D33,'Employee Numbers'!$A$3:$B$83,2,FALSE),"NOT FOUND")</f>
        <v>649039</v>
      </c>
      <c r="F33" s="176" t="s">
        <v>44</v>
      </c>
      <c r="G33" s="166"/>
      <c r="H33" s="166" t="s">
        <v>41</v>
      </c>
      <c r="I33" s="166"/>
      <c r="J33" s="166"/>
      <c r="K33" s="166"/>
      <c r="L33" s="167" t="s">
        <v>54</v>
      </c>
      <c r="N33">
        <f t="array" ref="N33">((SUM(IFERROR((TEXT(IF(ISNUMBER(SEARCH("-", F33:L33)), MID(F33:L33, SEARCH("-", F33:L33) + 1, 4), ""), "00\:00") - TEXT(IF(ISNUMBER(SEARCH("-", F33:L33)), MID(F33:L33, SEARCH("-", F33:L33) - 4, 4), ""), "00\:00") + IF(TEXT(IF(ISNUMBER(SEARCH("-", F33:L33)), MID(F33:L33, SEARCH("-", F33:L33) + 1, 4), ""), "00\:00") &lt; TEXT(IF(ISNUMBER(SEARCH("-", F33:L33)), MID(F33:L33, SEARCH("-", F33:L33) - 4, 4), ""), "00\:00"), 1, 0))*24,""))))/9.5</f>
        <v>3</v>
      </c>
      <c r="O33"/>
      <c r="P33" s="151">
        <f t="shared" si="11"/>
        <v>3</v>
      </c>
      <c r="Q33"/>
      <c r="R33" s="4">
        <f t="shared" ca="1" si="12"/>
        <v>5</v>
      </c>
      <c r="S33" s="2">
        <f>(IFERROR(VLOOKUP(D33,'Employee Numbers'!$A$3:$C$84,3,FALSE),"NOT FOUND"))*8</f>
        <v>5</v>
      </c>
      <c r="U33" s="142">
        <f t="shared" si="13"/>
        <v>1</v>
      </c>
      <c r="V33" s="142">
        <f t="shared" si="14"/>
        <v>1</v>
      </c>
      <c r="W33" s="2">
        <f t="shared" si="15"/>
        <v>1</v>
      </c>
      <c r="Y33" s="2">
        <f t="shared" si="16"/>
        <v>1</v>
      </c>
    </row>
    <row r="34" spans="1:25" s="2" customFormat="1" ht="15" customHeight="1">
      <c r="A34" s="2" t="s">
        <v>39</v>
      </c>
      <c r="B34" s="46"/>
      <c r="C34" s="21"/>
      <c r="D34" s="227" t="s">
        <v>62</v>
      </c>
      <c r="E34" s="226">
        <f>IFERROR(VLOOKUP(D34,'Employee Numbers'!$A$3:$B$83,2,FALSE),"NOT FOUND")</f>
        <v>649671</v>
      </c>
      <c r="F34" s="29" t="s">
        <v>63</v>
      </c>
      <c r="G34" s="31" t="s">
        <v>44</v>
      </c>
      <c r="H34" s="31"/>
      <c r="I34" s="31" t="s">
        <v>42</v>
      </c>
      <c r="J34" s="31"/>
      <c r="K34" s="31"/>
      <c r="L34" s="228"/>
      <c r="N34">
        <f t="array" ref="N34">((SUM(IFERROR((TEXT(IF(ISNUMBER(SEARCH("-", F34:L34)), MID(F34:L34, SEARCH("-", F34:L34) + 1, 4), ""), "00\:00") - TEXT(IF(ISNUMBER(SEARCH("-", F34:L34)), MID(F34:L34, SEARCH("-", F34:L34) - 4, 4), ""), "00\:00") + IF(TEXT(IF(ISNUMBER(SEARCH("-", F34:L34)), MID(F34:L34, SEARCH("-", F34:L34) + 1, 4), ""), "00\:00") &lt; TEXT(IF(ISNUMBER(SEARCH("-", F34:L34)), MID(F34:L34, SEARCH("-", F34:L34) - 4, 4), ""), "00\:00"), 1, 0))*24,""))))/9.5</f>
        <v>3</v>
      </c>
      <c r="O34"/>
      <c r="P34" s="151">
        <f t="shared" si="11"/>
        <v>3</v>
      </c>
      <c r="Q34"/>
      <c r="R34" s="4">
        <f t="shared" ca="1" si="12"/>
        <v>6</v>
      </c>
      <c r="S34" s="2">
        <f>(IFERROR(VLOOKUP(D34,'Employee Numbers'!$A$3:$C$84,3,FALSE),"NOT FOUND"))*8</f>
        <v>6</v>
      </c>
      <c r="U34" s="142">
        <f t="shared" si="13"/>
        <v>1</v>
      </c>
      <c r="V34" s="142">
        <f t="shared" si="14"/>
        <v>1</v>
      </c>
      <c r="W34" s="2">
        <f t="shared" si="15"/>
        <v>1</v>
      </c>
      <c r="Y34" s="2">
        <f t="shared" si="16"/>
        <v>0</v>
      </c>
    </row>
    <row r="35" spans="1:25" s="2" customFormat="1" ht="15" customHeight="1">
      <c r="A35" s="162" t="s">
        <v>39</v>
      </c>
      <c r="B35" s="163"/>
      <c r="C35" s="164"/>
      <c r="D35" s="240" t="s">
        <v>64</v>
      </c>
      <c r="E35" s="165">
        <f>IFERROR(VLOOKUP(D35,'Employee Numbers'!$A$3:$B$83,2,FALSE),"NOT FOUND")</f>
        <v>646047</v>
      </c>
      <c r="F35" s="176"/>
      <c r="G35" s="166"/>
      <c r="H35" s="166" t="s">
        <v>63</v>
      </c>
      <c r="I35" s="340" t="s">
        <v>65</v>
      </c>
      <c r="J35" s="166" t="s">
        <v>42</v>
      </c>
      <c r="K35" s="166"/>
      <c r="L35" s="167"/>
      <c r="N35">
        <f t="array" ref="N35">((SUM(IFERROR((TEXT(IF(ISNUMBER(SEARCH("-", F35:L35)), MID(F35:L35, SEARCH("-", F35:L35) + 1, 4), ""), "00\:00") - TEXT(IF(ISNUMBER(SEARCH("-", F35:L35)), MID(F35:L35, SEARCH("-", F35:L35) - 4, 4), ""), "00\:00") + IF(TEXT(IF(ISNUMBER(SEARCH("-", F35:L35)), MID(F35:L35, SEARCH("-", F35:L35) + 1, 4), ""), "00\:00") &lt; TEXT(IF(ISNUMBER(SEARCH("-", F35:L35)), MID(F35:L35, SEARCH("-", F35:L35) - 4, 4), ""), "00\:00"), 1, 0))*24,""))))/9.5</f>
        <v>2</v>
      </c>
      <c r="O35"/>
      <c r="P35" s="151">
        <f t="shared" si="11"/>
        <v>2</v>
      </c>
      <c r="Q35"/>
      <c r="R35" s="4">
        <f t="shared" ca="1" si="12"/>
        <v>4</v>
      </c>
      <c r="S35" s="2">
        <f>(IFERROR(VLOOKUP(D35,'Employee Numbers'!$A$3:$C$84,3,FALSE),"NOT FOUND"))*8</f>
        <v>5</v>
      </c>
      <c r="U35" s="142">
        <f t="shared" si="13"/>
        <v>0</v>
      </c>
      <c r="V35" s="142">
        <f t="shared" si="14"/>
        <v>1</v>
      </c>
      <c r="W35" s="2">
        <f t="shared" si="15"/>
        <v>1</v>
      </c>
      <c r="Y35" s="2">
        <f t="shared" si="16"/>
        <v>0</v>
      </c>
    </row>
    <row r="36" spans="1:25" s="2" customFormat="1" ht="15" customHeight="1">
      <c r="A36" s="2" t="s">
        <v>39</v>
      </c>
      <c r="B36" s="46"/>
      <c r="C36" s="21"/>
      <c r="D36" s="229" t="s">
        <v>66</v>
      </c>
      <c r="E36" s="226">
        <f>IFERROR(VLOOKUP(D36,'Employee Numbers'!$A$3:$B$83,2,FALSE),"NOT FOUND")</f>
        <v>164003</v>
      </c>
      <c r="F36" s="29" t="s">
        <v>42</v>
      </c>
      <c r="G36" s="31"/>
      <c r="H36" s="31" t="s">
        <v>41</v>
      </c>
      <c r="I36" s="31"/>
      <c r="J36" s="31"/>
      <c r="K36" s="31"/>
      <c r="L36" s="228"/>
      <c r="N36">
        <f t="array" ref="N36">((SUM(IFERROR((TEXT(IF(ISNUMBER(SEARCH("-", F36:L36)), MID(F36:L36, SEARCH("-", F36:L36) + 1, 4), ""), "00\:00") - TEXT(IF(ISNUMBER(SEARCH("-", F36:L36)), MID(F36:L36, SEARCH("-", F36:L36) - 4, 4), ""), "00\:00") + IF(TEXT(IF(ISNUMBER(SEARCH("-", F36:L36)), MID(F36:L36, SEARCH("-", F36:L36) + 1, 4), ""), "00\:00") &lt; TEXT(IF(ISNUMBER(SEARCH("-", F36:L36)), MID(F36:L36, SEARCH("-", F36:L36) - 4, 4), ""), "00\:00"), 1, 0))*24,""))))/9.5</f>
        <v>2</v>
      </c>
      <c r="O36"/>
      <c r="P36" s="151">
        <f t="shared" si="11"/>
        <v>2</v>
      </c>
      <c r="Q36"/>
      <c r="R36" s="4">
        <f t="shared" ca="1" si="12"/>
        <v>4</v>
      </c>
      <c r="S36" s="2">
        <f>(IFERROR(VLOOKUP(D36,'Employee Numbers'!$A$3:$C$84,3,FALSE),"NOT FOUND"))*8</f>
        <v>4</v>
      </c>
      <c r="U36" s="142">
        <f t="shared" si="13"/>
        <v>0</v>
      </c>
      <c r="V36" s="142">
        <f t="shared" si="14"/>
        <v>1</v>
      </c>
      <c r="W36" s="2">
        <f t="shared" si="15"/>
        <v>1</v>
      </c>
      <c r="Y36" s="2">
        <f t="shared" si="16"/>
        <v>0</v>
      </c>
    </row>
    <row r="37" spans="1:25" s="2" customFormat="1" ht="15" customHeight="1">
      <c r="A37" s="162" t="s">
        <v>39</v>
      </c>
      <c r="B37" s="163"/>
      <c r="C37" s="164"/>
      <c r="D37" s="240" t="s">
        <v>67</v>
      </c>
      <c r="E37" s="165">
        <f>IFERROR(VLOOKUP(D37,'Employee Numbers'!$A$3:$B$83,2,FALSE),"NOT FOUND")</f>
        <v>609408</v>
      </c>
      <c r="F37" s="176"/>
      <c r="G37" s="166" t="s">
        <v>44</v>
      </c>
      <c r="H37" s="166" t="s">
        <v>41</v>
      </c>
      <c r="I37" s="166" t="s">
        <v>42</v>
      </c>
      <c r="J37" s="166" t="s">
        <v>42</v>
      </c>
      <c r="K37" s="166"/>
      <c r="L37" s="167"/>
      <c r="N37">
        <f t="array" ref="N37">((SUM(IFERROR((TEXT(IF(ISNUMBER(SEARCH("-", F37:L37)), MID(F37:L37, SEARCH("-", F37:L37) + 1, 4), ""), "00\:00") - TEXT(IF(ISNUMBER(SEARCH("-", F37:L37)), MID(F37:L37, SEARCH("-", F37:L37) - 4, 4), ""), "00\:00") + IF(TEXT(IF(ISNUMBER(SEARCH("-", F37:L37)), MID(F37:L37, SEARCH("-", F37:L37) + 1, 4), ""), "00\:00") &lt; TEXT(IF(ISNUMBER(SEARCH("-", F37:L37)), MID(F37:L37, SEARCH("-", F37:L37) - 4, 4), ""), "00\:00"), 1, 0))*24,""))))/9.5</f>
        <v>4</v>
      </c>
      <c r="O37"/>
      <c r="P37" s="151">
        <f t="shared" si="11"/>
        <v>4</v>
      </c>
      <c r="Q37"/>
      <c r="R37" s="4">
        <f t="shared" ca="1" si="12"/>
        <v>4</v>
      </c>
      <c r="S37" s="2">
        <f>(IFERROR(VLOOKUP(D37,'Employee Numbers'!$A$3:$C$84,3,FALSE),"NOT FOUND"))*8</f>
        <v>4</v>
      </c>
      <c r="U37" s="142">
        <f t="shared" si="13"/>
        <v>1</v>
      </c>
      <c r="V37" s="142">
        <f t="shared" si="14"/>
        <v>2</v>
      </c>
      <c r="W37" s="2">
        <f t="shared" si="15"/>
        <v>1</v>
      </c>
      <c r="Y37" s="2">
        <f t="shared" si="16"/>
        <v>0</v>
      </c>
    </row>
    <row r="38" spans="1:25" s="2" customFormat="1" ht="15" customHeight="1">
      <c r="A38" s="2" t="s">
        <v>39</v>
      </c>
      <c r="B38" s="46"/>
      <c r="C38" s="21"/>
      <c r="D38" s="227" t="s">
        <v>68</v>
      </c>
      <c r="E38" s="226">
        <f>IFERROR(VLOOKUP(D38,'Employee Numbers'!$A$3:$B$83,2,FALSE),"NOT FOUND")</f>
        <v>627619</v>
      </c>
      <c r="F38" s="29" t="s">
        <v>69</v>
      </c>
      <c r="G38" s="31" t="s">
        <v>69</v>
      </c>
      <c r="H38" s="31" t="s">
        <v>69</v>
      </c>
      <c r="I38" s="31" t="s">
        <v>69</v>
      </c>
      <c r="J38" s="31" t="s">
        <v>69</v>
      </c>
      <c r="K38" s="31" t="s">
        <v>69</v>
      </c>
      <c r="L38" s="228" t="s">
        <v>70</v>
      </c>
      <c r="N38">
        <f t="array" ref="N38">((SUM(IFERROR((TEXT(IF(ISNUMBER(SEARCH("-", F38:L38)), MID(F38:L38, SEARCH("-", F38:L38) + 1, 4), ""), "00\:00") - TEXT(IF(ISNUMBER(SEARCH("-", F38:L38)), MID(F38:L38, SEARCH("-", F38:L38) - 4, 4), ""), "00\:00") + IF(TEXT(IF(ISNUMBER(SEARCH("-", F38:L38)), MID(F38:L38, SEARCH("-", F38:L38) + 1, 4), ""), "00\:00") &lt; TEXT(IF(ISNUMBER(SEARCH("-", F38:L38)), MID(F38:L38, SEARCH("-", F38:L38) - 4, 4), ""), "00\:00"), 1, 0))*24,""))))/9.5</f>
        <v>0</v>
      </c>
      <c r="O38">
        <v>2</v>
      </c>
      <c r="P38" s="151">
        <f t="shared" si="11"/>
        <v>2</v>
      </c>
      <c r="Q38"/>
      <c r="R38" s="4">
        <f t="shared" ca="1" si="12"/>
        <v>4</v>
      </c>
      <c r="S38" s="2">
        <f>(IFERROR(VLOOKUP(D38,'Employee Numbers'!$A$3:$C$84,3,FALSE),"NOT FOUND"))*8</f>
        <v>4</v>
      </c>
      <c r="U38" s="142">
        <f t="shared" si="13"/>
        <v>0</v>
      </c>
      <c r="V38" s="142">
        <f t="shared" si="14"/>
        <v>0</v>
      </c>
      <c r="W38" s="2">
        <f t="shared" si="15"/>
        <v>0</v>
      </c>
      <c r="Y38" s="2">
        <f t="shared" si="16"/>
        <v>0</v>
      </c>
    </row>
    <row r="39" spans="1:25" s="2" customFormat="1" ht="15" customHeight="1">
      <c r="A39" s="162" t="s">
        <v>39</v>
      </c>
      <c r="B39" s="163"/>
      <c r="C39" s="164"/>
      <c r="D39" s="240" t="s">
        <v>71</v>
      </c>
      <c r="E39" s="165">
        <f>IFERROR(VLOOKUP(D39,'Employee Numbers'!$A$3:$B$83,2,FALSE),"NOT FOUND")</f>
        <v>632646</v>
      </c>
      <c r="F39" s="176" t="s">
        <v>41</v>
      </c>
      <c r="G39" s="166"/>
      <c r="H39" s="166" t="s">
        <v>44</v>
      </c>
      <c r="I39" s="166"/>
      <c r="J39" s="166" t="s">
        <v>44</v>
      </c>
      <c r="K39" s="166"/>
      <c r="L39" s="167" t="s">
        <v>54</v>
      </c>
      <c r="N39">
        <f t="array" ref="N39">((SUM(IFERROR((TEXT(IF(ISNUMBER(SEARCH("-", F39:L39)), MID(F39:L39, SEARCH("-", F39:L39) + 1, 4), ""), "00\:00") - TEXT(IF(ISNUMBER(SEARCH("-", F39:L39)), MID(F39:L39, SEARCH("-", F39:L39) - 4, 4), ""), "00\:00") + IF(TEXT(IF(ISNUMBER(SEARCH("-", F39:L39)), MID(F39:L39, SEARCH("-", F39:L39) + 1, 4), ""), "00\:00") &lt; TEXT(IF(ISNUMBER(SEARCH("-", F39:L39)), MID(F39:L39, SEARCH("-", F39:L39) - 4, 4), ""), "00\:00"), 1, 0))*24,""))))/9.5</f>
        <v>4</v>
      </c>
      <c r="O39"/>
      <c r="P39" s="151">
        <f t="shared" si="11"/>
        <v>4</v>
      </c>
      <c r="Q39"/>
      <c r="R39" s="4">
        <f t="shared" ca="1" si="12"/>
        <v>4</v>
      </c>
      <c r="S39" s="2">
        <f>(IFERROR(VLOOKUP(D39,'Employee Numbers'!$A$3:$C$84,3,FALSE),"NOT FOUND"))*8</f>
        <v>4</v>
      </c>
      <c r="U39" s="142">
        <f t="shared" si="13"/>
        <v>2</v>
      </c>
      <c r="V39" s="142">
        <f t="shared" si="14"/>
        <v>1</v>
      </c>
      <c r="W39" s="2">
        <f t="shared" si="15"/>
        <v>1</v>
      </c>
      <c r="Y39" s="2">
        <f t="shared" si="16"/>
        <v>1</v>
      </c>
    </row>
    <row r="40" spans="1:25" s="2" customFormat="1" ht="15" customHeight="1">
      <c r="A40" s="2" t="s">
        <v>39</v>
      </c>
      <c r="B40" s="46"/>
      <c r="C40" s="21"/>
      <c r="D40" s="229" t="s">
        <v>72</v>
      </c>
      <c r="E40" s="226">
        <f>IFERROR(VLOOKUP(D40,'Employee Numbers'!$A$3:$B$83,2,FALSE),"NOT FOUND")</f>
        <v>652844</v>
      </c>
      <c r="F40" s="29"/>
      <c r="G40" s="31"/>
      <c r="H40" s="31"/>
      <c r="I40" s="31"/>
      <c r="J40" s="31"/>
      <c r="K40" s="31"/>
      <c r="L40" s="228"/>
      <c r="N40">
        <f t="array" ref="N40">((SUM(IFERROR((TEXT(IF(ISNUMBER(SEARCH("-", F40:L40)), MID(F40:L40, SEARCH("-", F40:L40) + 1, 4), ""), "00\:00") - TEXT(IF(ISNUMBER(SEARCH("-", F40:L40)), MID(F40:L40, SEARCH("-", F40:L40) - 4, 4), ""), "00\:00") + IF(TEXT(IF(ISNUMBER(SEARCH("-", F40:L40)), MID(F40:L40, SEARCH("-", F40:L40) + 1, 4), ""), "00\:00") &lt; TEXT(IF(ISNUMBER(SEARCH("-", F40:L40)), MID(F40:L40, SEARCH("-", F40:L40) - 4, 4), ""), "00\:00"), 1, 0))*24,""))))/9.5</f>
        <v>0</v>
      </c>
      <c r="O40"/>
      <c r="P40" s="151">
        <f t="shared" si="11"/>
        <v>0</v>
      </c>
      <c r="Q40"/>
      <c r="R40" s="4">
        <f t="shared" ca="1" si="12"/>
        <v>4</v>
      </c>
      <c r="S40" s="2">
        <f>(IFERROR(VLOOKUP(D40,'Employee Numbers'!$A$3:$C$84,3,FALSE),"NOT FOUND"))*8</f>
        <v>4</v>
      </c>
      <c r="U40" s="142">
        <f t="shared" si="13"/>
        <v>0</v>
      </c>
      <c r="V40" s="142">
        <f t="shared" si="14"/>
        <v>0</v>
      </c>
      <c r="W40" s="2">
        <f t="shared" si="15"/>
        <v>0</v>
      </c>
      <c r="Y40" s="2">
        <f t="shared" si="16"/>
        <v>0</v>
      </c>
    </row>
    <row r="41" spans="1:25" s="2" customFormat="1" ht="15" customHeight="1">
      <c r="A41" s="162" t="s">
        <v>39</v>
      </c>
      <c r="B41" s="163"/>
      <c r="C41" s="164"/>
      <c r="D41" s="241" t="s">
        <v>73</v>
      </c>
      <c r="E41" s="165">
        <f>IFERROR(VLOOKUP(D41,'Employee Numbers'!$A$3:$B$83,2,FALSE),"NOT FOUND")</f>
        <v>634491</v>
      </c>
      <c r="F41" s="176"/>
      <c r="G41" s="166"/>
      <c r="H41" s="166"/>
      <c r="I41" s="166"/>
      <c r="J41" s="166"/>
      <c r="K41" s="166"/>
      <c r="L41" s="167"/>
      <c r="N41">
        <f t="array" ref="N41">((SUM(IFERROR((TEXT(IF(ISNUMBER(SEARCH("-", F41:L41)), MID(F41:L41, SEARCH("-", F41:L41) + 1, 4), ""), "00\:00") - TEXT(IF(ISNUMBER(SEARCH("-", F41:L41)), MID(F41:L41, SEARCH("-", F41:L41) - 4, 4), ""), "00\:00") + IF(TEXT(IF(ISNUMBER(SEARCH("-", F41:L41)), MID(F41:L41, SEARCH("-", F41:L41) + 1, 4), ""), "00\:00") &lt; TEXT(IF(ISNUMBER(SEARCH("-", F41:L41)), MID(F41:L41, SEARCH("-", F41:L41) - 4, 4), ""), "00\:00"), 1, 0))*24,""))))/9.5</f>
        <v>0</v>
      </c>
      <c r="O41"/>
      <c r="P41" s="151">
        <f t="shared" si="11"/>
        <v>0</v>
      </c>
      <c r="Q41"/>
      <c r="R41" s="4">
        <f t="shared" ca="1" si="12"/>
        <v>4</v>
      </c>
      <c r="S41" s="2">
        <f>(IFERROR(VLOOKUP(D41,'Employee Numbers'!$A$3:$C$84,3,FALSE),"NOT FOUND"))*8</f>
        <v>4</v>
      </c>
      <c r="U41" s="142">
        <f t="shared" si="13"/>
        <v>0</v>
      </c>
      <c r="V41" s="142">
        <f t="shared" si="14"/>
        <v>0</v>
      </c>
      <c r="W41" s="2">
        <f t="shared" si="15"/>
        <v>0</v>
      </c>
      <c r="Y41" s="2">
        <f t="shared" si="16"/>
        <v>0</v>
      </c>
    </row>
    <row r="42" spans="1:25" s="2" customFormat="1" ht="15" customHeight="1">
      <c r="A42" s="2" t="s">
        <v>39</v>
      </c>
      <c r="B42" s="46"/>
      <c r="C42" s="47"/>
      <c r="D42" s="227" t="s">
        <v>74</v>
      </c>
      <c r="E42" s="226">
        <f>IFERROR(VLOOKUP(D42,'Employee Numbers'!$A$3:$B$83,2,FALSE),"NOT FOUND")</f>
        <v>621988</v>
      </c>
      <c r="F42" s="250" t="s">
        <v>75</v>
      </c>
      <c r="G42" s="251" t="s">
        <v>75</v>
      </c>
      <c r="H42" s="251" t="s">
        <v>75</v>
      </c>
      <c r="I42" s="251" t="s">
        <v>75</v>
      </c>
      <c r="J42" s="251" t="s">
        <v>75</v>
      </c>
      <c r="K42" s="251" t="s">
        <v>75</v>
      </c>
      <c r="L42" s="252" t="s">
        <v>75</v>
      </c>
      <c r="N42">
        <f t="array" ref="N42">((SUM(IFERROR((TEXT(IF(ISNUMBER(SEARCH("-", F42:L42)), MID(F42:L42, SEARCH("-", F42:L42) + 1, 4), ""), "00\:00") - TEXT(IF(ISNUMBER(SEARCH("-", F42:L42)), MID(F42:L42, SEARCH("-", F42:L42) - 4, 4), ""), "00\:00") + IF(TEXT(IF(ISNUMBER(SEARCH("-", F42:L42)), MID(F42:L42, SEARCH("-", F42:L42) + 1, 4), ""), "00\:00") &lt; TEXT(IF(ISNUMBER(SEARCH("-", F42:L42)), MID(F42:L42, SEARCH("-", F42:L42) - 4, 4), ""), "00\:00"), 1, 0))*24,""))))/9.5</f>
        <v>0</v>
      </c>
      <c r="O42">
        <v>2</v>
      </c>
      <c r="P42" s="151">
        <f t="shared" si="11"/>
        <v>2</v>
      </c>
      <c r="Q42"/>
      <c r="R42" s="4">
        <f t="shared" ca="1" si="12"/>
        <v>4</v>
      </c>
      <c r="S42" s="2">
        <f>(IFERROR(VLOOKUP(D42,'Employee Numbers'!$A$3:$C$84,3,FALSE),"NOT FOUND"))*8</f>
        <v>4</v>
      </c>
      <c r="U42" s="142">
        <f t="shared" si="13"/>
        <v>0</v>
      </c>
      <c r="V42" s="142">
        <f t="shared" si="14"/>
        <v>0</v>
      </c>
      <c r="W42" s="2">
        <f t="shared" si="15"/>
        <v>0</v>
      </c>
      <c r="Y42" s="2">
        <f t="shared" si="16"/>
        <v>0</v>
      </c>
    </row>
    <row r="43" spans="1:25" s="2" customFormat="1" ht="15" customHeight="1">
      <c r="A43" s="162" t="s">
        <v>39</v>
      </c>
      <c r="B43" s="163"/>
      <c r="C43" s="238"/>
      <c r="D43" s="239" t="s">
        <v>76</v>
      </c>
      <c r="E43" s="165">
        <f>IFERROR(VLOOKUP(D43,'Employee Numbers'!$A$3:$B$83,2,FALSE),"NOT FOUND")</f>
        <v>409677</v>
      </c>
      <c r="F43" s="176"/>
      <c r="G43" s="166"/>
      <c r="H43" s="166"/>
      <c r="I43" s="166" t="s">
        <v>63</v>
      </c>
      <c r="J43" s="166"/>
      <c r="K43" s="166"/>
      <c r="L43" s="167"/>
      <c r="N43">
        <f t="array" ref="N43">((SUM(IFERROR((TEXT(IF(ISNUMBER(SEARCH("-", F43:L43)), MID(F43:L43, SEARCH("-", F43:L43) + 1, 4), ""), "00\:00") - TEXT(IF(ISNUMBER(SEARCH("-", F43:L43)), MID(F43:L43, SEARCH("-", F43:L43) - 4, 4), ""), "00\:00") + IF(TEXT(IF(ISNUMBER(SEARCH("-", F43:L43)), MID(F43:L43, SEARCH("-", F43:L43) + 1, 4), ""), "00\:00") &lt; TEXT(IF(ISNUMBER(SEARCH("-", F43:L43)), MID(F43:L43, SEARCH("-", F43:L43) - 4, 4), ""), "00\:00"), 1, 0))*24,""))))/9.5</f>
        <v>1</v>
      </c>
      <c r="O43"/>
      <c r="P43" s="151">
        <f t="shared" si="11"/>
        <v>1</v>
      </c>
      <c r="Q43"/>
      <c r="R43" s="4">
        <f t="shared" ca="1" si="12"/>
        <v>3</v>
      </c>
      <c r="S43" s="2">
        <f>(IFERROR(VLOOKUP(D43,'Employee Numbers'!$A$3:$C$84,3,FALSE),"NOT FOUND"))*8</f>
        <v>3</v>
      </c>
      <c r="U43" s="142">
        <f t="shared" si="13"/>
        <v>0</v>
      </c>
      <c r="V43" s="142">
        <f t="shared" si="14"/>
        <v>0</v>
      </c>
      <c r="W43" s="2">
        <f t="shared" si="15"/>
        <v>1</v>
      </c>
      <c r="Y43" s="2">
        <f t="shared" si="16"/>
        <v>0</v>
      </c>
    </row>
    <row r="44" spans="1:25" s="2" customFormat="1" ht="15" customHeight="1">
      <c r="A44" s="2" t="s">
        <v>39</v>
      </c>
      <c r="B44" s="46"/>
      <c r="C44" s="47"/>
      <c r="D44" s="249" t="s">
        <v>77</v>
      </c>
      <c r="E44" s="226">
        <f>IFERROR(VLOOKUP(D44,'Employee Numbers'!$A$3:$B$83,2,FALSE),"NOT FOUND")</f>
        <v>632590</v>
      </c>
      <c r="F44" s="29" t="s">
        <v>44</v>
      </c>
      <c r="G44" s="31" t="s">
        <v>44</v>
      </c>
      <c r="H44" s="31" t="s">
        <v>42</v>
      </c>
      <c r="I44" s="31" t="s">
        <v>63</v>
      </c>
      <c r="J44" s="31"/>
      <c r="K44" s="31"/>
      <c r="L44" s="228"/>
      <c r="N44">
        <f t="array" ref="N44">((SUM(IFERROR((TEXT(IF(ISNUMBER(SEARCH("-", F44:L44)), MID(F44:L44, SEARCH("-", F44:L44) + 1, 4), ""), "00\:00") - TEXT(IF(ISNUMBER(SEARCH("-", F44:L44)), MID(F44:L44, SEARCH("-", F44:L44) - 4, 4), ""), "00\:00") + IF(TEXT(IF(ISNUMBER(SEARCH("-", F44:L44)), MID(F44:L44, SEARCH("-", F44:L44) + 1, 4), ""), "00\:00") &lt; TEXT(IF(ISNUMBER(SEARCH("-", F44:L44)), MID(F44:L44, SEARCH("-", F44:L44) - 4, 4), ""), "00\:00"), 1, 0))*24,""))))/9.5</f>
        <v>4</v>
      </c>
      <c r="O44"/>
      <c r="P44" s="151">
        <f t="shared" si="11"/>
        <v>4</v>
      </c>
      <c r="Q44"/>
      <c r="R44" s="4">
        <f t="shared" ca="1" si="12"/>
        <v>4</v>
      </c>
      <c r="S44" s="2">
        <f>(IFERROR(VLOOKUP(D44,'Employee Numbers'!$A$3:$C$84,3,FALSE),"NOT FOUND"))*8</f>
        <v>4</v>
      </c>
      <c r="U44" s="142">
        <f t="shared" si="13"/>
        <v>2</v>
      </c>
      <c r="V44" s="142">
        <f t="shared" si="14"/>
        <v>1</v>
      </c>
      <c r="W44" s="2">
        <f t="shared" si="15"/>
        <v>1</v>
      </c>
      <c r="Y44" s="2">
        <f t="shared" si="16"/>
        <v>0</v>
      </c>
    </row>
    <row r="45" spans="1:25" s="2" customFormat="1" ht="15" customHeight="1">
      <c r="A45" s="162" t="s">
        <v>39</v>
      </c>
      <c r="B45" s="163"/>
      <c r="C45" s="238"/>
      <c r="D45" s="240" t="s">
        <v>78</v>
      </c>
      <c r="E45" s="165">
        <f>IFERROR(VLOOKUP(D45,'Employee Numbers'!$A$3:$B$83,2,FALSE),"NOT FOUND")</f>
        <v>619537</v>
      </c>
      <c r="F45" s="176"/>
      <c r="G45" s="166"/>
      <c r="H45" s="166" t="s">
        <v>42</v>
      </c>
      <c r="I45" s="166"/>
      <c r="J45" s="166"/>
      <c r="K45" s="166"/>
      <c r="L45" s="167"/>
      <c r="N45">
        <f t="array" ref="N45">((SUM(IFERROR((TEXT(IF(ISNUMBER(SEARCH("-", F45:L45)), MID(F45:L45, SEARCH("-", F45:L45) + 1, 4), ""), "00\:00") - TEXT(IF(ISNUMBER(SEARCH("-", F45:L45)), MID(F45:L45, SEARCH("-", F45:L45) - 4, 4), ""), "00\:00") + IF(TEXT(IF(ISNUMBER(SEARCH("-", F45:L45)), MID(F45:L45, SEARCH("-", F45:L45) + 1, 4), ""), "00\:00") &lt; TEXT(IF(ISNUMBER(SEARCH("-", F45:L45)), MID(F45:L45, SEARCH("-", F45:L45) - 4, 4), ""), "00\:00"), 1, 0))*24,""))))/9.5</f>
        <v>1</v>
      </c>
      <c r="O45"/>
      <c r="P45" s="151">
        <f t="shared" si="11"/>
        <v>1</v>
      </c>
      <c r="Q45"/>
      <c r="R45" s="4">
        <f t="shared" ca="1" si="12"/>
        <v>1</v>
      </c>
      <c r="S45" s="2">
        <f>(IFERROR(VLOOKUP(D45,'Employee Numbers'!$A$3:$C$84,3,FALSE),"NOT FOUND"))*8</f>
        <v>1</v>
      </c>
      <c r="U45" s="142">
        <f t="shared" si="13"/>
        <v>0</v>
      </c>
      <c r="V45" s="142">
        <f t="shared" si="14"/>
        <v>1</v>
      </c>
      <c r="W45" s="2">
        <f t="shared" si="15"/>
        <v>0</v>
      </c>
      <c r="Y45" s="2">
        <f t="shared" si="16"/>
        <v>0</v>
      </c>
    </row>
    <row r="46" spans="1:25" s="2" customFormat="1" ht="15" customHeight="1">
      <c r="A46" s="2" t="s">
        <v>39</v>
      </c>
      <c r="B46" s="46"/>
      <c r="C46" s="47"/>
      <c r="D46" s="229" t="s">
        <v>79</v>
      </c>
      <c r="E46" s="226">
        <f>IFERROR(VLOOKUP(D46,'Employee Numbers'!$A$3:$B$83,2,FALSE),"NOT FOUND")</f>
        <v>621953</v>
      </c>
      <c r="F46" s="231"/>
      <c r="G46" s="136"/>
      <c r="H46" s="136"/>
      <c r="I46" s="31"/>
      <c r="J46" s="31"/>
      <c r="K46" s="136"/>
      <c r="L46" s="228" t="s">
        <v>44</v>
      </c>
      <c r="N46">
        <f t="array" ref="N46">((SUM(IFERROR((TEXT(IF(ISNUMBER(SEARCH("-", F46:L46)), MID(F46:L46, SEARCH("-", F46:L46) + 1, 4), ""), "00\:00") - TEXT(IF(ISNUMBER(SEARCH("-", F46:L46)), MID(F46:L46, SEARCH("-", F46:L46) - 4, 4), ""), "00\:00") + IF(TEXT(IF(ISNUMBER(SEARCH("-", F46:L46)), MID(F46:L46, SEARCH("-", F46:L46) + 1, 4), ""), "00\:00") &lt; TEXT(IF(ISNUMBER(SEARCH("-", F46:L46)), MID(F46:L46, SEARCH("-", F46:L46) - 4, 4), ""), "00\:00"), 1, 0))*24,""))))/9.5</f>
        <v>1</v>
      </c>
      <c r="O46"/>
      <c r="P46" s="151">
        <f t="shared" si="11"/>
        <v>1</v>
      </c>
      <c r="Q46"/>
      <c r="R46" s="4">
        <f t="shared" ca="1" si="12"/>
        <v>1</v>
      </c>
      <c r="S46" s="2">
        <f>(IFERROR(VLOOKUP(D46,'Employee Numbers'!$A$3:$C$84,3,FALSE),"NOT FOUND"))*8</f>
        <v>1</v>
      </c>
      <c r="U46" s="142">
        <f t="shared" si="13"/>
        <v>0</v>
      </c>
      <c r="V46" s="142">
        <f t="shared" si="14"/>
        <v>0</v>
      </c>
      <c r="W46" s="2">
        <f t="shared" si="15"/>
        <v>0</v>
      </c>
      <c r="Y46" s="2">
        <f t="shared" si="16"/>
        <v>1</v>
      </c>
    </row>
    <row r="47" spans="1:25" s="2" customFormat="1" ht="15" customHeight="1">
      <c r="A47" s="162" t="s">
        <v>39</v>
      </c>
      <c r="B47" s="163"/>
      <c r="C47" s="164"/>
      <c r="D47" s="242" t="s">
        <v>80</v>
      </c>
      <c r="E47" s="165">
        <f>IFERROR(VLOOKUP(D47,'Employee Numbers'!$A$3:$B$83,2,FALSE),"NOT FOUND")</f>
        <v>614504</v>
      </c>
      <c r="F47" s="176"/>
      <c r="G47" s="166" t="s">
        <v>44</v>
      </c>
      <c r="H47" s="166"/>
      <c r="I47" s="166"/>
      <c r="J47" s="166"/>
      <c r="K47" s="166"/>
      <c r="L47" s="167"/>
      <c r="N47">
        <f t="array" ref="N47">((SUM(IFERROR((TEXT(IF(ISNUMBER(SEARCH("-", F47:L47)), MID(F47:L47, SEARCH("-", F47:L47) + 1, 4), ""), "00\:00") - TEXT(IF(ISNUMBER(SEARCH("-", F47:L47)), MID(F47:L47, SEARCH("-", F47:L47) - 4, 4), ""), "00\:00") + IF(TEXT(IF(ISNUMBER(SEARCH("-", F47:L47)), MID(F47:L47, SEARCH("-", F47:L47) + 1, 4), ""), "00\:00") &lt; TEXT(IF(ISNUMBER(SEARCH("-", F47:L47)), MID(F47:L47, SEARCH("-", F47:L47) - 4, 4), ""), "00\:00"), 1, 0))*24,""))))/9.5</f>
        <v>1</v>
      </c>
      <c r="O47"/>
      <c r="P47" s="178">
        <f>N47+O47</f>
        <v>1</v>
      </c>
      <c r="Q47"/>
      <c r="R47" s="3">
        <f t="shared" ca="1" si="12"/>
        <v>1</v>
      </c>
      <c r="S47" s="2">
        <f>(IFERROR(VLOOKUP(D47,'Employee Numbers'!$A$3:$C$84,3,FALSE),"NOT FOUND"))*8</f>
        <v>1</v>
      </c>
      <c r="U47" s="142">
        <f t="shared" si="13"/>
        <v>1</v>
      </c>
      <c r="V47" s="142">
        <f t="shared" si="14"/>
        <v>0</v>
      </c>
      <c r="W47" s="2">
        <f t="shared" si="15"/>
        <v>0</v>
      </c>
      <c r="Y47" s="2">
        <f t="shared" si="16"/>
        <v>0</v>
      </c>
    </row>
    <row r="48" spans="1:25" s="2" customFormat="1" ht="15" customHeight="1" thickBot="1">
      <c r="A48" s="2" t="s">
        <v>39</v>
      </c>
      <c r="B48" s="46"/>
      <c r="C48" s="21"/>
      <c r="D48" s="230" t="s">
        <v>81</v>
      </c>
      <c r="E48" s="233" t="str">
        <f>IFERROR(VLOOKUP(D48,'Employee Numbers'!$A$3:$B$83,2,FALSE),"NOT FOUND")</f>
        <v>N/A</v>
      </c>
      <c r="F48" s="231"/>
      <c r="G48" s="31"/>
      <c r="H48" s="31"/>
      <c r="I48" s="31"/>
      <c r="J48" s="31"/>
      <c r="K48" s="31"/>
      <c r="L48" s="228"/>
    </row>
    <row r="49" spans="1:22" s="2" customFormat="1" ht="15" customHeight="1" thickBot="1">
      <c r="A49" s="162" t="s">
        <v>39</v>
      </c>
      <c r="B49" s="163"/>
      <c r="C49" s="238"/>
      <c r="D49" s="243" t="s">
        <v>81</v>
      </c>
      <c r="E49" s="244" t="str">
        <f>IFERROR(VLOOKUP(D49,'Employee Numbers'!$A$3:$B$83,2,FALSE),"NOT FOUND")</f>
        <v>N/A</v>
      </c>
      <c r="F49" s="245"/>
      <c r="G49" s="246"/>
      <c r="H49" s="246"/>
      <c r="I49" s="246"/>
      <c r="J49" s="246"/>
      <c r="K49" s="246"/>
      <c r="L49" s="247"/>
      <c r="O49" s="142"/>
    </row>
    <row r="50" spans="1:22" s="2" customFormat="1" ht="15" customHeight="1" thickBot="1">
      <c r="B50" s="46"/>
      <c r="C50" s="21"/>
      <c r="D50" s="16" t="s">
        <v>82</v>
      </c>
      <c r="E50" s="58"/>
      <c r="F50" s="28" t="s">
        <v>52</v>
      </c>
      <c r="G50" s="59" t="s">
        <v>77</v>
      </c>
      <c r="H50" s="59" t="s">
        <v>51</v>
      </c>
      <c r="I50" s="59" t="s">
        <v>57</v>
      </c>
      <c r="J50" s="59" t="s">
        <v>71</v>
      </c>
      <c r="K50" s="59" t="s">
        <v>56</v>
      </c>
      <c r="L50" s="60" t="s">
        <v>45</v>
      </c>
      <c r="V50" s="142"/>
    </row>
    <row r="51" spans="1:22" s="2" customFormat="1" ht="15" customHeight="1">
      <c r="B51" s="46"/>
      <c r="C51" s="21"/>
      <c r="E51" s="21"/>
      <c r="R51" s="2">
        <f>(N54+P54)*9.5/38*5</f>
        <v>3.75</v>
      </c>
      <c r="V51" s="142"/>
    </row>
    <row r="52" spans="1:22" s="2" customFormat="1" ht="15.75" customHeight="1">
      <c r="B52" s="46"/>
      <c r="C52" s="21"/>
      <c r="E52" s="21"/>
      <c r="F52" s="92">
        <f>+F19</f>
        <v>46146</v>
      </c>
      <c r="G52" s="64">
        <f t="shared" ref="G52" si="17">F52+1</f>
        <v>46147</v>
      </c>
      <c r="H52" s="64">
        <f t="shared" ref="H52" si="18">G52+1</f>
        <v>46148</v>
      </c>
      <c r="I52" s="64">
        <f>H52+1</f>
        <v>46149</v>
      </c>
      <c r="J52" s="64">
        <f t="shared" ref="J52" si="19">I52+1</f>
        <v>46150</v>
      </c>
      <c r="K52" s="64">
        <f t="shared" ref="K52" si="20">J52+1</f>
        <v>46151</v>
      </c>
      <c r="L52" s="65">
        <f t="shared" ref="L52" si="21">K52+1</f>
        <v>46152</v>
      </c>
      <c r="M52" s="34"/>
      <c r="N52" s="152" t="s">
        <v>27</v>
      </c>
      <c r="O52" s="152" t="s">
        <v>83</v>
      </c>
      <c r="P52" s="152" t="s">
        <v>84</v>
      </c>
      <c r="Q52" s="2" t="s">
        <v>29</v>
      </c>
      <c r="R52" s="152" t="s">
        <v>85</v>
      </c>
      <c r="S52" s="152" t="s">
        <v>30</v>
      </c>
      <c r="T52" s="152" t="s">
        <v>31</v>
      </c>
      <c r="U52" s="152"/>
      <c r="V52" s="142"/>
    </row>
    <row r="53" spans="1:22" s="2" customFormat="1" ht="30" customHeight="1">
      <c r="A53" s="168" t="s">
        <v>86</v>
      </c>
      <c r="B53" s="169"/>
      <c r="C53" s="169"/>
      <c r="D53" s="169" t="s">
        <v>86</v>
      </c>
      <c r="E53" s="127" t="s">
        <v>4</v>
      </c>
      <c r="F53" s="266" t="s">
        <v>5</v>
      </c>
      <c r="G53" s="267" t="s">
        <v>6</v>
      </c>
      <c r="H53" s="268" t="s">
        <v>87</v>
      </c>
      <c r="I53" s="267" t="s">
        <v>8</v>
      </c>
      <c r="J53" s="267" t="s">
        <v>9</v>
      </c>
      <c r="K53" s="267" t="s">
        <v>10</v>
      </c>
      <c r="L53" s="269" t="s">
        <v>11</v>
      </c>
      <c r="M53" s="34"/>
      <c r="N53" s="147" t="s">
        <v>32</v>
      </c>
      <c r="O53" s="147" t="s">
        <v>88</v>
      </c>
      <c r="P53" s="147" t="s">
        <v>89</v>
      </c>
      <c r="R53" s="145" t="s">
        <v>90</v>
      </c>
      <c r="S53" s="147" t="s">
        <v>32</v>
      </c>
      <c r="T53" s="147" t="s">
        <v>32</v>
      </c>
      <c r="U53" s="147"/>
      <c r="V53" s="142"/>
    </row>
    <row r="54" spans="1:22" s="2" customFormat="1" ht="15" customHeight="1">
      <c r="A54" s="44" t="s">
        <v>91</v>
      </c>
      <c r="B54" s="44"/>
      <c r="C54" s="45"/>
      <c r="D54" s="123" t="s">
        <v>92</v>
      </c>
      <c r="E54" s="265">
        <f>IFERROR(VLOOKUP(D54,'Employee Numbers'!$A$3:$B$83,2,FALSE),"NOT FOUND")</f>
        <v>634905</v>
      </c>
      <c r="F54" s="264" t="s">
        <v>42</v>
      </c>
      <c r="G54" s="264"/>
      <c r="H54" s="349" t="s">
        <v>44</v>
      </c>
      <c r="I54" s="264"/>
      <c r="J54" s="275"/>
      <c r="K54" s="264"/>
      <c r="L54" s="264" t="s">
        <v>42</v>
      </c>
      <c r="N54">
        <f t="array" ref="N54">((SUM(IFERROR((TEXT(IF(ISNUMBER(SEARCH("-", F54:L54)), MID(F54:L54, SEARCH("-", F54:L54) + 1, 4), ""), "00\:00") - TEXT(IF(ISNUMBER(SEARCH("-", F54:L54)), MID(F54:L54, SEARCH("-", F54:L54) - 4, 4), ""), "00\:00") + IF(TEXT(IF(ISNUMBER(SEARCH("-", F54:L54)), MID(F54:L54, SEARCH("-", F54:L54) + 1, 4), ""), "00\:00") &lt; TEXT(IF(ISNUMBER(SEARCH("-", F54:L54)), MID(F54:L54, SEARCH("-", F54:L54) - 4, 4), ""), "00\:00"), 1, 0))*24,""))))/9.5</f>
        <v>3</v>
      </c>
      <c r="O54"/>
      <c r="P54"/>
      <c r="Q54" s="2">
        <f>P54+O54+N54</f>
        <v>3</v>
      </c>
      <c r="R54" s="2">
        <f>IF(ISNUMBER(SEARCH("trg_5",H146)),5,IF(ISNUMBER(SEARCH("trg_3.75",H146)),3.75,IF(ISNUMBER(SEARCH("trg_2.5",H146)),2.5,IF(ISNUMBER(SEARCH("trg_1.75",H146)),1.75,0))))</f>
        <v>3.75</v>
      </c>
      <c r="S54">
        <f ca="1">IF($C$4=1,SUM(Q54+INDIRECT("'Week "&amp;($B$3+1)&amp;"'!Q"&amp;(ROW()))),IF($C$4=2,SUM(Q54+INDIRECT("'Week "&amp;($B$3-1)&amp;"'!Q"&amp;(ROW())))))</f>
        <v>6</v>
      </c>
      <c r="T54" s="2">
        <f>(IFERROR(VLOOKUP(D54,'Employee Numbers'!$A$3:$C$84,3,FALSE),"NOT FOUND"))*8</f>
        <v>8</v>
      </c>
      <c r="V54" s="142"/>
    </row>
    <row r="55" spans="1:22" s="13" customFormat="1" ht="15" customHeight="1">
      <c r="A55" s="2" t="s">
        <v>91</v>
      </c>
      <c r="B55" s="2"/>
      <c r="C55" s="21"/>
      <c r="D55" s="86" t="s">
        <v>93</v>
      </c>
      <c r="E55" s="265">
        <f>IFERROR(VLOOKUP(D55,'Employee Numbers'!$A$3:$B$83,2,FALSE),"NOT FOUND")</f>
        <v>704751</v>
      </c>
      <c r="F55" s="264" t="s">
        <v>42</v>
      </c>
      <c r="G55" s="264" t="s">
        <v>42</v>
      </c>
      <c r="H55" s="264"/>
      <c r="I55" s="264"/>
      <c r="J55" s="264"/>
      <c r="K55" s="264" t="s">
        <v>42</v>
      </c>
      <c r="L55" s="264" t="s">
        <v>42</v>
      </c>
      <c r="N55">
        <f t="array" ref="N55">((SUM(IFERROR((TEXT(IF(ISNUMBER(SEARCH("-", F55:L55)), MID(F55:L55, SEARCH("-", F55:L55) + 1, 4), ""), "00\:00") - TEXT(IF(ISNUMBER(SEARCH("-", F55:L55)), MID(F55:L55, SEARCH("-", F55:L55) - 4, 4), ""), "00\:00") + IF(TEXT(IF(ISNUMBER(SEARCH("-", F55:L55)), MID(F55:L55, SEARCH("-", F55:L55) + 1, 4), ""), "00\:00") &lt; TEXT(IF(ISNUMBER(SEARCH("-", F55:L55)), MID(F55:L55, SEARCH("-", F55:L55) - 4, 4), ""), "00\:00"), 1, 0))*24,""))))/9.5</f>
        <v>4</v>
      </c>
      <c r="O55"/>
      <c r="P55"/>
      <c r="Q55" s="2">
        <f t="shared" ref="Q55:Q59" si="22">P55+O55+N55</f>
        <v>4</v>
      </c>
      <c r="R55" s="2">
        <f t="shared" ref="R55:R59" si="23">IF(ISNUMBER(SEARCH("trg_5",H147)),5,IF(ISNUMBER(SEARCH("trg_3.75",H147)),3.75,IF(ISNUMBER(SEARCH("trg_2.5",H147)),2.5,IF(ISNUMBER(SEARCH("trg_1.75",H147)),1.75,0))))</f>
        <v>5</v>
      </c>
      <c r="S55">
        <f t="shared" ref="S55:S59" ca="1" si="24">IF($C$4=1,SUM(Q55+INDIRECT("'Week "&amp;($B$3+1)&amp;"'!Q"&amp;(ROW()))),IF($C$4=2,SUM(Q55+INDIRECT("'Week "&amp;($B$3-1)&amp;"'!Q"&amp;(ROW())))))</f>
        <v>8</v>
      </c>
      <c r="T55" s="2">
        <f>(IFERROR(VLOOKUP(D55,'Employee Numbers'!$A$3:$C$84,3,FALSE),"NOT FOUND"))*8</f>
        <v>0</v>
      </c>
      <c r="U55" s="2"/>
      <c r="V55" s="144"/>
    </row>
    <row r="56" spans="1:22" s="2" customFormat="1" ht="15" customHeight="1">
      <c r="A56" s="44" t="s">
        <v>91</v>
      </c>
      <c r="B56" s="44"/>
      <c r="C56" s="45"/>
      <c r="D56" s="85" t="s">
        <v>94</v>
      </c>
      <c r="E56" s="265">
        <f>IFERROR(VLOOKUP(D56,'Employee Numbers'!$A$3:$B$83,2,FALSE),"NOT FOUND")</f>
        <v>637219</v>
      </c>
      <c r="F56" s="264"/>
      <c r="G56" s="341" t="s">
        <v>95</v>
      </c>
      <c r="H56" s="264"/>
      <c r="I56" s="264"/>
      <c r="J56" s="264" t="s">
        <v>44</v>
      </c>
      <c r="K56" s="264" t="s">
        <v>42</v>
      </c>
      <c r="L56" s="264" t="s">
        <v>42</v>
      </c>
      <c r="N56">
        <f t="array" ref="N56">((SUM(IFERROR((TEXT(IF(ISNUMBER(SEARCH("-", F56:L56)), MID(F56:L56, SEARCH("-", F56:L56) + 1, 4), ""), "00\:00") - TEXT(IF(ISNUMBER(SEARCH("-", F56:L56)), MID(F56:L56, SEARCH("-", F56:L56) - 4, 4), ""), "00\:00") + IF(TEXT(IF(ISNUMBER(SEARCH("-", F56:L56)), MID(F56:L56, SEARCH("-", F56:L56) + 1, 4), ""), "00\:00") &lt; TEXT(IF(ISNUMBER(SEARCH("-", F56:L56)), MID(F56:L56, SEARCH("-", F56:L56) - 4, 4), ""), "00\:00"), 1, 0))*24,""))))/9.5</f>
        <v>3</v>
      </c>
      <c r="O56"/>
      <c r="P56"/>
      <c r="Q56" s="2">
        <f t="shared" si="22"/>
        <v>3</v>
      </c>
      <c r="R56" s="2">
        <f t="shared" si="23"/>
        <v>5</v>
      </c>
      <c r="S56">
        <f t="shared" ca="1" si="24"/>
        <v>7</v>
      </c>
      <c r="T56" s="2">
        <f>(IFERROR(VLOOKUP(D56,'Employee Numbers'!$A$3:$C$84,3,FALSE),"NOT FOUND"))*8</f>
        <v>0</v>
      </c>
      <c r="V56" s="142"/>
    </row>
    <row r="57" spans="1:22" s="13" customFormat="1" ht="15" customHeight="1">
      <c r="A57" s="2" t="s">
        <v>91</v>
      </c>
      <c r="B57" s="2"/>
      <c r="C57" s="21"/>
      <c r="D57" s="86"/>
      <c r="E57" s="156" t="str">
        <f>IFERROR(VLOOKUP(D57,'Employee Numbers'!$A$3:$B$83,2,FALSE),"NOT FOUND")</f>
        <v>NOT FOUND</v>
      </c>
      <c r="F57" s="125"/>
      <c r="G57" s="125"/>
      <c r="H57" s="125"/>
      <c r="I57" s="125"/>
      <c r="J57" s="125"/>
      <c r="K57" s="125"/>
      <c r="L57" s="125"/>
      <c r="N57">
        <f t="array" ref="N57">((SUM(IFERROR((TEXT(IF(ISNUMBER(SEARCH("-", F57:L57)), MID(F57:L57, SEARCH("-", F57:L57) + 1, 4), ""), "00\:00") - TEXT(IF(ISNUMBER(SEARCH("-", F57:L57)), MID(F57:L57, SEARCH("-", F57:L57) - 4, 4), ""), "00\:00") + IF(TEXT(IF(ISNUMBER(SEARCH("-", F57:L57)), MID(F57:L57, SEARCH("-", F57:L57) + 1, 4), ""), "00\:00") &lt; TEXT(IF(ISNUMBER(SEARCH("-", F57:L57)), MID(F57:L57, SEARCH("-", F57:L57) - 4, 4), ""), "00\:00"), 1, 0))*24,""))))/9.5</f>
        <v>0</v>
      </c>
      <c r="O57"/>
      <c r="P57"/>
      <c r="Q57" s="2">
        <f t="shared" si="22"/>
        <v>0</v>
      </c>
      <c r="R57" s="2">
        <f t="shared" si="23"/>
        <v>2.5</v>
      </c>
      <c r="S57">
        <f t="shared" ca="1" si="24"/>
        <v>0</v>
      </c>
      <c r="T57" s="2" t="e">
        <f>(IFERROR(VLOOKUP(D57,'Employee Numbers'!$A$3:$C$84,3,FALSE),"NOT FOUND"))*8</f>
        <v>#VALUE!</v>
      </c>
      <c r="U57" s="2"/>
      <c r="V57" s="144"/>
    </row>
    <row r="58" spans="1:22" s="2" customFormat="1" ht="15" customHeight="1">
      <c r="A58" s="44" t="s">
        <v>91</v>
      </c>
      <c r="B58" s="44"/>
      <c r="C58" s="45"/>
      <c r="D58" s="85"/>
      <c r="E58" s="156" t="str">
        <f>IFERROR(VLOOKUP(D58,'Employee Numbers'!$A$3:$B$83,2,FALSE),"NOT FOUND")</f>
        <v>NOT FOUND</v>
      </c>
      <c r="F58" s="110"/>
      <c r="G58" s="110"/>
      <c r="H58" s="110"/>
      <c r="I58" s="110"/>
      <c r="J58" s="110"/>
      <c r="K58" s="110"/>
      <c r="L58" s="110"/>
      <c r="N58">
        <f t="array" ref="N58">((SUM(IFERROR((TEXT(IF(ISNUMBER(SEARCH("-", F58:L58)), MID(F58:L58, SEARCH("-", F58:L58) + 1, 4), ""), "00\:00") - TEXT(IF(ISNUMBER(SEARCH("-", F58:L58)), MID(F58:L58, SEARCH("-", F58:L58) - 4, 4), ""), "00\:00") + IF(TEXT(IF(ISNUMBER(SEARCH("-", F58:L58)), MID(F58:L58, SEARCH("-", F58:L58) + 1, 4), ""), "00\:00") &lt; TEXT(IF(ISNUMBER(SEARCH("-", F58:L58)), MID(F58:L58, SEARCH("-", F58:L58) - 4, 4), ""), "00\:00"), 1, 0))*24,""))))/9.5</f>
        <v>0</v>
      </c>
      <c r="O58"/>
      <c r="P58"/>
      <c r="Q58" s="2">
        <f t="shared" si="22"/>
        <v>0</v>
      </c>
      <c r="R58" s="2">
        <f t="shared" si="23"/>
        <v>2.5</v>
      </c>
      <c r="S58">
        <f t="shared" ca="1" si="24"/>
        <v>0</v>
      </c>
      <c r="T58" s="2" t="e">
        <f>(IFERROR(VLOOKUP(D58,'Employee Numbers'!$A$3:$C$84,3,FALSE),"NOT FOUND"))*8</f>
        <v>#VALUE!</v>
      </c>
      <c r="V58" s="142"/>
    </row>
    <row r="59" spans="1:22" s="13" customFormat="1" ht="15" customHeight="1">
      <c r="A59" s="2" t="s">
        <v>91</v>
      </c>
      <c r="B59" s="2"/>
      <c r="C59" s="21"/>
      <c r="D59" s="86"/>
      <c r="E59" s="156" t="str">
        <f>IFERROR(VLOOKUP(D59,'Employee Numbers'!$A$3:$B$83,2,FALSE),"NOT FOUND")</f>
        <v>NOT FOUND</v>
      </c>
      <c r="F59" s="110"/>
      <c r="G59" s="110"/>
      <c r="H59" s="110"/>
      <c r="I59" s="110"/>
      <c r="J59" s="110"/>
      <c r="K59" s="110"/>
      <c r="L59" s="110"/>
      <c r="N59">
        <f t="array" ref="N59">((SUM(IFERROR((TEXT(IF(ISNUMBER(SEARCH("-", F59:L59)), MID(F59:L59, SEARCH("-", F59:L59) + 1, 4), ""), "00\:00") - TEXT(IF(ISNUMBER(SEARCH("-", F59:L59)), MID(F59:L59, SEARCH("-", F59:L59) - 4, 4), ""), "00\:00") + IF(TEXT(IF(ISNUMBER(SEARCH("-", F59:L59)), MID(F59:L59, SEARCH("-", F59:L59) + 1, 4), ""), "00\:00") &lt; TEXT(IF(ISNUMBER(SEARCH("-", F59:L59)), MID(F59:L59, SEARCH("-", F59:L59) - 4, 4), ""), "00\:00"), 1, 0))*24,""))))/9.5</f>
        <v>0</v>
      </c>
      <c r="O59"/>
      <c r="P59"/>
      <c r="Q59" s="2">
        <f t="shared" si="22"/>
        <v>0</v>
      </c>
      <c r="R59" s="2">
        <f t="shared" si="23"/>
        <v>2.5</v>
      </c>
      <c r="S59">
        <f t="shared" ca="1" si="24"/>
        <v>0</v>
      </c>
      <c r="T59" s="2" t="e">
        <f>(IFERROR(VLOOKUP(D59,'Employee Numbers'!$A$3:$C$84,3,FALSE),"NOT FOUND"))*8</f>
        <v>#VALUE!</v>
      </c>
      <c r="U59" s="2"/>
      <c r="V59" s="144"/>
    </row>
    <row r="60" spans="1:22" s="2" customFormat="1" ht="30" customHeight="1">
      <c r="A60" s="170" t="s">
        <v>96</v>
      </c>
      <c r="B60" s="131"/>
      <c r="C60" s="132"/>
      <c r="D60" s="171" t="s">
        <v>97</v>
      </c>
      <c r="E60" s="133" t="s">
        <v>4</v>
      </c>
      <c r="F60" s="270" t="s">
        <v>5</v>
      </c>
      <c r="G60" s="270" t="s">
        <v>6</v>
      </c>
      <c r="H60" s="271" t="s">
        <v>87</v>
      </c>
      <c r="I60" s="270" t="s">
        <v>8</v>
      </c>
      <c r="J60" s="270" t="s">
        <v>9</v>
      </c>
      <c r="K60" s="270" t="s">
        <v>10</v>
      </c>
      <c r="L60" s="272" t="s">
        <v>11</v>
      </c>
      <c r="N60"/>
      <c r="O60"/>
      <c r="P60"/>
      <c r="V60" s="142"/>
    </row>
    <row r="61" spans="1:22" s="2" customFormat="1" ht="15" customHeight="1">
      <c r="A61" s="2" t="s">
        <v>98</v>
      </c>
      <c r="C61" s="47"/>
      <c r="D61" s="262" t="s">
        <v>99</v>
      </c>
      <c r="E61" s="265">
        <f>IFERROR(VLOOKUP(D61,'Employee Numbers'!$A$3:$B$83,2,FALSE),"NOT FOUND")</f>
        <v>638531</v>
      </c>
      <c r="F61" s="276" t="s">
        <v>42</v>
      </c>
      <c r="G61" s="264"/>
      <c r="H61" s="264"/>
      <c r="I61" s="264"/>
      <c r="J61" s="264" t="s">
        <v>100</v>
      </c>
      <c r="K61" s="264" t="s">
        <v>100</v>
      </c>
      <c r="L61" s="264" t="s">
        <v>100</v>
      </c>
      <c r="N61">
        <f t="array" ref="N61">((SUM(IFERROR((TEXT(IF(ISNUMBER(SEARCH("-", F61:L61)), MID(F61:L61, SEARCH("-", F61:L61) + 1, 4), ""), "00\:00") - TEXT(IF(ISNUMBER(SEARCH("-", F61:L61)), MID(F61:L61, SEARCH("-", F61:L61) - 4, 4), ""), "00\:00") + IF(TEXT(IF(ISNUMBER(SEARCH("-", F61:L61)), MID(F61:L61, SEARCH("-", F61:L61) + 1, 4), ""), "00\:00") &lt; TEXT(IF(ISNUMBER(SEARCH("-", F61:L61)), MID(F61:L61, SEARCH("-", F61:L61) - 4, 4), ""), "00\:00"), 1, 0))*24,""))))/9.5</f>
        <v>4</v>
      </c>
      <c r="O61"/>
      <c r="P61"/>
      <c r="Q61" s="2">
        <f>P61+O61+N61</f>
        <v>4</v>
      </c>
      <c r="R61" s="2">
        <f>IF(ISNUMBER(SEARCH("trg_5",H153)),5,IF(ISNUMBER(SEARCH("trg_3.75",H153)),3.75,IF(ISNUMBER(SEARCH("trg_2.5",H153)),2.5,IF(ISNUMBER(SEARCH("trg_1.75",H153)),1.75,0))))</f>
        <v>5</v>
      </c>
      <c r="S61">
        <f ca="1">IF($C$4=1,SUM(Q61+INDIRECT("'Week "&amp;($B$3+1)&amp;"'!Q"&amp;(ROW()))),IF($C$4=2,SUM(Q61+INDIRECT("'Week "&amp;($B$3-1)&amp;"'!Q"&amp;(ROW())))))</f>
        <v>8</v>
      </c>
      <c r="T61" s="2">
        <f>(IFERROR(VLOOKUP(D61,'Employee Numbers'!$A$3:$C$84,3,FALSE),"NOT FOUND"))*8</f>
        <v>0</v>
      </c>
      <c r="V61" s="142"/>
    </row>
    <row r="62" spans="1:22" s="2" customFormat="1" ht="15" customHeight="1">
      <c r="A62" s="44" t="s">
        <v>98</v>
      </c>
      <c r="B62" s="44"/>
      <c r="C62" s="45"/>
      <c r="D62" s="262" t="s">
        <v>101</v>
      </c>
      <c r="E62" s="265">
        <f>IFERROR(VLOOKUP(D62,'Employee Numbers'!$A$3:$B$83,2,FALSE),"NOT FOUND")</f>
        <v>631715</v>
      </c>
      <c r="F62" s="273"/>
      <c r="G62" s="273"/>
      <c r="H62" s="273"/>
      <c r="I62" s="273" t="s">
        <v>102</v>
      </c>
      <c r="J62" s="273" t="s">
        <v>102</v>
      </c>
      <c r="K62" s="264" t="s">
        <v>42</v>
      </c>
      <c r="L62" s="264" t="s">
        <v>42</v>
      </c>
      <c r="N62">
        <f t="array" ref="N62">((SUM(IFERROR((TEXT(IF(ISNUMBER(SEARCH("-", F62:L62)), MID(F62:L62, SEARCH("-", F62:L62) + 1, 4), ""), "00\:00") - TEXT(IF(ISNUMBER(SEARCH("-", F62:L62)), MID(F62:L62, SEARCH("-", F62:L62) - 4, 4), ""), "00\:00") + IF(TEXT(IF(ISNUMBER(SEARCH("-", F62:L62)), MID(F62:L62, SEARCH("-", F62:L62) + 1, 4), ""), "00\:00") &lt; TEXT(IF(ISNUMBER(SEARCH("-", F62:L62)), MID(F62:L62, SEARCH("-", F62:L62) - 4, 4), ""), "00\:00"), 1, 0))*24,""))))/9.5</f>
        <v>2</v>
      </c>
      <c r="O62"/>
      <c r="P62">
        <v>2</v>
      </c>
      <c r="Q62" s="2">
        <f t="shared" ref="Q62:Q80" si="25">P62+O62+N62</f>
        <v>4</v>
      </c>
      <c r="R62" s="2">
        <f t="shared" ref="R62:R80" si="26">IF(ISNUMBER(SEARCH("trg_5",H154)),5,IF(ISNUMBER(SEARCH("trg_3.75",H154)),3.75,IF(ISNUMBER(SEARCH("trg_2.5",H154)),2.5,IF(ISNUMBER(SEARCH("trg_1.75",H154)),1.75,0))))</f>
        <v>5</v>
      </c>
      <c r="S62">
        <f t="shared" ref="S62:S84" ca="1" si="27">IF($C$4=1,SUM(Q62+INDIRECT("'Week "&amp;($B$3+1)&amp;"'!Q"&amp;(ROW()))),IF($C$4=2,SUM(Q62+INDIRECT("'Week "&amp;($B$3-1)&amp;"'!Q"&amp;(ROW())))))</f>
        <v>8</v>
      </c>
      <c r="T62" s="2">
        <f>(IFERROR(VLOOKUP(D62,'Employee Numbers'!$A$3:$C$84,3,FALSE),"NOT FOUND"))*8</f>
        <v>0</v>
      </c>
      <c r="V62" s="142"/>
    </row>
    <row r="63" spans="1:22" s="13" customFormat="1" ht="15" customHeight="1">
      <c r="A63" s="2" t="s">
        <v>98</v>
      </c>
      <c r="B63" s="2"/>
      <c r="C63" s="21"/>
      <c r="D63" s="262" t="s">
        <v>103</v>
      </c>
      <c r="E63" s="265">
        <f>IFERROR(VLOOKUP(D63,'Employee Numbers'!$A$3:$B$83,2,FALSE),"NOT FOUND")</f>
        <v>703719</v>
      </c>
      <c r="F63" s="276" t="s">
        <v>42</v>
      </c>
      <c r="G63" s="264" t="s">
        <v>100</v>
      </c>
      <c r="H63" s="264" t="s">
        <v>100</v>
      </c>
      <c r="I63" s="275"/>
      <c r="J63" s="264"/>
      <c r="K63" s="275"/>
      <c r="L63" s="275"/>
      <c r="N63">
        <f t="array" ref="N63">((SUM(IFERROR((TEXT(IF(ISNUMBER(SEARCH("-", F63:L63)), MID(F63:L63, SEARCH("-", F63:L63) + 1, 4), ""), "00\:00") - TEXT(IF(ISNUMBER(SEARCH("-", F63:L63)), MID(F63:L63, SEARCH("-", F63:L63) - 4, 4), ""), "00\:00") + IF(TEXT(IF(ISNUMBER(SEARCH("-", F63:L63)), MID(F63:L63, SEARCH("-", F63:L63) + 1, 4), ""), "00\:00") &lt; TEXT(IF(ISNUMBER(SEARCH("-", F63:L63)), MID(F63:L63, SEARCH("-", F63:L63) - 4, 4), ""), "00\:00"), 1, 0))*24,""))))/9.5</f>
        <v>3</v>
      </c>
      <c r="O63"/>
      <c r="P63"/>
      <c r="Q63" s="2">
        <f t="shared" si="25"/>
        <v>3</v>
      </c>
      <c r="R63" s="2">
        <f t="shared" si="26"/>
        <v>3.75</v>
      </c>
      <c r="S63">
        <f t="shared" ca="1" si="27"/>
        <v>5.9999999999999991</v>
      </c>
      <c r="T63" s="2">
        <f>(IFERROR(VLOOKUP(D63,'Employee Numbers'!$A$3:$C$84,3,FALSE),"NOT FOUND"))*8</f>
        <v>0</v>
      </c>
      <c r="U63" s="2"/>
      <c r="V63" s="144"/>
    </row>
    <row r="64" spans="1:22" s="2" customFormat="1" ht="15" customHeight="1">
      <c r="A64" s="44" t="s">
        <v>98</v>
      </c>
      <c r="B64" s="44"/>
      <c r="C64" s="45"/>
      <c r="D64" s="262" t="s">
        <v>104</v>
      </c>
      <c r="E64" s="265">
        <f>IFERROR(VLOOKUP(D64,'Employee Numbers'!$A$3:$B$83,2,FALSE),"NOT FOUND")</f>
        <v>637791</v>
      </c>
      <c r="F64" s="276" t="s">
        <v>44</v>
      </c>
      <c r="G64" s="264"/>
      <c r="H64" s="264"/>
      <c r="I64" s="264" t="s">
        <v>42</v>
      </c>
      <c r="J64" s="264" t="s">
        <v>42</v>
      </c>
      <c r="K64" s="264"/>
      <c r="L64" s="264"/>
      <c r="N64">
        <f t="array" ref="N64">((SUM(IFERROR((TEXT(IF(ISNUMBER(SEARCH("-", F64:L64)), MID(F64:L64, SEARCH("-", F64:L64) + 1, 4), ""), "00\:00") - TEXT(IF(ISNUMBER(SEARCH("-", F64:L64)), MID(F64:L64, SEARCH("-", F64:L64) - 4, 4), ""), "00\:00") + IF(TEXT(IF(ISNUMBER(SEARCH("-", F64:L64)), MID(F64:L64, SEARCH("-", F64:L64) + 1, 4), ""), "00\:00") &lt; TEXT(IF(ISNUMBER(SEARCH("-", F64:L64)), MID(F64:L64, SEARCH("-", F64:L64) - 4, 4), ""), "00\:00"), 1, 0))*24,""))))/9.5</f>
        <v>3</v>
      </c>
      <c r="O64"/>
      <c r="P64"/>
      <c r="Q64" s="2">
        <f t="shared" si="25"/>
        <v>3</v>
      </c>
      <c r="R64" s="2">
        <f t="shared" si="26"/>
        <v>3.75</v>
      </c>
      <c r="S64">
        <f t="shared" ca="1" si="27"/>
        <v>6</v>
      </c>
      <c r="T64" s="2">
        <f>(IFERROR(VLOOKUP(D64,'Employee Numbers'!$A$3:$C$84,3,FALSE),"NOT FOUND"))*8</f>
        <v>0</v>
      </c>
      <c r="V64" s="142"/>
    </row>
    <row r="65" spans="1:22" s="2" customFormat="1" ht="15" customHeight="1">
      <c r="A65" s="2" t="s">
        <v>98</v>
      </c>
      <c r="C65" s="21"/>
      <c r="D65" s="262" t="s">
        <v>105</v>
      </c>
      <c r="E65" s="265">
        <f>IFERROR(VLOOKUP(D65,'Employee Numbers'!$A$3:$B$83,2,FALSE),"NOT FOUND")</f>
        <v>652867</v>
      </c>
      <c r="F65" s="264"/>
      <c r="G65" s="264"/>
      <c r="H65" s="264"/>
      <c r="I65" s="276" t="s">
        <v>42</v>
      </c>
      <c r="J65" s="264" t="s">
        <v>42</v>
      </c>
      <c r="K65" s="264" t="s">
        <v>42</v>
      </c>
      <c r="L65" s="264" t="s">
        <v>42</v>
      </c>
      <c r="N65">
        <f t="array" ref="N65">((SUM(IFERROR((TEXT(IF(ISNUMBER(SEARCH("-", F65:L65)), MID(F65:L65, SEARCH("-", F65:L65) + 1, 4), ""), "00\:00") - TEXT(IF(ISNUMBER(SEARCH("-", F65:L65)), MID(F65:L65, SEARCH("-", F65:L65) - 4, 4), ""), "00\:00") + IF(TEXT(IF(ISNUMBER(SEARCH("-", F65:L65)), MID(F65:L65, SEARCH("-", F65:L65) + 1, 4), ""), "00\:00") &lt; TEXT(IF(ISNUMBER(SEARCH("-", F65:L65)), MID(F65:L65, SEARCH("-", F65:L65) - 4, 4), ""), "00\:00"), 1, 0))*24,""))))/9.5</f>
        <v>4</v>
      </c>
      <c r="O65"/>
      <c r="P65"/>
      <c r="Q65" s="2">
        <f t="shared" si="25"/>
        <v>4</v>
      </c>
      <c r="R65" s="2">
        <f t="shared" si="26"/>
        <v>5</v>
      </c>
      <c r="S65">
        <f t="shared" ca="1" si="27"/>
        <v>9</v>
      </c>
      <c r="T65" s="2">
        <f>(IFERROR(VLOOKUP(D65,'Employee Numbers'!$A$3:$C$84,3,FALSE),"NOT FOUND"))*8</f>
        <v>0</v>
      </c>
      <c r="V65" s="142"/>
    </row>
    <row r="66" spans="1:22" s="2" customFormat="1" ht="15" customHeight="1">
      <c r="A66" s="44" t="s">
        <v>98</v>
      </c>
      <c r="B66" s="44"/>
      <c r="C66" s="45"/>
      <c r="D66" s="262" t="s">
        <v>106</v>
      </c>
      <c r="E66" s="265">
        <f>IFERROR(VLOOKUP(D66,'Employee Numbers'!$A$3:$B$83,2,FALSE),"NOT FOUND")</f>
        <v>611551</v>
      </c>
      <c r="F66" s="276" t="s">
        <v>44</v>
      </c>
      <c r="G66" s="264"/>
      <c r="H66" s="264"/>
      <c r="I66" s="264"/>
      <c r="J66" s="264" t="s">
        <v>100</v>
      </c>
      <c r="K66" s="264" t="s">
        <v>100</v>
      </c>
      <c r="L66" s="264"/>
      <c r="N66">
        <f t="array" ref="N66">((SUM(IFERROR((TEXT(IF(ISNUMBER(SEARCH("-", F66:L66)), MID(F66:L66, SEARCH("-", F66:L66) + 1, 4), ""), "00\:00") - TEXT(IF(ISNUMBER(SEARCH("-", F66:L66)), MID(F66:L66, SEARCH("-", F66:L66) - 4, 4), ""), "00\:00") + IF(TEXT(IF(ISNUMBER(SEARCH("-", F66:L66)), MID(F66:L66, SEARCH("-", F66:L66) + 1, 4), ""), "00\:00") &lt; TEXT(IF(ISNUMBER(SEARCH("-", F66:L66)), MID(F66:L66, SEARCH("-", F66:L66) - 4, 4), ""), "00\:00"), 1, 0))*24,""))))/9.5</f>
        <v>3</v>
      </c>
      <c r="O66"/>
      <c r="P66"/>
      <c r="Q66" s="2">
        <f t="shared" si="25"/>
        <v>3</v>
      </c>
      <c r="R66" s="2">
        <f t="shared" si="26"/>
        <v>2.5</v>
      </c>
      <c r="S66">
        <f t="shared" ca="1" si="27"/>
        <v>5</v>
      </c>
      <c r="T66" s="2">
        <f>(IFERROR(VLOOKUP(D66,'Employee Numbers'!$A$3:$C$84,3,FALSE),"NOT FOUND"))*8</f>
        <v>0</v>
      </c>
      <c r="V66" s="142"/>
    </row>
    <row r="67" spans="1:22" s="2" customFormat="1" ht="15" customHeight="1">
      <c r="A67" s="2" t="s">
        <v>98</v>
      </c>
      <c r="C67" s="21"/>
      <c r="D67" s="262" t="s">
        <v>107</v>
      </c>
      <c r="E67" s="265">
        <f>IFERROR(VLOOKUP(D67,'Employee Numbers'!$A$3:$B$83,2,FALSE),"NOT FOUND")</f>
        <v>615820</v>
      </c>
      <c r="F67" s="274" t="s">
        <v>60</v>
      </c>
      <c r="G67" s="274"/>
      <c r="H67" s="274"/>
      <c r="I67" s="274"/>
      <c r="J67" s="274"/>
      <c r="K67" s="274"/>
      <c r="L67" s="274"/>
      <c r="N67">
        <f t="array" ref="N67">((SUM(IFERROR((TEXT(IF(ISNUMBER(SEARCH("-", F67:L67)), MID(F67:L67, SEARCH("-", F67:L67) + 1, 4), ""), "00\:00") - TEXT(IF(ISNUMBER(SEARCH("-", F67:L67)), MID(F67:L67, SEARCH("-", F67:L67) - 4, 4), ""), "00\:00") + IF(TEXT(IF(ISNUMBER(SEARCH("-", F67:L67)), MID(F67:L67, SEARCH("-", F67:L67) + 1, 4), ""), "00\:00") &lt; TEXT(IF(ISNUMBER(SEARCH("-", F67:L67)), MID(F67:L67, SEARCH("-", F67:L67) - 4, 4), ""), "00\:00"), 1, 0))*24,""))))/9.5</f>
        <v>0</v>
      </c>
      <c r="O67"/>
      <c r="P67">
        <v>2</v>
      </c>
      <c r="Q67" s="2">
        <f t="shared" si="25"/>
        <v>2</v>
      </c>
      <c r="R67" s="2">
        <f t="shared" si="26"/>
        <v>0</v>
      </c>
      <c r="S67">
        <f t="shared" ca="1" si="27"/>
        <v>3.9999999999999996</v>
      </c>
      <c r="T67" s="2">
        <f>(IFERROR(VLOOKUP(D67,'Employee Numbers'!$A$3:$C$84,3,FALSE),"NOT FOUND"))*8</f>
        <v>0</v>
      </c>
      <c r="V67" s="142"/>
    </row>
    <row r="68" spans="1:22" s="2" customFormat="1" ht="15" customHeight="1">
      <c r="A68" s="44" t="s">
        <v>98</v>
      </c>
      <c r="B68" s="44"/>
      <c r="C68" s="45"/>
      <c r="D68" s="262" t="s">
        <v>108</v>
      </c>
      <c r="E68" s="265">
        <f>IFERROR(VLOOKUP(D68,'Employee Numbers'!$A$3:$B$83,2,FALSE),"NOT FOUND")</f>
        <v>654727</v>
      </c>
      <c r="F68" s="274" t="s">
        <v>60</v>
      </c>
      <c r="G68" s="277"/>
      <c r="H68" s="277"/>
      <c r="I68" s="277"/>
      <c r="J68" s="277"/>
      <c r="K68" s="277"/>
      <c r="L68" s="277"/>
      <c r="N68">
        <f t="array" ref="N68">((SUM(IFERROR((TEXT(IF(ISNUMBER(SEARCH("-", F68:L68)), MID(F68:L68, SEARCH("-", F68:L68) + 1, 4), ""), "00\:00") - TEXT(IF(ISNUMBER(SEARCH("-", F68:L68)), MID(F68:L68, SEARCH("-", F68:L68) - 4, 4), ""), "00\:00") + IF(TEXT(IF(ISNUMBER(SEARCH("-", F68:L68)), MID(F68:L68, SEARCH("-", F68:L68) + 1, 4), ""), "00\:00") &lt; TEXT(IF(ISNUMBER(SEARCH("-", F68:L68)), MID(F68:L68, SEARCH("-", F68:L68) - 4, 4), ""), "00\:00"), 1, 0))*24,""))))/9.5</f>
        <v>0</v>
      </c>
      <c r="O68"/>
      <c r="P68">
        <v>4</v>
      </c>
      <c r="Q68" s="2">
        <f t="shared" si="25"/>
        <v>4</v>
      </c>
      <c r="R68" s="2">
        <f t="shared" si="26"/>
        <v>0</v>
      </c>
      <c r="S68">
        <f t="shared" ca="1" si="27"/>
        <v>6</v>
      </c>
      <c r="T68" s="2">
        <f>(IFERROR(VLOOKUP(D68,'Employee Numbers'!$A$3:$C$84,3,FALSE),"NOT FOUND"))*8</f>
        <v>0</v>
      </c>
      <c r="V68" s="142"/>
    </row>
    <row r="69" spans="1:22" s="2" customFormat="1" ht="15" customHeight="1">
      <c r="A69" s="2" t="s">
        <v>98</v>
      </c>
      <c r="C69" s="47"/>
      <c r="D69" s="262" t="s">
        <v>109</v>
      </c>
      <c r="E69" s="265">
        <f>IFERROR(VLOOKUP(D69,'Employee Numbers'!$A$3:$B$83,2,FALSE),"NOT FOUND")</f>
        <v>702947</v>
      </c>
      <c r="F69" s="274" t="s">
        <v>60</v>
      </c>
      <c r="G69" s="274"/>
      <c r="H69" s="274"/>
      <c r="I69" s="274"/>
      <c r="J69" s="274"/>
      <c r="K69" s="274"/>
      <c r="L69" s="274"/>
      <c r="N69">
        <f t="array" ref="N69">((SUM(IFERROR((TEXT(IF(ISNUMBER(SEARCH("-", F69:L69)), MID(F69:L69, SEARCH("-", F69:L69) + 1, 4), ""), "00\:00") - TEXT(IF(ISNUMBER(SEARCH("-", F69:L69)), MID(F69:L69, SEARCH("-", F69:L69) - 4, 4), ""), "00\:00") + IF(TEXT(IF(ISNUMBER(SEARCH("-", F69:L69)), MID(F69:L69, SEARCH("-", F69:L69) + 1, 4), ""), "00\:00") &lt; TEXT(IF(ISNUMBER(SEARCH("-", F69:L69)), MID(F69:L69, SEARCH("-", F69:L69) - 4, 4), ""), "00\:00"), 1, 0))*24,""))))/9.5</f>
        <v>0</v>
      </c>
      <c r="O69"/>
      <c r="P69">
        <v>4</v>
      </c>
      <c r="Q69" s="2">
        <f t="shared" si="25"/>
        <v>4</v>
      </c>
      <c r="R69" s="2">
        <f t="shared" si="26"/>
        <v>0</v>
      </c>
      <c r="S69">
        <f t="shared" ca="1" si="27"/>
        <v>8</v>
      </c>
      <c r="T69" s="2">
        <f>(IFERROR(VLOOKUP(D69,'Employee Numbers'!$A$3:$C$84,3,FALSE),"NOT FOUND"))*8</f>
        <v>0</v>
      </c>
      <c r="V69" s="142"/>
    </row>
    <row r="70" spans="1:22" s="2" customFormat="1" ht="15" customHeight="1">
      <c r="A70" s="44" t="s">
        <v>98</v>
      </c>
      <c r="B70" s="44"/>
      <c r="C70" s="45"/>
      <c r="D70" s="262" t="s">
        <v>110</v>
      </c>
      <c r="E70" s="265">
        <f>IFERROR(VLOOKUP(D70,'Employee Numbers'!$A$3:$B$83,2,FALSE),"NOT FOUND")</f>
        <v>654002</v>
      </c>
      <c r="F70" s="264" t="s">
        <v>100</v>
      </c>
      <c r="G70" s="264" t="s">
        <v>100</v>
      </c>
      <c r="H70" s="264" t="s">
        <v>100</v>
      </c>
      <c r="I70" s="264" t="s">
        <v>100</v>
      </c>
      <c r="J70" s="264"/>
      <c r="K70" s="264"/>
      <c r="L70" s="264"/>
      <c r="N70">
        <f t="array" ref="N70">((SUM(IFERROR((TEXT(IF(ISNUMBER(SEARCH("-", F70:L70)), MID(F70:L70, SEARCH("-", F70:L70) + 1, 4), ""), "00\:00") - TEXT(IF(ISNUMBER(SEARCH("-", F70:L70)), MID(F70:L70, SEARCH("-", F70:L70) - 4, 4), ""), "00\:00") + IF(TEXT(IF(ISNUMBER(SEARCH("-", F70:L70)), MID(F70:L70, SEARCH("-", F70:L70) + 1, 4), ""), "00\:00") &lt; TEXT(IF(ISNUMBER(SEARCH("-", F70:L70)), MID(F70:L70, SEARCH("-", F70:L70) - 4, 4), ""), "00\:00"), 1, 0))*24,""))))/9.5</f>
        <v>3.9999999999999991</v>
      </c>
      <c r="O70"/>
      <c r="P70"/>
      <c r="Q70" s="2">
        <f t="shared" si="25"/>
        <v>3.9999999999999991</v>
      </c>
      <c r="R70" s="2">
        <f t="shared" si="26"/>
        <v>5</v>
      </c>
      <c r="S70">
        <f t="shared" ca="1" si="27"/>
        <v>9</v>
      </c>
      <c r="T70" s="2">
        <f>(IFERROR(VLOOKUP(D70,'Employee Numbers'!$A$3:$C$84,3,FALSE),"NOT FOUND"))*8</f>
        <v>0</v>
      </c>
      <c r="V70" s="142"/>
    </row>
    <row r="71" spans="1:22" s="2" customFormat="1" ht="15" customHeight="1">
      <c r="A71" s="2" t="s">
        <v>98</v>
      </c>
      <c r="C71" s="21"/>
      <c r="D71" s="262" t="s">
        <v>111</v>
      </c>
      <c r="E71" s="265">
        <f>IFERROR(VLOOKUP(D71,'Employee Numbers'!$A$3:$B$83,2,FALSE),"NOT FOUND")</f>
        <v>703068</v>
      </c>
      <c r="F71" s="264"/>
      <c r="G71" s="264"/>
      <c r="H71" s="341" t="s">
        <v>112</v>
      </c>
      <c r="I71" s="264" t="s">
        <v>42</v>
      </c>
      <c r="J71" s="274" t="s">
        <v>60</v>
      </c>
      <c r="K71" s="274" t="s">
        <v>60</v>
      </c>
      <c r="L71" s="278"/>
      <c r="N71">
        <f t="array" ref="N71">((SUM(IFERROR((TEXT(IF(ISNUMBER(SEARCH("-", F71:L71)), MID(F71:L71, SEARCH("-", F71:L71) + 1, 4), ""), "00\:00") - TEXT(IF(ISNUMBER(SEARCH("-", F71:L71)), MID(F71:L71, SEARCH("-", F71:L71) - 4, 4), ""), "00\:00") + IF(TEXT(IF(ISNUMBER(SEARCH("-", F71:L71)), MID(F71:L71, SEARCH("-", F71:L71) + 1, 4), ""), "00\:00") &lt; TEXT(IF(ISNUMBER(SEARCH("-", F71:L71)), MID(F71:L71, SEARCH("-", F71:L71) - 4, 4), ""), "00\:00"), 1, 0))*24,""))))/9.5</f>
        <v>1</v>
      </c>
      <c r="O71"/>
      <c r="P71">
        <v>2</v>
      </c>
      <c r="Q71" s="2">
        <f t="shared" si="25"/>
        <v>3</v>
      </c>
      <c r="R71" s="2">
        <f t="shared" si="26"/>
        <v>2.5</v>
      </c>
      <c r="S71">
        <f t="shared" ca="1" si="27"/>
        <v>7</v>
      </c>
      <c r="T71" s="2">
        <f>(IFERROR(VLOOKUP(D71,'Employee Numbers'!$A$3:$C$84,3,FALSE),"NOT FOUND"))*8</f>
        <v>0</v>
      </c>
      <c r="V71" s="142"/>
    </row>
    <row r="72" spans="1:22" s="2" customFormat="1" ht="15" customHeight="1">
      <c r="A72" s="44" t="s">
        <v>98</v>
      </c>
      <c r="B72" s="44"/>
      <c r="C72" s="45"/>
      <c r="D72" s="262" t="s">
        <v>113</v>
      </c>
      <c r="E72" s="265">
        <f>IFERROR(VLOOKUP(D72,'Employee Numbers'!$A$3:$B$83,2,FALSE),"NOT FOUND")</f>
        <v>703911</v>
      </c>
      <c r="F72" s="264"/>
      <c r="G72" s="264"/>
      <c r="H72" s="264"/>
      <c r="I72" s="349" t="s">
        <v>44</v>
      </c>
      <c r="J72" s="264" t="s">
        <v>42</v>
      </c>
      <c r="K72" s="264" t="s">
        <v>42</v>
      </c>
      <c r="L72" s="264" t="s">
        <v>100</v>
      </c>
      <c r="N72">
        <f t="array" ref="N72">((SUM(IFERROR((TEXT(IF(ISNUMBER(SEARCH("-", F72:L72)), MID(F72:L72, SEARCH("-", F72:L72) + 1, 4), ""), "00\:00") - TEXT(IF(ISNUMBER(SEARCH("-", F72:L72)), MID(F72:L72, SEARCH("-", F72:L72) - 4, 4), ""), "00\:00") + IF(TEXT(IF(ISNUMBER(SEARCH("-", F72:L72)), MID(F72:L72, SEARCH("-", F72:L72) + 1, 4), ""), "00\:00") &lt; TEXT(IF(ISNUMBER(SEARCH("-", F72:L72)), MID(F72:L72, SEARCH("-", F72:L72) - 4, 4), ""), "00\:00"), 1, 0))*24,""))))/9.5</f>
        <v>4</v>
      </c>
      <c r="O72"/>
      <c r="P72"/>
      <c r="Q72" s="2">
        <f t="shared" si="25"/>
        <v>4</v>
      </c>
      <c r="R72" s="2">
        <f t="shared" si="26"/>
        <v>5</v>
      </c>
      <c r="S72">
        <f t="shared" ca="1" si="27"/>
        <v>8</v>
      </c>
      <c r="T72" s="2">
        <f>(IFERROR(VLOOKUP(D72,'Employee Numbers'!$A$3:$C$84,3,FALSE),"NOT FOUND"))*8</f>
        <v>0</v>
      </c>
      <c r="V72" s="142"/>
    </row>
    <row r="73" spans="1:22" s="2" customFormat="1" ht="15" customHeight="1">
      <c r="A73" s="2" t="s">
        <v>98</v>
      </c>
      <c r="C73" s="21"/>
      <c r="D73" s="262" t="s">
        <v>114</v>
      </c>
      <c r="E73" s="265">
        <f>IFERROR(VLOOKUP(D73,'Employee Numbers'!$A$3:$B$83,2,FALSE),"NOT FOUND")</f>
        <v>633936</v>
      </c>
      <c r="F73" s="264" t="s">
        <v>100</v>
      </c>
      <c r="G73" s="264"/>
      <c r="H73" s="264"/>
      <c r="I73" s="264" t="s">
        <v>44</v>
      </c>
      <c r="J73" s="275"/>
      <c r="K73" s="275"/>
      <c r="L73" s="275"/>
      <c r="N73">
        <f t="array" ref="N73">((SUM(IFERROR((TEXT(IF(ISNUMBER(SEARCH("-", F73:L73)), MID(F73:L73, SEARCH("-", F73:L73) + 1, 4), ""), "00\:00") - TEXT(IF(ISNUMBER(SEARCH("-", F73:L73)), MID(F73:L73, SEARCH("-", F73:L73) - 4, 4), ""), "00\:00") + IF(TEXT(IF(ISNUMBER(SEARCH("-", F73:L73)), MID(F73:L73, SEARCH("-", F73:L73) + 1, 4), ""), "00\:00") &lt; TEXT(IF(ISNUMBER(SEARCH("-", F73:L73)), MID(F73:L73, SEARCH("-", F73:L73) - 4, 4), ""), "00\:00"), 1, 0))*24,""))))/9.5</f>
        <v>2</v>
      </c>
      <c r="O73"/>
      <c r="P73"/>
      <c r="Q73" s="2">
        <f t="shared" si="25"/>
        <v>2</v>
      </c>
      <c r="R73" s="2">
        <f t="shared" si="26"/>
        <v>5</v>
      </c>
      <c r="S73">
        <f t="shared" ca="1" si="27"/>
        <v>7</v>
      </c>
      <c r="T73" s="2">
        <f>(IFERROR(VLOOKUP(D73,'Employee Numbers'!$A$3:$C$84,3,FALSE),"NOT FOUND"))*8</f>
        <v>0</v>
      </c>
      <c r="V73" s="142"/>
    </row>
    <row r="74" spans="1:22" s="2" customFormat="1" ht="15" customHeight="1">
      <c r="A74" s="44" t="s">
        <v>98</v>
      </c>
      <c r="B74" s="44"/>
      <c r="C74" s="45"/>
      <c r="D74" s="262" t="s">
        <v>115</v>
      </c>
      <c r="E74" s="265">
        <f>IFERROR(VLOOKUP(D74,'Employee Numbers'!$A$3:$B$83,2,FALSE),"NOT FOUND")</f>
        <v>700755</v>
      </c>
      <c r="F74" s="276" t="s">
        <v>44</v>
      </c>
      <c r="G74" s="264" t="s">
        <v>42</v>
      </c>
      <c r="H74" s="264" t="s">
        <v>42</v>
      </c>
      <c r="I74" s="264" t="s">
        <v>42</v>
      </c>
      <c r="J74" s="264"/>
      <c r="K74" s="264"/>
      <c r="L74" s="264"/>
      <c r="N74">
        <f t="array" ref="N74">((SUM(IFERROR((TEXT(IF(ISNUMBER(SEARCH("-", F74:L74)), MID(F74:L74, SEARCH("-", F74:L74) + 1, 4), ""), "00\:00") - TEXT(IF(ISNUMBER(SEARCH("-", F74:L74)), MID(F74:L74, SEARCH("-", F74:L74) - 4, 4), ""), "00\:00") + IF(TEXT(IF(ISNUMBER(SEARCH("-", F74:L74)), MID(F74:L74, SEARCH("-", F74:L74) + 1, 4), ""), "00\:00") &lt; TEXT(IF(ISNUMBER(SEARCH("-", F74:L74)), MID(F74:L74, SEARCH("-", F74:L74) - 4, 4), ""), "00\:00"), 1, 0))*24,""))))/9.5</f>
        <v>4</v>
      </c>
      <c r="O74"/>
      <c r="P74"/>
      <c r="Q74" s="2">
        <f t="shared" si="25"/>
        <v>4</v>
      </c>
      <c r="R74" s="2">
        <f t="shared" si="26"/>
        <v>5</v>
      </c>
      <c r="S74">
        <f t="shared" ca="1" si="27"/>
        <v>8</v>
      </c>
      <c r="T74" s="2">
        <f>(IFERROR(VLOOKUP(D74,'Employee Numbers'!$A$3:$C$84,3,FALSE),"NOT FOUND"))*8</f>
        <v>0</v>
      </c>
      <c r="V74" s="142"/>
    </row>
    <row r="75" spans="1:22" s="2" customFormat="1" ht="15" customHeight="1">
      <c r="A75" s="2" t="s">
        <v>98</v>
      </c>
      <c r="C75" s="21"/>
      <c r="D75" s="262" t="s">
        <v>116</v>
      </c>
      <c r="E75" s="265">
        <f>IFERROR(VLOOKUP(D75,'Employee Numbers'!$A$3:$B$83,2,FALSE),"NOT FOUND")</f>
        <v>704872</v>
      </c>
      <c r="F75" s="279" t="s">
        <v>42</v>
      </c>
      <c r="G75" s="279" t="s">
        <v>42</v>
      </c>
      <c r="H75" s="358" t="s">
        <v>112</v>
      </c>
      <c r="I75" s="279" t="s">
        <v>100</v>
      </c>
      <c r="J75" s="279"/>
      <c r="K75" s="279"/>
      <c r="L75" s="279"/>
      <c r="N75">
        <f t="array" ref="N75">((SUM(IFERROR((TEXT(IF(ISNUMBER(SEARCH("-", F75:L75)), MID(F75:L75, SEARCH("-", F75:L75) + 1, 4), ""), "00\:00") - TEXT(IF(ISNUMBER(SEARCH("-", F75:L75)), MID(F75:L75, SEARCH("-", F75:L75) - 4, 4), ""), "00\:00") + IF(TEXT(IF(ISNUMBER(SEARCH("-", F75:L75)), MID(F75:L75, SEARCH("-", F75:L75) + 1, 4), ""), "00\:00") &lt; TEXT(IF(ISNUMBER(SEARCH("-", F75:L75)), MID(F75:L75, SEARCH("-", F75:L75) - 4, 4), ""), "00\:00"), 1, 0))*24,""))))/9.5</f>
        <v>3</v>
      </c>
      <c r="O75"/>
      <c r="P75"/>
      <c r="Q75" s="2">
        <f t="shared" si="25"/>
        <v>3</v>
      </c>
      <c r="R75" s="2">
        <f t="shared" si="26"/>
        <v>5</v>
      </c>
      <c r="S75">
        <f t="shared" ca="1" si="27"/>
        <v>5</v>
      </c>
      <c r="T75" s="2">
        <f>(IFERROR(VLOOKUP(D75,'Employee Numbers'!$A$3:$C$84,3,FALSE),"NOT FOUND"))*8</f>
        <v>0</v>
      </c>
      <c r="V75" s="142"/>
    </row>
    <row r="76" spans="1:22" s="2" customFormat="1" ht="15" customHeight="1">
      <c r="A76" s="44" t="s">
        <v>98</v>
      </c>
      <c r="B76" s="44"/>
      <c r="C76" s="45"/>
      <c r="D76" s="262" t="s">
        <v>117</v>
      </c>
      <c r="E76" s="265">
        <f>IFERROR(VLOOKUP(D76,'Employee Numbers'!$A$3:$B$83,2,FALSE),"NOT FOUND")</f>
        <v>700712</v>
      </c>
      <c r="F76" s="341" t="s">
        <v>112</v>
      </c>
      <c r="G76" s="341" t="s">
        <v>112</v>
      </c>
      <c r="H76" s="264"/>
      <c r="I76" s="276" t="s">
        <v>118</v>
      </c>
      <c r="J76" s="264"/>
      <c r="K76" s="349" t="s">
        <v>44</v>
      </c>
      <c r="L76" s="264" t="s">
        <v>44</v>
      </c>
      <c r="N76">
        <f t="array" ref="N76">((SUM(IFERROR((TEXT(IF(ISNUMBER(SEARCH("-", F76:L76)), MID(F76:L76, SEARCH("-", F76:L76) + 1, 4), ""), "00\:00") - TEXT(IF(ISNUMBER(SEARCH("-", F76:L76)), MID(F76:L76, SEARCH("-", F76:L76) - 4, 4), ""), "00\:00") + IF(TEXT(IF(ISNUMBER(SEARCH("-", F76:L76)), MID(F76:L76, SEARCH("-", F76:L76) + 1, 4), ""), "00\:00") &lt; TEXT(IF(ISNUMBER(SEARCH("-", F76:L76)), MID(F76:L76, SEARCH("-", F76:L76) - 4, 4), ""), "00\:00"), 1, 0))*24,""))))/9.5</f>
        <v>2</v>
      </c>
      <c r="O76"/>
      <c r="P76"/>
      <c r="Q76" s="2">
        <f t="shared" si="25"/>
        <v>2</v>
      </c>
      <c r="R76" s="2">
        <f t="shared" si="26"/>
        <v>5</v>
      </c>
      <c r="S76">
        <f t="shared" ca="1" si="27"/>
        <v>6</v>
      </c>
      <c r="T76" s="2">
        <f>(IFERROR(VLOOKUP(D76,'Employee Numbers'!$A$3:$C$84,3,FALSE),"NOT FOUND"))*8</f>
        <v>0</v>
      </c>
      <c r="V76" s="142"/>
    </row>
    <row r="77" spans="1:22" s="2" customFormat="1" ht="15" customHeight="1">
      <c r="A77" s="2" t="s">
        <v>98</v>
      </c>
      <c r="C77" s="47"/>
      <c r="D77" s="262" t="s">
        <v>119</v>
      </c>
      <c r="E77" s="265">
        <f>IFERROR(VLOOKUP(D77,'Employee Numbers'!$A$3:$B$83,2,FALSE),"NOT FOUND")</f>
        <v>700818</v>
      </c>
      <c r="F77" s="276" t="s">
        <v>44</v>
      </c>
      <c r="G77" s="264" t="s">
        <v>42</v>
      </c>
      <c r="H77" s="264"/>
      <c r="I77" s="264"/>
      <c r="J77" s="264"/>
      <c r="K77" s="264" t="s">
        <v>100</v>
      </c>
      <c r="L77" s="264" t="s">
        <v>100</v>
      </c>
      <c r="N77">
        <f t="array" ref="N77">((SUM(IFERROR((TEXT(IF(ISNUMBER(SEARCH("-", F77:L77)), MID(F77:L77, SEARCH("-", F77:L77) + 1, 4), ""), "00\:00") - TEXT(IF(ISNUMBER(SEARCH("-", F77:L77)), MID(F77:L77, SEARCH("-", F77:L77) - 4, 4), ""), "00\:00") + IF(TEXT(IF(ISNUMBER(SEARCH("-", F77:L77)), MID(F77:L77, SEARCH("-", F77:L77) + 1, 4), ""), "00\:00") &lt; TEXT(IF(ISNUMBER(SEARCH("-", F77:L77)), MID(F77:L77, SEARCH("-", F77:L77) - 4, 4), ""), "00\:00"), 1, 0))*24,""))))/9.5</f>
        <v>4</v>
      </c>
      <c r="O77"/>
      <c r="P77"/>
      <c r="Q77" s="2">
        <f t="shared" si="25"/>
        <v>4</v>
      </c>
      <c r="R77" s="2">
        <f t="shared" si="26"/>
        <v>5</v>
      </c>
      <c r="S77">
        <f t="shared" ca="1" si="27"/>
        <v>5</v>
      </c>
      <c r="T77" s="2">
        <f>(IFERROR(VLOOKUP(D77,'Employee Numbers'!$A$3:$C$84,3,FALSE),"NOT FOUND"))*8</f>
        <v>0</v>
      </c>
      <c r="V77" s="142"/>
    </row>
    <row r="78" spans="1:22" s="2" customFormat="1" ht="15" customHeight="1">
      <c r="A78" s="44" t="s">
        <v>98</v>
      </c>
      <c r="B78" s="44"/>
      <c r="C78" s="45"/>
      <c r="D78" s="262" t="s">
        <v>120</v>
      </c>
      <c r="E78" s="265">
        <f>IFERROR(VLOOKUP(D78,'Employee Numbers'!$A$3:$B$83,2,FALSE),"NOT FOUND")</f>
        <v>650101</v>
      </c>
      <c r="F78" s="264" t="s">
        <v>42</v>
      </c>
      <c r="G78" s="264"/>
      <c r="H78" s="341" t="s">
        <v>112</v>
      </c>
      <c r="I78" s="341" t="s">
        <v>121</v>
      </c>
      <c r="J78" s="264" t="s">
        <v>42</v>
      </c>
      <c r="K78" s="264"/>
      <c r="L78" s="264"/>
      <c r="N78">
        <f t="array" ref="N78">((SUM(IFERROR((TEXT(IF(ISNUMBER(SEARCH("-", F78:L78)), MID(F78:L78, SEARCH("-", F78:L78) + 1, 4), ""), "00\:00") - TEXT(IF(ISNUMBER(SEARCH("-", F78:L78)), MID(F78:L78, SEARCH("-", F78:L78) - 4, 4), ""), "00\:00") + IF(TEXT(IF(ISNUMBER(SEARCH("-", F78:L78)), MID(F78:L78, SEARCH("-", F78:L78) + 1, 4), ""), "00\:00") &lt; TEXT(IF(ISNUMBER(SEARCH("-", F78:L78)), MID(F78:L78, SEARCH("-", F78:L78) - 4, 4), ""), "00\:00"), 1, 0))*24,""))))/9.5</f>
        <v>2</v>
      </c>
      <c r="O78"/>
      <c r="P78"/>
      <c r="Q78" s="2">
        <f t="shared" si="25"/>
        <v>2</v>
      </c>
      <c r="R78" s="2">
        <f t="shared" si="26"/>
        <v>2.5</v>
      </c>
      <c r="S78">
        <f t="shared" ca="1" si="27"/>
        <v>4</v>
      </c>
      <c r="T78" s="2">
        <f>(IFERROR(VLOOKUP(D78,'Employee Numbers'!$A$3:$C$84,3,FALSE),"NOT FOUND"))*8</f>
        <v>0</v>
      </c>
      <c r="V78" s="142"/>
    </row>
    <row r="79" spans="1:22" s="2" customFormat="1" ht="15" customHeight="1">
      <c r="A79" s="2" t="s">
        <v>98</v>
      </c>
      <c r="C79" s="21"/>
      <c r="D79" s="262" t="s">
        <v>122</v>
      </c>
      <c r="E79" s="265">
        <f>IFERROR(VLOOKUP(D79,'Employee Numbers'!$A$3:$B$83,2,FALSE),"NOT FOUND")</f>
        <v>654888</v>
      </c>
      <c r="F79" s="276" t="s">
        <v>44</v>
      </c>
      <c r="G79" s="264" t="s">
        <v>42</v>
      </c>
      <c r="H79" s="264" t="s">
        <v>42</v>
      </c>
      <c r="I79" s="264" t="s">
        <v>42</v>
      </c>
      <c r="J79" s="264"/>
      <c r="K79" s="264"/>
      <c r="L79" s="264"/>
      <c r="N79">
        <f t="array" ref="N79">((SUM(IFERROR((TEXT(IF(ISNUMBER(SEARCH("-", F79:L79)), MID(F79:L79, SEARCH("-", F79:L79) + 1, 4), ""), "00\:00") - TEXT(IF(ISNUMBER(SEARCH("-", F79:L79)), MID(F79:L79, SEARCH("-", F79:L79) - 4, 4), ""), "00\:00") + IF(TEXT(IF(ISNUMBER(SEARCH("-", F79:L79)), MID(F79:L79, SEARCH("-", F79:L79) + 1, 4), ""), "00\:00") &lt; TEXT(IF(ISNUMBER(SEARCH("-", F79:L79)), MID(F79:L79, SEARCH("-", F79:L79) - 4, 4), ""), "00\:00"), 1, 0))*24,""))))/9.5</f>
        <v>4</v>
      </c>
      <c r="O79"/>
      <c r="P79"/>
      <c r="Q79" s="2">
        <f t="shared" si="25"/>
        <v>4</v>
      </c>
      <c r="R79" s="2">
        <f t="shared" si="26"/>
        <v>5</v>
      </c>
      <c r="S79">
        <f t="shared" ca="1" si="27"/>
        <v>8</v>
      </c>
      <c r="T79" s="2">
        <f>(IFERROR(VLOOKUP(D79,'Employee Numbers'!$A$3:$C$84,3,FALSE),"NOT FOUND"))*8</f>
        <v>0</v>
      </c>
      <c r="V79" s="142"/>
    </row>
    <row r="80" spans="1:22" s="2" customFormat="1" ht="15" customHeight="1">
      <c r="A80" s="44" t="s">
        <v>98</v>
      </c>
      <c r="B80" s="44"/>
      <c r="C80" s="45"/>
      <c r="D80" s="262" t="s">
        <v>123</v>
      </c>
      <c r="E80" s="265">
        <f>IFERROR(VLOOKUP(D80,'Employee Numbers'!$A$3:$B$83,2,FALSE),"NOT FOUND")</f>
        <v>703880</v>
      </c>
      <c r="F80" s="264"/>
      <c r="G80" s="264"/>
      <c r="H80" s="264"/>
      <c r="I80" s="264" t="s">
        <v>44</v>
      </c>
      <c r="J80" s="349" t="s">
        <v>44</v>
      </c>
      <c r="K80" s="264" t="s">
        <v>42</v>
      </c>
      <c r="L80" s="264" t="s">
        <v>42</v>
      </c>
      <c r="N80">
        <f t="array" ref="N80">((SUM(IFERROR((TEXT(IF(ISNUMBER(SEARCH("-", F80:L80)), MID(F80:L80, SEARCH("-", F80:L80) + 1, 4), ""), "00\:00") - TEXT(IF(ISNUMBER(SEARCH("-", F80:L80)), MID(F80:L80, SEARCH("-", F80:L80) - 4, 4), ""), "00\:00") + IF(TEXT(IF(ISNUMBER(SEARCH("-", F80:L80)), MID(F80:L80, SEARCH("-", F80:L80) + 1, 4), ""), "00\:00") &lt; TEXT(IF(ISNUMBER(SEARCH("-", F80:L80)), MID(F80:L80, SEARCH("-", F80:L80) - 4, 4), ""), "00\:00"), 1, 0))*24,""))))/9.5</f>
        <v>4</v>
      </c>
      <c r="O80"/>
      <c r="P80"/>
      <c r="Q80" s="2">
        <f t="shared" si="25"/>
        <v>4</v>
      </c>
      <c r="R80" s="2">
        <f t="shared" si="26"/>
        <v>5</v>
      </c>
      <c r="S80">
        <f t="shared" ca="1" si="27"/>
        <v>8</v>
      </c>
      <c r="T80" s="2">
        <f>(IFERROR(VLOOKUP(D80,'Employee Numbers'!$A$3:$C$84,3,FALSE),"NOT FOUND"))*8</f>
        <v>0</v>
      </c>
      <c r="V80" s="142"/>
    </row>
    <row r="81" spans="1:22" s="13" customFormat="1" ht="15" customHeight="1">
      <c r="A81" s="2" t="s">
        <v>98</v>
      </c>
      <c r="B81" s="2"/>
      <c r="C81" s="21"/>
      <c r="D81" s="262" t="s">
        <v>124</v>
      </c>
      <c r="E81" s="265">
        <f>IFERROR(VLOOKUP(D81,'Employee Numbers'!$A$3:$B$83,2,FALSE),"NOT FOUND")</f>
        <v>703334</v>
      </c>
      <c r="F81" s="275"/>
      <c r="G81" s="264" t="s">
        <v>44</v>
      </c>
      <c r="H81" s="264" t="s">
        <v>42</v>
      </c>
      <c r="I81" s="264" t="s">
        <v>42</v>
      </c>
      <c r="J81" s="264" t="s">
        <v>42</v>
      </c>
      <c r="K81" s="264"/>
      <c r="L81" s="275"/>
      <c r="N81">
        <f t="array" ref="N81">((SUM(IFERROR((TEXT(IF(ISNUMBER(SEARCH("-", F81:L81)), MID(F81:L81, SEARCH("-", F81:L81) + 1, 4), ""), "00\:00") - TEXT(IF(ISNUMBER(SEARCH("-", F81:L81)), MID(F81:L81, SEARCH("-", F81:L81) - 4, 4), ""), "00\:00") + IF(TEXT(IF(ISNUMBER(SEARCH("-", F81:L81)), MID(F81:L81, SEARCH("-", F81:L81) + 1, 4), ""), "00\:00") &lt; TEXT(IF(ISNUMBER(SEARCH("-", F81:L81)), MID(F81:L81, SEARCH("-", F81:L81) - 4, 4), ""), "00\:00"), 1, 0))*24,""))))/9.5</f>
        <v>4</v>
      </c>
      <c r="O81"/>
      <c r="P81"/>
      <c r="Q81" s="2">
        <f>P81+O81+N81</f>
        <v>4</v>
      </c>
      <c r="R81" s="2">
        <f>IF(ISNUMBER(SEARCH("trg_5",H173)),5,IF(ISNUMBER(SEARCH("trg_3.75",H173)),3.75,IF(ISNUMBER(SEARCH("trg_2.5",H173)),2.5,IF(ISNUMBER(SEARCH("trg_1.75",H173)),1.75,0))))</f>
        <v>5</v>
      </c>
      <c r="S81">
        <f t="shared" ca="1" si="27"/>
        <v>7.9999999999999991</v>
      </c>
      <c r="T81" s="2">
        <f>(IFERROR(VLOOKUP(D81,'Employee Numbers'!$A$3:$C$84,3,FALSE),"NOT FOUND"))*8</f>
        <v>0</v>
      </c>
      <c r="U81" s="2"/>
      <c r="V81" s="144"/>
    </row>
    <row r="82" spans="1:22" s="2" customFormat="1" ht="15" customHeight="1">
      <c r="A82" s="44" t="s">
        <v>98</v>
      </c>
      <c r="B82" s="44"/>
      <c r="C82" s="45"/>
      <c r="D82" s="262" t="s">
        <v>125</v>
      </c>
      <c r="E82" s="265">
        <f>IFERROR(VLOOKUP(D82,'Employee Numbers'!$A$3:$B$83,2,FALSE),"NOT FOUND")</f>
        <v>700538</v>
      </c>
      <c r="F82" s="264" t="s">
        <v>42</v>
      </c>
      <c r="G82" s="264"/>
      <c r="H82" s="264"/>
      <c r="I82" s="264" t="s">
        <v>100</v>
      </c>
      <c r="J82" s="264" t="s">
        <v>100</v>
      </c>
      <c r="K82" s="264"/>
      <c r="L82" s="275"/>
      <c r="N82">
        <f t="array" ref="N82">((SUM(IFERROR((TEXT(IF(ISNUMBER(SEARCH("-", F82:L82)), MID(F82:L82, SEARCH("-", F82:L82) + 1, 4), ""), "00\:00") - TEXT(IF(ISNUMBER(SEARCH("-", F82:L82)), MID(F82:L82, SEARCH("-", F82:L82) - 4, 4), ""), "00\:00") + IF(TEXT(IF(ISNUMBER(SEARCH("-", F82:L82)), MID(F82:L82, SEARCH("-", F82:L82) + 1, 4), ""), "00\:00") &lt; TEXT(IF(ISNUMBER(SEARCH("-", F82:L82)), MID(F82:L82, SEARCH("-", F82:L82) - 4, 4), ""), "00\:00"), 1, 0))*24,""))))/9.5</f>
        <v>3</v>
      </c>
      <c r="O82"/>
      <c r="P82"/>
      <c r="Q82" s="2">
        <f>P82+O82+N82</f>
        <v>3</v>
      </c>
      <c r="R82" s="2">
        <f>IF(ISNUMBER(SEARCH("trg_5",H174)),5,IF(ISNUMBER(SEARCH("trg_3.75",H174)),3.75,IF(ISNUMBER(SEARCH("trg_2.5",H174)),2.5,IF(ISNUMBER(SEARCH("trg_1.75",H174)),1.75,0))))</f>
        <v>3.75</v>
      </c>
      <c r="S82">
        <f t="shared" ca="1" si="27"/>
        <v>7</v>
      </c>
      <c r="T82" s="2">
        <f>(IFERROR(VLOOKUP(D82,'Employee Numbers'!$A$3:$C$84,3,FALSE),"NOT FOUND"))*8</f>
        <v>0</v>
      </c>
      <c r="V82" s="142"/>
    </row>
    <row r="83" spans="1:22" s="2" customFormat="1" ht="15" customHeight="1">
      <c r="A83" s="2" t="s">
        <v>98</v>
      </c>
      <c r="C83" s="21"/>
      <c r="D83" s="262" t="s">
        <v>126</v>
      </c>
      <c r="E83" s="156">
        <f>IFERROR(VLOOKUP(D83,'Employee Numbers'!$A$3:$B$83,2,FALSE),"NOT FOUND")</f>
        <v>704862</v>
      </c>
      <c r="F83" s="178"/>
      <c r="G83" s="178"/>
      <c r="H83" s="178"/>
      <c r="I83" s="178"/>
      <c r="J83" s="178"/>
      <c r="K83" s="178"/>
      <c r="L83" s="178"/>
      <c r="N83">
        <f t="array" ref="N83">((SUM(IFERROR((TEXT(IF(ISNUMBER(SEARCH("-", F83:L83)), MID(F83:L83, SEARCH("-", F83:L83) + 1, 4), ""), "00\:00") - TEXT(IF(ISNUMBER(SEARCH("-", F83:L83)), MID(F83:L83, SEARCH("-", F83:L83) - 4, 4), ""), "00\:00") + IF(TEXT(IF(ISNUMBER(SEARCH("-", F83:L83)), MID(F83:L83, SEARCH("-", F83:L83) + 1, 4), ""), "00\:00") &lt; TEXT(IF(ISNUMBER(SEARCH("-", F83:L83)), MID(F83:L83, SEARCH("-", F83:L83) - 4, 4), ""), "00\:00"), 1, 0))*24,""))))/9.5</f>
        <v>0</v>
      </c>
      <c r="O83"/>
      <c r="P83"/>
      <c r="Q83" s="2">
        <f>P83+O83+N83</f>
        <v>0</v>
      </c>
      <c r="R83" s="2">
        <f>IF(ISNUMBER(SEARCH("trg_5",H175)),5,IF(ISNUMBER(SEARCH("trg_3.75",H175)),3.75,IF(ISNUMBER(SEARCH("trg_2.5",H175)),2.5,IF(ISNUMBER(SEARCH("trg_1.75",H175)),1.75,0))))</f>
        <v>2.5</v>
      </c>
      <c r="S83">
        <f t="shared" ca="1" si="27"/>
        <v>3.9999999999999991</v>
      </c>
      <c r="T83" s="2">
        <f>(IFERROR(VLOOKUP(D83,'Employee Numbers'!$A$3:$C$84,3,FALSE),"NOT FOUND"))*8</f>
        <v>0</v>
      </c>
      <c r="V83" s="142"/>
    </row>
    <row r="84" spans="1:22" s="2" customFormat="1" ht="15" customHeight="1">
      <c r="A84" s="44" t="s">
        <v>98</v>
      </c>
      <c r="B84" s="44"/>
      <c r="C84" s="45"/>
      <c r="D84" s="128" t="s">
        <v>127</v>
      </c>
      <c r="E84" s="156" t="str">
        <f>IFERROR(VLOOKUP(D84,'Employee Numbers'!$A$3:$B$83,2,FALSE),"NOT FOUND")</f>
        <v>NOT FOUND</v>
      </c>
      <c r="F84" s="136"/>
      <c r="G84" s="136"/>
      <c r="H84" s="136" t="s">
        <v>42</v>
      </c>
      <c r="I84" s="136"/>
      <c r="J84" s="136"/>
      <c r="K84" s="136"/>
      <c r="L84" s="136"/>
      <c r="N84">
        <f t="array" ref="N84">((SUM(IFERROR((TEXT(IF(ISNUMBER(SEARCH("-", F84:L84)), MID(F84:L84, SEARCH("-", F84:L84) + 1, 4), ""), "00\:00") - TEXT(IF(ISNUMBER(SEARCH("-", F84:L84)), MID(F84:L84, SEARCH("-", F84:L84) - 4, 4), ""), "00\:00") + IF(TEXT(IF(ISNUMBER(SEARCH("-", F84:L84)), MID(F84:L84, SEARCH("-", F84:L84) + 1, 4), ""), "00\:00") &lt; TEXT(IF(ISNUMBER(SEARCH("-", F84:L84)), MID(F84:L84, SEARCH("-", F84:L84) - 4, 4), ""), "00\:00"), 1, 0))*24,""))))/9.5</f>
        <v>1</v>
      </c>
      <c r="O84"/>
      <c r="P84"/>
      <c r="Q84" s="2">
        <f>P84+O84+N84</f>
        <v>1</v>
      </c>
      <c r="R84" s="2">
        <f>IF(ISNUMBER(SEARCH("trg_5",H176)),5,IF(ISNUMBER(SEARCH("trg_3.75",H176)),3.75,IF(ISNUMBER(SEARCH("trg_2.5",H176)),2.5,IF(ISNUMBER(SEARCH("trg_1.75",H176)),1.75,0))))</f>
        <v>5</v>
      </c>
      <c r="S84">
        <f t="shared" ca="1" si="27"/>
        <v>1</v>
      </c>
      <c r="T84" s="2" t="e">
        <f>(IFERROR(VLOOKUP(D84,'Employee Numbers'!$A$3:$C$84,3,FALSE),"NOT FOUND"))*8</f>
        <v>#VALUE!</v>
      </c>
      <c r="V84" s="142"/>
    </row>
    <row r="85" spans="1:22" s="2" customFormat="1" ht="15" customHeight="1">
      <c r="A85" s="137" t="s">
        <v>128</v>
      </c>
      <c r="B85" s="138"/>
      <c r="C85" s="139"/>
      <c r="D85" s="140" t="s">
        <v>128</v>
      </c>
      <c r="E85" s="141" t="s">
        <v>4</v>
      </c>
      <c r="F85" s="281" t="s">
        <v>5</v>
      </c>
      <c r="G85" s="281" t="s">
        <v>6</v>
      </c>
      <c r="H85" s="281" t="s">
        <v>7</v>
      </c>
      <c r="I85" s="281" t="s">
        <v>8</v>
      </c>
      <c r="J85" s="281" t="s">
        <v>9</v>
      </c>
      <c r="K85" s="281" t="s">
        <v>10</v>
      </c>
      <c r="L85" s="282" t="s">
        <v>11</v>
      </c>
      <c r="M85" s="34"/>
      <c r="N85"/>
      <c r="O85"/>
      <c r="P85"/>
      <c r="V85" s="142"/>
    </row>
    <row r="86" spans="1:22" s="2" customFormat="1" ht="15" customHeight="1">
      <c r="A86" s="44" t="s">
        <v>129</v>
      </c>
      <c r="B86" s="44"/>
      <c r="C86" s="45"/>
      <c r="D86" s="263" t="s">
        <v>130</v>
      </c>
      <c r="E86" s="265">
        <f>IFERROR(VLOOKUP(D86,'Employee Numbers'!$A$3:$B$83,2,FALSE),"NOT FOUND")</f>
        <v>703066</v>
      </c>
      <c r="F86" s="264" t="s">
        <v>100</v>
      </c>
      <c r="G86" s="264"/>
      <c r="H86" s="264"/>
      <c r="I86" s="264" t="s">
        <v>44</v>
      </c>
      <c r="J86" s="264" t="s">
        <v>44</v>
      </c>
      <c r="K86" s="264" t="s">
        <v>42</v>
      </c>
      <c r="L86" s="264" t="s">
        <v>42</v>
      </c>
      <c r="N86">
        <f t="array" ref="N86">((SUM(IFERROR((TEXT(IF(ISNUMBER(SEARCH("-", F86:L86)), MID(F86:L86, SEARCH("-", F86:L86) + 1, 4), ""), "00\:00") - TEXT(IF(ISNUMBER(SEARCH("-", F86:L86)), MID(F86:L86, SEARCH("-", F86:L86) - 4, 4), ""), "00\:00") + IF(TEXT(IF(ISNUMBER(SEARCH("-", F86:L86)), MID(F86:L86, SEARCH("-", F86:L86) + 1, 4), ""), "00\:00") &lt; TEXT(IF(ISNUMBER(SEARCH("-", F86:L86)), MID(F86:L86, SEARCH("-", F86:L86) - 4, 4), ""), "00\:00"), 1, 0))*24,""))))/9.5</f>
        <v>5</v>
      </c>
      <c r="O86"/>
      <c r="P86"/>
      <c r="Q86" s="2">
        <f>P86+O86+N86</f>
        <v>5</v>
      </c>
      <c r="S86">
        <f t="shared" ref="S86:S99" ca="1" si="28">IF($C$4=1,SUM(Q86+INDIRECT("'Week "&amp;($B$3+1)&amp;"'!Q"&amp;(ROW()))),IF($C$4=2,SUM(Q86+INDIRECT("'Week "&amp;($B$3-1)&amp;"'!Q"&amp;(ROW())))))</f>
        <v>9</v>
      </c>
      <c r="T86" s="2" t="e">
        <f>(IFERROR(VLOOKUP(D86,'Employee Numbers'!$A$3:$C$84,3,FALSE),"NOT FOUND"))*8</f>
        <v>#VALUE!</v>
      </c>
      <c r="V86" s="142"/>
    </row>
    <row r="87" spans="1:22" s="2" customFormat="1" ht="15" customHeight="1">
      <c r="A87" s="2" t="s">
        <v>129</v>
      </c>
      <c r="C87" s="21"/>
      <c r="D87" s="263" t="s">
        <v>131</v>
      </c>
      <c r="E87" s="265">
        <f>IFERROR(VLOOKUP(D87,'Employee Numbers'!$A$3:$B$83,2,FALSE),"NOT FOUND")</f>
        <v>648637</v>
      </c>
      <c r="F87" s="264" t="s">
        <v>100</v>
      </c>
      <c r="G87" s="264" t="s">
        <v>100</v>
      </c>
      <c r="H87" s="264" t="s">
        <v>100</v>
      </c>
      <c r="I87" s="275"/>
      <c r="J87" s="275"/>
      <c r="K87" s="275"/>
      <c r="L87" s="283"/>
      <c r="N87">
        <f t="array" ref="N87">((SUM(IFERROR((TEXT(IF(ISNUMBER(SEARCH("-", F87:L87)), MID(F87:L87, SEARCH("-", F87:L87) + 1, 4), ""), "00\:00") - TEXT(IF(ISNUMBER(SEARCH("-", F87:L87)), MID(F87:L87, SEARCH("-", F87:L87) - 4, 4), ""), "00\:00") + IF(TEXT(IF(ISNUMBER(SEARCH("-", F87:L87)), MID(F87:L87, SEARCH("-", F87:L87) + 1, 4), ""), "00\:00") &lt; TEXT(IF(ISNUMBER(SEARCH("-", F87:L87)), MID(F87:L87, SEARCH("-", F87:L87) - 4, 4), ""), "00\:00"), 1, 0))*24,""))))/9.5</f>
        <v>2.9999999999999991</v>
      </c>
      <c r="O87"/>
      <c r="P87"/>
      <c r="Q87" s="2">
        <f t="shared" ref="Q87:Q96" si="29">P87+O87+N87</f>
        <v>2.9999999999999991</v>
      </c>
      <c r="S87">
        <f t="shared" ca="1" si="28"/>
        <v>7.9999999999999991</v>
      </c>
      <c r="T87" s="2" t="e">
        <f>(IFERROR(VLOOKUP(D87,'Employee Numbers'!$A$3:$C$84,3,FALSE),"NOT FOUND"))*8</f>
        <v>#VALUE!</v>
      </c>
      <c r="V87" s="142"/>
    </row>
    <row r="88" spans="1:22" s="13" customFormat="1" ht="15" customHeight="1">
      <c r="A88" s="44" t="s">
        <v>129</v>
      </c>
      <c r="B88" s="44"/>
      <c r="C88" s="45"/>
      <c r="D88" s="263" t="s">
        <v>132</v>
      </c>
      <c r="E88" s="265">
        <f>IFERROR(VLOOKUP(D88,'Employee Numbers'!$A$3:$B$83,2,FALSE),"NOT FOUND")</f>
        <v>703161</v>
      </c>
      <c r="F88" s="341" t="s">
        <v>112</v>
      </c>
      <c r="G88" s="264"/>
      <c r="H88" s="264"/>
      <c r="I88" s="276" t="s">
        <v>118</v>
      </c>
      <c r="J88" s="264" t="s">
        <v>100</v>
      </c>
      <c r="K88" s="264" t="s">
        <v>100</v>
      </c>
      <c r="L88" s="264" t="s">
        <v>100</v>
      </c>
      <c r="M88" s="2"/>
      <c r="N88">
        <f t="array" ref="N88">((SUM(IFERROR((TEXT(IF(ISNUMBER(SEARCH("-", F88:L88)), MID(F88:L88, SEARCH("-", F88:L88) + 1, 4), ""), "00\:00") - TEXT(IF(ISNUMBER(SEARCH("-", F88:L88)), MID(F88:L88, SEARCH("-", F88:L88) - 4, 4), ""), "00\:00") + IF(TEXT(IF(ISNUMBER(SEARCH("-", F88:L88)), MID(F88:L88, SEARCH("-", F88:L88) + 1, 4), ""), "00\:00") &lt; TEXT(IF(ISNUMBER(SEARCH("-", F88:L88)), MID(F88:L88, SEARCH("-", F88:L88) - 4, 4), ""), "00\:00"), 1, 0))*24,""))))/9.5</f>
        <v>2.9999999999999991</v>
      </c>
      <c r="O88"/>
      <c r="P88"/>
      <c r="Q88" s="2">
        <f t="shared" si="29"/>
        <v>2.9999999999999991</v>
      </c>
      <c r="R88" s="2"/>
      <c r="S88">
        <f t="shared" ca="1" si="28"/>
        <v>4.9999999999999991</v>
      </c>
      <c r="T88" s="2" t="e">
        <f>(IFERROR(VLOOKUP(D88,'Employee Numbers'!$A$3:$C$84,3,FALSE),"NOT FOUND"))*8</f>
        <v>#VALUE!</v>
      </c>
      <c r="U88" s="2"/>
      <c r="V88" s="144"/>
    </row>
    <row r="89" spans="1:22" s="2" customFormat="1" ht="15" customHeight="1">
      <c r="A89" s="2" t="s">
        <v>129</v>
      </c>
      <c r="C89" s="21"/>
      <c r="D89" s="263" t="s">
        <v>133</v>
      </c>
      <c r="E89" s="265">
        <f>IFERROR(VLOOKUP(D89,'Employee Numbers'!$A$3:$B$83,2,FALSE),"NOT FOUND")</f>
        <v>655179</v>
      </c>
      <c r="F89" s="276" t="s">
        <v>44</v>
      </c>
      <c r="G89" s="264" t="s">
        <v>42</v>
      </c>
      <c r="H89" s="264"/>
      <c r="I89" s="264" t="s">
        <v>44</v>
      </c>
      <c r="J89" s="264" t="s">
        <v>42</v>
      </c>
      <c r="K89" s="264"/>
      <c r="L89" s="264"/>
      <c r="N89">
        <f t="array" ref="N89">((SUM(IFERROR((TEXT(IF(ISNUMBER(SEARCH("-", F89:L89)), MID(F89:L89, SEARCH("-", F89:L89) + 1, 4), ""), "00\:00") - TEXT(IF(ISNUMBER(SEARCH("-", F89:L89)), MID(F89:L89, SEARCH("-", F89:L89) - 4, 4), ""), "00\:00") + IF(TEXT(IF(ISNUMBER(SEARCH("-", F89:L89)), MID(F89:L89, SEARCH("-", F89:L89) + 1, 4), ""), "00\:00") &lt; TEXT(IF(ISNUMBER(SEARCH("-", F89:L89)), MID(F89:L89, SEARCH("-", F89:L89) - 4, 4), ""), "00\:00"), 1, 0))*24,""))))/9.5</f>
        <v>4</v>
      </c>
      <c r="O89"/>
      <c r="P89"/>
      <c r="Q89" s="2">
        <f t="shared" si="29"/>
        <v>4</v>
      </c>
      <c r="S89">
        <f t="shared" ca="1" si="28"/>
        <v>8</v>
      </c>
      <c r="T89" s="2" t="e">
        <f>(IFERROR(VLOOKUP(D89,'Employee Numbers'!$A$3:$C$84,3,FALSE),"NOT FOUND"))*8</f>
        <v>#VALUE!</v>
      </c>
      <c r="V89" s="142"/>
    </row>
    <row r="90" spans="1:22" s="2" customFormat="1" ht="15" customHeight="1">
      <c r="A90" s="44" t="s">
        <v>129</v>
      </c>
      <c r="B90" s="44"/>
      <c r="C90" s="45"/>
      <c r="D90" s="263" t="s">
        <v>134</v>
      </c>
      <c r="E90" s="265">
        <f>IFERROR(VLOOKUP(D90,'Employee Numbers'!$A$3:$B$83,2,FALSE),"NOT FOUND")</f>
        <v>700812</v>
      </c>
      <c r="F90" s="276" t="s">
        <v>44</v>
      </c>
      <c r="G90" s="264"/>
      <c r="H90" s="264"/>
      <c r="I90" s="264" t="s">
        <v>42</v>
      </c>
      <c r="J90" s="264"/>
      <c r="K90" s="264" t="s">
        <v>44</v>
      </c>
      <c r="L90" s="264" t="s">
        <v>44</v>
      </c>
      <c r="N90">
        <f t="array" ref="N90">((SUM(IFERROR((TEXT(IF(ISNUMBER(SEARCH("-", F90:L90)), MID(F90:L90, SEARCH("-", F90:L90) + 1, 4), ""), "00\:00") - TEXT(IF(ISNUMBER(SEARCH("-", F90:L90)), MID(F90:L90, SEARCH("-", F90:L90) - 4, 4), ""), "00\:00") + IF(TEXT(IF(ISNUMBER(SEARCH("-", F90:L90)), MID(F90:L90, SEARCH("-", F90:L90) + 1, 4), ""), "00\:00") &lt; TEXT(IF(ISNUMBER(SEARCH("-", F90:L90)), MID(F90:L90, SEARCH("-", F90:L90) - 4, 4), ""), "00\:00"), 1, 0))*24,""))))/9.5</f>
        <v>4</v>
      </c>
      <c r="O90"/>
      <c r="P90"/>
      <c r="Q90" s="2">
        <f t="shared" si="29"/>
        <v>4</v>
      </c>
      <c r="S90">
        <f t="shared" ca="1" si="28"/>
        <v>8</v>
      </c>
      <c r="T90" s="2" t="e">
        <f>(IFERROR(VLOOKUP(D90,'Employee Numbers'!$A$3:$C$84,3,FALSE),"NOT FOUND"))*8</f>
        <v>#VALUE!</v>
      </c>
      <c r="V90" s="142"/>
    </row>
    <row r="91" spans="1:22" s="2" customFormat="1" ht="15" customHeight="1">
      <c r="A91" s="2" t="s">
        <v>129</v>
      </c>
      <c r="D91" s="263" t="s">
        <v>135</v>
      </c>
      <c r="E91" s="265">
        <f>IFERROR(VLOOKUP(D91,'Employee Numbers'!$A$3:$B$83,2,FALSE),"NOT FOUND")</f>
        <v>703157</v>
      </c>
      <c r="F91" s="276" t="s">
        <v>44</v>
      </c>
      <c r="G91" s="264"/>
      <c r="H91" s="264" t="s">
        <v>44</v>
      </c>
      <c r="I91" s="264" t="s">
        <v>44</v>
      </c>
      <c r="J91" s="264" t="s">
        <v>42</v>
      </c>
      <c r="K91" s="264"/>
      <c r="L91" s="264"/>
      <c r="N91">
        <f t="array" ref="N91">((SUM(IFERROR((TEXT(IF(ISNUMBER(SEARCH("-", F91:L91)), MID(F91:L91, SEARCH("-", F91:L91) + 1, 4), ""), "00\:00") - TEXT(IF(ISNUMBER(SEARCH("-", F91:L91)), MID(F91:L91, SEARCH("-", F91:L91) - 4, 4), ""), "00\:00") + IF(TEXT(IF(ISNUMBER(SEARCH("-", F91:L91)), MID(F91:L91, SEARCH("-", F91:L91) + 1, 4), ""), "00\:00") &lt; TEXT(IF(ISNUMBER(SEARCH("-", F91:L91)), MID(F91:L91, SEARCH("-", F91:L91) - 4, 4), ""), "00\:00"), 1, 0))*24,""))))/9.5</f>
        <v>4</v>
      </c>
      <c r="O91"/>
      <c r="P91"/>
      <c r="Q91" s="2">
        <f t="shared" si="29"/>
        <v>4</v>
      </c>
      <c r="S91">
        <f t="shared" ca="1" si="28"/>
        <v>7.9999999999999991</v>
      </c>
      <c r="T91" s="2" t="e">
        <f>(IFERROR(VLOOKUP(D91,'Employee Numbers'!$A$3:$C$84,3,FALSE),"NOT FOUND"))*8</f>
        <v>#VALUE!</v>
      </c>
      <c r="V91" s="142"/>
    </row>
    <row r="92" spans="1:22" s="2" customFormat="1" ht="15" customHeight="1">
      <c r="A92" s="44" t="s">
        <v>129</v>
      </c>
      <c r="B92" s="44"/>
      <c r="C92" s="44"/>
      <c r="D92" s="263" t="s">
        <v>136</v>
      </c>
      <c r="E92" s="265">
        <f>IFERROR(VLOOKUP(D92,'Employee Numbers'!$A$3:$B$83,2,FALSE),"NOT FOUND")</f>
        <v>655173</v>
      </c>
      <c r="F92" s="264"/>
      <c r="G92" s="276" t="s">
        <v>42</v>
      </c>
      <c r="H92" s="264" t="s">
        <v>42</v>
      </c>
      <c r="I92" s="264"/>
      <c r="J92" s="264"/>
      <c r="K92" s="264" t="s">
        <v>42</v>
      </c>
      <c r="L92" s="264" t="s">
        <v>42</v>
      </c>
      <c r="N92">
        <f t="array" ref="N92">((SUM(IFERROR((TEXT(IF(ISNUMBER(SEARCH("-", F92:L92)), MID(F92:L92, SEARCH("-", F92:L92) + 1, 4), ""), "00\:00") - TEXT(IF(ISNUMBER(SEARCH("-", F92:L92)), MID(F92:L92, SEARCH("-", F92:L92) - 4, 4), ""), "00\:00") + IF(TEXT(IF(ISNUMBER(SEARCH("-", F92:L92)), MID(F92:L92, SEARCH("-", F92:L92) + 1, 4), ""), "00\:00") &lt; TEXT(IF(ISNUMBER(SEARCH("-", F92:L92)), MID(F92:L92, SEARCH("-", F92:L92) - 4, 4), ""), "00\:00"), 1, 0))*24,""))))/9.5</f>
        <v>4</v>
      </c>
      <c r="O92"/>
      <c r="P92"/>
      <c r="Q92" s="2">
        <f t="shared" si="29"/>
        <v>4</v>
      </c>
      <c r="S92">
        <f t="shared" ca="1" si="28"/>
        <v>8</v>
      </c>
      <c r="T92" s="2" t="e">
        <f>(IFERROR(VLOOKUP(D92,'Employee Numbers'!$A$3:$C$84,3,FALSE),"NOT FOUND"))*8</f>
        <v>#VALUE!</v>
      </c>
      <c r="V92" s="142"/>
    </row>
    <row r="93" spans="1:22" s="2" customFormat="1" ht="15" customHeight="1">
      <c r="A93" s="44" t="s">
        <v>129</v>
      </c>
      <c r="B93" s="44"/>
      <c r="C93" s="45"/>
      <c r="D93" s="263" t="s">
        <v>137</v>
      </c>
      <c r="E93" s="265">
        <f>IFERROR(VLOOKUP(D93,'Employee Numbers'!$A$3:$B$83,2,FALSE),"NOT FOUND")</f>
        <v>705273</v>
      </c>
      <c r="F93" s="276" t="s">
        <v>42</v>
      </c>
      <c r="G93" s="264" t="s">
        <v>100</v>
      </c>
      <c r="H93" s="264" t="s">
        <v>100</v>
      </c>
      <c r="I93" s="264" t="s">
        <v>100</v>
      </c>
      <c r="J93" s="264"/>
      <c r="K93" s="275"/>
      <c r="L93" s="275"/>
      <c r="N93">
        <f t="array" ref="N93">((SUM(IFERROR((TEXT(IF(ISNUMBER(SEARCH("-", F93:L93)), MID(F93:L93, SEARCH("-", F93:L93) + 1, 4), ""), "00\:00") - TEXT(IF(ISNUMBER(SEARCH("-", F93:L93)), MID(F93:L93, SEARCH("-", F93:L93) - 4, 4), ""), "00\:00") + IF(TEXT(IF(ISNUMBER(SEARCH("-", F93:L93)), MID(F93:L93, SEARCH("-", F93:L93) + 1, 4), ""), "00\:00") &lt; TEXT(IF(ISNUMBER(SEARCH("-", F93:L93)), MID(F93:L93, SEARCH("-", F93:L93) - 4, 4), ""), "00\:00"), 1, 0))*24,""))))/9.5</f>
        <v>4</v>
      </c>
      <c r="O93"/>
      <c r="P93"/>
      <c r="Q93" s="2">
        <f t="shared" si="29"/>
        <v>4</v>
      </c>
      <c r="S93">
        <f t="shared" ca="1" si="28"/>
        <v>8</v>
      </c>
      <c r="T93" s="2" t="e">
        <f>(IFERROR(VLOOKUP(D93,'Employee Numbers'!$A$3:$C$84,3,FALSE),"NOT FOUND"))*8</f>
        <v>#VALUE!</v>
      </c>
      <c r="V93" s="142"/>
    </row>
    <row r="94" spans="1:22" s="2" customFormat="1" ht="15" customHeight="1">
      <c r="A94" s="2" t="s">
        <v>129</v>
      </c>
      <c r="C94" s="21"/>
      <c r="D94" s="263" t="s">
        <v>138</v>
      </c>
      <c r="E94" s="265">
        <f>IFERROR(VLOOKUP(D94,'Employee Numbers'!$A$3:$B$83,2,FALSE),"NOT FOUND")</f>
        <v>703418</v>
      </c>
      <c r="F94" s="276" t="s">
        <v>42</v>
      </c>
      <c r="G94" s="264"/>
      <c r="H94" s="264"/>
      <c r="I94" s="264"/>
      <c r="J94" s="264" t="s">
        <v>100</v>
      </c>
      <c r="K94" s="264" t="s">
        <v>100</v>
      </c>
      <c r="L94" s="264" t="s">
        <v>100</v>
      </c>
      <c r="N94">
        <f t="array" ref="N94">((SUM(IFERROR((TEXT(IF(ISNUMBER(SEARCH("-", F94:L94)), MID(F94:L94, SEARCH("-", F94:L94) + 1, 4), ""), "00\:00") - TEXT(IF(ISNUMBER(SEARCH("-", F94:L94)), MID(F94:L94, SEARCH("-", F94:L94) - 4, 4), ""), "00\:00") + IF(TEXT(IF(ISNUMBER(SEARCH("-", F94:L94)), MID(F94:L94, SEARCH("-", F94:L94) + 1, 4), ""), "00\:00") &lt; TEXT(IF(ISNUMBER(SEARCH("-", F94:L94)), MID(F94:L94, SEARCH("-", F94:L94) - 4, 4), ""), "00\:00"), 1, 0))*24,""))))/9.5</f>
        <v>4</v>
      </c>
      <c r="O94"/>
      <c r="P94"/>
      <c r="Q94" s="2">
        <f t="shared" si="29"/>
        <v>4</v>
      </c>
      <c r="S94">
        <f t="shared" ca="1" si="28"/>
        <v>8</v>
      </c>
      <c r="T94" s="2" t="e">
        <f>(IFERROR(VLOOKUP(D94,'Employee Numbers'!$A$3:$C$84,3,FALSE),"NOT FOUND"))*8</f>
        <v>#VALUE!</v>
      </c>
      <c r="V94" s="142"/>
    </row>
    <row r="95" spans="1:22" s="13" customFormat="1" ht="15" customHeight="1">
      <c r="A95" s="44" t="s">
        <v>129</v>
      </c>
      <c r="B95" s="44"/>
      <c r="C95" s="45"/>
      <c r="D95" s="263" t="s">
        <v>139</v>
      </c>
      <c r="E95" s="265">
        <f>IFERROR(VLOOKUP(D95,'Employee Numbers'!$A$3:$B$83,2,FALSE),"NOT FOUND")</f>
        <v>704108</v>
      </c>
      <c r="F95" s="280"/>
      <c r="G95" s="280"/>
      <c r="H95" s="280"/>
      <c r="I95" s="280"/>
      <c r="J95" s="280"/>
      <c r="K95" s="280"/>
      <c r="L95" s="280"/>
      <c r="M95" s="2"/>
      <c r="N95">
        <f t="array" ref="N95">((SUM(IFERROR((TEXT(IF(ISNUMBER(SEARCH("-", F95:L95)), MID(F95:L95, SEARCH("-", F95:L95) + 1, 4), ""), "00\:00") - TEXT(IF(ISNUMBER(SEARCH("-", F95:L95)), MID(F95:L95, SEARCH("-", F95:L95) - 4, 4), ""), "00\:00") + IF(TEXT(IF(ISNUMBER(SEARCH("-", F95:L95)), MID(F95:L95, SEARCH("-", F95:L95) + 1, 4), ""), "00\:00") &lt; TEXT(IF(ISNUMBER(SEARCH("-", F95:L95)), MID(F95:L95, SEARCH("-", F95:L95) - 4, 4), ""), "00\:00"), 1, 0))*24,""))))/9.5</f>
        <v>0</v>
      </c>
      <c r="O95"/>
      <c r="P95"/>
      <c r="Q95" s="2">
        <f t="shared" si="29"/>
        <v>0</v>
      </c>
      <c r="R95" s="2"/>
      <c r="S95">
        <f t="shared" ca="1" si="28"/>
        <v>0</v>
      </c>
      <c r="T95" s="2" t="e">
        <f>(IFERROR(VLOOKUP(D95,'Employee Numbers'!$A$3:$C$84,3,FALSE),"NOT FOUND"))*8</f>
        <v>#VALUE!</v>
      </c>
      <c r="U95" s="2"/>
      <c r="V95" s="144"/>
    </row>
    <row r="96" spans="1:22" s="2" customFormat="1" ht="15" customHeight="1">
      <c r="A96" s="2" t="s">
        <v>129</v>
      </c>
      <c r="C96" s="21"/>
      <c r="D96" s="263" t="s">
        <v>140</v>
      </c>
      <c r="E96" s="265">
        <f>IFERROR(VLOOKUP(D96,'Employee Numbers'!$A$3:$B$83,2,FALSE),"NOT FOUND")</f>
        <v>651515</v>
      </c>
      <c r="F96" s="280"/>
      <c r="G96" s="280"/>
      <c r="H96" s="280"/>
      <c r="I96" s="280"/>
      <c r="J96" s="280"/>
      <c r="K96" s="280"/>
      <c r="L96" s="280"/>
      <c r="N96">
        <f t="array" ref="N96">((SUM(IFERROR((TEXT(IF(ISNUMBER(SEARCH("-", F96:L96)), MID(F96:L96, SEARCH("-", F96:L96) + 1, 4), ""), "00\:00") - TEXT(IF(ISNUMBER(SEARCH("-", F96:L96)), MID(F96:L96, SEARCH("-", F96:L96) - 4, 4), ""), "00\:00") + IF(TEXT(IF(ISNUMBER(SEARCH("-", F96:L96)), MID(F96:L96, SEARCH("-", F96:L96) + 1, 4), ""), "00\:00") &lt; TEXT(IF(ISNUMBER(SEARCH("-", F96:L96)), MID(F96:L96, SEARCH("-", F96:L96) - 4, 4), ""), "00\:00"), 1, 0))*24,""))))/9.5</f>
        <v>0</v>
      </c>
      <c r="O96"/>
      <c r="P96"/>
      <c r="Q96" s="2">
        <f t="shared" si="29"/>
        <v>0</v>
      </c>
      <c r="S96">
        <f t="shared" ca="1" si="28"/>
        <v>0</v>
      </c>
      <c r="T96" s="2" t="e">
        <f>(IFERROR(VLOOKUP(D96,'Employee Numbers'!$A$3:$C$84,3,FALSE),"NOT FOUND"))*8</f>
        <v>#VALUE!</v>
      </c>
      <c r="V96" s="142"/>
    </row>
    <row r="97" spans="1:22" s="2" customFormat="1" ht="15" customHeight="1">
      <c r="A97" s="44" t="s">
        <v>129</v>
      </c>
      <c r="B97" s="44"/>
      <c r="C97" s="45"/>
      <c r="D97" s="263" t="s">
        <v>141</v>
      </c>
      <c r="E97" s="265">
        <f>IFERROR(VLOOKUP(D97,'Employee Numbers'!$A$3:$B$83,2,FALSE),"NOT FOUND")</f>
        <v>705199</v>
      </c>
      <c r="F97" s="264"/>
      <c r="G97" s="276" t="s">
        <v>44</v>
      </c>
      <c r="H97" s="264" t="s">
        <v>44</v>
      </c>
      <c r="I97" s="264"/>
      <c r="J97" s="264"/>
      <c r="K97" s="264" t="s">
        <v>44</v>
      </c>
      <c r="L97" s="264" t="s">
        <v>44</v>
      </c>
      <c r="N97">
        <f t="array" ref="N97">((SUM(IFERROR((TEXT(IF(ISNUMBER(SEARCH("-", F97:L97)), MID(F97:L97, SEARCH("-", F97:L97) + 1, 4), ""), "00\:00") - TEXT(IF(ISNUMBER(SEARCH("-", F97:L97)), MID(F97:L97, SEARCH("-", F97:L97) - 4, 4), ""), "00\:00") + IF(TEXT(IF(ISNUMBER(SEARCH("-", F97:L97)), MID(F97:L97, SEARCH("-", F97:L97) + 1, 4), ""), "00\:00") &lt; TEXT(IF(ISNUMBER(SEARCH("-", F97:L97)), MID(F97:L97, SEARCH("-", F97:L97) - 4, 4), ""), "00\:00"), 1, 0))*24,""))))/9.5</f>
        <v>4</v>
      </c>
      <c r="O97"/>
      <c r="P97"/>
      <c r="Q97" s="2">
        <f>P97+O97+N97</f>
        <v>4</v>
      </c>
      <c r="S97">
        <f t="shared" ca="1" si="28"/>
        <v>8</v>
      </c>
      <c r="T97" s="2" t="e">
        <f>(IFERROR(VLOOKUP(D97,'Employee Numbers'!$A$3:$C$84,3,FALSE),"NOT FOUND"))*8</f>
        <v>#VALUE!</v>
      </c>
      <c r="V97" s="142"/>
    </row>
    <row r="98" spans="1:22" s="2" customFormat="1" ht="15" customHeight="1">
      <c r="A98" s="2" t="s">
        <v>129</v>
      </c>
      <c r="D98" s="31"/>
      <c r="E98" s="156" t="str">
        <f>IFERROR(VLOOKUP(D98,'Employee Numbers'!$A$3:$B$83,2,FALSE),"NOT FOUND")</f>
        <v>NOT FOUND</v>
      </c>
      <c r="F98" s="130"/>
      <c r="G98" s="130"/>
      <c r="H98" s="130"/>
      <c r="I98" s="130"/>
      <c r="J98" s="130"/>
      <c r="K98" s="130"/>
      <c r="L98" s="130"/>
      <c r="N98">
        <f t="array" ref="N98">((SUM(IFERROR((TEXT(IF(ISNUMBER(SEARCH("-", F98:L98)), MID(F98:L98, SEARCH("-", F98:L98) + 1, 4), ""), "00\:00") - TEXT(IF(ISNUMBER(SEARCH("-", F98:L98)), MID(F98:L98, SEARCH("-", F98:L98) - 4, 4), ""), "00\:00") + IF(TEXT(IF(ISNUMBER(SEARCH("-", F98:L98)), MID(F98:L98, SEARCH("-", F98:L98) + 1, 4), ""), "00\:00") &lt; TEXT(IF(ISNUMBER(SEARCH("-", F98:L98)), MID(F98:L98, SEARCH("-", F98:L98) - 4, 4), ""), "00\:00"), 1, 0))*24,""))))/9.5</f>
        <v>0</v>
      </c>
      <c r="O98"/>
      <c r="P98"/>
      <c r="Q98" s="2">
        <f>P98+O98+N98</f>
        <v>0</v>
      </c>
      <c r="S98">
        <f t="shared" ca="1" si="28"/>
        <v>2</v>
      </c>
      <c r="T98" s="2" t="e">
        <f>(IFERROR(VLOOKUP(D98,'Employee Numbers'!$A$3:$C$84,3,FALSE),"NOT FOUND"))*8</f>
        <v>#VALUE!</v>
      </c>
      <c r="V98" s="142"/>
    </row>
    <row r="99" spans="1:22" s="2" customFormat="1" ht="15" customHeight="1">
      <c r="A99" s="44" t="s">
        <v>129</v>
      </c>
      <c r="B99" s="44"/>
      <c r="C99" s="44"/>
      <c r="D99" s="30"/>
      <c r="E99" s="156" t="str">
        <f>IFERROR(VLOOKUP(D99,'Employee Numbers'!$A$3:$B$83,2,FALSE),"NOT FOUND")</f>
        <v>NOT FOUND</v>
      </c>
      <c r="F99" s="37"/>
      <c r="G99" s="37"/>
      <c r="H99" s="37"/>
      <c r="I99" s="37"/>
      <c r="J99" s="37"/>
      <c r="K99" s="37"/>
      <c r="L99" s="37"/>
      <c r="N99">
        <f t="array" ref="N99">((SUM(IFERROR((TEXT(IF(ISNUMBER(SEARCH("-", F99:L99)), MID(F99:L99, SEARCH("-", F99:L99) + 1, 4), ""), "00\:00") - TEXT(IF(ISNUMBER(SEARCH("-", F99:L99)), MID(F99:L99, SEARCH("-", F99:L99) - 4, 4), ""), "00\:00") + IF(TEXT(IF(ISNUMBER(SEARCH("-", F99:L99)), MID(F99:L99, SEARCH("-", F99:L99) + 1, 4), ""), "00\:00") &lt; TEXT(IF(ISNUMBER(SEARCH("-", F99:L99)), MID(F99:L99, SEARCH("-", F99:L99) - 4, 4), ""), "00\:00"), 1, 0))*24,""))))/9.5</f>
        <v>0</v>
      </c>
      <c r="O99"/>
      <c r="P99"/>
      <c r="Q99" s="2">
        <f>P99+O99+N99</f>
        <v>0</v>
      </c>
      <c r="S99">
        <f t="shared" ca="1" si="28"/>
        <v>0</v>
      </c>
      <c r="T99" s="2" t="e">
        <f>(IFERROR(VLOOKUP(D99,'Employee Numbers'!$A$3:$C$84,3,FALSE),"NOT FOUND"))*8</f>
        <v>#VALUE!</v>
      </c>
      <c r="V99" s="142"/>
    </row>
    <row r="100" spans="1:22" s="2" customFormat="1" ht="15" customHeight="1">
      <c r="A100" s="56" t="s">
        <v>142</v>
      </c>
      <c r="B100" s="52"/>
      <c r="C100" s="53"/>
      <c r="D100" s="56" t="s">
        <v>142</v>
      </c>
      <c r="E100" s="41" t="s">
        <v>4</v>
      </c>
      <c r="F100" s="40" t="s">
        <v>5</v>
      </c>
      <c r="G100" s="40" t="s">
        <v>6</v>
      </c>
      <c r="H100" s="40" t="s">
        <v>7</v>
      </c>
      <c r="I100" s="40" t="s">
        <v>8</v>
      </c>
      <c r="J100" s="40" t="s">
        <v>9</v>
      </c>
      <c r="K100" s="40" t="s">
        <v>10</v>
      </c>
      <c r="L100" s="40" t="s">
        <v>11</v>
      </c>
      <c r="M100" s="5"/>
      <c r="V100" s="142"/>
    </row>
    <row r="101" spans="1:22" s="2" customFormat="1" ht="15" customHeight="1">
      <c r="A101" s="2" t="s">
        <v>143</v>
      </c>
      <c r="B101" s="5"/>
      <c r="C101" s="8"/>
      <c r="D101" s="342" t="s">
        <v>144</v>
      </c>
      <c r="E101" s="156">
        <f>IFERROR(VLOOKUP(D101,'Employee Numbers'!$A$3:$B$83,2,FALSE),"NOT FOUND")</f>
        <v>641345</v>
      </c>
      <c r="F101" s="343" t="s">
        <v>44</v>
      </c>
      <c r="G101" s="347" t="s">
        <v>44</v>
      </c>
      <c r="H101" s="344" t="s">
        <v>145</v>
      </c>
      <c r="I101" s="345" t="s">
        <v>44</v>
      </c>
      <c r="J101" s="345" t="s">
        <v>44</v>
      </c>
      <c r="K101" s="345" t="s">
        <v>145</v>
      </c>
      <c r="L101" s="345" t="s">
        <v>145</v>
      </c>
      <c r="M101" s="5"/>
      <c r="N101">
        <f t="array" ref="N101">((SUM(IFERROR((TEXT(IF(ISNUMBER(SEARCH("-", F101:L101)), MID(F101:L101, SEARCH("-", F101:L101) + 1, 4), ""), "00\:00") - TEXT(IF(ISNUMBER(SEARCH("-", F101:L101)), MID(F101:L101, SEARCH("-", F101:L101) - 4, 4), ""), "00\:00") + IF(TEXT(IF(ISNUMBER(SEARCH("-", F101:L101)), MID(F101:L101, SEARCH("-", F101:L101) + 1, 4), ""), "00\:00") &lt; TEXT(IF(ISNUMBER(SEARCH("-", F101:L101)), MID(F101:L101, SEARCH("-", F101:L101) - 4, 4), ""), "00\:00"), 1, 0))*24,""))))/9.5</f>
        <v>4</v>
      </c>
      <c r="O101"/>
      <c r="P101"/>
      <c r="Q101" s="2">
        <f>P101+O101+N101</f>
        <v>4</v>
      </c>
      <c r="S101">
        <f t="shared" ref="S101:S102" ca="1" si="30">IF($C$4=1,SUM(Q101+INDIRECT("'Week "&amp;($B$3+1)&amp;"'!Q"&amp;(ROW()))),IF($C$4=2,SUM(Q101+INDIRECT("'Week "&amp;($B$3-1)&amp;"'!Q"&amp;(ROW())))))</f>
        <v>8</v>
      </c>
      <c r="T101" s="2">
        <f>(IFERROR(VLOOKUP(D101,'Employee Numbers'!$A$3:$C$84,3,FALSE),"NOT FOUND"))*8</f>
        <v>0</v>
      </c>
      <c r="V101" s="142"/>
    </row>
    <row r="102" spans="1:22" s="2" customFormat="1" ht="15" customHeight="1">
      <c r="A102" s="44" t="s">
        <v>143</v>
      </c>
      <c r="B102" s="5"/>
      <c r="C102" s="8"/>
      <c r="D102" s="342" t="s">
        <v>146</v>
      </c>
      <c r="E102" s="156">
        <f>IFERROR(VLOOKUP(D102,'Employee Numbers'!$A$3:$B$83,2,FALSE),"NOT FOUND")</f>
        <v>703521</v>
      </c>
      <c r="F102" s="346" t="s">
        <v>145</v>
      </c>
      <c r="G102" s="347" t="s">
        <v>145</v>
      </c>
      <c r="H102" s="347" t="s">
        <v>44</v>
      </c>
      <c r="I102" s="345" t="s">
        <v>147</v>
      </c>
      <c r="J102" s="346" t="s">
        <v>145</v>
      </c>
      <c r="K102" s="347" t="s">
        <v>44</v>
      </c>
      <c r="L102" s="347" t="s">
        <v>44</v>
      </c>
      <c r="M102" s="5"/>
      <c r="N102">
        <f t="array" ref="N102">((SUM(IFERROR((TEXT(IF(ISNUMBER(SEARCH("-", F102:L102)), MID(F102:L102, SEARCH("-", F102:L102) + 1, 4), ""), "00\:00") - TEXT(IF(ISNUMBER(SEARCH("-", F102:L102)), MID(F102:L102, SEARCH("-", F102:L102) - 4, 4), ""), "00\:00") + IF(TEXT(IF(ISNUMBER(SEARCH("-", F102:L102)), MID(F102:L102, SEARCH("-", F102:L102) + 1, 4), ""), "00\:00") &lt; TEXT(IF(ISNUMBER(SEARCH("-", F102:L102)), MID(F102:L102, SEARCH("-", F102:L102) - 4, 4), ""), "00\:00"), 1, 0))*24,""))))/9.5</f>
        <v>4</v>
      </c>
      <c r="O102"/>
      <c r="P102"/>
      <c r="Q102" s="2">
        <f>P102+O102+N102</f>
        <v>4</v>
      </c>
      <c r="S102">
        <f t="shared" ca="1" si="30"/>
        <v>8</v>
      </c>
      <c r="T102" s="2">
        <f>(IFERROR(VLOOKUP(D102,'Employee Numbers'!$A$3:$C$84,3,FALSE),"NOT FOUND"))*8</f>
        <v>0</v>
      </c>
      <c r="V102" s="142"/>
    </row>
    <row r="103" spans="1:22" s="2" customFormat="1" ht="15" customHeight="1">
      <c r="A103" s="54" t="s">
        <v>148</v>
      </c>
      <c r="B103" s="54"/>
      <c r="C103" s="54"/>
      <c r="D103" s="57" t="s">
        <v>148</v>
      </c>
      <c r="E103" s="107"/>
      <c r="F103" s="57"/>
      <c r="G103" s="57"/>
      <c r="H103" s="57"/>
      <c r="I103" s="57"/>
      <c r="J103" s="57"/>
      <c r="K103" s="57"/>
      <c r="L103" s="57"/>
      <c r="M103" s="5"/>
      <c r="N103"/>
      <c r="O103"/>
      <c r="Q103"/>
      <c r="V103" s="142"/>
    </row>
    <row r="104" spans="1:22" ht="15" customHeight="1">
      <c r="B104" s="2"/>
      <c r="C104" s="21"/>
      <c r="D104" s="31"/>
      <c r="E104" s="154" t="s">
        <v>149</v>
      </c>
      <c r="F104" s="31"/>
      <c r="G104" s="31"/>
      <c r="H104" s="31"/>
      <c r="I104" s="31"/>
      <c r="J104" s="31"/>
      <c r="K104" s="31"/>
      <c r="L104" s="31"/>
      <c r="N104"/>
      <c r="O104"/>
      <c r="P104" s="2"/>
      <c r="Q104"/>
      <c r="R104" s="2"/>
      <c r="V104" s="143"/>
    </row>
    <row r="105" spans="1:22" ht="15" customHeight="1" thickBot="1">
      <c r="L105" s="6"/>
      <c r="N105"/>
      <c r="O105"/>
      <c r="P105" s="2"/>
      <c r="Q105"/>
      <c r="R105" s="2"/>
      <c r="V105" s="143"/>
    </row>
    <row r="106" spans="1:22" ht="15" customHeight="1">
      <c r="D106" s="77" t="s">
        <v>150</v>
      </c>
      <c r="F106" s="88" t="s">
        <v>151</v>
      </c>
      <c r="G106" s="89"/>
      <c r="H106" s="89"/>
      <c r="I106" s="89"/>
      <c r="J106" s="89"/>
      <c r="K106" s="89"/>
      <c r="L106" s="90"/>
      <c r="N106"/>
      <c r="O106"/>
      <c r="P106" s="2"/>
      <c r="Q106"/>
      <c r="R106" s="2"/>
      <c r="V106" s="143"/>
    </row>
    <row r="107" spans="1:22" ht="15" customHeight="1">
      <c r="D107" s="78" t="s">
        <v>152</v>
      </c>
      <c r="F107" s="24" t="s">
        <v>153</v>
      </c>
      <c r="G107"/>
      <c r="L107" s="6"/>
      <c r="N107" s="2"/>
      <c r="O107" s="2"/>
      <c r="P107" s="2"/>
      <c r="Q107" s="2"/>
      <c r="R107" s="2"/>
      <c r="V107" s="143"/>
    </row>
    <row r="108" spans="1:22" ht="15" customHeight="1">
      <c r="D108" s="273" t="s">
        <v>154</v>
      </c>
      <c r="F108" s="24" t="s">
        <v>155</v>
      </c>
      <c r="G108"/>
      <c r="L108" s="6"/>
      <c r="N108"/>
      <c r="O108"/>
      <c r="P108" s="2"/>
      <c r="Q108"/>
      <c r="R108" s="2"/>
      <c r="V108" s="143"/>
    </row>
    <row r="109" spans="1:22" ht="15" customHeight="1">
      <c r="D109" s="80" t="s">
        <v>156</v>
      </c>
      <c r="F109" s="24" t="s">
        <v>157</v>
      </c>
      <c r="G109"/>
      <c r="L109" s="6"/>
      <c r="N109"/>
      <c r="O109"/>
      <c r="P109" s="2"/>
      <c r="Q109"/>
      <c r="R109" s="2"/>
      <c r="V109" s="143"/>
    </row>
    <row r="110" spans="1:22" ht="15" customHeight="1">
      <c r="D110" s="276" t="s">
        <v>158</v>
      </c>
      <c r="F110" s="24" t="s">
        <v>159</v>
      </c>
      <c r="G110"/>
      <c r="L110" s="6"/>
      <c r="N110" s="2"/>
      <c r="O110" s="2"/>
      <c r="P110" s="2"/>
      <c r="Q110" s="2"/>
      <c r="R110" s="2"/>
      <c r="V110" s="143"/>
    </row>
    <row r="111" spans="1:22" ht="15" customHeight="1" thickBot="1">
      <c r="A111" s="2"/>
      <c r="F111" s="25" t="s">
        <v>160</v>
      </c>
      <c r="G111" s="17"/>
      <c r="H111" s="7"/>
      <c r="I111" s="7"/>
      <c r="J111" s="7"/>
      <c r="K111" s="7"/>
      <c r="L111" s="18"/>
      <c r="N111" s="2"/>
      <c r="O111" s="2"/>
      <c r="P111" s="2"/>
      <c r="Q111" s="2"/>
      <c r="R111" s="2"/>
      <c r="V111" s="143"/>
    </row>
    <row r="112" spans="1:22" ht="15" customHeight="1">
      <c r="G112" s="14"/>
      <c r="V112" s="143"/>
    </row>
    <row r="113" spans="1:22" s="2" customFormat="1" ht="15" customHeight="1">
      <c r="A113" s="42" t="s">
        <v>38</v>
      </c>
      <c r="B113" s="33"/>
      <c r="C113" s="43"/>
      <c r="D113" s="82" t="s">
        <v>38</v>
      </c>
      <c r="E113" s="19"/>
      <c r="F113" s="10"/>
      <c r="G113" s="11"/>
      <c r="H113" s="11"/>
      <c r="I113" s="11"/>
      <c r="J113" s="11"/>
      <c r="K113" s="11"/>
      <c r="L113" s="15"/>
      <c r="M113" s="5"/>
      <c r="N113" s="5"/>
      <c r="O113" s="5"/>
      <c r="P113" s="5"/>
      <c r="Q113" s="5"/>
      <c r="R113" s="5"/>
      <c r="V113" s="142"/>
    </row>
    <row r="114" spans="1:22" ht="15" customHeight="1" thickBot="1">
      <c r="V114" s="143"/>
    </row>
    <row r="115" spans="1:22" ht="15" customHeight="1" thickBot="1">
      <c r="A115" s="2" t="s">
        <v>161</v>
      </c>
      <c r="B115" s="55" t="s">
        <v>162</v>
      </c>
      <c r="C115" s="21"/>
      <c r="D115" s="27" t="str">
        <f t="shared" ref="D115:D143" si="31">D21</f>
        <v>Dr Adam West</v>
      </c>
      <c r="E115" s="22">
        <f>IFERROR(VLOOKUP(D115,'Employee Numbers'!$A$3:$B$84,2,FALSE),"NOT FOUND")</f>
        <v>287628</v>
      </c>
      <c r="F115" s="9" t="str">
        <f t="shared" ref="F115:L130" si="32">IF(F$50=$D115,"Con_8_0000","")</f>
        <v/>
      </c>
      <c r="G115" s="9" t="str">
        <f t="shared" si="32"/>
        <v/>
      </c>
      <c r="H115" s="9" t="str">
        <f t="shared" si="32"/>
        <v/>
      </c>
      <c r="I115" s="9" t="str">
        <f t="shared" si="32"/>
        <v/>
      </c>
      <c r="J115" s="9" t="str">
        <f t="shared" si="32"/>
        <v/>
      </c>
      <c r="K115" s="9" t="str">
        <f t="shared" si="32"/>
        <v/>
      </c>
      <c r="L115" s="9" t="str">
        <f t="shared" si="32"/>
        <v/>
      </c>
      <c r="V115" s="143"/>
    </row>
    <row r="116" spans="1:22" ht="15" customHeight="1" thickBot="1">
      <c r="A116" s="2" t="s">
        <v>161</v>
      </c>
      <c r="B116" s="55" t="s">
        <v>162</v>
      </c>
      <c r="C116" s="21"/>
      <c r="D116" s="27" t="str">
        <f t="shared" si="31"/>
        <v>Dr Toby VanHest</v>
      </c>
      <c r="E116" s="22">
        <f>IFERROR(VLOOKUP(D116,'Employee Numbers'!$A$3:$B$84,2,FALSE),"NOT FOUND")</f>
        <v>609660</v>
      </c>
      <c r="F116" s="9" t="str">
        <f t="shared" si="32"/>
        <v/>
      </c>
      <c r="G116" s="9" t="str">
        <f t="shared" si="32"/>
        <v/>
      </c>
      <c r="H116" s="9" t="str">
        <f t="shared" si="32"/>
        <v/>
      </c>
      <c r="I116" s="9" t="str">
        <f t="shared" si="32"/>
        <v/>
      </c>
      <c r="J116" s="9" t="str">
        <f t="shared" si="32"/>
        <v/>
      </c>
      <c r="K116" s="9" t="str">
        <f t="shared" si="32"/>
        <v/>
      </c>
      <c r="L116" s="9" t="str">
        <f t="shared" si="32"/>
        <v/>
      </c>
      <c r="V116" s="143"/>
    </row>
    <row r="117" spans="1:22" ht="15" customHeight="1" thickBot="1">
      <c r="A117" s="2" t="s">
        <v>161</v>
      </c>
      <c r="B117" s="55" t="s">
        <v>162</v>
      </c>
      <c r="C117" s="21"/>
      <c r="D117" s="27" t="str">
        <f t="shared" si="31"/>
        <v>Dr Bob Seith</v>
      </c>
      <c r="E117" s="22">
        <f>IFERROR(VLOOKUP(D117,'Employee Numbers'!$A$3:$B$84,2,FALSE),"NOT FOUND")</f>
        <v>610036</v>
      </c>
      <c r="F117" s="9" t="str">
        <f t="shared" si="32"/>
        <v/>
      </c>
      <c r="G117" s="9" t="str">
        <f t="shared" si="32"/>
        <v/>
      </c>
      <c r="H117" s="9" t="str">
        <f t="shared" si="32"/>
        <v/>
      </c>
      <c r="I117" s="9" t="str">
        <f t="shared" si="32"/>
        <v/>
      </c>
      <c r="J117" s="9" t="str">
        <f t="shared" si="32"/>
        <v/>
      </c>
      <c r="K117" s="9" t="str">
        <f t="shared" si="32"/>
        <v/>
      </c>
      <c r="L117" s="9" t="str">
        <f t="shared" si="32"/>
        <v>Con_8_0000</v>
      </c>
      <c r="V117" s="143"/>
    </row>
    <row r="118" spans="1:22" ht="15" customHeight="1" thickBot="1">
      <c r="A118" s="2" t="s">
        <v>161</v>
      </c>
      <c r="B118" s="55" t="s">
        <v>162</v>
      </c>
      <c r="C118" s="21"/>
      <c r="D118" s="27" t="str">
        <f t="shared" si="31"/>
        <v>Dr Simon Craig</v>
      </c>
      <c r="E118" s="22">
        <f>IFERROR(VLOOKUP(D118,'Employee Numbers'!$A$3:$B$84,2,FALSE),"NOT FOUND")</f>
        <v>533509</v>
      </c>
      <c r="F118" s="9" t="str">
        <f t="shared" si="32"/>
        <v/>
      </c>
      <c r="G118" s="9" t="str">
        <f t="shared" si="32"/>
        <v/>
      </c>
      <c r="H118" s="9" t="str">
        <f t="shared" si="32"/>
        <v/>
      </c>
      <c r="I118" s="9" t="str">
        <f t="shared" si="32"/>
        <v/>
      </c>
      <c r="J118" s="9" t="str">
        <f t="shared" si="32"/>
        <v/>
      </c>
      <c r="K118" s="9" t="str">
        <f t="shared" si="32"/>
        <v/>
      </c>
      <c r="L118" s="9" t="str">
        <f t="shared" si="32"/>
        <v/>
      </c>
      <c r="V118" s="143"/>
    </row>
    <row r="119" spans="1:22" ht="15" customHeight="1" thickBot="1">
      <c r="A119" s="2" t="s">
        <v>161</v>
      </c>
      <c r="B119" s="55" t="s">
        <v>162</v>
      </c>
      <c r="C119" s="21"/>
      <c r="D119" s="27" t="str">
        <f t="shared" si="31"/>
        <v>Dr Celia Bagshaw</v>
      </c>
      <c r="E119" s="22">
        <f>IFERROR(VLOOKUP(D119,'Employee Numbers'!$A$3:$B$84,2,FALSE),"NOT FOUND")</f>
        <v>625985</v>
      </c>
      <c r="F119" s="9" t="str">
        <f t="shared" si="32"/>
        <v/>
      </c>
      <c r="G119" s="9" t="str">
        <f t="shared" si="32"/>
        <v/>
      </c>
      <c r="H119" s="9" t="str">
        <f t="shared" si="32"/>
        <v>Con_8_0000</v>
      </c>
      <c r="I119" s="9" t="str">
        <f t="shared" si="32"/>
        <v/>
      </c>
      <c r="J119" s="9" t="str">
        <f t="shared" si="32"/>
        <v/>
      </c>
      <c r="K119" s="9" t="str">
        <f t="shared" si="32"/>
        <v/>
      </c>
      <c r="L119" s="9" t="str">
        <f t="shared" si="32"/>
        <v/>
      </c>
      <c r="V119" s="143"/>
    </row>
    <row r="120" spans="1:22" ht="15" customHeight="1" thickBot="1">
      <c r="A120" s="2" t="s">
        <v>161</v>
      </c>
      <c r="B120" s="55" t="s">
        <v>162</v>
      </c>
      <c r="C120" s="21"/>
      <c r="D120" s="27" t="str">
        <f t="shared" si="31"/>
        <v>Dr Adnan Bilgrami</v>
      </c>
      <c r="E120" s="22">
        <f>IFERROR(VLOOKUP(D120,'Employee Numbers'!$A$3:$B$84,2,FALSE),"NOT FOUND")</f>
        <v>632301</v>
      </c>
      <c r="F120" s="9" t="str">
        <f t="shared" si="32"/>
        <v>Con_8_0000</v>
      </c>
      <c r="G120" s="9" t="str">
        <f t="shared" si="32"/>
        <v/>
      </c>
      <c r="H120" s="9" t="str">
        <f t="shared" si="32"/>
        <v/>
      </c>
      <c r="I120" s="9" t="str">
        <f t="shared" si="32"/>
        <v/>
      </c>
      <c r="J120" s="9" t="str">
        <f t="shared" si="32"/>
        <v/>
      </c>
      <c r="K120" s="9" t="str">
        <f t="shared" si="32"/>
        <v/>
      </c>
      <c r="L120" s="9" t="str">
        <f t="shared" si="32"/>
        <v/>
      </c>
      <c r="V120" s="143"/>
    </row>
    <row r="121" spans="1:22" ht="15" customHeight="1" thickBot="1">
      <c r="A121" s="2" t="s">
        <v>161</v>
      </c>
      <c r="B121" s="55" t="s">
        <v>162</v>
      </c>
      <c r="C121" s="21"/>
      <c r="D121" s="27" t="str">
        <f t="shared" si="31"/>
        <v>Dr Preeti Ramaswamy</v>
      </c>
      <c r="E121" s="22">
        <f>IFERROR(VLOOKUP(D121,'Employee Numbers'!$A$3:$B$84,2,FALSE),"NOT FOUND")</f>
        <v>613891</v>
      </c>
      <c r="F121" s="9" t="str">
        <f t="shared" si="32"/>
        <v/>
      </c>
      <c r="G121" s="9" t="str">
        <f t="shared" si="32"/>
        <v/>
      </c>
      <c r="H121" s="9" t="str">
        <f t="shared" si="32"/>
        <v/>
      </c>
      <c r="I121" s="9" t="str">
        <f t="shared" si="32"/>
        <v/>
      </c>
      <c r="J121" s="9" t="str">
        <f t="shared" si="32"/>
        <v/>
      </c>
      <c r="K121" s="9" t="str">
        <f t="shared" si="32"/>
        <v/>
      </c>
      <c r="L121" s="9" t="str">
        <f t="shared" si="32"/>
        <v/>
      </c>
      <c r="N121" s="2"/>
      <c r="O121" s="2"/>
      <c r="P121" s="2"/>
      <c r="Q121" s="2"/>
      <c r="R121" s="2"/>
      <c r="V121" s="143"/>
    </row>
    <row r="122" spans="1:22" ht="15" customHeight="1" thickBot="1">
      <c r="A122" s="2" t="s">
        <v>161</v>
      </c>
      <c r="B122" s="55" t="s">
        <v>162</v>
      </c>
      <c r="C122" s="21"/>
      <c r="D122" s="27" t="str">
        <f t="shared" si="31"/>
        <v>Dr Erin Mills</v>
      </c>
      <c r="E122" s="22">
        <f>IFERROR(VLOOKUP(D122,'Employee Numbers'!$A$3:$B$84,2,FALSE),"NOT FOUND")</f>
        <v>623657</v>
      </c>
      <c r="F122" s="9" t="str">
        <f t="shared" si="32"/>
        <v/>
      </c>
      <c r="G122" s="9" t="str">
        <f t="shared" si="32"/>
        <v/>
      </c>
      <c r="H122" s="9" t="str">
        <f t="shared" si="32"/>
        <v/>
      </c>
      <c r="I122" s="9" t="str">
        <f t="shared" si="32"/>
        <v/>
      </c>
      <c r="J122" s="9" t="str">
        <f t="shared" si="32"/>
        <v/>
      </c>
      <c r="K122" s="9" t="str">
        <f t="shared" si="32"/>
        <v/>
      </c>
      <c r="L122" s="9" t="str">
        <f t="shared" si="32"/>
        <v/>
      </c>
      <c r="V122" s="143"/>
    </row>
    <row r="123" spans="1:22" ht="15" customHeight="1" thickBot="1">
      <c r="A123" s="2" t="s">
        <v>161</v>
      </c>
      <c r="B123" s="55" t="s">
        <v>162</v>
      </c>
      <c r="C123" s="21"/>
      <c r="D123" s="27" t="str">
        <f t="shared" si="31"/>
        <v>Dr Stella Robinson</v>
      </c>
      <c r="E123" s="22">
        <f>IFERROR(VLOOKUP(D123,'Employee Numbers'!$A$3:$B$84,2,FALSE),"NOT FOUND")</f>
        <v>623708</v>
      </c>
      <c r="F123" s="9" t="str">
        <f t="shared" si="32"/>
        <v/>
      </c>
      <c r="G123" s="9" t="str">
        <f t="shared" si="32"/>
        <v/>
      </c>
      <c r="H123" s="9" t="str">
        <f t="shared" si="32"/>
        <v/>
      </c>
      <c r="I123" s="9" t="str">
        <f t="shared" si="32"/>
        <v/>
      </c>
      <c r="J123" s="9" t="str">
        <f t="shared" si="32"/>
        <v/>
      </c>
      <c r="K123" s="9" t="str">
        <f t="shared" si="32"/>
        <v>Con_8_0000</v>
      </c>
      <c r="L123" s="9" t="str">
        <f t="shared" si="32"/>
        <v/>
      </c>
      <c r="V123" s="143"/>
    </row>
    <row r="124" spans="1:22" ht="15" customHeight="1" thickBot="1">
      <c r="A124" s="2" t="s">
        <v>161</v>
      </c>
      <c r="B124" s="55" t="s">
        <v>162</v>
      </c>
      <c r="C124" s="21"/>
      <c r="D124" s="27" t="str">
        <f t="shared" si="31"/>
        <v>Dr Bev Thompson</v>
      </c>
      <c r="E124" s="22">
        <f>IFERROR(VLOOKUP(D124,'Employee Numbers'!$A$3:$B$84,2,FALSE),"NOT FOUND")</f>
        <v>627680</v>
      </c>
      <c r="F124" s="9" t="str">
        <f t="shared" si="32"/>
        <v/>
      </c>
      <c r="G124" s="9" t="str">
        <f t="shared" si="32"/>
        <v/>
      </c>
      <c r="H124" s="9" t="str">
        <f t="shared" si="32"/>
        <v/>
      </c>
      <c r="I124" s="9" t="str">
        <f t="shared" si="32"/>
        <v>Con_8_0000</v>
      </c>
      <c r="J124" s="9" t="str">
        <f t="shared" si="32"/>
        <v/>
      </c>
      <c r="K124" s="9" t="str">
        <f t="shared" si="32"/>
        <v/>
      </c>
      <c r="L124" s="9" t="str">
        <f t="shared" si="32"/>
        <v/>
      </c>
      <c r="V124" s="143"/>
    </row>
    <row r="125" spans="1:22" ht="15" customHeight="1" thickBot="1">
      <c r="A125" s="2" t="s">
        <v>161</v>
      </c>
      <c r="B125" s="55" t="s">
        <v>162</v>
      </c>
      <c r="C125" s="21"/>
      <c r="D125" s="27" t="str">
        <f t="shared" si="31"/>
        <v>Dr John Unwin</v>
      </c>
      <c r="E125" s="22">
        <f>IFERROR(VLOOKUP(D125,'Employee Numbers'!$A$3:$B$84,2,FALSE),"NOT FOUND")</f>
        <v>633210</v>
      </c>
      <c r="F125" s="9" t="str">
        <f t="shared" si="32"/>
        <v/>
      </c>
      <c r="G125" s="9" t="str">
        <f t="shared" si="32"/>
        <v/>
      </c>
      <c r="H125" s="9" t="str">
        <f t="shared" si="32"/>
        <v/>
      </c>
      <c r="I125" s="9" t="str">
        <f t="shared" si="32"/>
        <v/>
      </c>
      <c r="J125" s="9" t="str">
        <f t="shared" si="32"/>
        <v/>
      </c>
      <c r="K125" s="9" t="str">
        <f t="shared" si="32"/>
        <v/>
      </c>
      <c r="L125" s="9" t="str">
        <f t="shared" si="32"/>
        <v/>
      </c>
      <c r="V125" s="143"/>
    </row>
    <row r="126" spans="1:22" ht="15" customHeight="1" thickBot="1">
      <c r="A126" s="2" t="s">
        <v>161</v>
      </c>
      <c r="B126" s="55" t="s">
        <v>162</v>
      </c>
      <c r="C126" s="21"/>
      <c r="D126" s="27" t="str">
        <f t="shared" si="31"/>
        <v>Dr Siri Samudrala</v>
      </c>
      <c r="E126" s="22">
        <f>IFERROR(VLOOKUP(D126,'Employee Numbers'!$A$3:$B$84,2,FALSE),"NOT FOUND")</f>
        <v>618952</v>
      </c>
      <c r="F126" s="9" t="str">
        <f t="shared" si="32"/>
        <v/>
      </c>
      <c r="G126" s="9" t="str">
        <f t="shared" si="32"/>
        <v/>
      </c>
      <c r="H126" s="9" t="str">
        <f t="shared" si="32"/>
        <v/>
      </c>
      <c r="I126" s="9" t="str">
        <f t="shared" si="32"/>
        <v/>
      </c>
      <c r="J126" s="9" t="str">
        <f t="shared" si="32"/>
        <v/>
      </c>
      <c r="K126" s="9" t="str">
        <f t="shared" si="32"/>
        <v/>
      </c>
      <c r="L126" s="9" t="str">
        <f t="shared" si="32"/>
        <v/>
      </c>
      <c r="V126" s="143"/>
    </row>
    <row r="127" spans="1:22" ht="15" customHeight="1" thickBot="1">
      <c r="A127" s="2" t="s">
        <v>161</v>
      </c>
      <c r="B127" s="55" t="s">
        <v>162</v>
      </c>
      <c r="C127" s="21"/>
      <c r="D127" s="27" t="str">
        <f t="shared" si="31"/>
        <v>Dr Tessa Smith</v>
      </c>
      <c r="E127" s="22">
        <f>IFERROR(VLOOKUP(D127,'Employee Numbers'!$A$3:$B$84,2,FALSE),"NOT FOUND")</f>
        <v>649039</v>
      </c>
      <c r="F127" s="9" t="str">
        <f t="shared" si="32"/>
        <v/>
      </c>
      <c r="G127" s="9" t="str">
        <f t="shared" si="32"/>
        <v/>
      </c>
      <c r="H127" s="9" t="str">
        <f t="shared" si="32"/>
        <v/>
      </c>
      <c r="I127" s="9" t="str">
        <f t="shared" si="32"/>
        <v/>
      </c>
      <c r="J127" s="9" t="str">
        <f t="shared" si="32"/>
        <v/>
      </c>
      <c r="K127" s="9" t="str">
        <f t="shared" si="32"/>
        <v/>
      </c>
      <c r="L127" s="9" t="str">
        <f t="shared" si="32"/>
        <v/>
      </c>
      <c r="V127" s="143"/>
    </row>
    <row r="128" spans="1:22" ht="15" customHeight="1" thickBot="1">
      <c r="A128" s="2" t="s">
        <v>161</v>
      </c>
      <c r="B128" s="55" t="s">
        <v>162</v>
      </c>
      <c r="C128" s="21"/>
      <c r="D128" s="27" t="str">
        <f t="shared" si="31"/>
        <v>Dr Brad Dent</v>
      </c>
      <c r="E128" s="22">
        <f>IFERROR(VLOOKUP(D128,'Employee Numbers'!$A$3:$B$84,2,FALSE),"NOT FOUND")</f>
        <v>649671</v>
      </c>
      <c r="F128" s="9" t="str">
        <f t="shared" si="32"/>
        <v/>
      </c>
      <c r="G128" s="9" t="str">
        <f t="shared" si="32"/>
        <v/>
      </c>
      <c r="H128" s="9" t="str">
        <f t="shared" si="32"/>
        <v/>
      </c>
      <c r="I128" s="9" t="str">
        <f t="shared" si="32"/>
        <v/>
      </c>
      <c r="J128" s="9" t="str">
        <f t="shared" si="32"/>
        <v/>
      </c>
      <c r="K128" s="9" t="str">
        <f t="shared" si="32"/>
        <v/>
      </c>
      <c r="L128" s="9" t="str">
        <f t="shared" si="32"/>
        <v/>
      </c>
      <c r="V128" s="143"/>
    </row>
    <row r="129" spans="1:22" ht="15" customHeight="1" thickBot="1">
      <c r="A129" s="2" t="s">
        <v>161</v>
      </c>
      <c r="B129" s="55" t="s">
        <v>162</v>
      </c>
      <c r="C129" s="21"/>
      <c r="D129" s="27" t="str">
        <f t="shared" si="31"/>
        <v>Dr Marjolein Slaa</v>
      </c>
      <c r="E129" s="22">
        <f>IFERROR(VLOOKUP(D129,'Employee Numbers'!$A$3:$B$84,2,FALSE),"NOT FOUND")</f>
        <v>646047</v>
      </c>
      <c r="F129" s="9" t="str">
        <f t="shared" si="32"/>
        <v/>
      </c>
      <c r="G129" s="9" t="str">
        <f t="shared" si="32"/>
        <v/>
      </c>
      <c r="H129" s="9" t="str">
        <f t="shared" si="32"/>
        <v/>
      </c>
      <c r="I129" s="9" t="str">
        <f t="shared" si="32"/>
        <v/>
      </c>
      <c r="J129" s="9" t="str">
        <f t="shared" si="32"/>
        <v/>
      </c>
      <c r="K129" s="9" t="str">
        <f t="shared" si="32"/>
        <v/>
      </c>
      <c r="L129" s="9" t="str">
        <f t="shared" si="32"/>
        <v/>
      </c>
      <c r="V129" s="143"/>
    </row>
    <row r="130" spans="1:22" ht="15" customHeight="1" thickBot="1">
      <c r="A130" s="2" t="s">
        <v>161</v>
      </c>
      <c r="B130" s="55" t="s">
        <v>162</v>
      </c>
      <c r="C130" s="21"/>
      <c r="D130" s="27" t="str">
        <f t="shared" si="31"/>
        <v>Dr Natalie Hood</v>
      </c>
      <c r="E130" s="22">
        <f>IFERROR(VLOOKUP(D130,'Employee Numbers'!$A$3:$B$84,2,FALSE),"NOT FOUND")</f>
        <v>164003</v>
      </c>
      <c r="F130" s="9" t="str">
        <f t="shared" si="32"/>
        <v/>
      </c>
      <c r="G130" s="9" t="str">
        <f t="shared" si="32"/>
        <v/>
      </c>
      <c r="H130" s="9" t="str">
        <f t="shared" si="32"/>
        <v/>
      </c>
      <c r="I130" s="9" t="str">
        <f t="shared" si="32"/>
        <v/>
      </c>
      <c r="J130" s="9" t="str">
        <f t="shared" si="32"/>
        <v/>
      </c>
      <c r="K130" s="9" t="str">
        <f t="shared" si="32"/>
        <v/>
      </c>
      <c r="L130" s="9" t="str">
        <f t="shared" si="32"/>
        <v/>
      </c>
      <c r="V130" s="143"/>
    </row>
    <row r="131" spans="1:22" ht="15" customHeight="1" thickBot="1">
      <c r="A131" s="2" t="s">
        <v>161</v>
      </c>
      <c r="B131" s="55" t="s">
        <v>162</v>
      </c>
      <c r="C131" s="21"/>
      <c r="D131" s="27" t="str">
        <f t="shared" si="31"/>
        <v>Dr Michael Coman</v>
      </c>
      <c r="E131" s="22">
        <f>IFERROR(VLOOKUP(D131,'Employee Numbers'!$A$3:$B$84,2,FALSE),"NOT FOUND")</f>
        <v>609408</v>
      </c>
      <c r="F131" s="9" t="str">
        <f t="shared" ref="F131:L143" si="33">IF(F$50=$D131,"Con_8_0000","")</f>
        <v/>
      </c>
      <c r="G131" s="9" t="str">
        <f t="shared" si="33"/>
        <v/>
      </c>
      <c r="H131" s="9" t="str">
        <f t="shared" si="33"/>
        <v/>
      </c>
      <c r="I131" s="9" t="str">
        <f t="shared" si="33"/>
        <v/>
      </c>
      <c r="J131" s="9" t="str">
        <f t="shared" si="33"/>
        <v/>
      </c>
      <c r="K131" s="9" t="str">
        <f t="shared" si="33"/>
        <v/>
      </c>
      <c r="L131" s="9" t="str">
        <f t="shared" si="33"/>
        <v/>
      </c>
      <c r="V131" s="143"/>
    </row>
    <row r="132" spans="1:22" ht="15" customHeight="1" thickBot="1">
      <c r="A132" s="2" t="s">
        <v>161</v>
      </c>
      <c r="B132" s="55" t="s">
        <v>162</v>
      </c>
      <c r="C132" s="21"/>
      <c r="D132" s="27" t="str">
        <f t="shared" si="31"/>
        <v>Dr Andrew Hardy</v>
      </c>
      <c r="E132" s="22">
        <f>IFERROR(VLOOKUP(D132,'Employee Numbers'!$A$3:$B$84,2,FALSE),"NOT FOUND")</f>
        <v>627619</v>
      </c>
      <c r="F132" s="9" t="str">
        <f t="shared" si="33"/>
        <v/>
      </c>
      <c r="G132" s="9" t="str">
        <f t="shared" si="33"/>
        <v/>
      </c>
      <c r="H132" s="9" t="str">
        <f t="shared" si="33"/>
        <v/>
      </c>
      <c r="I132" s="9" t="str">
        <f t="shared" si="33"/>
        <v/>
      </c>
      <c r="J132" s="9" t="str">
        <f t="shared" si="33"/>
        <v/>
      </c>
      <c r="K132" s="9" t="str">
        <f t="shared" si="33"/>
        <v/>
      </c>
      <c r="L132" s="9" t="str">
        <f t="shared" si="33"/>
        <v/>
      </c>
      <c r="V132" s="143"/>
    </row>
    <row r="133" spans="1:22" ht="15" customHeight="1" thickBot="1">
      <c r="A133" s="2" t="s">
        <v>161</v>
      </c>
      <c r="B133" s="55" t="s">
        <v>162</v>
      </c>
      <c r="C133" s="21"/>
      <c r="D133" s="27" t="str">
        <f t="shared" si="31"/>
        <v>Dr Gargi Kanabar</v>
      </c>
      <c r="E133" s="22">
        <f>IFERROR(VLOOKUP(D133,'Employee Numbers'!$A$3:$B$84,2,FALSE),"NOT FOUND")</f>
        <v>632646</v>
      </c>
      <c r="F133" s="9" t="str">
        <f t="shared" si="33"/>
        <v/>
      </c>
      <c r="G133" s="9" t="str">
        <f t="shared" si="33"/>
        <v/>
      </c>
      <c r="H133" s="9" t="str">
        <f t="shared" si="33"/>
        <v/>
      </c>
      <c r="I133" s="9" t="str">
        <f t="shared" si="33"/>
        <v/>
      </c>
      <c r="J133" s="9" t="str">
        <f t="shared" si="33"/>
        <v>Con_8_0000</v>
      </c>
      <c r="K133" s="9" t="str">
        <f t="shared" si="33"/>
        <v/>
      </c>
      <c r="L133" s="9" t="str">
        <f t="shared" si="33"/>
        <v/>
      </c>
      <c r="V133" s="143"/>
    </row>
    <row r="134" spans="1:22" ht="15" customHeight="1" thickBot="1">
      <c r="A134" s="2" t="s">
        <v>161</v>
      </c>
      <c r="B134" s="55" t="s">
        <v>162</v>
      </c>
      <c r="C134" s="21"/>
      <c r="D134" s="27" t="str">
        <f t="shared" si="31"/>
        <v>Dr Mandy Parr</v>
      </c>
      <c r="E134" s="22">
        <f>IFERROR(VLOOKUP(D134,'Employee Numbers'!$A$3:$B$84,2,FALSE),"NOT FOUND")</f>
        <v>652844</v>
      </c>
      <c r="F134" s="9" t="str">
        <f t="shared" si="33"/>
        <v/>
      </c>
      <c r="G134" s="9" t="str">
        <f t="shared" si="33"/>
        <v/>
      </c>
      <c r="H134" s="9" t="str">
        <f t="shared" si="33"/>
        <v/>
      </c>
      <c r="I134" s="9" t="str">
        <f t="shared" si="33"/>
        <v/>
      </c>
      <c r="J134" s="9" t="str">
        <f t="shared" si="33"/>
        <v/>
      </c>
      <c r="K134" s="9" t="str">
        <f t="shared" si="33"/>
        <v/>
      </c>
      <c r="L134" s="9" t="str">
        <f t="shared" si="33"/>
        <v/>
      </c>
      <c r="V134" s="143"/>
    </row>
    <row r="135" spans="1:22" ht="15" customHeight="1" thickBot="1">
      <c r="A135" s="2" t="s">
        <v>161</v>
      </c>
      <c r="B135" s="55" t="s">
        <v>162</v>
      </c>
      <c r="C135" s="21"/>
      <c r="D135" s="27" t="str">
        <f t="shared" si="31"/>
        <v>Dr Tecwyn Davies</v>
      </c>
      <c r="E135" s="22">
        <f>IFERROR(VLOOKUP(D135,'Employee Numbers'!$A$3:$B$84,2,FALSE),"NOT FOUND")</f>
        <v>634491</v>
      </c>
      <c r="F135" s="9" t="str">
        <f t="shared" si="33"/>
        <v/>
      </c>
      <c r="G135" s="9" t="str">
        <f t="shared" si="33"/>
        <v/>
      </c>
      <c r="H135" s="9" t="str">
        <f t="shared" si="33"/>
        <v/>
      </c>
      <c r="I135" s="9" t="str">
        <f t="shared" si="33"/>
        <v/>
      </c>
      <c r="J135" s="9" t="str">
        <f t="shared" si="33"/>
        <v/>
      </c>
      <c r="K135" s="9" t="str">
        <f t="shared" si="33"/>
        <v/>
      </c>
      <c r="L135" s="9" t="str">
        <f t="shared" si="33"/>
        <v/>
      </c>
      <c r="V135" s="143"/>
    </row>
    <row r="136" spans="1:22" ht="15" customHeight="1" thickBot="1">
      <c r="A136" s="2" t="s">
        <v>161</v>
      </c>
      <c r="B136" s="55" t="s">
        <v>162</v>
      </c>
      <c r="C136" s="21"/>
      <c r="D136" s="27" t="str">
        <f t="shared" si="31"/>
        <v>Dr Patrick Finn</v>
      </c>
      <c r="E136" s="22">
        <f>IFERROR(VLOOKUP(D136,'Employee Numbers'!$A$3:$B$84,2,FALSE),"NOT FOUND")</f>
        <v>621988</v>
      </c>
      <c r="F136" s="9" t="str">
        <f t="shared" si="33"/>
        <v/>
      </c>
      <c r="G136" s="9" t="str">
        <f t="shared" si="33"/>
        <v/>
      </c>
      <c r="H136" s="9" t="str">
        <f t="shared" si="33"/>
        <v/>
      </c>
      <c r="I136" s="9" t="str">
        <f t="shared" si="33"/>
        <v/>
      </c>
      <c r="J136" s="9" t="str">
        <f t="shared" si="33"/>
        <v/>
      </c>
      <c r="K136" s="9" t="str">
        <f t="shared" si="33"/>
        <v/>
      </c>
      <c r="L136" s="9" t="str">
        <f t="shared" si="33"/>
        <v/>
      </c>
      <c r="V136" s="143"/>
    </row>
    <row r="137" spans="1:22" ht="15" customHeight="1" thickBot="1">
      <c r="A137" s="2" t="s">
        <v>161</v>
      </c>
      <c r="B137" s="55" t="s">
        <v>162</v>
      </c>
      <c r="C137" s="21"/>
      <c r="D137" s="27" t="str">
        <f t="shared" si="31"/>
        <v>Dr Chris Fong</v>
      </c>
      <c r="E137" s="22">
        <f>IFERROR(VLOOKUP(D137,'Employee Numbers'!$A$3:$B$84,2,FALSE),"NOT FOUND")</f>
        <v>409677</v>
      </c>
      <c r="F137" s="9" t="str">
        <f t="shared" si="33"/>
        <v/>
      </c>
      <c r="G137" s="9" t="str">
        <f t="shared" si="33"/>
        <v/>
      </c>
      <c r="H137" s="9" t="str">
        <f t="shared" si="33"/>
        <v/>
      </c>
      <c r="I137" s="9" t="str">
        <f t="shared" si="33"/>
        <v/>
      </c>
      <c r="J137" s="9" t="str">
        <f t="shared" si="33"/>
        <v/>
      </c>
      <c r="K137" s="9" t="str">
        <f t="shared" si="33"/>
        <v/>
      </c>
      <c r="L137" s="9" t="str">
        <f t="shared" si="33"/>
        <v/>
      </c>
      <c r="V137" s="143"/>
    </row>
    <row r="138" spans="1:22" s="13" customFormat="1" ht="15" customHeight="1" thickBot="1">
      <c r="A138" s="2" t="s">
        <v>161</v>
      </c>
      <c r="B138" s="55" t="s">
        <v>162</v>
      </c>
      <c r="C138" s="21"/>
      <c r="D138" s="27" t="str">
        <f t="shared" si="31"/>
        <v>Dr Matthew Tang</v>
      </c>
      <c r="E138" s="22">
        <f>IFERROR(VLOOKUP(D138,'Employee Numbers'!$A$3:$B$84,2,FALSE),"NOT FOUND")</f>
        <v>632590</v>
      </c>
      <c r="F138" s="9" t="str">
        <f t="shared" si="33"/>
        <v/>
      </c>
      <c r="G138" s="9" t="str">
        <f t="shared" si="33"/>
        <v>Con_8_0000</v>
      </c>
      <c r="H138" s="9" t="str">
        <f t="shared" si="33"/>
        <v/>
      </c>
      <c r="I138" s="9" t="str">
        <f t="shared" si="33"/>
        <v/>
      </c>
      <c r="J138" s="9" t="str">
        <f t="shared" si="33"/>
        <v/>
      </c>
      <c r="K138" s="9" t="str">
        <f t="shared" si="33"/>
        <v/>
      </c>
      <c r="L138" s="9" t="str">
        <f t="shared" si="33"/>
        <v/>
      </c>
      <c r="M138" s="5"/>
      <c r="N138" s="5"/>
      <c r="O138" s="5"/>
      <c r="P138" s="5"/>
      <c r="Q138" s="5"/>
      <c r="R138" s="5"/>
      <c r="V138" s="144"/>
    </row>
    <row r="139" spans="1:22" s="13" customFormat="1" ht="15" customHeight="1" thickBot="1">
      <c r="A139" s="2" t="s">
        <v>161</v>
      </c>
      <c r="B139" s="55" t="s">
        <v>162</v>
      </c>
      <c r="C139" s="21"/>
      <c r="D139" s="27" t="str">
        <f t="shared" si="31"/>
        <v>Dr Niki Talic</v>
      </c>
      <c r="E139" s="22">
        <f>IFERROR(VLOOKUP(D139,'Employee Numbers'!$A$3:$B$84,2,FALSE),"NOT FOUND")</f>
        <v>619537</v>
      </c>
      <c r="F139" s="9" t="str">
        <f t="shared" si="33"/>
        <v/>
      </c>
      <c r="G139" s="9" t="str">
        <f t="shared" si="33"/>
        <v/>
      </c>
      <c r="H139" s="9" t="str">
        <f t="shared" si="33"/>
        <v/>
      </c>
      <c r="I139" s="9" t="str">
        <f t="shared" si="33"/>
        <v/>
      </c>
      <c r="J139" s="9" t="str">
        <f t="shared" si="33"/>
        <v/>
      </c>
      <c r="K139" s="9" t="str">
        <f t="shared" si="33"/>
        <v/>
      </c>
      <c r="L139" s="9" t="str">
        <f t="shared" si="33"/>
        <v/>
      </c>
      <c r="M139" s="5"/>
      <c r="N139" s="5"/>
      <c r="O139" s="5"/>
      <c r="P139" s="5"/>
      <c r="Q139" s="5"/>
      <c r="R139" s="5"/>
      <c r="V139" s="144"/>
    </row>
    <row r="140" spans="1:22" s="13" customFormat="1" ht="15" customHeight="1" thickBot="1">
      <c r="A140" s="2" t="s">
        <v>161</v>
      </c>
      <c r="B140" s="55" t="s">
        <v>162</v>
      </c>
      <c r="C140" s="21"/>
      <c r="D140" s="27" t="str">
        <f t="shared" si="31"/>
        <v>Dr Deb Morawetz</v>
      </c>
      <c r="E140" s="22">
        <f>IFERROR(VLOOKUP(D140,'Employee Numbers'!$A$3:$B$84,2,FALSE),"NOT FOUND")</f>
        <v>621953</v>
      </c>
      <c r="F140" s="9" t="str">
        <f t="shared" si="33"/>
        <v/>
      </c>
      <c r="G140" s="9" t="str">
        <f t="shared" si="33"/>
        <v/>
      </c>
      <c r="H140" s="9" t="str">
        <f t="shared" si="33"/>
        <v/>
      </c>
      <c r="I140" s="9" t="str">
        <f t="shared" si="33"/>
        <v/>
      </c>
      <c r="J140" s="9" t="str">
        <f t="shared" si="33"/>
        <v/>
      </c>
      <c r="K140" s="9" t="str">
        <f t="shared" si="33"/>
        <v/>
      </c>
      <c r="L140" s="9" t="str">
        <f t="shared" si="33"/>
        <v/>
      </c>
      <c r="M140" s="5"/>
      <c r="N140" s="5"/>
      <c r="O140" s="5"/>
      <c r="P140" s="5"/>
      <c r="Q140" s="5"/>
      <c r="R140" s="5"/>
      <c r="V140" s="144"/>
    </row>
    <row r="141" spans="1:22" s="13" customFormat="1" ht="15" customHeight="1" thickBot="1">
      <c r="A141" s="2" t="s">
        <v>161</v>
      </c>
      <c r="B141" s="55" t="s">
        <v>162</v>
      </c>
      <c r="C141" s="21"/>
      <c r="D141" s="27" t="str">
        <f t="shared" si="31"/>
        <v>Dr Priya Jeyaveerasingam</v>
      </c>
      <c r="E141" s="22">
        <f>IFERROR(VLOOKUP(D141,'Employee Numbers'!$A$3:$B$84,2,FALSE),"NOT FOUND")</f>
        <v>614504</v>
      </c>
      <c r="F141" s="9" t="str">
        <f t="shared" si="33"/>
        <v/>
      </c>
      <c r="G141" s="9" t="str">
        <f t="shared" si="33"/>
        <v/>
      </c>
      <c r="H141" s="9" t="str">
        <f t="shared" si="33"/>
        <v/>
      </c>
      <c r="I141" s="9" t="str">
        <f t="shared" si="33"/>
        <v/>
      </c>
      <c r="J141" s="9" t="str">
        <f t="shared" si="33"/>
        <v/>
      </c>
      <c r="K141" s="9" t="str">
        <f t="shared" si="33"/>
        <v/>
      </c>
      <c r="L141" s="9" t="str">
        <f t="shared" si="33"/>
        <v/>
      </c>
      <c r="M141" s="5"/>
      <c r="N141" s="5"/>
      <c r="O141" s="5"/>
      <c r="P141" s="5"/>
      <c r="Q141" s="5"/>
      <c r="R141" s="5"/>
      <c r="V141" s="144"/>
    </row>
    <row r="142" spans="1:22" s="13" customFormat="1" ht="15" customHeight="1" thickBot="1">
      <c r="A142" s="2" t="s">
        <v>161</v>
      </c>
      <c r="B142" s="55" t="s">
        <v>162</v>
      </c>
      <c r="C142" s="21"/>
      <c r="D142" s="27" t="str">
        <f t="shared" si="31"/>
        <v>Locum</v>
      </c>
      <c r="E142" s="22" t="str">
        <f>IFERROR(VLOOKUP(D142,'Employee Numbers'!$A$3:$B$84,2,FALSE),"NOT FOUND")</f>
        <v>N/A</v>
      </c>
      <c r="F142" s="9" t="str">
        <f t="shared" si="33"/>
        <v/>
      </c>
      <c r="G142" s="9" t="str">
        <f t="shared" si="33"/>
        <v/>
      </c>
      <c r="H142" s="9" t="str">
        <f t="shared" si="33"/>
        <v/>
      </c>
      <c r="I142" s="9" t="str">
        <f t="shared" si="33"/>
        <v/>
      </c>
      <c r="J142" s="9" t="str">
        <f t="shared" si="33"/>
        <v/>
      </c>
      <c r="K142" s="9" t="str">
        <f t="shared" si="33"/>
        <v/>
      </c>
      <c r="L142" s="9" t="str">
        <f t="shared" si="33"/>
        <v/>
      </c>
      <c r="M142" s="5"/>
      <c r="N142" s="5"/>
      <c r="O142" s="5"/>
      <c r="P142" s="5"/>
      <c r="Q142" s="5"/>
      <c r="R142" s="5"/>
      <c r="V142" s="144"/>
    </row>
    <row r="143" spans="1:22" s="13" customFormat="1" ht="15" customHeight="1">
      <c r="A143" s="2" t="s">
        <v>161</v>
      </c>
      <c r="B143" s="55" t="s">
        <v>162</v>
      </c>
      <c r="C143" s="21"/>
      <c r="D143" s="27" t="str">
        <f t="shared" si="31"/>
        <v>Locum</v>
      </c>
      <c r="E143" s="22" t="str">
        <f>IFERROR(VLOOKUP(D143,'Employee Numbers'!$A$3:$B$84,2,FALSE),"NOT FOUND")</f>
        <v>N/A</v>
      </c>
      <c r="F143" s="9" t="str">
        <f t="shared" si="33"/>
        <v/>
      </c>
      <c r="G143" s="9" t="str">
        <f t="shared" si="33"/>
        <v/>
      </c>
      <c r="H143" s="9" t="str">
        <f t="shared" si="33"/>
        <v/>
      </c>
      <c r="I143" s="9" t="str">
        <f t="shared" si="33"/>
        <v/>
      </c>
      <c r="J143" s="9" t="str">
        <f t="shared" si="33"/>
        <v/>
      </c>
      <c r="K143" s="9" t="str">
        <f t="shared" si="33"/>
        <v/>
      </c>
      <c r="L143" s="9" t="str">
        <f t="shared" si="33"/>
        <v/>
      </c>
      <c r="M143" s="5"/>
      <c r="N143" s="5"/>
      <c r="O143" s="5"/>
      <c r="P143" s="5"/>
      <c r="Q143" s="5"/>
      <c r="R143" s="5"/>
      <c r="V143" s="144"/>
    </row>
    <row r="144" spans="1:22" ht="15" customHeight="1" thickBot="1">
      <c r="V144" s="143"/>
    </row>
    <row r="145" spans="1:22" s="2" customFormat="1" ht="15" customHeight="1" thickBot="1">
      <c r="A145" s="172" t="s">
        <v>86</v>
      </c>
      <c r="B145" s="48" t="s">
        <v>163</v>
      </c>
      <c r="C145" s="49" t="s">
        <v>164</v>
      </c>
      <c r="D145" s="173" t="str">
        <f>D53</f>
        <v xml:space="preserve">Fellow </v>
      </c>
      <c r="E145" s="20" t="s">
        <v>4</v>
      </c>
      <c r="F145" s="12" t="s">
        <v>5</v>
      </c>
      <c r="G145" s="83" t="s">
        <v>6</v>
      </c>
      <c r="H145" s="83" t="s">
        <v>7</v>
      </c>
      <c r="I145" s="83" t="s">
        <v>8</v>
      </c>
      <c r="J145" s="83" t="s">
        <v>9</v>
      </c>
      <c r="K145" s="83" t="s">
        <v>10</v>
      </c>
      <c r="L145" s="23" t="s">
        <v>11</v>
      </c>
      <c r="M145" s="23" t="s">
        <v>165</v>
      </c>
      <c r="N145" s="5"/>
      <c r="O145" s="5"/>
      <c r="P145" s="5"/>
      <c r="Q145" s="5"/>
      <c r="R145" s="5"/>
      <c r="V145" s="142"/>
    </row>
    <row r="146" spans="1:22" ht="15" customHeight="1" thickBot="1">
      <c r="A146" s="2" t="s">
        <v>166</v>
      </c>
      <c r="B146" s="2"/>
      <c r="C146" s="21"/>
      <c r="D146" s="84" t="str">
        <f>D54</f>
        <v>Ellen Scott (0.75)</v>
      </c>
      <c r="E146" s="22">
        <f>IFERROR(VLOOKUP(D146,'Employee Numbers'!$A$3:$B$84,2,FALSE),"NOT FOUND")</f>
        <v>634905</v>
      </c>
      <c r="F146" s="38"/>
      <c r="G146" s="31"/>
      <c r="H146" s="31" t="s">
        <v>167</v>
      </c>
      <c r="I146" s="38"/>
      <c r="J146" s="38"/>
      <c r="K146" s="38"/>
      <c r="L146" s="38"/>
      <c r="M146" s="35" t="s">
        <v>168</v>
      </c>
      <c r="V146" s="143"/>
    </row>
    <row r="147" spans="1:22" ht="15" customHeight="1" thickBot="1">
      <c r="A147" s="2" t="s">
        <v>166</v>
      </c>
      <c r="B147" s="2"/>
      <c r="C147" s="21"/>
      <c r="D147" s="84" t="str">
        <f t="shared" ref="D147:D151" si="34">D55</f>
        <v>Seamus Harrington</v>
      </c>
      <c r="E147" s="22">
        <f>IFERROR(VLOOKUP(D147,'Employee Numbers'!$A$3:$B$84,2,FALSE),"NOT FOUND")</f>
        <v>704751</v>
      </c>
      <c r="F147" s="38"/>
      <c r="G147" s="31"/>
      <c r="H147" s="31" t="str">
        <f t="shared" ref="H147:H148" si="35">IF(COUNTIF(H55,"0800-1730*"),"trg_5_1730","trg_5_0900")</f>
        <v>trg_5_0900</v>
      </c>
      <c r="I147" s="38"/>
      <c r="J147" s="38"/>
      <c r="K147" s="38"/>
      <c r="L147" s="38"/>
      <c r="M147" s="35" t="s">
        <v>168</v>
      </c>
      <c r="V147" s="143"/>
    </row>
    <row r="148" spans="1:22" ht="15" customHeight="1" thickBot="1">
      <c r="A148" s="2" t="s">
        <v>166</v>
      </c>
      <c r="B148" s="2"/>
      <c r="C148" s="21"/>
      <c r="D148" s="84" t="str">
        <f t="shared" si="34"/>
        <v>Antra Ansons</v>
      </c>
      <c r="E148" s="22">
        <f>IFERROR(VLOOKUP(D148,'Employee Numbers'!$A$3:$B$84,2,FALSE),"NOT FOUND")</f>
        <v>637219</v>
      </c>
      <c r="F148" s="38"/>
      <c r="G148" s="31"/>
      <c r="H148" s="31" t="str">
        <f t="shared" si="35"/>
        <v>trg_5_0900</v>
      </c>
      <c r="I148" s="38"/>
      <c r="J148" s="38"/>
      <c r="K148" s="38"/>
      <c r="L148" s="38"/>
      <c r="M148" s="35" t="s">
        <v>168</v>
      </c>
      <c r="V148" s="143"/>
    </row>
    <row r="149" spans="1:22" ht="15" customHeight="1" thickBot="1">
      <c r="A149" s="2" t="s">
        <v>166</v>
      </c>
      <c r="B149" s="2"/>
      <c r="C149" s="21"/>
      <c r="D149" s="84">
        <f t="shared" si="34"/>
        <v>0</v>
      </c>
      <c r="E149" s="22" t="str">
        <f>IFERROR(VLOOKUP(D149,'Employee Numbers'!$A$3:$B$84,2,FALSE),"NOT FOUND")</f>
        <v>NOT FOUND</v>
      </c>
      <c r="F149" s="38"/>
      <c r="G149" s="31"/>
      <c r="H149" s="31" t="str">
        <f t="shared" ref="H149:H151" si="36">IF(COUNTIF(H57,"0800-1730*"),"trg_2.5_1730","trg_2.5_0900")</f>
        <v>trg_2.5_0900</v>
      </c>
      <c r="I149" s="38"/>
      <c r="J149" s="38"/>
      <c r="K149" s="38"/>
      <c r="L149" s="38"/>
      <c r="M149" s="35" t="s">
        <v>168</v>
      </c>
      <c r="V149" s="143"/>
    </row>
    <row r="150" spans="1:22" ht="15" customHeight="1" thickBot="1">
      <c r="A150" s="2" t="s">
        <v>166</v>
      </c>
      <c r="B150" s="2"/>
      <c r="C150" s="21"/>
      <c r="D150" s="84">
        <f t="shared" si="34"/>
        <v>0</v>
      </c>
      <c r="E150" s="22" t="str">
        <f>IFERROR(VLOOKUP(D150,'Employee Numbers'!$A$3:$B$84,2,FALSE),"NOT FOUND")</f>
        <v>NOT FOUND</v>
      </c>
      <c r="F150" s="38"/>
      <c r="G150" s="31"/>
      <c r="H150" s="31" t="str">
        <f t="shared" si="36"/>
        <v>trg_2.5_0900</v>
      </c>
      <c r="I150" s="38"/>
      <c r="J150" s="38"/>
      <c r="K150" s="38"/>
      <c r="L150" s="38"/>
      <c r="M150" s="35" t="s">
        <v>168</v>
      </c>
      <c r="V150" s="143"/>
    </row>
    <row r="151" spans="1:22" ht="15" customHeight="1">
      <c r="A151" s="2" t="s">
        <v>166</v>
      </c>
      <c r="B151" s="2"/>
      <c r="C151" s="21"/>
      <c r="D151" s="84">
        <f t="shared" si="34"/>
        <v>0</v>
      </c>
      <c r="E151" s="22" t="str">
        <f>IFERROR(VLOOKUP(D151,'Employee Numbers'!$A$3:$B$84,2,FALSE),"NOT FOUND")</f>
        <v>NOT FOUND</v>
      </c>
      <c r="F151" s="38"/>
      <c r="G151" s="31"/>
      <c r="H151" s="31" t="str">
        <f t="shared" si="36"/>
        <v>trg_2.5_0900</v>
      </c>
      <c r="I151" s="38"/>
      <c r="J151" s="38"/>
      <c r="K151" s="38"/>
      <c r="L151" s="38"/>
      <c r="M151" s="35" t="s">
        <v>168</v>
      </c>
      <c r="V151" s="143"/>
    </row>
    <row r="152" spans="1:22" s="2" customFormat="1" ht="13.5" customHeight="1" thickBot="1">
      <c r="A152" s="174" t="s">
        <v>96</v>
      </c>
      <c r="B152" s="50"/>
      <c r="C152" s="51"/>
      <c r="D152" s="175" t="s">
        <v>97</v>
      </c>
      <c r="E152" s="105" t="s">
        <v>4</v>
      </c>
      <c r="F152" s="105" t="s">
        <v>5</v>
      </c>
      <c r="G152" s="105" t="s">
        <v>6</v>
      </c>
      <c r="H152" s="106" t="s">
        <v>7</v>
      </c>
      <c r="I152" s="105" t="s">
        <v>8</v>
      </c>
      <c r="J152" s="105" t="s">
        <v>9</v>
      </c>
      <c r="K152" s="105" t="s">
        <v>10</v>
      </c>
      <c r="L152" s="105" t="s">
        <v>11</v>
      </c>
      <c r="N152"/>
      <c r="O152"/>
      <c r="Q152"/>
      <c r="V152" s="142"/>
    </row>
    <row r="153" spans="1:22" s="2" customFormat="1" ht="15" customHeight="1" thickBot="1">
      <c r="A153" s="2" t="s">
        <v>169</v>
      </c>
      <c r="B153" s="5"/>
      <c r="C153" s="8"/>
      <c r="D153" s="84" t="str">
        <f>D61</f>
        <v>Mark Lim</v>
      </c>
      <c r="E153" s="22">
        <f>IFERROR(VLOOKUP(D153,'Employee Numbers'!$A$3:$B$84,2,FALSE),"NOT FOUND")</f>
        <v>638531</v>
      </c>
      <c r="F153" s="31" t="str">
        <f t="shared" ref="F153:G168" si="37">IF(COUNTIF(F61,"*on*call*"),"oncall 2300-0830","")</f>
        <v/>
      </c>
      <c r="G153" s="31" t="str">
        <f t="shared" si="37"/>
        <v/>
      </c>
      <c r="H153" s="37" t="s">
        <v>170</v>
      </c>
      <c r="I153" s="31" t="str">
        <f t="shared" ref="I153:L168" si="38">IF(COUNTIF(I61,"*on*call*"),"oncall 2300-0830","")</f>
        <v/>
      </c>
      <c r="J153" s="31" t="str">
        <f t="shared" si="38"/>
        <v/>
      </c>
      <c r="K153" s="31" t="str">
        <f t="shared" si="38"/>
        <v/>
      </c>
      <c r="L153" s="31" t="str">
        <f t="shared" si="38"/>
        <v/>
      </c>
      <c r="M153" s="35" t="s">
        <v>168</v>
      </c>
      <c r="N153" s="5"/>
      <c r="O153" s="5"/>
      <c r="P153" s="5"/>
      <c r="Q153" s="5"/>
      <c r="R153" s="5"/>
      <c r="V153" s="142"/>
    </row>
    <row r="154" spans="1:22" ht="15" customHeight="1" thickBot="1">
      <c r="A154" s="2" t="s">
        <v>169</v>
      </c>
      <c r="B154" s="2"/>
      <c r="C154" s="47"/>
      <c r="D154" s="84" t="str">
        <f t="shared" ref="D154:D176" si="39">D62</f>
        <v xml:space="preserve">Melanie Engel </v>
      </c>
      <c r="E154" s="22">
        <f>IFERROR(VLOOKUP(D154,'Employee Numbers'!$A$3:$B$84,2,FALSE),"NOT FOUND")</f>
        <v>631715</v>
      </c>
      <c r="F154" s="31" t="str">
        <f t="shared" si="37"/>
        <v/>
      </c>
      <c r="G154" s="31" t="str">
        <f t="shared" si="37"/>
        <v/>
      </c>
      <c r="H154" s="37" t="s">
        <v>170</v>
      </c>
      <c r="I154" s="31" t="str">
        <f t="shared" si="38"/>
        <v/>
      </c>
      <c r="J154" s="31" t="str">
        <f t="shared" si="38"/>
        <v/>
      </c>
      <c r="K154" s="31" t="str">
        <f t="shared" si="38"/>
        <v/>
      </c>
      <c r="L154" s="31" t="str">
        <f t="shared" si="38"/>
        <v/>
      </c>
      <c r="M154" s="35" t="s">
        <v>168</v>
      </c>
      <c r="N154" s="2"/>
      <c r="O154" s="2"/>
      <c r="P154" s="2"/>
      <c r="Q154" s="2"/>
      <c r="R154" s="2"/>
      <c r="V154" s="143"/>
    </row>
    <row r="155" spans="1:22" ht="15" customHeight="1" thickBot="1">
      <c r="A155" s="2" t="s">
        <v>169</v>
      </c>
      <c r="B155" s="2"/>
      <c r="C155" s="47"/>
      <c r="D155" s="84" t="str">
        <f t="shared" si="39"/>
        <v>Marian Isaac  (0.75)</v>
      </c>
      <c r="E155" s="22">
        <f>IFERROR(VLOOKUP(D155,'Employee Numbers'!$A$3:$B$84,2,FALSE),"NOT FOUND")</f>
        <v>703719</v>
      </c>
      <c r="F155" s="31" t="str">
        <f t="shared" si="37"/>
        <v/>
      </c>
      <c r="G155" s="31" t="str">
        <f t="shared" si="37"/>
        <v/>
      </c>
      <c r="H155" s="31" t="s">
        <v>167</v>
      </c>
      <c r="I155" s="31" t="str">
        <f t="shared" si="38"/>
        <v/>
      </c>
      <c r="J155" s="31" t="str">
        <f t="shared" si="38"/>
        <v/>
      </c>
      <c r="K155" s="31" t="str">
        <f t="shared" si="38"/>
        <v/>
      </c>
      <c r="L155" s="31" t="str">
        <f t="shared" si="38"/>
        <v/>
      </c>
      <c r="M155" s="35" t="s">
        <v>168</v>
      </c>
      <c r="V155" s="143"/>
    </row>
    <row r="156" spans="1:22" ht="15" customHeight="1" thickBot="1">
      <c r="A156" s="2" t="s">
        <v>169</v>
      </c>
      <c r="B156" s="2"/>
      <c r="C156" s="47"/>
      <c r="D156" s="84" t="str">
        <f t="shared" si="39"/>
        <v xml:space="preserve">Jonathan Wong (0.75) </v>
      </c>
      <c r="E156" s="22">
        <f>IFERROR(VLOOKUP(D156,'Employee Numbers'!$A$3:$B$84,2,FALSE),"NOT FOUND")</f>
        <v>637791</v>
      </c>
      <c r="F156" s="31" t="str">
        <f t="shared" si="37"/>
        <v/>
      </c>
      <c r="G156" s="31" t="str">
        <f t="shared" si="37"/>
        <v/>
      </c>
      <c r="H156" s="31" t="s">
        <v>167</v>
      </c>
      <c r="I156" s="31" t="str">
        <f t="shared" si="38"/>
        <v/>
      </c>
      <c r="J156" s="31" t="str">
        <f t="shared" si="38"/>
        <v/>
      </c>
      <c r="K156" s="31" t="str">
        <f t="shared" si="38"/>
        <v/>
      </c>
      <c r="L156" s="31" t="str">
        <f t="shared" si="38"/>
        <v/>
      </c>
      <c r="M156" s="35" t="s">
        <v>168</v>
      </c>
      <c r="V156" s="143"/>
    </row>
    <row r="157" spans="1:22" ht="15" customHeight="1" thickBot="1">
      <c r="A157" s="2" t="s">
        <v>169</v>
      </c>
      <c r="B157" s="2"/>
      <c r="C157" s="47"/>
      <c r="D157" s="84" t="str">
        <f t="shared" si="39"/>
        <v xml:space="preserve">Joshua Feek </v>
      </c>
      <c r="E157" s="22">
        <f>IFERROR(VLOOKUP(D157,'Employee Numbers'!$A$3:$B$84,2,FALSE),"NOT FOUND")</f>
        <v>652867</v>
      </c>
      <c r="F157" s="31" t="str">
        <f t="shared" si="37"/>
        <v/>
      </c>
      <c r="G157" s="31" t="str">
        <f t="shared" si="37"/>
        <v/>
      </c>
      <c r="H157" s="37" t="s">
        <v>170</v>
      </c>
      <c r="I157" s="31" t="str">
        <f t="shared" si="38"/>
        <v/>
      </c>
      <c r="J157" s="31" t="str">
        <f t="shared" si="38"/>
        <v/>
      </c>
      <c r="K157" s="31" t="str">
        <f t="shared" si="38"/>
        <v/>
      </c>
      <c r="L157" s="31" t="str">
        <f t="shared" si="38"/>
        <v/>
      </c>
      <c r="M157" s="35" t="s">
        <v>168</v>
      </c>
      <c r="V157" s="143"/>
    </row>
    <row r="158" spans="1:22" ht="15" customHeight="1" thickBot="1">
      <c r="A158" s="2" t="s">
        <v>169</v>
      </c>
      <c r="B158" s="2"/>
      <c r="C158" s="47"/>
      <c r="D158" s="84" t="str">
        <f t="shared" si="39"/>
        <v xml:space="preserve">Andrea Lim (0.5) </v>
      </c>
      <c r="E158" s="22">
        <f>IFERROR(VLOOKUP(D158,'Employee Numbers'!$A$3:$B$84,2,FALSE),"NOT FOUND")</f>
        <v>611551</v>
      </c>
      <c r="F158" s="31" t="str">
        <f t="shared" si="37"/>
        <v/>
      </c>
      <c r="G158" s="31" t="str">
        <f t="shared" si="37"/>
        <v/>
      </c>
      <c r="H158" s="31" t="str">
        <f t="shared" ref="H158" si="40">IF(COUNTIF(H66,"0800-1730*"),"trg_2.5_1730","trg_2.5_0900")</f>
        <v>trg_2.5_0900</v>
      </c>
      <c r="I158" s="31" t="str">
        <f t="shared" si="38"/>
        <v/>
      </c>
      <c r="J158" s="31" t="str">
        <f t="shared" si="38"/>
        <v/>
      </c>
      <c r="K158" s="31" t="str">
        <f t="shared" si="38"/>
        <v/>
      </c>
      <c r="L158" s="31" t="str">
        <f t="shared" si="38"/>
        <v/>
      </c>
      <c r="M158" s="35" t="s">
        <v>168</v>
      </c>
      <c r="N158" s="13"/>
      <c r="O158" s="13"/>
      <c r="P158" s="13"/>
      <c r="Q158" s="13"/>
      <c r="R158" s="13"/>
      <c r="V158" s="143"/>
    </row>
    <row r="159" spans="1:22" ht="15" customHeight="1" thickBot="1">
      <c r="A159" s="2" t="s">
        <v>169</v>
      </c>
      <c r="B159" s="2"/>
      <c r="C159" s="47"/>
      <c r="D159" s="84" t="str">
        <f t="shared" si="39"/>
        <v>Jessica Burgess (0.5)</v>
      </c>
      <c r="E159" s="22">
        <f>IFERROR(VLOOKUP(D159,'Employee Numbers'!$A$3:$B$84,2,FALSE),"NOT FOUND")</f>
        <v>615820</v>
      </c>
      <c r="F159" s="31" t="str">
        <f t="shared" si="37"/>
        <v/>
      </c>
      <c r="G159" s="31" t="str">
        <f t="shared" si="37"/>
        <v/>
      </c>
      <c r="H159" s="31"/>
      <c r="I159" s="31" t="str">
        <f t="shared" si="38"/>
        <v/>
      </c>
      <c r="J159" s="31" t="str">
        <f t="shared" si="38"/>
        <v/>
      </c>
      <c r="K159" s="31" t="str">
        <f t="shared" si="38"/>
        <v/>
      </c>
      <c r="L159" s="31" t="str">
        <f t="shared" si="38"/>
        <v/>
      </c>
      <c r="M159" s="35" t="s">
        <v>168</v>
      </c>
      <c r="N159" s="13"/>
      <c r="O159" s="13"/>
      <c r="P159" s="13"/>
      <c r="Q159" s="13"/>
      <c r="R159" s="13"/>
      <c r="V159" s="143"/>
    </row>
    <row r="160" spans="1:22" ht="15" customHeight="1" thickBot="1">
      <c r="A160" s="2" t="s">
        <v>169</v>
      </c>
      <c r="B160" s="2"/>
      <c r="C160" s="47"/>
      <c r="D160" s="84" t="str">
        <f t="shared" si="39"/>
        <v>Elisha Gallivan</v>
      </c>
      <c r="E160" s="22">
        <f>IFERROR(VLOOKUP(D160,'Employee Numbers'!$A$3:$B$84,2,FALSE),"NOT FOUND")</f>
        <v>654727</v>
      </c>
      <c r="F160" s="31" t="str">
        <f t="shared" si="37"/>
        <v/>
      </c>
      <c r="G160" s="31" t="str">
        <f t="shared" si="37"/>
        <v/>
      </c>
      <c r="H160" s="37"/>
      <c r="I160" s="31" t="str">
        <f t="shared" si="38"/>
        <v/>
      </c>
      <c r="J160" s="31" t="str">
        <f t="shared" si="38"/>
        <v/>
      </c>
      <c r="K160" s="31" t="str">
        <f t="shared" si="38"/>
        <v/>
      </c>
      <c r="L160" s="31" t="str">
        <f t="shared" si="38"/>
        <v/>
      </c>
      <c r="M160" s="35" t="s">
        <v>168</v>
      </c>
      <c r="V160" s="143"/>
    </row>
    <row r="161" spans="1:22" ht="15" customHeight="1" thickBot="1">
      <c r="A161" s="2" t="s">
        <v>169</v>
      </c>
      <c r="B161" s="2"/>
      <c r="C161" s="47"/>
      <c r="D161" s="84" t="str">
        <f t="shared" si="39"/>
        <v>Leila Dosso</v>
      </c>
      <c r="E161" s="22">
        <f>IFERROR(VLOOKUP(D161,'Employee Numbers'!$A$3:$B$84,2,FALSE),"NOT FOUND")</f>
        <v>702947</v>
      </c>
      <c r="F161" s="31" t="str">
        <f t="shared" si="37"/>
        <v/>
      </c>
      <c r="G161" s="31" t="str">
        <f t="shared" si="37"/>
        <v/>
      </c>
      <c r="H161" s="37"/>
      <c r="I161" s="31" t="str">
        <f t="shared" si="38"/>
        <v/>
      </c>
      <c r="J161" s="31" t="str">
        <f t="shared" si="38"/>
        <v/>
      </c>
      <c r="K161" s="31" t="str">
        <f t="shared" si="38"/>
        <v/>
      </c>
      <c r="L161" s="31" t="str">
        <f t="shared" si="38"/>
        <v/>
      </c>
      <c r="M161" s="35" t="s">
        <v>168</v>
      </c>
      <c r="V161" s="143"/>
    </row>
    <row r="162" spans="1:22" s="13" customFormat="1" ht="15" customHeight="1" thickBot="1">
      <c r="A162" s="2" t="s">
        <v>169</v>
      </c>
      <c r="B162" s="2"/>
      <c r="C162" s="21"/>
      <c r="D162" s="84" t="str">
        <f t="shared" si="39"/>
        <v xml:space="preserve">Efi Tsampou </v>
      </c>
      <c r="E162" s="22">
        <f>IFERROR(VLOOKUP(D162,'Employee Numbers'!$A$3:$B$84,2,FALSE),"NOT FOUND")</f>
        <v>654002</v>
      </c>
      <c r="F162" s="31" t="str">
        <f t="shared" si="37"/>
        <v/>
      </c>
      <c r="G162" s="31" t="str">
        <f t="shared" si="37"/>
        <v/>
      </c>
      <c r="H162" s="37" t="s">
        <v>170</v>
      </c>
      <c r="I162" s="31" t="str">
        <f t="shared" si="38"/>
        <v/>
      </c>
      <c r="J162" s="31" t="str">
        <f t="shared" si="38"/>
        <v/>
      </c>
      <c r="K162" s="31" t="str">
        <f t="shared" si="38"/>
        <v/>
      </c>
      <c r="L162" s="31" t="str">
        <f t="shared" si="38"/>
        <v/>
      </c>
      <c r="M162" s="35" t="s">
        <v>168</v>
      </c>
      <c r="N162" s="5"/>
      <c r="O162" s="5"/>
      <c r="P162" s="5"/>
      <c r="Q162" s="5"/>
      <c r="R162" s="5"/>
      <c r="V162" s="144"/>
    </row>
    <row r="163" spans="1:22" ht="15" customHeight="1" thickBot="1">
      <c r="A163" s="2" t="s">
        <v>169</v>
      </c>
      <c r="B163" s="2"/>
      <c r="C163" s="21"/>
      <c r="D163" s="84" t="str">
        <f t="shared" si="39"/>
        <v>Marian Panlilio</v>
      </c>
      <c r="E163" s="22">
        <f>IFERROR(VLOOKUP(D163,'Employee Numbers'!$A$3:$B$84,2,FALSE),"NOT FOUND")</f>
        <v>703068</v>
      </c>
      <c r="F163" s="31" t="str">
        <f t="shared" si="37"/>
        <v/>
      </c>
      <c r="G163" s="31" t="str">
        <f t="shared" si="37"/>
        <v/>
      </c>
      <c r="H163" s="31" t="str">
        <f t="shared" ref="H163" si="41">IF(COUNTIF(H71,"0800-1730*"),"trg_2.5_1730","trg_2.5_0900")</f>
        <v>trg_2.5_0900</v>
      </c>
      <c r="I163" s="31" t="str">
        <f t="shared" si="38"/>
        <v/>
      </c>
      <c r="J163" s="31" t="str">
        <f t="shared" si="38"/>
        <v/>
      </c>
      <c r="K163" s="31" t="str">
        <f t="shared" si="38"/>
        <v/>
      </c>
      <c r="L163" s="31" t="str">
        <f t="shared" si="38"/>
        <v/>
      </c>
      <c r="M163" s="35" t="s">
        <v>168</v>
      </c>
      <c r="V163" s="143"/>
    </row>
    <row r="164" spans="1:22" ht="15" customHeight="1" thickBot="1">
      <c r="A164" s="2" t="s">
        <v>169</v>
      </c>
      <c r="B164" s="2"/>
      <c r="C164" s="21"/>
      <c r="D164" s="84" t="str">
        <f t="shared" si="39"/>
        <v>Takhfif Othman</v>
      </c>
      <c r="E164" s="22">
        <f>IFERROR(VLOOKUP(D164,'Employee Numbers'!$A$3:$B$84,2,FALSE),"NOT FOUND")</f>
        <v>703911</v>
      </c>
      <c r="F164" s="31" t="str">
        <f t="shared" si="37"/>
        <v/>
      </c>
      <c r="G164" s="31" t="str">
        <f t="shared" si="37"/>
        <v/>
      </c>
      <c r="H164" s="37" t="s">
        <v>170</v>
      </c>
      <c r="I164" s="31" t="str">
        <f t="shared" si="38"/>
        <v/>
      </c>
      <c r="J164" s="31" t="str">
        <f t="shared" si="38"/>
        <v/>
      </c>
      <c r="K164" s="31" t="str">
        <f t="shared" si="38"/>
        <v/>
      </c>
      <c r="L164" s="31" t="str">
        <f t="shared" si="38"/>
        <v/>
      </c>
      <c r="M164" s="35" t="s">
        <v>168</v>
      </c>
      <c r="V164" s="143"/>
    </row>
    <row r="165" spans="1:22" ht="15" customHeight="1" thickBot="1">
      <c r="A165" s="2" t="s">
        <v>169</v>
      </c>
      <c r="B165" s="2"/>
      <c r="C165" s="21"/>
      <c r="D165" s="84" t="str">
        <f t="shared" si="39"/>
        <v xml:space="preserve">Toby Obrien </v>
      </c>
      <c r="E165" s="22">
        <f>IFERROR(VLOOKUP(D165,'Employee Numbers'!$A$3:$B$84,2,FALSE),"NOT FOUND")</f>
        <v>633936</v>
      </c>
      <c r="F165" s="31" t="str">
        <f t="shared" si="37"/>
        <v/>
      </c>
      <c r="G165" s="31" t="str">
        <f t="shared" si="37"/>
        <v/>
      </c>
      <c r="H165" s="37" t="s">
        <v>170</v>
      </c>
      <c r="I165" s="31" t="str">
        <f t="shared" si="38"/>
        <v/>
      </c>
      <c r="J165" s="31" t="str">
        <f t="shared" si="38"/>
        <v/>
      </c>
      <c r="K165" s="31" t="str">
        <f t="shared" si="38"/>
        <v/>
      </c>
      <c r="L165" s="31" t="str">
        <f t="shared" si="38"/>
        <v/>
      </c>
      <c r="M165" s="35" t="s">
        <v>168</v>
      </c>
      <c r="V165" s="143"/>
    </row>
    <row r="166" spans="1:22" ht="15" customHeight="1" thickBot="1">
      <c r="A166" s="2" t="s">
        <v>169</v>
      </c>
      <c r="B166" s="2"/>
      <c r="C166" s="21"/>
      <c r="D166" s="84" t="str">
        <f t="shared" si="39"/>
        <v>William Jiang</v>
      </c>
      <c r="E166" s="22">
        <f>IFERROR(VLOOKUP(D166,'Employee Numbers'!$A$3:$B$84,2,FALSE),"NOT FOUND")</f>
        <v>700755</v>
      </c>
      <c r="F166" s="31" t="str">
        <f t="shared" si="37"/>
        <v/>
      </c>
      <c r="G166" s="31" t="str">
        <f t="shared" si="37"/>
        <v/>
      </c>
      <c r="H166" s="37" t="s">
        <v>170</v>
      </c>
      <c r="I166" s="31" t="str">
        <f t="shared" si="38"/>
        <v/>
      </c>
      <c r="J166" s="31" t="str">
        <f t="shared" si="38"/>
        <v/>
      </c>
      <c r="K166" s="31" t="str">
        <f t="shared" si="38"/>
        <v/>
      </c>
      <c r="L166" s="31" t="str">
        <f t="shared" si="38"/>
        <v/>
      </c>
      <c r="M166" s="35" t="s">
        <v>168</v>
      </c>
      <c r="V166" s="143"/>
    </row>
    <row r="167" spans="1:22" ht="15" customHeight="1" thickBot="1">
      <c r="A167" s="2" t="s">
        <v>169</v>
      </c>
      <c r="B167" s="2"/>
      <c r="C167" s="21"/>
      <c r="D167" s="84" t="str">
        <f t="shared" si="39"/>
        <v>Pam Nelson</v>
      </c>
      <c r="E167" s="22">
        <f>IFERROR(VLOOKUP(D167,'Employee Numbers'!$A$3:$B$84,2,FALSE),"NOT FOUND")</f>
        <v>704872</v>
      </c>
      <c r="F167" s="31" t="str">
        <f t="shared" si="37"/>
        <v/>
      </c>
      <c r="G167" s="31" t="str">
        <f t="shared" si="37"/>
        <v/>
      </c>
      <c r="H167" s="37" t="s">
        <v>170</v>
      </c>
      <c r="I167" s="31" t="str">
        <f t="shared" si="38"/>
        <v/>
      </c>
      <c r="J167" s="31" t="str">
        <f t="shared" si="38"/>
        <v/>
      </c>
      <c r="K167" s="31" t="str">
        <f t="shared" si="38"/>
        <v/>
      </c>
      <c r="L167" s="31" t="str">
        <f t="shared" si="38"/>
        <v/>
      </c>
      <c r="M167" s="35" t="s">
        <v>168</v>
      </c>
      <c r="V167" s="143"/>
    </row>
    <row r="168" spans="1:22" ht="15" customHeight="1" thickBot="1">
      <c r="A168" s="2" t="s">
        <v>169</v>
      </c>
      <c r="B168" s="2"/>
      <c r="C168" s="21"/>
      <c r="D168" s="84" t="str">
        <f t="shared" si="39"/>
        <v xml:space="preserve">Phoebe Franich </v>
      </c>
      <c r="E168" s="22">
        <f>IFERROR(VLOOKUP(D168,'Employee Numbers'!$A$3:$B$84,2,FALSE),"NOT FOUND")</f>
        <v>700712</v>
      </c>
      <c r="F168" s="31" t="str">
        <f t="shared" si="37"/>
        <v/>
      </c>
      <c r="G168" s="31" t="str">
        <f t="shared" si="37"/>
        <v/>
      </c>
      <c r="H168" s="37" t="s">
        <v>170</v>
      </c>
      <c r="I168" s="31" t="str">
        <f t="shared" si="38"/>
        <v/>
      </c>
      <c r="J168" s="31" t="str">
        <f t="shared" si="38"/>
        <v/>
      </c>
      <c r="K168" s="31" t="str">
        <f t="shared" si="38"/>
        <v/>
      </c>
      <c r="L168" s="31" t="str">
        <f t="shared" si="38"/>
        <v/>
      </c>
      <c r="M168" s="35" t="s">
        <v>168</v>
      </c>
      <c r="V168" s="143"/>
    </row>
    <row r="169" spans="1:22" ht="15" customHeight="1" thickBot="1">
      <c r="A169" s="2" t="s">
        <v>169</v>
      </c>
      <c r="B169" s="2"/>
      <c r="C169" s="21"/>
      <c r="D169" s="84" t="str">
        <f t="shared" si="39"/>
        <v xml:space="preserve">Marie Papadopulos </v>
      </c>
      <c r="E169" s="22">
        <f>IFERROR(VLOOKUP(D169,'Employee Numbers'!$A$3:$B$84,2,FALSE),"NOT FOUND")</f>
        <v>700818</v>
      </c>
      <c r="F169" s="31" t="str">
        <f t="shared" ref="F169:G176" si="42">IF(COUNTIF(F77,"*on*call*"),"oncall 2300-0830","")</f>
        <v/>
      </c>
      <c r="G169" s="31" t="str">
        <f t="shared" si="42"/>
        <v/>
      </c>
      <c r="H169" s="37" t="s">
        <v>170</v>
      </c>
      <c r="I169" s="31" t="str">
        <f t="shared" ref="I169:L176" si="43">IF(COUNTIF(I77,"*on*call*"),"oncall 2300-0830","")</f>
        <v/>
      </c>
      <c r="J169" s="31" t="str">
        <f t="shared" si="43"/>
        <v/>
      </c>
      <c r="K169" s="31" t="str">
        <f t="shared" si="43"/>
        <v/>
      </c>
      <c r="L169" s="31" t="str">
        <f t="shared" si="43"/>
        <v/>
      </c>
      <c r="M169" s="35" t="s">
        <v>168</v>
      </c>
      <c r="V169" s="143"/>
    </row>
    <row r="170" spans="1:22" ht="15" customHeight="1" thickBot="1">
      <c r="A170" s="2" t="s">
        <v>169</v>
      </c>
      <c r="B170" s="2"/>
      <c r="C170" s="21"/>
      <c r="D170" s="84" t="str">
        <f t="shared" si="39"/>
        <v>Stormie de Groot (0.5)</v>
      </c>
      <c r="E170" s="22">
        <f>IFERROR(VLOOKUP(D170,'Employee Numbers'!$A$3:$B$84,2,FALSE),"NOT FOUND")</f>
        <v>650101</v>
      </c>
      <c r="F170" s="31" t="str">
        <f t="shared" si="42"/>
        <v/>
      </c>
      <c r="G170" s="31" t="str">
        <f t="shared" si="42"/>
        <v/>
      </c>
      <c r="H170" s="31" t="str">
        <f t="shared" ref="H170" si="44">IF(COUNTIF(H78,"0800-1730*"),"trg_2.5_1730","trg_2.5_0900")</f>
        <v>trg_2.5_0900</v>
      </c>
      <c r="I170" s="31" t="str">
        <f t="shared" si="43"/>
        <v/>
      </c>
      <c r="J170" s="31" t="str">
        <f t="shared" si="43"/>
        <v/>
      </c>
      <c r="K170" s="31" t="str">
        <f t="shared" si="43"/>
        <v/>
      </c>
      <c r="L170" s="31" t="str">
        <f t="shared" si="43"/>
        <v/>
      </c>
      <c r="M170" s="35" t="s">
        <v>168</v>
      </c>
      <c r="V170" s="143"/>
    </row>
    <row r="171" spans="1:22" ht="15" customHeight="1" thickBot="1">
      <c r="A171" s="2" t="s">
        <v>169</v>
      </c>
      <c r="B171" s="2"/>
      <c r="C171" s="21"/>
      <c r="D171" s="84" t="str">
        <f t="shared" si="39"/>
        <v xml:space="preserve">Joanne Eaton </v>
      </c>
      <c r="E171" s="22">
        <f>IFERROR(VLOOKUP(D171,'Employee Numbers'!$A$3:$B$84,2,FALSE),"NOT FOUND")</f>
        <v>654888</v>
      </c>
      <c r="F171" s="31" t="str">
        <f t="shared" si="42"/>
        <v/>
      </c>
      <c r="G171" s="31" t="str">
        <f t="shared" si="42"/>
        <v/>
      </c>
      <c r="H171" s="37" t="s">
        <v>170</v>
      </c>
      <c r="I171" s="31" t="str">
        <f t="shared" si="43"/>
        <v/>
      </c>
      <c r="J171" s="31" t="str">
        <f t="shared" si="43"/>
        <v/>
      </c>
      <c r="K171" s="31" t="str">
        <f t="shared" si="43"/>
        <v/>
      </c>
      <c r="L171" s="31" t="str">
        <f t="shared" si="43"/>
        <v/>
      </c>
      <c r="M171" s="35" t="s">
        <v>168</v>
      </c>
      <c r="V171" s="143"/>
    </row>
    <row r="172" spans="1:22" ht="15" customHeight="1" thickBot="1">
      <c r="A172" s="2" t="s">
        <v>169</v>
      </c>
      <c r="B172" s="2"/>
      <c r="C172" s="21"/>
      <c r="D172" s="84" t="str">
        <f t="shared" si="39"/>
        <v xml:space="preserve">Helena Li </v>
      </c>
      <c r="E172" s="22">
        <f>IFERROR(VLOOKUP(D172,'Employee Numbers'!$A$3:$B$84,2,FALSE),"NOT FOUND")</f>
        <v>703880</v>
      </c>
      <c r="F172" s="31" t="str">
        <f t="shared" si="42"/>
        <v/>
      </c>
      <c r="G172" s="31" t="str">
        <f t="shared" si="42"/>
        <v/>
      </c>
      <c r="H172" s="37" t="s">
        <v>170</v>
      </c>
      <c r="I172" s="31" t="str">
        <f t="shared" si="43"/>
        <v/>
      </c>
      <c r="J172" s="31" t="str">
        <f t="shared" si="43"/>
        <v/>
      </c>
      <c r="K172" s="31" t="str">
        <f t="shared" si="43"/>
        <v/>
      </c>
      <c r="L172" s="31" t="str">
        <f t="shared" si="43"/>
        <v/>
      </c>
      <c r="M172" s="35" t="s">
        <v>168</v>
      </c>
      <c r="V172" s="143"/>
    </row>
    <row r="173" spans="1:22" ht="15" customHeight="1" thickBot="1">
      <c r="A173" s="2" t="s">
        <v>169</v>
      </c>
      <c r="B173" s="2"/>
      <c r="C173" s="21"/>
      <c r="D173" s="84" t="str">
        <f t="shared" si="39"/>
        <v xml:space="preserve">Mustafa Ozkul </v>
      </c>
      <c r="E173" s="22">
        <f>IFERROR(VLOOKUP(D173,'Employee Numbers'!$A$3:$B$84,2,FALSE),"NOT FOUND")</f>
        <v>703334</v>
      </c>
      <c r="F173" s="31" t="str">
        <f t="shared" si="42"/>
        <v/>
      </c>
      <c r="G173" s="31" t="str">
        <f t="shared" si="42"/>
        <v/>
      </c>
      <c r="H173" s="37" t="s">
        <v>170</v>
      </c>
      <c r="I173" s="31" t="str">
        <f t="shared" si="43"/>
        <v/>
      </c>
      <c r="J173" s="31" t="str">
        <f t="shared" si="43"/>
        <v/>
      </c>
      <c r="K173" s="31" t="str">
        <f t="shared" si="43"/>
        <v/>
      </c>
      <c r="L173" s="31" t="str">
        <f t="shared" si="43"/>
        <v/>
      </c>
      <c r="M173" s="35" t="s">
        <v>168</v>
      </c>
      <c r="V173" s="143"/>
    </row>
    <row r="174" spans="1:22" ht="15" customHeight="1" thickBot="1">
      <c r="A174" s="2" t="s">
        <v>169</v>
      </c>
      <c r="B174" s="2"/>
      <c r="C174" s="21"/>
      <c r="D174" s="84" t="str">
        <f t="shared" si="39"/>
        <v>Ritu Chaurasia (0.75)</v>
      </c>
      <c r="E174" s="22">
        <f>IFERROR(VLOOKUP(D174,'Employee Numbers'!$A$3:$B$84,2,FALSE),"NOT FOUND")</f>
        <v>700538</v>
      </c>
      <c r="F174" s="31" t="str">
        <f t="shared" si="42"/>
        <v/>
      </c>
      <c r="G174" s="31" t="str">
        <f t="shared" si="42"/>
        <v/>
      </c>
      <c r="H174" s="31" t="s">
        <v>167</v>
      </c>
      <c r="I174" s="31" t="str">
        <f t="shared" si="43"/>
        <v/>
      </c>
      <c r="J174" s="31" t="str">
        <f t="shared" si="43"/>
        <v/>
      </c>
      <c r="K174" s="31" t="str">
        <f t="shared" si="43"/>
        <v/>
      </c>
      <c r="L174" s="31" t="str">
        <f t="shared" si="43"/>
        <v/>
      </c>
      <c r="M174" s="35" t="s">
        <v>168</v>
      </c>
      <c r="V174" s="143"/>
    </row>
    <row r="175" spans="1:22" ht="15" customHeight="1" thickBot="1">
      <c r="A175" s="2" t="s">
        <v>169</v>
      </c>
      <c r="B175" s="2"/>
      <c r="C175" s="21"/>
      <c r="D175" s="84" t="str">
        <f t="shared" si="39"/>
        <v>Jamie Nicholls (0.5)</v>
      </c>
      <c r="E175" s="22">
        <f>IFERROR(VLOOKUP(D175,'Employee Numbers'!$A$3:$B$84,2,FALSE),"NOT FOUND")</f>
        <v>704862</v>
      </c>
      <c r="F175" s="31" t="str">
        <f t="shared" si="42"/>
        <v/>
      </c>
      <c r="G175" s="31" t="str">
        <f t="shared" si="42"/>
        <v/>
      </c>
      <c r="H175" s="31" t="str">
        <f t="shared" ref="H175" si="45">IF(COUNTIF(H83,"0800-1730*"),"trg_2.5_1730","trg_2.5_0900")</f>
        <v>trg_2.5_0900</v>
      </c>
      <c r="I175" s="31" t="str">
        <f t="shared" si="43"/>
        <v/>
      </c>
      <c r="J175" s="31" t="str">
        <f t="shared" si="43"/>
        <v/>
      </c>
      <c r="K175" s="31" t="str">
        <f t="shared" si="43"/>
        <v/>
      </c>
      <c r="L175" s="31" t="str">
        <f t="shared" si="43"/>
        <v/>
      </c>
      <c r="M175" s="35" t="s">
        <v>168</v>
      </c>
      <c r="V175" s="143"/>
    </row>
    <row r="176" spans="1:22" ht="15" customHeight="1">
      <c r="A176" s="2" t="s">
        <v>169</v>
      </c>
      <c r="B176" s="2"/>
      <c r="C176" s="21"/>
      <c r="D176" s="84" t="str">
        <f t="shared" si="39"/>
        <v xml:space="preserve">Rachel Morgan  </v>
      </c>
      <c r="E176" s="22" t="str">
        <f>IFERROR(VLOOKUP(D176,'Employee Numbers'!$A$3:$B$84,2,FALSE),"NOT FOUND")</f>
        <v>NOT FOUND</v>
      </c>
      <c r="F176" s="31" t="str">
        <f t="shared" si="42"/>
        <v/>
      </c>
      <c r="G176" s="31" t="str">
        <f t="shared" si="42"/>
        <v/>
      </c>
      <c r="H176" s="37" t="s">
        <v>170</v>
      </c>
      <c r="I176" s="31" t="str">
        <f t="shared" si="43"/>
        <v/>
      </c>
      <c r="J176" s="31" t="str">
        <f t="shared" si="43"/>
        <v/>
      </c>
      <c r="K176" s="31" t="str">
        <f t="shared" si="43"/>
        <v/>
      </c>
      <c r="L176" s="31" t="str">
        <f t="shared" si="43"/>
        <v/>
      </c>
      <c r="M176" s="35" t="s">
        <v>168</v>
      </c>
      <c r="V176" s="143"/>
    </row>
  </sheetData>
  <mergeCells count="1">
    <mergeCell ref="D4:L4"/>
  </mergeCells>
  <phoneticPr fontId="18" type="noConversion"/>
  <conditionalFormatting sqref="E21:E49 E115:E143">
    <cfRule type="cellIs" dxfId="911" priority="35" operator="equal">
      <formula>0</formula>
    </cfRule>
    <cfRule type="containsText" dxfId="910" priority="34" operator="containsText" text="NOT FOUND">
      <formula>NOT(ISERROR(SEARCH("NOT FOUND",E21)))</formula>
    </cfRule>
  </conditionalFormatting>
  <conditionalFormatting sqref="E54:E59">
    <cfRule type="containsText" dxfId="909" priority="11" operator="containsText" text="NOT FOUND">
      <formula>NOT(ISERROR(SEARCH("NOT FOUND",E54)))</formula>
    </cfRule>
    <cfRule type="cellIs" dxfId="908" priority="12" operator="equal">
      <formula>0</formula>
    </cfRule>
  </conditionalFormatting>
  <conditionalFormatting sqref="E61:E84">
    <cfRule type="containsText" dxfId="907" priority="9" operator="containsText" text="NOT FOUND">
      <formula>NOT(ISERROR(SEARCH("NOT FOUND",E61)))</formula>
    </cfRule>
    <cfRule type="cellIs" dxfId="906" priority="10" operator="equal">
      <formula>0</formula>
    </cfRule>
  </conditionalFormatting>
  <conditionalFormatting sqref="E86:E99">
    <cfRule type="containsText" dxfId="905" priority="7" operator="containsText" text="NOT FOUND">
      <formula>NOT(ISERROR(SEARCH("NOT FOUND",E86)))</formula>
    </cfRule>
    <cfRule type="cellIs" dxfId="904" priority="8" operator="equal">
      <formula>0</formula>
    </cfRule>
  </conditionalFormatting>
  <conditionalFormatting sqref="E101:E102">
    <cfRule type="containsText" dxfId="903" priority="5" operator="containsText" text="NOT FOUND">
      <formula>NOT(ISERROR(SEARCH("NOT FOUND",E101)))</formula>
    </cfRule>
    <cfRule type="cellIs" dxfId="902" priority="6" operator="equal">
      <formula>0</formula>
    </cfRule>
  </conditionalFormatting>
  <conditionalFormatting sqref="E146:E151">
    <cfRule type="containsText" dxfId="901" priority="3" operator="containsText" text="NOT FOUND">
      <formula>NOT(ISERROR(SEARCH("NOT FOUND",E146)))</formula>
    </cfRule>
    <cfRule type="cellIs" dxfId="900" priority="4" operator="equal">
      <formula>0</formula>
    </cfRule>
  </conditionalFormatting>
  <conditionalFormatting sqref="E153:E176">
    <cfRule type="cellIs" dxfId="899" priority="2" operator="equal">
      <formula>0</formula>
    </cfRule>
    <cfRule type="containsText" dxfId="898" priority="1" operator="containsText" text="NOT FOUND">
      <formula>NOT(ISERROR(SEARCH("NOT FOUND",E153)))</formula>
    </cfRule>
  </conditionalFormatting>
  <conditionalFormatting sqref="F6:L6">
    <cfRule type="cellIs" dxfId="897" priority="49" operator="lessThan">
      <formula>2</formula>
    </cfRule>
    <cfRule type="cellIs" dxfId="896" priority="26" operator="greaterThan">
      <formula>3</formula>
    </cfRule>
  </conditionalFormatting>
  <conditionalFormatting sqref="F7:L7">
    <cfRule type="cellIs" dxfId="895" priority="48" operator="lessThan">
      <formula>2</formula>
    </cfRule>
  </conditionalFormatting>
  <conditionalFormatting sqref="F8:L8">
    <cfRule type="cellIs" dxfId="894" priority="54" operator="lessThan">
      <formula>5</formula>
    </cfRule>
    <cfRule type="cellIs" dxfId="893" priority="55" operator="between">
      <formula>6</formula>
      <formula>8</formula>
    </cfRule>
    <cfRule type="cellIs" dxfId="892" priority="38" operator="equal">
      <formula>5</formula>
    </cfRule>
    <cfRule type="cellIs" dxfId="891" priority="25" operator="greaterThan">
      <formula>8</formula>
    </cfRule>
  </conditionalFormatting>
  <conditionalFormatting sqref="F10:L11">
    <cfRule type="cellIs" dxfId="890" priority="51" operator="greaterThan">
      <formula>1</formula>
    </cfRule>
    <cfRule type="cellIs" dxfId="889" priority="29" operator="equal">
      <formula>1</formula>
    </cfRule>
  </conditionalFormatting>
  <conditionalFormatting sqref="F12:L12 F6:L7">
    <cfRule type="cellIs" dxfId="888" priority="50" operator="between">
      <formula>2</formula>
      <formula>3</formula>
    </cfRule>
  </conditionalFormatting>
  <conditionalFormatting sqref="F12:L12">
    <cfRule type="cellIs" dxfId="887" priority="27" operator="greaterThan">
      <formula>2</formula>
    </cfRule>
    <cfRule type="cellIs" dxfId="886" priority="43" operator="lessThan">
      <formula>2</formula>
    </cfRule>
  </conditionalFormatting>
  <conditionalFormatting sqref="F13:L13">
    <cfRule type="cellIs" dxfId="885" priority="44" operator="greaterThanOrEqual">
      <formula>6</formula>
    </cfRule>
    <cfRule type="cellIs" dxfId="884" priority="47" operator="lessThan">
      <formula>6</formula>
    </cfRule>
  </conditionalFormatting>
  <conditionalFormatting sqref="F14:L14">
    <cfRule type="cellIs" dxfId="883" priority="39" operator="lessThan">
      <formula>9</formula>
    </cfRule>
    <cfRule type="cellIs" dxfId="882" priority="40" operator="equal">
      <formula>9</formula>
    </cfRule>
    <cfRule type="cellIs" dxfId="881" priority="52" operator="between">
      <formula>10</formula>
      <formula>11</formula>
    </cfRule>
    <cfRule type="cellIs" dxfId="880" priority="53" operator="greaterThan">
      <formula>11</formula>
    </cfRule>
  </conditionalFormatting>
  <conditionalFormatting sqref="F16:L16">
    <cfRule type="cellIs" dxfId="879" priority="28" operator="greaterThan">
      <formula>4</formula>
    </cfRule>
    <cfRule type="cellIs" dxfId="878" priority="46" operator="lessThan">
      <formula>4</formula>
    </cfRule>
    <cfRule type="cellIs" dxfId="877" priority="45" operator="equal">
      <formula>4</formula>
    </cfRule>
  </conditionalFormatting>
  <conditionalFormatting sqref="R21:R47">
    <cfRule type="cellIs" dxfId="876" priority="22" operator="equal">
      <formula>S21</formula>
    </cfRule>
    <cfRule type="cellIs" dxfId="875" priority="21" operator="notEqual">
      <formula>S21</formula>
    </cfRule>
  </conditionalFormatting>
  <conditionalFormatting sqref="R54:R59 R61:R84">
    <cfRule type="cellIs" dxfId="874" priority="23" operator="notEqual">
      <formula>(N54+P54)*9.5/38*5</formula>
    </cfRule>
    <cfRule type="cellIs" dxfId="873" priority="24" operator="equal">
      <formula>(N54+P54)*9.5/38*5</formula>
    </cfRule>
  </conditionalFormatting>
  <conditionalFormatting sqref="S54:S59">
    <cfRule type="cellIs" dxfId="872" priority="19" operator="notEqual">
      <formula>T54</formula>
    </cfRule>
    <cfRule type="cellIs" dxfId="871" priority="20" operator="equal">
      <formula>T54</formula>
    </cfRule>
  </conditionalFormatting>
  <conditionalFormatting sqref="S61:S84">
    <cfRule type="cellIs" dxfId="870" priority="18" operator="equal">
      <formula>T61</formula>
    </cfRule>
    <cfRule type="cellIs" dxfId="869" priority="17" operator="notEqual">
      <formula>T61</formula>
    </cfRule>
  </conditionalFormatting>
  <conditionalFormatting sqref="S86:S99">
    <cfRule type="cellIs" dxfId="868" priority="16" operator="equal">
      <formula>T86</formula>
    </cfRule>
    <cfRule type="cellIs" dxfId="867" priority="15" operator="notEqual">
      <formula>T86</formula>
    </cfRule>
  </conditionalFormatting>
  <conditionalFormatting sqref="S101:S102">
    <cfRule type="cellIs" dxfId="866" priority="14" operator="equal">
      <formula>T101</formula>
    </cfRule>
    <cfRule type="cellIs" dxfId="865" priority="13" operator="notEqual">
      <formula>T101</formula>
    </cfRule>
  </conditionalFormatting>
  <pageMargins left="0.70866141732283472" right="0.70866141732283472" top="0.15748031496062992" bottom="0.15748031496062992" header="0" footer="0"/>
  <pageSetup paperSize="9" scale="49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176"/>
  <sheetViews>
    <sheetView topLeftCell="A53" workbookViewId="0">
      <selection activeCell="M76" sqref="M76"/>
    </sheetView>
  </sheetViews>
  <sheetFormatPr defaultColWidth="31.28515625" defaultRowHeight="15" customHeight="1"/>
  <cols>
    <col min="1" max="1" width="15.140625" style="5" customWidth="1"/>
    <col min="2" max="2" width="10.42578125" style="5" customWidth="1"/>
    <col min="3" max="3" width="6" style="8" customWidth="1"/>
    <col min="4" max="4" width="26.7109375" style="5" bestFit="1" customWidth="1"/>
    <col min="5" max="5" width="8.42578125" style="8" customWidth="1"/>
    <col min="6" max="7" width="15.85546875" style="5" customWidth="1"/>
    <col min="8" max="8" width="20" style="5" customWidth="1"/>
    <col min="9" max="12" width="15.85546875" style="5" customWidth="1"/>
    <col min="13" max="13" width="31.28515625" style="5"/>
    <col min="14" max="14" width="7.85546875" style="5" customWidth="1"/>
    <col min="15" max="15" width="14.42578125" style="5" customWidth="1"/>
    <col min="16" max="16" width="8.42578125" style="5" customWidth="1"/>
    <col min="17" max="17" width="8.7109375" style="5" customWidth="1"/>
    <col min="18" max="18" width="12.7109375" style="5" customWidth="1"/>
    <col min="19" max="19" width="14.7109375" style="5" bestFit="1" customWidth="1"/>
    <col min="20" max="20" width="14.140625" style="5" bestFit="1" customWidth="1"/>
    <col min="21" max="25" width="7.140625" style="5" customWidth="1"/>
    <col min="26" max="16384" width="31.28515625" style="5"/>
  </cols>
  <sheetData>
    <row r="1" spans="1:13" s="2" customFormat="1" ht="15" customHeight="1">
      <c r="A1" s="34" t="s">
        <v>0</v>
      </c>
      <c r="B1" s="103" t="s">
        <v>1</v>
      </c>
      <c r="C1" s="104" t="s">
        <v>2</v>
      </c>
      <c r="D1" s="104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 t="s">
        <v>8</v>
      </c>
      <c r="J1" s="47" t="s">
        <v>9</v>
      </c>
      <c r="K1" s="47" t="s">
        <v>10</v>
      </c>
      <c r="L1" s="47" t="s">
        <v>11</v>
      </c>
      <c r="M1" s="103" t="s">
        <v>12</v>
      </c>
    </row>
    <row r="2" spans="1:13" s="2" customFormat="1" ht="15" customHeight="1">
      <c r="A2" s="13" t="s">
        <v>13</v>
      </c>
      <c r="B2" s="112"/>
      <c r="C2" s="21"/>
      <c r="E2" s="21"/>
      <c r="F2" s="94">
        <f>'Week 1'!F2+7</f>
        <v>46153</v>
      </c>
      <c r="G2" s="95">
        <f>F2+1</f>
        <v>46154</v>
      </c>
      <c r="H2" s="95">
        <f t="shared" ref="H2:L2" si="0">G2+1</f>
        <v>46155</v>
      </c>
      <c r="I2" s="95">
        <f t="shared" si="0"/>
        <v>46156</v>
      </c>
      <c r="J2" s="95">
        <f t="shared" si="0"/>
        <v>46157</v>
      </c>
      <c r="K2" s="95">
        <f t="shared" si="0"/>
        <v>46158</v>
      </c>
      <c r="L2" s="95">
        <f t="shared" si="0"/>
        <v>46159</v>
      </c>
    </row>
    <row r="3" spans="1:13" s="2" customFormat="1" ht="15" customHeight="1">
      <c r="A3" s="13" t="s">
        <v>14</v>
      </c>
      <c r="B3" s="112">
        <f>1+(F2-'Week 1'!F2)/7</f>
        <v>2</v>
      </c>
      <c r="E3" s="21"/>
      <c r="F3" s="94"/>
      <c r="G3" s="95"/>
      <c r="H3" s="95"/>
      <c r="I3" s="95"/>
      <c r="J3" s="95"/>
      <c r="K3" s="95"/>
      <c r="L3" s="95"/>
    </row>
    <row r="4" spans="1:13" ht="22.5" customHeight="1">
      <c r="A4" s="13" t="s">
        <v>15</v>
      </c>
      <c r="B4" s="2"/>
      <c r="C4" s="21">
        <f ca="1">IF(INDIRECT("'Week "&amp;(B3-1)&amp;"'!C4")=1,2,IF(INDIRECT("'Week "&amp;(B3-1)&amp;"'!C4")=2,1,_xludf.NA))</f>
        <v>2</v>
      </c>
      <c r="D4" s="359" t="str">
        <f>'Week 1'!D4:L4</f>
        <v>PAEDIATRIC EMERGENCY DEPARTMENT ROSTER - Term 2 2026</v>
      </c>
      <c r="E4" s="360"/>
      <c r="F4" s="360"/>
      <c r="G4" s="360"/>
      <c r="H4" s="360"/>
      <c r="I4" s="360"/>
      <c r="J4" s="360"/>
      <c r="K4" s="360"/>
      <c r="L4" s="360"/>
    </row>
    <row r="5" spans="1:13" s="2" customFormat="1" ht="15" customHeight="1" thickBot="1">
      <c r="A5" s="13"/>
      <c r="C5" s="21"/>
      <c r="E5" s="21"/>
      <c r="F5" s="94"/>
      <c r="G5" s="95"/>
      <c r="H5" s="95"/>
      <c r="I5" s="95"/>
      <c r="J5" s="95"/>
      <c r="K5" s="95"/>
      <c r="L5" s="95"/>
    </row>
    <row r="6" spans="1:13" s="2" customFormat="1" ht="15" customHeight="1">
      <c r="A6" s="13"/>
      <c r="C6" s="21"/>
      <c r="D6" s="96" t="s">
        <v>17</v>
      </c>
      <c r="E6" s="97"/>
      <c r="F6" s="101">
        <f>COUNTIF(F$21:F$49,"0800-1???")-COUNTIFS(F$48,"0800-1???",$D$48,"Locum")-COUNTIFS(F$49,"0800-1???",$D$49,"Locum")</f>
        <v>3</v>
      </c>
      <c r="G6" s="101">
        <f t="shared" ref="G6:L6" si="1">COUNTIF(G$21:G$49,"0800-1???")-COUNTIFS(G$48,"0800-1???",$D$48,"Locum")-COUNTIFS(G$49,"0800-1???",$D$49,"Locum")</f>
        <v>3</v>
      </c>
      <c r="H6" s="101">
        <f t="shared" si="1"/>
        <v>3</v>
      </c>
      <c r="I6" s="101">
        <f t="shared" si="1"/>
        <v>3</v>
      </c>
      <c r="J6" s="101">
        <f t="shared" si="1"/>
        <v>3</v>
      </c>
      <c r="K6" s="101">
        <f t="shared" si="1"/>
        <v>2</v>
      </c>
      <c r="L6" s="101">
        <f t="shared" si="1"/>
        <v>2</v>
      </c>
    </row>
    <row r="7" spans="1:13" s="2" customFormat="1" ht="15" customHeight="1" thickBot="1">
      <c r="A7" s="13"/>
      <c r="C7" s="21"/>
      <c r="D7" s="68" t="s">
        <v>18</v>
      </c>
      <c r="E7" s="67"/>
      <c r="F7" s="109">
        <f t="shared" ref="F7:L7" si="2">COUNTIF(F$54:F$102,"0800-1???")</f>
        <v>6</v>
      </c>
      <c r="G7" s="109">
        <f t="shared" si="2"/>
        <v>7</v>
      </c>
      <c r="H7" s="109">
        <f t="shared" si="2"/>
        <v>5</v>
      </c>
      <c r="I7" s="109">
        <f t="shared" si="2"/>
        <v>4</v>
      </c>
      <c r="J7" s="109">
        <f t="shared" si="2"/>
        <v>4</v>
      </c>
      <c r="K7" s="109">
        <f t="shared" si="2"/>
        <v>5</v>
      </c>
      <c r="L7" s="157">
        <f t="shared" si="2"/>
        <v>6</v>
      </c>
    </row>
    <row r="8" spans="1:13" s="2" customFormat="1" ht="15" customHeight="1" thickBot="1">
      <c r="A8" s="13"/>
      <c r="C8" s="21"/>
      <c r="D8" s="98" t="s">
        <v>19</v>
      </c>
      <c r="E8" s="99"/>
      <c r="F8" s="108">
        <f>F6+F7</f>
        <v>9</v>
      </c>
      <c r="G8" s="108">
        <f t="shared" ref="G8:L8" si="3">G6+G7</f>
        <v>10</v>
      </c>
      <c r="H8" s="108">
        <f t="shared" si="3"/>
        <v>8</v>
      </c>
      <c r="I8" s="108">
        <f t="shared" si="3"/>
        <v>7</v>
      </c>
      <c r="J8" s="108">
        <f t="shared" si="3"/>
        <v>7</v>
      </c>
      <c r="K8" s="108">
        <f t="shared" si="3"/>
        <v>7</v>
      </c>
      <c r="L8" s="158">
        <f t="shared" si="3"/>
        <v>8</v>
      </c>
    </row>
    <row r="9" spans="1:13" s="2" customFormat="1" ht="15" customHeight="1" thickBot="1">
      <c r="A9" s="13"/>
      <c r="C9" s="21"/>
      <c r="E9" s="21"/>
      <c r="F9" s="21"/>
      <c r="G9" s="21"/>
      <c r="H9" s="21"/>
      <c r="I9" s="21"/>
      <c r="J9" s="21"/>
      <c r="K9" s="21"/>
      <c r="L9" s="21"/>
    </row>
    <row r="10" spans="1:13" s="2" customFormat="1" ht="15" customHeight="1">
      <c r="A10" s="13"/>
      <c r="C10" s="21"/>
      <c r="D10" s="96" t="s">
        <v>20</v>
      </c>
      <c r="E10" s="97"/>
      <c r="F10" s="101">
        <f>COUNTIF(F$21:F$49,"1100-????")-COUNTIFS(F$48,"1100-????",$D$48,"Locum")-COUNTIFS(F$49,"1100-????",$D$49,"Locum")</f>
        <v>0</v>
      </c>
      <c r="G10" s="101">
        <f t="shared" ref="G10:L10" si="4">COUNTIF(G$21:G$49,"1100-????")-COUNTIFS(G$48,"1100-????",$D$48,"Locum")-COUNTIFS(G$49,"1100-????",$D$49,"Locum")</f>
        <v>0</v>
      </c>
      <c r="H10" s="101">
        <f t="shared" si="4"/>
        <v>0</v>
      </c>
      <c r="I10" s="101">
        <f t="shared" si="4"/>
        <v>0</v>
      </c>
      <c r="J10" s="101">
        <f t="shared" si="4"/>
        <v>0</v>
      </c>
      <c r="K10" s="101">
        <f t="shared" si="4"/>
        <v>0</v>
      </c>
      <c r="L10" s="101">
        <f t="shared" si="4"/>
        <v>0</v>
      </c>
    </row>
    <row r="11" spans="1:13" s="2" customFormat="1" ht="15" customHeight="1">
      <c r="A11" s="13"/>
      <c r="C11" s="21"/>
      <c r="D11" s="68" t="s">
        <v>21</v>
      </c>
      <c r="E11" s="67"/>
      <c r="F11" s="161">
        <f>COUNTIF(F$54:F$102,"1100-????")</f>
        <v>0</v>
      </c>
      <c r="G11" s="161">
        <f t="shared" ref="G11:L11" si="5">COUNTIF(G$54:G$102,"1100-????")</f>
        <v>0</v>
      </c>
      <c r="H11" s="161">
        <f t="shared" si="5"/>
        <v>0</v>
      </c>
      <c r="I11" s="161">
        <f t="shared" si="5"/>
        <v>0</v>
      </c>
      <c r="J11" s="161">
        <f t="shared" si="5"/>
        <v>0</v>
      </c>
      <c r="K11" s="161">
        <f t="shared" si="5"/>
        <v>0</v>
      </c>
      <c r="L11" s="161">
        <f t="shared" si="5"/>
        <v>1</v>
      </c>
    </row>
    <row r="12" spans="1:13" s="2" customFormat="1" ht="15" customHeight="1">
      <c r="A12" s="13"/>
      <c r="C12" s="21"/>
      <c r="D12" s="68" t="s">
        <v>22</v>
      </c>
      <c r="E12" s="67"/>
      <c r="F12" s="102">
        <f>COUNTIF(F$21:F$49,"1???-00?0")-COUNTIFS(F$48,"1???-00?0",$D$48,"Locum")-COUNTIFS(F$49,"1???-00?0",$D$49,"Locum")</f>
        <v>3</v>
      </c>
      <c r="G12" s="102">
        <f t="shared" ref="G12:L12" si="6">COUNTIF(G$21:G$49,"1???-00?0")-COUNTIFS(G$48,"1???-00?0",$D$48,"Locum")-COUNTIFS(G$49,"1???-00?0",$D$49,"Locum")</f>
        <v>3</v>
      </c>
      <c r="H12" s="102">
        <f t="shared" si="6"/>
        <v>3</v>
      </c>
      <c r="I12" s="102">
        <f t="shared" si="6"/>
        <v>3</v>
      </c>
      <c r="J12" s="102">
        <f t="shared" si="6"/>
        <v>3</v>
      </c>
      <c r="K12" s="102">
        <f t="shared" si="6"/>
        <v>2</v>
      </c>
      <c r="L12" s="102">
        <f t="shared" si="6"/>
        <v>2</v>
      </c>
    </row>
    <row r="13" spans="1:13" s="2" customFormat="1" ht="15" customHeight="1" thickBot="1">
      <c r="A13" s="13"/>
      <c r="C13" s="21"/>
      <c r="D13" s="68" t="s">
        <v>23</v>
      </c>
      <c r="E13" s="67"/>
      <c r="F13" s="109">
        <f>COUNTIF(F$54:F$102,"1???-0000*")</f>
        <v>10</v>
      </c>
      <c r="G13" s="109">
        <f t="shared" ref="G13:L13" si="7">COUNTIF(G$54:G$102,"1???-0000*")</f>
        <v>9</v>
      </c>
      <c r="H13" s="109">
        <f t="shared" si="7"/>
        <v>8</v>
      </c>
      <c r="I13" s="109">
        <f t="shared" si="7"/>
        <v>8</v>
      </c>
      <c r="J13" s="109">
        <f t="shared" si="7"/>
        <v>7</v>
      </c>
      <c r="K13" s="109">
        <f t="shared" si="7"/>
        <v>7</v>
      </c>
      <c r="L13" s="157">
        <f t="shared" si="7"/>
        <v>9</v>
      </c>
    </row>
    <row r="14" spans="1:13" s="2" customFormat="1" ht="15" customHeight="1" thickBot="1">
      <c r="A14" s="13"/>
      <c r="C14" s="21"/>
      <c r="D14" s="98" t="s">
        <v>24</v>
      </c>
      <c r="E14" s="99"/>
      <c r="F14" s="108">
        <f>F12+F13</f>
        <v>13</v>
      </c>
      <c r="G14" s="108">
        <f t="shared" ref="G14:L14" si="8">G12+G13</f>
        <v>12</v>
      </c>
      <c r="H14" s="108">
        <f t="shared" si="8"/>
        <v>11</v>
      </c>
      <c r="I14" s="108">
        <f t="shared" si="8"/>
        <v>11</v>
      </c>
      <c r="J14" s="108">
        <f t="shared" si="8"/>
        <v>10</v>
      </c>
      <c r="K14" s="108">
        <f t="shared" si="8"/>
        <v>9</v>
      </c>
      <c r="L14" s="158">
        <f t="shared" si="8"/>
        <v>11</v>
      </c>
    </row>
    <row r="15" spans="1:13" s="2" customFormat="1" ht="15" customHeight="1" thickBot="1">
      <c r="A15" s="13"/>
      <c r="C15" s="21"/>
      <c r="E15" s="21"/>
      <c r="F15" s="21"/>
      <c r="G15" s="21"/>
      <c r="H15" s="21"/>
      <c r="I15" s="21"/>
      <c r="J15" s="21"/>
      <c r="K15" s="21"/>
      <c r="L15" s="21"/>
    </row>
    <row r="16" spans="1:13" s="2" customFormat="1" ht="15" customHeight="1" thickBot="1">
      <c r="A16" s="13"/>
      <c r="C16" s="21"/>
      <c r="D16" s="100" t="s">
        <v>25</v>
      </c>
      <c r="E16" s="72"/>
      <c r="F16" s="66">
        <f t="shared" ref="F16:L16" si="9">COUNTIF(F$54:F$99,"2300-0830")</f>
        <v>4</v>
      </c>
      <c r="G16" s="66">
        <f t="shared" si="9"/>
        <v>4</v>
      </c>
      <c r="H16" s="66">
        <f t="shared" si="9"/>
        <v>5</v>
      </c>
      <c r="I16" s="66">
        <f t="shared" si="9"/>
        <v>5</v>
      </c>
      <c r="J16" s="66">
        <f t="shared" si="9"/>
        <v>4</v>
      </c>
      <c r="K16" s="66">
        <f t="shared" si="9"/>
        <v>4</v>
      </c>
      <c r="L16" s="159">
        <f t="shared" si="9"/>
        <v>4</v>
      </c>
    </row>
    <row r="17" spans="1:25" s="2" customFormat="1" ht="15" customHeight="1" thickBot="1">
      <c r="A17" s="13"/>
      <c r="C17" s="21"/>
      <c r="E17" s="21"/>
      <c r="F17" s="21"/>
      <c r="G17" s="21"/>
      <c r="H17" s="21"/>
      <c r="I17" s="21"/>
      <c r="J17" s="21"/>
      <c r="K17" s="21"/>
      <c r="L17" s="21"/>
    </row>
    <row r="18" spans="1:25" s="2" customFormat="1" ht="15" customHeight="1" thickBot="1">
      <c r="A18" s="13"/>
      <c r="C18" s="21"/>
      <c r="D18" s="61" t="s">
        <v>26</v>
      </c>
      <c r="E18" s="62" t="s">
        <v>4</v>
      </c>
      <c r="F18" s="62" t="s">
        <v>5</v>
      </c>
      <c r="G18" s="62" t="s">
        <v>6</v>
      </c>
      <c r="H18" s="62" t="s">
        <v>7</v>
      </c>
      <c r="I18" s="62" t="s">
        <v>8</v>
      </c>
      <c r="J18" s="62" t="s">
        <v>9</v>
      </c>
      <c r="K18" s="62" t="s">
        <v>10</v>
      </c>
      <c r="L18" s="63" t="s">
        <v>11</v>
      </c>
      <c r="N18" s="145" t="s">
        <v>27</v>
      </c>
      <c r="O18" s="145" t="s">
        <v>28</v>
      </c>
      <c r="P18" s="136" t="s">
        <v>29</v>
      </c>
      <c r="R18" s="146" t="s">
        <v>30</v>
      </c>
      <c r="S18" s="145" t="s">
        <v>31</v>
      </c>
    </row>
    <row r="19" spans="1:25" s="2" customFormat="1" ht="15" customHeight="1" thickBot="1">
      <c r="A19" s="13"/>
      <c r="C19" s="21"/>
      <c r="D19" s="93"/>
      <c r="E19" s="91"/>
      <c r="F19" s="92">
        <f>F2</f>
        <v>46153</v>
      </c>
      <c r="G19" s="64">
        <f t="shared" ref="G19:L19" si="10">F19+1</f>
        <v>46154</v>
      </c>
      <c r="H19" s="64">
        <f t="shared" si="10"/>
        <v>46155</v>
      </c>
      <c r="I19" s="64">
        <f t="shared" si="10"/>
        <v>46156</v>
      </c>
      <c r="J19" s="64">
        <f t="shared" si="10"/>
        <v>46157</v>
      </c>
      <c r="K19" s="64">
        <f t="shared" si="10"/>
        <v>46158</v>
      </c>
      <c r="L19" s="65">
        <f t="shared" si="10"/>
        <v>46159</v>
      </c>
      <c r="N19" s="147" t="s">
        <v>32</v>
      </c>
      <c r="O19" s="21" t="s">
        <v>32</v>
      </c>
      <c r="P19" s="148"/>
      <c r="R19" s="149" t="s">
        <v>32</v>
      </c>
      <c r="S19" s="147" t="s">
        <v>32</v>
      </c>
      <c r="U19" s="2" t="s">
        <v>33</v>
      </c>
      <c r="V19" s="142" t="s">
        <v>34</v>
      </c>
      <c r="W19" s="2" t="s">
        <v>35</v>
      </c>
      <c r="X19" s="2" t="s">
        <v>36</v>
      </c>
      <c r="Y19" s="2" t="s">
        <v>37</v>
      </c>
    </row>
    <row r="20" spans="1:25" s="2" customFormat="1" ht="15.75" customHeight="1" thickBot="1">
      <c r="A20" s="114" t="s">
        <v>38</v>
      </c>
      <c r="B20" s="115"/>
      <c r="C20" s="116"/>
      <c r="D20" s="117" t="s">
        <v>38</v>
      </c>
      <c r="E20" s="155"/>
      <c r="F20" s="118"/>
      <c r="G20" s="119"/>
      <c r="H20" s="119"/>
      <c r="I20" s="119"/>
      <c r="J20" s="119"/>
      <c r="K20" s="119"/>
      <c r="L20" s="120"/>
      <c r="N20" s="160"/>
      <c r="O20" s="160"/>
      <c r="P20" s="150"/>
      <c r="R20" s="151"/>
      <c r="S20" s="160"/>
      <c r="T20" s="160"/>
      <c r="U20" s="160"/>
      <c r="V20" s="142"/>
    </row>
    <row r="21" spans="1:25" s="2" customFormat="1" ht="15" customHeight="1">
      <c r="A21" s="162" t="s">
        <v>39</v>
      </c>
      <c r="B21" s="162"/>
      <c r="C21" s="164"/>
      <c r="D21" s="234" t="s">
        <v>40</v>
      </c>
      <c r="E21" s="165">
        <f>IFERROR(VLOOKUP(D21,'Employee Numbers'!$A$3:$B$84,2,FALSE),"NOT FOUND")</f>
        <v>287628</v>
      </c>
      <c r="F21" s="235" t="s">
        <v>41</v>
      </c>
      <c r="G21" s="236" t="s">
        <v>41</v>
      </c>
      <c r="H21" s="236" t="s">
        <v>41</v>
      </c>
      <c r="I21" s="236" t="s">
        <v>42</v>
      </c>
      <c r="J21" s="236"/>
      <c r="K21" s="236"/>
      <c r="L21" s="237"/>
      <c r="N21">
        <f t="array" ref="N21">((SUM(IFERROR((TEXT(IF(ISNUMBER(SEARCH("-", F21:L21)), MID(F21:L21, SEARCH("-", F21:L21) + 1, 4), ""), "00\:00") - TEXT(IF(ISNUMBER(SEARCH("-", F21:L21)), MID(F21:L21, SEARCH("-", F21:L21) - 4, 4), ""), "00\:00") + IF(TEXT(IF(ISNUMBER(SEARCH("-", F21:L21)), MID(F21:L21, SEARCH("-", F21:L21) + 1, 4), ""), "00\:00") &lt; TEXT(IF(ISNUMBER(SEARCH("-", F21:L21)), MID(F21:L21, SEARCH("-", F21:L21) - 4, 4), ""), "00\:00"), 1, 0))*24,""))))/9.5</f>
        <v>4</v>
      </c>
      <c r="O21"/>
      <c r="P21" s="151">
        <f>N21+O21</f>
        <v>4</v>
      </c>
      <c r="R21" s="4">
        <f ca="1">IF($C$4=1,SUM(P21+INDIRECT("'Week "&amp;($B$3+1)&amp;"'!P"&amp;(ROW()))),IF($C$4=2,SUM(P21+INDIRECT("'Week "&amp;($B$3-1)&amp;"'!P"&amp;(ROW())))))</f>
        <v>8</v>
      </c>
      <c r="S21" s="2">
        <f>(IFERROR(VLOOKUP(D21,'Employee Numbers'!$A$3:$C$84,3,FALSE),"NOT FOUND"))*8</f>
        <v>8</v>
      </c>
      <c r="U21" s="142">
        <f>COUNTIF(E21:K21,"0800-1730")</f>
        <v>0</v>
      </c>
      <c r="V21" s="142">
        <f>COUNTIF(F21:L21,"1???-00?0")</f>
        <v>1</v>
      </c>
      <c r="W21" s="2">
        <f>COUNTIF(F21:L21,"*0800-1730*CS*")+COUNTIF(F21:L21,"*0800-1730*DEMT*")</f>
        <v>3</v>
      </c>
      <c r="Y21" s="2">
        <f>COUNTIF(K21:L21,"???0-*")</f>
        <v>0</v>
      </c>
    </row>
    <row r="22" spans="1:25" s="2" customFormat="1" ht="15" customHeight="1">
      <c r="A22" s="2" t="s">
        <v>39</v>
      </c>
      <c r="B22" s="46"/>
      <c r="C22" s="21"/>
      <c r="D22" s="227" t="s">
        <v>43</v>
      </c>
      <c r="E22" s="226">
        <f>IFERROR(VLOOKUP(D22,'Employee Numbers'!$A$3:$B$84,2,FALSE),"NOT FOUND")</f>
        <v>609660</v>
      </c>
      <c r="F22" s="29" t="s">
        <v>41</v>
      </c>
      <c r="G22" s="31" t="s">
        <v>41</v>
      </c>
      <c r="H22" s="31" t="s">
        <v>44</v>
      </c>
      <c r="I22" s="31" t="s">
        <v>42</v>
      </c>
      <c r="J22" s="31"/>
      <c r="K22" s="31"/>
      <c r="L22" s="228"/>
      <c r="N22">
        <f t="array" ref="N22">((SUM(IFERROR((TEXT(IF(ISNUMBER(SEARCH("-", F22:L22)), MID(F22:L22, SEARCH("-", F22:L22) + 1, 4), ""), "00\:00") - TEXT(IF(ISNUMBER(SEARCH("-", F22:L22)), MID(F22:L22, SEARCH("-", F22:L22) - 4, 4), ""), "00\:00") + IF(TEXT(IF(ISNUMBER(SEARCH("-", F22:L22)), MID(F22:L22, SEARCH("-", F22:L22) + 1, 4), ""), "00\:00") &lt; TEXT(IF(ISNUMBER(SEARCH("-", F22:L22)), MID(F22:L22, SEARCH("-", F22:L22) - 4, 4), ""), "00\:00"), 1, 0))*24,""))))/9.5</f>
        <v>4</v>
      </c>
      <c r="O22"/>
      <c r="P22" s="151">
        <f t="shared" ref="P22:P47" si="11">N22+O22</f>
        <v>4</v>
      </c>
      <c r="R22" s="4">
        <f t="shared" ref="R22:R47" ca="1" si="12">IF($C$4=1,SUM(P22+INDIRECT("'Week "&amp;($B$3+1)&amp;"'!P"&amp;(ROW()))),IF($C$4=2,SUM(P22+INDIRECT("'Week "&amp;($B$3-1)&amp;"'!P"&amp;(ROW())))))</f>
        <v>8</v>
      </c>
      <c r="S22" s="2">
        <f>(IFERROR(VLOOKUP(D22,'Employee Numbers'!$A$3:$C$84,3,FALSE),"NOT FOUND"))*8</f>
        <v>8</v>
      </c>
      <c r="U22" s="142">
        <f t="shared" ref="U22:U47" si="13">COUNTIF(E22:K22,"0800-1730")</f>
        <v>1</v>
      </c>
      <c r="V22" s="142">
        <f t="shared" ref="V22:V47" si="14">COUNTIF(F22:L22,"1???-00?0")</f>
        <v>1</v>
      </c>
      <c r="W22" s="2">
        <f t="shared" ref="W22:W47" si="15">COUNTIF(F22:L22,"*0800-1730*CS*")+COUNTIF(F22:L22,"*0800-1730*DEMT*")</f>
        <v>2</v>
      </c>
      <c r="Y22" s="2">
        <f t="shared" ref="Y22:Y47" si="16">COUNTIF(K22:L22,"???0-*")</f>
        <v>0</v>
      </c>
    </row>
    <row r="23" spans="1:25" s="2" customFormat="1" ht="15" customHeight="1">
      <c r="A23" s="162" t="s">
        <v>39</v>
      </c>
      <c r="B23" s="163"/>
      <c r="C23" s="238"/>
      <c r="D23" s="239" t="s">
        <v>45</v>
      </c>
      <c r="E23" s="165">
        <f>IFERROR(VLOOKUP(D23,'Employee Numbers'!$A$3:$B$84,2,FALSE),"NOT FOUND")</f>
        <v>610036</v>
      </c>
      <c r="F23" s="176" t="s">
        <v>41</v>
      </c>
      <c r="G23" s="166" t="s">
        <v>44</v>
      </c>
      <c r="H23" s="166" t="s">
        <v>44</v>
      </c>
      <c r="I23" s="166"/>
      <c r="J23" s="166" t="s">
        <v>42</v>
      </c>
      <c r="K23" s="166"/>
      <c r="L23" s="167"/>
      <c r="N23">
        <f t="array" ref="N23">((SUM(IFERROR((TEXT(IF(ISNUMBER(SEARCH("-", F23:L23)), MID(F23:L23, SEARCH("-", F23:L23) + 1, 4), ""), "00\:00") - TEXT(IF(ISNUMBER(SEARCH("-", F23:L23)), MID(F23:L23, SEARCH("-", F23:L23) - 4, 4), ""), "00\:00") + IF(TEXT(IF(ISNUMBER(SEARCH("-", F23:L23)), MID(F23:L23, SEARCH("-", F23:L23) + 1, 4), ""), "00\:00") &lt; TEXT(IF(ISNUMBER(SEARCH("-", F23:L23)), MID(F23:L23, SEARCH("-", F23:L23) - 4, 4), ""), "00\:00"), 1, 0))*24,""))))/9.5</f>
        <v>4</v>
      </c>
      <c r="O23"/>
      <c r="P23" s="151">
        <f t="shared" si="11"/>
        <v>4</v>
      </c>
      <c r="R23" s="4">
        <f t="shared" ca="1" si="12"/>
        <v>7.8947368421052637</v>
      </c>
      <c r="S23" s="2">
        <f>(IFERROR(VLOOKUP(D23,'Employee Numbers'!$A$3:$C$84,3,FALSE),"NOT FOUND"))*8</f>
        <v>8</v>
      </c>
      <c r="U23" s="142">
        <f t="shared" si="13"/>
        <v>2</v>
      </c>
      <c r="V23" s="142">
        <f t="shared" si="14"/>
        <v>1</v>
      </c>
      <c r="W23" s="2">
        <f t="shared" si="15"/>
        <v>1</v>
      </c>
      <c r="Y23" s="2">
        <f t="shared" si="16"/>
        <v>0</v>
      </c>
    </row>
    <row r="24" spans="1:25" s="2" customFormat="1" ht="15" customHeight="1">
      <c r="A24" s="2" t="s">
        <v>39</v>
      </c>
      <c r="B24" s="46"/>
      <c r="C24" s="47"/>
      <c r="D24" s="227" t="s">
        <v>49</v>
      </c>
      <c r="E24" s="226">
        <f>IFERROR(VLOOKUP(D24,'Employee Numbers'!$A$3:$B$84,2,FALSE),"NOT FOUND")</f>
        <v>533509</v>
      </c>
      <c r="F24" s="29" t="s">
        <v>50</v>
      </c>
      <c r="G24" s="31" t="s">
        <v>50</v>
      </c>
      <c r="H24" s="31" t="s">
        <v>50</v>
      </c>
      <c r="I24" s="31" t="s">
        <v>50</v>
      </c>
      <c r="J24" s="31" t="s">
        <v>50</v>
      </c>
      <c r="K24" s="31" t="s">
        <v>50</v>
      </c>
      <c r="L24" s="228" t="s">
        <v>50</v>
      </c>
      <c r="N24">
        <f t="array" ref="N24">((SUM(IFERROR((TEXT(IF(ISNUMBER(SEARCH("-", F24:L24)), MID(F24:L24, SEARCH("-", F24:L24) + 1, 4), ""), "00\:00") - TEXT(IF(ISNUMBER(SEARCH("-", F24:L24)), MID(F24:L24, SEARCH("-", F24:L24) - 4, 4), ""), "00\:00") + IF(TEXT(IF(ISNUMBER(SEARCH("-", F24:L24)), MID(F24:L24, SEARCH("-", F24:L24) + 1, 4), ""), "00\:00") &lt; TEXT(IF(ISNUMBER(SEARCH("-", F24:L24)), MID(F24:L24, SEARCH("-", F24:L24) - 4, 4), ""), "00\:00"), 1, 0))*24,""))))/9.5</f>
        <v>0</v>
      </c>
      <c r="O24"/>
      <c r="P24" s="151">
        <f t="shared" si="11"/>
        <v>0</v>
      </c>
      <c r="R24" s="4">
        <f t="shared" ca="1" si="12"/>
        <v>0</v>
      </c>
      <c r="S24" s="2">
        <f>(IFERROR(VLOOKUP(D24,'Employee Numbers'!$A$3:$C$84,3,FALSE),"NOT FOUND"))*8</f>
        <v>0</v>
      </c>
      <c r="U24" s="142">
        <f t="shared" si="13"/>
        <v>0</v>
      </c>
      <c r="V24" s="142">
        <f t="shared" si="14"/>
        <v>0</v>
      </c>
      <c r="W24" s="2">
        <f t="shared" si="15"/>
        <v>0</v>
      </c>
      <c r="Y24" s="2">
        <f t="shared" si="16"/>
        <v>0</v>
      </c>
    </row>
    <row r="25" spans="1:25" s="2" customFormat="1" ht="15" customHeight="1">
      <c r="A25" s="162" t="s">
        <v>39</v>
      </c>
      <c r="B25" s="163"/>
      <c r="C25" s="238"/>
      <c r="D25" s="240" t="s">
        <v>51</v>
      </c>
      <c r="E25" s="165">
        <f>IFERROR(VLOOKUP(D25,'Employee Numbers'!$A$3:$B$84,2,FALSE),"NOT FOUND")</f>
        <v>625985</v>
      </c>
      <c r="F25" s="176" t="s">
        <v>42</v>
      </c>
      <c r="G25" s="166"/>
      <c r="H25" s="166"/>
      <c r="I25" s="166"/>
      <c r="J25" s="166" t="s">
        <v>171</v>
      </c>
      <c r="K25" s="166" t="s">
        <v>44</v>
      </c>
      <c r="L25" s="167" t="s">
        <v>44</v>
      </c>
      <c r="N25">
        <f t="array" ref="N25">((SUM(IFERROR((TEXT(IF(ISNUMBER(SEARCH("-", F25:L25)), MID(F25:L25, SEARCH("-", F25:L25) + 1, 4), ""), "00\:00") - TEXT(IF(ISNUMBER(SEARCH("-", F25:L25)), MID(F25:L25, SEARCH("-", F25:L25) - 4, 4), ""), "00\:00") + IF(TEXT(IF(ISNUMBER(SEARCH("-", F25:L25)), MID(F25:L25, SEARCH("-", F25:L25) + 1, 4), ""), "00\:00") &lt; TEXT(IF(ISNUMBER(SEARCH("-", F25:L25)), MID(F25:L25, SEARCH("-", F25:L25) - 4, 4), ""), "00\:00"), 1, 0))*24,""))))/9.5</f>
        <v>4</v>
      </c>
      <c r="O25"/>
      <c r="P25" s="151">
        <f t="shared" si="11"/>
        <v>4</v>
      </c>
      <c r="R25" s="4">
        <f t="shared" ca="1" si="12"/>
        <v>8</v>
      </c>
      <c r="S25" s="2">
        <f>(IFERROR(VLOOKUP(D25,'Employee Numbers'!$A$3:$C$84,3,FALSE),"NOT FOUND"))*8</f>
        <v>8</v>
      </c>
      <c r="U25" s="142">
        <f t="shared" si="13"/>
        <v>1</v>
      </c>
      <c r="V25" s="142">
        <f t="shared" si="14"/>
        <v>1</v>
      </c>
      <c r="W25" s="2">
        <f t="shared" si="15"/>
        <v>1</v>
      </c>
      <c r="Y25" s="2">
        <f t="shared" si="16"/>
        <v>2</v>
      </c>
    </row>
    <row r="26" spans="1:25" s="2" customFormat="1" ht="15" customHeight="1">
      <c r="A26" s="2" t="s">
        <v>39</v>
      </c>
      <c r="B26" s="46"/>
      <c r="C26" s="47"/>
      <c r="D26" s="227" t="s">
        <v>52</v>
      </c>
      <c r="E26" s="226">
        <f>IFERROR(VLOOKUP(D26,'Employee Numbers'!$A$3:$B$84,2,FALSE),"NOT FOUND")</f>
        <v>632301</v>
      </c>
      <c r="F26" s="29" t="s">
        <v>42</v>
      </c>
      <c r="G26" s="31" t="s">
        <v>41</v>
      </c>
      <c r="H26" s="31" t="s">
        <v>42</v>
      </c>
      <c r="I26" s="31"/>
      <c r="J26" s="31" t="s">
        <v>44</v>
      </c>
      <c r="K26" s="31"/>
      <c r="L26" s="228"/>
      <c r="M26" s="13"/>
      <c r="N26">
        <f t="array" ref="N26">((SUM(IFERROR((TEXT(IF(ISNUMBER(SEARCH("-", F26:L26)), MID(F26:L26, SEARCH("-", F26:L26) + 1, 4), ""), "00\:00") - TEXT(IF(ISNUMBER(SEARCH("-", F26:L26)), MID(F26:L26, SEARCH("-", F26:L26) - 4, 4), ""), "00\:00") + IF(TEXT(IF(ISNUMBER(SEARCH("-", F26:L26)), MID(F26:L26, SEARCH("-", F26:L26) + 1, 4), ""), "00\:00") &lt; TEXT(IF(ISNUMBER(SEARCH("-", F26:L26)), MID(F26:L26, SEARCH("-", F26:L26) - 4, 4), ""), "00\:00"), 1, 0))*24,""))))/9.5</f>
        <v>4</v>
      </c>
      <c r="O26"/>
      <c r="P26" s="151">
        <f t="shared" si="11"/>
        <v>4</v>
      </c>
      <c r="R26" s="4">
        <f t="shared" ca="1" si="12"/>
        <v>8</v>
      </c>
      <c r="S26" s="2">
        <f>(IFERROR(VLOOKUP(D26,'Employee Numbers'!$A$3:$C$84,3,FALSE),"NOT FOUND"))*8</f>
        <v>8</v>
      </c>
      <c r="U26" s="142">
        <f t="shared" si="13"/>
        <v>1</v>
      </c>
      <c r="V26" s="142">
        <f t="shared" si="14"/>
        <v>2</v>
      </c>
      <c r="W26" s="2">
        <f t="shared" si="15"/>
        <v>1</v>
      </c>
      <c r="Y26" s="2">
        <f t="shared" si="16"/>
        <v>0</v>
      </c>
    </row>
    <row r="27" spans="1:25" s="2" customFormat="1" ht="15" customHeight="1">
      <c r="A27" s="162" t="s">
        <v>39</v>
      </c>
      <c r="B27" s="163"/>
      <c r="C27" s="238"/>
      <c r="D27" s="240" t="s">
        <v>53</v>
      </c>
      <c r="E27" s="165">
        <f>IFERROR(VLOOKUP(D27,'Employee Numbers'!$A$3:$B$84,2,FALSE),"NOT FOUND")</f>
        <v>613891</v>
      </c>
      <c r="F27" s="176" t="s">
        <v>42</v>
      </c>
      <c r="G27" s="166"/>
      <c r="H27" s="166" t="s">
        <v>41</v>
      </c>
      <c r="I27" s="166" t="s">
        <v>44</v>
      </c>
      <c r="J27" s="166"/>
      <c r="K27" s="166"/>
      <c r="L27" s="167"/>
      <c r="M27" s="13"/>
      <c r="N27">
        <f t="array" ref="N27">((SUM(IFERROR((TEXT(IF(ISNUMBER(SEARCH("-", F27:L27)), MID(F27:L27, SEARCH("-", F27:L27) + 1, 4), ""), "00\:00") - TEXT(IF(ISNUMBER(SEARCH("-", F27:L27)), MID(F27:L27, SEARCH("-", F27:L27) - 4, 4), ""), "00\:00") + IF(TEXT(IF(ISNUMBER(SEARCH("-", F27:L27)), MID(F27:L27, SEARCH("-", F27:L27) + 1, 4), ""), "00\:00") &lt; TEXT(IF(ISNUMBER(SEARCH("-", F27:L27)), MID(F27:L27, SEARCH("-", F27:L27) - 4, 4), ""), "00\:00"), 1, 0))*24,""))))/9.5</f>
        <v>3</v>
      </c>
      <c r="O27"/>
      <c r="P27" s="151">
        <f t="shared" si="11"/>
        <v>3</v>
      </c>
      <c r="R27" s="4">
        <f t="shared" ca="1" si="12"/>
        <v>6</v>
      </c>
      <c r="S27" s="2">
        <f>(IFERROR(VLOOKUP(D27,'Employee Numbers'!$A$3:$C$84,3,FALSE),"NOT FOUND"))*8</f>
        <v>6</v>
      </c>
      <c r="U27" s="142">
        <f t="shared" si="13"/>
        <v>1</v>
      </c>
      <c r="V27" s="142">
        <f t="shared" si="14"/>
        <v>1</v>
      </c>
      <c r="W27" s="2">
        <f t="shared" si="15"/>
        <v>1</v>
      </c>
      <c r="Y27" s="2">
        <f t="shared" si="16"/>
        <v>0</v>
      </c>
    </row>
    <row r="28" spans="1:25" s="2" customFormat="1" ht="15" customHeight="1">
      <c r="A28" s="2" t="s">
        <v>39</v>
      </c>
      <c r="B28" s="46"/>
      <c r="C28" s="21"/>
      <c r="D28" s="227" t="s">
        <v>55</v>
      </c>
      <c r="E28" s="226">
        <f>IFERROR(VLOOKUP(D28,'Employee Numbers'!$A$3:$B$84,2,FALSE),"NOT FOUND")</f>
        <v>623657</v>
      </c>
      <c r="F28" s="29"/>
      <c r="G28" s="31"/>
      <c r="H28" s="31"/>
      <c r="I28" s="31" t="s">
        <v>44</v>
      </c>
      <c r="J28" s="31"/>
      <c r="K28" s="31"/>
      <c r="L28" s="228"/>
      <c r="N28">
        <f t="array" ref="N28">((SUM(IFERROR((TEXT(IF(ISNUMBER(SEARCH("-", F28:L28)), MID(F28:L28, SEARCH("-", F28:L28) + 1, 4), ""), "00\:00") - TEXT(IF(ISNUMBER(SEARCH("-", F28:L28)), MID(F28:L28, SEARCH("-", F28:L28) - 4, 4), ""), "00\:00") + IF(TEXT(IF(ISNUMBER(SEARCH("-", F28:L28)), MID(F28:L28, SEARCH("-", F28:L28) + 1, 4), ""), "00\:00") &lt; TEXT(IF(ISNUMBER(SEARCH("-", F28:L28)), MID(F28:L28, SEARCH("-", F28:L28) - 4, 4), ""), "00\:00"), 1, 0))*24,""))))/9.5</f>
        <v>1</v>
      </c>
      <c r="O28"/>
      <c r="P28" s="151">
        <f t="shared" si="11"/>
        <v>1</v>
      </c>
      <c r="R28" s="4">
        <f t="shared" ca="1" si="12"/>
        <v>2</v>
      </c>
      <c r="S28" s="2">
        <f>(IFERROR(VLOOKUP(D28,'Employee Numbers'!$A$3:$C$84,3,FALSE),"NOT FOUND"))*8</f>
        <v>2</v>
      </c>
      <c r="U28" s="142">
        <f t="shared" si="13"/>
        <v>1</v>
      </c>
      <c r="V28" s="142">
        <f t="shared" si="14"/>
        <v>0</v>
      </c>
      <c r="W28" s="2">
        <f t="shared" si="15"/>
        <v>0</v>
      </c>
      <c r="Y28" s="2">
        <f t="shared" si="16"/>
        <v>0</v>
      </c>
    </row>
    <row r="29" spans="1:25" s="2" customFormat="1" ht="15" customHeight="1">
      <c r="A29" s="162" t="s">
        <v>39</v>
      </c>
      <c r="B29" s="163"/>
      <c r="C29" s="164"/>
      <c r="D29" s="240" t="s">
        <v>56</v>
      </c>
      <c r="E29" s="165">
        <f>IFERROR(VLOOKUP(D29,'Employee Numbers'!$A$3:$B$84,2,FALSE),"NOT FOUND")</f>
        <v>623708</v>
      </c>
      <c r="F29" s="245"/>
      <c r="G29" s="166" t="s">
        <v>42</v>
      </c>
      <c r="H29" s="166" t="s">
        <v>41</v>
      </c>
      <c r="I29" s="166"/>
      <c r="J29" s="166" t="s">
        <v>44</v>
      </c>
      <c r="K29" s="166"/>
      <c r="L29" s="167"/>
      <c r="N29">
        <f t="array" ref="N29">((SUM(IFERROR((TEXT(IF(ISNUMBER(SEARCH("-", F29:L29)), MID(F29:L29, SEARCH("-", F29:L29) + 1, 4), ""), "00\:00") - TEXT(IF(ISNUMBER(SEARCH("-", F29:L29)), MID(F29:L29, SEARCH("-", F29:L29) - 4, 4), ""), "00\:00") + IF(TEXT(IF(ISNUMBER(SEARCH("-", F29:L29)), MID(F29:L29, SEARCH("-", F29:L29) + 1, 4), ""), "00\:00") &lt; TEXT(IF(ISNUMBER(SEARCH("-", F29:L29)), MID(F29:L29, SEARCH("-", F29:L29) - 4, 4), ""), "00\:00"), 1, 0))*24,""))))/9.5</f>
        <v>3</v>
      </c>
      <c r="O29"/>
      <c r="P29" s="151">
        <f t="shared" si="11"/>
        <v>3</v>
      </c>
      <c r="R29" s="4">
        <f t="shared" ca="1" si="12"/>
        <v>6</v>
      </c>
      <c r="S29" s="2">
        <f>(IFERROR(VLOOKUP(D29,'Employee Numbers'!$A$3:$C$84,3,FALSE),"NOT FOUND"))*8</f>
        <v>6</v>
      </c>
      <c r="U29" s="142">
        <f t="shared" si="13"/>
        <v>1</v>
      </c>
      <c r="V29" s="142">
        <f t="shared" si="14"/>
        <v>1</v>
      </c>
      <c r="W29" s="2">
        <f t="shared" si="15"/>
        <v>1</v>
      </c>
      <c r="Y29" s="2">
        <f t="shared" si="16"/>
        <v>0</v>
      </c>
    </row>
    <row r="30" spans="1:25" s="2" customFormat="1" ht="15" customHeight="1">
      <c r="A30" s="2" t="s">
        <v>39</v>
      </c>
      <c r="B30" s="46"/>
      <c r="C30" s="21"/>
      <c r="D30" s="227" t="s">
        <v>57</v>
      </c>
      <c r="E30" s="226">
        <f>IFERROR(VLOOKUP(D30,'Employee Numbers'!$A$3:$B$84,2,FALSE),"NOT FOUND")</f>
        <v>627680</v>
      </c>
      <c r="F30" s="29"/>
      <c r="G30" s="31" t="s">
        <v>44</v>
      </c>
      <c r="H30" s="31" t="s">
        <v>41</v>
      </c>
      <c r="I30" s="31" t="s">
        <v>42</v>
      </c>
      <c r="J30" s="31"/>
      <c r="K30" s="31"/>
      <c r="L30" s="228"/>
      <c r="N30">
        <f t="array" ref="N30">((SUM(IFERROR((TEXT(IF(ISNUMBER(SEARCH("-", F30:L30)), MID(F30:L30, SEARCH("-", F30:L30) + 1, 4), ""), "00\:00") - TEXT(IF(ISNUMBER(SEARCH("-", F30:L30)), MID(F30:L30, SEARCH("-", F30:L30) - 4, 4), ""), "00\:00") + IF(TEXT(IF(ISNUMBER(SEARCH("-", F30:L30)), MID(F30:L30, SEARCH("-", F30:L30) + 1, 4), ""), "00\:00") &lt; TEXT(IF(ISNUMBER(SEARCH("-", F30:L30)), MID(F30:L30, SEARCH("-", F30:L30) - 4, 4), ""), "00\:00"), 1, 0))*24,""))))/9.5</f>
        <v>3</v>
      </c>
      <c r="O30"/>
      <c r="P30" s="151">
        <f t="shared" si="11"/>
        <v>3</v>
      </c>
      <c r="R30" s="4">
        <f t="shared" ca="1" si="12"/>
        <v>6</v>
      </c>
      <c r="S30" s="2">
        <f>(IFERROR(VLOOKUP(D30,'Employee Numbers'!$A$3:$C$84,3,FALSE),"NOT FOUND"))*8</f>
        <v>6</v>
      </c>
      <c r="U30" s="142">
        <f t="shared" si="13"/>
        <v>1</v>
      </c>
      <c r="V30" s="142">
        <f t="shared" si="14"/>
        <v>1</v>
      </c>
      <c r="W30" s="2">
        <f t="shared" si="15"/>
        <v>1</v>
      </c>
      <c r="Y30" s="2">
        <f t="shared" si="16"/>
        <v>0</v>
      </c>
    </row>
    <row r="31" spans="1:25" s="2" customFormat="1" ht="15" customHeight="1">
      <c r="A31" s="162" t="s">
        <v>39</v>
      </c>
      <c r="B31" s="163"/>
      <c r="C31" s="164"/>
      <c r="D31" s="240" t="s">
        <v>58</v>
      </c>
      <c r="E31" s="165">
        <f>IFERROR(VLOOKUP(D31,'Employee Numbers'!$A$3:$B$84,2,FALSE),"NOT FOUND")</f>
        <v>633210</v>
      </c>
      <c r="F31" s="176"/>
      <c r="G31" s="166" t="s">
        <v>41</v>
      </c>
      <c r="H31" s="166"/>
      <c r="I31" s="166" t="s">
        <v>41</v>
      </c>
      <c r="J31" s="166"/>
      <c r="K31" s="166" t="s">
        <v>44</v>
      </c>
      <c r="L31" s="167" t="s">
        <v>54</v>
      </c>
      <c r="N31">
        <f t="array" ref="N31">((SUM(IFERROR((TEXT(IF(ISNUMBER(SEARCH("-", F31:L31)), MID(F31:L31, SEARCH("-", F31:L31) + 1, 4), ""), "00\:00") - TEXT(IF(ISNUMBER(SEARCH("-", F31:L31)), MID(F31:L31, SEARCH("-", F31:L31) - 4, 4), ""), "00\:00") + IF(TEXT(IF(ISNUMBER(SEARCH("-", F31:L31)), MID(F31:L31, SEARCH("-", F31:L31) + 1, 4), ""), "00\:00") &lt; TEXT(IF(ISNUMBER(SEARCH("-", F31:L31)), MID(F31:L31, SEARCH("-", F31:L31) - 4, 4), ""), "00\:00"), 1, 0))*24,""))))/9.5</f>
        <v>4</v>
      </c>
      <c r="O31"/>
      <c r="P31" s="151">
        <f t="shared" si="11"/>
        <v>4</v>
      </c>
      <c r="R31" s="4">
        <f t="shared" ca="1" si="12"/>
        <v>6</v>
      </c>
      <c r="S31" s="2">
        <f>(IFERROR(VLOOKUP(D31,'Employee Numbers'!$A$3:$C$84,3,FALSE),"NOT FOUND"))*8</f>
        <v>6</v>
      </c>
      <c r="U31" s="142">
        <f t="shared" si="13"/>
        <v>1</v>
      </c>
      <c r="V31" s="142">
        <f t="shared" si="14"/>
        <v>1</v>
      </c>
      <c r="W31" s="2">
        <f t="shared" si="15"/>
        <v>2</v>
      </c>
      <c r="Y31" s="2">
        <f t="shared" si="16"/>
        <v>2</v>
      </c>
    </row>
    <row r="32" spans="1:25" s="2" customFormat="1" ht="15" customHeight="1">
      <c r="A32" s="2" t="s">
        <v>39</v>
      </c>
      <c r="B32" s="46"/>
      <c r="C32" s="21"/>
      <c r="D32" s="230" t="s">
        <v>59</v>
      </c>
      <c r="E32" s="226">
        <f>IFERROR(VLOOKUP(D32,'Employee Numbers'!$A$3:$B$84,2,FALSE),"NOT FOUND")</f>
        <v>618952</v>
      </c>
      <c r="F32" s="29" t="s">
        <v>44</v>
      </c>
      <c r="G32" s="31" t="s">
        <v>42</v>
      </c>
      <c r="H32" s="31"/>
      <c r="I32" s="31"/>
      <c r="J32" s="31" t="s">
        <v>42</v>
      </c>
      <c r="K32" s="31"/>
      <c r="L32" s="228"/>
      <c r="N32">
        <f t="array" ref="N32">((SUM(IFERROR((TEXT(IF(ISNUMBER(SEARCH("-", F32:L32)), MID(F32:L32, SEARCH("-", F32:L32) + 1, 4), ""), "00\:00") - TEXT(IF(ISNUMBER(SEARCH("-", F32:L32)), MID(F32:L32, SEARCH("-", F32:L32) - 4, 4), ""), "00\:00") + IF(TEXT(IF(ISNUMBER(SEARCH("-", F32:L32)), MID(F32:L32, SEARCH("-", F32:L32) + 1, 4), ""), "00\:00") &lt; TEXT(IF(ISNUMBER(SEARCH("-", F32:L32)), MID(F32:L32, SEARCH("-", F32:L32) - 4, 4), ""), "00\:00"), 1, 0))*24,""))))/9.5</f>
        <v>3</v>
      </c>
      <c r="O32"/>
      <c r="P32" s="151">
        <f t="shared" si="11"/>
        <v>3</v>
      </c>
      <c r="R32" s="4">
        <f t="shared" ca="1" si="12"/>
        <v>3</v>
      </c>
      <c r="S32" s="2">
        <f>(IFERROR(VLOOKUP(D32,'Employee Numbers'!$A$3:$C$84,3,FALSE),"NOT FOUND"))*8</f>
        <v>6</v>
      </c>
      <c r="U32" s="142">
        <f t="shared" si="13"/>
        <v>1</v>
      </c>
      <c r="V32" s="142">
        <f t="shared" si="14"/>
        <v>2</v>
      </c>
      <c r="W32" s="2">
        <f t="shared" si="15"/>
        <v>0</v>
      </c>
      <c r="Y32" s="2">
        <f t="shared" si="16"/>
        <v>0</v>
      </c>
    </row>
    <row r="33" spans="1:25" s="2" customFormat="1" ht="15" customHeight="1">
      <c r="A33" s="162" t="s">
        <v>39</v>
      </c>
      <c r="B33" s="163"/>
      <c r="C33" s="164"/>
      <c r="D33" s="241" t="s">
        <v>61</v>
      </c>
      <c r="E33" s="165">
        <f>IFERROR(VLOOKUP(D33,'Employee Numbers'!$A$3:$B$84,2,FALSE),"NOT FOUND")</f>
        <v>649039</v>
      </c>
      <c r="F33" s="176"/>
      <c r="G33" s="166" t="s">
        <v>42</v>
      </c>
      <c r="H33" s="166"/>
      <c r="I33" s="166" t="s">
        <v>44</v>
      </c>
      <c r="J33" s="166"/>
      <c r="K33" s="166"/>
      <c r="L33" s="167"/>
      <c r="N33">
        <f t="array" ref="N33">((SUM(IFERROR((TEXT(IF(ISNUMBER(SEARCH("-", F33:L33)), MID(F33:L33, SEARCH("-", F33:L33) + 1, 4), ""), "00\:00") - TEXT(IF(ISNUMBER(SEARCH("-", F33:L33)), MID(F33:L33, SEARCH("-", F33:L33) - 4, 4), ""), "00\:00") + IF(TEXT(IF(ISNUMBER(SEARCH("-", F33:L33)), MID(F33:L33, SEARCH("-", F33:L33) + 1, 4), ""), "00\:00") &lt; TEXT(IF(ISNUMBER(SEARCH("-", F33:L33)), MID(F33:L33, SEARCH("-", F33:L33) - 4, 4), ""), "00\:00"), 1, 0))*24,""))))/9.5</f>
        <v>2</v>
      </c>
      <c r="O33"/>
      <c r="P33" s="151">
        <f t="shared" si="11"/>
        <v>2</v>
      </c>
      <c r="R33" s="4">
        <f t="shared" ca="1" si="12"/>
        <v>5</v>
      </c>
      <c r="S33" s="2">
        <f>(IFERROR(VLOOKUP(D33,'Employee Numbers'!$A$3:$C$84,3,FALSE),"NOT FOUND"))*8</f>
        <v>5</v>
      </c>
      <c r="U33" s="142">
        <f t="shared" si="13"/>
        <v>1</v>
      </c>
      <c r="V33" s="142">
        <f t="shared" si="14"/>
        <v>1</v>
      </c>
      <c r="W33" s="2">
        <f t="shared" si="15"/>
        <v>0</v>
      </c>
      <c r="Y33" s="2">
        <f t="shared" si="16"/>
        <v>0</v>
      </c>
    </row>
    <row r="34" spans="1:25" s="2" customFormat="1" ht="15" customHeight="1">
      <c r="A34" s="2" t="s">
        <v>39</v>
      </c>
      <c r="B34" s="46"/>
      <c r="C34" s="21"/>
      <c r="D34" s="227" t="s">
        <v>62</v>
      </c>
      <c r="E34" s="226">
        <f>IFERROR(VLOOKUP(D34,'Employee Numbers'!$A$3:$B$84,2,FALSE),"NOT FOUND")</f>
        <v>649671</v>
      </c>
      <c r="F34" s="29" t="s">
        <v>44</v>
      </c>
      <c r="G34" s="31" t="s">
        <v>44</v>
      </c>
      <c r="H34" s="31" t="s">
        <v>42</v>
      </c>
      <c r="I34" s="31"/>
      <c r="J34" s="31"/>
      <c r="K34" s="31"/>
      <c r="L34" s="228"/>
      <c r="N34">
        <f t="array" ref="N34">((SUM(IFERROR((TEXT(IF(ISNUMBER(SEARCH("-", F34:L34)), MID(F34:L34, SEARCH("-", F34:L34) + 1, 4), ""), "00\:00") - TEXT(IF(ISNUMBER(SEARCH("-", F34:L34)), MID(F34:L34, SEARCH("-", F34:L34) - 4, 4), ""), "00\:00") + IF(TEXT(IF(ISNUMBER(SEARCH("-", F34:L34)), MID(F34:L34, SEARCH("-", F34:L34) + 1, 4), ""), "00\:00") &lt; TEXT(IF(ISNUMBER(SEARCH("-", F34:L34)), MID(F34:L34, SEARCH("-", F34:L34) - 4, 4), ""), "00\:00"), 1, 0))*24,""))))/9.5</f>
        <v>3</v>
      </c>
      <c r="O34"/>
      <c r="P34" s="151">
        <f t="shared" si="11"/>
        <v>3</v>
      </c>
      <c r="R34" s="4">
        <f t="shared" ca="1" si="12"/>
        <v>6</v>
      </c>
      <c r="S34" s="2">
        <f>(IFERROR(VLOOKUP(D34,'Employee Numbers'!$A$3:$C$84,3,FALSE),"NOT FOUND"))*8</f>
        <v>6</v>
      </c>
      <c r="U34" s="142">
        <f t="shared" si="13"/>
        <v>2</v>
      </c>
      <c r="V34" s="142">
        <f t="shared" si="14"/>
        <v>1</v>
      </c>
      <c r="W34" s="2">
        <f t="shared" si="15"/>
        <v>0</v>
      </c>
      <c r="Y34" s="2">
        <f t="shared" si="16"/>
        <v>0</v>
      </c>
    </row>
    <row r="35" spans="1:25" s="2" customFormat="1" ht="15" customHeight="1">
      <c r="A35" s="162" t="s">
        <v>39</v>
      </c>
      <c r="B35" s="163"/>
      <c r="C35" s="164"/>
      <c r="D35" s="240" t="s">
        <v>64</v>
      </c>
      <c r="E35" s="165">
        <f>IFERROR(VLOOKUP(D35,'Employee Numbers'!$A$3:$B$84,2,FALSE),"NOT FOUND")</f>
        <v>646047</v>
      </c>
      <c r="F35" s="176"/>
      <c r="G35" s="166"/>
      <c r="H35" s="166"/>
      <c r="I35" s="166" t="s">
        <v>41</v>
      </c>
      <c r="J35" s="166"/>
      <c r="K35" s="166" t="s">
        <v>54</v>
      </c>
      <c r="L35" s="167"/>
      <c r="N35">
        <f t="array" ref="N35">((SUM(IFERROR((TEXT(IF(ISNUMBER(SEARCH("-", F35:L35)), MID(F35:L35, SEARCH("-", F35:L35) + 1, 4), ""), "00\:00") - TEXT(IF(ISNUMBER(SEARCH("-", F35:L35)), MID(F35:L35, SEARCH("-", F35:L35) - 4, 4), ""), "00\:00") + IF(TEXT(IF(ISNUMBER(SEARCH("-", F35:L35)), MID(F35:L35, SEARCH("-", F35:L35) + 1, 4), ""), "00\:00") &lt; TEXT(IF(ISNUMBER(SEARCH("-", F35:L35)), MID(F35:L35, SEARCH("-", F35:L35) - 4, 4), ""), "00\:00"), 1, 0))*24,""))))/9.5</f>
        <v>2</v>
      </c>
      <c r="O35"/>
      <c r="P35" s="151">
        <f t="shared" si="11"/>
        <v>2</v>
      </c>
      <c r="R35" s="4">
        <f t="shared" ca="1" si="12"/>
        <v>4</v>
      </c>
      <c r="S35" s="2">
        <f>(IFERROR(VLOOKUP(D35,'Employee Numbers'!$A$3:$C$84,3,FALSE),"NOT FOUND"))*8</f>
        <v>5</v>
      </c>
      <c r="U35" s="142">
        <f t="shared" si="13"/>
        <v>0</v>
      </c>
      <c r="V35" s="142">
        <f t="shared" si="14"/>
        <v>1</v>
      </c>
      <c r="W35" s="2">
        <f t="shared" si="15"/>
        <v>1</v>
      </c>
      <c r="Y35" s="2">
        <f t="shared" si="16"/>
        <v>1</v>
      </c>
    </row>
    <row r="36" spans="1:25" s="2" customFormat="1" ht="15" customHeight="1">
      <c r="A36" s="2" t="s">
        <v>39</v>
      </c>
      <c r="B36" s="46"/>
      <c r="C36" s="21"/>
      <c r="D36" s="229" t="s">
        <v>66</v>
      </c>
      <c r="E36" s="226">
        <f>IFERROR(VLOOKUP(D36,'Employee Numbers'!$A$3:$B$84,2,FALSE),"NOT FOUND")</f>
        <v>164003</v>
      </c>
      <c r="F36" s="29"/>
      <c r="G36" s="31" t="s">
        <v>172</v>
      </c>
      <c r="H36" s="31"/>
      <c r="I36" s="31" t="s">
        <v>41</v>
      </c>
      <c r="J36" s="31"/>
      <c r="K36" s="31"/>
      <c r="L36" s="228"/>
      <c r="N36">
        <f t="array" ref="N36">((SUM(IFERROR((TEXT(IF(ISNUMBER(SEARCH("-", F36:L36)), MID(F36:L36, SEARCH("-", F36:L36) + 1, 4), ""), "00\:00") - TEXT(IF(ISNUMBER(SEARCH("-", F36:L36)), MID(F36:L36, SEARCH("-", F36:L36) - 4, 4), ""), "00\:00") + IF(TEXT(IF(ISNUMBER(SEARCH("-", F36:L36)), MID(F36:L36, SEARCH("-", F36:L36) + 1, 4), ""), "00\:00") &lt; TEXT(IF(ISNUMBER(SEARCH("-", F36:L36)), MID(F36:L36, SEARCH("-", F36:L36) - 4, 4), ""), "00\:00"), 1, 0))*24,""))))/9.5</f>
        <v>2</v>
      </c>
      <c r="O36"/>
      <c r="P36" s="151">
        <f t="shared" si="11"/>
        <v>2</v>
      </c>
      <c r="R36" s="4">
        <f t="shared" ca="1" si="12"/>
        <v>4</v>
      </c>
      <c r="S36" s="2">
        <f>(IFERROR(VLOOKUP(D36,'Employee Numbers'!$A$3:$C$84,3,FALSE),"NOT FOUND"))*8</f>
        <v>4</v>
      </c>
      <c r="U36" s="142">
        <f t="shared" si="13"/>
        <v>0</v>
      </c>
      <c r="V36" s="142">
        <f t="shared" si="14"/>
        <v>0</v>
      </c>
      <c r="W36" s="2">
        <f t="shared" si="15"/>
        <v>2</v>
      </c>
      <c r="Y36" s="2">
        <f t="shared" si="16"/>
        <v>0</v>
      </c>
    </row>
    <row r="37" spans="1:25" s="2" customFormat="1" ht="15" customHeight="1">
      <c r="A37" s="162" t="s">
        <v>39</v>
      </c>
      <c r="B37" s="163"/>
      <c r="C37" s="164"/>
      <c r="D37" s="240" t="s">
        <v>67</v>
      </c>
      <c r="E37" s="165">
        <f>IFERROR(VLOOKUP(D37,'Employee Numbers'!$A$3:$B$84,2,FALSE),"NOT FOUND")</f>
        <v>609408</v>
      </c>
      <c r="F37" s="176"/>
      <c r="G37" s="166"/>
      <c r="H37" s="166"/>
      <c r="I37" s="166"/>
      <c r="J37" s="166"/>
      <c r="K37" s="166"/>
      <c r="L37" s="167"/>
      <c r="N37">
        <f t="array" ref="N37">((SUM(IFERROR((TEXT(IF(ISNUMBER(SEARCH("-", F37:L37)), MID(F37:L37, SEARCH("-", F37:L37) + 1, 4), ""), "00\:00") - TEXT(IF(ISNUMBER(SEARCH("-", F37:L37)), MID(F37:L37, SEARCH("-", F37:L37) - 4, 4), ""), "00\:00") + IF(TEXT(IF(ISNUMBER(SEARCH("-", F37:L37)), MID(F37:L37, SEARCH("-", F37:L37) + 1, 4), ""), "00\:00") &lt; TEXT(IF(ISNUMBER(SEARCH("-", F37:L37)), MID(F37:L37, SEARCH("-", F37:L37) - 4, 4), ""), "00\:00"), 1, 0))*24,""))))/9.5</f>
        <v>0</v>
      </c>
      <c r="O37"/>
      <c r="P37" s="151">
        <f t="shared" si="11"/>
        <v>0</v>
      </c>
      <c r="R37" s="4">
        <f t="shared" ca="1" si="12"/>
        <v>4</v>
      </c>
      <c r="S37" s="2">
        <f>(IFERROR(VLOOKUP(D37,'Employee Numbers'!$A$3:$C$84,3,FALSE),"NOT FOUND"))*8</f>
        <v>4</v>
      </c>
      <c r="U37" s="142">
        <f t="shared" si="13"/>
        <v>0</v>
      </c>
      <c r="V37" s="142">
        <f t="shared" si="14"/>
        <v>0</v>
      </c>
      <c r="W37" s="2">
        <f t="shared" si="15"/>
        <v>0</v>
      </c>
      <c r="Y37" s="2">
        <f t="shared" si="16"/>
        <v>0</v>
      </c>
    </row>
    <row r="38" spans="1:25" s="2" customFormat="1" ht="15" customHeight="1">
      <c r="A38" s="2" t="s">
        <v>39</v>
      </c>
      <c r="B38" s="46"/>
      <c r="C38" s="21"/>
      <c r="D38" s="227" t="s">
        <v>68</v>
      </c>
      <c r="E38" s="226">
        <f>IFERROR(VLOOKUP(D38,'Employee Numbers'!$A$3:$B$84,2,FALSE),"NOT FOUND")</f>
        <v>627619</v>
      </c>
      <c r="F38" s="29"/>
      <c r="G38" s="31" t="s">
        <v>63</v>
      </c>
      <c r="H38" s="31"/>
      <c r="I38" s="31" t="s">
        <v>41</v>
      </c>
      <c r="J38" s="31"/>
      <c r="K38" s="31"/>
      <c r="L38" s="228"/>
      <c r="N38">
        <f t="array" ref="N38">((SUM(IFERROR((TEXT(IF(ISNUMBER(SEARCH("-", F38:L38)), MID(F38:L38, SEARCH("-", F38:L38) + 1, 4), ""), "00\:00") - TEXT(IF(ISNUMBER(SEARCH("-", F38:L38)), MID(F38:L38, SEARCH("-", F38:L38) - 4, 4), ""), "00\:00") + IF(TEXT(IF(ISNUMBER(SEARCH("-", F38:L38)), MID(F38:L38, SEARCH("-", F38:L38) + 1, 4), ""), "00\:00") &lt; TEXT(IF(ISNUMBER(SEARCH("-", F38:L38)), MID(F38:L38, SEARCH("-", F38:L38) - 4, 4), ""), "00\:00"), 1, 0))*24,""))))/9.5</f>
        <v>2</v>
      </c>
      <c r="O38"/>
      <c r="P38" s="151">
        <f t="shared" si="11"/>
        <v>2</v>
      </c>
      <c r="R38" s="4">
        <f t="shared" ca="1" si="12"/>
        <v>4</v>
      </c>
      <c r="S38" s="2">
        <f>(IFERROR(VLOOKUP(D38,'Employee Numbers'!$A$3:$C$84,3,FALSE),"NOT FOUND"))*8</f>
        <v>4</v>
      </c>
      <c r="U38" s="142">
        <f t="shared" si="13"/>
        <v>0</v>
      </c>
      <c r="V38" s="142">
        <f t="shared" si="14"/>
        <v>0</v>
      </c>
      <c r="W38" s="2">
        <f t="shared" si="15"/>
        <v>2</v>
      </c>
      <c r="Y38" s="2">
        <f t="shared" si="16"/>
        <v>0</v>
      </c>
    </row>
    <row r="39" spans="1:25" s="2" customFormat="1" ht="15" customHeight="1">
      <c r="A39" s="162" t="s">
        <v>39</v>
      </c>
      <c r="B39" s="163"/>
      <c r="C39" s="164"/>
      <c r="D39" s="240" t="s">
        <v>71</v>
      </c>
      <c r="E39" s="165">
        <f>IFERROR(VLOOKUP(D39,'Employee Numbers'!$A$3:$B$84,2,FALSE),"NOT FOUND")</f>
        <v>632646</v>
      </c>
      <c r="F39" s="176"/>
      <c r="G39" s="166"/>
      <c r="H39" s="166"/>
      <c r="I39" s="166"/>
      <c r="J39" s="166"/>
      <c r="K39" s="166"/>
      <c r="L39" s="167"/>
      <c r="N39">
        <f t="array" ref="N39">((SUM(IFERROR((TEXT(IF(ISNUMBER(SEARCH("-", F39:L39)), MID(F39:L39, SEARCH("-", F39:L39) + 1, 4), ""), "00\:00") - TEXT(IF(ISNUMBER(SEARCH("-", F39:L39)), MID(F39:L39, SEARCH("-", F39:L39) - 4, 4), ""), "00\:00") + IF(TEXT(IF(ISNUMBER(SEARCH("-", F39:L39)), MID(F39:L39, SEARCH("-", F39:L39) + 1, 4), ""), "00\:00") &lt; TEXT(IF(ISNUMBER(SEARCH("-", F39:L39)), MID(F39:L39, SEARCH("-", F39:L39) - 4, 4), ""), "00\:00"), 1, 0))*24,""))))/9.5</f>
        <v>0</v>
      </c>
      <c r="O39"/>
      <c r="P39" s="151">
        <f t="shared" si="11"/>
        <v>0</v>
      </c>
      <c r="R39" s="4">
        <f t="shared" ca="1" si="12"/>
        <v>4</v>
      </c>
      <c r="S39" s="2">
        <f>(IFERROR(VLOOKUP(D39,'Employee Numbers'!$A$3:$C$84,3,FALSE),"NOT FOUND"))*8</f>
        <v>4</v>
      </c>
      <c r="U39" s="142">
        <f t="shared" si="13"/>
        <v>0</v>
      </c>
      <c r="V39" s="142">
        <f t="shared" si="14"/>
        <v>0</v>
      </c>
      <c r="W39" s="2">
        <f t="shared" si="15"/>
        <v>0</v>
      </c>
      <c r="Y39" s="2">
        <f t="shared" si="16"/>
        <v>0</v>
      </c>
    </row>
    <row r="40" spans="1:25" s="2" customFormat="1" ht="15" customHeight="1">
      <c r="A40" s="2" t="s">
        <v>39</v>
      </c>
      <c r="B40" s="46"/>
      <c r="C40" s="21"/>
      <c r="D40" s="229" t="s">
        <v>72</v>
      </c>
      <c r="E40" s="226">
        <f>IFERROR(VLOOKUP(D40,'Employee Numbers'!$A$3:$B$84,2,FALSE),"NOT FOUND")</f>
        <v>652844</v>
      </c>
      <c r="F40" s="29"/>
      <c r="G40" s="31" t="s">
        <v>41</v>
      </c>
      <c r="H40" s="31" t="s">
        <v>42</v>
      </c>
      <c r="I40" s="31"/>
      <c r="J40" s="31" t="s">
        <v>44</v>
      </c>
      <c r="K40" s="31" t="s">
        <v>54</v>
      </c>
      <c r="L40" s="228"/>
      <c r="N40">
        <f t="array" ref="N40">((SUM(IFERROR((TEXT(IF(ISNUMBER(SEARCH("-", F40:L40)), MID(F40:L40, SEARCH("-", F40:L40) + 1, 4), ""), "00\:00") - TEXT(IF(ISNUMBER(SEARCH("-", F40:L40)), MID(F40:L40, SEARCH("-", F40:L40) - 4, 4), ""), "00\:00") + IF(TEXT(IF(ISNUMBER(SEARCH("-", F40:L40)), MID(F40:L40, SEARCH("-", F40:L40) + 1, 4), ""), "00\:00") &lt; TEXT(IF(ISNUMBER(SEARCH("-", F40:L40)), MID(F40:L40, SEARCH("-", F40:L40) - 4, 4), ""), "00\:00"), 1, 0))*24,""))))/9.5</f>
        <v>4</v>
      </c>
      <c r="O40"/>
      <c r="P40" s="151">
        <f t="shared" si="11"/>
        <v>4</v>
      </c>
      <c r="R40" s="4">
        <f t="shared" ca="1" si="12"/>
        <v>4</v>
      </c>
      <c r="S40" s="2">
        <f>(IFERROR(VLOOKUP(D40,'Employee Numbers'!$A$3:$C$84,3,FALSE),"NOT FOUND"))*8</f>
        <v>4</v>
      </c>
      <c r="U40" s="142">
        <f t="shared" si="13"/>
        <v>1</v>
      </c>
      <c r="V40" s="142">
        <f t="shared" si="14"/>
        <v>2</v>
      </c>
      <c r="W40" s="2">
        <f t="shared" si="15"/>
        <v>1</v>
      </c>
      <c r="Y40" s="2">
        <f t="shared" si="16"/>
        <v>1</v>
      </c>
    </row>
    <row r="41" spans="1:25" s="2" customFormat="1" ht="15" customHeight="1">
      <c r="A41" s="162" t="s">
        <v>39</v>
      </c>
      <c r="B41" s="163"/>
      <c r="C41" s="164"/>
      <c r="D41" s="241" t="s">
        <v>73</v>
      </c>
      <c r="E41" s="165">
        <f>IFERROR(VLOOKUP(D41,'Employee Numbers'!$A$3:$B$84,2,FALSE),"NOT FOUND")</f>
        <v>634491</v>
      </c>
      <c r="F41" s="176" t="s">
        <v>63</v>
      </c>
      <c r="G41" s="166"/>
      <c r="H41" s="166" t="s">
        <v>44</v>
      </c>
      <c r="I41" s="166"/>
      <c r="J41" s="166" t="s">
        <v>42</v>
      </c>
      <c r="K41" s="166"/>
      <c r="L41" s="167" t="s">
        <v>54</v>
      </c>
      <c r="N41">
        <f t="array" ref="N41">((SUM(IFERROR((TEXT(IF(ISNUMBER(SEARCH("-", F41:L41)), MID(F41:L41, SEARCH("-", F41:L41) + 1, 4), ""), "00\:00") - TEXT(IF(ISNUMBER(SEARCH("-", F41:L41)), MID(F41:L41, SEARCH("-", F41:L41) - 4, 4), ""), "00\:00") + IF(TEXT(IF(ISNUMBER(SEARCH("-", F41:L41)), MID(F41:L41, SEARCH("-", F41:L41) + 1, 4), ""), "00\:00") &lt; TEXT(IF(ISNUMBER(SEARCH("-", F41:L41)), MID(F41:L41, SEARCH("-", F41:L41) - 4, 4), ""), "00\:00"), 1, 0))*24,""))))/9.5</f>
        <v>4</v>
      </c>
      <c r="O41"/>
      <c r="P41" s="151">
        <f t="shared" si="11"/>
        <v>4</v>
      </c>
      <c r="R41" s="4">
        <f t="shared" ca="1" si="12"/>
        <v>4</v>
      </c>
      <c r="S41" s="2">
        <f>(IFERROR(VLOOKUP(D41,'Employee Numbers'!$A$3:$C$84,3,FALSE),"NOT FOUND"))*8</f>
        <v>4</v>
      </c>
      <c r="U41" s="142">
        <f t="shared" si="13"/>
        <v>1</v>
      </c>
      <c r="V41" s="142">
        <f t="shared" si="14"/>
        <v>2</v>
      </c>
      <c r="W41" s="2">
        <f t="shared" si="15"/>
        <v>1</v>
      </c>
      <c r="Y41" s="2">
        <f t="shared" si="16"/>
        <v>1</v>
      </c>
    </row>
    <row r="42" spans="1:25" s="2" customFormat="1" ht="15" customHeight="1">
      <c r="A42" s="2" t="s">
        <v>39</v>
      </c>
      <c r="B42" s="46"/>
      <c r="C42" s="47"/>
      <c r="D42" s="227" t="s">
        <v>74</v>
      </c>
      <c r="E42" s="226">
        <f>IFERROR(VLOOKUP(D42,'Employee Numbers'!$A$3:$B$84,2,FALSE),"NOT FOUND")</f>
        <v>621988</v>
      </c>
      <c r="F42" s="250" t="s">
        <v>75</v>
      </c>
      <c r="G42" s="251" t="s">
        <v>75</v>
      </c>
      <c r="H42" s="251" t="s">
        <v>75</v>
      </c>
      <c r="I42" s="251" t="s">
        <v>75</v>
      </c>
      <c r="J42" s="251" t="s">
        <v>75</v>
      </c>
      <c r="K42" s="251" t="s">
        <v>75</v>
      </c>
      <c r="L42" s="252" t="s">
        <v>75</v>
      </c>
      <c r="N42">
        <f t="array" ref="N42">((SUM(IFERROR((TEXT(IF(ISNUMBER(SEARCH("-", F42:L42)), MID(F42:L42, SEARCH("-", F42:L42) + 1, 4), ""), "00\:00") - TEXT(IF(ISNUMBER(SEARCH("-", F42:L42)), MID(F42:L42, SEARCH("-", F42:L42) - 4, 4), ""), "00\:00") + IF(TEXT(IF(ISNUMBER(SEARCH("-", F42:L42)), MID(F42:L42, SEARCH("-", F42:L42) + 1, 4), ""), "00\:00") &lt; TEXT(IF(ISNUMBER(SEARCH("-", F42:L42)), MID(F42:L42, SEARCH("-", F42:L42) - 4, 4), ""), "00\:00"), 1, 0))*24,""))))/9.5</f>
        <v>0</v>
      </c>
      <c r="O42">
        <v>2</v>
      </c>
      <c r="P42" s="151">
        <f t="shared" si="11"/>
        <v>2</v>
      </c>
      <c r="R42" s="4">
        <f t="shared" ca="1" si="12"/>
        <v>4</v>
      </c>
      <c r="S42" s="2">
        <f>(IFERROR(VLOOKUP(D42,'Employee Numbers'!$A$3:$C$84,3,FALSE),"NOT FOUND"))*8</f>
        <v>4</v>
      </c>
      <c r="U42" s="142">
        <f t="shared" si="13"/>
        <v>0</v>
      </c>
      <c r="V42" s="142">
        <f t="shared" si="14"/>
        <v>0</v>
      </c>
      <c r="W42" s="2">
        <f t="shared" si="15"/>
        <v>0</v>
      </c>
      <c r="Y42" s="2">
        <f t="shared" si="16"/>
        <v>0</v>
      </c>
    </row>
    <row r="43" spans="1:25" s="2" customFormat="1" ht="15" customHeight="1">
      <c r="A43" s="162" t="s">
        <v>39</v>
      </c>
      <c r="B43" s="163"/>
      <c r="C43" s="238"/>
      <c r="D43" s="239" t="s">
        <v>76</v>
      </c>
      <c r="E43" s="165">
        <f>IFERROR(VLOOKUP(D43,'Employee Numbers'!$A$3:$B$84,2,FALSE),"NOT FOUND")</f>
        <v>409677</v>
      </c>
      <c r="F43" s="176" t="s">
        <v>44</v>
      </c>
      <c r="G43" s="166"/>
      <c r="H43" s="166"/>
      <c r="I43" s="166"/>
      <c r="J43" s="166"/>
      <c r="K43" s="166"/>
      <c r="L43" s="167" t="s">
        <v>44</v>
      </c>
      <c r="N43">
        <f t="array" ref="N43">((SUM(IFERROR((TEXT(IF(ISNUMBER(SEARCH("-", F43:L43)), MID(F43:L43, SEARCH("-", F43:L43) + 1, 4), ""), "00\:00") - TEXT(IF(ISNUMBER(SEARCH("-", F43:L43)), MID(F43:L43, SEARCH("-", F43:L43) - 4, 4), ""), "00\:00") + IF(TEXT(IF(ISNUMBER(SEARCH("-", F43:L43)), MID(F43:L43, SEARCH("-", F43:L43) + 1, 4), ""), "00\:00") &lt; TEXT(IF(ISNUMBER(SEARCH("-", F43:L43)), MID(F43:L43, SEARCH("-", F43:L43) - 4, 4), ""), "00\:00"), 1, 0))*24,""))))/9.5</f>
        <v>2</v>
      </c>
      <c r="O43"/>
      <c r="P43" s="151">
        <f t="shared" si="11"/>
        <v>2</v>
      </c>
      <c r="R43" s="4">
        <f t="shared" ca="1" si="12"/>
        <v>3</v>
      </c>
      <c r="S43" s="2">
        <f>(IFERROR(VLOOKUP(D43,'Employee Numbers'!$A$3:$C$84,3,FALSE),"NOT FOUND"))*8</f>
        <v>3</v>
      </c>
      <c r="U43" s="142">
        <f t="shared" si="13"/>
        <v>1</v>
      </c>
      <c r="V43" s="142">
        <f t="shared" si="14"/>
        <v>0</v>
      </c>
      <c r="W43" s="2">
        <f t="shared" si="15"/>
        <v>0</v>
      </c>
      <c r="Y43" s="2">
        <f t="shared" si="16"/>
        <v>1</v>
      </c>
    </row>
    <row r="44" spans="1:25" s="2" customFormat="1" ht="15" customHeight="1">
      <c r="A44" s="2" t="s">
        <v>39</v>
      </c>
      <c r="B44" s="46"/>
      <c r="C44" s="47"/>
      <c r="D44" s="249" t="s">
        <v>77</v>
      </c>
      <c r="E44" s="226">
        <f>IFERROR(VLOOKUP(D44,'Employee Numbers'!$A$3:$B$84,2,FALSE),"NOT FOUND")</f>
        <v>632590</v>
      </c>
      <c r="G44" s="31"/>
      <c r="H44" s="31"/>
      <c r="I44" s="31"/>
      <c r="J44" s="31"/>
      <c r="K44" s="31"/>
      <c r="L44" s="228"/>
      <c r="N44">
        <f t="array" ref="N44">((SUM(IFERROR((TEXT(IF(ISNUMBER(SEARCH("-", F44:L44)), MID(F44:L44, SEARCH("-", F44:L44) + 1, 4), ""), "00\:00") - TEXT(IF(ISNUMBER(SEARCH("-", F44:L44)), MID(F44:L44, SEARCH("-", F44:L44) - 4, 4), ""), "00\:00") + IF(TEXT(IF(ISNUMBER(SEARCH("-", F44:L44)), MID(F44:L44, SEARCH("-", F44:L44) + 1, 4), ""), "00\:00") &lt; TEXT(IF(ISNUMBER(SEARCH("-", F44:L44)), MID(F44:L44, SEARCH("-", F44:L44) - 4, 4), ""), "00\:00"), 1, 0))*24,""))))/9.5</f>
        <v>0</v>
      </c>
      <c r="O44"/>
      <c r="P44" s="151">
        <f t="shared" si="11"/>
        <v>0</v>
      </c>
      <c r="R44" s="4">
        <f t="shared" ca="1" si="12"/>
        <v>4</v>
      </c>
      <c r="S44" s="2">
        <f>(IFERROR(VLOOKUP(D44,'Employee Numbers'!$A$3:$C$84,3,FALSE),"NOT FOUND"))*8</f>
        <v>4</v>
      </c>
      <c r="U44" s="142">
        <f t="shared" si="13"/>
        <v>0</v>
      </c>
      <c r="V44" s="142">
        <f t="shared" si="14"/>
        <v>0</v>
      </c>
      <c r="W44" s="2">
        <f t="shared" si="15"/>
        <v>0</v>
      </c>
      <c r="Y44" s="2">
        <f t="shared" si="16"/>
        <v>0</v>
      </c>
    </row>
    <row r="45" spans="1:25" s="2" customFormat="1" ht="15" customHeight="1">
      <c r="A45" s="162" t="s">
        <v>39</v>
      </c>
      <c r="B45" s="163"/>
      <c r="C45" s="238"/>
      <c r="D45" s="240" t="s">
        <v>78</v>
      </c>
      <c r="E45" s="165">
        <f>IFERROR(VLOOKUP(D45,'Employee Numbers'!$A$3:$B$84,2,FALSE),"NOT FOUND")</f>
        <v>619537</v>
      </c>
      <c r="F45" s="176"/>
      <c r="G45" s="166"/>
      <c r="H45" s="166"/>
      <c r="I45" s="166"/>
      <c r="J45" s="166"/>
      <c r="K45" s="166"/>
      <c r="L45" s="167"/>
      <c r="N45">
        <f t="array" ref="N45">((SUM(IFERROR((TEXT(IF(ISNUMBER(SEARCH("-", F45:L45)), MID(F45:L45, SEARCH("-", F45:L45) + 1, 4), ""), "00\:00") - TEXT(IF(ISNUMBER(SEARCH("-", F45:L45)), MID(F45:L45, SEARCH("-", F45:L45) - 4, 4), ""), "00\:00") + IF(TEXT(IF(ISNUMBER(SEARCH("-", F45:L45)), MID(F45:L45, SEARCH("-", F45:L45) + 1, 4), ""), "00\:00") &lt; TEXT(IF(ISNUMBER(SEARCH("-", F45:L45)), MID(F45:L45, SEARCH("-", F45:L45) - 4, 4), ""), "00\:00"), 1, 0))*24,""))))/9.5</f>
        <v>0</v>
      </c>
      <c r="O45"/>
      <c r="P45" s="151">
        <f t="shared" si="11"/>
        <v>0</v>
      </c>
      <c r="R45" s="4">
        <f t="shared" ca="1" si="12"/>
        <v>1</v>
      </c>
      <c r="S45" s="2">
        <f>(IFERROR(VLOOKUP(D45,'Employee Numbers'!$A$3:$C$84,3,FALSE),"NOT FOUND"))*8</f>
        <v>1</v>
      </c>
      <c r="U45" s="142">
        <f t="shared" si="13"/>
        <v>0</v>
      </c>
      <c r="V45" s="142">
        <f>COUNTIF(F45:L45,"1???-00?0")</f>
        <v>0</v>
      </c>
      <c r="W45" s="2">
        <f>COUNTIF(F45:L45,"*0800-1730*CS*")+COUNTIF(F45:L45,"*0800-1730*DEMT*")</f>
        <v>0</v>
      </c>
      <c r="Y45" s="2">
        <f t="shared" si="16"/>
        <v>0</v>
      </c>
    </row>
    <row r="46" spans="1:25" s="2" customFormat="1" ht="15" customHeight="1">
      <c r="A46" s="2" t="s">
        <v>39</v>
      </c>
      <c r="B46" s="46"/>
      <c r="C46" s="47"/>
      <c r="D46" s="229" t="s">
        <v>79</v>
      </c>
      <c r="E46" s="226">
        <f>IFERROR(VLOOKUP(D46,'Employee Numbers'!$A$3:$B$84,2,FALSE),"NOT FOUND")</f>
        <v>621953</v>
      </c>
      <c r="F46" s="231"/>
      <c r="G46" s="136"/>
      <c r="H46" s="136"/>
      <c r="I46" s="136"/>
      <c r="J46" s="31"/>
      <c r="K46" s="136"/>
      <c r="L46" s="232"/>
      <c r="N46">
        <f t="array" ref="N46">((SUM(IFERROR((TEXT(IF(ISNUMBER(SEARCH("-", F46:L46)), MID(F46:L46, SEARCH("-", F46:L46) + 1, 4), ""), "00\:00") - TEXT(IF(ISNUMBER(SEARCH("-", F46:L46)), MID(F46:L46, SEARCH("-", F46:L46) - 4, 4), ""), "00\:00") + IF(TEXT(IF(ISNUMBER(SEARCH("-", F46:L46)), MID(F46:L46, SEARCH("-", F46:L46) + 1, 4), ""), "00\:00") &lt; TEXT(IF(ISNUMBER(SEARCH("-", F46:L46)), MID(F46:L46, SEARCH("-", F46:L46) - 4, 4), ""), "00\:00"), 1, 0))*24,""))))/9.5</f>
        <v>0</v>
      </c>
      <c r="O46"/>
      <c r="P46" s="151">
        <f t="shared" si="11"/>
        <v>0</v>
      </c>
      <c r="R46" s="4">
        <f t="shared" ca="1" si="12"/>
        <v>1</v>
      </c>
      <c r="S46" s="2">
        <f>(IFERROR(VLOOKUP(D46,'Employee Numbers'!$A$3:$C$84,3,FALSE),"NOT FOUND"))*8</f>
        <v>1</v>
      </c>
      <c r="U46" s="142">
        <f t="shared" si="13"/>
        <v>0</v>
      </c>
      <c r="V46" s="142">
        <f t="shared" si="14"/>
        <v>0</v>
      </c>
      <c r="W46" s="2">
        <f t="shared" si="15"/>
        <v>0</v>
      </c>
      <c r="Y46" s="2">
        <f t="shared" si="16"/>
        <v>0</v>
      </c>
    </row>
    <row r="47" spans="1:25" s="2" customFormat="1" ht="15" customHeight="1">
      <c r="A47" s="162" t="s">
        <v>39</v>
      </c>
      <c r="B47" s="163"/>
      <c r="C47" s="164"/>
      <c r="D47" s="242" t="s">
        <v>80</v>
      </c>
      <c r="E47" s="165">
        <f>IFERROR(VLOOKUP(D47,'Employee Numbers'!$A$3:$B$84,2,FALSE),"NOT FOUND")</f>
        <v>614504</v>
      </c>
      <c r="F47" s="176"/>
      <c r="G47" s="166"/>
      <c r="H47" s="166"/>
      <c r="I47" s="166"/>
      <c r="J47" s="166"/>
      <c r="K47" s="166"/>
      <c r="L47" s="167"/>
      <c r="N47">
        <f t="array" ref="N47">((SUM(IFERROR((TEXT(IF(ISNUMBER(SEARCH("-", F47:L47)), MID(F47:L47, SEARCH("-", F47:L47) + 1, 4), ""), "00\:00") - TEXT(IF(ISNUMBER(SEARCH("-", F47:L47)), MID(F47:L47, SEARCH("-", F47:L47) - 4, 4), ""), "00\:00") + IF(TEXT(IF(ISNUMBER(SEARCH("-", F47:L47)), MID(F47:L47, SEARCH("-", F47:L47) + 1, 4), ""), "00\:00") &lt; TEXT(IF(ISNUMBER(SEARCH("-", F47:L47)), MID(F47:L47, SEARCH("-", F47:L47) - 4, 4), ""), "00\:00"), 1, 0))*24,""))))/9.5</f>
        <v>0</v>
      </c>
      <c r="O47"/>
      <c r="P47" s="178">
        <f t="shared" si="11"/>
        <v>0</v>
      </c>
      <c r="R47" s="3">
        <f t="shared" ca="1" si="12"/>
        <v>1</v>
      </c>
      <c r="S47" s="2">
        <f>(IFERROR(VLOOKUP(D47,'Employee Numbers'!$A$3:$C$84,3,FALSE),"NOT FOUND"))*8</f>
        <v>1</v>
      </c>
      <c r="U47" s="142">
        <f t="shared" si="13"/>
        <v>0</v>
      </c>
      <c r="V47" s="142">
        <f t="shared" si="14"/>
        <v>0</v>
      </c>
      <c r="W47" s="2">
        <f t="shared" si="15"/>
        <v>0</v>
      </c>
      <c r="Y47" s="2">
        <f t="shared" si="16"/>
        <v>0</v>
      </c>
    </row>
    <row r="48" spans="1:25" s="2" customFormat="1" ht="15" customHeight="1">
      <c r="A48" s="2" t="s">
        <v>39</v>
      </c>
      <c r="B48" s="46"/>
      <c r="C48" s="21"/>
      <c r="D48" s="230" t="s">
        <v>81</v>
      </c>
      <c r="E48" s="226" t="str">
        <f>IFERROR(VLOOKUP(D48,'Employee Numbers'!$A$3:$B$84,2,FALSE),"NOT FOUND")</f>
        <v>N/A</v>
      </c>
      <c r="F48" s="31"/>
      <c r="G48" s="31"/>
      <c r="H48" s="136"/>
      <c r="I48" s="31"/>
      <c r="J48" s="31"/>
      <c r="K48" s="31"/>
      <c r="L48" s="228"/>
    </row>
    <row r="49" spans="1:21" s="2" customFormat="1" ht="15" customHeight="1" thickBot="1">
      <c r="A49" s="162" t="s">
        <v>39</v>
      </c>
      <c r="B49" s="163"/>
      <c r="C49" s="238"/>
      <c r="D49" s="243" t="s">
        <v>81</v>
      </c>
      <c r="E49" s="248" t="str">
        <f>IFERROR(VLOOKUP(D49,'Employee Numbers'!$A$3:$B$84,2,FALSE),"NOT FOUND")</f>
        <v>N/A</v>
      </c>
      <c r="F49" s="245"/>
      <c r="G49" s="246"/>
      <c r="H49" s="246"/>
      <c r="I49" s="246"/>
      <c r="J49" s="246"/>
      <c r="K49" s="246"/>
      <c r="L49" s="247"/>
    </row>
    <row r="50" spans="1:21" s="2" customFormat="1" ht="15" customHeight="1" thickBot="1">
      <c r="B50" s="46"/>
      <c r="C50" s="21"/>
      <c r="D50" s="16" t="s">
        <v>82</v>
      </c>
      <c r="E50" s="58"/>
      <c r="F50" s="28" t="s">
        <v>62</v>
      </c>
      <c r="G50" s="59" t="s">
        <v>45</v>
      </c>
      <c r="H50" s="59" t="s">
        <v>73</v>
      </c>
      <c r="I50" s="59" t="s">
        <v>61</v>
      </c>
      <c r="J50" s="59" t="s">
        <v>72</v>
      </c>
      <c r="K50" s="59" t="s">
        <v>58</v>
      </c>
      <c r="L50" s="60" t="s">
        <v>76</v>
      </c>
    </row>
    <row r="51" spans="1:21" s="2" customFormat="1" ht="15" customHeight="1">
      <c r="B51" s="46"/>
      <c r="C51" s="21"/>
      <c r="E51" s="21"/>
      <c r="R51" s="2">
        <f>(N54+P54)*9.5/38*5</f>
        <v>3.75</v>
      </c>
    </row>
    <row r="52" spans="1:21" s="2" customFormat="1" ht="15.75" customHeight="1">
      <c r="B52" s="46"/>
      <c r="C52" s="21"/>
      <c r="E52" s="21"/>
      <c r="F52" s="126">
        <f t="shared" ref="F52:L52" si="17">F2</f>
        <v>46153</v>
      </c>
      <c r="G52" s="126">
        <f t="shared" si="17"/>
        <v>46154</v>
      </c>
      <c r="H52" s="126">
        <f t="shared" si="17"/>
        <v>46155</v>
      </c>
      <c r="I52" s="126">
        <f t="shared" si="17"/>
        <v>46156</v>
      </c>
      <c r="J52" s="126">
        <f t="shared" si="17"/>
        <v>46157</v>
      </c>
      <c r="K52" s="126">
        <f t="shared" si="17"/>
        <v>46158</v>
      </c>
      <c r="L52" s="126">
        <f t="shared" si="17"/>
        <v>46159</v>
      </c>
      <c r="M52" s="34"/>
      <c r="N52" s="152" t="s">
        <v>27</v>
      </c>
      <c r="O52" s="152" t="s">
        <v>83</v>
      </c>
      <c r="P52" s="152" t="s">
        <v>84</v>
      </c>
      <c r="Q52" s="2" t="s">
        <v>29</v>
      </c>
      <c r="R52" s="152" t="s">
        <v>85</v>
      </c>
      <c r="S52" s="152" t="s">
        <v>30</v>
      </c>
      <c r="T52" s="152" t="s">
        <v>31</v>
      </c>
      <c r="U52" s="152"/>
    </row>
    <row r="53" spans="1:21" s="2" customFormat="1" ht="30" customHeight="1">
      <c r="A53" s="168" t="s">
        <v>86</v>
      </c>
      <c r="B53" s="169"/>
      <c r="C53" s="169"/>
      <c r="D53" s="169" t="s">
        <v>86</v>
      </c>
      <c r="E53" s="127" t="s">
        <v>4</v>
      </c>
      <c r="F53" s="266" t="s">
        <v>5</v>
      </c>
      <c r="G53" s="267" t="s">
        <v>6</v>
      </c>
      <c r="H53" s="268" t="s">
        <v>87</v>
      </c>
      <c r="I53" s="267" t="s">
        <v>8</v>
      </c>
      <c r="J53" s="267" t="s">
        <v>9</v>
      </c>
      <c r="K53" s="267" t="s">
        <v>10</v>
      </c>
      <c r="L53" s="269" t="s">
        <v>11</v>
      </c>
      <c r="M53" s="34"/>
      <c r="N53" s="147" t="s">
        <v>32</v>
      </c>
      <c r="O53" s="147" t="s">
        <v>88</v>
      </c>
      <c r="P53" s="147" t="s">
        <v>89</v>
      </c>
      <c r="R53" s="145" t="s">
        <v>90</v>
      </c>
      <c r="S53" s="147" t="s">
        <v>32</v>
      </c>
      <c r="T53" s="147" t="s">
        <v>32</v>
      </c>
      <c r="U53" s="147"/>
    </row>
    <row r="54" spans="1:21" s="2" customFormat="1" ht="15" customHeight="1">
      <c r="A54" s="44" t="s">
        <v>91</v>
      </c>
      <c r="B54" s="44"/>
      <c r="C54" s="45"/>
      <c r="D54" s="123" t="s">
        <v>92</v>
      </c>
      <c r="E54" s="284">
        <f>IFERROR(VLOOKUP(D54,'Employee Numbers'!$A$3:$B$84,2,FALSE),"NOT FOUND")</f>
        <v>634905</v>
      </c>
      <c r="F54" s="264" t="s">
        <v>42</v>
      </c>
      <c r="G54" s="264"/>
      <c r="H54" s="264" t="s">
        <v>44</v>
      </c>
      <c r="I54" s="264"/>
      <c r="J54" s="275"/>
      <c r="K54" s="264"/>
      <c r="L54" s="264" t="s">
        <v>42</v>
      </c>
      <c r="N54">
        <f t="array" ref="N54">((SUM(IFERROR((TEXT(IF(ISNUMBER(SEARCH("-", F54:L54)), MID(F54:L54, SEARCH("-", F54:L54) + 1, 4), ""), "00\:00") - TEXT(IF(ISNUMBER(SEARCH("-", F54:L54)), MID(F54:L54, SEARCH("-", F54:L54) - 4, 4), ""), "00\:00") + IF(TEXT(IF(ISNUMBER(SEARCH("-", F54:L54)), MID(F54:L54, SEARCH("-", F54:L54) + 1, 4), ""), "00\:00") &lt; TEXT(IF(ISNUMBER(SEARCH("-", F54:L54)), MID(F54:L54, SEARCH("-", F54:L54) - 4, 4), ""), "00\:00"), 1, 0))*24,""))))/9.5</f>
        <v>3</v>
      </c>
      <c r="O54"/>
      <c r="P54"/>
      <c r="Q54" s="2">
        <f>P54+O54+N54</f>
        <v>3</v>
      </c>
      <c r="R54" s="2">
        <f>IF(ISNUMBER(SEARCH("trg_5",H146)),5,IF(ISNUMBER(SEARCH("trg_3.75",H146)),3.75,IF(ISNUMBER(SEARCH("trg_2.5",H146)),2.5,IF(ISNUMBER(SEARCH("trg_1.75",H146)),1.75,0))))</f>
        <v>3.75</v>
      </c>
      <c r="S54">
        <f ca="1">IF($C$4=1,SUM(Q54+INDIRECT("'Week "&amp;($B$3+1)&amp;"'!Q"&amp;(ROW()))),IF($C$4=2,SUM(Q54+INDIRECT("'Week "&amp;($B$3-1)&amp;"'!Q"&amp;(ROW())))))</f>
        <v>6</v>
      </c>
      <c r="T54" s="2">
        <f>(IFERROR(VLOOKUP(D54,'Employee Numbers'!$A$3:$C$84,3,FALSE),"NOT FOUND"))*8</f>
        <v>8</v>
      </c>
    </row>
    <row r="55" spans="1:21" s="13" customFormat="1" ht="15" customHeight="1">
      <c r="A55" s="2" t="s">
        <v>91</v>
      </c>
      <c r="B55" s="2"/>
      <c r="C55" s="21"/>
      <c r="D55" s="86" t="s">
        <v>93</v>
      </c>
      <c r="E55" s="285">
        <f>IFERROR(VLOOKUP(D55,'Employee Numbers'!$A$3:$B$84,2,FALSE),"NOT FOUND")</f>
        <v>704751</v>
      </c>
      <c r="F55" s="264" t="s">
        <v>42</v>
      </c>
      <c r="G55" s="264" t="s">
        <v>42</v>
      </c>
      <c r="H55" s="264"/>
      <c r="I55" s="264" t="s">
        <v>41</v>
      </c>
      <c r="J55" s="264" t="s">
        <v>42</v>
      </c>
      <c r="K55" s="264"/>
      <c r="L55" s="264"/>
      <c r="N55">
        <f t="array" ref="N55">((SUM(IFERROR((TEXT(IF(ISNUMBER(SEARCH("-", F55:L55)), MID(F55:L55, SEARCH("-", F55:L55) + 1, 4), ""), "00\:00") - TEXT(IF(ISNUMBER(SEARCH("-", F55:L55)), MID(F55:L55, SEARCH("-", F55:L55) - 4, 4), ""), "00\:00") + IF(TEXT(IF(ISNUMBER(SEARCH("-", F55:L55)), MID(F55:L55, SEARCH("-", F55:L55) + 1, 4), ""), "00\:00") &lt; TEXT(IF(ISNUMBER(SEARCH("-", F55:L55)), MID(F55:L55, SEARCH("-", F55:L55) - 4, 4), ""), "00\:00"), 1, 0))*24,""))))/9.5</f>
        <v>4</v>
      </c>
      <c r="O55"/>
      <c r="P55"/>
      <c r="Q55" s="2">
        <f t="shared" ref="Q55:Q59" si="18">P55+O55+N55</f>
        <v>4</v>
      </c>
      <c r="R55" s="2">
        <f t="shared" ref="R55:R59" si="19">IF(ISNUMBER(SEARCH("trg_5",H147)),5,IF(ISNUMBER(SEARCH("trg_3.75",H147)),3.75,IF(ISNUMBER(SEARCH("trg_2.5",H147)),2.5,IF(ISNUMBER(SEARCH("trg_1.75",H147)),1.75,0))))</f>
        <v>5</v>
      </c>
      <c r="S55">
        <f t="shared" ref="S55:S59" ca="1" si="20">IF($C$4=1,SUM(Q55+INDIRECT("'Week "&amp;($B$3+1)&amp;"'!Q"&amp;(ROW()))),IF($C$4=2,SUM(Q55+INDIRECT("'Week "&amp;($B$3-1)&amp;"'!Q"&amp;(ROW())))))</f>
        <v>8</v>
      </c>
      <c r="T55" s="2">
        <f>(IFERROR(VLOOKUP(D55,'Employee Numbers'!$A$3:$C$84,3,FALSE),"NOT FOUND"))*8</f>
        <v>0</v>
      </c>
      <c r="U55" s="2"/>
    </row>
    <row r="56" spans="1:21" s="2" customFormat="1" ht="15" customHeight="1">
      <c r="A56" s="44" t="s">
        <v>91</v>
      </c>
      <c r="B56" s="44"/>
      <c r="C56" s="45"/>
      <c r="D56" s="85" t="s">
        <v>94</v>
      </c>
      <c r="E56" s="285">
        <f>IFERROR(VLOOKUP(D56,'Employee Numbers'!$A$3:$B$84,2,FALSE),"NOT FOUND")</f>
        <v>637219</v>
      </c>
      <c r="F56" s="264"/>
      <c r="G56" s="264" t="s">
        <v>41</v>
      </c>
      <c r="H56" s="264" t="s">
        <v>42</v>
      </c>
      <c r="I56" s="264"/>
      <c r="J56" s="264"/>
      <c r="K56" s="264" t="s">
        <v>42</v>
      </c>
      <c r="L56" s="264" t="s">
        <v>42</v>
      </c>
      <c r="N56">
        <f t="array" ref="N56">((SUM(IFERROR((TEXT(IF(ISNUMBER(SEARCH("-", F56:L56)), MID(F56:L56, SEARCH("-", F56:L56) + 1, 4), ""), "00\:00") - TEXT(IF(ISNUMBER(SEARCH("-", F56:L56)), MID(F56:L56, SEARCH("-", F56:L56) - 4, 4), ""), "00\:00") + IF(TEXT(IF(ISNUMBER(SEARCH("-", F56:L56)), MID(F56:L56, SEARCH("-", F56:L56) + 1, 4), ""), "00\:00") &lt; TEXT(IF(ISNUMBER(SEARCH("-", F56:L56)), MID(F56:L56, SEARCH("-", F56:L56) - 4, 4), ""), "00\:00"), 1, 0))*24,""))))/9.5</f>
        <v>4</v>
      </c>
      <c r="O56"/>
      <c r="P56"/>
      <c r="Q56" s="2">
        <f t="shared" si="18"/>
        <v>4</v>
      </c>
      <c r="R56" s="2">
        <f t="shared" si="19"/>
        <v>5</v>
      </c>
      <c r="S56">
        <f t="shared" ca="1" si="20"/>
        <v>7</v>
      </c>
      <c r="T56" s="2">
        <f>(IFERROR(VLOOKUP(D56,'Employee Numbers'!$A$3:$C$84,3,FALSE),"NOT FOUND"))*8</f>
        <v>0</v>
      </c>
    </row>
    <row r="57" spans="1:21" s="13" customFormat="1" ht="15" customHeight="1">
      <c r="A57" s="2" t="s">
        <v>91</v>
      </c>
      <c r="B57" s="2"/>
      <c r="C57" s="21"/>
      <c r="D57" s="86"/>
      <c r="E57" s="39" t="str">
        <f>IFERROR(VLOOKUP(D57,'Employee Numbers'!$A$3:$B$84,2,FALSE),"NOT FOUND")</f>
        <v>NOT FOUND</v>
      </c>
      <c r="F57" s="125"/>
      <c r="G57" s="125"/>
      <c r="H57" s="125"/>
      <c r="I57" s="125"/>
      <c r="J57" s="125"/>
      <c r="K57" s="125"/>
      <c r="L57" s="125"/>
      <c r="N57">
        <f t="array" ref="N57">((SUM(IFERROR((TEXT(IF(ISNUMBER(SEARCH("-", F57:L57)), MID(F57:L57, SEARCH("-", F57:L57) + 1, 4), ""), "00\:00") - TEXT(IF(ISNUMBER(SEARCH("-", F57:L57)), MID(F57:L57, SEARCH("-", F57:L57) - 4, 4), ""), "00\:00") + IF(TEXT(IF(ISNUMBER(SEARCH("-", F57:L57)), MID(F57:L57, SEARCH("-", F57:L57) + 1, 4), ""), "00\:00") &lt; TEXT(IF(ISNUMBER(SEARCH("-", F57:L57)), MID(F57:L57, SEARCH("-", F57:L57) - 4, 4), ""), "00\:00"), 1, 0))*24,""))))/9.5</f>
        <v>0</v>
      </c>
      <c r="O57"/>
      <c r="P57"/>
      <c r="Q57" s="2">
        <f t="shared" si="18"/>
        <v>0</v>
      </c>
      <c r="R57" s="2">
        <f t="shared" si="19"/>
        <v>2.5</v>
      </c>
      <c r="S57">
        <f t="shared" ca="1" si="20"/>
        <v>0</v>
      </c>
      <c r="T57" s="2" t="e">
        <f>(IFERROR(VLOOKUP(D57,'Employee Numbers'!$A$3:$C$84,3,FALSE),"NOT FOUND"))*8</f>
        <v>#VALUE!</v>
      </c>
      <c r="U57" s="2"/>
    </row>
    <row r="58" spans="1:21" s="2" customFormat="1" ht="15" customHeight="1">
      <c r="A58" s="44" t="s">
        <v>91</v>
      </c>
      <c r="B58" s="44"/>
      <c r="C58" s="45"/>
      <c r="D58" s="85"/>
      <c r="E58" s="39" t="str">
        <f>IFERROR(VLOOKUP(D58,'Employee Numbers'!$A$3:$B$84,2,FALSE),"NOT FOUND")</f>
        <v>NOT FOUND</v>
      </c>
      <c r="F58" s="110"/>
      <c r="G58" s="110"/>
      <c r="H58" s="110"/>
      <c r="I58" s="110"/>
      <c r="J58" s="110"/>
      <c r="K58" s="110"/>
      <c r="L58" s="110"/>
      <c r="N58">
        <f t="array" ref="N58">((SUM(IFERROR((TEXT(IF(ISNUMBER(SEARCH("-", F58:L58)), MID(F58:L58, SEARCH("-", F58:L58) + 1, 4), ""), "00\:00") - TEXT(IF(ISNUMBER(SEARCH("-", F58:L58)), MID(F58:L58, SEARCH("-", F58:L58) - 4, 4), ""), "00\:00") + IF(TEXT(IF(ISNUMBER(SEARCH("-", F58:L58)), MID(F58:L58, SEARCH("-", F58:L58) + 1, 4), ""), "00\:00") &lt; TEXT(IF(ISNUMBER(SEARCH("-", F58:L58)), MID(F58:L58, SEARCH("-", F58:L58) - 4, 4), ""), "00\:00"), 1, 0))*24,""))))/9.5</f>
        <v>0</v>
      </c>
      <c r="O58"/>
      <c r="P58"/>
      <c r="Q58" s="2">
        <f t="shared" si="18"/>
        <v>0</v>
      </c>
      <c r="R58" s="2">
        <f t="shared" si="19"/>
        <v>2.5</v>
      </c>
      <c r="S58">
        <f t="shared" ca="1" si="20"/>
        <v>0</v>
      </c>
      <c r="T58" s="2" t="e">
        <f>(IFERROR(VLOOKUP(D58,'Employee Numbers'!$A$3:$C$84,3,FALSE),"NOT FOUND"))*8</f>
        <v>#VALUE!</v>
      </c>
    </row>
    <row r="59" spans="1:21" s="13" customFormat="1" ht="15" customHeight="1">
      <c r="A59" s="2" t="s">
        <v>91</v>
      </c>
      <c r="B59" s="2"/>
      <c r="C59" s="21"/>
      <c r="D59" s="86"/>
      <c r="E59" s="39" t="str">
        <f>IFERROR(VLOOKUP(D59,'Employee Numbers'!$A$3:$B$84,2,FALSE),"NOT FOUND")</f>
        <v>NOT FOUND</v>
      </c>
      <c r="F59" s="110"/>
      <c r="G59" s="110"/>
      <c r="H59" s="110"/>
      <c r="I59" s="110"/>
      <c r="J59" s="110"/>
      <c r="K59" s="110"/>
      <c r="L59" s="110"/>
      <c r="N59">
        <f t="array" ref="N59">((SUM(IFERROR((TEXT(IF(ISNUMBER(SEARCH("-", F59:L59)), MID(F59:L59, SEARCH("-", F59:L59) + 1, 4), ""), "00\:00") - TEXT(IF(ISNUMBER(SEARCH("-", F59:L59)), MID(F59:L59, SEARCH("-", F59:L59) - 4, 4), ""), "00\:00") + IF(TEXT(IF(ISNUMBER(SEARCH("-", F59:L59)), MID(F59:L59, SEARCH("-", F59:L59) + 1, 4), ""), "00\:00") &lt; TEXT(IF(ISNUMBER(SEARCH("-", F59:L59)), MID(F59:L59, SEARCH("-", F59:L59) - 4, 4), ""), "00\:00"), 1, 0))*24,""))))/9.5</f>
        <v>0</v>
      </c>
      <c r="O59"/>
      <c r="P59"/>
      <c r="Q59" s="2">
        <f t="shared" si="18"/>
        <v>0</v>
      </c>
      <c r="R59" s="2">
        <f t="shared" si="19"/>
        <v>2.5</v>
      </c>
      <c r="S59">
        <f t="shared" ca="1" si="20"/>
        <v>0</v>
      </c>
      <c r="T59" s="2" t="e">
        <f>(IFERROR(VLOOKUP(D59,'Employee Numbers'!$A$3:$C$84,3,FALSE),"NOT FOUND"))*8</f>
        <v>#VALUE!</v>
      </c>
      <c r="U59" s="2"/>
    </row>
    <row r="60" spans="1:21" s="2" customFormat="1" ht="30" customHeight="1">
      <c r="A60" s="170" t="s">
        <v>96</v>
      </c>
      <c r="B60" s="131"/>
      <c r="C60" s="132"/>
      <c r="D60" s="171" t="s">
        <v>97</v>
      </c>
      <c r="E60" s="133" t="s">
        <v>4</v>
      </c>
      <c r="F60" s="270" t="s">
        <v>5</v>
      </c>
      <c r="G60" s="270" t="s">
        <v>6</v>
      </c>
      <c r="H60" s="271" t="s">
        <v>87</v>
      </c>
      <c r="I60" s="270" t="s">
        <v>8</v>
      </c>
      <c r="J60" s="270" t="s">
        <v>9</v>
      </c>
      <c r="K60" s="270" t="s">
        <v>10</v>
      </c>
      <c r="L60" s="272" t="s">
        <v>11</v>
      </c>
      <c r="N60"/>
      <c r="O60"/>
      <c r="P60"/>
    </row>
    <row r="61" spans="1:21" s="2" customFormat="1" ht="15" customHeight="1">
      <c r="A61" s="2" t="s">
        <v>98</v>
      </c>
      <c r="C61" s="47"/>
      <c r="D61" s="262" t="s">
        <v>99</v>
      </c>
      <c r="E61" s="284">
        <f>IFERROR(VLOOKUP(D61,'Employee Numbers'!$A$3:$B$84,2,FALSE),"NOT FOUND")</f>
        <v>638531</v>
      </c>
      <c r="F61" s="264"/>
      <c r="G61" s="264" t="s">
        <v>44</v>
      </c>
      <c r="H61" s="264" t="s">
        <v>42</v>
      </c>
      <c r="I61" s="264" t="s">
        <v>42</v>
      </c>
      <c r="J61" s="264" t="s">
        <v>42</v>
      </c>
      <c r="K61" s="264"/>
      <c r="L61" s="264"/>
      <c r="N61">
        <f t="array" ref="N61">((SUM(IFERROR((TEXT(IF(ISNUMBER(SEARCH("-", F61:L61)), MID(F61:L61, SEARCH("-", F61:L61) + 1, 4), ""), "00\:00") - TEXT(IF(ISNUMBER(SEARCH("-", F61:L61)), MID(F61:L61, SEARCH("-", F61:L61) - 4, 4), ""), "00\:00") + IF(TEXT(IF(ISNUMBER(SEARCH("-", F61:L61)), MID(F61:L61, SEARCH("-", F61:L61) + 1, 4), ""), "00\:00") &lt; TEXT(IF(ISNUMBER(SEARCH("-", F61:L61)), MID(F61:L61, SEARCH("-", F61:L61) - 4, 4), ""), "00\:00"), 1, 0))*24,""))))/9.5</f>
        <v>4</v>
      </c>
      <c r="O61"/>
      <c r="P61"/>
      <c r="Q61" s="2">
        <f>P61+O61+N61</f>
        <v>4</v>
      </c>
      <c r="R61" s="2">
        <f>IF(ISNUMBER(SEARCH("trg_5",H153)),5,IF(ISNUMBER(SEARCH("trg_3.75",H153)),3.75,IF(ISNUMBER(SEARCH("trg_2.5",H153)),2.5,IF(ISNUMBER(SEARCH("trg_1.75",H153)),1.75,0))))</f>
        <v>5</v>
      </c>
      <c r="S61">
        <f ca="1">IF($C$4=1,SUM(Q61+INDIRECT("'Week "&amp;($B$3+1)&amp;"'!Q"&amp;(ROW()))),IF($C$4=2,SUM(Q61+INDIRECT("'Week "&amp;($B$3-1)&amp;"'!Q"&amp;(ROW())))))</f>
        <v>8</v>
      </c>
      <c r="T61" s="2">
        <f>(IFERROR(VLOOKUP(D61,'Employee Numbers'!$A$3:$C$84,3,FALSE),"NOT FOUND"))*8</f>
        <v>0</v>
      </c>
    </row>
    <row r="62" spans="1:21" s="2" customFormat="1" ht="15" customHeight="1">
      <c r="A62" s="44" t="s">
        <v>98</v>
      </c>
      <c r="B62" s="44"/>
      <c r="C62" s="45"/>
      <c r="D62" s="262" t="s">
        <v>101</v>
      </c>
      <c r="E62" s="285">
        <f>IFERROR(VLOOKUP(D62,'Employee Numbers'!$A$3:$B$84,2,FALSE),"NOT FOUND")</f>
        <v>631715</v>
      </c>
      <c r="F62" s="264"/>
      <c r="G62" s="264" t="s">
        <v>44</v>
      </c>
      <c r="H62" s="264" t="s">
        <v>42</v>
      </c>
      <c r="I62" s="264" t="s">
        <v>42</v>
      </c>
      <c r="J62" s="264" t="s">
        <v>42</v>
      </c>
      <c r="K62" s="264"/>
      <c r="L62" s="264"/>
      <c r="N62">
        <f t="array" ref="N62">((SUM(IFERROR((TEXT(IF(ISNUMBER(SEARCH("-", F62:L62)), MID(F62:L62, SEARCH("-", F62:L62) + 1, 4), ""), "00\:00") - TEXT(IF(ISNUMBER(SEARCH("-", F62:L62)), MID(F62:L62, SEARCH("-", F62:L62) - 4, 4), ""), "00\:00") + IF(TEXT(IF(ISNUMBER(SEARCH("-", F62:L62)), MID(F62:L62, SEARCH("-", F62:L62) + 1, 4), ""), "00\:00") &lt; TEXT(IF(ISNUMBER(SEARCH("-", F62:L62)), MID(F62:L62, SEARCH("-", F62:L62) - 4, 4), ""), "00\:00"), 1, 0))*24,""))))/9.5</f>
        <v>4</v>
      </c>
      <c r="O62"/>
      <c r="P62"/>
      <c r="Q62" s="2">
        <f t="shared" ref="Q62:Q80" si="21">P62+O62+N62</f>
        <v>4</v>
      </c>
      <c r="R62" s="2">
        <f t="shared" ref="R62:R80" si="22">IF(ISNUMBER(SEARCH("trg_5",H154)),5,IF(ISNUMBER(SEARCH("trg_3.75",H154)),3.75,IF(ISNUMBER(SEARCH("trg_2.5",H154)),2.5,IF(ISNUMBER(SEARCH("trg_1.75",H154)),1.75,0))))</f>
        <v>5</v>
      </c>
      <c r="S62">
        <f t="shared" ref="S62:S84" ca="1" si="23">IF($C$4=1,SUM(Q62+INDIRECT("'Week "&amp;($B$3+1)&amp;"'!Q"&amp;(ROW()))),IF($C$4=2,SUM(Q62+INDIRECT("'Week "&amp;($B$3-1)&amp;"'!Q"&amp;(ROW())))))</f>
        <v>8</v>
      </c>
      <c r="T62" s="2">
        <f>(IFERROR(VLOOKUP(D62,'Employee Numbers'!$A$3:$C$84,3,FALSE),"NOT FOUND"))*8</f>
        <v>0</v>
      </c>
    </row>
    <row r="63" spans="1:21" s="13" customFormat="1" ht="15" customHeight="1">
      <c r="A63" s="2" t="s">
        <v>98</v>
      </c>
      <c r="B63" s="2"/>
      <c r="C63" s="21"/>
      <c r="D63" s="262" t="s">
        <v>103</v>
      </c>
      <c r="E63" s="285">
        <f>IFERROR(VLOOKUP(D63,'Employee Numbers'!$A$3:$B$84,2,FALSE),"NOT FOUND")</f>
        <v>703719</v>
      </c>
      <c r="F63" s="264"/>
      <c r="G63" s="264"/>
      <c r="H63" s="264"/>
      <c r="I63" s="275"/>
      <c r="J63" s="264" t="s">
        <v>100</v>
      </c>
      <c r="K63" s="264" t="s">
        <v>100</v>
      </c>
      <c r="L63" s="264" t="s">
        <v>100</v>
      </c>
      <c r="N63">
        <f t="array" ref="N63">((SUM(IFERROR((TEXT(IF(ISNUMBER(SEARCH("-", F63:L63)), MID(F63:L63, SEARCH("-", F63:L63) + 1, 4), ""), "00\:00") - TEXT(IF(ISNUMBER(SEARCH("-", F63:L63)), MID(F63:L63, SEARCH("-", F63:L63) - 4, 4), ""), "00\:00") + IF(TEXT(IF(ISNUMBER(SEARCH("-", F63:L63)), MID(F63:L63, SEARCH("-", F63:L63) + 1, 4), ""), "00\:00") &lt; TEXT(IF(ISNUMBER(SEARCH("-", F63:L63)), MID(F63:L63, SEARCH("-", F63:L63) - 4, 4), ""), "00\:00"), 1, 0))*24,""))))/9.5</f>
        <v>2.9999999999999991</v>
      </c>
      <c r="O63"/>
      <c r="P63"/>
      <c r="Q63" s="2">
        <f t="shared" si="21"/>
        <v>2.9999999999999991</v>
      </c>
      <c r="R63" s="2">
        <f t="shared" si="22"/>
        <v>3.75</v>
      </c>
      <c r="S63">
        <f t="shared" ca="1" si="23"/>
        <v>5.9999999999999991</v>
      </c>
      <c r="T63" s="2">
        <f>(IFERROR(VLOOKUP(D63,'Employee Numbers'!$A$3:$C$84,3,FALSE),"NOT FOUND"))*8</f>
        <v>0</v>
      </c>
      <c r="U63" s="2"/>
    </row>
    <row r="64" spans="1:21" s="2" customFormat="1" ht="15" customHeight="1">
      <c r="A64" s="44" t="s">
        <v>98</v>
      </c>
      <c r="B64" s="44"/>
      <c r="C64" s="45"/>
      <c r="D64" s="262" t="s">
        <v>104</v>
      </c>
      <c r="E64" s="285">
        <f>IFERROR(VLOOKUP(D64,'Employee Numbers'!$A$3:$B$84,2,FALSE),"NOT FOUND")</f>
        <v>637791</v>
      </c>
      <c r="F64" s="264"/>
      <c r="G64" s="264" t="s">
        <v>42</v>
      </c>
      <c r="H64" s="264"/>
      <c r="I64" s="264"/>
      <c r="J64" s="264"/>
      <c r="K64" s="349" t="s">
        <v>44</v>
      </c>
      <c r="L64" s="264" t="s">
        <v>44</v>
      </c>
      <c r="N64">
        <f t="array" ref="N64">((SUM(IFERROR((TEXT(IF(ISNUMBER(SEARCH("-", F64:L64)), MID(F64:L64, SEARCH("-", F64:L64) + 1, 4), ""), "00\:00") - TEXT(IF(ISNUMBER(SEARCH("-", F64:L64)), MID(F64:L64, SEARCH("-", F64:L64) - 4, 4), ""), "00\:00") + IF(TEXT(IF(ISNUMBER(SEARCH("-", F64:L64)), MID(F64:L64, SEARCH("-", F64:L64) + 1, 4), ""), "00\:00") &lt; TEXT(IF(ISNUMBER(SEARCH("-", F64:L64)), MID(F64:L64, SEARCH("-", F64:L64) - 4, 4), ""), "00\:00"), 1, 0))*24,""))))/9.5</f>
        <v>3</v>
      </c>
      <c r="O64"/>
      <c r="P64"/>
      <c r="Q64" s="2">
        <f t="shared" si="21"/>
        <v>3</v>
      </c>
      <c r="R64" s="2">
        <f t="shared" si="22"/>
        <v>3.75</v>
      </c>
      <c r="S64">
        <f t="shared" ca="1" si="23"/>
        <v>6</v>
      </c>
      <c r="T64" s="2">
        <f>(IFERROR(VLOOKUP(D64,'Employee Numbers'!$A$3:$C$84,3,FALSE),"NOT FOUND"))*8</f>
        <v>0</v>
      </c>
    </row>
    <row r="65" spans="1:20" s="2" customFormat="1" ht="15" customHeight="1">
      <c r="A65" s="2" t="s">
        <v>98</v>
      </c>
      <c r="C65" s="21"/>
      <c r="D65" s="262" t="s">
        <v>105</v>
      </c>
      <c r="E65" s="285">
        <f>IFERROR(VLOOKUP(D65,'Employee Numbers'!$A$3:$B$84,2,FALSE),"NOT FOUND")</f>
        <v>652867</v>
      </c>
      <c r="F65" s="264"/>
      <c r="G65" s="349" t="s">
        <v>44</v>
      </c>
      <c r="H65" s="264" t="s">
        <v>42</v>
      </c>
      <c r="I65" s="264" t="s">
        <v>42</v>
      </c>
      <c r="J65" s="264" t="s">
        <v>42</v>
      </c>
      <c r="K65" s="264"/>
      <c r="L65" s="264" t="s">
        <v>42</v>
      </c>
      <c r="N65">
        <f t="array" ref="N65">((SUM(IFERROR((TEXT(IF(ISNUMBER(SEARCH("-", F65:L65)), MID(F65:L65, SEARCH("-", F65:L65) + 1, 4), ""), "00\:00") - TEXT(IF(ISNUMBER(SEARCH("-", F65:L65)), MID(F65:L65, SEARCH("-", F65:L65) - 4, 4), ""), "00\:00") + IF(TEXT(IF(ISNUMBER(SEARCH("-", F65:L65)), MID(F65:L65, SEARCH("-", F65:L65) + 1, 4), ""), "00\:00") &lt; TEXT(IF(ISNUMBER(SEARCH("-", F65:L65)), MID(F65:L65, SEARCH("-", F65:L65) - 4, 4), ""), "00\:00"), 1, 0))*24,""))))/9.5</f>
        <v>5</v>
      </c>
      <c r="O65"/>
      <c r="P65"/>
      <c r="Q65" s="2">
        <f t="shared" si="21"/>
        <v>5</v>
      </c>
      <c r="R65" s="2">
        <f t="shared" si="22"/>
        <v>5</v>
      </c>
      <c r="S65">
        <f t="shared" ca="1" si="23"/>
        <v>9</v>
      </c>
      <c r="T65" s="2">
        <f>(IFERROR(VLOOKUP(D65,'Employee Numbers'!$A$3:$C$84,3,FALSE),"NOT FOUND"))*8</f>
        <v>0</v>
      </c>
    </row>
    <row r="66" spans="1:20" s="2" customFormat="1" ht="15" customHeight="1">
      <c r="A66" s="44" t="s">
        <v>98</v>
      </c>
      <c r="B66" s="44"/>
      <c r="C66" s="45"/>
      <c r="D66" s="262" t="s">
        <v>106</v>
      </c>
      <c r="E66" s="285">
        <f>IFERROR(VLOOKUP(D66,'Employee Numbers'!$A$3:$B$84,2,FALSE),"NOT FOUND")</f>
        <v>611551</v>
      </c>
      <c r="F66" s="264"/>
      <c r="G66" s="264"/>
      <c r="H66" s="264"/>
      <c r="I66" s="264"/>
      <c r="J66" s="264" t="s">
        <v>44</v>
      </c>
      <c r="K66" s="264" t="s">
        <v>42</v>
      </c>
      <c r="L66" s="264"/>
      <c r="N66">
        <f t="array" ref="N66">((SUM(IFERROR((TEXT(IF(ISNUMBER(SEARCH("-", F66:L66)), MID(F66:L66, SEARCH("-", F66:L66) + 1, 4), ""), "00\:00") - TEXT(IF(ISNUMBER(SEARCH("-", F66:L66)), MID(F66:L66, SEARCH("-", F66:L66) - 4, 4), ""), "00\:00") + IF(TEXT(IF(ISNUMBER(SEARCH("-", F66:L66)), MID(F66:L66, SEARCH("-", F66:L66) + 1, 4), ""), "00\:00") &lt; TEXT(IF(ISNUMBER(SEARCH("-", F66:L66)), MID(F66:L66, SEARCH("-", F66:L66) - 4, 4), ""), "00\:00"), 1, 0))*24,""))))/9.5</f>
        <v>2</v>
      </c>
      <c r="O66"/>
      <c r="P66"/>
      <c r="Q66" s="2">
        <f t="shared" si="21"/>
        <v>2</v>
      </c>
      <c r="R66" s="2">
        <f t="shared" si="22"/>
        <v>2.5</v>
      </c>
      <c r="S66">
        <f t="shared" ca="1" si="23"/>
        <v>5</v>
      </c>
      <c r="T66" s="2">
        <f>(IFERROR(VLOOKUP(D66,'Employee Numbers'!$A$3:$C$84,3,FALSE),"NOT FOUND"))*8</f>
        <v>0</v>
      </c>
    </row>
    <row r="67" spans="1:20" s="2" customFormat="1" ht="15" customHeight="1">
      <c r="A67" s="2" t="s">
        <v>98</v>
      </c>
      <c r="C67" s="21"/>
      <c r="D67" s="262" t="s">
        <v>107</v>
      </c>
      <c r="E67" s="285">
        <f>IFERROR(VLOOKUP(D67,'Employee Numbers'!$A$3:$B$84,2,FALSE),"NOT FOUND")</f>
        <v>615820</v>
      </c>
      <c r="F67" s="264" t="s">
        <v>100</v>
      </c>
      <c r="G67" s="264" t="s">
        <v>100</v>
      </c>
      <c r="H67" s="264"/>
      <c r="I67" s="264"/>
      <c r="J67" s="264"/>
      <c r="K67" s="264"/>
      <c r="L67" s="264"/>
      <c r="N67">
        <f t="array" ref="N67">((SUM(IFERROR((TEXT(IF(ISNUMBER(SEARCH("-", F67:L67)), MID(F67:L67, SEARCH("-", F67:L67) + 1, 4), ""), "00\:00") - TEXT(IF(ISNUMBER(SEARCH("-", F67:L67)), MID(F67:L67, SEARCH("-", F67:L67) - 4, 4), ""), "00\:00") + IF(TEXT(IF(ISNUMBER(SEARCH("-", F67:L67)), MID(F67:L67, SEARCH("-", F67:L67) + 1, 4), ""), "00\:00") &lt; TEXT(IF(ISNUMBER(SEARCH("-", F67:L67)), MID(F67:L67, SEARCH("-", F67:L67) - 4, 4), ""), "00\:00"), 1, 0))*24,""))))/9.5</f>
        <v>1.9999999999999996</v>
      </c>
      <c r="O67"/>
      <c r="P67"/>
      <c r="Q67" s="2">
        <f t="shared" si="21"/>
        <v>1.9999999999999996</v>
      </c>
      <c r="R67" s="2">
        <f t="shared" si="22"/>
        <v>2.5</v>
      </c>
      <c r="S67">
        <f t="shared" ca="1" si="23"/>
        <v>3.9999999999999996</v>
      </c>
      <c r="T67" s="2">
        <f>(IFERROR(VLOOKUP(D67,'Employee Numbers'!$A$3:$C$84,3,FALSE),"NOT FOUND"))*8</f>
        <v>0</v>
      </c>
    </row>
    <row r="68" spans="1:20" s="2" customFormat="1" ht="15" customHeight="1">
      <c r="A68" s="44" t="s">
        <v>98</v>
      </c>
      <c r="B68" s="44"/>
      <c r="C68" s="45"/>
      <c r="D68" s="262" t="s">
        <v>108</v>
      </c>
      <c r="E68" s="285">
        <f>IFERROR(VLOOKUP(D68,'Employee Numbers'!$A$3:$B$84,2,FALSE),"NOT FOUND")</f>
        <v>654727</v>
      </c>
      <c r="F68" s="286"/>
      <c r="G68" s="286"/>
      <c r="H68" s="279" t="s">
        <v>100</v>
      </c>
      <c r="I68" s="279" t="s">
        <v>100</v>
      </c>
      <c r="J68" s="279"/>
      <c r="K68" s="286"/>
      <c r="L68" s="286"/>
      <c r="N68">
        <f t="array" ref="N68">((SUM(IFERROR((TEXT(IF(ISNUMBER(SEARCH("-", F68:L68)), MID(F68:L68, SEARCH("-", F68:L68) + 1, 4), ""), "00\:00") - TEXT(IF(ISNUMBER(SEARCH("-", F68:L68)), MID(F68:L68, SEARCH("-", F68:L68) - 4, 4), ""), "00\:00") + IF(TEXT(IF(ISNUMBER(SEARCH("-", F68:L68)), MID(F68:L68, SEARCH("-", F68:L68) + 1, 4), ""), "00\:00") &lt; TEXT(IF(ISNUMBER(SEARCH("-", F68:L68)), MID(F68:L68, SEARCH("-", F68:L68) - 4, 4), ""), "00\:00"), 1, 0))*24,""))))/9.5</f>
        <v>1.9999999999999996</v>
      </c>
      <c r="O68"/>
      <c r="P68"/>
      <c r="Q68" s="2">
        <f t="shared" si="21"/>
        <v>1.9999999999999996</v>
      </c>
      <c r="R68" s="2">
        <f t="shared" si="22"/>
        <v>5</v>
      </c>
      <c r="S68">
        <f t="shared" ca="1" si="23"/>
        <v>6</v>
      </c>
      <c r="T68" s="2">
        <f>(IFERROR(VLOOKUP(D68,'Employee Numbers'!$A$3:$C$84,3,FALSE),"NOT FOUND"))*8</f>
        <v>0</v>
      </c>
    </row>
    <row r="69" spans="1:20" s="2" customFormat="1" ht="15" customHeight="1">
      <c r="A69" s="2" t="s">
        <v>98</v>
      </c>
      <c r="C69" s="47"/>
      <c r="D69" s="262" t="s">
        <v>109</v>
      </c>
      <c r="E69" s="285">
        <f>IFERROR(VLOOKUP(D69,'Employee Numbers'!$A$3:$B$84,2,FALSE),"NOT FOUND")</f>
        <v>702947</v>
      </c>
      <c r="F69" s="264" t="s">
        <v>42</v>
      </c>
      <c r="G69" s="264"/>
      <c r="H69" s="264" t="s">
        <v>100</v>
      </c>
      <c r="I69" s="264"/>
      <c r="J69" s="264" t="s">
        <v>42</v>
      </c>
      <c r="K69" s="264" t="s">
        <v>42</v>
      </c>
      <c r="L69" s="264"/>
      <c r="N69">
        <f t="array" ref="N69">((SUM(IFERROR((TEXT(IF(ISNUMBER(SEARCH("-", F69:L69)), MID(F69:L69, SEARCH("-", F69:L69) + 1, 4), ""), "00\:00") - TEXT(IF(ISNUMBER(SEARCH("-", F69:L69)), MID(F69:L69, SEARCH("-", F69:L69) - 4, 4), ""), "00\:00") + IF(TEXT(IF(ISNUMBER(SEARCH("-", F69:L69)), MID(F69:L69, SEARCH("-", F69:L69) + 1, 4), ""), "00\:00") &lt; TEXT(IF(ISNUMBER(SEARCH("-", F69:L69)), MID(F69:L69, SEARCH("-", F69:L69) - 4, 4), ""), "00\:00"), 1, 0))*24,""))))/9.5</f>
        <v>4</v>
      </c>
      <c r="O69"/>
      <c r="P69"/>
      <c r="Q69" s="2">
        <f t="shared" si="21"/>
        <v>4</v>
      </c>
      <c r="R69" s="2">
        <f t="shared" si="22"/>
        <v>5</v>
      </c>
      <c r="S69">
        <f t="shared" ca="1" si="23"/>
        <v>8</v>
      </c>
      <c r="T69" s="2">
        <f>(IFERROR(VLOOKUP(D69,'Employee Numbers'!$A$3:$C$84,3,FALSE),"NOT FOUND"))*8</f>
        <v>0</v>
      </c>
    </row>
    <row r="70" spans="1:20" s="2" customFormat="1" ht="15" customHeight="1">
      <c r="A70" s="44" t="s">
        <v>98</v>
      </c>
      <c r="B70" s="44"/>
      <c r="C70" s="45"/>
      <c r="D70" s="262" t="s">
        <v>110</v>
      </c>
      <c r="E70" s="285">
        <f>IFERROR(VLOOKUP(D70,'Employee Numbers'!$A$3:$B$84,2,FALSE),"NOT FOUND")</f>
        <v>654002</v>
      </c>
      <c r="F70" s="264" t="s">
        <v>42</v>
      </c>
      <c r="G70" s="264" t="s">
        <v>42</v>
      </c>
      <c r="H70" s="264"/>
      <c r="I70" s="264" t="s">
        <v>44</v>
      </c>
      <c r="J70" s="264"/>
      <c r="K70" s="264" t="s">
        <v>44</v>
      </c>
      <c r="L70" s="349" t="s">
        <v>44</v>
      </c>
      <c r="N70">
        <f t="array" ref="N70">((SUM(IFERROR((TEXT(IF(ISNUMBER(SEARCH("-", F70:L70)), MID(F70:L70, SEARCH("-", F70:L70) + 1, 4), ""), "00\:00") - TEXT(IF(ISNUMBER(SEARCH("-", F70:L70)), MID(F70:L70, SEARCH("-", F70:L70) - 4, 4), ""), "00\:00") + IF(TEXT(IF(ISNUMBER(SEARCH("-", F70:L70)), MID(F70:L70, SEARCH("-", F70:L70) + 1, 4), ""), "00\:00") &lt; TEXT(IF(ISNUMBER(SEARCH("-", F70:L70)), MID(F70:L70, SEARCH("-", F70:L70) - 4, 4), ""), "00\:00"), 1, 0))*24,""))))/9.5</f>
        <v>5</v>
      </c>
      <c r="O70"/>
      <c r="P70"/>
      <c r="Q70" s="2">
        <f t="shared" si="21"/>
        <v>5</v>
      </c>
      <c r="R70" s="2">
        <f t="shared" si="22"/>
        <v>5</v>
      </c>
      <c r="S70">
        <f t="shared" ca="1" si="23"/>
        <v>9</v>
      </c>
      <c r="T70" s="2">
        <f>(IFERROR(VLOOKUP(D70,'Employee Numbers'!$A$3:$C$84,3,FALSE),"NOT FOUND"))*8</f>
        <v>0</v>
      </c>
    </row>
    <row r="71" spans="1:20" s="2" customFormat="1" ht="15" customHeight="1">
      <c r="A71" s="2" t="s">
        <v>98</v>
      </c>
      <c r="C71" s="21"/>
      <c r="D71" s="262" t="s">
        <v>111</v>
      </c>
      <c r="E71" s="285">
        <f>IFERROR(VLOOKUP(D71,'Employee Numbers'!$A$3:$B$84,2,FALSE),"NOT FOUND")</f>
        <v>703068</v>
      </c>
      <c r="F71" s="278"/>
      <c r="G71" s="278"/>
      <c r="H71" s="278" t="s">
        <v>102</v>
      </c>
      <c r="I71" s="264"/>
      <c r="J71" s="264"/>
      <c r="K71" s="264" t="s">
        <v>42</v>
      </c>
      <c r="L71" s="264" t="s">
        <v>42</v>
      </c>
      <c r="N71">
        <f t="array" ref="N71">((SUM(IFERROR((TEXT(IF(ISNUMBER(SEARCH("-", F71:L71)), MID(F71:L71, SEARCH("-", F71:L71) + 1, 4), ""), "00\:00") - TEXT(IF(ISNUMBER(SEARCH("-", F71:L71)), MID(F71:L71, SEARCH("-", F71:L71) - 4, 4), ""), "00\:00") + IF(TEXT(IF(ISNUMBER(SEARCH("-", F71:L71)), MID(F71:L71, SEARCH("-", F71:L71) + 1, 4), ""), "00\:00") &lt; TEXT(IF(ISNUMBER(SEARCH("-", F71:L71)), MID(F71:L71, SEARCH("-", F71:L71) - 4, 4), ""), "00\:00"), 1, 0))*24,""))))/9.5</f>
        <v>2</v>
      </c>
      <c r="O71"/>
      <c r="P71">
        <v>2</v>
      </c>
      <c r="Q71" s="2">
        <f t="shared" si="21"/>
        <v>4</v>
      </c>
      <c r="R71" s="2">
        <f t="shared" si="22"/>
        <v>5</v>
      </c>
      <c r="S71">
        <f t="shared" ca="1" si="23"/>
        <v>7</v>
      </c>
      <c r="T71" s="2">
        <f>(IFERROR(VLOOKUP(D71,'Employee Numbers'!$A$3:$C$84,3,FALSE),"NOT FOUND"))*8</f>
        <v>0</v>
      </c>
    </row>
    <row r="72" spans="1:20" s="2" customFormat="1" ht="15" customHeight="1">
      <c r="A72" s="44" t="s">
        <v>98</v>
      </c>
      <c r="B72" s="44"/>
      <c r="C72" s="45"/>
      <c r="D72" s="262" t="s">
        <v>113</v>
      </c>
      <c r="E72" s="285">
        <f>IFERROR(VLOOKUP(D72,'Employee Numbers'!$A$3:$B$84,2,FALSE),"NOT FOUND")</f>
        <v>703911</v>
      </c>
      <c r="F72" s="264"/>
      <c r="G72" s="264"/>
      <c r="H72" s="264"/>
      <c r="I72" s="264" t="s">
        <v>42</v>
      </c>
      <c r="J72" s="264" t="s">
        <v>100</v>
      </c>
      <c r="K72" s="264" t="s">
        <v>100</v>
      </c>
      <c r="L72" s="264" t="s">
        <v>100</v>
      </c>
      <c r="N72">
        <f t="array" ref="N72">((SUM(IFERROR((TEXT(IF(ISNUMBER(SEARCH("-", F72:L72)), MID(F72:L72, SEARCH("-", F72:L72) + 1, 4), ""), "00\:00") - TEXT(IF(ISNUMBER(SEARCH("-", F72:L72)), MID(F72:L72, SEARCH("-", F72:L72) - 4, 4), ""), "00\:00") + IF(TEXT(IF(ISNUMBER(SEARCH("-", F72:L72)), MID(F72:L72, SEARCH("-", F72:L72) + 1, 4), ""), "00\:00") &lt; TEXT(IF(ISNUMBER(SEARCH("-", F72:L72)), MID(F72:L72, SEARCH("-", F72:L72) - 4, 4), ""), "00\:00"), 1, 0))*24,""))))/9.5</f>
        <v>4</v>
      </c>
      <c r="O72"/>
      <c r="P72"/>
      <c r="Q72" s="2">
        <f t="shared" si="21"/>
        <v>4</v>
      </c>
      <c r="R72" s="2">
        <f t="shared" si="22"/>
        <v>5</v>
      </c>
      <c r="S72">
        <f t="shared" ca="1" si="23"/>
        <v>8</v>
      </c>
      <c r="T72" s="2">
        <f>(IFERROR(VLOOKUP(D72,'Employee Numbers'!$A$3:$C$84,3,FALSE),"NOT FOUND"))*8</f>
        <v>0</v>
      </c>
    </row>
    <row r="73" spans="1:20" s="2" customFormat="1" ht="15" customHeight="1">
      <c r="A73" s="2" t="s">
        <v>98</v>
      </c>
      <c r="C73" s="21"/>
      <c r="D73" s="262" t="s">
        <v>114</v>
      </c>
      <c r="E73" s="285">
        <f>IFERROR(VLOOKUP(D73,'Employee Numbers'!$A$3:$B$84,2,FALSE),"NOT FOUND")</f>
        <v>633936</v>
      </c>
      <c r="F73" s="264" t="s">
        <v>44</v>
      </c>
      <c r="G73" s="264" t="s">
        <v>42</v>
      </c>
      <c r="H73" s="264"/>
      <c r="I73" s="264" t="s">
        <v>42</v>
      </c>
      <c r="J73" s="264" t="s">
        <v>42</v>
      </c>
      <c r="K73" s="264"/>
      <c r="L73" s="264" t="s">
        <v>42</v>
      </c>
      <c r="N73">
        <f t="array" ref="N73">((SUM(IFERROR((TEXT(IF(ISNUMBER(SEARCH("-", F73:L73)), MID(F73:L73, SEARCH("-", F73:L73) + 1, 4), ""), "00\:00") - TEXT(IF(ISNUMBER(SEARCH("-", F73:L73)), MID(F73:L73, SEARCH("-", F73:L73) - 4, 4), ""), "00\:00") + IF(TEXT(IF(ISNUMBER(SEARCH("-", F73:L73)), MID(F73:L73, SEARCH("-", F73:L73) + 1, 4), ""), "00\:00") &lt; TEXT(IF(ISNUMBER(SEARCH("-", F73:L73)), MID(F73:L73, SEARCH("-", F73:L73) - 4, 4), ""), "00\:00"), 1, 0))*24,""))))/9.5</f>
        <v>5</v>
      </c>
      <c r="O73"/>
      <c r="P73"/>
      <c r="Q73" s="2">
        <f t="shared" si="21"/>
        <v>5</v>
      </c>
      <c r="R73" s="2">
        <f t="shared" si="22"/>
        <v>5</v>
      </c>
      <c r="S73">
        <f t="shared" ca="1" si="23"/>
        <v>7</v>
      </c>
      <c r="T73" s="2">
        <f>(IFERROR(VLOOKUP(D73,'Employee Numbers'!$A$3:$C$84,3,FALSE),"NOT FOUND"))*8</f>
        <v>0</v>
      </c>
    </row>
    <row r="74" spans="1:20" s="2" customFormat="1" ht="15" customHeight="1">
      <c r="A74" s="44" t="s">
        <v>98</v>
      </c>
      <c r="B74" s="44"/>
      <c r="C74" s="45"/>
      <c r="D74" s="262" t="s">
        <v>115</v>
      </c>
      <c r="E74" s="285">
        <f>IFERROR(VLOOKUP(D74,'Employee Numbers'!$A$3:$B$84,2,FALSE),"NOT FOUND")</f>
        <v>700755</v>
      </c>
      <c r="F74" s="349" t="s">
        <v>44</v>
      </c>
      <c r="G74" s="264" t="s">
        <v>42</v>
      </c>
      <c r="H74" s="264" t="s">
        <v>42</v>
      </c>
      <c r="I74" s="264"/>
      <c r="J74" s="264"/>
      <c r="K74" s="264"/>
      <c r="L74" s="264" t="s">
        <v>42</v>
      </c>
      <c r="N74">
        <f t="array" ref="N74">((SUM(IFERROR((TEXT(IF(ISNUMBER(SEARCH("-", F74:L74)), MID(F74:L74, SEARCH("-", F74:L74) + 1, 4), ""), "00\:00") - TEXT(IF(ISNUMBER(SEARCH("-", F74:L74)), MID(F74:L74, SEARCH("-", F74:L74) - 4, 4), ""), "00\:00") + IF(TEXT(IF(ISNUMBER(SEARCH("-", F74:L74)), MID(F74:L74, SEARCH("-", F74:L74) + 1, 4), ""), "00\:00") &lt; TEXT(IF(ISNUMBER(SEARCH("-", F74:L74)), MID(F74:L74, SEARCH("-", F74:L74) - 4, 4), ""), "00\:00"), 1, 0))*24,""))))/9.5</f>
        <v>4</v>
      </c>
      <c r="O74"/>
      <c r="P74"/>
      <c r="Q74" s="2">
        <f t="shared" si="21"/>
        <v>4</v>
      </c>
      <c r="R74" s="2">
        <f t="shared" si="22"/>
        <v>5</v>
      </c>
      <c r="S74">
        <f t="shared" ca="1" si="23"/>
        <v>8</v>
      </c>
      <c r="T74" s="2">
        <f>(IFERROR(VLOOKUP(D74,'Employee Numbers'!$A$3:$C$84,3,FALSE),"NOT FOUND"))*8</f>
        <v>0</v>
      </c>
    </row>
    <row r="75" spans="1:20" s="2" customFormat="1" ht="15" customHeight="1">
      <c r="A75" s="2" t="s">
        <v>98</v>
      </c>
      <c r="C75" s="21"/>
      <c r="D75" s="262" t="s">
        <v>116</v>
      </c>
      <c r="E75" s="285">
        <f>IFERROR(VLOOKUP(D75,'Employee Numbers'!$A$3:$B$84,2,FALSE),"NOT FOUND")</f>
        <v>704872</v>
      </c>
      <c r="F75" s="279"/>
      <c r="G75" s="279"/>
      <c r="H75" s="279"/>
      <c r="I75" s="350"/>
      <c r="J75" s="279"/>
      <c r="K75" s="279" t="s">
        <v>42</v>
      </c>
      <c r="L75" s="279" t="s">
        <v>42</v>
      </c>
      <c r="N75">
        <f t="array" ref="N75">((SUM(IFERROR((TEXT(IF(ISNUMBER(SEARCH("-", F75:L75)), MID(F75:L75, SEARCH("-", F75:L75) + 1, 4), ""), "00\:00") - TEXT(IF(ISNUMBER(SEARCH("-", F75:L75)), MID(F75:L75, SEARCH("-", F75:L75) - 4, 4), ""), "00\:00") + IF(TEXT(IF(ISNUMBER(SEARCH("-", F75:L75)), MID(F75:L75, SEARCH("-", F75:L75) + 1, 4), ""), "00\:00") &lt; TEXT(IF(ISNUMBER(SEARCH("-", F75:L75)), MID(F75:L75, SEARCH("-", F75:L75) - 4, 4), ""), "00\:00"), 1, 0))*24,""))))/9.5</f>
        <v>2</v>
      </c>
      <c r="O75"/>
      <c r="P75"/>
      <c r="Q75" s="2">
        <f t="shared" si="21"/>
        <v>2</v>
      </c>
      <c r="R75" s="2">
        <f t="shared" si="22"/>
        <v>5</v>
      </c>
      <c r="S75">
        <f t="shared" ca="1" si="23"/>
        <v>5</v>
      </c>
      <c r="T75" s="2">
        <f>(IFERROR(VLOOKUP(D75,'Employee Numbers'!$A$3:$C$84,3,FALSE),"NOT FOUND"))*8</f>
        <v>0</v>
      </c>
    </row>
    <row r="76" spans="1:20" s="2" customFormat="1" ht="15" customHeight="1">
      <c r="A76" s="44" t="s">
        <v>98</v>
      </c>
      <c r="B76" s="44"/>
      <c r="C76" s="45"/>
      <c r="D76" s="262" t="s">
        <v>117</v>
      </c>
      <c r="E76" s="285">
        <f>IFERROR(VLOOKUP(D76,'Employee Numbers'!$A$3:$B$84,2,FALSE),"NOT FOUND")</f>
        <v>700712</v>
      </c>
      <c r="F76" s="264" t="s">
        <v>42</v>
      </c>
      <c r="G76" s="264" t="s">
        <v>42</v>
      </c>
      <c r="H76" s="264" t="s">
        <v>42</v>
      </c>
      <c r="I76" s="264"/>
      <c r="J76" s="264"/>
      <c r="K76" s="264" t="s">
        <v>42</v>
      </c>
      <c r="L76" s="264"/>
      <c r="N76">
        <f t="array" ref="N76">((SUM(IFERROR((TEXT(IF(ISNUMBER(SEARCH("-", F76:L76)), MID(F76:L76, SEARCH("-", F76:L76) + 1, 4), ""), "00\:00") - TEXT(IF(ISNUMBER(SEARCH("-", F76:L76)), MID(F76:L76, SEARCH("-", F76:L76) - 4, 4), ""), "00\:00") + IF(TEXT(IF(ISNUMBER(SEARCH("-", F76:L76)), MID(F76:L76, SEARCH("-", F76:L76) + 1, 4), ""), "00\:00") &lt; TEXT(IF(ISNUMBER(SEARCH("-", F76:L76)), MID(F76:L76, SEARCH("-", F76:L76) - 4, 4), ""), "00\:00"), 1, 0))*24,""))))/9.5</f>
        <v>4</v>
      </c>
      <c r="O76"/>
      <c r="P76"/>
      <c r="Q76" s="2">
        <f t="shared" si="21"/>
        <v>4</v>
      </c>
      <c r="R76" s="2">
        <f t="shared" si="22"/>
        <v>5</v>
      </c>
      <c r="S76">
        <f t="shared" ca="1" si="23"/>
        <v>6</v>
      </c>
      <c r="T76" s="2">
        <f>(IFERROR(VLOOKUP(D76,'Employee Numbers'!$A$3:$C$84,3,FALSE),"NOT FOUND"))*8</f>
        <v>0</v>
      </c>
    </row>
    <row r="77" spans="1:20" s="2" customFormat="1" ht="15" customHeight="1">
      <c r="A77" s="2" t="s">
        <v>98</v>
      </c>
      <c r="C77" s="47"/>
      <c r="D77" s="262" t="s">
        <v>119</v>
      </c>
      <c r="E77" s="285">
        <f>IFERROR(VLOOKUP(D77,'Employee Numbers'!$A$3:$B$84,2,FALSE),"NOT FOUND")</f>
        <v>700818</v>
      </c>
      <c r="F77" s="264"/>
      <c r="G77" s="264"/>
      <c r="H77" s="264"/>
      <c r="I77" s="341" t="s">
        <v>33</v>
      </c>
      <c r="J77" s="341" t="s">
        <v>33</v>
      </c>
      <c r="K77" s="341" t="s">
        <v>173</v>
      </c>
      <c r="L77" s="264" t="s">
        <v>42</v>
      </c>
      <c r="N77">
        <f t="array" ref="N77">((SUM(IFERROR((TEXT(IF(ISNUMBER(SEARCH("-", F77:L77)), MID(F77:L77, SEARCH("-", F77:L77) + 1, 4), ""), "00\:00") - TEXT(IF(ISNUMBER(SEARCH("-", F77:L77)), MID(F77:L77, SEARCH("-", F77:L77) - 4, 4), ""), "00\:00") + IF(TEXT(IF(ISNUMBER(SEARCH("-", F77:L77)), MID(F77:L77, SEARCH("-", F77:L77) + 1, 4), ""), "00\:00") &lt; TEXT(IF(ISNUMBER(SEARCH("-", F77:L77)), MID(F77:L77, SEARCH("-", F77:L77) - 4, 4), ""), "00\:00"), 1, 0))*24,""))))/9.5</f>
        <v>1</v>
      </c>
      <c r="O77"/>
      <c r="P77"/>
      <c r="Q77" s="2">
        <f t="shared" si="21"/>
        <v>1</v>
      </c>
      <c r="R77" s="2">
        <f t="shared" si="22"/>
        <v>5</v>
      </c>
      <c r="S77">
        <f t="shared" ca="1" si="23"/>
        <v>5</v>
      </c>
      <c r="T77" s="2">
        <f>(IFERROR(VLOOKUP(D77,'Employee Numbers'!$A$3:$C$84,3,FALSE),"NOT FOUND"))*8</f>
        <v>0</v>
      </c>
    </row>
    <row r="78" spans="1:20" s="2" customFormat="1" ht="15" customHeight="1">
      <c r="A78" s="44" t="s">
        <v>98</v>
      </c>
      <c r="B78" s="44"/>
      <c r="C78" s="45"/>
      <c r="D78" s="262" t="s">
        <v>120</v>
      </c>
      <c r="E78" s="285">
        <f>IFERROR(VLOOKUP(D78,'Employee Numbers'!$A$3:$B$84,2,FALSE),"NOT FOUND")</f>
        <v>650101</v>
      </c>
      <c r="F78" s="264"/>
      <c r="G78" s="264"/>
      <c r="H78" s="278"/>
      <c r="I78" s="278"/>
      <c r="J78" s="278"/>
      <c r="K78" s="278" t="s">
        <v>102</v>
      </c>
      <c r="L78" s="264"/>
      <c r="N78">
        <f t="array" ref="N78">((SUM(IFERROR((TEXT(IF(ISNUMBER(SEARCH("-", F78:L78)), MID(F78:L78, SEARCH("-", F78:L78) + 1, 4), ""), "00\:00") - TEXT(IF(ISNUMBER(SEARCH("-", F78:L78)), MID(F78:L78, SEARCH("-", F78:L78) - 4, 4), ""), "00\:00") + IF(TEXT(IF(ISNUMBER(SEARCH("-", F78:L78)), MID(F78:L78, SEARCH("-", F78:L78) + 1, 4), ""), "00\:00") &lt; TEXT(IF(ISNUMBER(SEARCH("-", F78:L78)), MID(F78:L78, SEARCH("-", F78:L78) - 4, 4), ""), "00\:00"), 1, 0))*24,""))))/9.5</f>
        <v>0</v>
      </c>
      <c r="O78"/>
      <c r="P78">
        <v>2</v>
      </c>
      <c r="Q78" s="2">
        <f t="shared" si="21"/>
        <v>2</v>
      </c>
      <c r="R78" s="2">
        <f t="shared" si="22"/>
        <v>2.5</v>
      </c>
      <c r="S78">
        <f t="shared" ca="1" si="23"/>
        <v>4</v>
      </c>
      <c r="T78" s="2">
        <f>(IFERROR(VLOOKUP(D78,'Employee Numbers'!$A$3:$C$84,3,FALSE),"NOT FOUND"))*8</f>
        <v>0</v>
      </c>
    </row>
    <row r="79" spans="1:20" s="2" customFormat="1" ht="15" customHeight="1">
      <c r="A79" s="2" t="s">
        <v>98</v>
      </c>
      <c r="C79" s="21"/>
      <c r="D79" s="262" t="s">
        <v>122</v>
      </c>
      <c r="E79" s="285">
        <f>IFERROR(VLOOKUP(D79,'Employee Numbers'!$A$3:$B$84,2,FALSE),"NOT FOUND")</f>
        <v>654888</v>
      </c>
      <c r="F79" s="264" t="s">
        <v>42</v>
      </c>
      <c r="G79" s="264" t="s">
        <v>42</v>
      </c>
      <c r="H79" s="264"/>
      <c r="I79" s="278"/>
      <c r="J79" s="278"/>
      <c r="K79" s="278"/>
      <c r="L79" s="278" t="s">
        <v>102</v>
      </c>
      <c r="N79">
        <f t="array" ref="N79">((SUM(IFERROR((TEXT(IF(ISNUMBER(SEARCH("-", F79:L79)), MID(F79:L79, SEARCH("-", F79:L79) + 1, 4), ""), "00\:00") - TEXT(IF(ISNUMBER(SEARCH("-", F79:L79)), MID(F79:L79, SEARCH("-", F79:L79) - 4, 4), ""), "00\:00") + IF(TEXT(IF(ISNUMBER(SEARCH("-", F79:L79)), MID(F79:L79, SEARCH("-", F79:L79) + 1, 4), ""), "00\:00") &lt; TEXT(IF(ISNUMBER(SEARCH("-", F79:L79)), MID(F79:L79, SEARCH("-", F79:L79) - 4, 4), ""), "00\:00"), 1, 0))*24,""))))/9.5</f>
        <v>2</v>
      </c>
      <c r="O79"/>
      <c r="P79">
        <v>2</v>
      </c>
      <c r="Q79" s="2">
        <f t="shared" si="21"/>
        <v>4</v>
      </c>
      <c r="R79" s="2">
        <f t="shared" si="22"/>
        <v>5</v>
      </c>
      <c r="S79">
        <f t="shared" ca="1" si="23"/>
        <v>8</v>
      </c>
      <c r="T79" s="2">
        <f>(IFERROR(VLOOKUP(D79,'Employee Numbers'!$A$3:$C$84,3,FALSE),"NOT FOUND"))*8</f>
        <v>0</v>
      </c>
    </row>
    <row r="80" spans="1:20" s="2" customFormat="1" ht="15" customHeight="1">
      <c r="A80" s="44" t="s">
        <v>98</v>
      </c>
      <c r="B80" s="44"/>
      <c r="C80" s="45"/>
      <c r="D80" s="262" t="s">
        <v>123</v>
      </c>
      <c r="E80" s="285">
        <f>IFERROR(VLOOKUP(D80,'Employee Numbers'!$A$3:$B$84,2,FALSE),"NOT FOUND")</f>
        <v>703880</v>
      </c>
      <c r="F80" s="264"/>
      <c r="G80" s="264" t="s">
        <v>44</v>
      </c>
      <c r="H80" s="264" t="s">
        <v>42</v>
      </c>
      <c r="I80" s="278"/>
      <c r="J80" s="278"/>
      <c r="K80" s="278"/>
      <c r="L80" s="278" t="s">
        <v>102</v>
      </c>
      <c r="N80">
        <f t="array" ref="N80">((SUM(IFERROR((TEXT(IF(ISNUMBER(SEARCH("-", F80:L80)), MID(F80:L80, SEARCH("-", F80:L80) + 1, 4), ""), "00\:00") - TEXT(IF(ISNUMBER(SEARCH("-", F80:L80)), MID(F80:L80, SEARCH("-", F80:L80) - 4, 4), ""), "00\:00") + IF(TEXT(IF(ISNUMBER(SEARCH("-", F80:L80)), MID(F80:L80, SEARCH("-", F80:L80) + 1, 4), ""), "00\:00") &lt; TEXT(IF(ISNUMBER(SEARCH("-", F80:L80)), MID(F80:L80, SEARCH("-", F80:L80) - 4, 4), ""), "00\:00"), 1, 0))*24,""))))/9.5</f>
        <v>2</v>
      </c>
      <c r="O80"/>
      <c r="P80">
        <v>2</v>
      </c>
      <c r="Q80" s="2">
        <f t="shared" si="21"/>
        <v>4</v>
      </c>
      <c r="R80" s="2">
        <f t="shared" si="22"/>
        <v>5</v>
      </c>
      <c r="S80">
        <f t="shared" ca="1" si="23"/>
        <v>8</v>
      </c>
      <c r="T80" s="2">
        <f>(IFERROR(VLOOKUP(D80,'Employee Numbers'!$A$3:$C$84,3,FALSE),"NOT FOUND"))*8</f>
        <v>0</v>
      </c>
    </row>
    <row r="81" spans="1:21" s="13" customFormat="1" ht="15" customHeight="1">
      <c r="A81" s="2" t="s">
        <v>98</v>
      </c>
      <c r="B81" s="2"/>
      <c r="C81" s="21"/>
      <c r="D81" s="262" t="s">
        <v>124</v>
      </c>
      <c r="E81" s="285">
        <f>IFERROR(VLOOKUP(D81,'Employee Numbers'!$A$3:$B$84,2,FALSE),"NOT FOUND")</f>
        <v>703334</v>
      </c>
      <c r="F81" s="264" t="s">
        <v>100</v>
      </c>
      <c r="G81" s="264" t="s">
        <v>100</v>
      </c>
      <c r="H81" s="264" t="s">
        <v>100</v>
      </c>
      <c r="I81" s="264" t="s">
        <v>100</v>
      </c>
      <c r="J81" s="264"/>
      <c r="K81" s="264"/>
      <c r="L81" s="264"/>
      <c r="N81">
        <f t="array" ref="N81">((SUM(IFERROR((TEXT(IF(ISNUMBER(SEARCH("-", F81:L81)), MID(F81:L81, SEARCH("-", F81:L81) + 1, 4), ""), "00\:00") - TEXT(IF(ISNUMBER(SEARCH("-", F81:L81)), MID(F81:L81, SEARCH("-", F81:L81) - 4, 4), ""), "00\:00") + IF(TEXT(IF(ISNUMBER(SEARCH("-", F81:L81)), MID(F81:L81, SEARCH("-", F81:L81) + 1, 4), ""), "00\:00") &lt; TEXT(IF(ISNUMBER(SEARCH("-", F81:L81)), MID(F81:L81, SEARCH("-", F81:L81) - 4, 4), ""), "00\:00"), 1, 0))*24,""))))/9.5</f>
        <v>3.9999999999999991</v>
      </c>
      <c r="O81"/>
      <c r="P81"/>
      <c r="Q81" s="2">
        <f>P81+O81+N81</f>
        <v>3.9999999999999991</v>
      </c>
      <c r="R81" s="2">
        <f>IF(ISNUMBER(SEARCH("trg_5",H173)),5,IF(ISNUMBER(SEARCH("trg_3.75",H173)),3.75,IF(ISNUMBER(SEARCH("trg_2.5",H173)),2.5,IF(ISNUMBER(SEARCH("trg_1.75",H173)),1.75,0))))</f>
        <v>5</v>
      </c>
      <c r="S81">
        <f t="shared" ca="1" si="23"/>
        <v>7.9999999999999991</v>
      </c>
      <c r="T81" s="2">
        <f>(IFERROR(VLOOKUP(D81,'Employee Numbers'!$A$3:$C$84,3,FALSE),"NOT FOUND"))*8</f>
        <v>0</v>
      </c>
      <c r="U81" s="2"/>
    </row>
    <row r="82" spans="1:21" s="2" customFormat="1" ht="15" customHeight="1">
      <c r="A82" s="44" t="s">
        <v>98</v>
      </c>
      <c r="B82" s="44"/>
      <c r="C82" s="45"/>
      <c r="D82" s="262" t="s">
        <v>125</v>
      </c>
      <c r="E82" s="285">
        <f>IFERROR(VLOOKUP(D82,'Employee Numbers'!$A$3:$B$84,2,FALSE),"NOT FOUND")</f>
        <v>700538</v>
      </c>
      <c r="F82" s="264" t="s">
        <v>42</v>
      </c>
      <c r="G82" s="264" t="s">
        <v>42</v>
      </c>
      <c r="H82" s="264"/>
      <c r="I82" s="264" t="s">
        <v>42</v>
      </c>
      <c r="J82" s="264"/>
      <c r="K82" s="264"/>
      <c r="L82" s="264" t="s">
        <v>44</v>
      </c>
      <c r="N82">
        <f t="array" ref="N82">((SUM(IFERROR((TEXT(IF(ISNUMBER(SEARCH("-", F82:L82)), MID(F82:L82, SEARCH("-", F82:L82) + 1, 4), ""), "00\:00") - TEXT(IF(ISNUMBER(SEARCH("-", F82:L82)), MID(F82:L82, SEARCH("-", F82:L82) - 4, 4), ""), "00\:00") + IF(TEXT(IF(ISNUMBER(SEARCH("-", F82:L82)), MID(F82:L82, SEARCH("-", F82:L82) + 1, 4), ""), "00\:00") &lt; TEXT(IF(ISNUMBER(SEARCH("-", F82:L82)), MID(F82:L82, SEARCH("-", F82:L82) - 4, 4), ""), "00\:00"), 1, 0))*24,""))))/9.5</f>
        <v>4</v>
      </c>
      <c r="O82"/>
      <c r="P82"/>
      <c r="Q82" s="2">
        <f>P82+O82+N82</f>
        <v>4</v>
      </c>
      <c r="R82" s="2">
        <f>IF(ISNUMBER(SEARCH("trg_5",H174)),5,IF(ISNUMBER(SEARCH("trg_3.75",H174)),3.75,IF(ISNUMBER(SEARCH("trg_2.5",H174)),2.5,IF(ISNUMBER(SEARCH("trg_1.75",H174)),1.75,0))))</f>
        <v>3.75</v>
      </c>
      <c r="S82">
        <f t="shared" ca="1" si="23"/>
        <v>7</v>
      </c>
      <c r="T82" s="2">
        <f>(IFERROR(VLOOKUP(D82,'Employee Numbers'!$A$3:$C$84,3,FALSE),"NOT FOUND"))*8</f>
        <v>0</v>
      </c>
    </row>
    <row r="83" spans="1:21" s="2" customFormat="1" ht="15" customHeight="1">
      <c r="A83" s="2" t="s">
        <v>98</v>
      </c>
      <c r="C83" s="21"/>
      <c r="D83" s="262" t="s">
        <v>126</v>
      </c>
      <c r="E83" s="285">
        <f>IFERROR(VLOOKUP(D83,'Employee Numbers'!$A$3:$B$84,2,FALSE),"NOT FOUND")</f>
        <v>704862</v>
      </c>
      <c r="F83" s="264"/>
      <c r="G83" s="264"/>
      <c r="H83" s="264"/>
      <c r="I83" s="264" t="s">
        <v>100</v>
      </c>
      <c r="J83" s="264" t="s">
        <v>100</v>
      </c>
      <c r="K83" s="264" t="s">
        <v>100</v>
      </c>
      <c r="L83" s="264" t="s">
        <v>100</v>
      </c>
      <c r="N83">
        <f t="array" ref="N83">((SUM(IFERROR((TEXT(IF(ISNUMBER(SEARCH("-", F83:L83)), MID(F83:L83, SEARCH("-", F83:L83) + 1, 4), ""), "00\:00") - TEXT(IF(ISNUMBER(SEARCH("-", F83:L83)), MID(F83:L83, SEARCH("-", F83:L83) - 4, 4), ""), "00\:00") + IF(TEXT(IF(ISNUMBER(SEARCH("-", F83:L83)), MID(F83:L83, SEARCH("-", F83:L83) + 1, 4), ""), "00\:00") &lt; TEXT(IF(ISNUMBER(SEARCH("-", F83:L83)), MID(F83:L83, SEARCH("-", F83:L83) - 4, 4), ""), "00\:00"), 1, 0))*24,""))))/9.5</f>
        <v>3.9999999999999991</v>
      </c>
      <c r="O83"/>
      <c r="P83"/>
      <c r="Q83" s="2">
        <f>P83+O83+N83</f>
        <v>3.9999999999999991</v>
      </c>
      <c r="R83" s="2">
        <f>IF(ISNUMBER(SEARCH("trg_5",H175)),5,IF(ISNUMBER(SEARCH("trg_3.75",H175)),3.75,IF(ISNUMBER(SEARCH("trg_2.5",H175)),2.5,IF(ISNUMBER(SEARCH("trg_1.75",H175)),1.75,0))))</f>
        <v>2.5</v>
      </c>
      <c r="S83">
        <f t="shared" ca="1" si="23"/>
        <v>3.9999999999999991</v>
      </c>
      <c r="T83" s="2">
        <f>(IFERROR(VLOOKUP(D83,'Employee Numbers'!$A$3:$C$84,3,FALSE),"NOT FOUND"))*8</f>
        <v>0</v>
      </c>
    </row>
    <row r="84" spans="1:21" s="2" customFormat="1" ht="15" customHeight="1">
      <c r="A84" s="44" t="s">
        <v>98</v>
      </c>
      <c r="B84" s="44"/>
      <c r="C84" s="45"/>
      <c r="D84" s="128"/>
      <c r="E84" s="129" t="str">
        <f>IFERROR(VLOOKUP(D84,'Employee Numbers'!$A$3:$B$84,2,FALSE),"NOT FOUND")</f>
        <v>NOT FOUND</v>
      </c>
      <c r="F84" s="151"/>
      <c r="G84" s="151"/>
      <c r="H84" s="151"/>
      <c r="I84" s="151"/>
      <c r="J84" s="151"/>
      <c r="K84" s="151"/>
      <c r="L84" s="151"/>
      <c r="N84">
        <f t="array" ref="N84">((SUM(IFERROR((TEXT(IF(ISNUMBER(SEARCH("-", F84:L84)), MID(F84:L84, SEARCH("-", F84:L84) + 1, 4), ""), "00\:00") - TEXT(IF(ISNUMBER(SEARCH("-", F84:L84)), MID(F84:L84, SEARCH("-", F84:L84) - 4, 4), ""), "00\:00") + IF(TEXT(IF(ISNUMBER(SEARCH("-", F84:L84)), MID(F84:L84, SEARCH("-", F84:L84) + 1, 4), ""), "00\:00") &lt; TEXT(IF(ISNUMBER(SEARCH("-", F84:L84)), MID(F84:L84, SEARCH("-", F84:L84) - 4, 4), ""), "00\:00"), 1, 0))*24,""))))/9.5</f>
        <v>0</v>
      </c>
      <c r="O84"/>
      <c r="P84"/>
      <c r="Q84" s="2">
        <f>P84+O84+N84</f>
        <v>0</v>
      </c>
      <c r="R84" s="2">
        <f>IF(ISNUMBER(SEARCH("trg_5",H176)),5,IF(ISNUMBER(SEARCH("trg_3.75",H176)),3.75,IF(ISNUMBER(SEARCH("trg_2.5",H176)),2.5,IF(ISNUMBER(SEARCH("trg_1.75",H176)),1.75,0))))</f>
        <v>5</v>
      </c>
      <c r="S84">
        <f t="shared" ca="1" si="23"/>
        <v>1</v>
      </c>
      <c r="T84" s="2" t="e">
        <f>(IFERROR(VLOOKUP(D84,'Employee Numbers'!$A$3:$C$84,3,FALSE),"NOT FOUND"))*8</f>
        <v>#VALUE!</v>
      </c>
    </row>
    <row r="85" spans="1:21" s="2" customFormat="1" ht="15" customHeight="1">
      <c r="A85" s="137" t="s">
        <v>128</v>
      </c>
      <c r="B85" s="138"/>
      <c r="C85" s="139"/>
      <c r="D85" s="140" t="s">
        <v>128</v>
      </c>
      <c r="E85" s="141" t="s">
        <v>4</v>
      </c>
      <c r="F85" s="281" t="s">
        <v>5</v>
      </c>
      <c r="G85" s="281" t="s">
        <v>6</v>
      </c>
      <c r="H85" s="281" t="s">
        <v>7</v>
      </c>
      <c r="I85" s="281" t="s">
        <v>8</v>
      </c>
      <c r="J85" s="281" t="s">
        <v>9</v>
      </c>
      <c r="K85" s="281" t="s">
        <v>10</v>
      </c>
      <c r="L85" s="282" t="s">
        <v>11</v>
      </c>
      <c r="M85" s="34"/>
      <c r="N85"/>
      <c r="O85"/>
      <c r="P85"/>
    </row>
    <row r="86" spans="1:21" s="2" customFormat="1" ht="15" customHeight="1">
      <c r="A86" s="44" t="s">
        <v>129</v>
      </c>
      <c r="B86" s="44"/>
      <c r="C86" s="45"/>
      <c r="D86" s="263" t="s">
        <v>130</v>
      </c>
      <c r="E86" s="284">
        <f>IFERROR(VLOOKUP(D86,'Employee Numbers'!$A$3:$B$84,2,FALSE),"NOT FOUND")</f>
        <v>703066</v>
      </c>
      <c r="F86" s="264" t="s">
        <v>42</v>
      </c>
      <c r="G86" s="264"/>
      <c r="H86" s="274" t="s">
        <v>60</v>
      </c>
      <c r="I86" s="274"/>
      <c r="J86" s="274"/>
      <c r="K86" s="274"/>
      <c r="L86" s="274"/>
      <c r="N86">
        <f t="array" ref="N86">((SUM(IFERROR((TEXT(IF(ISNUMBER(SEARCH("-", F86:L86)), MID(F86:L86, SEARCH("-", F86:L86) + 1, 4), ""), "00\:00") - TEXT(IF(ISNUMBER(SEARCH("-", F86:L86)), MID(F86:L86, SEARCH("-", F86:L86) - 4, 4), ""), "00\:00") + IF(TEXT(IF(ISNUMBER(SEARCH("-", F86:L86)), MID(F86:L86, SEARCH("-", F86:L86) + 1, 4), ""), "00\:00") &lt; TEXT(IF(ISNUMBER(SEARCH("-", F86:L86)), MID(F86:L86, SEARCH("-", F86:L86) - 4, 4), ""), "00\:00"), 1, 0))*24,""))))/9.5</f>
        <v>1</v>
      </c>
      <c r="O86"/>
      <c r="P86">
        <v>3</v>
      </c>
      <c r="Q86" s="2">
        <f>P86+O86+N86</f>
        <v>4</v>
      </c>
      <c r="S86">
        <f t="shared" ref="S86:S99" ca="1" si="24">IF($C$4=1,SUM(Q86+INDIRECT("'Week "&amp;($B$3+1)&amp;"'!Q"&amp;(ROW()))),IF($C$4=2,SUM(Q86+INDIRECT("'Week "&amp;($B$3-1)&amp;"'!Q"&amp;(ROW())))))</f>
        <v>9</v>
      </c>
      <c r="T86" s="2" t="e">
        <f>(IFERROR(VLOOKUP(D86,'Employee Numbers'!$A$3:$C$84,3,FALSE),"NOT FOUND"))*8</f>
        <v>#VALUE!</v>
      </c>
    </row>
    <row r="87" spans="1:21" s="2" customFormat="1" ht="15" customHeight="1">
      <c r="A87" s="2" t="s">
        <v>129</v>
      </c>
      <c r="C87" s="21"/>
      <c r="D87" s="263" t="s">
        <v>131</v>
      </c>
      <c r="E87" s="285">
        <f>IFERROR(VLOOKUP(D87,'Employee Numbers'!$A$3:$B$84,2,FALSE),"NOT FOUND")</f>
        <v>648637</v>
      </c>
      <c r="F87" s="264" t="s">
        <v>44</v>
      </c>
      <c r="G87" s="264" t="s">
        <v>44</v>
      </c>
      <c r="H87" s="264" t="s">
        <v>44</v>
      </c>
      <c r="I87" s="264" t="s">
        <v>42</v>
      </c>
      <c r="J87" s="264"/>
      <c r="K87" s="264"/>
      <c r="L87" s="264" t="s">
        <v>174</v>
      </c>
      <c r="N87">
        <f t="array" ref="N87">((SUM(IFERROR((TEXT(IF(ISNUMBER(SEARCH("-", F87:L87)), MID(F87:L87, SEARCH("-", F87:L87) + 1, 4), ""), "00\:00") - TEXT(IF(ISNUMBER(SEARCH("-", F87:L87)), MID(F87:L87, SEARCH("-", F87:L87) - 4, 4), ""), "00\:00") + IF(TEXT(IF(ISNUMBER(SEARCH("-", F87:L87)), MID(F87:L87, SEARCH("-", F87:L87) + 1, 4), ""), "00\:00") &lt; TEXT(IF(ISNUMBER(SEARCH("-", F87:L87)), MID(F87:L87, SEARCH("-", F87:L87) - 4, 4), ""), "00\:00"), 1, 0))*24,""))))/9.5</f>
        <v>5</v>
      </c>
      <c r="O87"/>
      <c r="P87"/>
      <c r="Q87" s="2">
        <f t="shared" ref="Q87:Q96" si="25">P87+O87+N87</f>
        <v>5</v>
      </c>
      <c r="S87">
        <f t="shared" ca="1" si="24"/>
        <v>7.9999999999999991</v>
      </c>
      <c r="T87" s="2" t="e">
        <f>(IFERROR(VLOOKUP(D87,'Employee Numbers'!$A$3:$C$84,3,FALSE),"NOT FOUND"))*8</f>
        <v>#VALUE!</v>
      </c>
    </row>
    <row r="88" spans="1:21" s="13" customFormat="1" ht="15" customHeight="1">
      <c r="A88" s="44" t="s">
        <v>129</v>
      </c>
      <c r="B88" s="44"/>
      <c r="C88" s="45"/>
      <c r="D88" s="263" t="s">
        <v>132</v>
      </c>
      <c r="E88" s="285">
        <f>IFERROR(VLOOKUP(D88,'Employee Numbers'!$A$3:$B$84,2,FALSE),"NOT FOUND")</f>
        <v>703161</v>
      </c>
      <c r="F88" s="264"/>
      <c r="G88" s="264"/>
      <c r="H88" s="264"/>
      <c r="I88" s="264" t="s">
        <v>44</v>
      </c>
      <c r="J88" s="264"/>
      <c r="K88" s="264"/>
      <c r="L88" s="264" t="s">
        <v>44</v>
      </c>
      <c r="M88" s="2"/>
      <c r="N88">
        <f t="array" ref="N88">((SUM(IFERROR((TEXT(IF(ISNUMBER(SEARCH("-", F88:L88)), MID(F88:L88, SEARCH("-", F88:L88) + 1, 4), ""), "00\:00") - TEXT(IF(ISNUMBER(SEARCH("-", F88:L88)), MID(F88:L88, SEARCH("-", F88:L88) - 4, 4), ""), "00\:00") + IF(TEXT(IF(ISNUMBER(SEARCH("-", F88:L88)), MID(F88:L88, SEARCH("-", F88:L88) + 1, 4), ""), "00\:00") &lt; TEXT(IF(ISNUMBER(SEARCH("-", F88:L88)), MID(F88:L88, SEARCH("-", F88:L88) - 4, 4), ""), "00\:00"), 1, 0))*24,""))))/9.5</f>
        <v>2</v>
      </c>
      <c r="O88"/>
      <c r="P88"/>
      <c r="Q88" s="2">
        <f t="shared" si="25"/>
        <v>2</v>
      </c>
      <c r="R88" s="2"/>
      <c r="S88">
        <f t="shared" ca="1" si="24"/>
        <v>4.9999999999999991</v>
      </c>
      <c r="T88" s="2" t="e">
        <f>(IFERROR(VLOOKUP(D88,'Employee Numbers'!$A$3:$C$84,3,FALSE),"NOT FOUND"))*8</f>
        <v>#VALUE!</v>
      </c>
      <c r="U88" s="2"/>
    </row>
    <row r="89" spans="1:21" s="2" customFormat="1" ht="15" customHeight="1">
      <c r="A89" s="2" t="s">
        <v>129</v>
      </c>
      <c r="C89" s="21"/>
      <c r="D89" s="263" t="s">
        <v>133</v>
      </c>
      <c r="E89" s="285">
        <f>IFERROR(VLOOKUP(D89,'Employee Numbers'!$A$3:$B$84,2,FALSE),"NOT FOUND")</f>
        <v>655179</v>
      </c>
      <c r="F89" s="264" t="s">
        <v>42</v>
      </c>
      <c r="G89" s="264" t="s">
        <v>100</v>
      </c>
      <c r="H89" s="264" t="s">
        <v>100</v>
      </c>
      <c r="I89" s="264" t="s">
        <v>100</v>
      </c>
      <c r="J89" s="264"/>
      <c r="K89" s="264"/>
      <c r="L89" s="264"/>
      <c r="N89">
        <f t="array" ref="N89">((SUM(IFERROR((TEXT(IF(ISNUMBER(SEARCH("-", F89:L89)), MID(F89:L89, SEARCH("-", F89:L89) + 1, 4), ""), "00\:00") - TEXT(IF(ISNUMBER(SEARCH("-", F89:L89)), MID(F89:L89, SEARCH("-", F89:L89) - 4, 4), ""), "00\:00") + IF(TEXT(IF(ISNUMBER(SEARCH("-", F89:L89)), MID(F89:L89, SEARCH("-", F89:L89) + 1, 4), ""), "00\:00") &lt; TEXT(IF(ISNUMBER(SEARCH("-", F89:L89)), MID(F89:L89, SEARCH("-", F89:L89) - 4, 4), ""), "00\:00"), 1, 0))*24,""))))/9.5</f>
        <v>4</v>
      </c>
      <c r="O89"/>
      <c r="P89"/>
      <c r="Q89" s="2">
        <f t="shared" si="25"/>
        <v>4</v>
      </c>
      <c r="S89">
        <f t="shared" ca="1" si="24"/>
        <v>8</v>
      </c>
      <c r="T89" s="2" t="e">
        <f>(IFERROR(VLOOKUP(D89,'Employee Numbers'!$A$3:$C$84,3,FALSE),"NOT FOUND"))*8</f>
        <v>#VALUE!</v>
      </c>
    </row>
    <row r="90" spans="1:21" s="2" customFormat="1" ht="15" customHeight="1">
      <c r="A90" s="44" t="s">
        <v>129</v>
      </c>
      <c r="B90" s="44"/>
      <c r="C90" s="45"/>
      <c r="D90" s="263" t="s">
        <v>134</v>
      </c>
      <c r="E90" s="285">
        <f>IFERROR(VLOOKUP(D90,'Employee Numbers'!$A$3:$B$84,2,FALSE),"NOT FOUND")</f>
        <v>700812</v>
      </c>
      <c r="F90" s="264" t="s">
        <v>44</v>
      </c>
      <c r="G90" s="264"/>
      <c r="H90" s="264" t="s">
        <v>44</v>
      </c>
      <c r="I90" s="264" t="s">
        <v>44</v>
      </c>
      <c r="J90" s="264" t="s">
        <v>42</v>
      </c>
      <c r="K90" s="264"/>
      <c r="L90" s="264"/>
      <c r="N90">
        <f t="array" ref="N90">((SUM(IFERROR((TEXT(IF(ISNUMBER(SEARCH("-", F90:L90)), MID(F90:L90, SEARCH("-", F90:L90) + 1, 4), ""), "00\:00") - TEXT(IF(ISNUMBER(SEARCH("-", F90:L90)), MID(F90:L90, SEARCH("-", F90:L90) - 4, 4), ""), "00\:00") + IF(TEXT(IF(ISNUMBER(SEARCH("-", F90:L90)), MID(F90:L90, SEARCH("-", F90:L90) + 1, 4), ""), "00\:00") &lt; TEXT(IF(ISNUMBER(SEARCH("-", F90:L90)), MID(F90:L90, SEARCH("-", F90:L90) - 4, 4), ""), "00\:00"), 1, 0))*24,""))))/9.5</f>
        <v>4</v>
      </c>
      <c r="O90"/>
      <c r="P90"/>
      <c r="Q90" s="2">
        <f t="shared" si="25"/>
        <v>4</v>
      </c>
      <c r="S90">
        <f t="shared" ca="1" si="24"/>
        <v>8</v>
      </c>
      <c r="T90" s="2" t="e">
        <f>(IFERROR(VLOOKUP(D90,'Employee Numbers'!$A$3:$C$84,3,FALSE),"NOT FOUND"))*8</f>
        <v>#VALUE!</v>
      </c>
    </row>
    <row r="91" spans="1:21" s="2" customFormat="1" ht="15" customHeight="1">
      <c r="A91" s="2" t="s">
        <v>129</v>
      </c>
      <c r="D91" s="263" t="s">
        <v>135</v>
      </c>
      <c r="E91" s="285">
        <f>IFERROR(VLOOKUP(D91,'Employee Numbers'!$A$3:$B$84,2,FALSE),"NOT FOUND")</f>
        <v>703157</v>
      </c>
      <c r="F91" s="264" t="s">
        <v>100</v>
      </c>
      <c r="G91" s="264" t="s">
        <v>100</v>
      </c>
      <c r="H91" s="264" t="s">
        <v>100</v>
      </c>
      <c r="I91" s="264" t="s">
        <v>100</v>
      </c>
      <c r="J91" s="264"/>
      <c r="K91" s="264"/>
      <c r="L91" s="264"/>
      <c r="N91">
        <f t="array" ref="N91">((SUM(IFERROR((TEXT(IF(ISNUMBER(SEARCH("-", F91:L91)), MID(F91:L91, SEARCH("-", F91:L91) + 1, 4), ""), "00\:00") - TEXT(IF(ISNUMBER(SEARCH("-", F91:L91)), MID(F91:L91, SEARCH("-", F91:L91) - 4, 4), ""), "00\:00") + IF(TEXT(IF(ISNUMBER(SEARCH("-", F91:L91)), MID(F91:L91, SEARCH("-", F91:L91) + 1, 4), ""), "00\:00") &lt; TEXT(IF(ISNUMBER(SEARCH("-", F91:L91)), MID(F91:L91, SEARCH("-", F91:L91) - 4, 4), ""), "00\:00"), 1, 0))*24,""))))/9.5</f>
        <v>3.9999999999999991</v>
      </c>
      <c r="O91"/>
      <c r="P91"/>
      <c r="Q91" s="2">
        <f t="shared" si="25"/>
        <v>3.9999999999999991</v>
      </c>
      <c r="S91">
        <f t="shared" ca="1" si="24"/>
        <v>7.9999999999999991</v>
      </c>
      <c r="T91" s="2" t="e">
        <f>(IFERROR(VLOOKUP(D91,'Employee Numbers'!$A$3:$C$84,3,FALSE),"NOT FOUND"))*8</f>
        <v>#VALUE!</v>
      </c>
    </row>
    <row r="92" spans="1:21" s="2" customFormat="1" ht="15" customHeight="1">
      <c r="A92" s="44" t="s">
        <v>129</v>
      </c>
      <c r="B92" s="44"/>
      <c r="C92" s="44"/>
      <c r="D92" s="263" t="s">
        <v>136</v>
      </c>
      <c r="E92" s="285">
        <f>IFERROR(VLOOKUP(D92,'Employee Numbers'!$A$3:$B$84,2,FALSE),"NOT FOUND")</f>
        <v>655173</v>
      </c>
      <c r="F92" s="264" t="s">
        <v>42</v>
      </c>
      <c r="G92" s="264"/>
      <c r="H92" s="264"/>
      <c r="I92" s="264"/>
      <c r="J92" s="264" t="s">
        <v>100</v>
      </c>
      <c r="K92" s="264" t="s">
        <v>100</v>
      </c>
      <c r="L92" s="264" t="s">
        <v>100</v>
      </c>
      <c r="N92">
        <f t="array" ref="N92">((SUM(IFERROR((TEXT(IF(ISNUMBER(SEARCH("-", F92:L92)), MID(F92:L92, SEARCH("-", F92:L92) + 1, 4), ""), "00\:00") - TEXT(IF(ISNUMBER(SEARCH("-", F92:L92)), MID(F92:L92, SEARCH("-", F92:L92) - 4, 4), ""), "00\:00") + IF(TEXT(IF(ISNUMBER(SEARCH("-", F92:L92)), MID(F92:L92, SEARCH("-", F92:L92) + 1, 4), ""), "00\:00") &lt; TEXT(IF(ISNUMBER(SEARCH("-", F92:L92)), MID(F92:L92, SEARCH("-", F92:L92) - 4, 4), ""), "00\:00"), 1, 0))*24,""))))/9.5</f>
        <v>4</v>
      </c>
      <c r="O92"/>
      <c r="P92"/>
      <c r="Q92" s="2">
        <f t="shared" si="25"/>
        <v>4</v>
      </c>
      <c r="S92">
        <f t="shared" ca="1" si="24"/>
        <v>8</v>
      </c>
      <c r="T92" s="2" t="e">
        <f>(IFERROR(VLOOKUP(D92,'Employee Numbers'!$A$3:$C$84,3,FALSE),"NOT FOUND"))*8</f>
        <v>#VALUE!</v>
      </c>
    </row>
    <row r="93" spans="1:21" s="2" customFormat="1" ht="15" customHeight="1">
      <c r="A93" s="44" t="s">
        <v>129</v>
      </c>
      <c r="B93" s="44"/>
      <c r="C93" s="45"/>
      <c r="D93" s="263" t="s">
        <v>137</v>
      </c>
      <c r="E93" s="285">
        <f>IFERROR(VLOOKUP(D93,'Employee Numbers'!$A$3:$B$84,2,FALSE),"NOT FOUND")</f>
        <v>705273</v>
      </c>
      <c r="F93" s="264"/>
      <c r="G93" s="264" t="s">
        <v>42</v>
      </c>
      <c r="H93" s="264" t="s">
        <v>42</v>
      </c>
      <c r="I93" s="264"/>
      <c r="J93" s="264"/>
      <c r="K93" s="264" t="s">
        <v>42</v>
      </c>
      <c r="L93" s="264" t="s">
        <v>42</v>
      </c>
      <c r="N93">
        <f t="array" ref="N93">((SUM(IFERROR((TEXT(IF(ISNUMBER(SEARCH("-", F93:L93)), MID(F93:L93, SEARCH("-", F93:L93) + 1, 4), ""), "00\:00") - TEXT(IF(ISNUMBER(SEARCH("-", F93:L93)), MID(F93:L93, SEARCH("-", F93:L93) - 4, 4), ""), "00\:00") + IF(TEXT(IF(ISNUMBER(SEARCH("-", F93:L93)), MID(F93:L93, SEARCH("-", F93:L93) + 1, 4), ""), "00\:00") &lt; TEXT(IF(ISNUMBER(SEARCH("-", F93:L93)), MID(F93:L93, SEARCH("-", F93:L93) - 4, 4), ""), "00\:00"), 1, 0))*24,""))))/9.5</f>
        <v>4</v>
      </c>
      <c r="O93"/>
      <c r="P93"/>
      <c r="Q93" s="2">
        <f t="shared" si="25"/>
        <v>4</v>
      </c>
      <c r="S93">
        <f t="shared" ca="1" si="24"/>
        <v>8</v>
      </c>
      <c r="T93" s="2" t="e">
        <f>(IFERROR(VLOOKUP(D93,'Employee Numbers'!$A$3:$C$84,3,FALSE),"NOT FOUND"))*8</f>
        <v>#VALUE!</v>
      </c>
    </row>
    <row r="94" spans="1:21" s="2" customFormat="1" ht="15" customHeight="1">
      <c r="A94" s="2" t="s">
        <v>129</v>
      </c>
      <c r="C94" s="21"/>
      <c r="D94" s="263" t="s">
        <v>138</v>
      </c>
      <c r="E94" s="285">
        <f>IFERROR(VLOOKUP(D94,'Employee Numbers'!$A$3:$B$84,2,FALSE),"NOT FOUND")</f>
        <v>703418</v>
      </c>
      <c r="F94" s="264" t="s">
        <v>100</v>
      </c>
      <c r="G94" s="264"/>
      <c r="H94" s="264"/>
      <c r="I94" s="264"/>
      <c r="J94" s="264" t="s">
        <v>44</v>
      </c>
      <c r="K94" s="264" t="s">
        <v>44</v>
      </c>
      <c r="L94" s="264" t="s">
        <v>44</v>
      </c>
      <c r="N94">
        <f t="array" ref="N94">((SUM(IFERROR((TEXT(IF(ISNUMBER(SEARCH("-", F94:L94)), MID(F94:L94, SEARCH("-", F94:L94) + 1, 4), ""), "00\:00") - TEXT(IF(ISNUMBER(SEARCH("-", F94:L94)), MID(F94:L94, SEARCH("-", F94:L94) - 4, 4), ""), "00\:00") + IF(TEXT(IF(ISNUMBER(SEARCH("-", F94:L94)), MID(F94:L94, SEARCH("-", F94:L94) + 1, 4), ""), "00\:00") &lt; TEXT(IF(ISNUMBER(SEARCH("-", F94:L94)), MID(F94:L94, SEARCH("-", F94:L94) - 4, 4), ""), "00\:00"), 1, 0))*24,""))))/9.5</f>
        <v>4</v>
      </c>
      <c r="O94"/>
      <c r="P94"/>
      <c r="Q94" s="2">
        <f t="shared" si="25"/>
        <v>4</v>
      </c>
      <c r="S94">
        <f t="shared" ca="1" si="24"/>
        <v>8</v>
      </c>
      <c r="T94" s="2" t="e">
        <f>(IFERROR(VLOOKUP(D94,'Employee Numbers'!$A$3:$C$84,3,FALSE),"NOT FOUND"))*8</f>
        <v>#VALUE!</v>
      </c>
    </row>
    <row r="95" spans="1:21" s="13" customFormat="1" ht="15" customHeight="1">
      <c r="A95" s="44" t="s">
        <v>129</v>
      </c>
      <c r="B95" s="44"/>
      <c r="C95" s="45"/>
      <c r="D95" s="263" t="s">
        <v>139</v>
      </c>
      <c r="E95" s="39">
        <f>IFERROR(VLOOKUP(D95,'Employee Numbers'!$A$3:$B$84,2,FALSE),"NOT FOUND")</f>
        <v>704108</v>
      </c>
      <c r="F95" s="130"/>
      <c r="G95" s="130"/>
      <c r="H95" s="130"/>
      <c r="I95" s="130"/>
      <c r="J95" s="130"/>
      <c r="K95" s="130"/>
      <c r="L95" s="130"/>
      <c r="M95" s="2"/>
      <c r="N95">
        <f t="array" ref="N95">((SUM(IFERROR((TEXT(IF(ISNUMBER(SEARCH("-", F95:L95)), MID(F95:L95, SEARCH("-", F95:L95) + 1, 4), ""), "00\:00") - TEXT(IF(ISNUMBER(SEARCH("-", F95:L95)), MID(F95:L95, SEARCH("-", F95:L95) - 4, 4), ""), "00\:00") + IF(TEXT(IF(ISNUMBER(SEARCH("-", F95:L95)), MID(F95:L95, SEARCH("-", F95:L95) + 1, 4), ""), "00\:00") &lt; TEXT(IF(ISNUMBER(SEARCH("-", F95:L95)), MID(F95:L95, SEARCH("-", F95:L95) - 4, 4), ""), "00\:00"), 1, 0))*24,""))))/9.5</f>
        <v>0</v>
      </c>
      <c r="O95"/>
      <c r="P95"/>
      <c r="Q95" s="2">
        <f t="shared" si="25"/>
        <v>0</v>
      </c>
      <c r="R95" s="2"/>
      <c r="S95">
        <f t="shared" ca="1" si="24"/>
        <v>0</v>
      </c>
      <c r="T95" s="2" t="e">
        <f>(IFERROR(VLOOKUP(D95,'Employee Numbers'!$A$3:$C$84,3,FALSE),"NOT FOUND"))*8</f>
        <v>#VALUE!</v>
      </c>
      <c r="U95" s="2"/>
    </row>
    <row r="96" spans="1:21" s="2" customFormat="1" ht="15" customHeight="1">
      <c r="A96" s="2" t="s">
        <v>129</v>
      </c>
      <c r="C96" s="21"/>
      <c r="D96" s="263" t="s">
        <v>140</v>
      </c>
      <c r="E96" s="39">
        <f>IFERROR(VLOOKUP(D96,'Employee Numbers'!$A$3:$B$84,2,FALSE),"NOT FOUND")</f>
        <v>651515</v>
      </c>
      <c r="F96" s="288"/>
      <c r="G96" s="288"/>
      <c r="H96" s="288"/>
      <c r="I96" s="288"/>
      <c r="J96" s="37"/>
      <c r="K96" s="37"/>
      <c r="L96" s="37"/>
      <c r="N96">
        <f t="array" ref="N96">((SUM(IFERROR((TEXT(IF(ISNUMBER(SEARCH("-", F96:L96)), MID(F96:L96, SEARCH("-", F96:L96) + 1, 4), ""), "00\:00") - TEXT(IF(ISNUMBER(SEARCH("-", F96:L96)), MID(F96:L96, SEARCH("-", F96:L96) - 4, 4), ""), "00\:00") + IF(TEXT(IF(ISNUMBER(SEARCH("-", F96:L96)), MID(F96:L96, SEARCH("-", F96:L96) + 1, 4), ""), "00\:00") &lt; TEXT(IF(ISNUMBER(SEARCH("-", F96:L96)), MID(F96:L96, SEARCH("-", F96:L96) - 4, 4), ""), "00\:00"), 1, 0))*24,""))))/9.5</f>
        <v>0</v>
      </c>
      <c r="O96"/>
      <c r="P96"/>
      <c r="Q96" s="2">
        <f t="shared" si="25"/>
        <v>0</v>
      </c>
      <c r="S96">
        <f t="shared" ca="1" si="24"/>
        <v>0</v>
      </c>
      <c r="T96" s="2" t="e">
        <f>(IFERROR(VLOOKUP(D96,'Employee Numbers'!$A$3:$C$84,3,FALSE),"NOT FOUND"))*8</f>
        <v>#VALUE!</v>
      </c>
    </row>
    <row r="97" spans="1:20" s="2" customFormat="1" ht="15" customHeight="1">
      <c r="A97" s="44" t="s">
        <v>129</v>
      </c>
      <c r="B97" s="44"/>
      <c r="C97" s="45"/>
      <c r="D97" s="263" t="s">
        <v>141</v>
      </c>
      <c r="E97" s="285">
        <f>IFERROR(VLOOKUP(D97,'Employee Numbers'!$A$3:$B$84,2,FALSE),"NOT FOUND")</f>
        <v>705199</v>
      </c>
      <c r="F97" s="264" t="s">
        <v>44</v>
      </c>
      <c r="G97" s="264" t="s">
        <v>44</v>
      </c>
      <c r="H97" s="264" t="s">
        <v>44</v>
      </c>
      <c r="I97" s="264" t="s">
        <v>42</v>
      </c>
      <c r="J97" s="287"/>
      <c r="K97" s="37"/>
      <c r="L97" s="37"/>
      <c r="N97">
        <f t="array" ref="N97">((SUM(IFERROR((TEXT(IF(ISNUMBER(SEARCH("-", F97:L97)), MID(F97:L97, SEARCH("-", F97:L97) + 1, 4), ""), "00\:00") - TEXT(IF(ISNUMBER(SEARCH("-", F97:L97)), MID(F97:L97, SEARCH("-", F97:L97) - 4, 4), ""), "00\:00") + IF(TEXT(IF(ISNUMBER(SEARCH("-", F97:L97)), MID(F97:L97, SEARCH("-", F97:L97) + 1, 4), ""), "00\:00") &lt; TEXT(IF(ISNUMBER(SEARCH("-", F97:L97)), MID(F97:L97, SEARCH("-", F97:L97) - 4, 4), ""), "00\:00"), 1, 0))*24,""))))/9.5</f>
        <v>4</v>
      </c>
      <c r="O97"/>
      <c r="P97"/>
      <c r="Q97" s="2">
        <f>P97+O97+N97</f>
        <v>4</v>
      </c>
      <c r="S97">
        <f t="shared" ca="1" si="24"/>
        <v>8</v>
      </c>
      <c r="T97" s="2" t="e">
        <f>(IFERROR(VLOOKUP(D97,'Employee Numbers'!$A$3:$C$84,3,FALSE),"NOT FOUND"))*8</f>
        <v>#VALUE!</v>
      </c>
    </row>
    <row r="98" spans="1:20" s="2" customFormat="1" ht="15" customHeight="1">
      <c r="A98" s="2" t="s">
        <v>129</v>
      </c>
      <c r="D98" s="31" t="s">
        <v>175</v>
      </c>
      <c r="E98" s="39" t="str">
        <f>IFERROR(VLOOKUP(D98,'Employee Numbers'!$A$3:$B$84,2,FALSE),"NOT FOUND")</f>
        <v>NOT FOUND</v>
      </c>
      <c r="F98" s="130"/>
      <c r="G98" s="130"/>
      <c r="H98" s="130"/>
      <c r="I98" s="130"/>
      <c r="J98" s="264" t="s">
        <v>44</v>
      </c>
      <c r="K98" s="264" t="s">
        <v>44</v>
      </c>
      <c r="L98" s="37"/>
      <c r="N98">
        <f t="array" ref="N98">((SUM(IFERROR((TEXT(IF(ISNUMBER(SEARCH("-", F98:L98)), MID(F98:L98, SEARCH("-", F98:L98) + 1, 4), ""), "00\:00") - TEXT(IF(ISNUMBER(SEARCH("-", F98:L98)), MID(F98:L98, SEARCH("-", F98:L98) - 4, 4), ""), "00\:00") + IF(TEXT(IF(ISNUMBER(SEARCH("-", F98:L98)), MID(F98:L98, SEARCH("-", F98:L98) + 1, 4), ""), "00\:00") &lt; TEXT(IF(ISNUMBER(SEARCH("-", F98:L98)), MID(F98:L98, SEARCH("-", F98:L98) - 4, 4), ""), "00\:00"), 1, 0))*24,""))))/9.5</f>
        <v>2</v>
      </c>
      <c r="O98"/>
      <c r="P98"/>
      <c r="Q98" s="2">
        <f>P98+O98+N98</f>
        <v>2</v>
      </c>
      <c r="S98">
        <f t="shared" ca="1" si="24"/>
        <v>2</v>
      </c>
      <c r="T98" s="2" t="e">
        <f>(IFERROR(VLOOKUP(D98,'Employee Numbers'!$A$3:$C$84,3,FALSE),"NOT FOUND"))*8</f>
        <v>#VALUE!</v>
      </c>
    </row>
    <row r="99" spans="1:20" s="2" customFormat="1" ht="15" customHeight="1">
      <c r="A99" s="44" t="s">
        <v>129</v>
      </c>
      <c r="B99" s="44"/>
      <c r="C99" s="44"/>
      <c r="D99" s="30"/>
      <c r="E99" s="39" t="str">
        <f>IFERROR(VLOOKUP(D99,'Employee Numbers'!$A$3:$B$84,2,FALSE),"NOT FOUND")</f>
        <v>NOT FOUND</v>
      </c>
      <c r="F99" s="37"/>
      <c r="G99" s="37"/>
      <c r="H99" s="37"/>
      <c r="I99" s="37"/>
      <c r="J99" s="37"/>
      <c r="K99" s="37"/>
      <c r="L99" s="37"/>
      <c r="N99">
        <f t="array" ref="N99">((SUM(IFERROR((TEXT(IF(ISNUMBER(SEARCH("-", F99:L99)), MID(F99:L99, SEARCH("-", F99:L99) + 1, 4), ""), "00\:00") - TEXT(IF(ISNUMBER(SEARCH("-", F99:L99)), MID(F99:L99, SEARCH("-", F99:L99) - 4, 4), ""), "00\:00") + IF(TEXT(IF(ISNUMBER(SEARCH("-", F99:L99)), MID(F99:L99, SEARCH("-", F99:L99) + 1, 4), ""), "00\:00") &lt; TEXT(IF(ISNUMBER(SEARCH("-", F99:L99)), MID(F99:L99, SEARCH("-", F99:L99) - 4, 4), ""), "00\:00"), 1, 0))*24,""))))/9.5</f>
        <v>0</v>
      </c>
      <c r="O99"/>
      <c r="P99"/>
      <c r="Q99" s="2">
        <f>P99+O99+N99</f>
        <v>0</v>
      </c>
      <c r="S99">
        <f t="shared" ca="1" si="24"/>
        <v>0</v>
      </c>
      <c r="T99" s="2" t="e">
        <f>(IFERROR(VLOOKUP(D99,'Employee Numbers'!$A$3:$C$84,3,FALSE),"NOT FOUND"))*8</f>
        <v>#VALUE!</v>
      </c>
    </row>
    <row r="100" spans="1:20" s="2" customFormat="1" ht="15" customHeight="1">
      <c r="A100" s="56" t="s">
        <v>142</v>
      </c>
      <c r="B100" s="52"/>
      <c r="C100" s="53"/>
      <c r="D100" s="56" t="s">
        <v>142</v>
      </c>
      <c r="E100" s="41" t="s">
        <v>4</v>
      </c>
      <c r="F100" s="40" t="s">
        <v>5</v>
      </c>
      <c r="G100" s="40" t="s">
        <v>6</v>
      </c>
      <c r="H100" s="40" t="s">
        <v>7</v>
      </c>
      <c r="I100" s="40" t="s">
        <v>8</v>
      </c>
      <c r="J100" s="40" t="s">
        <v>9</v>
      </c>
      <c r="K100" s="40" t="s">
        <v>10</v>
      </c>
      <c r="L100" s="40" t="s">
        <v>11</v>
      </c>
      <c r="M100" s="5"/>
    </row>
    <row r="101" spans="1:20" s="2" customFormat="1" ht="15" customHeight="1">
      <c r="A101" s="2" t="s">
        <v>143</v>
      </c>
      <c r="B101" s="5"/>
      <c r="C101" s="8"/>
      <c r="D101" s="31" t="s">
        <v>144</v>
      </c>
      <c r="E101" s="39">
        <f>IFERROR(VLOOKUP(D101,'Employee Numbers'!$A$3:$B$84,2,FALSE),"NOT FOUND")</f>
        <v>641345</v>
      </c>
      <c r="F101" s="347" t="s">
        <v>145</v>
      </c>
      <c r="G101" s="347" t="s">
        <v>145</v>
      </c>
      <c r="H101" s="347" t="s">
        <v>44</v>
      </c>
      <c r="I101" s="345" t="s">
        <v>147</v>
      </c>
      <c r="J101" s="347" t="s">
        <v>145</v>
      </c>
      <c r="K101" s="347" t="s">
        <v>44</v>
      </c>
      <c r="L101" s="347" t="s">
        <v>44</v>
      </c>
      <c r="M101" s="5"/>
      <c r="N101">
        <f t="array" ref="N101">((SUM(IFERROR((TEXT(IF(ISNUMBER(SEARCH("-", F101:L101)), MID(F101:L101, SEARCH("-", F101:L101) + 1, 4), ""), "00\:00") - TEXT(IF(ISNUMBER(SEARCH("-", F101:L101)), MID(F101:L101, SEARCH("-", F101:L101) - 4, 4), ""), "00\:00") + IF(TEXT(IF(ISNUMBER(SEARCH("-", F101:L101)), MID(F101:L101, SEARCH("-", F101:L101) + 1, 4), ""), "00\:00") &lt; TEXT(IF(ISNUMBER(SEARCH("-", F101:L101)), MID(F101:L101, SEARCH("-", F101:L101) - 4, 4), ""), "00\:00"), 1, 0))*24,""))))/9.5</f>
        <v>4</v>
      </c>
      <c r="O101"/>
      <c r="P101"/>
      <c r="Q101" s="2">
        <f>P101+O101+N101</f>
        <v>4</v>
      </c>
      <c r="S101">
        <f t="shared" ref="S101:S102" ca="1" si="26">IF($C$4=1,SUM(Q101+INDIRECT("'Week "&amp;($B$3+1)&amp;"'!Q"&amp;(ROW()))),IF($C$4=2,SUM(Q101+INDIRECT("'Week "&amp;($B$3-1)&amp;"'!Q"&amp;(ROW())))))</f>
        <v>8</v>
      </c>
      <c r="T101" s="2">
        <f>(IFERROR(VLOOKUP(D101,'Employee Numbers'!$A$3:$C$84,3,FALSE),"NOT FOUND"))*8</f>
        <v>0</v>
      </c>
    </row>
    <row r="102" spans="1:20" s="2" customFormat="1" ht="15" customHeight="1">
      <c r="A102" s="44" t="s">
        <v>143</v>
      </c>
      <c r="B102" s="5"/>
      <c r="C102" s="8"/>
      <c r="D102" s="31" t="s">
        <v>146</v>
      </c>
      <c r="E102" s="39">
        <f>IFERROR(VLOOKUP(D102,'Employee Numbers'!$A$3:$B$84,2,FALSE),"NOT FOUND")</f>
        <v>703521</v>
      </c>
      <c r="F102" s="347" t="s">
        <v>44</v>
      </c>
      <c r="G102" s="347" t="s">
        <v>44</v>
      </c>
      <c r="H102" s="330" t="s">
        <v>145</v>
      </c>
      <c r="I102" s="347" t="s">
        <v>44</v>
      </c>
      <c r="J102" s="347" t="s">
        <v>44</v>
      </c>
      <c r="K102" s="347" t="s">
        <v>145</v>
      </c>
      <c r="L102" s="342"/>
      <c r="M102" s="5"/>
      <c r="N102">
        <f t="array" ref="N102">((SUM(IFERROR((TEXT(IF(ISNUMBER(SEARCH("-", F102:L102)), MID(F102:L102, SEARCH("-", F102:L102) + 1, 4), ""), "00\:00") - TEXT(IF(ISNUMBER(SEARCH("-", F102:L102)), MID(F102:L102, SEARCH("-", F102:L102) - 4, 4), ""), "00\:00") + IF(TEXT(IF(ISNUMBER(SEARCH("-", F102:L102)), MID(F102:L102, SEARCH("-", F102:L102) + 1, 4), ""), "00\:00") &lt; TEXT(IF(ISNUMBER(SEARCH("-", F102:L102)), MID(F102:L102, SEARCH("-", F102:L102) - 4, 4), ""), "00\:00"), 1, 0))*24,""))))/9.5</f>
        <v>4</v>
      </c>
      <c r="O102"/>
      <c r="P102"/>
      <c r="Q102" s="2">
        <f>P102+O102+N102</f>
        <v>4</v>
      </c>
      <c r="S102">
        <f t="shared" ca="1" si="26"/>
        <v>8</v>
      </c>
      <c r="T102" s="2">
        <f>(IFERROR(VLOOKUP(D102,'Employee Numbers'!$A$3:$C$84,3,FALSE),"NOT FOUND"))*8</f>
        <v>0</v>
      </c>
    </row>
    <row r="103" spans="1:20" s="2" customFormat="1" ht="15" customHeight="1">
      <c r="A103" s="54" t="s">
        <v>148</v>
      </c>
      <c r="B103" s="54"/>
      <c r="C103" s="54"/>
      <c r="D103" s="57" t="s">
        <v>148</v>
      </c>
      <c r="E103" s="107"/>
      <c r="F103" s="57"/>
      <c r="G103" s="57"/>
      <c r="H103" s="57"/>
      <c r="I103" s="57"/>
      <c r="J103" s="57"/>
      <c r="K103" s="57"/>
      <c r="L103" s="57"/>
      <c r="M103" s="5"/>
      <c r="N103"/>
      <c r="O103"/>
      <c r="Q103"/>
    </row>
    <row r="104" spans="1:20" ht="15" customHeight="1">
      <c r="B104" s="2"/>
      <c r="C104" s="21"/>
      <c r="D104" s="31"/>
      <c r="E104" s="154" t="s">
        <v>149</v>
      </c>
      <c r="F104" s="31"/>
      <c r="G104" s="31"/>
      <c r="H104" s="31"/>
      <c r="I104" s="31"/>
      <c r="J104" s="31"/>
      <c r="K104" s="31"/>
      <c r="L104" s="31"/>
      <c r="N104"/>
      <c r="O104"/>
      <c r="P104" s="2"/>
      <c r="Q104"/>
      <c r="R104" s="2"/>
    </row>
    <row r="105" spans="1:20" ht="15" customHeight="1" thickBot="1">
      <c r="L105" s="6"/>
      <c r="N105"/>
      <c r="O105"/>
      <c r="P105" s="2"/>
      <c r="Q105"/>
      <c r="R105" s="2"/>
    </row>
    <row r="106" spans="1:20" ht="15" customHeight="1">
      <c r="D106" s="77" t="s">
        <v>150</v>
      </c>
      <c r="F106" s="88" t="s">
        <v>151</v>
      </c>
      <c r="G106" s="89"/>
      <c r="H106" s="89"/>
      <c r="I106" s="89"/>
      <c r="J106" s="89"/>
      <c r="K106" s="89"/>
      <c r="L106" s="90"/>
      <c r="N106"/>
      <c r="O106"/>
      <c r="P106" s="2"/>
      <c r="Q106"/>
      <c r="R106" s="2"/>
    </row>
    <row r="107" spans="1:20" ht="15" customHeight="1">
      <c r="D107" s="78" t="s">
        <v>152</v>
      </c>
      <c r="F107" s="24" t="s">
        <v>153</v>
      </c>
      <c r="G107"/>
      <c r="L107" s="6"/>
      <c r="N107" s="2"/>
      <c r="O107" s="2"/>
      <c r="P107" s="2"/>
      <c r="Q107" s="2"/>
      <c r="R107" s="2"/>
    </row>
    <row r="108" spans="1:20" ht="15" customHeight="1">
      <c r="D108" s="79" t="s">
        <v>154</v>
      </c>
      <c r="F108" s="24" t="s">
        <v>155</v>
      </c>
      <c r="G108"/>
      <c r="L108" s="6"/>
      <c r="N108"/>
      <c r="O108"/>
      <c r="P108" s="2"/>
      <c r="Q108"/>
      <c r="R108" s="2"/>
    </row>
    <row r="109" spans="1:20" ht="15" customHeight="1">
      <c r="D109" s="80" t="s">
        <v>156</v>
      </c>
      <c r="F109" s="24" t="s">
        <v>157</v>
      </c>
      <c r="G109"/>
      <c r="L109" s="6"/>
      <c r="N109"/>
      <c r="O109"/>
      <c r="P109" s="2"/>
      <c r="Q109"/>
      <c r="R109" s="2"/>
    </row>
    <row r="110" spans="1:20" ht="15" customHeight="1">
      <c r="D110" s="81" t="s">
        <v>158</v>
      </c>
      <c r="F110" s="24" t="s">
        <v>159</v>
      </c>
      <c r="G110"/>
      <c r="L110" s="6"/>
      <c r="N110" s="2"/>
      <c r="O110" s="2"/>
      <c r="P110" s="2"/>
      <c r="Q110" s="2"/>
      <c r="R110" s="2"/>
    </row>
    <row r="111" spans="1:20" ht="15" customHeight="1" thickBot="1">
      <c r="A111" s="2"/>
      <c r="F111" s="25" t="s">
        <v>160</v>
      </c>
      <c r="G111" s="17"/>
      <c r="H111" s="7"/>
      <c r="I111" s="7"/>
      <c r="J111" s="7"/>
      <c r="K111" s="7"/>
      <c r="L111" s="18"/>
      <c r="N111" s="2"/>
      <c r="O111" s="2"/>
      <c r="P111" s="2"/>
      <c r="Q111" s="2"/>
      <c r="R111" s="2"/>
    </row>
    <row r="112" spans="1:20" ht="15" customHeight="1">
      <c r="G112" s="14"/>
    </row>
    <row r="113" spans="1:18" s="2" customFormat="1" ht="15" customHeight="1">
      <c r="A113" s="42" t="s">
        <v>38</v>
      </c>
      <c r="B113" s="33"/>
      <c r="C113" s="43"/>
      <c r="D113" s="82" t="s">
        <v>38</v>
      </c>
      <c r="E113" s="19"/>
      <c r="F113" s="10"/>
      <c r="G113" s="11"/>
      <c r="H113" s="11"/>
      <c r="I113" s="11"/>
      <c r="J113" s="11"/>
      <c r="K113" s="11"/>
      <c r="L113" s="15"/>
      <c r="M113" s="5"/>
      <c r="N113" s="5"/>
      <c r="O113" s="5"/>
      <c r="P113" s="5"/>
      <c r="Q113" s="5"/>
      <c r="R113" s="5"/>
    </row>
    <row r="114" spans="1:18" ht="15" customHeight="1" thickBot="1"/>
    <row r="115" spans="1:18" ht="15" customHeight="1" thickBot="1">
      <c r="A115" s="2" t="s">
        <v>161</v>
      </c>
      <c r="B115" s="55" t="s">
        <v>162</v>
      </c>
      <c r="C115" s="21"/>
      <c r="D115" s="27" t="str">
        <f t="shared" ref="D115:D143" si="27">D21</f>
        <v>Dr Adam West</v>
      </c>
      <c r="E115" s="22">
        <f>IFERROR(VLOOKUP(D115,'Employee Numbers'!$A$3:$B$84,2,FALSE),"NOT FOUND")</f>
        <v>287628</v>
      </c>
      <c r="F115" s="9" t="str">
        <f t="shared" ref="F115:L130" si="28">IF(F$50=$D115,"Con_8_0000","")</f>
        <v/>
      </c>
      <c r="G115" s="9" t="str">
        <f t="shared" si="28"/>
        <v/>
      </c>
      <c r="H115" s="9" t="str">
        <f t="shared" si="28"/>
        <v/>
      </c>
      <c r="I115" s="9" t="str">
        <f t="shared" si="28"/>
        <v/>
      </c>
      <c r="J115" s="9" t="str">
        <f t="shared" si="28"/>
        <v/>
      </c>
      <c r="K115" s="9" t="str">
        <f t="shared" si="28"/>
        <v/>
      </c>
      <c r="L115" s="9" t="str">
        <f t="shared" si="28"/>
        <v/>
      </c>
    </row>
    <row r="116" spans="1:18" ht="15" customHeight="1" thickBot="1">
      <c r="A116" s="2" t="s">
        <v>161</v>
      </c>
      <c r="B116" s="55" t="s">
        <v>162</v>
      </c>
      <c r="C116" s="21"/>
      <c r="D116" s="27" t="str">
        <f t="shared" si="27"/>
        <v>Dr Toby VanHest</v>
      </c>
      <c r="E116" s="22">
        <f>IFERROR(VLOOKUP(D116,'Employee Numbers'!$A$3:$B$84,2,FALSE),"NOT FOUND")</f>
        <v>609660</v>
      </c>
      <c r="F116" s="9" t="str">
        <f t="shared" si="28"/>
        <v/>
      </c>
      <c r="G116" s="9" t="str">
        <f t="shared" si="28"/>
        <v/>
      </c>
      <c r="H116" s="9" t="str">
        <f t="shared" si="28"/>
        <v/>
      </c>
      <c r="I116" s="9" t="str">
        <f t="shared" si="28"/>
        <v/>
      </c>
      <c r="J116" s="9" t="str">
        <f t="shared" si="28"/>
        <v/>
      </c>
      <c r="K116" s="9" t="str">
        <f t="shared" si="28"/>
        <v/>
      </c>
      <c r="L116" s="9" t="str">
        <f t="shared" si="28"/>
        <v/>
      </c>
    </row>
    <row r="117" spans="1:18" ht="15" customHeight="1" thickBot="1">
      <c r="A117" s="2" t="s">
        <v>161</v>
      </c>
      <c r="B117" s="55" t="s">
        <v>162</v>
      </c>
      <c r="C117" s="21"/>
      <c r="D117" s="27" t="str">
        <f t="shared" si="27"/>
        <v>Dr Bob Seith</v>
      </c>
      <c r="E117" s="22">
        <f>IFERROR(VLOOKUP(D117,'Employee Numbers'!$A$3:$B$84,2,FALSE),"NOT FOUND")</f>
        <v>610036</v>
      </c>
      <c r="F117" s="9" t="str">
        <f t="shared" si="28"/>
        <v/>
      </c>
      <c r="G117" s="9" t="str">
        <f t="shared" si="28"/>
        <v>Con_8_0000</v>
      </c>
      <c r="H117" s="9" t="str">
        <f t="shared" si="28"/>
        <v/>
      </c>
      <c r="I117" s="9" t="str">
        <f t="shared" si="28"/>
        <v/>
      </c>
      <c r="J117" s="9" t="str">
        <f t="shared" si="28"/>
        <v/>
      </c>
      <c r="K117" s="9" t="str">
        <f t="shared" si="28"/>
        <v/>
      </c>
      <c r="L117" s="9" t="str">
        <f t="shared" si="28"/>
        <v/>
      </c>
    </row>
    <row r="118" spans="1:18" ht="15" customHeight="1" thickBot="1">
      <c r="A118" s="2" t="s">
        <v>161</v>
      </c>
      <c r="B118" s="55" t="s">
        <v>162</v>
      </c>
      <c r="C118" s="21"/>
      <c r="D118" s="27" t="str">
        <f t="shared" si="27"/>
        <v>Dr Simon Craig</v>
      </c>
      <c r="E118" s="22">
        <f>IFERROR(VLOOKUP(D118,'Employee Numbers'!$A$3:$B$84,2,FALSE),"NOT FOUND")</f>
        <v>533509</v>
      </c>
      <c r="F118" s="9" t="str">
        <f t="shared" si="28"/>
        <v/>
      </c>
      <c r="G118" s="9" t="str">
        <f t="shared" si="28"/>
        <v/>
      </c>
      <c r="H118" s="9" t="str">
        <f t="shared" si="28"/>
        <v/>
      </c>
      <c r="I118" s="9" t="str">
        <f t="shared" si="28"/>
        <v/>
      </c>
      <c r="J118" s="9" t="str">
        <f t="shared" si="28"/>
        <v/>
      </c>
      <c r="K118" s="9" t="str">
        <f t="shared" si="28"/>
        <v/>
      </c>
      <c r="L118" s="9" t="str">
        <f t="shared" si="28"/>
        <v/>
      </c>
    </row>
    <row r="119" spans="1:18" ht="15" customHeight="1" thickBot="1">
      <c r="A119" s="2" t="s">
        <v>161</v>
      </c>
      <c r="B119" s="55" t="s">
        <v>162</v>
      </c>
      <c r="C119" s="21"/>
      <c r="D119" s="27" t="str">
        <f t="shared" si="27"/>
        <v>Dr Celia Bagshaw</v>
      </c>
      <c r="E119" s="22">
        <f>IFERROR(VLOOKUP(D119,'Employee Numbers'!$A$3:$B$84,2,FALSE),"NOT FOUND")</f>
        <v>625985</v>
      </c>
      <c r="F119" s="9" t="str">
        <f t="shared" si="28"/>
        <v/>
      </c>
      <c r="G119" s="9" t="str">
        <f t="shared" si="28"/>
        <v/>
      </c>
      <c r="H119" s="9" t="str">
        <f t="shared" si="28"/>
        <v/>
      </c>
      <c r="I119" s="9" t="str">
        <f t="shared" si="28"/>
        <v/>
      </c>
      <c r="J119" s="9" t="str">
        <f t="shared" si="28"/>
        <v/>
      </c>
      <c r="K119" s="9" t="str">
        <f t="shared" si="28"/>
        <v/>
      </c>
      <c r="L119" s="9" t="str">
        <f t="shared" si="28"/>
        <v/>
      </c>
    </row>
    <row r="120" spans="1:18" ht="15" customHeight="1" thickBot="1">
      <c r="A120" s="2" t="s">
        <v>161</v>
      </c>
      <c r="B120" s="55" t="s">
        <v>162</v>
      </c>
      <c r="C120" s="21"/>
      <c r="D120" s="27" t="str">
        <f t="shared" si="27"/>
        <v>Dr Adnan Bilgrami</v>
      </c>
      <c r="E120" s="22">
        <f>IFERROR(VLOOKUP(D120,'Employee Numbers'!$A$3:$B$84,2,FALSE),"NOT FOUND")</f>
        <v>632301</v>
      </c>
      <c r="F120" s="9" t="str">
        <f t="shared" si="28"/>
        <v/>
      </c>
      <c r="G120" s="9" t="str">
        <f t="shared" si="28"/>
        <v/>
      </c>
      <c r="H120" s="9" t="str">
        <f t="shared" si="28"/>
        <v/>
      </c>
      <c r="I120" s="9" t="str">
        <f t="shared" si="28"/>
        <v/>
      </c>
      <c r="J120" s="9" t="str">
        <f t="shared" si="28"/>
        <v/>
      </c>
      <c r="K120" s="9" t="str">
        <f t="shared" si="28"/>
        <v/>
      </c>
      <c r="L120" s="9" t="str">
        <f t="shared" si="28"/>
        <v/>
      </c>
    </row>
    <row r="121" spans="1:18" ht="15" customHeight="1" thickBot="1">
      <c r="A121" s="2" t="s">
        <v>161</v>
      </c>
      <c r="B121" s="55" t="s">
        <v>162</v>
      </c>
      <c r="C121" s="21"/>
      <c r="D121" s="27" t="str">
        <f t="shared" si="27"/>
        <v>Dr Preeti Ramaswamy</v>
      </c>
      <c r="E121" s="22">
        <f>IFERROR(VLOOKUP(D121,'Employee Numbers'!$A$3:$B$84,2,FALSE),"NOT FOUND")</f>
        <v>613891</v>
      </c>
      <c r="F121" s="9" t="str">
        <f t="shared" si="28"/>
        <v/>
      </c>
      <c r="G121" s="9" t="str">
        <f t="shared" si="28"/>
        <v/>
      </c>
      <c r="H121" s="9" t="str">
        <f t="shared" si="28"/>
        <v/>
      </c>
      <c r="I121" s="9" t="str">
        <f t="shared" si="28"/>
        <v/>
      </c>
      <c r="J121" s="9" t="str">
        <f t="shared" si="28"/>
        <v/>
      </c>
      <c r="K121" s="9" t="str">
        <f t="shared" si="28"/>
        <v/>
      </c>
      <c r="L121" s="9" t="str">
        <f t="shared" si="28"/>
        <v/>
      </c>
      <c r="N121" s="2"/>
      <c r="O121" s="2"/>
      <c r="P121" s="2"/>
      <c r="Q121" s="2"/>
      <c r="R121" s="2"/>
    </row>
    <row r="122" spans="1:18" ht="15" customHeight="1" thickBot="1">
      <c r="A122" s="2" t="s">
        <v>161</v>
      </c>
      <c r="B122" s="55" t="s">
        <v>162</v>
      </c>
      <c r="C122" s="21"/>
      <c r="D122" s="27" t="str">
        <f t="shared" si="27"/>
        <v>Dr Erin Mills</v>
      </c>
      <c r="E122" s="22">
        <f>IFERROR(VLOOKUP(D122,'Employee Numbers'!$A$3:$B$84,2,FALSE),"NOT FOUND")</f>
        <v>623657</v>
      </c>
      <c r="F122" s="9" t="str">
        <f t="shared" si="28"/>
        <v/>
      </c>
      <c r="G122" s="9" t="str">
        <f t="shared" si="28"/>
        <v/>
      </c>
      <c r="H122" s="9" t="str">
        <f t="shared" si="28"/>
        <v/>
      </c>
      <c r="I122" s="9" t="str">
        <f t="shared" si="28"/>
        <v/>
      </c>
      <c r="J122" s="9" t="str">
        <f t="shared" si="28"/>
        <v/>
      </c>
      <c r="K122" s="9" t="str">
        <f t="shared" si="28"/>
        <v/>
      </c>
      <c r="L122" s="9" t="str">
        <f t="shared" si="28"/>
        <v/>
      </c>
    </row>
    <row r="123" spans="1:18" ht="15" customHeight="1" thickBot="1">
      <c r="A123" s="2" t="s">
        <v>161</v>
      </c>
      <c r="B123" s="55" t="s">
        <v>162</v>
      </c>
      <c r="C123" s="21"/>
      <c r="D123" s="27" t="str">
        <f t="shared" si="27"/>
        <v>Dr Stella Robinson</v>
      </c>
      <c r="E123" s="22">
        <f>IFERROR(VLOOKUP(D123,'Employee Numbers'!$A$3:$B$84,2,FALSE),"NOT FOUND")</f>
        <v>623708</v>
      </c>
      <c r="F123" s="9" t="str">
        <f t="shared" si="28"/>
        <v/>
      </c>
      <c r="G123" s="9" t="str">
        <f t="shared" si="28"/>
        <v/>
      </c>
      <c r="H123" s="9" t="str">
        <f t="shared" si="28"/>
        <v/>
      </c>
      <c r="I123" s="9" t="str">
        <f t="shared" si="28"/>
        <v/>
      </c>
      <c r="J123" s="9" t="str">
        <f t="shared" si="28"/>
        <v/>
      </c>
      <c r="K123" s="9" t="str">
        <f t="shared" si="28"/>
        <v/>
      </c>
      <c r="L123" s="9" t="str">
        <f t="shared" si="28"/>
        <v/>
      </c>
    </row>
    <row r="124" spans="1:18" ht="15" customHeight="1" thickBot="1">
      <c r="A124" s="2" t="s">
        <v>161</v>
      </c>
      <c r="B124" s="55" t="s">
        <v>162</v>
      </c>
      <c r="C124" s="21"/>
      <c r="D124" s="27" t="str">
        <f t="shared" si="27"/>
        <v>Dr Bev Thompson</v>
      </c>
      <c r="E124" s="22">
        <f>IFERROR(VLOOKUP(D124,'Employee Numbers'!$A$3:$B$84,2,FALSE),"NOT FOUND")</f>
        <v>627680</v>
      </c>
      <c r="F124" s="9" t="str">
        <f t="shared" si="28"/>
        <v/>
      </c>
      <c r="G124" s="9" t="str">
        <f t="shared" si="28"/>
        <v/>
      </c>
      <c r="H124" s="9" t="str">
        <f t="shared" si="28"/>
        <v/>
      </c>
      <c r="I124" s="9" t="str">
        <f t="shared" si="28"/>
        <v/>
      </c>
      <c r="J124" s="9" t="str">
        <f t="shared" si="28"/>
        <v/>
      </c>
      <c r="K124" s="9" t="str">
        <f t="shared" si="28"/>
        <v/>
      </c>
      <c r="L124" s="9" t="str">
        <f t="shared" si="28"/>
        <v/>
      </c>
    </row>
    <row r="125" spans="1:18" ht="15" customHeight="1" thickBot="1">
      <c r="A125" s="2" t="s">
        <v>161</v>
      </c>
      <c r="B125" s="55" t="s">
        <v>162</v>
      </c>
      <c r="C125" s="21"/>
      <c r="D125" s="27" t="str">
        <f t="shared" si="27"/>
        <v>Dr John Unwin</v>
      </c>
      <c r="E125" s="22">
        <f>IFERROR(VLOOKUP(D125,'Employee Numbers'!$A$3:$B$84,2,FALSE),"NOT FOUND")</f>
        <v>633210</v>
      </c>
      <c r="F125" s="9" t="str">
        <f t="shared" si="28"/>
        <v/>
      </c>
      <c r="G125" s="9" t="str">
        <f t="shared" si="28"/>
        <v/>
      </c>
      <c r="H125" s="9" t="str">
        <f t="shared" si="28"/>
        <v/>
      </c>
      <c r="I125" s="9" t="str">
        <f t="shared" si="28"/>
        <v/>
      </c>
      <c r="J125" s="9" t="str">
        <f t="shared" si="28"/>
        <v/>
      </c>
      <c r="K125" s="9" t="str">
        <f t="shared" si="28"/>
        <v>Con_8_0000</v>
      </c>
      <c r="L125" s="9" t="str">
        <f t="shared" si="28"/>
        <v/>
      </c>
    </row>
    <row r="126" spans="1:18" ht="15" customHeight="1" thickBot="1">
      <c r="A126" s="2" t="s">
        <v>161</v>
      </c>
      <c r="B126" s="55" t="s">
        <v>162</v>
      </c>
      <c r="C126" s="21"/>
      <c r="D126" s="27" t="str">
        <f t="shared" si="27"/>
        <v>Dr Siri Samudrala</v>
      </c>
      <c r="E126" s="22">
        <f>IFERROR(VLOOKUP(D126,'Employee Numbers'!$A$3:$B$84,2,FALSE),"NOT FOUND")</f>
        <v>618952</v>
      </c>
      <c r="F126" s="9" t="str">
        <f t="shared" si="28"/>
        <v/>
      </c>
      <c r="G126" s="9" t="str">
        <f t="shared" si="28"/>
        <v/>
      </c>
      <c r="H126" s="9" t="str">
        <f t="shared" si="28"/>
        <v/>
      </c>
      <c r="I126" s="9" t="str">
        <f t="shared" si="28"/>
        <v/>
      </c>
      <c r="J126" s="9" t="str">
        <f t="shared" si="28"/>
        <v/>
      </c>
      <c r="K126" s="9" t="str">
        <f t="shared" si="28"/>
        <v/>
      </c>
      <c r="L126" s="9" t="str">
        <f t="shared" si="28"/>
        <v/>
      </c>
    </row>
    <row r="127" spans="1:18" ht="15" customHeight="1" thickBot="1">
      <c r="A127" s="2" t="s">
        <v>161</v>
      </c>
      <c r="B127" s="55" t="s">
        <v>162</v>
      </c>
      <c r="C127" s="21"/>
      <c r="D127" s="27" t="str">
        <f t="shared" si="27"/>
        <v>Dr Tessa Smith</v>
      </c>
      <c r="E127" s="22">
        <f>IFERROR(VLOOKUP(D127,'Employee Numbers'!$A$3:$B$84,2,FALSE),"NOT FOUND")</f>
        <v>649039</v>
      </c>
      <c r="F127" s="9" t="str">
        <f t="shared" si="28"/>
        <v/>
      </c>
      <c r="G127" s="9" t="str">
        <f t="shared" si="28"/>
        <v/>
      </c>
      <c r="H127" s="9" t="str">
        <f t="shared" si="28"/>
        <v/>
      </c>
      <c r="I127" s="9" t="str">
        <f t="shared" si="28"/>
        <v>Con_8_0000</v>
      </c>
      <c r="J127" s="9" t="str">
        <f t="shared" si="28"/>
        <v/>
      </c>
      <c r="K127" s="9" t="str">
        <f t="shared" si="28"/>
        <v/>
      </c>
      <c r="L127" s="9" t="str">
        <f t="shared" si="28"/>
        <v/>
      </c>
    </row>
    <row r="128" spans="1:18" ht="15" customHeight="1" thickBot="1">
      <c r="A128" s="2" t="s">
        <v>161</v>
      </c>
      <c r="B128" s="55" t="s">
        <v>162</v>
      </c>
      <c r="C128" s="21"/>
      <c r="D128" s="27" t="str">
        <f t="shared" si="27"/>
        <v>Dr Brad Dent</v>
      </c>
      <c r="E128" s="22">
        <f>IFERROR(VLOOKUP(D128,'Employee Numbers'!$A$3:$B$84,2,FALSE),"NOT FOUND")</f>
        <v>649671</v>
      </c>
      <c r="F128" s="9" t="str">
        <f t="shared" si="28"/>
        <v>Con_8_0000</v>
      </c>
      <c r="G128" s="9" t="str">
        <f t="shared" si="28"/>
        <v/>
      </c>
      <c r="H128" s="9" t="str">
        <f t="shared" si="28"/>
        <v/>
      </c>
      <c r="I128" s="9" t="str">
        <f t="shared" si="28"/>
        <v/>
      </c>
      <c r="J128" s="9" t="str">
        <f t="shared" si="28"/>
        <v/>
      </c>
      <c r="K128" s="9" t="str">
        <f t="shared" si="28"/>
        <v/>
      </c>
      <c r="L128" s="9" t="str">
        <f t="shared" si="28"/>
        <v/>
      </c>
    </row>
    <row r="129" spans="1:18" ht="15" customHeight="1" thickBot="1">
      <c r="A129" s="2" t="s">
        <v>161</v>
      </c>
      <c r="B129" s="55" t="s">
        <v>162</v>
      </c>
      <c r="C129" s="21"/>
      <c r="D129" s="27" t="str">
        <f t="shared" si="27"/>
        <v>Dr Marjolein Slaa</v>
      </c>
      <c r="E129" s="22">
        <f>IFERROR(VLOOKUP(D129,'Employee Numbers'!$A$3:$B$84,2,FALSE),"NOT FOUND")</f>
        <v>646047</v>
      </c>
      <c r="F129" s="9" t="str">
        <f t="shared" si="28"/>
        <v/>
      </c>
      <c r="G129" s="9" t="str">
        <f t="shared" si="28"/>
        <v/>
      </c>
      <c r="H129" s="9" t="str">
        <f t="shared" si="28"/>
        <v/>
      </c>
      <c r="I129" s="9" t="str">
        <f t="shared" si="28"/>
        <v/>
      </c>
      <c r="J129" s="9" t="str">
        <f t="shared" si="28"/>
        <v/>
      </c>
      <c r="K129" s="9" t="str">
        <f t="shared" si="28"/>
        <v/>
      </c>
      <c r="L129" s="9" t="str">
        <f t="shared" si="28"/>
        <v/>
      </c>
    </row>
    <row r="130" spans="1:18" ht="15" customHeight="1" thickBot="1">
      <c r="A130" s="2" t="s">
        <v>161</v>
      </c>
      <c r="B130" s="55" t="s">
        <v>162</v>
      </c>
      <c r="C130" s="21"/>
      <c r="D130" s="27" t="str">
        <f t="shared" si="27"/>
        <v>Dr Natalie Hood</v>
      </c>
      <c r="E130" s="22">
        <f>IFERROR(VLOOKUP(D130,'Employee Numbers'!$A$3:$B$84,2,FALSE),"NOT FOUND")</f>
        <v>164003</v>
      </c>
      <c r="F130" s="9" t="str">
        <f t="shared" si="28"/>
        <v/>
      </c>
      <c r="G130" s="9" t="str">
        <f t="shared" si="28"/>
        <v/>
      </c>
      <c r="H130" s="9" t="str">
        <f t="shared" si="28"/>
        <v/>
      </c>
      <c r="I130" s="9" t="str">
        <f t="shared" si="28"/>
        <v/>
      </c>
      <c r="J130" s="9" t="str">
        <f t="shared" si="28"/>
        <v/>
      </c>
      <c r="K130" s="9" t="str">
        <f t="shared" si="28"/>
        <v/>
      </c>
      <c r="L130" s="9" t="str">
        <f t="shared" si="28"/>
        <v/>
      </c>
    </row>
    <row r="131" spans="1:18" ht="15" customHeight="1" thickBot="1">
      <c r="A131" s="2" t="s">
        <v>161</v>
      </c>
      <c r="B131" s="55" t="s">
        <v>162</v>
      </c>
      <c r="C131" s="21"/>
      <c r="D131" s="27" t="str">
        <f t="shared" si="27"/>
        <v>Dr Michael Coman</v>
      </c>
      <c r="E131" s="22">
        <f>IFERROR(VLOOKUP(D131,'Employee Numbers'!$A$3:$B$84,2,FALSE),"NOT FOUND")</f>
        <v>609408</v>
      </c>
      <c r="F131" s="9" t="str">
        <f t="shared" ref="F131:L143" si="29">IF(F$50=$D131,"Con_8_0000","")</f>
        <v/>
      </c>
      <c r="G131" s="9" t="str">
        <f t="shared" si="29"/>
        <v/>
      </c>
      <c r="H131" s="9" t="str">
        <f t="shared" si="29"/>
        <v/>
      </c>
      <c r="I131" s="9" t="str">
        <f t="shared" si="29"/>
        <v/>
      </c>
      <c r="J131" s="9" t="str">
        <f t="shared" si="29"/>
        <v/>
      </c>
      <c r="K131" s="9" t="str">
        <f t="shared" si="29"/>
        <v/>
      </c>
      <c r="L131" s="9" t="str">
        <f t="shared" si="29"/>
        <v/>
      </c>
    </row>
    <row r="132" spans="1:18" ht="15" customHeight="1" thickBot="1">
      <c r="A132" s="2" t="s">
        <v>161</v>
      </c>
      <c r="B132" s="55" t="s">
        <v>162</v>
      </c>
      <c r="C132" s="21"/>
      <c r="D132" s="27" t="str">
        <f t="shared" si="27"/>
        <v>Dr Andrew Hardy</v>
      </c>
      <c r="E132" s="22">
        <f>IFERROR(VLOOKUP(D132,'Employee Numbers'!$A$3:$B$84,2,FALSE),"NOT FOUND")</f>
        <v>627619</v>
      </c>
      <c r="F132" s="9" t="str">
        <f t="shared" si="29"/>
        <v/>
      </c>
      <c r="G132" s="9" t="str">
        <f t="shared" si="29"/>
        <v/>
      </c>
      <c r="H132" s="9" t="str">
        <f t="shared" si="29"/>
        <v/>
      </c>
      <c r="I132" s="9" t="str">
        <f t="shared" si="29"/>
        <v/>
      </c>
      <c r="J132" s="9" t="str">
        <f t="shared" si="29"/>
        <v/>
      </c>
      <c r="K132" s="9" t="str">
        <f t="shared" si="29"/>
        <v/>
      </c>
      <c r="L132" s="9" t="str">
        <f t="shared" si="29"/>
        <v/>
      </c>
    </row>
    <row r="133" spans="1:18" ht="15" customHeight="1" thickBot="1">
      <c r="A133" s="2" t="s">
        <v>161</v>
      </c>
      <c r="B133" s="55" t="s">
        <v>162</v>
      </c>
      <c r="C133" s="21"/>
      <c r="D133" s="27" t="str">
        <f t="shared" si="27"/>
        <v>Dr Gargi Kanabar</v>
      </c>
      <c r="E133" s="22">
        <f>IFERROR(VLOOKUP(D133,'Employee Numbers'!$A$3:$B$84,2,FALSE),"NOT FOUND")</f>
        <v>632646</v>
      </c>
      <c r="F133" s="9" t="str">
        <f t="shared" si="29"/>
        <v/>
      </c>
      <c r="G133" s="9" t="str">
        <f t="shared" si="29"/>
        <v/>
      </c>
      <c r="H133" s="9" t="str">
        <f t="shared" si="29"/>
        <v/>
      </c>
      <c r="I133" s="9" t="str">
        <f t="shared" si="29"/>
        <v/>
      </c>
      <c r="J133" s="9" t="str">
        <f t="shared" si="29"/>
        <v/>
      </c>
      <c r="K133" s="9" t="str">
        <f t="shared" si="29"/>
        <v/>
      </c>
      <c r="L133" s="9" t="str">
        <f t="shared" si="29"/>
        <v/>
      </c>
    </row>
    <row r="134" spans="1:18" ht="15" customHeight="1" thickBot="1">
      <c r="A134" s="2" t="s">
        <v>161</v>
      </c>
      <c r="B134" s="55" t="s">
        <v>162</v>
      </c>
      <c r="C134" s="21"/>
      <c r="D134" s="27" t="str">
        <f t="shared" si="27"/>
        <v>Dr Mandy Parr</v>
      </c>
      <c r="E134" s="22">
        <f>IFERROR(VLOOKUP(D134,'Employee Numbers'!$A$3:$B$84,2,FALSE),"NOT FOUND")</f>
        <v>652844</v>
      </c>
      <c r="F134" s="9" t="str">
        <f t="shared" si="29"/>
        <v/>
      </c>
      <c r="G134" s="9" t="str">
        <f t="shared" si="29"/>
        <v/>
      </c>
      <c r="H134" s="9" t="str">
        <f t="shared" si="29"/>
        <v/>
      </c>
      <c r="I134" s="9" t="str">
        <f t="shared" si="29"/>
        <v/>
      </c>
      <c r="J134" s="9" t="str">
        <f t="shared" si="29"/>
        <v>Con_8_0000</v>
      </c>
      <c r="K134" s="9" t="str">
        <f t="shared" si="29"/>
        <v/>
      </c>
      <c r="L134" s="9" t="str">
        <f t="shared" si="29"/>
        <v/>
      </c>
    </row>
    <row r="135" spans="1:18" ht="15" customHeight="1" thickBot="1">
      <c r="A135" s="2" t="s">
        <v>161</v>
      </c>
      <c r="B135" s="55" t="s">
        <v>162</v>
      </c>
      <c r="C135" s="21"/>
      <c r="D135" s="27" t="str">
        <f t="shared" si="27"/>
        <v>Dr Tecwyn Davies</v>
      </c>
      <c r="E135" s="22">
        <f>IFERROR(VLOOKUP(D135,'Employee Numbers'!$A$3:$B$84,2,FALSE),"NOT FOUND")</f>
        <v>634491</v>
      </c>
      <c r="F135" s="9" t="str">
        <f t="shared" si="29"/>
        <v/>
      </c>
      <c r="G135" s="9" t="str">
        <f t="shared" si="29"/>
        <v/>
      </c>
      <c r="H135" s="9" t="str">
        <f t="shared" si="29"/>
        <v>Con_8_0000</v>
      </c>
      <c r="I135" s="9" t="str">
        <f t="shared" si="29"/>
        <v/>
      </c>
      <c r="J135" s="9" t="str">
        <f t="shared" si="29"/>
        <v/>
      </c>
      <c r="K135" s="9" t="str">
        <f t="shared" si="29"/>
        <v/>
      </c>
      <c r="L135" s="9" t="str">
        <f t="shared" si="29"/>
        <v/>
      </c>
    </row>
    <row r="136" spans="1:18" ht="15" customHeight="1" thickBot="1">
      <c r="A136" s="2" t="s">
        <v>161</v>
      </c>
      <c r="B136" s="55" t="s">
        <v>162</v>
      </c>
      <c r="C136" s="21"/>
      <c r="D136" s="27" t="str">
        <f t="shared" si="27"/>
        <v>Dr Patrick Finn</v>
      </c>
      <c r="E136" s="22">
        <f>IFERROR(VLOOKUP(D136,'Employee Numbers'!$A$3:$B$84,2,FALSE),"NOT FOUND")</f>
        <v>621988</v>
      </c>
      <c r="F136" s="9" t="str">
        <f t="shared" si="29"/>
        <v/>
      </c>
      <c r="G136" s="9" t="str">
        <f t="shared" si="29"/>
        <v/>
      </c>
      <c r="H136" s="9" t="str">
        <f t="shared" si="29"/>
        <v/>
      </c>
      <c r="I136" s="9" t="str">
        <f t="shared" si="29"/>
        <v/>
      </c>
      <c r="J136" s="9" t="str">
        <f t="shared" si="29"/>
        <v/>
      </c>
      <c r="K136" s="9" t="str">
        <f t="shared" si="29"/>
        <v/>
      </c>
      <c r="L136" s="9" t="str">
        <f t="shared" si="29"/>
        <v/>
      </c>
    </row>
    <row r="137" spans="1:18" ht="15" customHeight="1" thickBot="1">
      <c r="A137" s="2" t="s">
        <v>161</v>
      </c>
      <c r="B137" s="55" t="s">
        <v>162</v>
      </c>
      <c r="C137" s="21"/>
      <c r="D137" s="27" t="str">
        <f t="shared" si="27"/>
        <v>Dr Chris Fong</v>
      </c>
      <c r="E137" s="22">
        <f>IFERROR(VLOOKUP(D137,'Employee Numbers'!$A$3:$B$84,2,FALSE),"NOT FOUND")</f>
        <v>409677</v>
      </c>
      <c r="F137" s="9" t="str">
        <f t="shared" si="29"/>
        <v/>
      </c>
      <c r="G137" s="9" t="str">
        <f t="shared" si="29"/>
        <v/>
      </c>
      <c r="H137" s="9" t="str">
        <f t="shared" si="29"/>
        <v/>
      </c>
      <c r="I137" s="9" t="str">
        <f t="shared" si="29"/>
        <v/>
      </c>
      <c r="J137" s="9" t="str">
        <f t="shared" si="29"/>
        <v/>
      </c>
      <c r="K137" s="9" t="str">
        <f t="shared" si="29"/>
        <v/>
      </c>
      <c r="L137" s="9" t="str">
        <f t="shared" si="29"/>
        <v>Con_8_0000</v>
      </c>
    </row>
    <row r="138" spans="1:18" s="13" customFormat="1" ht="15" customHeight="1" thickBot="1">
      <c r="A138" s="2" t="s">
        <v>161</v>
      </c>
      <c r="B138" s="55" t="s">
        <v>162</v>
      </c>
      <c r="C138" s="21"/>
      <c r="D138" s="27" t="str">
        <f t="shared" si="27"/>
        <v>Dr Matthew Tang</v>
      </c>
      <c r="E138" s="22">
        <f>IFERROR(VLOOKUP(D138,'Employee Numbers'!$A$3:$B$84,2,FALSE),"NOT FOUND")</f>
        <v>632590</v>
      </c>
      <c r="F138" s="9" t="str">
        <f t="shared" si="29"/>
        <v/>
      </c>
      <c r="G138" s="9" t="str">
        <f t="shared" si="29"/>
        <v/>
      </c>
      <c r="H138" s="9" t="str">
        <f t="shared" si="29"/>
        <v/>
      </c>
      <c r="I138" s="9" t="str">
        <f t="shared" si="29"/>
        <v/>
      </c>
      <c r="J138" s="9" t="str">
        <f t="shared" si="29"/>
        <v/>
      </c>
      <c r="K138" s="9" t="str">
        <f t="shared" si="29"/>
        <v/>
      </c>
      <c r="L138" s="9" t="str">
        <f t="shared" si="29"/>
        <v/>
      </c>
      <c r="M138" s="5"/>
      <c r="N138" s="5"/>
      <c r="O138" s="5"/>
      <c r="P138" s="5"/>
      <c r="Q138" s="5"/>
      <c r="R138" s="5"/>
    </row>
    <row r="139" spans="1:18" s="13" customFormat="1" ht="15" customHeight="1" thickBot="1">
      <c r="A139" s="2" t="s">
        <v>161</v>
      </c>
      <c r="B139" s="55" t="s">
        <v>162</v>
      </c>
      <c r="C139" s="21"/>
      <c r="D139" s="27" t="str">
        <f t="shared" si="27"/>
        <v>Dr Niki Talic</v>
      </c>
      <c r="E139" s="22">
        <f>IFERROR(VLOOKUP(D139,'Employee Numbers'!$A$3:$B$84,2,FALSE),"NOT FOUND")</f>
        <v>619537</v>
      </c>
      <c r="F139" s="9" t="str">
        <f t="shared" si="29"/>
        <v/>
      </c>
      <c r="G139" s="9" t="str">
        <f t="shared" si="29"/>
        <v/>
      </c>
      <c r="H139" s="9" t="str">
        <f t="shared" si="29"/>
        <v/>
      </c>
      <c r="I139" s="9" t="str">
        <f t="shared" si="29"/>
        <v/>
      </c>
      <c r="J139" s="9" t="str">
        <f t="shared" si="29"/>
        <v/>
      </c>
      <c r="K139" s="9" t="str">
        <f t="shared" si="29"/>
        <v/>
      </c>
      <c r="L139" s="9" t="str">
        <f t="shared" si="29"/>
        <v/>
      </c>
      <c r="M139" s="5"/>
      <c r="N139" s="5"/>
      <c r="O139" s="5"/>
      <c r="P139" s="5"/>
      <c r="Q139" s="5"/>
      <c r="R139" s="5"/>
    </row>
    <row r="140" spans="1:18" s="13" customFormat="1" ht="15" customHeight="1" thickBot="1">
      <c r="A140" s="2" t="s">
        <v>161</v>
      </c>
      <c r="B140" s="55" t="s">
        <v>162</v>
      </c>
      <c r="C140" s="21"/>
      <c r="D140" s="27" t="str">
        <f t="shared" si="27"/>
        <v>Dr Deb Morawetz</v>
      </c>
      <c r="E140" s="22">
        <f>IFERROR(VLOOKUP(D140,'Employee Numbers'!$A$3:$B$84,2,FALSE),"NOT FOUND")</f>
        <v>621953</v>
      </c>
      <c r="F140" s="9" t="str">
        <f t="shared" si="29"/>
        <v/>
      </c>
      <c r="G140" s="9" t="str">
        <f t="shared" si="29"/>
        <v/>
      </c>
      <c r="H140" s="9" t="str">
        <f t="shared" si="29"/>
        <v/>
      </c>
      <c r="I140" s="9" t="str">
        <f t="shared" si="29"/>
        <v/>
      </c>
      <c r="J140" s="9" t="str">
        <f t="shared" si="29"/>
        <v/>
      </c>
      <c r="K140" s="9" t="str">
        <f t="shared" si="29"/>
        <v/>
      </c>
      <c r="L140" s="9" t="str">
        <f t="shared" si="29"/>
        <v/>
      </c>
      <c r="M140" s="5"/>
      <c r="N140" s="5"/>
      <c r="O140" s="5"/>
      <c r="P140" s="5"/>
      <c r="Q140" s="5"/>
      <c r="R140" s="5"/>
    </row>
    <row r="141" spans="1:18" s="13" customFormat="1" ht="15" customHeight="1" thickBot="1">
      <c r="A141" s="2" t="s">
        <v>161</v>
      </c>
      <c r="B141" s="55" t="s">
        <v>162</v>
      </c>
      <c r="C141" s="21"/>
      <c r="D141" s="27" t="str">
        <f t="shared" si="27"/>
        <v>Dr Priya Jeyaveerasingam</v>
      </c>
      <c r="E141" s="22">
        <f>IFERROR(VLOOKUP(D141,'Employee Numbers'!$A$3:$B$84,2,FALSE),"NOT FOUND")</f>
        <v>614504</v>
      </c>
      <c r="F141" s="9" t="str">
        <f t="shared" si="29"/>
        <v/>
      </c>
      <c r="G141" s="9" t="str">
        <f t="shared" si="29"/>
        <v/>
      </c>
      <c r="H141" s="9" t="str">
        <f t="shared" si="29"/>
        <v/>
      </c>
      <c r="I141" s="9" t="str">
        <f t="shared" si="29"/>
        <v/>
      </c>
      <c r="J141" s="9" t="str">
        <f t="shared" si="29"/>
        <v/>
      </c>
      <c r="K141" s="9" t="str">
        <f t="shared" si="29"/>
        <v/>
      </c>
      <c r="L141" s="9" t="str">
        <f t="shared" si="29"/>
        <v/>
      </c>
      <c r="M141" s="5"/>
      <c r="N141" s="5"/>
      <c r="O141" s="5"/>
      <c r="P141" s="5"/>
      <c r="Q141" s="5"/>
      <c r="R141" s="5"/>
    </row>
    <row r="142" spans="1:18" s="13" customFormat="1" ht="15" customHeight="1" thickBot="1">
      <c r="A142" s="2" t="s">
        <v>161</v>
      </c>
      <c r="B142" s="55" t="s">
        <v>162</v>
      </c>
      <c r="C142" s="21"/>
      <c r="D142" s="27" t="str">
        <f t="shared" si="27"/>
        <v>Locum</v>
      </c>
      <c r="E142" s="22" t="str">
        <f>IFERROR(VLOOKUP(D142,'Employee Numbers'!$A$3:$B$84,2,FALSE),"NOT FOUND")</f>
        <v>N/A</v>
      </c>
      <c r="F142" s="9" t="str">
        <f t="shared" si="29"/>
        <v/>
      </c>
      <c r="G142" s="9" t="str">
        <f t="shared" si="29"/>
        <v/>
      </c>
      <c r="H142" s="9" t="str">
        <f t="shared" si="29"/>
        <v/>
      </c>
      <c r="I142" s="9" t="str">
        <f t="shared" si="29"/>
        <v/>
      </c>
      <c r="J142" s="9" t="str">
        <f t="shared" si="29"/>
        <v/>
      </c>
      <c r="K142" s="9" t="str">
        <f t="shared" si="29"/>
        <v/>
      </c>
      <c r="L142" s="9" t="str">
        <f t="shared" si="29"/>
        <v/>
      </c>
      <c r="M142" s="5"/>
      <c r="N142" s="5"/>
      <c r="O142" s="5"/>
      <c r="P142" s="5"/>
      <c r="Q142" s="5"/>
      <c r="R142" s="5"/>
    </row>
    <row r="143" spans="1:18" s="13" customFormat="1" ht="15" customHeight="1">
      <c r="A143" s="2" t="s">
        <v>161</v>
      </c>
      <c r="B143" s="55" t="s">
        <v>162</v>
      </c>
      <c r="C143" s="21"/>
      <c r="D143" s="27" t="str">
        <f t="shared" si="27"/>
        <v>Locum</v>
      </c>
      <c r="E143" s="22" t="str">
        <f>IFERROR(VLOOKUP(D143,'Employee Numbers'!$A$3:$B$84,2,FALSE),"NOT FOUND")</f>
        <v>N/A</v>
      </c>
      <c r="F143" s="9" t="str">
        <f t="shared" si="29"/>
        <v/>
      </c>
      <c r="G143" s="9" t="str">
        <f t="shared" si="29"/>
        <v/>
      </c>
      <c r="H143" s="9" t="str">
        <f t="shared" si="29"/>
        <v/>
      </c>
      <c r="I143" s="9" t="str">
        <f t="shared" si="29"/>
        <v/>
      </c>
      <c r="J143" s="9" t="str">
        <f t="shared" si="29"/>
        <v/>
      </c>
      <c r="K143" s="9" t="str">
        <f t="shared" si="29"/>
        <v/>
      </c>
      <c r="L143" s="9" t="str">
        <f t="shared" si="29"/>
        <v/>
      </c>
      <c r="M143" s="5"/>
      <c r="N143" s="5"/>
      <c r="O143" s="5"/>
      <c r="P143" s="5"/>
      <c r="Q143" s="5"/>
      <c r="R143" s="5"/>
    </row>
    <row r="144" spans="1:18" ht="15" customHeight="1" thickBot="1"/>
    <row r="145" spans="1:18" s="2" customFormat="1" ht="15" customHeight="1" thickBot="1">
      <c r="A145" s="172" t="s">
        <v>86</v>
      </c>
      <c r="B145" s="48" t="s">
        <v>163</v>
      </c>
      <c r="C145" s="49" t="s">
        <v>164</v>
      </c>
      <c r="D145" s="173" t="str">
        <f>D53</f>
        <v xml:space="preserve">Fellow </v>
      </c>
      <c r="E145" s="20" t="s">
        <v>4</v>
      </c>
      <c r="F145" s="12" t="s">
        <v>5</v>
      </c>
      <c r="G145" s="83" t="s">
        <v>6</v>
      </c>
      <c r="H145" s="83" t="s">
        <v>7</v>
      </c>
      <c r="I145" s="83" t="s">
        <v>8</v>
      </c>
      <c r="J145" s="83" t="s">
        <v>9</v>
      </c>
      <c r="K145" s="83" t="s">
        <v>10</v>
      </c>
      <c r="L145" s="23" t="s">
        <v>11</v>
      </c>
      <c r="M145" s="23" t="s">
        <v>165</v>
      </c>
      <c r="N145" s="5"/>
      <c r="O145" s="5"/>
      <c r="P145" s="5"/>
      <c r="Q145" s="5"/>
      <c r="R145" s="5"/>
    </row>
    <row r="146" spans="1:18" ht="15" customHeight="1" thickBot="1">
      <c r="A146" s="2" t="s">
        <v>166</v>
      </c>
      <c r="B146" s="2"/>
      <c r="C146" s="21"/>
      <c r="D146" s="84" t="str">
        <f>D54</f>
        <v>Ellen Scott (0.75)</v>
      </c>
      <c r="E146" s="22">
        <f>IFERROR(VLOOKUP(D146,'Employee Numbers'!$A$3:$B$84,2,FALSE),"NOT FOUND")</f>
        <v>634905</v>
      </c>
      <c r="F146" s="38"/>
      <c r="G146" s="31"/>
      <c r="H146" s="31" t="s">
        <v>167</v>
      </c>
      <c r="I146" s="38"/>
      <c r="J146" s="38"/>
      <c r="K146" s="38"/>
      <c r="L146" s="38"/>
      <c r="M146" s="35" t="s">
        <v>168</v>
      </c>
    </row>
    <row r="147" spans="1:18" ht="15" customHeight="1" thickBot="1">
      <c r="A147" s="2" t="s">
        <v>166</v>
      </c>
      <c r="B147" s="2"/>
      <c r="C147" s="21"/>
      <c r="D147" s="84" t="str">
        <f t="shared" ref="D147:D151" si="30">D55</f>
        <v>Seamus Harrington</v>
      </c>
      <c r="E147" s="22">
        <f>IFERROR(VLOOKUP(D147,'Employee Numbers'!$A$3:$B$84,2,FALSE),"NOT FOUND")</f>
        <v>704751</v>
      </c>
      <c r="F147" s="38"/>
      <c r="G147" s="31"/>
      <c r="H147" s="31" t="str">
        <f t="shared" ref="H147:H148" si="31">IF(COUNTIF(H55,"0800-1730*"),"trg_5_1730","trg_5_0900")</f>
        <v>trg_5_0900</v>
      </c>
      <c r="I147" s="38"/>
      <c r="J147" s="38"/>
      <c r="K147" s="38"/>
      <c r="L147" s="38"/>
      <c r="M147" s="35" t="s">
        <v>168</v>
      </c>
    </row>
    <row r="148" spans="1:18" ht="15" customHeight="1" thickBot="1">
      <c r="A148" s="2" t="s">
        <v>166</v>
      </c>
      <c r="B148" s="2"/>
      <c r="C148" s="21"/>
      <c r="D148" s="84" t="str">
        <f t="shared" si="30"/>
        <v>Antra Ansons</v>
      </c>
      <c r="E148" s="22">
        <f>IFERROR(VLOOKUP(D148,'Employee Numbers'!$A$3:$B$84,2,FALSE),"NOT FOUND")</f>
        <v>637219</v>
      </c>
      <c r="F148" s="38"/>
      <c r="G148" s="31"/>
      <c r="H148" s="31" t="str">
        <f t="shared" si="31"/>
        <v>trg_5_0900</v>
      </c>
      <c r="I148" s="38"/>
      <c r="J148" s="38"/>
      <c r="K148" s="38"/>
      <c r="L148" s="38"/>
      <c r="M148" s="35" t="s">
        <v>168</v>
      </c>
    </row>
    <row r="149" spans="1:18" ht="15" customHeight="1" thickBot="1">
      <c r="A149" s="2" t="s">
        <v>166</v>
      </c>
      <c r="B149" s="2"/>
      <c r="C149" s="21"/>
      <c r="D149" s="84">
        <f t="shared" si="30"/>
        <v>0</v>
      </c>
      <c r="E149" s="22" t="str">
        <f>IFERROR(VLOOKUP(D149,'Employee Numbers'!$A$3:$B$84,2,FALSE),"NOT FOUND")</f>
        <v>NOT FOUND</v>
      </c>
      <c r="F149" s="38"/>
      <c r="G149" s="31"/>
      <c r="H149" s="31" t="str">
        <f t="shared" ref="H149:H151" si="32">IF(COUNTIF(H57,"0800-1730*"),"trg_2.5_1730","trg_2.5_0900")</f>
        <v>trg_2.5_0900</v>
      </c>
      <c r="I149" s="38"/>
      <c r="J149" s="38"/>
      <c r="K149" s="38"/>
      <c r="L149" s="38"/>
      <c r="M149" s="35" t="s">
        <v>168</v>
      </c>
    </row>
    <row r="150" spans="1:18" ht="15" customHeight="1" thickBot="1">
      <c r="A150" s="2" t="s">
        <v>166</v>
      </c>
      <c r="B150" s="2"/>
      <c r="C150" s="21"/>
      <c r="D150" s="84">
        <f t="shared" si="30"/>
        <v>0</v>
      </c>
      <c r="E150" s="22" t="str">
        <f>IFERROR(VLOOKUP(D150,'Employee Numbers'!$A$3:$B$84,2,FALSE),"NOT FOUND")</f>
        <v>NOT FOUND</v>
      </c>
      <c r="F150" s="38"/>
      <c r="G150" s="31"/>
      <c r="H150" s="31" t="str">
        <f t="shared" si="32"/>
        <v>trg_2.5_0900</v>
      </c>
      <c r="I150" s="38"/>
      <c r="J150" s="38"/>
      <c r="K150" s="38"/>
      <c r="L150" s="38"/>
      <c r="M150" s="35" t="s">
        <v>168</v>
      </c>
    </row>
    <row r="151" spans="1:18" ht="15" customHeight="1">
      <c r="A151" s="2" t="s">
        <v>166</v>
      </c>
      <c r="B151" s="2"/>
      <c r="C151" s="21"/>
      <c r="D151" s="84">
        <f t="shared" si="30"/>
        <v>0</v>
      </c>
      <c r="E151" s="22" t="str">
        <f>IFERROR(VLOOKUP(D151,'Employee Numbers'!$A$3:$B$84,2,FALSE),"NOT FOUND")</f>
        <v>NOT FOUND</v>
      </c>
      <c r="F151" s="38"/>
      <c r="G151" s="31"/>
      <c r="H151" s="31" t="str">
        <f t="shared" si="32"/>
        <v>trg_2.5_0900</v>
      </c>
      <c r="I151" s="38"/>
      <c r="J151" s="38"/>
      <c r="K151" s="38"/>
      <c r="L151" s="38"/>
      <c r="M151" s="35" t="s">
        <v>168</v>
      </c>
    </row>
    <row r="152" spans="1:18" s="2" customFormat="1" ht="13.5" customHeight="1" thickBot="1">
      <c r="A152" s="174" t="s">
        <v>96</v>
      </c>
      <c r="B152" s="50"/>
      <c r="C152" s="51"/>
      <c r="D152" s="175" t="s">
        <v>97</v>
      </c>
      <c r="E152" s="105" t="s">
        <v>4</v>
      </c>
      <c r="F152" s="105" t="s">
        <v>5</v>
      </c>
      <c r="G152" s="105" t="s">
        <v>6</v>
      </c>
      <c r="H152" s="106" t="s">
        <v>7</v>
      </c>
      <c r="I152" s="105" t="s">
        <v>8</v>
      </c>
      <c r="J152" s="105" t="s">
        <v>9</v>
      </c>
      <c r="K152" s="105" t="s">
        <v>10</v>
      </c>
      <c r="L152" s="105" t="s">
        <v>11</v>
      </c>
      <c r="N152"/>
      <c r="O152"/>
      <c r="Q152"/>
    </row>
    <row r="153" spans="1:18" s="2" customFormat="1" ht="15" customHeight="1" thickBot="1">
      <c r="A153" s="2" t="s">
        <v>169</v>
      </c>
      <c r="B153" s="5"/>
      <c r="C153" s="8"/>
      <c r="D153" s="84" t="str">
        <f>D61</f>
        <v>Mark Lim</v>
      </c>
      <c r="E153" s="22">
        <f>IFERROR(VLOOKUP(D153,'Employee Numbers'!$A$3:$B$84,2,FALSE),"NOT FOUND")</f>
        <v>638531</v>
      </c>
      <c r="F153" s="31" t="str">
        <f t="shared" ref="F153:G168" si="33">IF(COUNTIF(F61,"*on*call*"),"oncall 2300-0830","")</f>
        <v/>
      </c>
      <c r="G153" s="31" t="str">
        <f t="shared" si="33"/>
        <v/>
      </c>
      <c r="H153" s="37" t="s">
        <v>170</v>
      </c>
      <c r="I153" s="31" t="str">
        <f t="shared" ref="I153:L168" si="34">IF(COUNTIF(I61,"*on*call*"),"oncall 2300-0830","")</f>
        <v/>
      </c>
      <c r="J153" s="31" t="str">
        <f t="shared" si="34"/>
        <v/>
      </c>
      <c r="K153" s="31" t="str">
        <f t="shared" si="34"/>
        <v/>
      </c>
      <c r="L153" s="31" t="str">
        <f t="shared" si="34"/>
        <v/>
      </c>
      <c r="M153" s="35" t="s">
        <v>168</v>
      </c>
      <c r="N153" s="5"/>
      <c r="O153" s="5"/>
      <c r="P153" s="5"/>
      <c r="Q153" s="5"/>
      <c r="R153" s="5"/>
    </row>
    <row r="154" spans="1:18" ht="15" customHeight="1" thickBot="1">
      <c r="A154" s="2" t="s">
        <v>169</v>
      </c>
      <c r="B154" s="2"/>
      <c r="C154" s="47"/>
      <c r="D154" s="84" t="str">
        <f t="shared" ref="D154:D176" si="35">D62</f>
        <v xml:space="preserve">Melanie Engel </v>
      </c>
      <c r="E154" s="22">
        <f>IFERROR(VLOOKUP(D154,'Employee Numbers'!$A$3:$B$84,2,FALSE),"NOT FOUND")</f>
        <v>631715</v>
      </c>
      <c r="F154" s="31" t="str">
        <f t="shared" si="33"/>
        <v/>
      </c>
      <c r="G154" s="31" t="str">
        <f t="shared" si="33"/>
        <v/>
      </c>
      <c r="H154" s="37" t="s">
        <v>170</v>
      </c>
      <c r="I154" s="31" t="str">
        <f t="shared" si="34"/>
        <v/>
      </c>
      <c r="J154" s="31" t="str">
        <f t="shared" si="34"/>
        <v/>
      </c>
      <c r="K154" s="31" t="str">
        <f t="shared" si="34"/>
        <v/>
      </c>
      <c r="L154" s="31" t="str">
        <f t="shared" si="34"/>
        <v/>
      </c>
      <c r="M154" s="35" t="s">
        <v>168</v>
      </c>
      <c r="N154" s="2"/>
      <c r="O154" s="2"/>
      <c r="P154" s="2"/>
      <c r="Q154" s="2"/>
      <c r="R154" s="2"/>
    </row>
    <row r="155" spans="1:18" ht="15" customHeight="1" thickBot="1">
      <c r="A155" s="2" t="s">
        <v>169</v>
      </c>
      <c r="B155" s="2"/>
      <c r="C155" s="47"/>
      <c r="D155" s="84" t="str">
        <f t="shared" si="35"/>
        <v>Marian Isaac  (0.75)</v>
      </c>
      <c r="E155" s="22">
        <f>IFERROR(VLOOKUP(D155,'Employee Numbers'!$A$3:$B$84,2,FALSE),"NOT FOUND")</f>
        <v>703719</v>
      </c>
      <c r="F155" s="31" t="str">
        <f t="shared" si="33"/>
        <v/>
      </c>
      <c r="G155" s="31" t="str">
        <f t="shared" si="33"/>
        <v/>
      </c>
      <c r="H155" s="31" t="s">
        <v>167</v>
      </c>
      <c r="I155" s="31" t="str">
        <f t="shared" si="34"/>
        <v/>
      </c>
      <c r="J155" s="31" t="str">
        <f t="shared" si="34"/>
        <v/>
      </c>
      <c r="K155" s="31" t="str">
        <f t="shared" si="34"/>
        <v/>
      </c>
      <c r="L155" s="31" t="str">
        <f t="shared" si="34"/>
        <v/>
      </c>
      <c r="M155" s="35" t="s">
        <v>168</v>
      </c>
    </row>
    <row r="156" spans="1:18" ht="15" customHeight="1" thickBot="1">
      <c r="A156" s="2" t="s">
        <v>169</v>
      </c>
      <c r="B156" s="2"/>
      <c r="C156" s="47"/>
      <c r="D156" s="84" t="str">
        <f t="shared" si="35"/>
        <v xml:space="preserve">Jonathan Wong (0.75) </v>
      </c>
      <c r="E156" s="22">
        <f>IFERROR(VLOOKUP(D156,'Employee Numbers'!$A$3:$B$84,2,FALSE),"NOT FOUND")</f>
        <v>637791</v>
      </c>
      <c r="F156" s="31" t="str">
        <f t="shared" si="33"/>
        <v/>
      </c>
      <c r="G156" s="31" t="str">
        <f t="shared" si="33"/>
        <v/>
      </c>
      <c r="H156" s="31" t="s">
        <v>167</v>
      </c>
      <c r="I156" s="31" t="str">
        <f t="shared" si="34"/>
        <v/>
      </c>
      <c r="J156" s="31" t="str">
        <f t="shared" si="34"/>
        <v/>
      </c>
      <c r="K156" s="31" t="str">
        <f t="shared" si="34"/>
        <v/>
      </c>
      <c r="L156" s="31" t="str">
        <f t="shared" si="34"/>
        <v/>
      </c>
      <c r="M156" s="35" t="s">
        <v>168</v>
      </c>
    </row>
    <row r="157" spans="1:18" ht="15" customHeight="1" thickBot="1">
      <c r="A157" s="2" t="s">
        <v>169</v>
      </c>
      <c r="B157" s="2"/>
      <c r="C157" s="47"/>
      <c r="D157" s="84" t="str">
        <f t="shared" si="35"/>
        <v xml:space="preserve">Joshua Feek </v>
      </c>
      <c r="E157" s="22">
        <f>IFERROR(VLOOKUP(D157,'Employee Numbers'!$A$3:$B$84,2,FALSE),"NOT FOUND")</f>
        <v>652867</v>
      </c>
      <c r="F157" s="31" t="str">
        <f t="shared" si="33"/>
        <v/>
      </c>
      <c r="G157" s="31" t="str">
        <f t="shared" si="33"/>
        <v/>
      </c>
      <c r="H157" s="37" t="s">
        <v>170</v>
      </c>
      <c r="I157" s="31" t="str">
        <f t="shared" si="34"/>
        <v/>
      </c>
      <c r="J157" s="31" t="str">
        <f t="shared" si="34"/>
        <v/>
      </c>
      <c r="K157" s="31" t="str">
        <f t="shared" si="34"/>
        <v/>
      </c>
      <c r="L157" s="31" t="str">
        <f t="shared" si="34"/>
        <v/>
      </c>
      <c r="M157" s="35" t="s">
        <v>168</v>
      </c>
    </row>
    <row r="158" spans="1:18" ht="15" customHeight="1" thickBot="1">
      <c r="A158" s="2" t="s">
        <v>169</v>
      </c>
      <c r="B158" s="2"/>
      <c r="C158" s="47"/>
      <c r="D158" s="84" t="str">
        <f t="shared" si="35"/>
        <v xml:space="preserve">Andrea Lim (0.5) </v>
      </c>
      <c r="E158" s="22">
        <f>IFERROR(VLOOKUP(D158,'Employee Numbers'!$A$3:$B$84,2,FALSE),"NOT FOUND")</f>
        <v>611551</v>
      </c>
      <c r="F158" s="31" t="str">
        <f t="shared" si="33"/>
        <v/>
      </c>
      <c r="G158" s="31" t="str">
        <f t="shared" si="33"/>
        <v/>
      </c>
      <c r="H158" s="31" t="str">
        <f t="shared" ref="H158:H159" si="36">IF(COUNTIF(H66,"0800-1730*"),"trg_2.5_1730","trg_2.5_0900")</f>
        <v>trg_2.5_0900</v>
      </c>
      <c r="I158" s="31" t="str">
        <f t="shared" si="34"/>
        <v/>
      </c>
      <c r="J158" s="31" t="str">
        <f t="shared" si="34"/>
        <v/>
      </c>
      <c r="K158" s="31" t="str">
        <f t="shared" si="34"/>
        <v/>
      </c>
      <c r="L158" s="31" t="str">
        <f t="shared" si="34"/>
        <v/>
      </c>
      <c r="M158" s="35" t="s">
        <v>168</v>
      </c>
      <c r="N158" s="13"/>
      <c r="O158" s="13"/>
      <c r="P158" s="13"/>
      <c r="Q158" s="13"/>
      <c r="R158" s="13"/>
    </row>
    <row r="159" spans="1:18" ht="15" customHeight="1" thickBot="1">
      <c r="A159" s="2" t="s">
        <v>169</v>
      </c>
      <c r="B159" s="2"/>
      <c r="C159" s="47"/>
      <c r="D159" s="84" t="str">
        <f t="shared" si="35"/>
        <v>Jessica Burgess (0.5)</v>
      </c>
      <c r="E159" s="22">
        <f>IFERROR(VLOOKUP(D159,'Employee Numbers'!$A$3:$B$84,2,FALSE),"NOT FOUND")</f>
        <v>615820</v>
      </c>
      <c r="F159" s="31" t="str">
        <f t="shared" si="33"/>
        <v/>
      </c>
      <c r="G159" s="31" t="str">
        <f t="shared" si="33"/>
        <v/>
      </c>
      <c r="H159" s="31" t="str">
        <f t="shared" si="36"/>
        <v>trg_2.5_0900</v>
      </c>
      <c r="I159" s="31" t="str">
        <f t="shared" si="34"/>
        <v/>
      </c>
      <c r="J159" s="31" t="str">
        <f t="shared" si="34"/>
        <v/>
      </c>
      <c r="K159" s="31" t="str">
        <f t="shared" si="34"/>
        <v/>
      </c>
      <c r="L159" s="31" t="str">
        <f t="shared" si="34"/>
        <v/>
      </c>
      <c r="M159" s="35" t="s">
        <v>168</v>
      </c>
      <c r="N159" s="13"/>
      <c r="O159" s="13"/>
      <c r="P159" s="13"/>
      <c r="Q159" s="13"/>
      <c r="R159" s="13"/>
    </row>
    <row r="160" spans="1:18" ht="15" customHeight="1" thickBot="1">
      <c r="A160" s="2" t="s">
        <v>169</v>
      </c>
      <c r="B160" s="2"/>
      <c r="C160" s="47"/>
      <c r="D160" s="84" t="str">
        <f t="shared" si="35"/>
        <v>Elisha Gallivan</v>
      </c>
      <c r="E160" s="22">
        <f>IFERROR(VLOOKUP(D160,'Employee Numbers'!$A$3:$B$84,2,FALSE),"NOT FOUND")</f>
        <v>654727</v>
      </c>
      <c r="F160" s="31" t="str">
        <f t="shared" si="33"/>
        <v/>
      </c>
      <c r="G160" s="31" t="str">
        <f t="shared" si="33"/>
        <v/>
      </c>
      <c r="H160" s="37" t="s">
        <v>170</v>
      </c>
      <c r="I160" s="31" t="str">
        <f t="shared" si="34"/>
        <v/>
      </c>
      <c r="J160" s="31" t="str">
        <f t="shared" si="34"/>
        <v/>
      </c>
      <c r="K160" s="31" t="str">
        <f t="shared" si="34"/>
        <v/>
      </c>
      <c r="L160" s="31" t="str">
        <f t="shared" si="34"/>
        <v/>
      </c>
      <c r="M160" s="35" t="s">
        <v>168</v>
      </c>
    </row>
    <row r="161" spans="1:18" ht="15" customHeight="1" thickBot="1">
      <c r="A161" s="2" t="s">
        <v>169</v>
      </c>
      <c r="B161" s="2"/>
      <c r="C161" s="47"/>
      <c r="D161" s="84" t="str">
        <f t="shared" si="35"/>
        <v>Leila Dosso</v>
      </c>
      <c r="E161" s="22">
        <f>IFERROR(VLOOKUP(D161,'Employee Numbers'!$A$3:$B$84,2,FALSE),"NOT FOUND")</f>
        <v>702947</v>
      </c>
      <c r="F161" s="31" t="str">
        <f t="shared" si="33"/>
        <v/>
      </c>
      <c r="G161" s="31" t="str">
        <f t="shared" si="33"/>
        <v/>
      </c>
      <c r="H161" s="37" t="s">
        <v>170</v>
      </c>
      <c r="I161" s="31" t="str">
        <f t="shared" si="34"/>
        <v/>
      </c>
      <c r="J161" s="31" t="str">
        <f t="shared" si="34"/>
        <v/>
      </c>
      <c r="K161" s="31" t="str">
        <f t="shared" si="34"/>
        <v/>
      </c>
      <c r="L161" s="31" t="str">
        <f t="shared" si="34"/>
        <v/>
      </c>
      <c r="M161" s="35" t="s">
        <v>168</v>
      </c>
    </row>
    <row r="162" spans="1:18" s="13" customFormat="1" ht="15" customHeight="1" thickBot="1">
      <c r="A162" s="2" t="s">
        <v>169</v>
      </c>
      <c r="B162" s="2"/>
      <c r="C162" s="21"/>
      <c r="D162" s="84" t="str">
        <f t="shared" si="35"/>
        <v xml:space="preserve">Efi Tsampou </v>
      </c>
      <c r="E162" s="22">
        <f>IFERROR(VLOOKUP(D162,'Employee Numbers'!$A$3:$B$84,2,FALSE),"NOT FOUND")</f>
        <v>654002</v>
      </c>
      <c r="F162" s="31" t="str">
        <f t="shared" si="33"/>
        <v/>
      </c>
      <c r="G162" s="31" t="str">
        <f t="shared" si="33"/>
        <v/>
      </c>
      <c r="H162" s="37" t="s">
        <v>170</v>
      </c>
      <c r="I162" s="31" t="str">
        <f t="shared" si="34"/>
        <v/>
      </c>
      <c r="J162" s="31" t="str">
        <f t="shared" si="34"/>
        <v/>
      </c>
      <c r="K162" s="31" t="str">
        <f t="shared" si="34"/>
        <v/>
      </c>
      <c r="L162" s="31" t="str">
        <f t="shared" si="34"/>
        <v/>
      </c>
      <c r="M162" s="35" t="s">
        <v>168</v>
      </c>
      <c r="N162" s="5"/>
      <c r="O162" s="5"/>
      <c r="P162" s="5"/>
      <c r="Q162" s="5"/>
      <c r="R162" s="5"/>
    </row>
    <row r="163" spans="1:18" ht="15" customHeight="1" thickBot="1">
      <c r="A163" s="2" t="s">
        <v>169</v>
      </c>
      <c r="B163" s="2"/>
      <c r="C163" s="21"/>
      <c r="D163" s="84" t="str">
        <f t="shared" si="35"/>
        <v>Marian Panlilio</v>
      </c>
      <c r="E163" s="22">
        <f>IFERROR(VLOOKUP(D163,'Employee Numbers'!$A$3:$B$84,2,FALSE),"NOT FOUND")</f>
        <v>703068</v>
      </c>
      <c r="F163" s="31" t="str">
        <f t="shared" si="33"/>
        <v/>
      </c>
      <c r="G163" s="31" t="str">
        <f t="shared" si="33"/>
        <v/>
      </c>
      <c r="H163" s="37" t="s">
        <v>170</v>
      </c>
      <c r="I163" s="31" t="str">
        <f t="shared" si="34"/>
        <v/>
      </c>
      <c r="J163" s="31" t="str">
        <f t="shared" si="34"/>
        <v/>
      </c>
      <c r="K163" s="31" t="str">
        <f t="shared" si="34"/>
        <v/>
      </c>
      <c r="L163" s="31" t="str">
        <f t="shared" si="34"/>
        <v/>
      </c>
      <c r="M163" s="35" t="s">
        <v>168</v>
      </c>
    </row>
    <row r="164" spans="1:18" ht="15" customHeight="1" thickBot="1">
      <c r="A164" s="2" t="s">
        <v>169</v>
      </c>
      <c r="B164" s="2"/>
      <c r="C164" s="21"/>
      <c r="D164" s="84" t="str">
        <f t="shared" si="35"/>
        <v>Takhfif Othman</v>
      </c>
      <c r="E164" s="22">
        <f>IFERROR(VLOOKUP(D164,'Employee Numbers'!$A$3:$B$84,2,FALSE),"NOT FOUND")</f>
        <v>703911</v>
      </c>
      <c r="F164" s="31" t="str">
        <f t="shared" si="33"/>
        <v/>
      </c>
      <c r="G164" s="31" t="str">
        <f t="shared" si="33"/>
        <v/>
      </c>
      <c r="H164" s="37" t="s">
        <v>170</v>
      </c>
      <c r="I164" s="31" t="str">
        <f t="shared" si="34"/>
        <v/>
      </c>
      <c r="J164" s="31" t="str">
        <f t="shared" si="34"/>
        <v/>
      </c>
      <c r="K164" s="31" t="str">
        <f t="shared" si="34"/>
        <v/>
      </c>
      <c r="L164" s="31" t="str">
        <f t="shared" si="34"/>
        <v/>
      </c>
      <c r="M164" s="35" t="s">
        <v>168</v>
      </c>
    </row>
    <row r="165" spans="1:18" ht="15" customHeight="1" thickBot="1">
      <c r="A165" s="2" t="s">
        <v>169</v>
      </c>
      <c r="B165" s="2"/>
      <c r="C165" s="21"/>
      <c r="D165" s="84" t="str">
        <f t="shared" si="35"/>
        <v xml:space="preserve">Toby Obrien </v>
      </c>
      <c r="E165" s="22">
        <f>IFERROR(VLOOKUP(D165,'Employee Numbers'!$A$3:$B$84,2,FALSE),"NOT FOUND")</f>
        <v>633936</v>
      </c>
      <c r="F165" s="31" t="str">
        <f t="shared" si="33"/>
        <v/>
      </c>
      <c r="G165" s="31" t="str">
        <f t="shared" si="33"/>
        <v/>
      </c>
      <c r="H165" s="37" t="s">
        <v>170</v>
      </c>
      <c r="I165" s="31" t="str">
        <f t="shared" si="34"/>
        <v/>
      </c>
      <c r="J165" s="31" t="str">
        <f t="shared" si="34"/>
        <v/>
      </c>
      <c r="K165" s="31" t="str">
        <f t="shared" si="34"/>
        <v/>
      </c>
      <c r="L165" s="31" t="str">
        <f t="shared" si="34"/>
        <v/>
      </c>
      <c r="M165" s="35" t="s">
        <v>168</v>
      </c>
    </row>
    <row r="166" spans="1:18" ht="15" customHeight="1" thickBot="1">
      <c r="A166" s="2" t="s">
        <v>169</v>
      </c>
      <c r="B166" s="2"/>
      <c r="C166" s="21"/>
      <c r="D166" s="84" t="str">
        <f t="shared" si="35"/>
        <v>William Jiang</v>
      </c>
      <c r="E166" s="22">
        <f>IFERROR(VLOOKUP(D166,'Employee Numbers'!$A$3:$B$84,2,FALSE),"NOT FOUND")</f>
        <v>700755</v>
      </c>
      <c r="F166" s="31" t="str">
        <f t="shared" si="33"/>
        <v/>
      </c>
      <c r="G166" s="31" t="str">
        <f t="shared" si="33"/>
        <v/>
      </c>
      <c r="H166" s="37" t="s">
        <v>170</v>
      </c>
      <c r="I166" s="31" t="str">
        <f t="shared" si="34"/>
        <v/>
      </c>
      <c r="J166" s="31" t="str">
        <f t="shared" si="34"/>
        <v/>
      </c>
      <c r="K166" s="31" t="str">
        <f t="shared" si="34"/>
        <v/>
      </c>
      <c r="L166" s="31" t="str">
        <f t="shared" si="34"/>
        <v/>
      </c>
      <c r="M166" s="35" t="s">
        <v>168</v>
      </c>
    </row>
    <row r="167" spans="1:18" ht="15" customHeight="1" thickBot="1">
      <c r="A167" s="2" t="s">
        <v>169</v>
      </c>
      <c r="B167" s="2"/>
      <c r="C167" s="21"/>
      <c r="D167" s="84" t="str">
        <f t="shared" si="35"/>
        <v>Pam Nelson</v>
      </c>
      <c r="E167" s="22">
        <f>IFERROR(VLOOKUP(D167,'Employee Numbers'!$A$3:$B$84,2,FALSE),"NOT FOUND")</f>
        <v>704872</v>
      </c>
      <c r="F167" s="31" t="str">
        <f t="shared" si="33"/>
        <v/>
      </c>
      <c r="G167" s="31" t="str">
        <f t="shared" si="33"/>
        <v/>
      </c>
      <c r="H167" s="37" t="s">
        <v>170</v>
      </c>
      <c r="I167" s="31" t="str">
        <f t="shared" si="34"/>
        <v/>
      </c>
      <c r="J167" s="31" t="str">
        <f t="shared" si="34"/>
        <v/>
      </c>
      <c r="K167" s="31" t="str">
        <f t="shared" si="34"/>
        <v/>
      </c>
      <c r="L167" s="31" t="str">
        <f t="shared" si="34"/>
        <v/>
      </c>
      <c r="M167" s="35" t="s">
        <v>168</v>
      </c>
    </row>
    <row r="168" spans="1:18" ht="15" customHeight="1" thickBot="1">
      <c r="A168" s="2" t="s">
        <v>169</v>
      </c>
      <c r="B168" s="2"/>
      <c r="C168" s="21"/>
      <c r="D168" s="84" t="str">
        <f t="shared" si="35"/>
        <v xml:space="preserve">Phoebe Franich </v>
      </c>
      <c r="E168" s="22">
        <f>IFERROR(VLOOKUP(D168,'Employee Numbers'!$A$3:$B$84,2,FALSE),"NOT FOUND")</f>
        <v>700712</v>
      </c>
      <c r="F168" s="31" t="str">
        <f t="shared" si="33"/>
        <v/>
      </c>
      <c r="G168" s="31" t="str">
        <f t="shared" si="33"/>
        <v/>
      </c>
      <c r="H168" s="37" t="s">
        <v>170</v>
      </c>
      <c r="I168" s="31" t="str">
        <f t="shared" si="34"/>
        <v/>
      </c>
      <c r="J168" s="31" t="str">
        <f t="shared" si="34"/>
        <v/>
      </c>
      <c r="K168" s="31" t="str">
        <f t="shared" si="34"/>
        <v/>
      </c>
      <c r="L168" s="31" t="str">
        <f t="shared" si="34"/>
        <v/>
      </c>
      <c r="M168" s="35" t="s">
        <v>168</v>
      </c>
    </row>
    <row r="169" spans="1:18" ht="15" customHeight="1" thickBot="1">
      <c r="A169" s="2" t="s">
        <v>169</v>
      </c>
      <c r="B169" s="2"/>
      <c r="C169" s="21"/>
      <c r="D169" s="84" t="str">
        <f t="shared" si="35"/>
        <v xml:space="preserve">Marie Papadopulos </v>
      </c>
      <c r="E169" s="22">
        <f>IFERROR(VLOOKUP(D169,'Employee Numbers'!$A$3:$B$84,2,FALSE),"NOT FOUND")</f>
        <v>700818</v>
      </c>
      <c r="F169" s="31" t="str">
        <f t="shared" ref="F169:G176" si="37">IF(COUNTIF(F77,"*on*call*"),"oncall 2300-0830","")</f>
        <v/>
      </c>
      <c r="G169" s="31" t="str">
        <f t="shared" si="37"/>
        <v/>
      </c>
      <c r="H169" s="37" t="s">
        <v>170</v>
      </c>
      <c r="I169" s="31" t="str">
        <f t="shared" ref="I169:L176" si="38">IF(COUNTIF(I77,"*on*call*"),"oncall 2300-0830","")</f>
        <v/>
      </c>
      <c r="J169" s="31" t="str">
        <f t="shared" si="38"/>
        <v/>
      </c>
      <c r="K169" s="31" t="str">
        <f t="shared" si="38"/>
        <v/>
      </c>
      <c r="L169" s="31" t="str">
        <f t="shared" si="38"/>
        <v/>
      </c>
      <c r="M169" s="35" t="s">
        <v>168</v>
      </c>
    </row>
    <row r="170" spans="1:18" ht="15" customHeight="1" thickBot="1">
      <c r="A170" s="2" t="s">
        <v>169</v>
      </c>
      <c r="B170" s="2"/>
      <c r="C170" s="21"/>
      <c r="D170" s="84" t="str">
        <f t="shared" si="35"/>
        <v>Stormie de Groot (0.5)</v>
      </c>
      <c r="E170" s="22">
        <f>IFERROR(VLOOKUP(D170,'Employee Numbers'!$A$3:$B$84,2,FALSE),"NOT FOUND")</f>
        <v>650101</v>
      </c>
      <c r="F170" s="31" t="str">
        <f t="shared" si="37"/>
        <v/>
      </c>
      <c r="G170" s="31" t="str">
        <f t="shared" si="37"/>
        <v/>
      </c>
      <c r="H170" s="31" t="str">
        <f t="shared" ref="H170" si="39">IF(COUNTIF(H78,"0800-1730*"),"trg_2.5_1730","trg_2.5_0900")</f>
        <v>trg_2.5_0900</v>
      </c>
      <c r="I170" s="31" t="str">
        <f t="shared" si="38"/>
        <v/>
      </c>
      <c r="J170" s="31" t="str">
        <f t="shared" si="38"/>
        <v/>
      </c>
      <c r="K170" s="31" t="str">
        <f t="shared" si="38"/>
        <v/>
      </c>
      <c r="L170" s="31" t="str">
        <f t="shared" si="38"/>
        <v/>
      </c>
      <c r="M170" s="35" t="s">
        <v>168</v>
      </c>
    </row>
    <row r="171" spans="1:18" ht="15" customHeight="1" thickBot="1">
      <c r="A171" s="2" t="s">
        <v>169</v>
      </c>
      <c r="B171" s="2"/>
      <c r="C171" s="21"/>
      <c r="D171" s="84" t="str">
        <f t="shared" si="35"/>
        <v xml:space="preserve">Joanne Eaton </v>
      </c>
      <c r="E171" s="22">
        <f>IFERROR(VLOOKUP(D171,'Employee Numbers'!$A$3:$B$84,2,FALSE),"NOT FOUND")</f>
        <v>654888</v>
      </c>
      <c r="F171" s="31" t="str">
        <f t="shared" si="37"/>
        <v/>
      </c>
      <c r="G171" s="31" t="str">
        <f t="shared" si="37"/>
        <v/>
      </c>
      <c r="H171" s="37" t="s">
        <v>170</v>
      </c>
      <c r="I171" s="31" t="str">
        <f t="shared" si="38"/>
        <v/>
      </c>
      <c r="J171" s="31" t="str">
        <f t="shared" si="38"/>
        <v/>
      </c>
      <c r="K171" s="31" t="str">
        <f t="shared" si="38"/>
        <v/>
      </c>
      <c r="L171" s="31" t="str">
        <f t="shared" si="38"/>
        <v/>
      </c>
      <c r="M171" s="35" t="s">
        <v>168</v>
      </c>
    </row>
    <row r="172" spans="1:18" ht="15" customHeight="1" thickBot="1">
      <c r="A172" s="2" t="s">
        <v>169</v>
      </c>
      <c r="B172" s="2"/>
      <c r="C172" s="21"/>
      <c r="D172" s="84" t="str">
        <f t="shared" si="35"/>
        <v xml:space="preserve">Helena Li </v>
      </c>
      <c r="E172" s="22">
        <f>IFERROR(VLOOKUP(D172,'Employee Numbers'!$A$3:$B$84,2,FALSE),"NOT FOUND")</f>
        <v>703880</v>
      </c>
      <c r="F172" s="31" t="str">
        <f t="shared" si="37"/>
        <v/>
      </c>
      <c r="G172" s="31" t="str">
        <f t="shared" si="37"/>
        <v/>
      </c>
      <c r="H172" s="37" t="s">
        <v>170</v>
      </c>
      <c r="I172" s="31" t="str">
        <f t="shared" si="38"/>
        <v/>
      </c>
      <c r="J172" s="31" t="str">
        <f t="shared" si="38"/>
        <v/>
      </c>
      <c r="K172" s="31" t="str">
        <f t="shared" si="38"/>
        <v/>
      </c>
      <c r="L172" s="31" t="str">
        <f t="shared" si="38"/>
        <v/>
      </c>
      <c r="M172" s="35" t="s">
        <v>168</v>
      </c>
    </row>
    <row r="173" spans="1:18" ht="15" customHeight="1" thickBot="1">
      <c r="A173" s="2" t="s">
        <v>169</v>
      </c>
      <c r="B173" s="2"/>
      <c r="C173" s="21"/>
      <c r="D173" s="84" t="str">
        <f t="shared" si="35"/>
        <v xml:space="preserve">Mustafa Ozkul </v>
      </c>
      <c r="E173" s="22">
        <f>IFERROR(VLOOKUP(D173,'Employee Numbers'!$A$3:$B$84,2,FALSE),"NOT FOUND")</f>
        <v>703334</v>
      </c>
      <c r="F173" s="31" t="str">
        <f t="shared" si="37"/>
        <v/>
      </c>
      <c r="G173" s="31" t="str">
        <f t="shared" si="37"/>
        <v/>
      </c>
      <c r="H173" s="37" t="s">
        <v>170</v>
      </c>
      <c r="I173" s="31" t="str">
        <f t="shared" si="38"/>
        <v/>
      </c>
      <c r="J173" s="31" t="str">
        <f t="shared" si="38"/>
        <v/>
      </c>
      <c r="K173" s="31" t="str">
        <f t="shared" si="38"/>
        <v/>
      </c>
      <c r="L173" s="31" t="str">
        <f t="shared" si="38"/>
        <v/>
      </c>
      <c r="M173" s="35" t="s">
        <v>168</v>
      </c>
    </row>
    <row r="174" spans="1:18" ht="15" customHeight="1" thickBot="1">
      <c r="A174" s="2" t="s">
        <v>169</v>
      </c>
      <c r="B174" s="2"/>
      <c r="C174" s="21"/>
      <c r="D174" s="84" t="str">
        <f t="shared" si="35"/>
        <v>Ritu Chaurasia (0.75)</v>
      </c>
      <c r="E174" s="22">
        <f>IFERROR(VLOOKUP(D174,'Employee Numbers'!$A$3:$B$84,2,FALSE),"NOT FOUND")</f>
        <v>700538</v>
      </c>
      <c r="F174" s="31" t="str">
        <f t="shared" si="37"/>
        <v/>
      </c>
      <c r="G174" s="31" t="str">
        <f t="shared" si="37"/>
        <v/>
      </c>
      <c r="H174" s="31" t="s">
        <v>167</v>
      </c>
      <c r="I174" s="31" t="str">
        <f t="shared" si="38"/>
        <v/>
      </c>
      <c r="J174" s="31" t="str">
        <f t="shared" si="38"/>
        <v/>
      </c>
      <c r="K174" s="31" t="str">
        <f t="shared" si="38"/>
        <v/>
      </c>
      <c r="L174" s="31" t="str">
        <f t="shared" si="38"/>
        <v/>
      </c>
      <c r="M174" s="35" t="s">
        <v>168</v>
      </c>
    </row>
    <row r="175" spans="1:18" ht="15" customHeight="1" thickBot="1">
      <c r="A175" s="2" t="s">
        <v>169</v>
      </c>
      <c r="B175" s="2"/>
      <c r="C175" s="21"/>
      <c r="D175" s="84" t="str">
        <f t="shared" si="35"/>
        <v>Jamie Nicholls (0.5)</v>
      </c>
      <c r="E175" s="22">
        <f>IFERROR(VLOOKUP(D175,'Employee Numbers'!$A$3:$B$84,2,FALSE),"NOT FOUND")</f>
        <v>704862</v>
      </c>
      <c r="F175" s="31" t="str">
        <f t="shared" si="37"/>
        <v/>
      </c>
      <c r="G175" s="31" t="str">
        <f t="shared" si="37"/>
        <v/>
      </c>
      <c r="H175" s="31" t="str">
        <f t="shared" ref="H175" si="40">IF(COUNTIF(H83,"0800-1730*"),"trg_2.5_1730","trg_2.5_0900")</f>
        <v>trg_2.5_0900</v>
      </c>
      <c r="I175" s="31" t="str">
        <f t="shared" si="38"/>
        <v/>
      </c>
      <c r="J175" s="31" t="str">
        <f t="shared" si="38"/>
        <v/>
      </c>
      <c r="K175" s="31" t="str">
        <f t="shared" si="38"/>
        <v/>
      </c>
      <c r="L175" s="31" t="str">
        <f t="shared" si="38"/>
        <v/>
      </c>
      <c r="M175" s="35" t="s">
        <v>168</v>
      </c>
    </row>
    <row r="176" spans="1:18" ht="15" customHeight="1">
      <c r="A176" s="2" t="s">
        <v>169</v>
      </c>
      <c r="B176" s="2"/>
      <c r="C176" s="21"/>
      <c r="D176" s="84">
        <f t="shared" si="35"/>
        <v>0</v>
      </c>
      <c r="E176" s="22" t="str">
        <f>IFERROR(VLOOKUP(D176,'Employee Numbers'!$A$3:$B$84,2,FALSE),"NOT FOUND")</f>
        <v>NOT FOUND</v>
      </c>
      <c r="F176" s="31" t="str">
        <f t="shared" si="37"/>
        <v/>
      </c>
      <c r="G176" s="31" t="str">
        <f t="shared" si="37"/>
        <v/>
      </c>
      <c r="H176" s="37" t="s">
        <v>170</v>
      </c>
      <c r="I176" s="31" t="str">
        <f t="shared" si="38"/>
        <v/>
      </c>
      <c r="J176" s="31" t="str">
        <f t="shared" si="38"/>
        <v/>
      </c>
      <c r="K176" s="31" t="str">
        <f t="shared" si="38"/>
        <v/>
      </c>
      <c r="L176" s="31" t="str">
        <f t="shared" si="38"/>
        <v/>
      </c>
      <c r="M176" s="35" t="s">
        <v>168</v>
      </c>
    </row>
  </sheetData>
  <mergeCells count="1">
    <mergeCell ref="D4:L4"/>
  </mergeCells>
  <phoneticPr fontId="18" type="noConversion"/>
  <conditionalFormatting sqref="E21:E49 E115:E143">
    <cfRule type="cellIs" dxfId="864" priority="43" operator="equal">
      <formula>0</formula>
    </cfRule>
    <cfRule type="containsText" dxfId="863" priority="42" operator="containsText" text="NOT FOUND">
      <formula>NOT(ISERROR(SEARCH("NOT FOUND",E21)))</formula>
    </cfRule>
  </conditionalFormatting>
  <conditionalFormatting sqref="E54:E59">
    <cfRule type="cellIs" dxfId="862" priority="47" operator="equal">
      <formula>0</formula>
    </cfRule>
    <cfRule type="containsText" dxfId="861" priority="46" operator="containsText" text="NOT FOUND">
      <formula>NOT(ISERROR(SEARCH("NOT FOUND",E54)))</formula>
    </cfRule>
  </conditionalFormatting>
  <conditionalFormatting sqref="E61:E84">
    <cfRule type="cellIs" dxfId="860" priority="41" operator="equal">
      <formula>0</formula>
    </cfRule>
    <cfRule type="containsText" dxfId="859" priority="40" operator="containsText" text="NOT FOUND">
      <formula>NOT(ISERROR(SEARCH("NOT FOUND",E61)))</formula>
    </cfRule>
  </conditionalFormatting>
  <conditionalFormatting sqref="E86:E99">
    <cfRule type="cellIs" dxfId="858" priority="39" operator="equal">
      <formula>0</formula>
    </cfRule>
    <cfRule type="containsText" dxfId="857" priority="38" operator="containsText" text="NOT FOUND">
      <formula>NOT(ISERROR(SEARCH("NOT FOUND",E86)))</formula>
    </cfRule>
  </conditionalFormatting>
  <conditionalFormatting sqref="E101:E102">
    <cfRule type="containsText" dxfId="856" priority="44" operator="containsText" text="NOT FOUND">
      <formula>NOT(ISERROR(SEARCH("NOT FOUND",E101)))</formula>
    </cfRule>
    <cfRule type="cellIs" dxfId="855" priority="45" operator="equal">
      <formula>0</formula>
    </cfRule>
  </conditionalFormatting>
  <conditionalFormatting sqref="E146:E151">
    <cfRule type="containsText" dxfId="854" priority="3" operator="containsText" text="NOT FOUND">
      <formula>NOT(ISERROR(SEARCH("NOT FOUND",E146)))</formula>
    </cfRule>
    <cfRule type="cellIs" dxfId="853" priority="4" operator="equal">
      <formula>0</formula>
    </cfRule>
  </conditionalFormatting>
  <conditionalFormatting sqref="E153:E176">
    <cfRule type="containsText" dxfId="852" priority="1" operator="containsText" text="NOT FOUND">
      <formula>NOT(ISERROR(SEARCH("NOT FOUND",E153)))</formula>
    </cfRule>
    <cfRule type="cellIs" dxfId="851" priority="2" operator="equal">
      <formula>0</formula>
    </cfRule>
  </conditionalFormatting>
  <conditionalFormatting sqref="F6:L6">
    <cfRule type="cellIs" dxfId="850" priority="31" operator="lessThan">
      <formula>2</formula>
    </cfRule>
    <cfRule type="cellIs" dxfId="849" priority="18" operator="greaterThan">
      <formula>3</formula>
    </cfRule>
  </conditionalFormatting>
  <conditionalFormatting sqref="F7:L7">
    <cfRule type="cellIs" dxfId="848" priority="30" operator="lessThan">
      <formula>2</formula>
    </cfRule>
  </conditionalFormatting>
  <conditionalFormatting sqref="F8:L8">
    <cfRule type="cellIs" dxfId="847" priority="36" operator="lessThan">
      <formula>5</formula>
    </cfRule>
    <cfRule type="cellIs" dxfId="846" priority="17" operator="greaterThan">
      <formula>8</formula>
    </cfRule>
    <cfRule type="cellIs" dxfId="845" priority="22" operator="equal">
      <formula>5</formula>
    </cfRule>
    <cfRule type="cellIs" dxfId="844" priority="37" operator="between">
      <formula>6</formula>
      <formula>8</formula>
    </cfRule>
  </conditionalFormatting>
  <conditionalFormatting sqref="F10:L11">
    <cfRule type="cellIs" dxfId="843" priority="33" operator="greaterThan">
      <formula>1</formula>
    </cfRule>
    <cfRule type="cellIs" dxfId="842" priority="21" operator="equal">
      <formula>1</formula>
    </cfRule>
  </conditionalFormatting>
  <conditionalFormatting sqref="F12:L12 F6:L7">
    <cfRule type="cellIs" dxfId="841" priority="32" operator="between">
      <formula>2</formula>
      <formula>3</formula>
    </cfRule>
  </conditionalFormatting>
  <conditionalFormatting sqref="F12:L12">
    <cfRule type="cellIs" dxfId="840" priority="19" operator="greaterThan">
      <formula>2</formula>
    </cfRule>
    <cfRule type="cellIs" dxfId="839" priority="25" operator="lessThan">
      <formula>2</formula>
    </cfRule>
  </conditionalFormatting>
  <conditionalFormatting sqref="F13:L13">
    <cfRule type="cellIs" dxfId="838" priority="26" operator="greaterThanOrEqual">
      <formula>6</formula>
    </cfRule>
    <cfRule type="cellIs" dxfId="837" priority="29" operator="lessThan">
      <formula>6</formula>
    </cfRule>
  </conditionalFormatting>
  <conditionalFormatting sqref="F14:L14">
    <cfRule type="cellIs" dxfId="836" priority="24" operator="equal">
      <formula>9</formula>
    </cfRule>
    <cfRule type="cellIs" dxfId="835" priority="34" operator="between">
      <formula>10</formula>
      <formula>11</formula>
    </cfRule>
    <cfRule type="cellIs" dxfId="834" priority="35" operator="greaterThan">
      <formula>11</formula>
    </cfRule>
    <cfRule type="cellIs" dxfId="833" priority="23" operator="lessThan">
      <formula>9</formula>
    </cfRule>
  </conditionalFormatting>
  <conditionalFormatting sqref="F16:L16">
    <cfRule type="cellIs" dxfId="832" priority="20" operator="greaterThan">
      <formula>4</formula>
    </cfRule>
    <cfRule type="cellIs" dxfId="831" priority="27" operator="equal">
      <formula>4</formula>
    </cfRule>
    <cfRule type="cellIs" dxfId="830" priority="28" operator="lessThan">
      <formula>4</formula>
    </cfRule>
  </conditionalFormatting>
  <conditionalFormatting sqref="R21:R47">
    <cfRule type="cellIs" dxfId="829" priority="14" operator="equal">
      <formula>S21</formula>
    </cfRule>
    <cfRule type="cellIs" dxfId="828" priority="13" operator="notEqual">
      <formula>S21</formula>
    </cfRule>
  </conditionalFormatting>
  <conditionalFormatting sqref="R54:R59 R61:R84">
    <cfRule type="cellIs" dxfId="827" priority="16" operator="equal">
      <formula>(N54+P54)*9.5/38*5</formula>
    </cfRule>
    <cfRule type="cellIs" dxfId="826" priority="15" operator="notEqual">
      <formula>(N54+P54)*9.5/38*5</formula>
    </cfRule>
  </conditionalFormatting>
  <conditionalFormatting sqref="S54:S59">
    <cfRule type="cellIs" dxfId="825" priority="12" operator="equal">
      <formula>T54</formula>
    </cfRule>
    <cfRule type="cellIs" dxfId="824" priority="11" operator="notEqual">
      <formula>T54</formula>
    </cfRule>
  </conditionalFormatting>
  <conditionalFormatting sqref="S61:S84">
    <cfRule type="cellIs" dxfId="823" priority="10" operator="equal">
      <formula>T61</formula>
    </cfRule>
    <cfRule type="cellIs" dxfId="822" priority="9" operator="notEqual">
      <formula>T61</formula>
    </cfRule>
  </conditionalFormatting>
  <conditionalFormatting sqref="S86:S99">
    <cfRule type="cellIs" dxfId="821" priority="8" operator="equal">
      <formula>T86</formula>
    </cfRule>
    <cfRule type="cellIs" dxfId="820" priority="7" operator="notEqual">
      <formula>T86</formula>
    </cfRule>
  </conditionalFormatting>
  <conditionalFormatting sqref="S101:S102">
    <cfRule type="cellIs" dxfId="819" priority="6" operator="equal">
      <formula>T101</formula>
    </cfRule>
    <cfRule type="cellIs" dxfId="818" priority="5" operator="notEqual">
      <formula>T101</formula>
    </cfRule>
  </conditionalFormatting>
  <pageMargins left="0.70866141732283472" right="0.70866141732283472" top="0.15748031496062992" bottom="0.15748031496062992" header="0" footer="0"/>
  <pageSetup paperSize="9" scale="48" fitToWidth="0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Y176"/>
  <sheetViews>
    <sheetView topLeftCell="B19" workbookViewId="0">
      <selection activeCell="I33" sqref="I33"/>
    </sheetView>
  </sheetViews>
  <sheetFormatPr defaultColWidth="31.28515625" defaultRowHeight="15" customHeight="1"/>
  <cols>
    <col min="1" max="1" width="15.140625" style="5" customWidth="1"/>
    <col min="2" max="2" width="10.42578125" style="5" customWidth="1"/>
    <col min="3" max="3" width="6" style="8" customWidth="1"/>
    <col min="4" max="4" width="26.7109375" style="5" bestFit="1" customWidth="1"/>
    <col min="5" max="5" width="8.42578125" style="8" customWidth="1"/>
    <col min="6" max="7" width="15.85546875" style="5" customWidth="1"/>
    <col min="8" max="8" width="20" style="5" customWidth="1"/>
    <col min="9" max="12" width="15.85546875" style="5" customWidth="1"/>
    <col min="13" max="13" width="31.28515625" style="5"/>
    <col min="14" max="14" width="7.85546875" style="5" customWidth="1"/>
    <col min="15" max="15" width="14.42578125" style="5" customWidth="1"/>
    <col min="16" max="16" width="8.42578125" style="5" customWidth="1"/>
    <col min="17" max="17" width="8.7109375" style="5" customWidth="1"/>
    <col min="18" max="18" width="12.7109375" style="5" customWidth="1"/>
    <col min="19" max="19" width="14.7109375" style="5" bestFit="1" customWidth="1"/>
    <col min="20" max="20" width="14.140625" style="5" bestFit="1" customWidth="1"/>
    <col min="21" max="25" width="7.140625" style="5" customWidth="1"/>
    <col min="26" max="16384" width="31.28515625" style="5"/>
  </cols>
  <sheetData>
    <row r="1" spans="1:13" s="2" customFormat="1" ht="15" customHeight="1">
      <c r="A1" s="34" t="s">
        <v>0</v>
      </c>
      <c r="B1" s="103" t="s">
        <v>1</v>
      </c>
      <c r="C1" s="104" t="s">
        <v>2</v>
      </c>
      <c r="D1" s="104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 t="s">
        <v>8</v>
      </c>
      <c r="J1" s="47" t="s">
        <v>9</v>
      </c>
      <c r="K1" s="47" t="s">
        <v>10</v>
      </c>
      <c r="L1" s="47" t="s">
        <v>11</v>
      </c>
      <c r="M1" s="103" t="s">
        <v>12</v>
      </c>
    </row>
    <row r="2" spans="1:13" s="2" customFormat="1" ht="15" customHeight="1">
      <c r="A2" s="13" t="s">
        <v>13</v>
      </c>
      <c r="B2" s="112"/>
      <c r="C2" s="21"/>
      <c r="E2" s="21"/>
      <c r="F2" s="94">
        <f>'Week 2'!F2+7</f>
        <v>46160</v>
      </c>
      <c r="G2" s="95">
        <f>F2+1</f>
        <v>46161</v>
      </c>
      <c r="H2" s="95">
        <f t="shared" ref="H2:L2" si="0">G2+1</f>
        <v>46162</v>
      </c>
      <c r="I2" s="95">
        <f t="shared" si="0"/>
        <v>46163</v>
      </c>
      <c r="J2" s="95">
        <f t="shared" si="0"/>
        <v>46164</v>
      </c>
      <c r="K2" s="95">
        <f t="shared" si="0"/>
        <v>46165</v>
      </c>
      <c r="L2" s="95">
        <f t="shared" si="0"/>
        <v>46166</v>
      </c>
    </row>
    <row r="3" spans="1:13" s="2" customFormat="1" ht="15" customHeight="1">
      <c r="A3" s="13" t="s">
        <v>14</v>
      </c>
      <c r="B3" s="112">
        <f>1+(F2-'Week 1'!F2)/7</f>
        <v>3</v>
      </c>
      <c r="E3" s="21"/>
      <c r="F3" s="94"/>
      <c r="G3" s="95"/>
      <c r="H3" s="95"/>
      <c r="I3" s="95"/>
      <c r="J3" s="95"/>
      <c r="K3" s="95"/>
      <c r="L3" s="95"/>
    </row>
    <row r="4" spans="1:13" ht="22.5" customHeight="1">
      <c r="A4" s="13" t="s">
        <v>15</v>
      </c>
      <c r="B4" s="2"/>
      <c r="C4" s="21">
        <f ca="1">IF(INDIRECT("'Week "&amp;(B3-1)&amp;"'!C4")=1,2,IF(INDIRECT("'Week "&amp;(B3-1)&amp;"'!C4")=2,1,_xludf.NA))</f>
        <v>1</v>
      </c>
      <c r="D4" s="359" t="str">
        <f>'Week 1'!D4:L4</f>
        <v>PAEDIATRIC EMERGENCY DEPARTMENT ROSTER - Term 2 2026</v>
      </c>
      <c r="E4" s="360"/>
      <c r="F4" s="360"/>
      <c r="G4" s="360"/>
      <c r="H4" s="360"/>
      <c r="I4" s="360"/>
      <c r="J4" s="360"/>
      <c r="K4" s="360"/>
      <c r="L4" s="360"/>
    </row>
    <row r="5" spans="1:13" s="2" customFormat="1" ht="15" customHeight="1" thickBot="1">
      <c r="A5" s="13"/>
      <c r="C5" s="21"/>
      <c r="E5" s="21"/>
      <c r="F5" s="94"/>
      <c r="G5" s="95"/>
      <c r="H5" s="95"/>
      <c r="I5" s="95"/>
      <c r="J5" s="95"/>
      <c r="K5" s="95"/>
      <c r="L5" s="95"/>
    </row>
    <row r="6" spans="1:13" s="2" customFormat="1" ht="15" customHeight="1">
      <c r="A6" s="13"/>
      <c r="C6" s="21"/>
      <c r="D6" s="96" t="s">
        <v>17</v>
      </c>
      <c r="E6" s="97"/>
      <c r="F6" s="101">
        <f>COUNTIF(F$21:F$49,"0800-1???")-COUNTIFS(F$48,"0800-1???",$D$48,"Locum")-COUNTIFS(F$49,"0800-1???",$D$49,"Locum")</f>
        <v>3</v>
      </c>
      <c r="G6" s="101">
        <f t="shared" ref="G6:L6" si="1">COUNTIF(G$21:G$49,"0800-1???")-COUNTIFS(G$48,"0800-1???",$D$48,"Locum")-COUNTIFS(G$49,"0800-1???",$D$49,"Locum")</f>
        <v>3</v>
      </c>
      <c r="H6" s="101">
        <f t="shared" si="1"/>
        <v>3</v>
      </c>
      <c r="I6" s="101">
        <f t="shared" si="1"/>
        <v>4</v>
      </c>
      <c r="J6" s="101">
        <f t="shared" si="1"/>
        <v>3</v>
      </c>
      <c r="K6" s="101">
        <f t="shared" si="1"/>
        <v>2</v>
      </c>
      <c r="L6" s="101">
        <f t="shared" si="1"/>
        <v>2</v>
      </c>
    </row>
    <row r="7" spans="1:13" s="2" customFormat="1" ht="15" customHeight="1" thickBot="1">
      <c r="A7" s="13"/>
      <c r="C7" s="21"/>
      <c r="D7" s="68" t="s">
        <v>18</v>
      </c>
      <c r="E7" s="67"/>
      <c r="F7" s="109">
        <f t="shared" ref="F7:L7" si="2">COUNTIF(F$54:F$102,"0800-1???")</f>
        <v>5</v>
      </c>
      <c r="G7" s="109">
        <f t="shared" si="2"/>
        <v>5</v>
      </c>
      <c r="H7" s="109">
        <f t="shared" si="2"/>
        <v>4</v>
      </c>
      <c r="I7" s="109">
        <f t="shared" si="2"/>
        <v>5</v>
      </c>
      <c r="J7" s="109">
        <f t="shared" si="2"/>
        <v>6</v>
      </c>
      <c r="K7" s="109">
        <f t="shared" si="2"/>
        <v>5</v>
      </c>
      <c r="L7" s="157">
        <f t="shared" si="2"/>
        <v>5</v>
      </c>
    </row>
    <row r="8" spans="1:13" s="2" customFormat="1" ht="15" customHeight="1" thickBot="1">
      <c r="A8" s="13"/>
      <c r="C8" s="21"/>
      <c r="D8" s="98" t="s">
        <v>19</v>
      </c>
      <c r="E8" s="99"/>
      <c r="F8" s="108">
        <f>F6+F7</f>
        <v>8</v>
      </c>
      <c r="G8" s="108">
        <f t="shared" ref="G8:L8" si="3">G6+G7</f>
        <v>8</v>
      </c>
      <c r="H8" s="108">
        <f t="shared" si="3"/>
        <v>7</v>
      </c>
      <c r="I8" s="108">
        <f t="shared" si="3"/>
        <v>9</v>
      </c>
      <c r="J8" s="108">
        <f t="shared" si="3"/>
        <v>9</v>
      </c>
      <c r="K8" s="108">
        <f t="shared" si="3"/>
        <v>7</v>
      </c>
      <c r="L8" s="158">
        <f t="shared" si="3"/>
        <v>7</v>
      </c>
    </row>
    <row r="9" spans="1:13" s="2" customFormat="1" ht="15" customHeight="1" thickBot="1">
      <c r="A9" s="13"/>
      <c r="C9" s="21"/>
      <c r="E9" s="21"/>
      <c r="F9" s="21"/>
      <c r="G9" s="21"/>
      <c r="H9" s="21"/>
      <c r="I9" s="21"/>
      <c r="J9" s="21"/>
      <c r="K9" s="21"/>
      <c r="L9" s="21"/>
    </row>
    <row r="10" spans="1:13" s="2" customFormat="1" ht="15" customHeight="1">
      <c r="A10" s="13"/>
      <c r="C10" s="21"/>
      <c r="D10" s="96" t="s">
        <v>20</v>
      </c>
      <c r="E10" s="97"/>
      <c r="F10" s="101">
        <f>COUNTIF(F$21:F$49,"1100-????")-COUNTIFS(F$48,"1100-????",$D$48,"Locum")-COUNTIFS(F$49,"1100-????",$D$49,"Locum")</f>
        <v>0</v>
      </c>
      <c r="G10" s="101">
        <f t="shared" ref="G10:L10" si="4">COUNTIF(G$21:G$49,"1100-????")-COUNTIFS(G$48,"1100-????",$D$48,"Locum")-COUNTIFS(G$49,"1100-????",$D$49,"Locum")</f>
        <v>0</v>
      </c>
      <c r="H10" s="101">
        <f t="shared" si="4"/>
        <v>0</v>
      </c>
      <c r="I10" s="101">
        <f t="shared" si="4"/>
        <v>0</v>
      </c>
      <c r="J10" s="101">
        <f t="shared" si="4"/>
        <v>0</v>
      </c>
      <c r="K10" s="101">
        <f t="shared" si="4"/>
        <v>0</v>
      </c>
      <c r="L10" s="101">
        <f t="shared" si="4"/>
        <v>0</v>
      </c>
    </row>
    <row r="11" spans="1:13" s="2" customFormat="1" ht="15" customHeight="1">
      <c r="A11" s="13"/>
      <c r="C11" s="21"/>
      <c r="D11" s="68" t="s">
        <v>21</v>
      </c>
      <c r="E11" s="67"/>
      <c r="F11" s="161">
        <f>COUNTIF(F$54:F$102,"1100-????")</f>
        <v>0</v>
      </c>
      <c r="G11" s="161">
        <f t="shared" ref="G11:L11" si="5">COUNTIF(G$54:G$102,"1100-????")</f>
        <v>0</v>
      </c>
      <c r="H11" s="161">
        <f t="shared" si="5"/>
        <v>1</v>
      </c>
      <c r="I11" s="161">
        <f t="shared" si="5"/>
        <v>0</v>
      </c>
      <c r="J11" s="161">
        <f t="shared" si="5"/>
        <v>0</v>
      </c>
      <c r="K11" s="161">
        <f t="shared" si="5"/>
        <v>0</v>
      </c>
      <c r="L11" s="161">
        <f t="shared" si="5"/>
        <v>0</v>
      </c>
    </row>
    <row r="12" spans="1:13" s="2" customFormat="1" ht="15" customHeight="1">
      <c r="A12" s="13"/>
      <c r="C12" s="21"/>
      <c r="D12" s="68" t="s">
        <v>22</v>
      </c>
      <c r="E12" s="67"/>
      <c r="F12" s="102">
        <f>COUNTIF(F$21:F$49,"1???-00?0")-COUNTIFS(F$48,"1???-00?0",$D$48,"Locum")-COUNTIFS(F$49,"1???-00?0",$D$49,"Locum")</f>
        <v>3</v>
      </c>
      <c r="G12" s="102">
        <f t="shared" ref="G12:L12" si="6">COUNTIF(G$21:G$49,"1???-00?0")-COUNTIFS(G$48,"1???-00?0",$D$48,"Locum")-COUNTIFS(G$49,"1???-00?0",$D$49,"Locum")</f>
        <v>3</v>
      </c>
      <c r="H12" s="102">
        <f t="shared" si="6"/>
        <v>3</v>
      </c>
      <c r="I12" s="102">
        <f t="shared" si="6"/>
        <v>2</v>
      </c>
      <c r="J12" s="102">
        <f t="shared" si="6"/>
        <v>2</v>
      </c>
      <c r="K12" s="102">
        <f t="shared" si="6"/>
        <v>2</v>
      </c>
      <c r="L12" s="102">
        <f t="shared" si="6"/>
        <v>2</v>
      </c>
    </row>
    <row r="13" spans="1:13" s="2" customFormat="1" ht="15" customHeight="1" thickBot="1">
      <c r="A13" s="13"/>
      <c r="C13" s="21"/>
      <c r="D13" s="68" t="s">
        <v>23</v>
      </c>
      <c r="E13" s="67"/>
      <c r="F13" s="109">
        <f>COUNTIF(F$54:F$102,"1???-0000*")</f>
        <v>8</v>
      </c>
      <c r="G13" s="109">
        <f t="shared" ref="G13:L13" si="7">COUNTIF(G$54:G$102,"1???-0000*")</f>
        <v>9</v>
      </c>
      <c r="H13" s="109">
        <f t="shared" si="7"/>
        <v>8</v>
      </c>
      <c r="I13" s="109">
        <f t="shared" si="7"/>
        <v>8</v>
      </c>
      <c r="J13" s="109">
        <f t="shared" si="7"/>
        <v>8</v>
      </c>
      <c r="K13" s="109">
        <f t="shared" si="7"/>
        <v>8</v>
      </c>
      <c r="L13" s="157">
        <f t="shared" si="7"/>
        <v>9</v>
      </c>
    </row>
    <row r="14" spans="1:13" s="2" customFormat="1" ht="15" customHeight="1" thickBot="1">
      <c r="A14" s="13"/>
      <c r="C14" s="21"/>
      <c r="D14" s="98" t="s">
        <v>24</v>
      </c>
      <c r="E14" s="99"/>
      <c r="F14" s="108">
        <f>F12+F13</f>
        <v>11</v>
      </c>
      <c r="G14" s="108">
        <f t="shared" ref="G14:L14" si="8">G12+G13</f>
        <v>12</v>
      </c>
      <c r="H14" s="108">
        <f t="shared" si="8"/>
        <v>11</v>
      </c>
      <c r="I14" s="108">
        <f t="shared" si="8"/>
        <v>10</v>
      </c>
      <c r="J14" s="108">
        <f t="shared" si="8"/>
        <v>10</v>
      </c>
      <c r="K14" s="108">
        <f t="shared" si="8"/>
        <v>10</v>
      </c>
      <c r="L14" s="158">
        <f t="shared" si="8"/>
        <v>11</v>
      </c>
    </row>
    <row r="15" spans="1:13" s="2" customFormat="1" ht="15" customHeight="1" thickBot="1">
      <c r="A15" s="13"/>
      <c r="C15" s="21"/>
      <c r="E15" s="21"/>
      <c r="F15" s="21"/>
      <c r="G15" s="21"/>
      <c r="H15" s="21"/>
      <c r="I15" s="21"/>
      <c r="J15" s="21"/>
      <c r="K15" s="21"/>
      <c r="L15" s="21"/>
    </row>
    <row r="16" spans="1:13" s="2" customFormat="1" ht="15" customHeight="1" thickBot="1">
      <c r="A16" s="13"/>
      <c r="C16" s="21"/>
      <c r="D16" s="100" t="s">
        <v>25</v>
      </c>
      <c r="E16" s="72"/>
      <c r="F16" s="66">
        <f t="shared" ref="F16:L16" si="9">COUNTIF(F$54:F$99,"2300-0830")</f>
        <v>5</v>
      </c>
      <c r="G16" s="66">
        <f t="shared" si="9"/>
        <v>5</v>
      </c>
      <c r="H16" s="66">
        <f t="shared" si="9"/>
        <v>5</v>
      </c>
      <c r="I16" s="66">
        <f t="shared" si="9"/>
        <v>4</v>
      </c>
      <c r="J16" s="66">
        <f t="shared" si="9"/>
        <v>4</v>
      </c>
      <c r="K16" s="66">
        <f t="shared" si="9"/>
        <v>4</v>
      </c>
      <c r="L16" s="159">
        <f t="shared" si="9"/>
        <v>4</v>
      </c>
    </row>
    <row r="17" spans="1:25" s="2" customFormat="1" ht="15" customHeight="1" thickBot="1">
      <c r="A17" s="13"/>
      <c r="C17" s="21"/>
      <c r="E17" s="21"/>
      <c r="F17" s="21"/>
      <c r="G17" s="21"/>
      <c r="H17" s="21"/>
      <c r="I17" s="21"/>
      <c r="J17" s="21"/>
      <c r="K17" s="21"/>
      <c r="L17" s="21"/>
    </row>
    <row r="18" spans="1:25" s="2" customFormat="1" ht="15" customHeight="1" thickBot="1">
      <c r="A18" s="13"/>
      <c r="C18" s="21"/>
      <c r="D18" s="61" t="s">
        <v>26</v>
      </c>
      <c r="E18" s="62" t="s">
        <v>4</v>
      </c>
      <c r="F18" s="62" t="s">
        <v>5</v>
      </c>
      <c r="G18" s="62" t="s">
        <v>6</v>
      </c>
      <c r="H18" s="62" t="s">
        <v>7</v>
      </c>
      <c r="I18" s="62" t="s">
        <v>8</v>
      </c>
      <c r="J18" s="62" t="s">
        <v>9</v>
      </c>
      <c r="K18" s="62" t="s">
        <v>10</v>
      </c>
      <c r="L18" s="63" t="s">
        <v>11</v>
      </c>
      <c r="N18" s="145" t="s">
        <v>27</v>
      </c>
      <c r="O18" s="145" t="s">
        <v>28</v>
      </c>
      <c r="P18" s="136" t="s">
        <v>29</v>
      </c>
      <c r="R18" s="146" t="s">
        <v>30</v>
      </c>
      <c r="S18" s="145" t="s">
        <v>31</v>
      </c>
    </row>
    <row r="19" spans="1:25" s="2" customFormat="1" ht="15" customHeight="1" thickBot="1">
      <c r="A19" s="13"/>
      <c r="C19" s="21"/>
      <c r="D19" s="93"/>
      <c r="E19" s="91"/>
      <c r="F19" s="92">
        <f>F2</f>
        <v>46160</v>
      </c>
      <c r="G19" s="64">
        <f t="shared" ref="G19:L19" si="10">F19+1</f>
        <v>46161</v>
      </c>
      <c r="H19" s="64">
        <f t="shared" si="10"/>
        <v>46162</v>
      </c>
      <c r="I19" s="64">
        <f t="shared" si="10"/>
        <v>46163</v>
      </c>
      <c r="J19" s="64">
        <f t="shared" si="10"/>
        <v>46164</v>
      </c>
      <c r="K19" s="64">
        <f t="shared" si="10"/>
        <v>46165</v>
      </c>
      <c r="L19" s="65">
        <f t="shared" si="10"/>
        <v>46166</v>
      </c>
      <c r="N19" s="147" t="s">
        <v>32</v>
      </c>
      <c r="O19" s="21" t="s">
        <v>32</v>
      </c>
      <c r="P19" s="148"/>
      <c r="R19" s="149" t="s">
        <v>32</v>
      </c>
      <c r="S19" s="147" t="s">
        <v>32</v>
      </c>
      <c r="U19" s="2" t="s">
        <v>33</v>
      </c>
      <c r="V19" s="142" t="s">
        <v>34</v>
      </c>
      <c r="W19" s="2" t="s">
        <v>35</v>
      </c>
      <c r="X19" s="2" t="s">
        <v>36</v>
      </c>
      <c r="Y19" s="2" t="s">
        <v>37</v>
      </c>
    </row>
    <row r="20" spans="1:25" s="2" customFormat="1" ht="15.75" customHeight="1" thickBot="1">
      <c r="A20" s="114" t="s">
        <v>38</v>
      </c>
      <c r="B20" s="115"/>
      <c r="C20" s="116"/>
      <c r="D20" s="117" t="s">
        <v>38</v>
      </c>
      <c r="E20" s="155"/>
      <c r="F20" s="118"/>
      <c r="G20" s="119"/>
      <c r="H20" s="119"/>
      <c r="I20" s="119"/>
      <c r="J20" s="119"/>
      <c r="K20" s="119"/>
      <c r="L20" s="120"/>
      <c r="N20" s="160"/>
      <c r="O20" s="160"/>
      <c r="P20" s="150"/>
      <c r="R20" s="151"/>
      <c r="S20" s="160"/>
      <c r="T20" s="160"/>
      <c r="U20" s="160"/>
      <c r="V20" s="142"/>
    </row>
    <row r="21" spans="1:25" s="2" customFormat="1" ht="15" customHeight="1">
      <c r="A21" s="162" t="s">
        <v>39</v>
      </c>
      <c r="B21" s="162"/>
      <c r="C21" s="164"/>
      <c r="D21" s="234" t="s">
        <v>40</v>
      </c>
      <c r="E21" s="165">
        <f>IFERROR(VLOOKUP(D21,'Employee Numbers'!$A$3:$B$84,2,FALSE),"NOT FOUND")</f>
        <v>287628</v>
      </c>
      <c r="F21" s="235" t="s">
        <v>41</v>
      </c>
      <c r="G21" s="236" t="s">
        <v>41</v>
      </c>
      <c r="H21" s="236" t="s">
        <v>41</v>
      </c>
      <c r="I21" s="236"/>
      <c r="J21" s="236" t="s">
        <v>42</v>
      </c>
      <c r="K21" s="236"/>
      <c r="L21" s="237"/>
      <c r="N21">
        <f t="array" ref="N21">((SUM(IFERROR((TEXT(IF(ISNUMBER(SEARCH("-", F21:L21)), MID(F21:L21, SEARCH("-", F21:L21) + 1, 4), ""), "00\:00") - TEXT(IF(ISNUMBER(SEARCH("-", F21:L21)), MID(F21:L21, SEARCH("-", F21:L21) - 4, 4), ""), "00\:00") + IF(TEXT(IF(ISNUMBER(SEARCH("-", F21:L21)), MID(F21:L21, SEARCH("-", F21:L21) + 1, 4), ""), "00\:00") &lt; TEXT(IF(ISNUMBER(SEARCH("-", F21:L21)), MID(F21:L21, SEARCH("-", F21:L21) - 4, 4), ""), "00\:00"), 1, 0))*24,""))))/9.5</f>
        <v>4</v>
      </c>
      <c r="O21"/>
      <c r="P21" s="151">
        <f>N21+O21</f>
        <v>4</v>
      </c>
      <c r="R21" s="4">
        <f ca="1">IF($C$4=1,SUM(P21+INDIRECT("'Week "&amp;($B$3+1)&amp;"'!P"&amp;(ROW()))),IF($C$4=2,SUM(P21+INDIRECT("'Week "&amp;($B$3-1)&amp;"'!P"&amp;(ROW())))))</f>
        <v>8</v>
      </c>
      <c r="S21" s="2">
        <f>(IFERROR(VLOOKUP(D21,'Employee Numbers'!$A$3:$C$84,3,FALSE),"NOT FOUND"))*8</f>
        <v>8</v>
      </c>
      <c r="U21" s="142">
        <f>COUNTIF(E21:K21,"0800-1730")</f>
        <v>0</v>
      </c>
      <c r="V21" s="142">
        <f>COUNTIF(F21:L21,"1???-00?0")</f>
        <v>1</v>
      </c>
      <c r="W21" s="2">
        <f>COUNTIF(F21:L21,"*0800-1730*CS*")+COUNTIF(F21:L21,"*0800-1730*DEMT*")</f>
        <v>3</v>
      </c>
      <c r="Y21" s="2">
        <f>COUNTIF(K21:L21,"???0-*")</f>
        <v>0</v>
      </c>
    </row>
    <row r="22" spans="1:25" s="2" customFormat="1" ht="15" customHeight="1">
      <c r="A22" s="2" t="s">
        <v>39</v>
      </c>
      <c r="B22" s="46"/>
      <c r="C22" s="21"/>
      <c r="D22" s="227" t="s">
        <v>43</v>
      </c>
      <c r="E22" s="226">
        <f>IFERROR(VLOOKUP(D22,'Employee Numbers'!$A$3:$B$84,2,FALSE),"NOT FOUND")</f>
        <v>609660</v>
      </c>
      <c r="F22" s="29" t="s">
        <v>41</v>
      </c>
      <c r="G22" s="31" t="s">
        <v>41</v>
      </c>
      <c r="H22" s="31" t="s">
        <v>44</v>
      </c>
      <c r="I22" s="31"/>
      <c r="J22" s="31" t="s">
        <v>42</v>
      </c>
      <c r="K22" s="31"/>
      <c r="L22" s="228"/>
      <c r="N22">
        <f t="array" ref="N22">((SUM(IFERROR((TEXT(IF(ISNUMBER(SEARCH("-", F22:L22)), MID(F22:L22, SEARCH("-", F22:L22) + 1, 4), ""), "00\:00") - TEXT(IF(ISNUMBER(SEARCH("-", F22:L22)), MID(F22:L22, SEARCH("-", F22:L22) - 4, 4), ""), "00\:00") + IF(TEXT(IF(ISNUMBER(SEARCH("-", F22:L22)), MID(F22:L22, SEARCH("-", F22:L22) + 1, 4), ""), "00\:00") &lt; TEXT(IF(ISNUMBER(SEARCH("-", F22:L22)), MID(F22:L22, SEARCH("-", F22:L22) - 4, 4), ""), "00\:00"), 1, 0))*24,""))))/9.5</f>
        <v>4</v>
      </c>
      <c r="O22"/>
      <c r="P22" s="151">
        <f t="shared" ref="P22:P47" si="11">N22+O22</f>
        <v>4</v>
      </c>
      <c r="R22" s="4">
        <f t="shared" ref="R22:R47" ca="1" si="12">IF($C$4=1,SUM(P22+INDIRECT("'Week "&amp;($B$3+1)&amp;"'!P"&amp;(ROW()))),IF($C$4=2,SUM(P22+INDIRECT("'Week "&amp;($B$3-1)&amp;"'!P"&amp;(ROW())))))</f>
        <v>8</v>
      </c>
      <c r="S22" s="2">
        <f>(IFERROR(VLOOKUP(D22,'Employee Numbers'!$A$3:$C$84,3,FALSE),"NOT FOUND"))*8</f>
        <v>8</v>
      </c>
      <c r="U22" s="142">
        <f t="shared" ref="U22:U47" si="13">COUNTIF(E22:K22,"0800-1730")</f>
        <v>1</v>
      </c>
      <c r="V22" s="142">
        <f t="shared" ref="V22:V47" si="14">COUNTIF(F22:L22,"1???-00?0")</f>
        <v>1</v>
      </c>
      <c r="W22" s="2">
        <f t="shared" ref="W22:W47" si="15">COUNTIF(F22:L22,"*0800-1730*CS*")+COUNTIF(F22:L22,"*0800-1730*DEMT*")</f>
        <v>2</v>
      </c>
      <c r="Y22" s="2">
        <f t="shared" ref="Y22:Y47" si="16">COUNTIF(K22:L22,"???0-*")</f>
        <v>0</v>
      </c>
    </row>
    <row r="23" spans="1:25" s="2" customFormat="1" ht="15" customHeight="1">
      <c r="A23" s="162" t="s">
        <v>39</v>
      </c>
      <c r="B23" s="163"/>
      <c r="C23" s="238"/>
      <c r="D23" s="239" t="s">
        <v>45</v>
      </c>
      <c r="E23" s="165">
        <f>IFERROR(VLOOKUP(D23,'Employee Numbers'!$A$3:$B$84,2,FALSE),"NOT FOUND")</f>
        <v>610036</v>
      </c>
      <c r="F23" s="176" t="s">
        <v>63</v>
      </c>
      <c r="G23" s="166" t="s">
        <v>44</v>
      </c>
      <c r="H23" s="166" t="s">
        <v>46</v>
      </c>
      <c r="I23" s="166"/>
      <c r="J23" s="166" t="s">
        <v>44</v>
      </c>
      <c r="K23" s="166"/>
      <c r="L23" s="167"/>
      <c r="N23">
        <f t="array" ref="N23">((SUM(IFERROR((TEXT(IF(ISNUMBER(SEARCH("-", F23:L23)), MID(F23:L23, SEARCH("-", F23:L23) + 1, 4), ""), "00\:00") - TEXT(IF(ISNUMBER(SEARCH("-", F23:L23)), MID(F23:L23, SEARCH("-", F23:L23) - 4, 4), ""), "00\:00") + IF(TEXT(IF(ISNUMBER(SEARCH("-", F23:L23)), MID(F23:L23, SEARCH("-", F23:L23) + 1, 4), ""), "00\:00") &lt; TEXT(IF(ISNUMBER(SEARCH("-", F23:L23)), MID(F23:L23, SEARCH("-", F23:L23) - 4, 4), ""), "00\:00"), 1, 0))*24,""))))/9.5</f>
        <v>4</v>
      </c>
      <c r="O23"/>
      <c r="P23" s="151">
        <f t="shared" si="11"/>
        <v>4</v>
      </c>
      <c r="R23" s="4">
        <f t="shared" ca="1" si="12"/>
        <v>8</v>
      </c>
      <c r="S23" s="2">
        <f>(IFERROR(VLOOKUP(D23,'Employee Numbers'!$A$3:$C$84,3,FALSE),"NOT FOUND"))*8</f>
        <v>8</v>
      </c>
      <c r="U23" s="142">
        <f t="shared" si="13"/>
        <v>2</v>
      </c>
      <c r="V23" s="142">
        <f t="shared" si="14"/>
        <v>0</v>
      </c>
      <c r="W23" s="2">
        <f t="shared" si="15"/>
        <v>2</v>
      </c>
      <c r="Y23" s="2">
        <f t="shared" si="16"/>
        <v>0</v>
      </c>
    </row>
    <row r="24" spans="1:25" s="2" customFormat="1" ht="15" customHeight="1">
      <c r="A24" s="2" t="s">
        <v>39</v>
      </c>
      <c r="B24" s="46"/>
      <c r="C24" s="47"/>
      <c r="D24" s="227" t="s">
        <v>49</v>
      </c>
      <c r="E24" s="226">
        <f>IFERROR(VLOOKUP(D24,'Employee Numbers'!$A$3:$B$84,2,FALSE),"NOT FOUND")</f>
        <v>533509</v>
      </c>
      <c r="F24" s="29" t="s">
        <v>50</v>
      </c>
      <c r="G24" s="31" t="s">
        <v>50</v>
      </c>
      <c r="H24" s="31" t="s">
        <v>50</v>
      </c>
      <c r="I24" s="31"/>
      <c r="J24" s="31"/>
      <c r="K24" s="31" t="s">
        <v>50</v>
      </c>
      <c r="L24" s="228" t="s">
        <v>50</v>
      </c>
      <c r="N24">
        <f t="array" ref="N24">((SUM(IFERROR((TEXT(IF(ISNUMBER(SEARCH("-", F24:L24)), MID(F24:L24, SEARCH("-", F24:L24) + 1, 4), ""), "00\:00") - TEXT(IF(ISNUMBER(SEARCH("-", F24:L24)), MID(F24:L24, SEARCH("-", F24:L24) - 4, 4), ""), "00\:00") + IF(TEXT(IF(ISNUMBER(SEARCH("-", F24:L24)), MID(F24:L24, SEARCH("-", F24:L24) + 1, 4), ""), "00\:00") &lt; TEXT(IF(ISNUMBER(SEARCH("-", F24:L24)), MID(F24:L24, SEARCH("-", F24:L24) - 4, 4), ""), "00\:00"), 1, 0))*24,""))))/9.5</f>
        <v>0</v>
      </c>
      <c r="O24"/>
      <c r="P24" s="151">
        <f t="shared" si="11"/>
        <v>0</v>
      </c>
      <c r="R24" s="4">
        <f t="shared" ca="1" si="12"/>
        <v>0</v>
      </c>
      <c r="S24" s="2">
        <f>(IFERROR(VLOOKUP(D24,'Employee Numbers'!$A$3:$C$84,3,FALSE),"NOT FOUND"))*8</f>
        <v>0</v>
      </c>
      <c r="U24" s="142">
        <f t="shared" si="13"/>
        <v>0</v>
      </c>
      <c r="V24" s="142">
        <f t="shared" si="14"/>
        <v>0</v>
      </c>
      <c r="W24" s="2">
        <f t="shared" si="15"/>
        <v>0</v>
      </c>
      <c r="Y24" s="2">
        <f t="shared" si="16"/>
        <v>0</v>
      </c>
    </row>
    <row r="25" spans="1:25" s="2" customFormat="1" ht="15" customHeight="1">
      <c r="A25" s="162" t="s">
        <v>39</v>
      </c>
      <c r="B25" s="163"/>
      <c r="C25" s="238"/>
      <c r="D25" s="240" t="s">
        <v>51</v>
      </c>
      <c r="E25" s="165">
        <f>IFERROR(VLOOKUP(D25,'Employee Numbers'!$A$3:$B$84,2,FALSE),"NOT FOUND")</f>
        <v>625985</v>
      </c>
      <c r="F25" s="176" t="s">
        <v>42</v>
      </c>
      <c r="G25" s="166" t="s">
        <v>41</v>
      </c>
      <c r="H25" s="166" t="s">
        <v>44</v>
      </c>
      <c r="I25" s="166" t="s">
        <v>44</v>
      </c>
      <c r="J25" s="166"/>
      <c r="K25" s="166"/>
      <c r="L25" s="167"/>
      <c r="N25">
        <f t="array" ref="N25">((SUM(IFERROR((TEXT(IF(ISNUMBER(SEARCH("-", F25:L25)), MID(F25:L25, SEARCH("-", F25:L25) + 1, 4), ""), "00\:00") - TEXT(IF(ISNUMBER(SEARCH("-", F25:L25)), MID(F25:L25, SEARCH("-", F25:L25) - 4, 4), ""), "00\:00") + IF(TEXT(IF(ISNUMBER(SEARCH("-", F25:L25)), MID(F25:L25, SEARCH("-", F25:L25) + 1, 4), ""), "00\:00") &lt; TEXT(IF(ISNUMBER(SEARCH("-", F25:L25)), MID(F25:L25, SEARCH("-", F25:L25) - 4, 4), ""), "00\:00"), 1, 0))*24,""))))/9.5</f>
        <v>4</v>
      </c>
      <c r="O25"/>
      <c r="P25" s="151">
        <f t="shared" si="11"/>
        <v>4</v>
      </c>
      <c r="R25" s="4">
        <f t="shared" ca="1" si="12"/>
        <v>8</v>
      </c>
      <c r="S25" s="2">
        <f>(IFERROR(VLOOKUP(D25,'Employee Numbers'!$A$3:$C$84,3,FALSE),"NOT FOUND"))*8</f>
        <v>8</v>
      </c>
      <c r="U25" s="142">
        <f t="shared" si="13"/>
        <v>2</v>
      </c>
      <c r="V25" s="142">
        <f t="shared" si="14"/>
        <v>1</v>
      </c>
      <c r="W25" s="2">
        <f t="shared" si="15"/>
        <v>1</v>
      </c>
      <c r="Y25" s="2">
        <f t="shared" si="16"/>
        <v>0</v>
      </c>
    </row>
    <row r="26" spans="1:25" s="2" customFormat="1" ht="15" customHeight="1">
      <c r="A26" s="2" t="s">
        <v>39</v>
      </c>
      <c r="B26" s="46"/>
      <c r="C26" s="47"/>
      <c r="D26" s="227" t="s">
        <v>52</v>
      </c>
      <c r="E26" s="226">
        <f>IFERROR(VLOOKUP(D26,'Employee Numbers'!$A$3:$B$84,2,FALSE),"NOT FOUND")</f>
        <v>632301</v>
      </c>
      <c r="F26" s="29"/>
      <c r="G26" s="31"/>
      <c r="H26" s="31" t="s">
        <v>41</v>
      </c>
      <c r="I26" s="31" t="s">
        <v>42</v>
      </c>
      <c r="J26" s="31"/>
      <c r="K26" s="31" t="s">
        <v>44</v>
      </c>
      <c r="L26" s="228" t="s">
        <v>44</v>
      </c>
      <c r="M26" s="13"/>
      <c r="N26">
        <f t="array" ref="N26">((SUM(IFERROR((TEXT(IF(ISNUMBER(SEARCH("-", F26:L26)), MID(F26:L26, SEARCH("-", F26:L26) + 1, 4), ""), "00\:00") - TEXT(IF(ISNUMBER(SEARCH("-", F26:L26)), MID(F26:L26, SEARCH("-", F26:L26) - 4, 4), ""), "00\:00") + IF(TEXT(IF(ISNUMBER(SEARCH("-", F26:L26)), MID(F26:L26, SEARCH("-", F26:L26) + 1, 4), ""), "00\:00") &lt; TEXT(IF(ISNUMBER(SEARCH("-", F26:L26)), MID(F26:L26, SEARCH("-", F26:L26) - 4, 4), ""), "00\:00"), 1, 0))*24,""))))/9.5</f>
        <v>4</v>
      </c>
      <c r="O26"/>
      <c r="P26" s="151">
        <f t="shared" si="11"/>
        <v>4</v>
      </c>
      <c r="R26" s="4">
        <f t="shared" ca="1" si="12"/>
        <v>8</v>
      </c>
      <c r="S26" s="2">
        <f>(IFERROR(VLOOKUP(D26,'Employee Numbers'!$A$3:$C$84,3,FALSE),"NOT FOUND"))*8</f>
        <v>8</v>
      </c>
      <c r="U26" s="142">
        <f t="shared" si="13"/>
        <v>1</v>
      </c>
      <c r="V26" s="142">
        <f t="shared" si="14"/>
        <v>1</v>
      </c>
      <c r="W26" s="2">
        <f t="shared" si="15"/>
        <v>1</v>
      </c>
      <c r="Y26" s="2">
        <f t="shared" si="16"/>
        <v>2</v>
      </c>
    </row>
    <row r="27" spans="1:25" s="2" customFormat="1" ht="15" customHeight="1">
      <c r="A27" s="162" t="s">
        <v>39</v>
      </c>
      <c r="B27" s="163"/>
      <c r="C27" s="238"/>
      <c r="D27" s="240" t="s">
        <v>53</v>
      </c>
      <c r="E27" s="165">
        <f>IFERROR(VLOOKUP(D27,'Employee Numbers'!$A$3:$B$84,2,FALSE),"NOT FOUND")</f>
        <v>613891</v>
      </c>
      <c r="F27" s="176" t="s">
        <v>44</v>
      </c>
      <c r="G27" s="166"/>
      <c r="H27" s="166" t="s">
        <v>41</v>
      </c>
      <c r="I27" s="166" t="s">
        <v>44</v>
      </c>
      <c r="J27" s="166"/>
      <c r="K27" s="166"/>
      <c r="L27" s="167"/>
      <c r="M27" s="13"/>
      <c r="N27">
        <f t="array" ref="N27">((SUM(IFERROR((TEXT(IF(ISNUMBER(SEARCH("-", F27:L27)), MID(F27:L27, SEARCH("-", F27:L27) + 1, 4), ""), "00\:00") - TEXT(IF(ISNUMBER(SEARCH("-", F27:L27)), MID(F27:L27, SEARCH("-", F27:L27) - 4, 4), ""), "00\:00") + IF(TEXT(IF(ISNUMBER(SEARCH("-", F27:L27)), MID(F27:L27, SEARCH("-", F27:L27) + 1, 4), ""), "00\:00") &lt; TEXT(IF(ISNUMBER(SEARCH("-", F27:L27)), MID(F27:L27, SEARCH("-", F27:L27) - 4, 4), ""), "00\:00"), 1, 0))*24,""))))/9.5</f>
        <v>3</v>
      </c>
      <c r="O27"/>
      <c r="P27" s="151">
        <f t="shared" si="11"/>
        <v>3</v>
      </c>
      <c r="R27" s="4">
        <f t="shared" ca="1" si="12"/>
        <v>6</v>
      </c>
      <c r="S27" s="2">
        <f>(IFERROR(VLOOKUP(D27,'Employee Numbers'!$A$3:$C$84,3,FALSE),"NOT FOUND"))*8</f>
        <v>6</v>
      </c>
      <c r="U27" s="142">
        <f t="shared" si="13"/>
        <v>2</v>
      </c>
      <c r="V27" s="142">
        <f t="shared" si="14"/>
        <v>0</v>
      </c>
      <c r="W27" s="2">
        <f t="shared" si="15"/>
        <v>1</v>
      </c>
      <c r="Y27" s="2">
        <f t="shared" si="16"/>
        <v>0</v>
      </c>
    </row>
    <row r="28" spans="1:25" s="2" customFormat="1" ht="15" customHeight="1">
      <c r="A28" s="2" t="s">
        <v>39</v>
      </c>
      <c r="B28" s="46"/>
      <c r="C28" s="21"/>
      <c r="D28" s="227" t="s">
        <v>55</v>
      </c>
      <c r="E28" s="226">
        <f>IFERROR(VLOOKUP(D28,'Employee Numbers'!$A$3:$B$84,2,FALSE),"NOT FOUND")</f>
        <v>623657</v>
      </c>
      <c r="F28" s="29"/>
      <c r="G28" s="31"/>
      <c r="H28" s="31" t="s">
        <v>42</v>
      </c>
      <c r="I28" s="31"/>
      <c r="J28" s="31"/>
      <c r="K28" s="31"/>
      <c r="L28" s="228"/>
      <c r="N28">
        <f t="array" ref="N28">((SUM(IFERROR((TEXT(IF(ISNUMBER(SEARCH("-", F28:L28)), MID(F28:L28, SEARCH("-", F28:L28) + 1, 4), ""), "00\:00") - TEXT(IF(ISNUMBER(SEARCH("-", F28:L28)), MID(F28:L28, SEARCH("-", F28:L28) - 4, 4), ""), "00\:00") + IF(TEXT(IF(ISNUMBER(SEARCH("-", F28:L28)), MID(F28:L28, SEARCH("-", F28:L28) + 1, 4), ""), "00\:00") &lt; TEXT(IF(ISNUMBER(SEARCH("-", F28:L28)), MID(F28:L28, SEARCH("-", F28:L28) - 4, 4), ""), "00\:00"), 1, 0))*24,""))))/9.5</f>
        <v>1</v>
      </c>
      <c r="O28"/>
      <c r="P28" s="151">
        <f t="shared" si="11"/>
        <v>1</v>
      </c>
      <c r="R28" s="4">
        <f t="shared" ca="1" si="12"/>
        <v>2</v>
      </c>
      <c r="S28" s="2">
        <f>(IFERROR(VLOOKUP(D28,'Employee Numbers'!$A$3:$C$84,3,FALSE),"NOT FOUND"))*8</f>
        <v>2</v>
      </c>
      <c r="U28" s="142">
        <f t="shared" si="13"/>
        <v>0</v>
      </c>
      <c r="V28" s="142">
        <f t="shared" si="14"/>
        <v>1</v>
      </c>
      <c r="W28" s="2">
        <f t="shared" si="15"/>
        <v>0</v>
      </c>
      <c r="Y28" s="2">
        <f t="shared" si="16"/>
        <v>0</v>
      </c>
    </row>
    <row r="29" spans="1:25" s="2" customFormat="1" ht="15" customHeight="1">
      <c r="A29" s="162" t="s">
        <v>39</v>
      </c>
      <c r="B29" s="163"/>
      <c r="C29" s="164"/>
      <c r="D29" s="240" t="s">
        <v>56</v>
      </c>
      <c r="E29" s="165">
        <f>IFERROR(VLOOKUP(D29,'Employee Numbers'!$A$3:$B$84,2,FALSE),"NOT FOUND")</f>
        <v>623708</v>
      </c>
      <c r="F29" s="176" t="s">
        <v>42</v>
      </c>
      <c r="G29" s="166"/>
      <c r="H29" s="166" t="s">
        <v>41</v>
      </c>
      <c r="I29" s="166"/>
      <c r="J29" s="166" t="s">
        <v>44</v>
      </c>
      <c r="K29" s="166"/>
      <c r="L29" s="167"/>
      <c r="N29">
        <f t="array" ref="N29">((SUM(IFERROR((TEXT(IF(ISNUMBER(SEARCH("-", F29:L29)), MID(F29:L29, SEARCH("-", F29:L29) + 1, 4), ""), "00\:00") - TEXT(IF(ISNUMBER(SEARCH("-", F29:L29)), MID(F29:L29, SEARCH("-", F29:L29) - 4, 4), ""), "00\:00") + IF(TEXT(IF(ISNUMBER(SEARCH("-", F29:L29)), MID(F29:L29, SEARCH("-", F29:L29) + 1, 4), ""), "00\:00") &lt; TEXT(IF(ISNUMBER(SEARCH("-", F29:L29)), MID(F29:L29, SEARCH("-", F29:L29) - 4, 4), ""), "00\:00"), 1, 0))*24,""))))/9.5</f>
        <v>3</v>
      </c>
      <c r="O29"/>
      <c r="P29" s="151">
        <f t="shared" si="11"/>
        <v>3</v>
      </c>
      <c r="R29" s="4">
        <f t="shared" ca="1" si="12"/>
        <v>6</v>
      </c>
      <c r="S29" s="2">
        <f>(IFERROR(VLOOKUP(D29,'Employee Numbers'!$A$3:$C$84,3,FALSE),"NOT FOUND"))*8</f>
        <v>6</v>
      </c>
      <c r="U29" s="142">
        <f t="shared" si="13"/>
        <v>1</v>
      </c>
      <c r="V29" s="142">
        <f t="shared" si="14"/>
        <v>1</v>
      </c>
      <c r="W29" s="2">
        <f t="shared" si="15"/>
        <v>1</v>
      </c>
      <c r="Y29" s="2">
        <f t="shared" si="16"/>
        <v>0</v>
      </c>
    </row>
    <row r="30" spans="1:25" s="2" customFormat="1" ht="15" customHeight="1">
      <c r="A30" s="2" t="s">
        <v>39</v>
      </c>
      <c r="B30" s="46"/>
      <c r="C30" s="21"/>
      <c r="D30" s="227" t="s">
        <v>57</v>
      </c>
      <c r="E30" s="226">
        <f>IFERROR(VLOOKUP(D30,'Employee Numbers'!$A$3:$B$84,2,FALSE),"NOT FOUND")</f>
        <v>627680</v>
      </c>
      <c r="F30" s="29"/>
      <c r="G30" s="31"/>
      <c r="H30" s="31" t="s">
        <v>41</v>
      </c>
      <c r="I30" s="31" t="s">
        <v>42</v>
      </c>
      <c r="J30" s="31"/>
      <c r="K30" s="31" t="s">
        <v>44</v>
      </c>
      <c r="L30" s="228"/>
      <c r="N30">
        <f t="array" ref="N30">((SUM(IFERROR((TEXT(IF(ISNUMBER(SEARCH("-", F30:L30)), MID(F30:L30, SEARCH("-", F30:L30) + 1, 4), ""), "00\:00") - TEXT(IF(ISNUMBER(SEARCH("-", F30:L30)), MID(F30:L30, SEARCH("-", F30:L30) - 4, 4), ""), "00\:00") + IF(TEXT(IF(ISNUMBER(SEARCH("-", F30:L30)), MID(F30:L30, SEARCH("-", F30:L30) + 1, 4), ""), "00\:00") &lt; TEXT(IF(ISNUMBER(SEARCH("-", F30:L30)), MID(F30:L30, SEARCH("-", F30:L30) - 4, 4), ""), "00\:00"), 1, 0))*24,""))))/9.5</f>
        <v>3</v>
      </c>
      <c r="O30"/>
      <c r="P30" s="151">
        <f t="shared" si="11"/>
        <v>3</v>
      </c>
      <c r="R30" s="4">
        <f t="shared" ca="1" si="12"/>
        <v>6</v>
      </c>
      <c r="S30" s="2">
        <f>(IFERROR(VLOOKUP(D30,'Employee Numbers'!$A$3:$C$84,3,FALSE),"NOT FOUND"))*8</f>
        <v>6</v>
      </c>
      <c r="U30" s="142">
        <f t="shared" si="13"/>
        <v>1</v>
      </c>
      <c r="V30" s="142">
        <f t="shared" si="14"/>
        <v>1</v>
      </c>
      <c r="W30" s="2">
        <f t="shared" si="15"/>
        <v>1</v>
      </c>
      <c r="Y30" s="2">
        <f t="shared" si="16"/>
        <v>1</v>
      </c>
    </row>
    <row r="31" spans="1:25" s="2" customFormat="1" ht="15" customHeight="1">
      <c r="A31" s="162" t="s">
        <v>39</v>
      </c>
      <c r="B31" s="163"/>
      <c r="C31" s="164"/>
      <c r="D31" s="240" t="s">
        <v>58</v>
      </c>
      <c r="E31" s="165">
        <f>IFERROR(VLOOKUP(D31,'Employee Numbers'!$A$3:$B$84,2,FALSE),"NOT FOUND")</f>
        <v>633210</v>
      </c>
      <c r="F31" s="176"/>
      <c r="G31" s="166" t="s">
        <v>44</v>
      </c>
      <c r="H31" s="166" t="s">
        <v>42</v>
      </c>
      <c r="I31" s="166" t="s">
        <v>41</v>
      </c>
      <c r="J31" s="166"/>
      <c r="K31" s="166"/>
      <c r="L31" s="167"/>
      <c r="N31">
        <f t="array" ref="N31">((SUM(IFERROR((TEXT(IF(ISNUMBER(SEARCH("-", F31:L31)), MID(F31:L31, SEARCH("-", F31:L31) + 1, 4), ""), "00\:00") - TEXT(IF(ISNUMBER(SEARCH("-", F31:L31)), MID(F31:L31, SEARCH("-", F31:L31) - 4, 4), ""), "00\:00") + IF(TEXT(IF(ISNUMBER(SEARCH("-", F31:L31)), MID(F31:L31, SEARCH("-", F31:L31) + 1, 4), ""), "00\:00") &lt; TEXT(IF(ISNUMBER(SEARCH("-", F31:L31)), MID(F31:L31, SEARCH("-", F31:L31) - 4, 4), ""), "00\:00"), 1, 0))*24,""))))/9.5</f>
        <v>3</v>
      </c>
      <c r="O31"/>
      <c r="P31" s="151">
        <f t="shared" si="11"/>
        <v>3</v>
      </c>
      <c r="R31" s="4">
        <f t="shared" ca="1" si="12"/>
        <v>6</v>
      </c>
      <c r="S31" s="2">
        <f>(IFERROR(VLOOKUP(D31,'Employee Numbers'!$A$3:$C$84,3,FALSE),"NOT FOUND"))*8</f>
        <v>6</v>
      </c>
      <c r="U31" s="142">
        <f t="shared" si="13"/>
        <v>1</v>
      </c>
      <c r="V31" s="142">
        <f t="shared" si="14"/>
        <v>1</v>
      </c>
      <c r="W31" s="2">
        <f t="shared" si="15"/>
        <v>1</v>
      </c>
      <c r="Y31" s="2">
        <f t="shared" si="16"/>
        <v>0</v>
      </c>
    </row>
    <row r="32" spans="1:25" s="2" customFormat="1" ht="15" customHeight="1">
      <c r="A32" s="2" t="s">
        <v>39</v>
      </c>
      <c r="B32" s="46"/>
      <c r="C32" s="21"/>
      <c r="D32" s="230" t="s">
        <v>59</v>
      </c>
      <c r="E32" s="226">
        <f>IFERROR(VLOOKUP(D32,'Employee Numbers'!$A$3:$B$84,2,FALSE),"NOT FOUND")</f>
        <v>618952</v>
      </c>
      <c r="F32" s="29"/>
      <c r="G32" s="31" t="s">
        <v>44</v>
      </c>
      <c r="H32" s="31"/>
      <c r="I32" s="31" t="s">
        <v>41</v>
      </c>
      <c r="J32" s="31"/>
      <c r="K32" s="31" t="s">
        <v>54</v>
      </c>
      <c r="L32" s="228"/>
      <c r="N32">
        <f t="array" ref="N32">((SUM(IFERROR((TEXT(IF(ISNUMBER(SEARCH("-", F32:L32)), MID(F32:L32, SEARCH("-", F32:L32) + 1, 4), ""), "00\:00") - TEXT(IF(ISNUMBER(SEARCH("-", F32:L32)), MID(F32:L32, SEARCH("-", F32:L32) - 4, 4), ""), "00\:00") + IF(TEXT(IF(ISNUMBER(SEARCH("-", F32:L32)), MID(F32:L32, SEARCH("-", F32:L32) + 1, 4), ""), "00\:00") &lt; TEXT(IF(ISNUMBER(SEARCH("-", F32:L32)), MID(F32:L32, SEARCH("-", F32:L32) - 4, 4), ""), "00\:00"), 1, 0))*24,""))))/9.5</f>
        <v>3</v>
      </c>
      <c r="O32"/>
      <c r="P32" s="151">
        <f t="shared" si="11"/>
        <v>3</v>
      </c>
      <c r="R32" s="4">
        <f t="shared" ca="1" si="12"/>
        <v>6</v>
      </c>
      <c r="S32" s="2">
        <f>(IFERROR(VLOOKUP(D32,'Employee Numbers'!$A$3:$C$84,3,FALSE),"NOT FOUND"))*8</f>
        <v>6</v>
      </c>
      <c r="U32" s="142">
        <f t="shared" si="13"/>
        <v>1</v>
      </c>
      <c r="V32" s="142">
        <f t="shared" si="14"/>
        <v>1</v>
      </c>
      <c r="W32" s="2">
        <f t="shared" si="15"/>
        <v>1</v>
      </c>
      <c r="Y32" s="2">
        <f t="shared" si="16"/>
        <v>1</v>
      </c>
    </row>
    <row r="33" spans="1:25" s="2" customFormat="1" ht="15" customHeight="1">
      <c r="A33" s="162" t="s">
        <v>39</v>
      </c>
      <c r="B33" s="163"/>
      <c r="C33" s="164"/>
      <c r="D33" s="241" t="s">
        <v>61</v>
      </c>
      <c r="E33" s="165">
        <f>IFERROR(VLOOKUP(D33,'Employee Numbers'!$A$3:$B$84,2,FALSE),"NOT FOUND")</f>
        <v>649039</v>
      </c>
      <c r="F33" s="176"/>
      <c r="G33" s="166" t="s">
        <v>42</v>
      </c>
      <c r="H33" s="166" t="s">
        <v>41</v>
      </c>
      <c r="I33" s="166"/>
      <c r="J33" s="166"/>
      <c r="K33" s="166"/>
      <c r="L33" s="167"/>
      <c r="N33">
        <f t="array" ref="N33">((SUM(IFERROR((TEXT(IF(ISNUMBER(SEARCH("-", F33:L33)), MID(F33:L33, SEARCH("-", F33:L33) + 1, 4), ""), "00\:00") - TEXT(IF(ISNUMBER(SEARCH("-", F33:L33)), MID(F33:L33, SEARCH("-", F33:L33) - 4, 4), ""), "00\:00") + IF(TEXT(IF(ISNUMBER(SEARCH("-", F33:L33)), MID(F33:L33, SEARCH("-", F33:L33) + 1, 4), ""), "00\:00") &lt; TEXT(IF(ISNUMBER(SEARCH("-", F33:L33)), MID(F33:L33, SEARCH("-", F33:L33) - 4, 4), ""), "00\:00"), 1, 0))*24,""))))/9.5</f>
        <v>2</v>
      </c>
      <c r="O33"/>
      <c r="P33" s="151">
        <f t="shared" si="11"/>
        <v>2</v>
      </c>
      <c r="R33" s="4">
        <f t="shared" ca="1" si="12"/>
        <v>5</v>
      </c>
      <c r="S33" s="2">
        <f>(IFERROR(VLOOKUP(D33,'Employee Numbers'!$A$3:$C$84,3,FALSE),"NOT FOUND"))*8</f>
        <v>5</v>
      </c>
      <c r="U33" s="142">
        <f t="shared" si="13"/>
        <v>0</v>
      </c>
      <c r="V33" s="142">
        <f t="shared" si="14"/>
        <v>1</v>
      </c>
      <c r="W33" s="2">
        <f t="shared" si="15"/>
        <v>1</v>
      </c>
      <c r="Y33" s="2">
        <f t="shared" si="16"/>
        <v>0</v>
      </c>
    </row>
    <row r="34" spans="1:25" s="2" customFormat="1" ht="15" customHeight="1">
      <c r="A34" s="2" t="s">
        <v>39</v>
      </c>
      <c r="B34" s="46"/>
      <c r="C34" s="21"/>
      <c r="D34" s="227" t="s">
        <v>62</v>
      </c>
      <c r="E34" s="226">
        <f>IFERROR(VLOOKUP(D34,'Employee Numbers'!$A$3:$B$84,2,FALSE),"NOT FOUND")</f>
        <v>649671</v>
      </c>
      <c r="F34" s="250" t="s">
        <v>176</v>
      </c>
      <c r="G34" s="251" t="s">
        <v>176</v>
      </c>
      <c r="H34" s="251" t="s">
        <v>176</v>
      </c>
      <c r="I34" s="251" t="s">
        <v>176</v>
      </c>
      <c r="J34" s="251" t="s">
        <v>176</v>
      </c>
      <c r="K34" s="251" t="s">
        <v>176</v>
      </c>
      <c r="L34" s="252" t="s">
        <v>176</v>
      </c>
      <c r="N34">
        <f t="array" ref="N34">((SUM(IFERROR((TEXT(IF(ISNUMBER(SEARCH("-", F34:L34)), MID(F34:L34, SEARCH("-", F34:L34) + 1, 4), ""), "00\:00") - TEXT(IF(ISNUMBER(SEARCH("-", F34:L34)), MID(F34:L34, SEARCH("-", F34:L34) - 4, 4), ""), "00\:00") + IF(TEXT(IF(ISNUMBER(SEARCH("-", F34:L34)), MID(F34:L34, SEARCH("-", F34:L34) + 1, 4), ""), "00\:00") &lt; TEXT(IF(ISNUMBER(SEARCH("-", F34:L34)), MID(F34:L34, SEARCH("-", F34:L34) - 4, 4), ""), "00\:00"), 1, 0))*24,""))))/9.5</f>
        <v>0</v>
      </c>
      <c r="O34">
        <v>3</v>
      </c>
      <c r="P34" s="151">
        <f t="shared" si="11"/>
        <v>3</v>
      </c>
      <c r="R34" s="4">
        <f t="shared" ca="1" si="12"/>
        <v>6</v>
      </c>
      <c r="S34" s="2">
        <f>(IFERROR(VLOOKUP(D34,'Employee Numbers'!$A$3:$C$84,3,FALSE),"NOT FOUND"))*8</f>
        <v>6</v>
      </c>
      <c r="U34" s="142">
        <f t="shared" si="13"/>
        <v>0</v>
      </c>
      <c r="V34" s="142">
        <f t="shared" si="14"/>
        <v>0</v>
      </c>
      <c r="W34" s="2">
        <f t="shared" si="15"/>
        <v>0</v>
      </c>
      <c r="Y34" s="2">
        <f t="shared" si="16"/>
        <v>0</v>
      </c>
    </row>
    <row r="35" spans="1:25" s="2" customFormat="1" ht="15" customHeight="1">
      <c r="A35" s="162" t="s">
        <v>39</v>
      </c>
      <c r="B35" s="163"/>
      <c r="C35" s="164"/>
      <c r="D35" s="240" t="s">
        <v>64</v>
      </c>
      <c r="E35" s="165">
        <f>IFERROR(VLOOKUP(D35,'Employee Numbers'!$A$3:$B$84,2,FALSE),"NOT FOUND")</f>
        <v>646047</v>
      </c>
      <c r="F35" s="176"/>
      <c r="G35" s="166" t="s">
        <v>41</v>
      </c>
      <c r="H35" s="166" t="s">
        <v>44</v>
      </c>
      <c r="I35" s="166"/>
      <c r="J35" s="166"/>
      <c r="K35" s="166"/>
      <c r="L35" s="167"/>
      <c r="N35">
        <f t="array" ref="N35">((SUM(IFERROR((TEXT(IF(ISNUMBER(SEARCH("-", F35:L35)), MID(F35:L35, SEARCH("-", F35:L35) + 1, 4), ""), "00\:00") - TEXT(IF(ISNUMBER(SEARCH("-", F35:L35)), MID(F35:L35, SEARCH("-", F35:L35) - 4, 4), ""), "00\:00") + IF(TEXT(IF(ISNUMBER(SEARCH("-", F35:L35)), MID(F35:L35, SEARCH("-", F35:L35) + 1, 4), ""), "00\:00") &lt; TEXT(IF(ISNUMBER(SEARCH("-", F35:L35)), MID(F35:L35, SEARCH("-", F35:L35) - 4, 4), ""), "00\:00"), 1, 0))*24,""))))/9.5</f>
        <v>2</v>
      </c>
      <c r="O35"/>
      <c r="P35" s="151">
        <f t="shared" si="11"/>
        <v>2</v>
      </c>
      <c r="R35" s="4">
        <f t="shared" ca="1" si="12"/>
        <v>4</v>
      </c>
      <c r="S35" s="2">
        <f>(IFERROR(VLOOKUP(D35,'Employee Numbers'!$A$3:$C$84,3,FALSE),"NOT FOUND"))*8</f>
        <v>5</v>
      </c>
      <c r="U35" s="142">
        <f t="shared" si="13"/>
        <v>1</v>
      </c>
      <c r="V35" s="142">
        <f t="shared" si="14"/>
        <v>0</v>
      </c>
      <c r="W35" s="2">
        <f t="shared" si="15"/>
        <v>1</v>
      </c>
      <c r="Y35" s="2">
        <f t="shared" si="16"/>
        <v>0</v>
      </c>
    </row>
    <row r="36" spans="1:25" s="2" customFormat="1" ht="15" customHeight="1">
      <c r="A36" s="2" t="s">
        <v>39</v>
      </c>
      <c r="B36" s="46"/>
      <c r="C36" s="21"/>
      <c r="D36" s="229" t="s">
        <v>66</v>
      </c>
      <c r="E36" s="226">
        <f>IFERROR(VLOOKUP(D36,'Employee Numbers'!$A$3:$B$84,2,FALSE),"NOT FOUND")</f>
        <v>164003</v>
      </c>
      <c r="F36" s="29"/>
      <c r="G36" s="31" t="s">
        <v>41</v>
      </c>
      <c r="H36" s="31"/>
      <c r="I36" s="31" t="s">
        <v>41</v>
      </c>
      <c r="J36" s="31"/>
      <c r="K36" s="31"/>
      <c r="L36" s="228"/>
      <c r="N36">
        <f t="array" ref="N36">((SUM(IFERROR((TEXT(IF(ISNUMBER(SEARCH("-", F36:L36)), MID(F36:L36, SEARCH("-", F36:L36) + 1, 4), ""), "00\:00") - TEXT(IF(ISNUMBER(SEARCH("-", F36:L36)), MID(F36:L36, SEARCH("-", F36:L36) - 4, 4), ""), "00\:00") + IF(TEXT(IF(ISNUMBER(SEARCH("-", F36:L36)), MID(F36:L36, SEARCH("-", F36:L36) + 1, 4), ""), "00\:00") &lt; TEXT(IF(ISNUMBER(SEARCH("-", F36:L36)), MID(F36:L36, SEARCH("-", F36:L36) - 4, 4), ""), "00\:00"), 1, 0))*24,""))))/9.5</f>
        <v>2</v>
      </c>
      <c r="O36"/>
      <c r="P36" s="151">
        <f t="shared" si="11"/>
        <v>2</v>
      </c>
      <c r="R36" s="4">
        <f t="shared" ca="1" si="12"/>
        <v>4</v>
      </c>
      <c r="S36" s="2">
        <f>(IFERROR(VLOOKUP(D36,'Employee Numbers'!$A$3:$C$84,3,FALSE),"NOT FOUND"))*8</f>
        <v>4</v>
      </c>
      <c r="U36" s="142">
        <f t="shared" si="13"/>
        <v>0</v>
      </c>
      <c r="V36" s="142">
        <f t="shared" si="14"/>
        <v>0</v>
      </c>
      <c r="W36" s="2">
        <f t="shared" si="15"/>
        <v>2</v>
      </c>
      <c r="Y36" s="2">
        <f t="shared" si="16"/>
        <v>0</v>
      </c>
    </row>
    <row r="37" spans="1:25" s="2" customFormat="1" ht="15" customHeight="1">
      <c r="A37" s="162" t="s">
        <v>39</v>
      </c>
      <c r="B37" s="163"/>
      <c r="C37" s="164"/>
      <c r="D37" s="240" t="s">
        <v>67</v>
      </c>
      <c r="E37" s="165">
        <f>IFERROR(VLOOKUP(D37,'Employee Numbers'!$A$3:$B$84,2,FALSE),"NOT FOUND")</f>
        <v>609408</v>
      </c>
      <c r="F37" s="176"/>
      <c r="G37" s="166" t="s">
        <v>42</v>
      </c>
      <c r="H37" s="166" t="s">
        <v>63</v>
      </c>
      <c r="I37" s="166" t="s">
        <v>44</v>
      </c>
      <c r="J37" s="166" t="s">
        <v>44</v>
      </c>
      <c r="K37" s="166"/>
      <c r="L37" s="167"/>
      <c r="N37">
        <f t="array" ref="N37">((SUM(IFERROR((TEXT(IF(ISNUMBER(SEARCH("-", F37:L37)), MID(F37:L37, SEARCH("-", F37:L37) + 1, 4), ""), "00\:00") - TEXT(IF(ISNUMBER(SEARCH("-", F37:L37)), MID(F37:L37, SEARCH("-", F37:L37) - 4, 4), ""), "00\:00") + IF(TEXT(IF(ISNUMBER(SEARCH("-", F37:L37)), MID(F37:L37, SEARCH("-", F37:L37) + 1, 4), ""), "00\:00") &lt; TEXT(IF(ISNUMBER(SEARCH("-", F37:L37)), MID(F37:L37, SEARCH("-", F37:L37) - 4, 4), ""), "00\:00"), 1, 0))*24,""))))/9.5</f>
        <v>4</v>
      </c>
      <c r="O37"/>
      <c r="P37" s="151">
        <f t="shared" si="11"/>
        <v>4</v>
      </c>
      <c r="R37" s="4">
        <f t="shared" ca="1" si="12"/>
        <v>4</v>
      </c>
      <c r="S37" s="2">
        <f>(IFERROR(VLOOKUP(D37,'Employee Numbers'!$A$3:$C$84,3,FALSE),"NOT FOUND"))*8</f>
        <v>4</v>
      </c>
      <c r="U37" s="142">
        <f t="shared" si="13"/>
        <v>2</v>
      </c>
      <c r="V37" s="142">
        <f t="shared" si="14"/>
        <v>1</v>
      </c>
      <c r="W37" s="2">
        <f t="shared" si="15"/>
        <v>1</v>
      </c>
      <c r="Y37" s="2">
        <f t="shared" si="16"/>
        <v>0</v>
      </c>
    </row>
    <row r="38" spans="1:25" s="2" customFormat="1" ht="15" customHeight="1">
      <c r="A38" s="2" t="s">
        <v>39</v>
      </c>
      <c r="B38" s="46"/>
      <c r="C38" s="21"/>
      <c r="D38" s="227" t="s">
        <v>68</v>
      </c>
      <c r="E38" s="226">
        <f>IFERROR(VLOOKUP(D38,'Employee Numbers'!$A$3:$B$84,2,FALSE),"NOT FOUND")</f>
        <v>627619</v>
      </c>
      <c r="F38" s="29" t="s">
        <v>42</v>
      </c>
      <c r="G38" s="31"/>
      <c r="H38" s="31" t="s">
        <v>42</v>
      </c>
      <c r="I38" s="31"/>
      <c r="J38" s="31"/>
      <c r="K38" s="31"/>
      <c r="L38" s="228"/>
      <c r="N38">
        <f t="array" ref="N38">((SUM(IFERROR((TEXT(IF(ISNUMBER(SEARCH("-", F38:L38)), MID(F38:L38, SEARCH("-", F38:L38) + 1, 4), ""), "00\:00") - TEXT(IF(ISNUMBER(SEARCH("-", F38:L38)), MID(F38:L38, SEARCH("-", F38:L38) - 4, 4), ""), "00\:00") + IF(TEXT(IF(ISNUMBER(SEARCH("-", F38:L38)), MID(F38:L38, SEARCH("-", F38:L38) + 1, 4), ""), "00\:00") &lt; TEXT(IF(ISNUMBER(SEARCH("-", F38:L38)), MID(F38:L38, SEARCH("-", F38:L38) - 4, 4), ""), "00\:00"), 1, 0))*24,""))))/9.5</f>
        <v>2</v>
      </c>
      <c r="O38"/>
      <c r="P38" s="151">
        <f t="shared" si="11"/>
        <v>2</v>
      </c>
      <c r="R38" s="4">
        <f t="shared" ca="1" si="12"/>
        <v>4</v>
      </c>
      <c r="S38" s="2">
        <f>(IFERROR(VLOOKUP(D38,'Employee Numbers'!$A$3:$C$84,3,FALSE),"NOT FOUND"))*8</f>
        <v>4</v>
      </c>
      <c r="U38" s="142">
        <f t="shared" si="13"/>
        <v>0</v>
      </c>
      <c r="V38" s="142">
        <f t="shared" si="14"/>
        <v>2</v>
      </c>
      <c r="W38" s="2">
        <f t="shared" si="15"/>
        <v>0</v>
      </c>
      <c r="Y38" s="2">
        <f t="shared" si="16"/>
        <v>0</v>
      </c>
    </row>
    <row r="39" spans="1:25" s="2" customFormat="1" ht="15" customHeight="1">
      <c r="A39" s="162" t="s">
        <v>39</v>
      </c>
      <c r="B39" s="163"/>
      <c r="C39" s="164"/>
      <c r="D39" s="240" t="s">
        <v>71</v>
      </c>
      <c r="E39" s="165">
        <f>IFERROR(VLOOKUP(D39,'Employee Numbers'!$A$3:$B$84,2,FALSE),"NOT FOUND")</f>
        <v>632646</v>
      </c>
      <c r="F39" s="176" t="s">
        <v>44</v>
      </c>
      <c r="G39" s="166" t="s">
        <v>42</v>
      </c>
      <c r="H39" s="166" t="s">
        <v>41</v>
      </c>
      <c r="I39" s="166"/>
      <c r="J39" s="166"/>
      <c r="K39" s="166"/>
      <c r="L39" s="167" t="s">
        <v>54</v>
      </c>
      <c r="N39">
        <f t="array" ref="N39">((SUM(IFERROR((TEXT(IF(ISNUMBER(SEARCH("-", F39:L39)), MID(F39:L39, SEARCH("-", F39:L39) + 1, 4), ""), "00\:00") - TEXT(IF(ISNUMBER(SEARCH("-", F39:L39)), MID(F39:L39, SEARCH("-", F39:L39) - 4, 4), ""), "00\:00") + IF(TEXT(IF(ISNUMBER(SEARCH("-", F39:L39)), MID(F39:L39, SEARCH("-", F39:L39) + 1, 4), ""), "00\:00") &lt; TEXT(IF(ISNUMBER(SEARCH("-", F39:L39)), MID(F39:L39, SEARCH("-", F39:L39) - 4, 4), ""), "00\:00"), 1, 0))*24,""))))/9.5</f>
        <v>4</v>
      </c>
      <c r="O39"/>
      <c r="P39" s="151">
        <f t="shared" si="11"/>
        <v>4</v>
      </c>
      <c r="R39" s="4">
        <f t="shared" ca="1" si="12"/>
        <v>4</v>
      </c>
      <c r="S39" s="2">
        <f>(IFERROR(VLOOKUP(D39,'Employee Numbers'!$A$3:$C$84,3,FALSE),"NOT FOUND"))*8</f>
        <v>4</v>
      </c>
      <c r="U39" s="142">
        <f t="shared" si="13"/>
        <v>1</v>
      </c>
      <c r="V39" s="142">
        <f t="shared" si="14"/>
        <v>2</v>
      </c>
      <c r="W39" s="2">
        <f t="shared" si="15"/>
        <v>1</v>
      </c>
      <c r="Y39" s="2">
        <f t="shared" si="16"/>
        <v>1</v>
      </c>
    </row>
    <row r="40" spans="1:25" s="2" customFormat="1" ht="15" customHeight="1">
      <c r="A40" s="2" t="s">
        <v>39</v>
      </c>
      <c r="B40" s="46"/>
      <c r="C40" s="21"/>
      <c r="D40" s="229" t="s">
        <v>72</v>
      </c>
      <c r="E40" s="226">
        <f>IFERROR(VLOOKUP(D40,'Employee Numbers'!$A$3:$B$84,2,FALSE),"NOT FOUND")</f>
        <v>652844</v>
      </c>
      <c r="F40" s="29"/>
      <c r="G40" s="31"/>
      <c r="H40" s="31"/>
      <c r="I40" s="31"/>
      <c r="J40" s="31"/>
      <c r="K40" s="31"/>
      <c r="L40" s="228"/>
      <c r="N40">
        <f t="array" ref="N40">((SUM(IFERROR((TEXT(IF(ISNUMBER(SEARCH("-", F40:L40)), MID(F40:L40, SEARCH("-", F40:L40) + 1, 4), ""), "00\:00") - TEXT(IF(ISNUMBER(SEARCH("-", F40:L40)), MID(F40:L40, SEARCH("-", F40:L40) - 4, 4), ""), "00\:00") + IF(TEXT(IF(ISNUMBER(SEARCH("-", F40:L40)), MID(F40:L40, SEARCH("-", F40:L40) + 1, 4), ""), "00\:00") &lt; TEXT(IF(ISNUMBER(SEARCH("-", F40:L40)), MID(F40:L40, SEARCH("-", F40:L40) - 4, 4), ""), "00\:00"), 1, 0))*24,""))))/9.5</f>
        <v>0</v>
      </c>
      <c r="O40"/>
      <c r="P40" s="151">
        <f t="shared" si="11"/>
        <v>0</v>
      </c>
      <c r="R40" s="4">
        <f t="shared" ca="1" si="12"/>
        <v>4</v>
      </c>
      <c r="S40" s="2">
        <f>(IFERROR(VLOOKUP(D40,'Employee Numbers'!$A$3:$C$84,3,FALSE),"NOT FOUND"))*8</f>
        <v>4</v>
      </c>
      <c r="U40" s="142">
        <f t="shared" si="13"/>
        <v>0</v>
      </c>
      <c r="V40" s="142">
        <f t="shared" si="14"/>
        <v>0</v>
      </c>
      <c r="W40" s="2">
        <f t="shared" si="15"/>
        <v>0</v>
      </c>
      <c r="Y40" s="2">
        <f t="shared" si="16"/>
        <v>0</v>
      </c>
    </row>
    <row r="41" spans="1:25" s="2" customFormat="1" ht="15" customHeight="1">
      <c r="A41" s="162" t="s">
        <v>39</v>
      </c>
      <c r="B41" s="163"/>
      <c r="C41" s="164"/>
      <c r="D41" s="241" t="s">
        <v>73</v>
      </c>
      <c r="E41" s="165">
        <f>IFERROR(VLOOKUP(D41,'Employee Numbers'!$A$3:$B$84,2,FALSE),"NOT FOUND")</f>
        <v>634491</v>
      </c>
      <c r="F41" s="176"/>
      <c r="G41" s="166"/>
      <c r="H41" s="166"/>
      <c r="I41" s="166"/>
      <c r="J41" s="166"/>
      <c r="K41" s="166"/>
      <c r="L41" s="167"/>
      <c r="N41">
        <f t="array" ref="N41">((SUM(IFERROR((TEXT(IF(ISNUMBER(SEARCH("-", F41:L41)), MID(F41:L41, SEARCH("-", F41:L41) + 1, 4), ""), "00\:00") - TEXT(IF(ISNUMBER(SEARCH("-", F41:L41)), MID(F41:L41, SEARCH("-", F41:L41) - 4, 4), ""), "00\:00") + IF(TEXT(IF(ISNUMBER(SEARCH("-", F41:L41)), MID(F41:L41, SEARCH("-", F41:L41) + 1, 4), ""), "00\:00") &lt; TEXT(IF(ISNUMBER(SEARCH("-", F41:L41)), MID(F41:L41, SEARCH("-", F41:L41) - 4, 4), ""), "00\:00"), 1, 0))*24,""))))/9.5</f>
        <v>0</v>
      </c>
      <c r="O41"/>
      <c r="P41" s="151">
        <f t="shared" si="11"/>
        <v>0</v>
      </c>
      <c r="R41" s="4">
        <f t="shared" ca="1" si="12"/>
        <v>4</v>
      </c>
      <c r="S41" s="2">
        <f>(IFERROR(VLOOKUP(D41,'Employee Numbers'!$A$3:$C$84,3,FALSE),"NOT FOUND"))*8</f>
        <v>4</v>
      </c>
      <c r="U41" s="142">
        <f t="shared" si="13"/>
        <v>0</v>
      </c>
      <c r="V41" s="142">
        <f t="shared" si="14"/>
        <v>0</v>
      </c>
      <c r="W41" s="2">
        <f t="shared" si="15"/>
        <v>0</v>
      </c>
      <c r="Y41" s="2">
        <f t="shared" si="16"/>
        <v>0</v>
      </c>
    </row>
    <row r="42" spans="1:25" s="2" customFormat="1" ht="15" customHeight="1">
      <c r="A42" s="2" t="s">
        <v>39</v>
      </c>
      <c r="B42" s="46"/>
      <c r="C42" s="47"/>
      <c r="D42" s="227" t="s">
        <v>74</v>
      </c>
      <c r="E42" s="226">
        <f>IFERROR(VLOOKUP(D42,'Employee Numbers'!$A$3:$B$84,2,FALSE),"NOT FOUND")</f>
        <v>621988</v>
      </c>
      <c r="F42" s="250" t="s">
        <v>75</v>
      </c>
      <c r="G42" s="251" t="s">
        <v>75</v>
      </c>
      <c r="H42" s="251" t="s">
        <v>75</v>
      </c>
      <c r="I42" s="251" t="s">
        <v>75</v>
      </c>
      <c r="J42" s="251" t="s">
        <v>75</v>
      </c>
      <c r="K42" s="251" t="s">
        <v>75</v>
      </c>
      <c r="L42" s="252" t="s">
        <v>75</v>
      </c>
      <c r="N42">
        <f t="array" ref="N42">((SUM(IFERROR((TEXT(IF(ISNUMBER(SEARCH("-", F42:L42)), MID(F42:L42, SEARCH("-", F42:L42) + 1, 4), ""), "00\:00") - TEXT(IF(ISNUMBER(SEARCH("-", F42:L42)), MID(F42:L42, SEARCH("-", F42:L42) - 4, 4), ""), "00\:00") + IF(TEXT(IF(ISNUMBER(SEARCH("-", F42:L42)), MID(F42:L42, SEARCH("-", F42:L42) + 1, 4), ""), "00\:00") &lt; TEXT(IF(ISNUMBER(SEARCH("-", F42:L42)), MID(F42:L42, SEARCH("-", F42:L42) - 4, 4), ""), "00\:00"), 1, 0))*24,""))))/9.5</f>
        <v>0</v>
      </c>
      <c r="O42">
        <v>2</v>
      </c>
      <c r="P42" s="151">
        <f t="shared" si="11"/>
        <v>2</v>
      </c>
      <c r="R42" s="4">
        <f t="shared" ca="1" si="12"/>
        <v>4</v>
      </c>
      <c r="S42" s="2">
        <f>(IFERROR(VLOOKUP(D42,'Employee Numbers'!$A$3:$C$84,3,FALSE),"NOT FOUND"))*8</f>
        <v>4</v>
      </c>
      <c r="U42" s="142">
        <f t="shared" si="13"/>
        <v>0</v>
      </c>
      <c r="V42" s="142">
        <f t="shared" si="14"/>
        <v>0</v>
      </c>
      <c r="W42" s="2">
        <f t="shared" si="15"/>
        <v>0</v>
      </c>
      <c r="Y42" s="2">
        <f t="shared" si="16"/>
        <v>0</v>
      </c>
    </row>
    <row r="43" spans="1:25" s="2" customFormat="1" ht="15" customHeight="1">
      <c r="A43" s="162" t="s">
        <v>39</v>
      </c>
      <c r="B43" s="163"/>
      <c r="C43" s="238"/>
      <c r="D43" s="239" t="s">
        <v>76</v>
      </c>
      <c r="E43" s="165">
        <f>IFERROR(VLOOKUP(D43,'Employee Numbers'!$A$3:$B$84,2,FALSE),"NOT FOUND")</f>
        <v>409677</v>
      </c>
      <c r="F43" s="176" t="s">
        <v>44</v>
      </c>
      <c r="G43" s="166"/>
      <c r="H43" s="166"/>
      <c r="I43" s="166"/>
      <c r="J43" s="166"/>
      <c r="K43" s="166"/>
      <c r="L43" s="167"/>
      <c r="N43">
        <f t="array" ref="N43">((SUM(IFERROR((TEXT(IF(ISNUMBER(SEARCH("-", F43:L43)), MID(F43:L43, SEARCH("-", F43:L43) + 1, 4), ""), "00\:00") - TEXT(IF(ISNUMBER(SEARCH("-", F43:L43)), MID(F43:L43, SEARCH("-", F43:L43) - 4, 4), ""), "00\:00") + IF(TEXT(IF(ISNUMBER(SEARCH("-", F43:L43)), MID(F43:L43, SEARCH("-", F43:L43) + 1, 4), ""), "00\:00") &lt; TEXT(IF(ISNUMBER(SEARCH("-", F43:L43)), MID(F43:L43, SEARCH("-", F43:L43) - 4, 4), ""), "00\:00"), 1, 0))*24,""))))/9.5</f>
        <v>1</v>
      </c>
      <c r="O43"/>
      <c r="P43" s="151">
        <f t="shared" si="11"/>
        <v>1</v>
      </c>
      <c r="R43" s="4">
        <f t="shared" ca="1" si="12"/>
        <v>3</v>
      </c>
      <c r="S43" s="2">
        <f>(IFERROR(VLOOKUP(D43,'Employee Numbers'!$A$3:$C$84,3,FALSE),"NOT FOUND"))*8</f>
        <v>3</v>
      </c>
      <c r="U43" s="142">
        <f t="shared" si="13"/>
        <v>1</v>
      </c>
      <c r="V43" s="142">
        <f t="shared" si="14"/>
        <v>0</v>
      </c>
      <c r="W43" s="2">
        <f t="shared" si="15"/>
        <v>0</v>
      </c>
      <c r="Y43" s="2">
        <f t="shared" si="16"/>
        <v>0</v>
      </c>
    </row>
    <row r="44" spans="1:25" s="2" customFormat="1" ht="15" customHeight="1">
      <c r="A44" s="2" t="s">
        <v>39</v>
      </c>
      <c r="B44" s="46"/>
      <c r="C44" s="47"/>
      <c r="D44" s="249" t="s">
        <v>77</v>
      </c>
      <c r="E44" s="226">
        <f>IFERROR(VLOOKUP(D44,'Employee Numbers'!$A$3:$B$84,2,FALSE),"NOT FOUND")</f>
        <v>632590</v>
      </c>
      <c r="F44" s="29"/>
      <c r="G44" s="31"/>
      <c r="H44" s="31"/>
      <c r="I44" s="31" t="s">
        <v>44</v>
      </c>
      <c r="J44" s="31" t="s">
        <v>63</v>
      </c>
      <c r="K44" s="31" t="s">
        <v>54</v>
      </c>
      <c r="L44" s="228" t="s">
        <v>54</v>
      </c>
      <c r="N44">
        <f t="array" ref="N44">((SUM(IFERROR((TEXT(IF(ISNUMBER(SEARCH("-", F44:L44)), MID(F44:L44, SEARCH("-", F44:L44) + 1, 4), ""), "00\:00") - TEXT(IF(ISNUMBER(SEARCH("-", F44:L44)), MID(F44:L44, SEARCH("-", F44:L44) - 4, 4), ""), "00\:00") + IF(TEXT(IF(ISNUMBER(SEARCH("-", F44:L44)), MID(F44:L44, SEARCH("-", F44:L44) + 1, 4), ""), "00\:00") &lt; TEXT(IF(ISNUMBER(SEARCH("-", F44:L44)), MID(F44:L44, SEARCH("-", F44:L44) - 4, 4), ""), "00\:00"), 1, 0))*24,""))))/9.5</f>
        <v>4</v>
      </c>
      <c r="O44"/>
      <c r="P44" s="151">
        <f t="shared" si="11"/>
        <v>4</v>
      </c>
      <c r="R44" s="4">
        <f t="shared" ca="1" si="12"/>
        <v>4</v>
      </c>
      <c r="S44" s="2">
        <f>(IFERROR(VLOOKUP(D44,'Employee Numbers'!$A$3:$C$84,3,FALSE),"NOT FOUND"))*8</f>
        <v>4</v>
      </c>
      <c r="U44" s="142">
        <f t="shared" si="13"/>
        <v>1</v>
      </c>
      <c r="V44" s="142">
        <f t="shared" si="14"/>
        <v>2</v>
      </c>
      <c r="W44" s="2">
        <f t="shared" si="15"/>
        <v>1</v>
      </c>
      <c r="Y44" s="2">
        <f t="shared" si="16"/>
        <v>2</v>
      </c>
    </row>
    <row r="45" spans="1:25" s="2" customFormat="1" ht="15" customHeight="1">
      <c r="A45" s="162" t="s">
        <v>39</v>
      </c>
      <c r="B45" s="163"/>
      <c r="C45" s="238"/>
      <c r="D45" s="240" t="s">
        <v>78</v>
      </c>
      <c r="E45" s="165">
        <f>IFERROR(VLOOKUP(D45,'Employee Numbers'!$A$3:$B$84,2,FALSE),"NOT FOUND")</f>
        <v>619537</v>
      </c>
      <c r="F45" s="176"/>
      <c r="G45" s="166"/>
      <c r="H45" s="166"/>
      <c r="I45" s="166"/>
      <c r="J45" s="166"/>
      <c r="K45" s="166"/>
      <c r="L45" s="167"/>
      <c r="N45">
        <f t="array" ref="N45">((SUM(IFERROR((TEXT(IF(ISNUMBER(SEARCH("-", F45:L45)), MID(F45:L45, SEARCH("-", F45:L45) + 1, 4), ""), "00\:00") - TEXT(IF(ISNUMBER(SEARCH("-", F45:L45)), MID(F45:L45, SEARCH("-", F45:L45) - 4, 4), ""), "00\:00") + IF(TEXT(IF(ISNUMBER(SEARCH("-", F45:L45)), MID(F45:L45, SEARCH("-", F45:L45) + 1, 4), ""), "00\:00") &lt; TEXT(IF(ISNUMBER(SEARCH("-", F45:L45)), MID(F45:L45, SEARCH("-", F45:L45) - 4, 4), ""), "00\:00"), 1, 0))*24,""))))/9.5</f>
        <v>0</v>
      </c>
      <c r="O45"/>
      <c r="P45" s="151">
        <f t="shared" si="11"/>
        <v>0</v>
      </c>
      <c r="R45" s="4">
        <f t="shared" ca="1" si="12"/>
        <v>1</v>
      </c>
      <c r="S45" s="2">
        <f>(IFERROR(VLOOKUP(D45,'Employee Numbers'!$A$3:$C$84,3,FALSE),"NOT FOUND"))*8</f>
        <v>1</v>
      </c>
      <c r="U45" s="142">
        <f t="shared" si="13"/>
        <v>0</v>
      </c>
      <c r="V45" s="142">
        <f t="shared" si="14"/>
        <v>0</v>
      </c>
      <c r="W45" s="2">
        <f t="shared" si="15"/>
        <v>0</v>
      </c>
      <c r="Y45" s="2">
        <f t="shared" si="16"/>
        <v>0</v>
      </c>
    </row>
    <row r="46" spans="1:25" s="2" customFormat="1" ht="15" customHeight="1">
      <c r="A46" s="2" t="s">
        <v>39</v>
      </c>
      <c r="B46" s="46"/>
      <c r="C46" s="47"/>
      <c r="D46" s="229" t="s">
        <v>79</v>
      </c>
      <c r="E46" s="226">
        <f>IFERROR(VLOOKUP(D46,'Employee Numbers'!$A$3:$B$84,2,FALSE),"NOT FOUND")</f>
        <v>621953</v>
      </c>
      <c r="F46" s="31"/>
      <c r="G46" s="136"/>
      <c r="H46" s="31"/>
      <c r="I46" s="136"/>
      <c r="J46" s="136"/>
      <c r="K46" s="136"/>
      <c r="L46" s="232" t="s">
        <v>44</v>
      </c>
      <c r="N46">
        <f t="array" ref="N46">((SUM(IFERROR((TEXT(IF(ISNUMBER(SEARCH("-", F46:L46)), MID(F46:L46, SEARCH("-", F46:L46) + 1, 4), ""), "00\:00") - TEXT(IF(ISNUMBER(SEARCH("-", F46:L46)), MID(F46:L46, SEARCH("-", F46:L46) - 4, 4), ""), "00\:00") + IF(TEXT(IF(ISNUMBER(SEARCH("-", F46:L46)), MID(F46:L46, SEARCH("-", F46:L46) + 1, 4), ""), "00\:00") &lt; TEXT(IF(ISNUMBER(SEARCH("-", F46:L46)), MID(F46:L46, SEARCH("-", F46:L46) - 4, 4), ""), "00\:00"), 1, 0))*24,""))))/9.5</f>
        <v>1</v>
      </c>
      <c r="O46"/>
      <c r="P46" s="151">
        <f t="shared" si="11"/>
        <v>1</v>
      </c>
      <c r="R46" s="4">
        <f t="shared" ca="1" si="12"/>
        <v>1</v>
      </c>
      <c r="S46" s="2">
        <f>(IFERROR(VLOOKUP(D46,'Employee Numbers'!$A$3:$C$84,3,FALSE),"NOT FOUND"))*8</f>
        <v>1</v>
      </c>
      <c r="U46" s="142">
        <f t="shared" si="13"/>
        <v>0</v>
      </c>
      <c r="V46" s="142">
        <f t="shared" si="14"/>
        <v>0</v>
      </c>
      <c r="W46" s="2">
        <f t="shared" si="15"/>
        <v>0</v>
      </c>
      <c r="Y46" s="2">
        <f t="shared" si="16"/>
        <v>1</v>
      </c>
    </row>
    <row r="47" spans="1:25" s="2" customFormat="1" ht="15" customHeight="1">
      <c r="A47" s="162" t="s">
        <v>39</v>
      </c>
      <c r="B47" s="163"/>
      <c r="C47" s="164"/>
      <c r="D47" s="242" t="s">
        <v>80</v>
      </c>
      <c r="E47" s="165">
        <f>IFERROR(VLOOKUP(D47,'Employee Numbers'!$A$3:$B$84,2,FALSE),"NOT FOUND")</f>
        <v>614504</v>
      </c>
      <c r="F47" s="176"/>
      <c r="G47" s="166" t="s">
        <v>41</v>
      </c>
      <c r="H47" s="166"/>
      <c r="I47" s="166"/>
      <c r="J47" s="166"/>
      <c r="K47" s="166"/>
      <c r="L47" s="167"/>
      <c r="N47">
        <f t="array" ref="N47">((SUM(IFERROR((TEXT(IF(ISNUMBER(SEARCH("-", F47:L47)), MID(F47:L47, SEARCH("-", F47:L47) + 1, 4), ""), "00\:00") - TEXT(IF(ISNUMBER(SEARCH("-", F47:L47)), MID(F47:L47, SEARCH("-", F47:L47) - 4, 4), ""), "00\:00") + IF(TEXT(IF(ISNUMBER(SEARCH("-", F47:L47)), MID(F47:L47, SEARCH("-", F47:L47) + 1, 4), ""), "00\:00") &lt; TEXT(IF(ISNUMBER(SEARCH("-", F47:L47)), MID(F47:L47, SEARCH("-", F47:L47) - 4, 4), ""), "00\:00"), 1, 0))*24,""))))/9.5</f>
        <v>1</v>
      </c>
      <c r="O47"/>
      <c r="P47" s="178">
        <f t="shared" si="11"/>
        <v>1</v>
      </c>
      <c r="R47" s="3">
        <f t="shared" ca="1" si="12"/>
        <v>1</v>
      </c>
      <c r="S47" s="2">
        <f>(IFERROR(VLOOKUP(D47,'Employee Numbers'!$A$3:$C$84,3,FALSE),"NOT FOUND"))*8</f>
        <v>1</v>
      </c>
      <c r="U47" s="142">
        <f t="shared" si="13"/>
        <v>0</v>
      </c>
      <c r="V47" s="142">
        <f t="shared" si="14"/>
        <v>0</v>
      </c>
      <c r="W47" s="2">
        <f t="shared" si="15"/>
        <v>1</v>
      </c>
      <c r="Y47" s="2">
        <f t="shared" si="16"/>
        <v>0</v>
      </c>
    </row>
    <row r="48" spans="1:25" s="2" customFormat="1" ht="15" customHeight="1">
      <c r="A48" s="2" t="s">
        <v>39</v>
      </c>
      <c r="B48" s="46"/>
      <c r="C48" s="21"/>
      <c r="D48" s="230" t="s">
        <v>81</v>
      </c>
      <c r="E48" s="226" t="str">
        <f>IFERROR(VLOOKUP(D48,'Employee Numbers'!$A$3:$B$84,2,FALSE),"NOT FOUND")</f>
        <v>N/A</v>
      </c>
      <c r="F48" s="29"/>
      <c r="G48" s="31"/>
      <c r="H48" s="31"/>
      <c r="I48" s="31"/>
      <c r="J48" s="31"/>
      <c r="K48" s="31"/>
      <c r="L48" s="228"/>
    </row>
    <row r="49" spans="1:21" s="2" customFormat="1" ht="15" customHeight="1" thickBot="1">
      <c r="A49" s="162" t="s">
        <v>39</v>
      </c>
      <c r="B49" s="163"/>
      <c r="C49" s="238"/>
      <c r="D49" s="243" t="s">
        <v>81</v>
      </c>
      <c r="E49" s="248" t="str">
        <f>IFERROR(VLOOKUP(D49,'Employee Numbers'!$A$3:$B$84,2,FALSE),"NOT FOUND")</f>
        <v>N/A</v>
      </c>
      <c r="F49" s="245"/>
      <c r="G49" s="246"/>
      <c r="H49" s="246"/>
      <c r="I49" s="246"/>
      <c r="J49" s="246"/>
      <c r="K49" s="246"/>
      <c r="L49" s="247"/>
    </row>
    <row r="50" spans="1:21" s="2" customFormat="1" ht="15" customHeight="1" thickBot="1">
      <c r="B50" s="46"/>
      <c r="C50" s="21"/>
      <c r="D50" s="16" t="s">
        <v>82</v>
      </c>
      <c r="E50" s="58"/>
      <c r="F50" s="28" t="s">
        <v>71</v>
      </c>
      <c r="G50" s="59" t="s">
        <v>59</v>
      </c>
      <c r="H50" s="59" t="s">
        <v>43</v>
      </c>
      <c r="I50" s="59" t="s">
        <v>53</v>
      </c>
      <c r="J50" s="59" t="s">
        <v>67</v>
      </c>
      <c r="K50" s="59" t="s">
        <v>57</v>
      </c>
      <c r="L50" s="60" t="s">
        <v>52</v>
      </c>
    </row>
    <row r="51" spans="1:21" s="2" customFormat="1" ht="15" customHeight="1">
      <c r="B51" s="46"/>
      <c r="C51" s="21"/>
      <c r="E51" s="21"/>
      <c r="R51" s="2">
        <f>(N54+P54)*9.5/38*5</f>
        <v>3.75</v>
      </c>
    </row>
    <row r="52" spans="1:21" s="2" customFormat="1" ht="15.75" customHeight="1">
      <c r="B52" s="46"/>
      <c r="C52" s="21"/>
      <c r="E52" s="21"/>
      <c r="F52" s="126">
        <f t="shared" ref="F52:L52" si="17">F2</f>
        <v>46160</v>
      </c>
      <c r="G52" s="126">
        <f t="shared" si="17"/>
        <v>46161</v>
      </c>
      <c r="H52" s="126">
        <f t="shared" si="17"/>
        <v>46162</v>
      </c>
      <c r="I52" s="126">
        <f t="shared" si="17"/>
        <v>46163</v>
      </c>
      <c r="J52" s="126">
        <f t="shared" si="17"/>
        <v>46164</v>
      </c>
      <c r="K52" s="126">
        <f t="shared" si="17"/>
        <v>46165</v>
      </c>
      <c r="L52" s="126">
        <f t="shared" si="17"/>
        <v>46166</v>
      </c>
      <c r="M52" s="34"/>
      <c r="N52" s="152" t="s">
        <v>27</v>
      </c>
      <c r="O52" s="152" t="s">
        <v>83</v>
      </c>
      <c r="P52" s="152" t="s">
        <v>84</v>
      </c>
      <c r="Q52" s="2" t="s">
        <v>29</v>
      </c>
      <c r="R52" s="152" t="s">
        <v>85</v>
      </c>
      <c r="S52" s="152" t="s">
        <v>30</v>
      </c>
      <c r="T52" s="152" t="s">
        <v>31</v>
      </c>
      <c r="U52" s="152"/>
    </row>
    <row r="53" spans="1:21" s="2" customFormat="1" ht="30" customHeight="1">
      <c r="A53" s="168" t="s">
        <v>86</v>
      </c>
      <c r="B53" s="169"/>
      <c r="C53" s="169"/>
      <c r="D53" s="169" t="s">
        <v>86</v>
      </c>
      <c r="E53" s="127" t="s">
        <v>4</v>
      </c>
      <c r="F53" s="266" t="s">
        <v>5</v>
      </c>
      <c r="G53" s="267" t="s">
        <v>6</v>
      </c>
      <c r="H53" s="268" t="s">
        <v>87</v>
      </c>
      <c r="I53" s="267" t="s">
        <v>8</v>
      </c>
      <c r="J53" s="267" t="s">
        <v>9</v>
      </c>
      <c r="K53" s="267" t="s">
        <v>10</v>
      </c>
      <c r="L53" s="269" t="s">
        <v>11</v>
      </c>
      <c r="M53" s="34"/>
      <c r="N53" s="147" t="s">
        <v>32</v>
      </c>
      <c r="O53" s="147" t="s">
        <v>88</v>
      </c>
      <c r="P53" s="147" t="s">
        <v>89</v>
      </c>
      <c r="R53" s="145" t="s">
        <v>90</v>
      </c>
      <c r="S53" s="147" t="s">
        <v>32</v>
      </c>
      <c r="T53" s="147" t="s">
        <v>32</v>
      </c>
      <c r="U53" s="147"/>
    </row>
    <row r="54" spans="1:21" s="2" customFormat="1" ht="15" customHeight="1">
      <c r="A54" s="44" t="s">
        <v>91</v>
      </c>
      <c r="B54" s="44"/>
      <c r="C54" s="45"/>
      <c r="D54" s="123" t="s">
        <v>92</v>
      </c>
      <c r="E54" s="284">
        <f>IFERROR(VLOOKUP(D54,'Employee Numbers'!$A$3:$B$84,2,FALSE),"NOT FOUND")</f>
        <v>634905</v>
      </c>
      <c r="F54" s="264"/>
      <c r="G54" s="264" t="s">
        <v>41</v>
      </c>
      <c r="H54" s="264" t="s">
        <v>44</v>
      </c>
      <c r="I54" s="264"/>
      <c r="J54" s="275"/>
      <c r="K54" s="264"/>
      <c r="L54" s="264" t="s">
        <v>42</v>
      </c>
      <c r="N54">
        <f t="array" ref="N54">((SUM(IFERROR((TEXT(IF(ISNUMBER(SEARCH("-", F54:L54)), MID(F54:L54, SEARCH("-", F54:L54) + 1, 4), ""), "00\:00") - TEXT(IF(ISNUMBER(SEARCH("-", F54:L54)), MID(F54:L54, SEARCH("-", F54:L54) - 4, 4), ""), "00\:00") + IF(TEXT(IF(ISNUMBER(SEARCH("-", F54:L54)), MID(F54:L54, SEARCH("-", F54:L54) + 1, 4), ""), "00\:00") &lt; TEXT(IF(ISNUMBER(SEARCH("-", F54:L54)), MID(F54:L54, SEARCH("-", F54:L54) - 4, 4), ""), "00\:00"), 1, 0))*24,""))))/9.5</f>
        <v>3</v>
      </c>
      <c r="O54"/>
      <c r="P54"/>
      <c r="Q54" s="2">
        <f>P54+O54+N54</f>
        <v>3</v>
      </c>
      <c r="R54" s="2">
        <f>IF(ISNUMBER(SEARCH("trg_5",H146)),5,IF(ISNUMBER(SEARCH("trg_3.75",H146)),3.75,IF(ISNUMBER(SEARCH("trg_2.5",H146)),2.5,IF(ISNUMBER(SEARCH("trg_1.75",H146)),1.75,0))))</f>
        <v>3.75</v>
      </c>
      <c r="S54">
        <f ca="1">IF($C$4=1,SUM(Q54+INDIRECT("'Week "&amp;($B$3+1)&amp;"'!Q"&amp;(ROW()))),IF($C$4=2,SUM(Q54+INDIRECT("'Week "&amp;($B$3-1)&amp;"'!Q"&amp;(ROW())))))</f>
        <v>6</v>
      </c>
      <c r="T54" s="2">
        <f>(IFERROR(VLOOKUP(D54,'Employee Numbers'!$A$3:$C$84,3,FALSE),"NOT FOUND"))*8</f>
        <v>8</v>
      </c>
    </row>
    <row r="55" spans="1:21" s="13" customFormat="1" ht="15" customHeight="1">
      <c r="A55" s="2" t="s">
        <v>91</v>
      </c>
      <c r="B55" s="2"/>
      <c r="C55" s="21"/>
      <c r="D55" s="86" t="s">
        <v>93</v>
      </c>
      <c r="E55" s="285">
        <f>IFERROR(VLOOKUP(D55,'Employee Numbers'!$A$3:$B$84,2,FALSE),"NOT FOUND")</f>
        <v>704751</v>
      </c>
      <c r="F55" s="264"/>
      <c r="G55" s="264" t="s">
        <v>42</v>
      </c>
      <c r="H55" s="264" t="s">
        <v>42</v>
      </c>
      <c r="I55" s="264"/>
      <c r="J55" s="264"/>
      <c r="K55" s="264" t="s">
        <v>42</v>
      </c>
      <c r="L55" s="264" t="s">
        <v>42</v>
      </c>
      <c r="N55">
        <f t="array" ref="N55">((SUM(IFERROR((TEXT(IF(ISNUMBER(SEARCH("-", F55:L55)), MID(F55:L55, SEARCH("-", F55:L55) + 1, 4), ""), "00\:00") - TEXT(IF(ISNUMBER(SEARCH("-", F55:L55)), MID(F55:L55, SEARCH("-", F55:L55) - 4, 4), ""), "00\:00") + IF(TEXT(IF(ISNUMBER(SEARCH("-", F55:L55)), MID(F55:L55, SEARCH("-", F55:L55) + 1, 4), ""), "00\:00") &lt; TEXT(IF(ISNUMBER(SEARCH("-", F55:L55)), MID(F55:L55, SEARCH("-", F55:L55) - 4, 4), ""), "00\:00"), 1, 0))*24,""))))/9.5</f>
        <v>4</v>
      </c>
      <c r="O55"/>
      <c r="P55"/>
      <c r="Q55" s="2">
        <f t="shared" ref="Q55:Q59" si="18">P55+O55+N55</f>
        <v>4</v>
      </c>
      <c r="R55" s="2">
        <f t="shared" ref="R55:R59" si="19">IF(ISNUMBER(SEARCH("trg_5",H147)),5,IF(ISNUMBER(SEARCH("trg_3.75",H147)),3.75,IF(ISNUMBER(SEARCH("trg_2.5",H147)),2.5,IF(ISNUMBER(SEARCH("trg_1.75",H147)),1.75,0))))</f>
        <v>5</v>
      </c>
      <c r="S55">
        <f t="shared" ref="S55:S59" ca="1" si="20">IF($C$4=1,SUM(Q55+INDIRECT("'Week "&amp;($B$3+1)&amp;"'!Q"&amp;(ROW()))),IF($C$4=2,SUM(Q55+INDIRECT("'Week "&amp;($B$3-1)&amp;"'!Q"&amp;(ROW())))))</f>
        <v>4</v>
      </c>
      <c r="T55" s="2">
        <f>(IFERROR(VLOOKUP(D55,'Employee Numbers'!$A$3:$C$84,3,FALSE),"NOT FOUND"))*8</f>
        <v>0</v>
      </c>
      <c r="U55" s="2"/>
    </row>
    <row r="56" spans="1:21" s="2" customFormat="1" ht="15" customHeight="1">
      <c r="A56" s="44" t="s">
        <v>91</v>
      </c>
      <c r="B56" s="44"/>
      <c r="C56" s="45"/>
      <c r="D56" s="85" t="s">
        <v>94</v>
      </c>
      <c r="E56" s="285">
        <f>IFERROR(VLOOKUP(D56,'Employee Numbers'!$A$3:$B$84,2,FALSE),"NOT FOUND")</f>
        <v>637219</v>
      </c>
      <c r="F56" s="264" t="s">
        <v>42</v>
      </c>
      <c r="G56" s="264" t="s">
        <v>42</v>
      </c>
      <c r="H56" s="264"/>
      <c r="I56" s="264" t="s">
        <v>42</v>
      </c>
      <c r="J56" s="264" t="s">
        <v>42</v>
      </c>
      <c r="K56" s="264"/>
      <c r="L56" s="264"/>
      <c r="N56">
        <f t="array" ref="N56">((SUM(IFERROR((TEXT(IF(ISNUMBER(SEARCH("-", F56:L56)), MID(F56:L56, SEARCH("-", F56:L56) + 1, 4), ""), "00\:00") - TEXT(IF(ISNUMBER(SEARCH("-", F56:L56)), MID(F56:L56, SEARCH("-", F56:L56) - 4, 4), ""), "00\:00") + IF(TEXT(IF(ISNUMBER(SEARCH("-", F56:L56)), MID(F56:L56, SEARCH("-", F56:L56) + 1, 4), ""), "00\:00") &lt; TEXT(IF(ISNUMBER(SEARCH("-", F56:L56)), MID(F56:L56, SEARCH("-", F56:L56) - 4, 4), ""), "00\:00"), 1, 0))*24,""))))/9.5</f>
        <v>4</v>
      </c>
      <c r="O56"/>
      <c r="P56"/>
      <c r="Q56" s="2">
        <f t="shared" si="18"/>
        <v>4</v>
      </c>
      <c r="R56" s="2">
        <f t="shared" si="19"/>
        <v>5</v>
      </c>
      <c r="S56">
        <f t="shared" ca="1" si="20"/>
        <v>8</v>
      </c>
      <c r="T56" s="2">
        <f>(IFERROR(VLOOKUP(D56,'Employee Numbers'!$A$3:$C$84,3,FALSE),"NOT FOUND"))*8</f>
        <v>0</v>
      </c>
    </row>
    <row r="57" spans="1:21" s="13" customFormat="1" ht="15" customHeight="1">
      <c r="A57" s="2" t="s">
        <v>91</v>
      </c>
      <c r="B57" s="2"/>
      <c r="C57" s="21"/>
      <c r="D57" s="86"/>
      <c r="E57" s="39" t="str">
        <f>IFERROR(VLOOKUP(D57,'Employee Numbers'!$A$3:$B$84,2,FALSE),"NOT FOUND")</f>
        <v>NOT FOUND</v>
      </c>
      <c r="F57" s="125"/>
      <c r="G57" s="125"/>
      <c r="H57" s="125"/>
      <c r="I57" s="125"/>
      <c r="J57" s="125"/>
      <c r="K57" s="125"/>
      <c r="L57" s="125"/>
      <c r="N57">
        <f t="array" ref="N57">((SUM(IFERROR((TEXT(IF(ISNUMBER(SEARCH("-", F57:L57)), MID(F57:L57, SEARCH("-", F57:L57) + 1, 4), ""), "00\:00") - TEXT(IF(ISNUMBER(SEARCH("-", F57:L57)), MID(F57:L57, SEARCH("-", F57:L57) - 4, 4), ""), "00\:00") + IF(TEXT(IF(ISNUMBER(SEARCH("-", F57:L57)), MID(F57:L57, SEARCH("-", F57:L57) + 1, 4), ""), "00\:00") &lt; TEXT(IF(ISNUMBER(SEARCH("-", F57:L57)), MID(F57:L57, SEARCH("-", F57:L57) - 4, 4), ""), "00\:00"), 1, 0))*24,""))))/9.5</f>
        <v>0</v>
      </c>
      <c r="O57"/>
      <c r="P57"/>
      <c r="Q57" s="2">
        <f t="shared" si="18"/>
        <v>0</v>
      </c>
      <c r="R57" s="2">
        <f t="shared" si="19"/>
        <v>2.5</v>
      </c>
      <c r="S57">
        <f t="shared" ca="1" si="20"/>
        <v>0</v>
      </c>
      <c r="T57" s="2" t="e">
        <f>(IFERROR(VLOOKUP(D57,'Employee Numbers'!$A$3:$C$84,3,FALSE),"NOT FOUND"))*8</f>
        <v>#VALUE!</v>
      </c>
      <c r="U57" s="2"/>
    </row>
    <row r="58" spans="1:21" s="2" customFormat="1" ht="15" customHeight="1">
      <c r="A58" s="44" t="s">
        <v>91</v>
      </c>
      <c r="B58" s="44"/>
      <c r="C58" s="45"/>
      <c r="D58" s="85"/>
      <c r="E58" s="39" t="str">
        <f>IFERROR(VLOOKUP(D58,'Employee Numbers'!$A$3:$B$84,2,FALSE),"NOT FOUND")</f>
        <v>NOT FOUND</v>
      </c>
      <c r="F58" s="110"/>
      <c r="G58" s="110"/>
      <c r="H58" s="110"/>
      <c r="I58" s="110"/>
      <c r="J58" s="110"/>
      <c r="K58" s="110"/>
      <c r="L58" s="110"/>
      <c r="N58">
        <f t="array" ref="N58">((SUM(IFERROR((TEXT(IF(ISNUMBER(SEARCH("-", F58:L58)), MID(F58:L58, SEARCH("-", F58:L58) + 1, 4), ""), "00\:00") - TEXT(IF(ISNUMBER(SEARCH("-", F58:L58)), MID(F58:L58, SEARCH("-", F58:L58) - 4, 4), ""), "00\:00") + IF(TEXT(IF(ISNUMBER(SEARCH("-", F58:L58)), MID(F58:L58, SEARCH("-", F58:L58) + 1, 4), ""), "00\:00") &lt; TEXT(IF(ISNUMBER(SEARCH("-", F58:L58)), MID(F58:L58, SEARCH("-", F58:L58) - 4, 4), ""), "00\:00"), 1, 0))*24,""))))/9.5</f>
        <v>0</v>
      </c>
      <c r="O58"/>
      <c r="P58"/>
      <c r="Q58" s="2">
        <f t="shared" si="18"/>
        <v>0</v>
      </c>
      <c r="R58" s="2">
        <f t="shared" si="19"/>
        <v>2.5</v>
      </c>
      <c r="S58">
        <f t="shared" ca="1" si="20"/>
        <v>0</v>
      </c>
      <c r="T58" s="2" t="e">
        <f>(IFERROR(VLOOKUP(D58,'Employee Numbers'!$A$3:$C$84,3,FALSE),"NOT FOUND"))*8</f>
        <v>#VALUE!</v>
      </c>
    </row>
    <row r="59" spans="1:21" s="13" customFormat="1" ht="15" customHeight="1">
      <c r="A59" s="2" t="s">
        <v>91</v>
      </c>
      <c r="B59" s="2"/>
      <c r="C59" s="21"/>
      <c r="D59" s="86"/>
      <c r="E59" s="39" t="str">
        <f>IFERROR(VLOOKUP(D59,'Employee Numbers'!$A$3:$B$84,2,FALSE),"NOT FOUND")</f>
        <v>NOT FOUND</v>
      </c>
      <c r="F59" s="110"/>
      <c r="G59" s="110"/>
      <c r="H59" s="110"/>
      <c r="I59" s="110"/>
      <c r="J59" s="110"/>
      <c r="K59" s="110"/>
      <c r="L59" s="110"/>
      <c r="N59">
        <f t="array" ref="N59">((SUM(IFERROR((TEXT(IF(ISNUMBER(SEARCH("-", F59:L59)), MID(F59:L59, SEARCH("-", F59:L59) + 1, 4), ""), "00\:00") - TEXT(IF(ISNUMBER(SEARCH("-", F59:L59)), MID(F59:L59, SEARCH("-", F59:L59) - 4, 4), ""), "00\:00") + IF(TEXT(IF(ISNUMBER(SEARCH("-", F59:L59)), MID(F59:L59, SEARCH("-", F59:L59) + 1, 4), ""), "00\:00") &lt; TEXT(IF(ISNUMBER(SEARCH("-", F59:L59)), MID(F59:L59, SEARCH("-", F59:L59) - 4, 4), ""), "00\:00"), 1, 0))*24,""))))/9.5</f>
        <v>0</v>
      </c>
      <c r="O59"/>
      <c r="P59"/>
      <c r="Q59" s="2">
        <f t="shared" si="18"/>
        <v>0</v>
      </c>
      <c r="R59" s="2">
        <f t="shared" si="19"/>
        <v>2.5</v>
      </c>
      <c r="S59">
        <f t="shared" ca="1" si="20"/>
        <v>0</v>
      </c>
      <c r="T59" s="2" t="e">
        <f>(IFERROR(VLOOKUP(D59,'Employee Numbers'!$A$3:$C$84,3,FALSE),"NOT FOUND"))*8</f>
        <v>#VALUE!</v>
      </c>
      <c r="U59" s="2"/>
    </row>
    <row r="60" spans="1:21" s="2" customFormat="1" ht="30" customHeight="1">
      <c r="A60" s="170" t="s">
        <v>96</v>
      </c>
      <c r="B60" s="131"/>
      <c r="C60" s="132"/>
      <c r="D60" s="171" t="s">
        <v>97</v>
      </c>
      <c r="E60" s="133" t="s">
        <v>4</v>
      </c>
      <c r="F60" s="270" t="s">
        <v>5</v>
      </c>
      <c r="G60" s="270" t="s">
        <v>6</v>
      </c>
      <c r="H60" s="271" t="s">
        <v>87</v>
      </c>
      <c r="I60" s="270" t="s">
        <v>8</v>
      </c>
      <c r="J60" s="270" t="s">
        <v>9</v>
      </c>
      <c r="K60" s="270" t="s">
        <v>10</v>
      </c>
      <c r="L60" s="272" t="s">
        <v>11</v>
      </c>
      <c r="N60"/>
      <c r="O60"/>
      <c r="P60"/>
    </row>
    <row r="61" spans="1:21" s="2" customFormat="1" ht="15" customHeight="1">
      <c r="A61" s="2" t="s">
        <v>98</v>
      </c>
      <c r="C61" s="47"/>
      <c r="D61" s="262" t="s">
        <v>99</v>
      </c>
      <c r="E61" s="284">
        <f>IFERROR(VLOOKUP(D61,'Employee Numbers'!$A$3:$B$84,2,FALSE),"NOT FOUND")</f>
        <v>638531</v>
      </c>
      <c r="F61" s="80" t="s">
        <v>177</v>
      </c>
      <c r="G61" s="80" t="s">
        <v>177</v>
      </c>
      <c r="H61" s="264" t="s">
        <v>42</v>
      </c>
      <c r="I61" s="264" t="s">
        <v>42</v>
      </c>
      <c r="J61" s="264"/>
      <c r="K61" s="264"/>
      <c r="L61" s="264"/>
      <c r="N61">
        <f t="array" ref="N61">((SUM(IFERROR((TEXT(IF(ISNUMBER(SEARCH("-", F61:L61)), MID(F61:L61, SEARCH("-", F61:L61) + 1, 4), ""), "00\:00") - TEXT(IF(ISNUMBER(SEARCH("-", F61:L61)), MID(F61:L61, SEARCH("-", F61:L61) - 4, 4), ""), "00\:00") + IF(TEXT(IF(ISNUMBER(SEARCH("-", F61:L61)), MID(F61:L61, SEARCH("-", F61:L61) + 1, 4), ""), "00\:00") &lt; TEXT(IF(ISNUMBER(SEARCH("-", F61:L61)), MID(F61:L61, SEARCH("-", F61:L61) - 4, 4), ""), "00\:00"), 1, 0))*24,""))))/9.5</f>
        <v>2</v>
      </c>
      <c r="O61"/>
      <c r="P61"/>
      <c r="Q61" s="2">
        <f>P61+O61+N61</f>
        <v>2</v>
      </c>
      <c r="R61" s="2">
        <f>IF(ISNUMBER(SEARCH("trg_5",H153)),5,IF(ISNUMBER(SEARCH("trg_3.75",H153)),3.75,IF(ISNUMBER(SEARCH("trg_2.5",H153)),2.5,IF(ISNUMBER(SEARCH("trg_1.75",H153)),1.75,0))))</f>
        <v>5</v>
      </c>
      <c r="S61">
        <f ca="1">IF($C$4=1,SUM(Q61+INDIRECT("'Week "&amp;($B$3+1)&amp;"'!Q"&amp;(ROW()))),IF($C$4=2,SUM(Q61+INDIRECT("'Week "&amp;($B$3-1)&amp;"'!Q"&amp;(ROW())))))</f>
        <v>6</v>
      </c>
      <c r="T61" s="2">
        <f>(IFERROR(VLOOKUP(D61,'Employee Numbers'!$A$3:$C$84,3,FALSE),"NOT FOUND"))*8</f>
        <v>0</v>
      </c>
    </row>
    <row r="62" spans="1:21" s="2" customFormat="1" ht="15" customHeight="1">
      <c r="A62" s="44" t="s">
        <v>98</v>
      </c>
      <c r="B62" s="44"/>
      <c r="C62" s="45"/>
      <c r="D62" s="262" t="s">
        <v>101</v>
      </c>
      <c r="E62" s="285">
        <f>IFERROR(VLOOKUP(D62,'Employee Numbers'!$A$3:$B$84,2,FALSE),"NOT FOUND")</f>
        <v>631715</v>
      </c>
      <c r="F62" s="349" t="s">
        <v>44</v>
      </c>
      <c r="G62" s="264"/>
      <c r="H62" s="264"/>
      <c r="I62" s="264"/>
      <c r="J62" s="264" t="s">
        <v>44</v>
      </c>
      <c r="K62" s="264" t="s">
        <v>42</v>
      </c>
      <c r="L62" s="264" t="s">
        <v>100</v>
      </c>
      <c r="N62">
        <f t="array" ref="N62">((SUM(IFERROR((TEXT(IF(ISNUMBER(SEARCH("-", F62:L62)), MID(F62:L62, SEARCH("-", F62:L62) + 1, 4), ""), "00\:00") - TEXT(IF(ISNUMBER(SEARCH("-", F62:L62)), MID(F62:L62, SEARCH("-", F62:L62) - 4, 4), ""), "00\:00") + IF(TEXT(IF(ISNUMBER(SEARCH("-", F62:L62)), MID(F62:L62, SEARCH("-", F62:L62) + 1, 4), ""), "00\:00") &lt; TEXT(IF(ISNUMBER(SEARCH("-", F62:L62)), MID(F62:L62, SEARCH("-", F62:L62) - 4, 4), ""), "00\:00"), 1, 0))*24,""))))/9.5</f>
        <v>4</v>
      </c>
      <c r="O62"/>
      <c r="P62"/>
      <c r="Q62" s="2">
        <f t="shared" ref="Q62:Q80" si="21">P62+O62+N62</f>
        <v>4</v>
      </c>
      <c r="R62" s="2">
        <f t="shared" ref="R62:R80" si="22">IF(ISNUMBER(SEARCH("trg_5",H154)),5,IF(ISNUMBER(SEARCH("trg_3.75",H154)),3.75,IF(ISNUMBER(SEARCH("trg_2.5",H154)),2.5,IF(ISNUMBER(SEARCH("trg_1.75",H154)),1.75,0))))</f>
        <v>5</v>
      </c>
      <c r="S62">
        <f t="shared" ref="S62:S84" ca="1" si="23">IF($C$4=1,SUM(Q62+INDIRECT("'Week "&amp;($B$3+1)&amp;"'!Q"&amp;(ROW()))),IF($C$4=2,SUM(Q62+INDIRECT("'Week "&amp;($B$3-1)&amp;"'!Q"&amp;(ROW())))))</f>
        <v>8</v>
      </c>
      <c r="T62" s="2">
        <f>(IFERROR(VLOOKUP(D62,'Employee Numbers'!$A$3:$C$84,3,FALSE),"NOT FOUND"))*8</f>
        <v>0</v>
      </c>
    </row>
    <row r="63" spans="1:21" s="13" customFormat="1" ht="15" customHeight="1">
      <c r="A63" s="2" t="s">
        <v>98</v>
      </c>
      <c r="B63" s="2"/>
      <c r="C63" s="21"/>
      <c r="D63" s="262" t="s">
        <v>103</v>
      </c>
      <c r="E63" s="285">
        <f>IFERROR(VLOOKUP(D63,'Employee Numbers'!$A$3:$B$84,2,FALSE),"NOT FOUND")</f>
        <v>703719</v>
      </c>
      <c r="F63" s="264"/>
      <c r="G63" s="264"/>
      <c r="H63" s="264"/>
      <c r="I63" s="275"/>
      <c r="J63" s="349" t="s">
        <v>44</v>
      </c>
      <c r="K63" s="264" t="s">
        <v>42</v>
      </c>
      <c r="L63" s="264" t="s">
        <v>42</v>
      </c>
      <c r="N63">
        <f t="array" ref="N63">((SUM(IFERROR((TEXT(IF(ISNUMBER(SEARCH("-", F63:L63)), MID(F63:L63, SEARCH("-", F63:L63) + 1, 4), ""), "00\:00") - TEXT(IF(ISNUMBER(SEARCH("-", F63:L63)), MID(F63:L63, SEARCH("-", F63:L63) - 4, 4), ""), "00\:00") + IF(TEXT(IF(ISNUMBER(SEARCH("-", F63:L63)), MID(F63:L63, SEARCH("-", F63:L63) + 1, 4), ""), "00\:00") &lt; TEXT(IF(ISNUMBER(SEARCH("-", F63:L63)), MID(F63:L63, SEARCH("-", F63:L63) - 4, 4), ""), "00\:00"), 1, 0))*24,""))))/9.5</f>
        <v>3</v>
      </c>
      <c r="O63"/>
      <c r="P63"/>
      <c r="Q63" s="2">
        <f t="shared" si="21"/>
        <v>3</v>
      </c>
      <c r="R63" s="2">
        <f t="shared" si="22"/>
        <v>3.75</v>
      </c>
      <c r="S63">
        <f t="shared" ca="1" si="23"/>
        <v>7</v>
      </c>
      <c r="T63" s="2">
        <f>(IFERROR(VLOOKUP(D63,'Employee Numbers'!$A$3:$C$84,3,FALSE),"NOT FOUND"))*8</f>
        <v>0</v>
      </c>
      <c r="U63" s="2"/>
    </row>
    <row r="64" spans="1:21" s="2" customFormat="1" ht="15" customHeight="1">
      <c r="A64" s="44" t="s">
        <v>98</v>
      </c>
      <c r="B64" s="44"/>
      <c r="C64" s="45"/>
      <c r="D64" s="262" t="s">
        <v>104</v>
      </c>
      <c r="E64" s="285">
        <f>IFERROR(VLOOKUP(D64,'Employee Numbers'!$A$3:$B$84,2,FALSE),"NOT FOUND")</f>
        <v>637791</v>
      </c>
      <c r="F64" s="264" t="s">
        <v>42</v>
      </c>
      <c r="G64" s="264"/>
      <c r="H64" s="264"/>
      <c r="I64" s="264"/>
      <c r="J64" s="264" t="s">
        <v>42</v>
      </c>
      <c r="K64" s="264" t="s">
        <v>42</v>
      </c>
      <c r="L64" s="264"/>
      <c r="N64">
        <f t="array" ref="N64">((SUM(IFERROR((TEXT(IF(ISNUMBER(SEARCH("-", F64:L64)), MID(F64:L64, SEARCH("-", F64:L64) + 1, 4), ""), "00\:00") - TEXT(IF(ISNUMBER(SEARCH("-", F64:L64)), MID(F64:L64, SEARCH("-", F64:L64) - 4, 4), ""), "00\:00") + IF(TEXT(IF(ISNUMBER(SEARCH("-", F64:L64)), MID(F64:L64, SEARCH("-", F64:L64) + 1, 4), ""), "00\:00") &lt; TEXT(IF(ISNUMBER(SEARCH("-", F64:L64)), MID(F64:L64, SEARCH("-", F64:L64) - 4, 4), ""), "00\:00"), 1, 0))*24,""))))/9.5</f>
        <v>3</v>
      </c>
      <c r="O64"/>
      <c r="P64"/>
      <c r="Q64" s="2">
        <f t="shared" si="21"/>
        <v>3</v>
      </c>
      <c r="R64" s="2">
        <f t="shared" si="22"/>
        <v>3.75</v>
      </c>
      <c r="S64">
        <f t="shared" ca="1" si="23"/>
        <v>3</v>
      </c>
      <c r="T64" s="2">
        <f>(IFERROR(VLOOKUP(D64,'Employee Numbers'!$A$3:$C$84,3,FALSE),"NOT FOUND"))*8</f>
        <v>0</v>
      </c>
    </row>
    <row r="65" spans="1:20" s="2" customFormat="1" ht="15" customHeight="1">
      <c r="A65" s="2" t="s">
        <v>98</v>
      </c>
      <c r="C65" s="21"/>
      <c r="D65" s="262" t="s">
        <v>105</v>
      </c>
      <c r="E65" s="285">
        <f>IFERROR(VLOOKUP(D65,'Employee Numbers'!$A$3:$B$84,2,FALSE),"NOT FOUND")</f>
        <v>652867</v>
      </c>
      <c r="F65" s="264" t="s">
        <v>100</v>
      </c>
      <c r="G65" s="264" t="s">
        <v>100</v>
      </c>
      <c r="H65" s="264" t="s">
        <v>100</v>
      </c>
      <c r="I65" s="264"/>
      <c r="J65" s="275"/>
      <c r="K65" s="275"/>
      <c r="L65" s="275"/>
      <c r="N65">
        <f t="array" ref="N65">((SUM(IFERROR((TEXT(IF(ISNUMBER(SEARCH("-", F65:L65)), MID(F65:L65, SEARCH("-", F65:L65) + 1, 4), ""), "00\:00") - TEXT(IF(ISNUMBER(SEARCH("-", F65:L65)), MID(F65:L65, SEARCH("-", F65:L65) - 4, 4), ""), "00\:00") + IF(TEXT(IF(ISNUMBER(SEARCH("-", F65:L65)), MID(F65:L65, SEARCH("-", F65:L65) + 1, 4), ""), "00\:00") &lt; TEXT(IF(ISNUMBER(SEARCH("-", F65:L65)), MID(F65:L65, SEARCH("-", F65:L65) - 4, 4), ""), "00\:00"), 1, 0))*24,""))))/9.5</f>
        <v>2.9999999999999991</v>
      </c>
      <c r="O65"/>
      <c r="P65"/>
      <c r="Q65" s="2">
        <f t="shared" si="21"/>
        <v>2.9999999999999991</v>
      </c>
      <c r="R65" s="2">
        <f t="shared" si="22"/>
        <v>5</v>
      </c>
      <c r="S65">
        <f t="shared" ca="1" si="23"/>
        <v>2.9999999999999991</v>
      </c>
      <c r="T65" s="2">
        <f>(IFERROR(VLOOKUP(D65,'Employee Numbers'!$A$3:$C$84,3,FALSE),"NOT FOUND"))*8</f>
        <v>0</v>
      </c>
    </row>
    <row r="66" spans="1:20" s="2" customFormat="1" ht="15" customHeight="1">
      <c r="A66" s="44" t="s">
        <v>98</v>
      </c>
      <c r="B66" s="44"/>
      <c r="C66" s="45"/>
      <c r="D66" s="262" t="s">
        <v>106</v>
      </c>
      <c r="E66" s="285">
        <f>IFERROR(VLOOKUP(D66,'Employee Numbers'!$A$3:$B$84,2,FALSE),"NOT FOUND")</f>
        <v>611551</v>
      </c>
      <c r="F66" s="264"/>
      <c r="G66" s="264"/>
      <c r="H66" s="264"/>
      <c r="I66" s="264"/>
      <c r="J66" s="264" t="s">
        <v>100</v>
      </c>
      <c r="K66" s="264" t="s">
        <v>100</v>
      </c>
      <c r="L66" s="264"/>
      <c r="N66">
        <f t="array" ref="N66">((SUM(IFERROR((TEXT(IF(ISNUMBER(SEARCH("-", F66:L66)), MID(F66:L66, SEARCH("-", F66:L66) + 1, 4), ""), "00\:00") - TEXT(IF(ISNUMBER(SEARCH("-", F66:L66)), MID(F66:L66, SEARCH("-", F66:L66) - 4, 4), ""), "00\:00") + IF(TEXT(IF(ISNUMBER(SEARCH("-", F66:L66)), MID(F66:L66, SEARCH("-", F66:L66) + 1, 4), ""), "00\:00") &lt; TEXT(IF(ISNUMBER(SEARCH("-", F66:L66)), MID(F66:L66, SEARCH("-", F66:L66) - 4, 4), ""), "00\:00"), 1, 0))*24,""))))/9.5</f>
        <v>1.9999999999999996</v>
      </c>
      <c r="O66"/>
      <c r="P66"/>
      <c r="Q66" s="2">
        <f t="shared" si="21"/>
        <v>1.9999999999999996</v>
      </c>
      <c r="R66" s="2">
        <f t="shared" si="22"/>
        <v>2.5</v>
      </c>
      <c r="S66">
        <f t="shared" ca="1" si="23"/>
        <v>3.9999999999999996</v>
      </c>
      <c r="T66" s="2">
        <f>(IFERROR(VLOOKUP(D66,'Employee Numbers'!$A$3:$C$84,3,FALSE),"NOT FOUND"))*8</f>
        <v>0</v>
      </c>
    </row>
    <row r="67" spans="1:20" s="2" customFormat="1" ht="15" customHeight="1">
      <c r="A67" s="2" t="s">
        <v>98</v>
      </c>
      <c r="C67" s="21"/>
      <c r="D67" s="262" t="s">
        <v>107</v>
      </c>
      <c r="E67" s="285">
        <f>IFERROR(VLOOKUP(D67,'Employee Numbers'!$A$3:$B$84,2,FALSE),"NOT FOUND")</f>
        <v>615820</v>
      </c>
      <c r="F67" s="264"/>
      <c r="G67" s="264"/>
      <c r="H67" s="264" t="s">
        <v>100</v>
      </c>
      <c r="I67" s="264" t="s">
        <v>100</v>
      </c>
      <c r="J67" s="264"/>
      <c r="K67" s="264"/>
      <c r="L67" s="264"/>
      <c r="N67">
        <f t="array" ref="N67">((SUM(IFERROR((TEXT(IF(ISNUMBER(SEARCH("-", F67:L67)), MID(F67:L67, SEARCH("-", F67:L67) + 1, 4), ""), "00\:00") - TEXT(IF(ISNUMBER(SEARCH("-", F67:L67)), MID(F67:L67, SEARCH("-", F67:L67) - 4, 4), ""), "00\:00") + IF(TEXT(IF(ISNUMBER(SEARCH("-", F67:L67)), MID(F67:L67, SEARCH("-", F67:L67) + 1, 4), ""), "00\:00") &lt; TEXT(IF(ISNUMBER(SEARCH("-", F67:L67)), MID(F67:L67, SEARCH("-", F67:L67) - 4, 4), ""), "00\:00"), 1, 0))*24,""))))/9.5</f>
        <v>1.9999999999999996</v>
      </c>
      <c r="O67"/>
      <c r="P67"/>
      <c r="Q67" s="2">
        <f t="shared" si="21"/>
        <v>1.9999999999999996</v>
      </c>
      <c r="R67" s="2">
        <f t="shared" si="22"/>
        <v>2.5</v>
      </c>
      <c r="S67">
        <f t="shared" ca="1" si="23"/>
        <v>3.9999999999999991</v>
      </c>
      <c r="T67" s="2">
        <f>(IFERROR(VLOOKUP(D67,'Employee Numbers'!$A$3:$C$84,3,FALSE),"NOT FOUND"))*8</f>
        <v>0</v>
      </c>
    </row>
    <row r="68" spans="1:20" s="2" customFormat="1" ht="15" customHeight="1">
      <c r="A68" s="44" t="s">
        <v>98</v>
      </c>
      <c r="B68" s="44"/>
      <c r="C68" s="45"/>
      <c r="D68" s="262" t="s">
        <v>108</v>
      </c>
      <c r="E68" s="285">
        <f>IFERROR(VLOOKUP(D68,'Employee Numbers'!$A$3:$B$84,2,FALSE),"NOT FOUND")</f>
        <v>654727</v>
      </c>
      <c r="F68" s="279"/>
      <c r="G68" s="350" t="s">
        <v>44</v>
      </c>
      <c r="H68" s="279" t="s">
        <v>42</v>
      </c>
      <c r="I68" s="279" t="s">
        <v>42</v>
      </c>
      <c r="J68" s="279" t="s">
        <v>100</v>
      </c>
      <c r="K68" s="279" t="s">
        <v>100</v>
      </c>
      <c r="L68" s="279" t="s">
        <v>100</v>
      </c>
      <c r="N68">
        <f t="array" ref="N68">((SUM(IFERROR((TEXT(IF(ISNUMBER(SEARCH("-", F68:L68)), MID(F68:L68, SEARCH("-", F68:L68) + 1, 4), ""), "00\:00") - TEXT(IF(ISNUMBER(SEARCH("-", F68:L68)), MID(F68:L68, SEARCH("-", F68:L68) - 4, 4), ""), "00\:00") + IF(TEXT(IF(ISNUMBER(SEARCH("-", F68:L68)), MID(F68:L68, SEARCH("-", F68:L68) + 1, 4), ""), "00\:00") &lt; TEXT(IF(ISNUMBER(SEARCH("-", F68:L68)), MID(F68:L68, SEARCH("-", F68:L68) - 4, 4), ""), "00\:00"), 1, 0))*24,""))))/9.5</f>
        <v>6</v>
      </c>
      <c r="O68"/>
      <c r="P68"/>
      <c r="Q68" s="2">
        <f t="shared" si="21"/>
        <v>6</v>
      </c>
      <c r="R68" s="2">
        <f t="shared" si="22"/>
        <v>5</v>
      </c>
      <c r="S68">
        <f t="shared" ca="1" si="23"/>
        <v>10</v>
      </c>
      <c r="T68" s="2">
        <f>(IFERROR(VLOOKUP(D68,'Employee Numbers'!$A$3:$C$84,3,FALSE),"NOT FOUND"))*8</f>
        <v>0</v>
      </c>
    </row>
    <row r="69" spans="1:20" s="2" customFormat="1" ht="15" customHeight="1">
      <c r="A69" s="2" t="s">
        <v>98</v>
      </c>
      <c r="C69" s="47"/>
      <c r="D69" s="262" t="s">
        <v>109</v>
      </c>
      <c r="E69" s="285">
        <f>IFERROR(VLOOKUP(D69,'Employee Numbers'!$A$3:$B$84,2,FALSE),"NOT FOUND")</f>
        <v>702947</v>
      </c>
      <c r="F69" s="264" t="s">
        <v>44</v>
      </c>
      <c r="G69" s="264" t="s">
        <v>44</v>
      </c>
      <c r="H69" s="264" t="s">
        <v>42</v>
      </c>
      <c r="I69" s="275"/>
      <c r="J69" s="275"/>
      <c r="K69" s="275"/>
      <c r="L69" s="349" t="s">
        <v>44</v>
      </c>
      <c r="N69">
        <f t="array" ref="N69">((SUM(IFERROR((TEXT(IF(ISNUMBER(SEARCH("-", F69:L69)), MID(F69:L69, SEARCH("-", F69:L69) + 1, 4), ""), "00\:00") - TEXT(IF(ISNUMBER(SEARCH("-", F69:L69)), MID(F69:L69, SEARCH("-", F69:L69) - 4, 4), ""), "00\:00") + IF(TEXT(IF(ISNUMBER(SEARCH("-", F69:L69)), MID(F69:L69, SEARCH("-", F69:L69) + 1, 4), ""), "00\:00") &lt; TEXT(IF(ISNUMBER(SEARCH("-", F69:L69)), MID(F69:L69, SEARCH("-", F69:L69) - 4, 4), ""), "00\:00"), 1, 0))*24,""))))/9.5</f>
        <v>4</v>
      </c>
      <c r="O69"/>
      <c r="P69"/>
      <c r="Q69" s="2">
        <f t="shared" si="21"/>
        <v>4</v>
      </c>
      <c r="R69" s="2">
        <f t="shared" si="22"/>
        <v>5</v>
      </c>
      <c r="S69">
        <f t="shared" ca="1" si="23"/>
        <v>8</v>
      </c>
      <c r="T69" s="2">
        <f>(IFERROR(VLOOKUP(D69,'Employee Numbers'!$A$3:$C$84,3,FALSE),"NOT FOUND"))*8</f>
        <v>0</v>
      </c>
    </row>
    <row r="70" spans="1:20" s="2" customFormat="1" ht="15" customHeight="1">
      <c r="A70" s="44" t="s">
        <v>98</v>
      </c>
      <c r="B70" s="44"/>
      <c r="C70" s="45"/>
      <c r="D70" s="262" t="s">
        <v>110</v>
      </c>
      <c r="E70" s="285">
        <f>IFERROR(VLOOKUP(D70,'Employee Numbers'!$A$3:$B$84,2,FALSE),"NOT FOUND")</f>
        <v>654002</v>
      </c>
      <c r="F70" s="264" t="s">
        <v>42</v>
      </c>
      <c r="G70" s="264" t="s">
        <v>42</v>
      </c>
      <c r="H70" s="264"/>
      <c r="I70" s="264"/>
      <c r="J70" s="264"/>
      <c r="K70" s="264" t="s">
        <v>44</v>
      </c>
      <c r="L70" s="264" t="s">
        <v>42</v>
      </c>
      <c r="N70">
        <f t="array" ref="N70">((SUM(IFERROR((TEXT(IF(ISNUMBER(SEARCH("-", F70:L70)), MID(F70:L70, SEARCH("-", F70:L70) + 1, 4), ""), "00\:00") - TEXT(IF(ISNUMBER(SEARCH("-", F70:L70)), MID(F70:L70, SEARCH("-", F70:L70) - 4, 4), ""), "00\:00") + IF(TEXT(IF(ISNUMBER(SEARCH("-", F70:L70)), MID(F70:L70, SEARCH("-", F70:L70) + 1, 4), ""), "00\:00") &lt; TEXT(IF(ISNUMBER(SEARCH("-", F70:L70)), MID(F70:L70, SEARCH("-", F70:L70) - 4, 4), ""), "00\:00"), 1, 0))*24,""))))/9.5</f>
        <v>4</v>
      </c>
      <c r="O70"/>
      <c r="P70"/>
      <c r="Q70" s="2">
        <f t="shared" si="21"/>
        <v>4</v>
      </c>
      <c r="R70" s="2">
        <f t="shared" si="22"/>
        <v>5</v>
      </c>
      <c r="S70">
        <f t="shared" ca="1" si="23"/>
        <v>7</v>
      </c>
      <c r="T70" s="2">
        <f>(IFERROR(VLOOKUP(D70,'Employee Numbers'!$A$3:$C$84,3,FALSE),"NOT FOUND"))*8</f>
        <v>0</v>
      </c>
    </row>
    <row r="71" spans="1:20" s="2" customFormat="1" ht="15" customHeight="1">
      <c r="A71" s="2" t="s">
        <v>98</v>
      </c>
      <c r="C71" s="21"/>
      <c r="D71" s="262" t="s">
        <v>111</v>
      </c>
      <c r="E71" s="285">
        <f>IFERROR(VLOOKUP(D71,'Employee Numbers'!$A$3:$B$84,2,FALSE),"NOT FOUND")</f>
        <v>703068</v>
      </c>
      <c r="F71" s="264" t="s">
        <v>42</v>
      </c>
      <c r="G71" s="264"/>
      <c r="H71" s="264" t="s">
        <v>42</v>
      </c>
      <c r="I71" s="264" t="s">
        <v>42</v>
      </c>
      <c r="J71" s="264" t="s">
        <v>42</v>
      </c>
      <c r="K71" s="264"/>
      <c r="L71" s="264"/>
      <c r="N71">
        <f t="array" ref="N71">((SUM(IFERROR((TEXT(IF(ISNUMBER(SEARCH("-", F71:L71)), MID(F71:L71, SEARCH("-", F71:L71) + 1, 4), ""), "00\:00") - TEXT(IF(ISNUMBER(SEARCH("-", F71:L71)), MID(F71:L71, SEARCH("-", F71:L71) - 4, 4), ""), "00\:00") + IF(TEXT(IF(ISNUMBER(SEARCH("-", F71:L71)), MID(F71:L71, SEARCH("-", F71:L71) + 1, 4), ""), "00\:00") &lt; TEXT(IF(ISNUMBER(SEARCH("-", F71:L71)), MID(F71:L71, SEARCH("-", F71:L71) - 4, 4), ""), "00\:00"), 1, 0))*24,""))))/9.5</f>
        <v>4</v>
      </c>
      <c r="O71"/>
      <c r="P71"/>
      <c r="Q71" s="2">
        <f t="shared" si="21"/>
        <v>4</v>
      </c>
      <c r="R71" s="2">
        <f t="shared" si="22"/>
        <v>5</v>
      </c>
      <c r="S71">
        <f t="shared" ca="1" si="23"/>
        <v>6</v>
      </c>
      <c r="T71" s="2">
        <f>(IFERROR(VLOOKUP(D71,'Employee Numbers'!$A$3:$C$84,3,FALSE),"NOT FOUND"))*8</f>
        <v>0</v>
      </c>
    </row>
    <row r="72" spans="1:20" s="2" customFormat="1" ht="15" customHeight="1">
      <c r="A72" s="44" t="s">
        <v>98</v>
      </c>
      <c r="B72" s="44"/>
      <c r="C72" s="45"/>
      <c r="D72" s="262" t="s">
        <v>113</v>
      </c>
      <c r="E72" s="285">
        <f>IFERROR(VLOOKUP(D72,'Employee Numbers'!$A$3:$B$84,2,FALSE),"NOT FOUND")</f>
        <v>703911</v>
      </c>
      <c r="F72" s="264"/>
      <c r="G72" s="264"/>
      <c r="H72" s="264"/>
      <c r="I72" s="264" t="s">
        <v>44</v>
      </c>
      <c r="J72" s="264" t="s">
        <v>44</v>
      </c>
      <c r="K72" s="264" t="s">
        <v>42</v>
      </c>
      <c r="L72" s="264" t="s">
        <v>42</v>
      </c>
      <c r="N72">
        <f t="array" ref="N72">((SUM(IFERROR((TEXT(IF(ISNUMBER(SEARCH("-", F72:L72)), MID(F72:L72, SEARCH("-", F72:L72) + 1, 4), ""), "00\:00") - TEXT(IF(ISNUMBER(SEARCH("-", F72:L72)), MID(F72:L72, SEARCH("-", F72:L72) - 4, 4), ""), "00\:00") + IF(TEXT(IF(ISNUMBER(SEARCH("-", F72:L72)), MID(F72:L72, SEARCH("-", F72:L72) + 1, 4), ""), "00\:00") &lt; TEXT(IF(ISNUMBER(SEARCH("-", F72:L72)), MID(F72:L72, SEARCH("-", F72:L72) - 4, 4), ""), "00\:00"), 1, 0))*24,""))))/9.5</f>
        <v>4</v>
      </c>
      <c r="O72"/>
      <c r="P72"/>
      <c r="Q72" s="2">
        <f t="shared" si="21"/>
        <v>4</v>
      </c>
      <c r="R72" s="2">
        <f t="shared" si="22"/>
        <v>5</v>
      </c>
      <c r="S72">
        <f t="shared" ca="1" si="23"/>
        <v>8</v>
      </c>
      <c r="T72" s="2">
        <f>(IFERROR(VLOOKUP(D72,'Employee Numbers'!$A$3:$C$84,3,FALSE),"NOT FOUND"))*8</f>
        <v>0</v>
      </c>
    </row>
    <row r="73" spans="1:20" s="2" customFormat="1" ht="15" customHeight="1">
      <c r="A73" s="2" t="s">
        <v>98</v>
      </c>
      <c r="C73" s="21"/>
      <c r="D73" s="262" t="s">
        <v>114</v>
      </c>
      <c r="E73" s="285">
        <f>IFERROR(VLOOKUP(D73,'Employee Numbers'!$A$3:$B$84,2,FALSE),"NOT FOUND")</f>
        <v>633936</v>
      </c>
      <c r="F73" s="264"/>
      <c r="G73" s="264" t="s">
        <v>44</v>
      </c>
      <c r="H73" s="264" t="s">
        <v>42</v>
      </c>
      <c r="I73" s="264" t="s">
        <v>42</v>
      </c>
      <c r="J73" s="264" t="s">
        <v>42</v>
      </c>
      <c r="K73" s="264"/>
      <c r="L73" s="264" t="s">
        <v>42</v>
      </c>
      <c r="N73">
        <f t="array" ref="N73">((SUM(IFERROR((TEXT(IF(ISNUMBER(SEARCH("-", F73:L73)), MID(F73:L73, SEARCH("-", F73:L73) + 1, 4), ""), "00\:00") - TEXT(IF(ISNUMBER(SEARCH("-", F73:L73)), MID(F73:L73, SEARCH("-", F73:L73) - 4, 4), ""), "00\:00") + IF(TEXT(IF(ISNUMBER(SEARCH("-", F73:L73)), MID(F73:L73, SEARCH("-", F73:L73) + 1, 4), ""), "00\:00") &lt; TEXT(IF(ISNUMBER(SEARCH("-", F73:L73)), MID(F73:L73, SEARCH("-", F73:L73) - 4, 4), ""), "00\:00"), 1, 0))*24,""))))/9.5</f>
        <v>5</v>
      </c>
      <c r="O73"/>
      <c r="P73"/>
      <c r="Q73" s="2">
        <f t="shared" si="21"/>
        <v>5</v>
      </c>
      <c r="R73" s="2">
        <f t="shared" si="22"/>
        <v>5</v>
      </c>
      <c r="S73">
        <f t="shared" ca="1" si="23"/>
        <v>9</v>
      </c>
      <c r="T73" s="2">
        <f>(IFERROR(VLOOKUP(D73,'Employee Numbers'!$A$3:$C$84,3,FALSE),"NOT FOUND"))*8</f>
        <v>0</v>
      </c>
    </row>
    <row r="74" spans="1:20" s="2" customFormat="1" ht="15" customHeight="1">
      <c r="A74" s="44" t="s">
        <v>98</v>
      </c>
      <c r="B74" s="44"/>
      <c r="C74" s="45"/>
      <c r="D74" s="262" t="s">
        <v>115</v>
      </c>
      <c r="E74" s="285">
        <f>IFERROR(VLOOKUP(D74,'Employee Numbers'!$A$3:$B$84,2,FALSE),"NOT FOUND")</f>
        <v>700755</v>
      </c>
      <c r="F74" s="264" t="s">
        <v>100</v>
      </c>
      <c r="G74" s="264" t="s">
        <v>100</v>
      </c>
      <c r="H74" s="264"/>
      <c r="I74" s="264"/>
      <c r="J74" s="275"/>
      <c r="K74" s="275"/>
      <c r="L74" s="275"/>
      <c r="N74">
        <f t="array" ref="N74">((SUM(IFERROR((TEXT(IF(ISNUMBER(SEARCH("-", F74:L74)), MID(F74:L74, SEARCH("-", F74:L74) + 1, 4), ""), "00\:00") - TEXT(IF(ISNUMBER(SEARCH("-", F74:L74)), MID(F74:L74, SEARCH("-", F74:L74) - 4, 4), ""), "00\:00") + IF(TEXT(IF(ISNUMBER(SEARCH("-", F74:L74)), MID(F74:L74, SEARCH("-", F74:L74) + 1, 4), ""), "00\:00") &lt; TEXT(IF(ISNUMBER(SEARCH("-", F74:L74)), MID(F74:L74, SEARCH("-", F74:L74) - 4, 4), ""), "00\:00"), 1, 0))*24,""))))/9.5</f>
        <v>1.9999999999999996</v>
      </c>
      <c r="O74"/>
      <c r="P74"/>
      <c r="Q74" s="2">
        <f t="shared" si="21"/>
        <v>1.9999999999999996</v>
      </c>
      <c r="R74" s="2">
        <f t="shared" si="22"/>
        <v>5</v>
      </c>
      <c r="S74">
        <f t="shared" ca="1" si="23"/>
        <v>8</v>
      </c>
      <c r="T74" s="2">
        <f>(IFERROR(VLOOKUP(D74,'Employee Numbers'!$A$3:$C$84,3,FALSE),"NOT FOUND"))*8</f>
        <v>0</v>
      </c>
    </row>
    <row r="75" spans="1:20" s="2" customFormat="1" ht="15" customHeight="1">
      <c r="A75" s="2" t="s">
        <v>98</v>
      </c>
      <c r="C75" s="21"/>
      <c r="D75" s="262" t="s">
        <v>116</v>
      </c>
      <c r="E75" s="285">
        <f>IFERROR(VLOOKUP(D75,'Employee Numbers'!$A$3:$B$84,2,FALSE),"NOT FOUND")</f>
        <v>704872</v>
      </c>
      <c r="F75" s="277" t="s">
        <v>60</v>
      </c>
      <c r="G75" s="277"/>
      <c r="H75" s="277"/>
      <c r="I75" s="277"/>
      <c r="J75" s="277"/>
      <c r="K75" s="277"/>
      <c r="L75" s="277"/>
      <c r="N75">
        <f t="array" ref="N75">((SUM(IFERROR((TEXT(IF(ISNUMBER(SEARCH("-", F75:L75)), MID(F75:L75, SEARCH("-", F75:L75) + 1, 4), ""), "00\:00") - TEXT(IF(ISNUMBER(SEARCH("-", F75:L75)), MID(F75:L75, SEARCH("-", F75:L75) - 4, 4), ""), "00\:00") + IF(TEXT(IF(ISNUMBER(SEARCH("-", F75:L75)), MID(F75:L75, SEARCH("-", F75:L75) + 1, 4), ""), "00\:00") &lt; TEXT(IF(ISNUMBER(SEARCH("-", F75:L75)), MID(F75:L75, SEARCH("-", F75:L75) - 4, 4), ""), "00\:00"), 1, 0))*24,""))))/9.5</f>
        <v>0</v>
      </c>
      <c r="O75"/>
      <c r="P75"/>
      <c r="Q75" s="2">
        <f t="shared" si="21"/>
        <v>0</v>
      </c>
      <c r="R75" s="2">
        <f t="shared" si="22"/>
        <v>0</v>
      </c>
      <c r="S75">
        <f t="shared" ca="1" si="23"/>
        <v>1</v>
      </c>
      <c r="T75" s="2">
        <f>(IFERROR(VLOOKUP(D75,'Employee Numbers'!$A$3:$C$84,3,FALSE),"NOT FOUND"))*8</f>
        <v>0</v>
      </c>
    </row>
    <row r="76" spans="1:20" s="2" customFormat="1" ht="15" customHeight="1">
      <c r="A76" s="44" t="s">
        <v>98</v>
      </c>
      <c r="B76" s="44"/>
      <c r="C76" s="45"/>
      <c r="D76" s="262" t="s">
        <v>117</v>
      </c>
      <c r="E76" s="285">
        <f>IFERROR(VLOOKUP(D76,'Employee Numbers'!$A$3:$B$84,2,FALSE),"NOT FOUND")</f>
        <v>700712</v>
      </c>
      <c r="F76" s="278"/>
      <c r="G76" s="278"/>
      <c r="H76" s="278"/>
      <c r="I76" s="278" t="s">
        <v>102</v>
      </c>
      <c r="J76" s="264"/>
      <c r="K76" s="349" t="s">
        <v>44</v>
      </c>
      <c r="L76" s="264" t="s">
        <v>44</v>
      </c>
      <c r="N76">
        <f t="array" ref="N76">((SUM(IFERROR((TEXT(IF(ISNUMBER(SEARCH("-", F76:L76)), MID(F76:L76, SEARCH("-", F76:L76) + 1, 4), ""), "00\:00") - TEXT(IF(ISNUMBER(SEARCH("-", F76:L76)), MID(F76:L76, SEARCH("-", F76:L76) - 4, 4), ""), "00\:00") + IF(TEXT(IF(ISNUMBER(SEARCH("-", F76:L76)), MID(F76:L76, SEARCH("-", F76:L76) + 1, 4), ""), "00\:00") &lt; TEXT(IF(ISNUMBER(SEARCH("-", F76:L76)), MID(F76:L76, SEARCH("-", F76:L76) - 4, 4), ""), "00\:00"), 1, 0))*24,""))))/9.5</f>
        <v>2</v>
      </c>
      <c r="O76"/>
      <c r="P76"/>
      <c r="Q76" s="2">
        <f t="shared" si="21"/>
        <v>2</v>
      </c>
      <c r="R76" s="2">
        <f t="shared" si="22"/>
        <v>5</v>
      </c>
      <c r="S76">
        <f t="shared" ca="1" si="23"/>
        <v>6</v>
      </c>
      <c r="T76" s="2">
        <f>(IFERROR(VLOOKUP(D76,'Employee Numbers'!$A$3:$C$84,3,FALSE),"NOT FOUND"))*8</f>
        <v>0</v>
      </c>
    </row>
    <row r="77" spans="1:20" s="2" customFormat="1" ht="15" customHeight="1">
      <c r="A77" s="2" t="s">
        <v>98</v>
      </c>
      <c r="C77" s="47"/>
      <c r="D77" s="262" t="s">
        <v>119</v>
      </c>
      <c r="E77" s="285">
        <f>IFERROR(VLOOKUP(D77,'Employee Numbers'!$A$3:$B$84,2,FALSE),"NOT FOUND")</f>
        <v>700818</v>
      </c>
      <c r="F77" s="264"/>
      <c r="G77" s="264" t="s">
        <v>42</v>
      </c>
      <c r="H77" s="264" t="s">
        <v>42</v>
      </c>
      <c r="I77" s="264"/>
      <c r="J77" s="264"/>
      <c r="K77" s="264" t="s">
        <v>44</v>
      </c>
      <c r="L77" s="264" t="s">
        <v>44</v>
      </c>
      <c r="N77">
        <f t="array" ref="N77">((SUM(IFERROR((TEXT(IF(ISNUMBER(SEARCH("-", F77:L77)), MID(F77:L77, SEARCH("-", F77:L77) + 1, 4), ""), "00\:00") - TEXT(IF(ISNUMBER(SEARCH("-", F77:L77)), MID(F77:L77, SEARCH("-", F77:L77) - 4, 4), ""), "00\:00") + IF(TEXT(IF(ISNUMBER(SEARCH("-", F77:L77)), MID(F77:L77, SEARCH("-", F77:L77) + 1, 4), ""), "00\:00") &lt; TEXT(IF(ISNUMBER(SEARCH("-", F77:L77)), MID(F77:L77, SEARCH("-", F77:L77) - 4, 4), ""), "00\:00"), 1, 0))*24,""))))/9.5</f>
        <v>4</v>
      </c>
      <c r="O77"/>
      <c r="P77"/>
      <c r="Q77" s="2">
        <f t="shared" si="21"/>
        <v>4</v>
      </c>
      <c r="R77" s="2">
        <f t="shared" si="22"/>
        <v>5</v>
      </c>
      <c r="S77">
        <f t="shared" ca="1" si="23"/>
        <v>6</v>
      </c>
      <c r="T77" s="2">
        <f>(IFERROR(VLOOKUP(D77,'Employee Numbers'!$A$3:$C$84,3,FALSE),"NOT FOUND"))*8</f>
        <v>0</v>
      </c>
    </row>
    <row r="78" spans="1:20" s="2" customFormat="1" ht="15" customHeight="1">
      <c r="A78" s="44" t="s">
        <v>98</v>
      </c>
      <c r="B78" s="44"/>
      <c r="C78" s="45"/>
      <c r="D78" s="262" t="s">
        <v>120</v>
      </c>
      <c r="E78" s="285">
        <f>IFERROR(VLOOKUP(D78,'Employee Numbers'!$A$3:$B$84,2,FALSE),"NOT FOUND")</f>
        <v>650101</v>
      </c>
      <c r="F78" s="264"/>
      <c r="G78" s="264"/>
      <c r="H78" s="264"/>
      <c r="I78" s="349" t="s">
        <v>44</v>
      </c>
      <c r="J78" s="264" t="s">
        <v>44</v>
      </c>
      <c r="K78" s="264" t="s">
        <v>42</v>
      </c>
      <c r="L78" s="264" t="s">
        <v>42</v>
      </c>
      <c r="N78">
        <f t="array" ref="N78">((SUM(IFERROR((TEXT(IF(ISNUMBER(SEARCH("-", F78:L78)), MID(F78:L78, SEARCH("-", F78:L78) + 1, 4), ""), "00\:00") - TEXT(IF(ISNUMBER(SEARCH("-", F78:L78)), MID(F78:L78, SEARCH("-", F78:L78) - 4, 4), ""), "00\:00") + IF(TEXT(IF(ISNUMBER(SEARCH("-", F78:L78)), MID(F78:L78, SEARCH("-", F78:L78) + 1, 4), ""), "00\:00") &lt; TEXT(IF(ISNUMBER(SEARCH("-", F78:L78)), MID(F78:L78, SEARCH("-", F78:L78) - 4, 4), ""), "00\:00"), 1, 0))*24,""))))/9.5</f>
        <v>4</v>
      </c>
      <c r="O78"/>
      <c r="P78"/>
      <c r="Q78" s="2">
        <f t="shared" si="21"/>
        <v>4</v>
      </c>
      <c r="R78" s="2">
        <f t="shared" si="22"/>
        <v>2.5</v>
      </c>
      <c r="S78">
        <f t="shared" ca="1" si="23"/>
        <v>4</v>
      </c>
      <c r="T78" s="2">
        <f>(IFERROR(VLOOKUP(D78,'Employee Numbers'!$A$3:$C$84,3,FALSE),"NOT FOUND"))*8</f>
        <v>0</v>
      </c>
    </row>
    <row r="79" spans="1:20" s="2" customFormat="1" ht="15" customHeight="1">
      <c r="A79" s="2" t="s">
        <v>98</v>
      </c>
      <c r="C79" s="21"/>
      <c r="D79" s="262" t="s">
        <v>122</v>
      </c>
      <c r="E79" s="285">
        <f>IFERROR(VLOOKUP(D79,'Employee Numbers'!$A$3:$B$84,2,FALSE),"NOT FOUND")</f>
        <v>654888</v>
      </c>
      <c r="F79" s="264"/>
      <c r="G79" s="264" t="s">
        <v>42</v>
      </c>
      <c r="H79" s="264"/>
      <c r="I79" s="264"/>
      <c r="J79" s="264" t="s">
        <v>42</v>
      </c>
      <c r="K79" s="264" t="s">
        <v>42</v>
      </c>
      <c r="L79" s="264" t="s">
        <v>42</v>
      </c>
      <c r="N79">
        <f t="array" ref="N79">((SUM(IFERROR((TEXT(IF(ISNUMBER(SEARCH("-", F79:L79)), MID(F79:L79, SEARCH("-", F79:L79) + 1, 4), ""), "00\:00") - TEXT(IF(ISNUMBER(SEARCH("-", F79:L79)), MID(F79:L79, SEARCH("-", F79:L79) - 4, 4), ""), "00\:00") + IF(TEXT(IF(ISNUMBER(SEARCH("-", F79:L79)), MID(F79:L79, SEARCH("-", F79:L79) + 1, 4), ""), "00\:00") &lt; TEXT(IF(ISNUMBER(SEARCH("-", F79:L79)), MID(F79:L79, SEARCH("-", F79:L79) - 4, 4), ""), "00\:00"), 1, 0))*24,""))))/9.5</f>
        <v>4</v>
      </c>
      <c r="O79"/>
      <c r="P79"/>
      <c r="Q79" s="2">
        <f t="shared" si="21"/>
        <v>4</v>
      </c>
      <c r="R79" s="2">
        <f t="shared" si="22"/>
        <v>5</v>
      </c>
      <c r="S79">
        <f t="shared" ca="1" si="23"/>
        <v>8</v>
      </c>
      <c r="T79" s="2">
        <f>(IFERROR(VLOOKUP(D79,'Employee Numbers'!$A$3:$C$84,3,FALSE),"NOT FOUND"))*8</f>
        <v>0</v>
      </c>
    </row>
    <row r="80" spans="1:20" s="2" customFormat="1" ht="15" customHeight="1">
      <c r="A80" s="44" t="s">
        <v>98</v>
      </c>
      <c r="B80" s="44"/>
      <c r="C80" s="45"/>
      <c r="D80" s="262" t="s">
        <v>123</v>
      </c>
      <c r="E80" s="285">
        <f>IFERROR(VLOOKUP(D80,'Employee Numbers'!$A$3:$B$84,2,FALSE),"NOT FOUND")</f>
        <v>703880</v>
      </c>
      <c r="F80" s="264" t="s">
        <v>100</v>
      </c>
      <c r="G80" s="264" t="s">
        <v>100</v>
      </c>
      <c r="H80" s="264" t="s">
        <v>100</v>
      </c>
      <c r="I80" s="264" t="s">
        <v>100</v>
      </c>
      <c r="J80" s="264"/>
      <c r="K80" s="264"/>
      <c r="L80" s="264"/>
      <c r="N80">
        <f t="array" ref="N80">((SUM(IFERROR((TEXT(IF(ISNUMBER(SEARCH("-", F80:L80)), MID(F80:L80, SEARCH("-", F80:L80) + 1, 4), ""), "00\:00") - TEXT(IF(ISNUMBER(SEARCH("-", F80:L80)), MID(F80:L80, SEARCH("-", F80:L80) - 4, 4), ""), "00\:00") + IF(TEXT(IF(ISNUMBER(SEARCH("-", F80:L80)), MID(F80:L80, SEARCH("-", F80:L80) + 1, 4), ""), "00\:00") &lt; TEXT(IF(ISNUMBER(SEARCH("-", F80:L80)), MID(F80:L80, SEARCH("-", F80:L80) - 4, 4), ""), "00\:00"), 1, 0))*24,""))))/9.5</f>
        <v>3.9999999999999991</v>
      </c>
      <c r="O80"/>
      <c r="P80"/>
      <c r="Q80" s="2">
        <f t="shared" si="21"/>
        <v>3.9999999999999991</v>
      </c>
      <c r="R80" s="2">
        <f t="shared" si="22"/>
        <v>5</v>
      </c>
      <c r="S80">
        <f t="shared" ca="1" si="23"/>
        <v>7.9999999999999991</v>
      </c>
      <c r="T80" s="2">
        <f>(IFERROR(VLOOKUP(D80,'Employee Numbers'!$A$3:$C$84,3,FALSE),"NOT FOUND"))*8</f>
        <v>0</v>
      </c>
    </row>
    <row r="81" spans="1:21" s="13" customFormat="1" ht="15" customHeight="1">
      <c r="A81" s="2" t="s">
        <v>98</v>
      </c>
      <c r="B81" s="2"/>
      <c r="C81" s="21"/>
      <c r="D81" s="262" t="s">
        <v>124</v>
      </c>
      <c r="E81" s="285">
        <f>IFERROR(VLOOKUP(D81,'Employee Numbers'!$A$3:$B$84,2,FALSE),"NOT FOUND")</f>
        <v>703334</v>
      </c>
      <c r="F81" s="264" t="s">
        <v>42</v>
      </c>
      <c r="G81" s="264" t="s">
        <v>42</v>
      </c>
      <c r="H81" s="275"/>
      <c r="I81" s="264" t="s">
        <v>42</v>
      </c>
      <c r="J81" s="264" t="s">
        <v>42</v>
      </c>
      <c r="K81" s="264"/>
      <c r="L81" s="264"/>
      <c r="N81">
        <f t="array" ref="N81">((SUM(IFERROR((TEXT(IF(ISNUMBER(SEARCH("-", F81:L81)), MID(F81:L81, SEARCH("-", F81:L81) + 1, 4), ""), "00\:00") - TEXT(IF(ISNUMBER(SEARCH("-", F81:L81)), MID(F81:L81, SEARCH("-", F81:L81) - 4, 4), ""), "00\:00") + IF(TEXT(IF(ISNUMBER(SEARCH("-", F81:L81)), MID(F81:L81, SEARCH("-", F81:L81) + 1, 4), ""), "00\:00") &lt; TEXT(IF(ISNUMBER(SEARCH("-", F81:L81)), MID(F81:L81, SEARCH("-", F81:L81) - 4, 4), ""), "00\:00"), 1, 0))*24,""))))/9.5</f>
        <v>4</v>
      </c>
      <c r="O81"/>
      <c r="P81"/>
      <c r="Q81" s="2">
        <f>P81+O81+N81</f>
        <v>4</v>
      </c>
      <c r="R81" s="2">
        <f>IF(ISNUMBER(SEARCH("trg_5",H173)),5,IF(ISNUMBER(SEARCH("trg_3.75",H173)),3.75,IF(ISNUMBER(SEARCH("trg_2.5",H173)),2.5,IF(ISNUMBER(SEARCH("trg_1.75",H173)),1.75,0))))</f>
        <v>5</v>
      </c>
      <c r="S81">
        <f t="shared" ca="1" si="23"/>
        <v>7.9999999999999991</v>
      </c>
      <c r="T81" s="2">
        <f>(IFERROR(VLOOKUP(D81,'Employee Numbers'!$A$3:$C$84,3,FALSE),"NOT FOUND"))*8</f>
        <v>0</v>
      </c>
      <c r="U81" s="2"/>
    </row>
    <row r="82" spans="1:21" s="2" customFormat="1" ht="15" customHeight="1">
      <c r="A82" s="44" t="s">
        <v>98</v>
      </c>
      <c r="B82" s="44"/>
      <c r="C82" s="45"/>
      <c r="D82" s="262" t="s">
        <v>125</v>
      </c>
      <c r="E82" s="285">
        <f>IFERROR(VLOOKUP(D82,'Employee Numbers'!$A$3:$B$84,2,FALSE),"NOT FOUND")</f>
        <v>700538</v>
      </c>
      <c r="F82" s="264" t="s">
        <v>44</v>
      </c>
      <c r="G82" s="264" t="s">
        <v>42</v>
      </c>
      <c r="H82" s="264"/>
      <c r="I82" s="275"/>
      <c r="J82" s="275"/>
      <c r="K82" s="275"/>
      <c r="L82" s="275"/>
      <c r="N82">
        <f t="array" ref="N82">((SUM(IFERROR((TEXT(IF(ISNUMBER(SEARCH("-", F82:L82)), MID(F82:L82, SEARCH("-", F82:L82) + 1, 4), ""), "00\:00") - TEXT(IF(ISNUMBER(SEARCH("-", F82:L82)), MID(F82:L82, SEARCH("-", F82:L82) - 4, 4), ""), "00\:00") + IF(TEXT(IF(ISNUMBER(SEARCH("-", F82:L82)), MID(F82:L82, SEARCH("-", F82:L82) + 1, 4), ""), "00\:00") &lt; TEXT(IF(ISNUMBER(SEARCH("-", F82:L82)), MID(F82:L82, SEARCH("-", F82:L82) - 4, 4), ""), "00\:00"), 1, 0))*24,""))))/9.5</f>
        <v>2</v>
      </c>
      <c r="O82"/>
      <c r="P82"/>
      <c r="Q82" s="2">
        <f>P82+O82+N82</f>
        <v>2</v>
      </c>
      <c r="R82" s="2">
        <f>IF(ISNUMBER(SEARCH("trg_5",H174)),5,IF(ISNUMBER(SEARCH("trg_3.75",H174)),3.75,IF(ISNUMBER(SEARCH("trg_2.5",H174)),2.5,IF(ISNUMBER(SEARCH("trg_1.75",H174)),1.75,0))))</f>
        <v>3.75</v>
      </c>
      <c r="S82">
        <f t="shared" ca="1" si="23"/>
        <v>5</v>
      </c>
      <c r="T82" s="2">
        <f>(IFERROR(VLOOKUP(D82,'Employee Numbers'!$A$3:$C$84,3,FALSE),"NOT FOUND"))*8</f>
        <v>0</v>
      </c>
    </row>
    <row r="83" spans="1:21" s="2" customFormat="1" ht="15" customHeight="1">
      <c r="A83" s="2" t="s">
        <v>98</v>
      </c>
      <c r="C83" s="21"/>
      <c r="D83" s="262" t="s">
        <v>126</v>
      </c>
      <c r="E83" s="39">
        <f>IFERROR(VLOOKUP(D83,'Employee Numbers'!$A$3:$B$84,2,FALSE),"NOT FOUND")</f>
        <v>704862</v>
      </c>
      <c r="F83" s="178"/>
      <c r="G83" s="178"/>
      <c r="H83" s="178"/>
      <c r="I83" s="178"/>
      <c r="J83" s="178"/>
      <c r="K83" s="178"/>
      <c r="L83" s="178"/>
      <c r="N83">
        <f t="array" ref="N83">((SUM(IFERROR((TEXT(IF(ISNUMBER(SEARCH("-", F83:L83)), MID(F83:L83, SEARCH("-", F83:L83) + 1, 4), ""), "00\:00") - TEXT(IF(ISNUMBER(SEARCH("-", F83:L83)), MID(F83:L83, SEARCH("-", F83:L83) - 4, 4), ""), "00\:00") + IF(TEXT(IF(ISNUMBER(SEARCH("-", F83:L83)), MID(F83:L83, SEARCH("-", F83:L83) + 1, 4), ""), "00\:00") &lt; TEXT(IF(ISNUMBER(SEARCH("-", F83:L83)), MID(F83:L83, SEARCH("-", F83:L83) - 4, 4), ""), "00\:00"), 1, 0))*24,""))))/9.5</f>
        <v>0</v>
      </c>
      <c r="O83"/>
      <c r="P83"/>
      <c r="Q83" s="2">
        <f>P83+O83+N83</f>
        <v>0</v>
      </c>
      <c r="R83" s="2">
        <f>IF(ISNUMBER(SEARCH("trg_5",H175)),5,IF(ISNUMBER(SEARCH("trg_3.75",H175)),3.75,IF(ISNUMBER(SEARCH("trg_2.5",H175)),2.5,IF(ISNUMBER(SEARCH("trg_1.75",H175)),1.75,0))))</f>
        <v>2.5</v>
      </c>
      <c r="S83">
        <f t="shared" ca="1" si="23"/>
        <v>4</v>
      </c>
      <c r="T83" s="2">
        <f>(IFERROR(VLOOKUP(D83,'Employee Numbers'!$A$3:$C$84,3,FALSE),"NOT FOUND"))*8</f>
        <v>0</v>
      </c>
    </row>
    <row r="84" spans="1:21" s="2" customFormat="1" ht="15" customHeight="1">
      <c r="A84" s="44" t="s">
        <v>98</v>
      </c>
      <c r="B84" s="44"/>
      <c r="C84" s="45"/>
      <c r="D84" s="128"/>
      <c r="E84" s="129" t="str">
        <f>IFERROR(VLOOKUP(D84,'Employee Numbers'!$A$3:$B$84,2,FALSE),"NOT FOUND")</f>
        <v>NOT FOUND</v>
      </c>
      <c r="F84" s="136"/>
      <c r="G84" s="136"/>
      <c r="H84" s="136"/>
      <c r="I84" s="136"/>
      <c r="J84" s="136"/>
      <c r="K84" s="136"/>
      <c r="L84" s="136"/>
      <c r="N84">
        <f t="array" ref="N84">((SUM(IFERROR((TEXT(IF(ISNUMBER(SEARCH("-", F84:L84)), MID(F84:L84, SEARCH("-", F84:L84) + 1, 4), ""), "00\:00") - TEXT(IF(ISNUMBER(SEARCH("-", F84:L84)), MID(F84:L84, SEARCH("-", F84:L84) - 4, 4), ""), "00\:00") + IF(TEXT(IF(ISNUMBER(SEARCH("-", F84:L84)), MID(F84:L84, SEARCH("-", F84:L84) + 1, 4), ""), "00\:00") &lt; TEXT(IF(ISNUMBER(SEARCH("-", F84:L84)), MID(F84:L84, SEARCH("-", F84:L84) - 4, 4), ""), "00\:00"), 1, 0))*24,""))))/9.5</f>
        <v>0</v>
      </c>
      <c r="O84"/>
      <c r="P84"/>
      <c r="Q84" s="2">
        <f>P84+O84+N84</f>
        <v>0</v>
      </c>
      <c r="R84" s="2">
        <f>IF(ISNUMBER(SEARCH("trg_5",H176)),5,IF(ISNUMBER(SEARCH("trg_3.75",H176)),3.75,IF(ISNUMBER(SEARCH("trg_2.5",H176)),2.5,IF(ISNUMBER(SEARCH("trg_1.75",H176)),1.75,0))))</f>
        <v>5</v>
      </c>
      <c r="S84">
        <f t="shared" ca="1" si="23"/>
        <v>0</v>
      </c>
      <c r="T84" s="2" t="e">
        <f>(IFERROR(VLOOKUP(D84,'Employee Numbers'!$A$3:$C$84,3,FALSE),"NOT FOUND"))*8</f>
        <v>#VALUE!</v>
      </c>
    </row>
    <row r="85" spans="1:21" s="2" customFormat="1" ht="15" customHeight="1">
      <c r="A85" s="137" t="s">
        <v>128</v>
      </c>
      <c r="B85" s="138"/>
      <c r="C85" s="139"/>
      <c r="D85" s="140" t="s">
        <v>128</v>
      </c>
      <c r="E85" s="141" t="s">
        <v>4</v>
      </c>
      <c r="F85" s="281" t="s">
        <v>5</v>
      </c>
      <c r="G85" s="281" t="s">
        <v>6</v>
      </c>
      <c r="H85" s="281" t="s">
        <v>7</v>
      </c>
      <c r="I85" s="281" t="s">
        <v>8</v>
      </c>
      <c r="J85" s="281" t="s">
        <v>9</v>
      </c>
      <c r="K85" s="281" t="s">
        <v>10</v>
      </c>
      <c r="L85" s="282" t="s">
        <v>11</v>
      </c>
      <c r="M85" s="34"/>
      <c r="N85"/>
      <c r="O85"/>
      <c r="P85"/>
    </row>
    <row r="86" spans="1:21" s="2" customFormat="1" ht="15" customHeight="1">
      <c r="A86" s="44" t="s">
        <v>129</v>
      </c>
      <c r="B86" s="44"/>
      <c r="C86" s="45"/>
      <c r="D86" s="263" t="s">
        <v>130</v>
      </c>
      <c r="E86" s="284">
        <f>IFERROR(VLOOKUP(D86,'Employee Numbers'!$A$3:$B$84,2,FALSE),"NOT FOUND")</f>
        <v>703066</v>
      </c>
      <c r="F86" s="274" t="s">
        <v>60</v>
      </c>
      <c r="G86" s="274"/>
      <c r="H86" s="274"/>
      <c r="I86" s="274"/>
      <c r="J86" s="274"/>
      <c r="K86" s="274"/>
      <c r="L86" s="274"/>
      <c r="N86">
        <f t="array" ref="N86">((SUM(IFERROR((TEXT(IF(ISNUMBER(SEARCH("-", F86:L86)), MID(F86:L86, SEARCH("-", F86:L86) + 1, 4), ""), "00\:00") - TEXT(IF(ISNUMBER(SEARCH("-", F86:L86)), MID(F86:L86, SEARCH("-", F86:L86) - 4, 4), ""), "00\:00") + IF(TEXT(IF(ISNUMBER(SEARCH("-", F86:L86)), MID(F86:L86, SEARCH("-", F86:L86) + 1, 4), ""), "00\:00") &lt; TEXT(IF(ISNUMBER(SEARCH("-", F86:L86)), MID(F86:L86, SEARCH("-", F86:L86) - 4, 4), ""), "00\:00"), 1, 0))*24,""))))/9.5</f>
        <v>0</v>
      </c>
      <c r="O86"/>
      <c r="P86"/>
      <c r="Q86" s="2">
        <f>P86+O86+N86</f>
        <v>0</v>
      </c>
      <c r="S86">
        <f t="shared" ref="S86:S99" ca="1" si="24">IF($C$4=1,SUM(Q86+INDIRECT("'Week "&amp;($B$3+1)&amp;"'!Q"&amp;(ROW()))),IF($C$4=2,SUM(Q86+INDIRECT("'Week "&amp;($B$3-1)&amp;"'!Q"&amp;(ROW())))))</f>
        <v>2</v>
      </c>
      <c r="T86" s="2" t="e">
        <f>(IFERROR(VLOOKUP(D86,'Employee Numbers'!$A$3:$C$84,3,FALSE),"NOT FOUND"))*8</f>
        <v>#VALUE!</v>
      </c>
    </row>
    <row r="87" spans="1:21" s="2" customFormat="1" ht="15" customHeight="1">
      <c r="A87" s="2" t="s">
        <v>129</v>
      </c>
      <c r="C87" s="21"/>
      <c r="D87" s="263" t="s">
        <v>131</v>
      </c>
      <c r="E87" s="285">
        <f>IFERROR(VLOOKUP(D87,'Employee Numbers'!$A$3:$B$84,2,FALSE),"NOT FOUND")</f>
        <v>648637</v>
      </c>
      <c r="F87" s="264"/>
      <c r="G87" s="264"/>
      <c r="H87" s="264"/>
      <c r="I87" s="264" t="s">
        <v>42</v>
      </c>
      <c r="J87" s="264" t="s">
        <v>100</v>
      </c>
      <c r="K87" s="264" t="s">
        <v>100</v>
      </c>
      <c r="L87" s="264" t="s">
        <v>100</v>
      </c>
      <c r="N87">
        <f t="array" ref="N87">((SUM(IFERROR((TEXT(IF(ISNUMBER(SEARCH("-", F87:L87)), MID(F87:L87, SEARCH("-", F87:L87) + 1, 4), ""), "00\:00") - TEXT(IF(ISNUMBER(SEARCH("-", F87:L87)), MID(F87:L87, SEARCH("-", F87:L87) - 4, 4), ""), "00\:00") + IF(TEXT(IF(ISNUMBER(SEARCH("-", F87:L87)), MID(F87:L87, SEARCH("-", F87:L87) + 1, 4), ""), "00\:00") &lt; TEXT(IF(ISNUMBER(SEARCH("-", F87:L87)), MID(F87:L87, SEARCH("-", F87:L87) - 4, 4), ""), "00\:00"), 1, 0))*24,""))))/9.5</f>
        <v>4</v>
      </c>
      <c r="O87"/>
      <c r="P87"/>
      <c r="Q87" s="2">
        <f t="shared" ref="Q87:Q96" si="25">P87+O87+N87</f>
        <v>4</v>
      </c>
      <c r="S87">
        <f t="shared" ca="1" si="24"/>
        <v>8</v>
      </c>
      <c r="T87" s="2" t="e">
        <f>(IFERROR(VLOOKUP(D87,'Employee Numbers'!$A$3:$C$84,3,FALSE),"NOT FOUND"))*8</f>
        <v>#VALUE!</v>
      </c>
    </row>
    <row r="88" spans="1:21" s="13" customFormat="1" ht="15" customHeight="1">
      <c r="A88" s="44" t="s">
        <v>129</v>
      </c>
      <c r="B88" s="44"/>
      <c r="C88" s="45"/>
      <c r="D88" s="263" t="s">
        <v>132</v>
      </c>
      <c r="E88" s="285">
        <f>IFERROR(VLOOKUP(D88,'Employee Numbers'!$A$3:$B$84,2,FALSE),"NOT FOUND")</f>
        <v>703161</v>
      </c>
      <c r="F88" s="264"/>
      <c r="G88" s="264" t="s">
        <v>44</v>
      </c>
      <c r="H88" s="264" t="s">
        <v>44</v>
      </c>
      <c r="I88" s="264" t="s">
        <v>44</v>
      </c>
      <c r="J88" s="264" t="s">
        <v>42</v>
      </c>
      <c r="K88" s="264"/>
      <c r="L88" s="264"/>
      <c r="M88" s="2"/>
      <c r="N88">
        <f t="array" ref="N88">((SUM(IFERROR((TEXT(IF(ISNUMBER(SEARCH("-", F88:L88)), MID(F88:L88, SEARCH("-", F88:L88) + 1, 4), ""), "00\:00") - TEXT(IF(ISNUMBER(SEARCH("-", F88:L88)), MID(F88:L88, SEARCH("-", F88:L88) - 4, 4), ""), "00\:00") + IF(TEXT(IF(ISNUMBER(SEARCH("-", F88:L88)), MID(F88:L88, SEARCH("-", F88:L88) + 1, 4), ""), "00\:00") &lt; TEXT(IF(ISNUMBER(SEARCH("-", F88:L88)), MID(F88:L88, SEARCH("-", F88:L88) - 4, 4), ""), "00\:00"), 1, 0))*24,""))))/9.5</f>
        <v>4</v>
      </c>
      <c r="O88"/>
      <c r="P88"/>
      <c r="Q88" s="2">
        <f t="shared" si="25"/>
        <v>4</v>
      </c>
      <c r="R88" s="2"/>
      <c r="S88">
        <f t="shared" ca="1" si="24"/>
        <v>8</v>
      </c>
      <c r="T88" s="2" t="e">
        <f>(IFERROR(VLOOKUP(D88,'Employee Numbers'!$A$3:$C$84,3,FALSE),"NOT FOUND"))*8</f>
        <v>#VALUE!</v>
      </c>
      <c r="U88" s="2"/>
    </row>
    <row r="89" spans="1:21" s="2" customFormat="1" ht="15" customHeight="1">
      <c r="A89" s="2" t="s">
        <v>129</v>
      </c>
      <c r="C89" s="21"/>
      <c r="D89" s="263" t="s">
        <v>133</v>
      </c>
      <c r="E89" s="285">
        <f>IFERROR(VLOOKUP(D89,'Employee Numbers'!$A$3:$B$84,2,FALSE),"NOT FOUND")</f>
        <v>655179</v>
      </c>
      <c r="F89" s="264" t="s">
        <v>44</v>
      </c>
      <c r="G89" s="264" t="s">
        <v>42</v>
      </c>
      <c r="H89" s="264" t="s">
        <v>42</v>
      </c>
      <c r="I89" s="264" t="s">
        <v>42</v>
      </c>
      <c r="J89" s="264"/>
      <c r="K89" s="275"/>
      <c r="L89" s="275"/>
      <c r="N89">
        <f t="array" ref="N89">((SUM(IFERROR((TEXT(IF(ISNUMBER(SEARCH("-", F89:L89)), MID(F89:L89, SEARCH("-", F89:L89) + 1, 4), ""), "00\:00") - TEXT(IF(ISNUMBER(SEARCH("-", F89:L89)), MID(F89:L89, SEARCH("-", F89:L89) - 4, 4), ""), "00\:00") + IF(TEXT(IF(ISNUMBER(SEARCH("-", F89:L89)), MID(F89:L89, SEARCH("-", F89:L89) + 1, 4), ""), "00\:00") &lt; TEXT(IF(ISNUMBER(SEARCH("-", F89:L89)), MID(F89:L89, SEARCH("-", F89:L89) - 4, 4), ""), "00\:00"), 1, 0))*24,""))))/9.5</f>
        <v>4</v>
      </c>
      <c r="O89"/>
      <c r="P89"/>
      <c r="Q89" s="2">
        <f t="shared" si="25"/>
        <v>4</v>
      </c>
      <c r="S89">
        <f t="shared" ca="1" si="24"/>
        <v>4</v>
      </c>
      <c r="T89" s="2" t="e">
        <f>(IFERROR(VLOOKUP(D89,'Employee Numbers'!$A$3:$C$84,3,FALSE),"NOT FOUND"))*8</f>
        <v>#VALUE!</v>
      </c>
    </row>
    <row r="90" spans="1:21" s="2" customFormat="1" ht="15" customHeight="1">
      <c r="A90" s="44" t="s">
        <v>129</v>
      </c>
      <c r="B90" s="44"/>
      <c r="C90" s="45"/>
      <c r="D90" s="263" t="s">
        <v>134</v>
      </c>
      <c r="E90" s="285">
        <f>IFERROR(VLOOKUP(D90,'Employee Numbers'!$A$3:$B$84,2,FALSE),"NOT FOUND")</f>
        <v>700812</v>
      </c>
      <c r="F90" s="264" t="s">
        <v>42</v>
      </c>
      <c r="G90" s="264" t="s">
        <v>100</v>
      </c>
      <c r="H90" s="264" t="s">
        <v>100</v>
      </c>
      <c r="I90" s="264" t="s">
        <v>100</v>
      </c>
      <c r="J90" s="264"/>
      <c r="K90" s="264"/>
      <c r="L90" s="264"/>
      <c r="N90">
        <f t="array" ref="N90">((SUM(IFERROR((TEXT(IF(ISNUMBER(SEARCH("-", F90:L90)), MID(F90:L90, SEARCH("-", F90:L90) + 1, 4), ""), "00\:00") - TEXT(IF(ISNUMBER(SEARCH("-", F90:L90)), MID(F90:L90, SEARCH("-", F90:L90) - 4, 4), ""), "00\:00") + IF(TEXT(IF(ISNUMBER(SEARCH("-", F90:L90)), MID(F90:L90, SEARCH("-", F90:L90) + 1, 4), ""), "00\:00") &lt; TEXT(IF(ISNUMBER(SEARCH("-", F90:L90)), MID(F90:L90, SEARCH("-", F90:L90) - 4, 4), ""), "00\:00"), 1, 0))*24,""))))/9.5</f>
        <v>4</v>
      </c>
      <c r="O90"/>
      <c r="P90"/>
      <c r="Q90" s="2">
        <f t="shared" si="25"/>
        <v>4</v>
      </c>
      <c r="S90">
        <f t="shared" ca="1" si="24"/>
        <v>8</v>
      </c>
      <c r="T90" s="2" t="e">
        <f>(IFERROR(VLOOKUP(D90,'Employee Numbers'!$A$3:$C$84,3,FALSE),"NOT FOUND"))*8</f>
        <v>#VALUE!</v>
      </c>
    </row>
    <row r="91" spans="1:21" s="2" customFormat="1" ht="15" customHeight="1">
      <c r="A91" s="2" t="s">
        <v>129</v>
      </c>
      <c r="D91" s="263" t="s">
        <v>135</v>
      </c>
      <c r="E91" s="285">
        <f>IFERROR(VLOOKUP(D91,'Employee Numbers'!$A$3:$B$84,2,FALSE),"NOT FOUND")</f>
        <v>703157</v>
      </c>
      <c r="F91" s="264"/>
      <c r="G91" s="264" t="s">
        <v>42</v>
      </c>
      <c r="H91" s="264" t="s">
        <v>174</v>
      </c>
      <c r="I91" s="264"/>
      <c r="J91" s="264"/>
      <c r="K91" s="264" t="s">
        <v>42</v>
      </c>
      <c r="L91" s="264" t="s">
        <v>42</v>
      </c>
      <c r="N91">
        <f t="array" ref="N91">((SUM(IFERROR((TEXT(IF(ISNUMBER(SEARCH("-", F91:L91)), MID(F91:L91, SEARCH("-", F91:L91) + 1, 4), ""), "00\:00") - TEXT(IF(ISNUMBER(SEARCH("-", F91:L91)), MID(F91:L91, SEARCH("-", F91:L91) - 4, 4), ""), "00\:00") + IF(TEXT(IF(ISNUMBER(SEARCH("-", F91:L91)), MID(F91:L91, SEARCH("-", F91:L91) + 1, 4), ""), "00\:00") &lt; TEXT(IF(ISNUMBER(SEARCH("-", F91:L91)), MID(F91:L91, SEARCH("-", F91:L91) - 4, 4), ""), "00\:00"), 1, 0))*24,""))))/9.5</f>
        <v>4</v>
      </c>
      <c r="O91"/>
      <c r="P91"/>
      <c r="Q91" s="2">
        <f t="shared" si="25"/>
        <v>4</v>
      </c>
      <c r="S91">
        <f t="shared" ca="1" si="24"/>
        <v>8</v>
      </c>
      <c r="T91" s="2" t="e">
        <f>(IFERROR(VLOOKUP(D91,'Employee Numbers'!$A$3:$C$84,3,FALSE),"NOT FOUND"))*8</f>
        <v>#VALUE!</v>
      </c>
    </row>
    <row r="92" spans="1:21" s="2" customFormat="1" ht="15" customHeight="1">
      <c r="A92" s="44" t="s">
        <v>129</v>
      </c>
      <c r="B92" s="44"/>
      <c r="C92" s="44"/>
      <c r="D92" s="263" t="s">
        <v>136</v>
      </c>
      <c r="E92" s="285">
        <f>IFERROR(VLOOKUP(D92,'Employee Numbers'!$A$3:$B$84,2,FALSE),"NOT FOUND")</f>
        <v>655173</v>
      </c>
      <c r="F92" s="264" t="s">
        <v>100</v>
      </c>
      <c r="G92" s="264"/>
      <c r="H92" s="264"/>
      <c r="I92" s="264"/>
      <c r="J92" s="264" t="s">
        <v>44</v>
      </c>
      <c r="K92" s="264" t="s">
        <v>44</v>
      </c>
      <c r="L92" s="264" t="s">
        <v>44</v>
      </c>
      <c r="N92">
        <f t="array" ref="N92">((SUM(IFERROR((TEXT(IF(ISNUMBER(SEARCH("-", F92:L92)), MID(F92:L92, SEARCH("-", F92:L92) + 1, 4), ""), "00\:00") - TEXT(IF(ISNUMBER(SEARCH("-", F92:L92)), MID(F92:L92, SEARCH("-", F92:L92) - 4, 4), ""), "00\:00") + IF(TEXT(IF(ISNUMBER(SEARCH("-", F92:L92)), MID(F92:L92, SEARCH("-", F92:L92) + 1, 4), ""), "00\:00") &lt; TEXT(IF(ISNUMBER(SEARCH("-", F92:L92)), MID(F92:L92, SEARCH("-", F92:L92) - 4, 4), ""), "00\:00"), 1, 0))*24,""))))/9.5</f>
        <v>4</v>
      </c>
      <c r="O92"/>
      <c r="P92"/>
      <c r="Q92" s="2">
        <f t="shared" si="25"/>
        <v>4</v>
      </c>
      <c r="S92">
        <f t="shared" ca="1" si="24"/>
        <v>8</v>
      </c>
      <c r="T92" s="2" t="e">
        <f>(IFERROR(VLOOKUP(D92,'Employee Numbers'!$A$3:$C$84,3,FALSE),"NOT FOUND"))*8</f>
        <v>#VALUE!</v>
      </c>
    </row>
    <row r="93" spans="1:21" s="2" customFormat="1" ht="15" customHeight="1">
      <c r="A93" s="44" t="s">
        <v>129</v>
      </c>
      <c r="B93" s="44"/>
      <c r="C93" s="45"/>
      <c r="D93" s="263" t="s">
        <v>137</v>
      </c>
      <c r="E93" s="285">
        <f>IFERROR(VLOOKUP(D93,'Employee Numbers'!$A$3:$B$84,2,FALSE),"NOT FOUND")</f>
        <v>705273</v>
      </c>
      <c r="F93" s="264" t="s">
        <v>42</v>
      </c>
      <c r="G93" s="264"/>
      <c r="H93" s="264"/>
      <c r="I93" s="264"/>
      <c r="J93" s="264" t="s">
        <v>100</v>
      </c>
      <c r="K93" s="264" t="s">
        <v>100</v>
      </c>
      <c r="L93" s="264" t="s">
        <v>100</v>
      </c>
      <c r="N93">
        <f t="array" ref="N93">((SUM(IFERROR((TEXT(IF(ISNUMBER(SEARCH("-", F93:L93)), MID(F93:L93, SEARCH("-", F93:L93) + 1, 4), ""), "00\:00") - TEXT(IF(ISNUMBER(SEARCH("-", F93:L93)), MID(F93:L93, SEARCH("-", F93:L93) - 4, 4), ""), "00\:00") + IF(TEXT(IF(ISNUMBER(SEARCH("-", F93:L93)), MID(F93:L93, SEARCH("-", F93:L93) + 1, 4), ""), "00\:00") &lt; TEXT(IF(ISNUMBER(SEARCH("-", F93:L93)), MID(F93:L93, SEARCH("-", F93:L93) - 4, 4), ""), "00\:00"), 1, 0))*24,""))))/9.5</f>
        <v>4</v>
      </c>
      <c r="O93"/>
      <c r="P93"/>
      <c r="Q93" s="2">
        <f t="shared" si="25"/>
        <v>4</v>
      </c>
      <c r="S93">
        <f t="shared" ca="1" si="24"/>
        <v>8</v>
      </c>
      <c r="T93" s="2" t="e">
        <f>(IFERROR(VLOOKUP(D93,'Employee Numbers'!$A$3:$C$84,3,FALSE),"NOT FOUND"))*8</f>
        <v>#VALUE!</v>
      </c>
    </row>
    <row r="94" spans="1:21" s="2" customFormat="1" ht="15" customHeight="1">
      <c r="A94" s="2" t="s">
        <v>129</v>
      </c>
      <c r="C94" s="21"/>
      <c r="D94" s="263" t="s">
        <v>138</v>
      </c>
      <c r="E94" s="285">
        <f>IFERROR(VLOOKUP(D94,'Employee Numbers'!$A$3:$B$84,2,FALSE),"NOT FOUND")</f>
        <v>703418</v>
      </c>
      <c r="F94" s="264" t="s">
        <v>42</v>
      </c>
      <c r="G94" s="264"/>
      <c r="H94" s="264" t="s">
        <v>44</v>
      </c>
      <c r="I94" s="264" t="s">
        <v>44</v>
      </c>
      <c r="J94" s="264" t="s">
        <v>42</v>
      </c>
      <c r="K94" s="264"/>
      <c r="L94" s="264"/>
      <c r="N94">
        <f t="array" ref="N94">((SUM(IFERROR((TEXT(IF(ISNUMBER(SEARCH("-", F94:L94)), MID(F94:L94, SEARCH("-", F94:L94) + 1, 4), ""), "00\:00") - TEXT(IF(ISNUMBER(SEARCH("-", F94:L94)), MID(F94:L94, SEARCH("-", F94:L94) - 4, 4), ""), "00\:00") + IF(TEXT(IF(ISNUMBER(SEARCH("-", F94:L94)), MID(F94:L94, SEARCH("-", F94:L94) + 1, 4), ""), "00\:00") &lt; TEXT(IF(ISNUMBER(SEARCH("-", F94:L94)), MID(F94:L94, SEARCH("-", F94:L94) - 4, 4), ""), "00\:00"), 1, 0))*24,""))))/9.5</f>
        <v>4</v>
      </c>
      <c r="O94"/>
      <c r="P94"/>
      <c r="Q94" s="2">
        <f t="shared" si="25"/>
        <v>4</v>
      </c>
      <c r="S94">
        <f t="shared" ca="1" si="24"/>
        <v>7.9999999999999991</v>
      </c>
      <c r="T94" s="2" t="e">
        <f>(IFERROR(VLOOKUP(D94,'Employee Numbers'!$A$3:$C$84,3,FALSE),"NOT FOUND"))*8</f>
        <v>#VALUE!</v>
      </c>
    </row>
    <row r="95" spans="1:21" s="13" customFormat="1" ht="15" customHeight="1">
      <c r="A95" s="44" t="s">
        <v>129</v>
      </c>
      <c r="B95" s="44"/>
      <c r="C95" s="45"/>
      <c r="D95" s="263" t="s">
        <v>139</v>
      </c>
      <c r="E95" s="39">
        <f>IFERROR(VLOOKUP(D95,'Employee Numbers'!$A$3:$B$84,2,FALSE),"NOT FOUND")</f>
        <v>704108</v>
      </c>
      <c r="F95" s="130"/>
      <c r="G95" s="130"/>
      <c r="H95" s="130"/>
      <c r="I95" s="130"/>
      <c r="J95" s="130"/>
      <c r="K95" s="130"/>
      <c r="L95" s="130"/>
      <c r="M95" s="2"/>
      <c r="N95">
        <f t="array" ref="N95">((SUM(IFERROR((TEXT(IF(ISNUMBER(SEARCH("-", F95:L95)), MID(F95:L95, SEARCH("-", F95:L95) + 1, 4), ""), "00\:00") - TEXT(IF(ISNUMBER(SEARCH("-", F95:L95)), MID(F95:L95, SEARCH("-", F95:L95) - 4, 4), ""), "00\:00") + IF(TEXT(IF(ISNUMBER(SEARCH("-", F95:L95)), MID(F95:L95, SEARCH("-", F95:L95) + 1, 4), ""), "00\:00") &lt; TEXT(IF(ISNUMBER(SEARCH("-", F95:L95)), MID(F95:L95, SEARCH("-", F95:L95) - 4, 4), ""), "00\:00"), 1, 0))*24,""))))/9.5</f>
        <v>0</v>
      </c>
      <c r="O95"/>
      <c r="P95"/>
      <c r="Q95" s="2">
        <f t="shared" si="25"/>
        <v>0</v>
      </c>
      <c r="R95" s="2"/>
      <c r="S95">
        <f t="shared" ca="1" si="24"/>
        <v>4</v>
      </c>
      <c r="T95" s="2" t="e">
        <f>(IFERROR(VLOOKUP(D95,'Employee Numbers'!$A$3:$C$84,3,FALSE),"NOT FOUND"))*8</f>
        <v>#VALUE!</v>
      </c>
      <c r="U95" s="2"/>
    </row>
    <row r="96" spans="1:21" s="2" customFormat="1" ht="15" customHeight="1">
      <c r="A96" s="2" t="s">
        <v>129</v>
      </c>
      <c r="C96" s="21"/>
      <c r="D96" s="263" t="s">
        <v>140</v>
      </c>
      <c r="E96" s="39">
        <f>IFERROR(VLOOKUP(D96,'Employee Numbers'!$A$3:$B$84,2,FALSE),"NOT FOUND")</f>
        <v>651515</v>
      </c>
      <c r="F96" s="288"/>
      <c r="G96" s="288"/>
      <c r="H96" s="288"/>
      <c r="I96" s="288"/>
      <c r="J96" s="37"/>
      <c r="K96" s="37"/>
      <c r="L96" s="37"/>
      <c r="N96">
        <f t="array" ref="N96">((SUM(IFERROR((TEXT(IF(ISNUMBER(SEARCH("-", F96:L96)), MID(F96:L96, SEARCH("-", F96:L96) + 1, 4), ""), "00\:00") - TEXT(IF(ISNUMBER(SEARCH("-", F96:L96)), MID(F96:L96, SEARCH("-", F96:L96) - 4, 4), ""), "00\:00") + IF(TEXT(IF(ISNUMBER(SEARCH("-", F96:L96)), MID(F96:L96, SEARCH("-", F96:L96) + 1, 4), ""), "00\:00") &lt; TEXT(IF(ISNUMBER(SEARCH("-", F96:L96)), MID(F96:L96, SEARCH("-", F96:L96) - 4, 4), ""), "00\:00"), 1, 0))*24,""))))/9.5</f>
        <v>0</v>
      </c>
      <c r="O96"/>
      <c r="P96"/>
      <c r="Q96" s="2">
        <f t="shared" si="25"/>
        <v>0</v>
      </c>
      <c r="S96">
        <f t="shared" ca="1" si="24"/>
        <v>0</v>
      </c>
      <c r="T96" s="2" t="e">
        <f>(IFERROR(VLOOKUP(D96,'Employee Numbers'!$A$3:$C$84,3,FALSE),"NOT FOUND"))*8</f>
        <v>#VALUE!</v>
      </c>
    </row>
    <row r="97" spans="1:20" s="2" customFormat="1" ht="15" customHeight="1">
      <c r="A97" s="44" t="s">
        <v>129</v>
      </c>
      <c r="B97" s="44"/>
      <c r="C97" s="45"/>
      <c r="D97" s="263" t="s">
        <v>141</v>
      </c>
      <c r="E97" s="285">
        <f>IFERROR(VLOOKUP(D97,'Employee Numbers'!$A$3:$B$84,2,FALSE),"NOT FOUND")</f>
        <v>705199</v>
      </c>
      <c r="F97" s="264" t="s">
        <v>100</v>
      </c>
      <c r="G97" s="264" t="s">
        <v>100</v>
      </c>
      <c r="H97" s="264" t="s">
        <v>100</v>
      </c>
      <c r="I97" s="264" t="s">
        <v>100</v>
      </c>
      <c r="J97" s="287"/>
      <c r="K97" s="37"/>
      <c r="L97" s="37"/>
      <c r="N97">
        <f t="array" ref="N97">((SUM(IFERROR((TEXT(IF(ISNUMBER(SEARCH("-", F97:L97)), MID(F97:L97, SEARCH("-", F97:L97) + 1, 4), ""), "00\:00") - TEXT(IF(ISNUMBER(SEARCH("-", F97:L97)), MID(F97:L97, SEARCH("-", F97:L97) - 4, 4), ""), "00\:00") + IF(TEXT(IF(ISNUMBER(SEARCH("-", F97:L97)), MID(F97:L97, SEARCH("-", F97:L97) + 1, 4), ""), "00\:00") &lt; TEXT(IF(ISNUMBER(SEARCH("-", F97:L97)), MID(F97:L97, SEARCH("-", F97:L97) - 4, 4), ""), "00\:00"), 1, 0))*24,""))))/9.5</f>
        <v>3.9999999999999991</v>
      </c>
      <c r="O97"/>
      <c r="P97"/>
      <c r="Q97" s="2">
        <f>P97+O97+N97</f>
        <v>3.9999999999999991</v>
      </c>
      <c r="S97">
        <f t="shared" ca="1" si="24"/>
        <v>7.9999999999999991</v>
      </c>
      <c r="T97" s="2" t="e">
        <f>(IFERROR(VLOOKUP(D97,'Employee Numbers'!$A$3:$C$84,3,FALSE),"NOT FOUND"))*8</f>
        <v>#VALUE!</v>
      </c>
    </row>
    <row r="98" spans="1:20" s="2" customFormat="1" ht="15" customHeight="1">
      <c r="A98" s="2" t="s">
        <v>129</v>
      </c>
      <c r="D98" s="31"/>
      <c r="E98" s="39" t="str">
        <f>IFERROR(VLOOKUP(D98,'Employee Numbers'!$A$3:$B$84,2,FALSE),"NOT FOUND")</f>
        <v>NOT FOUND</v>
      </c>
      <c r="F98" s="130"/>
      <c r="G98" s="130"/>
      <c r="H98" s="130"/>
      <c r="I98" s="130"/>
      <c r="J98" s="37"/>
      <c r="K98" s="37"/>
      <c r="L98" s="37"/>
      <c r="N98">
        <f t="array" ref="N98">((SUM(IFERROR((TEXT(IF(ISNUMBER(SEARCH("-", F98:L98)), MID(F98:L98, SEARCH("-", F98:L98) + 1, 4), ""), "00\:00") - TEXT(IF(ISNUMBER(SEARCH("-", F98:L98)), MID(F98:L98, SEARCH("-", F98:L98) - 4, 4), ""), "00\:00") + IF(TEXT(IF(ISNUMBER(SEARCH("-", F98:L98)), MID(F98:L98, SEARCH("-", F98:L98) + 1, 4), ""), "00\:00") &lt; TEXT(IF(ISNUMBER(SEARCH("-", F98:L98)), MID(F98:L98, SEARCH("-", F98:L98) - 4, 4), ""), "00\:00"), 1, 0))*24,""))))/9.5</f>
        <v>0</v>
      </c>
      <c r="O98"/>
      <c r="P98"/>
      <c r="Q98" s="2">
        <f>P98+O98+N98</f>
        <v>0</v>
      </c>
      <c r="S98">
        <f t="shared" ca="1" si="24"/>
        <v>0</v>
      </c>
      <c r="T98" s="2" t="e">
        <f>(IFERROR(VLOOKUP(D98,'Employee Numbers'!$A$3:$C$84,3,FALSE),"NOT FOUND"))*8</f>
        <v>#VALUE!</v>
      </c>
    </row>
    <row r="99" spans="1:20" s="2" customFormat="1" ht="15" customHeight="1">
      <c r="A99" s="44" t="s">
        <v>129</v>
      </c>
      <c r="B99" s="44"/>
      <c r="C99" s="44"/>
      <c r="D99" s="30"/>
      <c r="E99" s="39" t="str">
        <f>IFERROR(VLOOKUP(D99,'Employee Numbers'!$A$3:$B$84,2,FALSE),"NOT FOUND")</f>
        <v>NOT FOUND</v>
      </c>
      <c r="F99" s="37"/>
      <c r="G99" s="37"/>
      <c r="H99" s="37"/>
      <c r="I99" s="37"/>
      <c r="J99" s="37"/>
      <c r="K99" s="37"/>
      <c r="L99" s="37"/>
      <c r="N99">
        <f t="array" ref="N99">((SUM(IFERROR((TEXT(IF(ISNUMBER(SEARCH("-", F99:L99)), MID(F99:L99, SEARCH("-", F99:L99) + 1, 4), ""), "00\:00") - TEXT(IF(ISNUMBER(SEARCH("-", F99:L99)), MID(F99:L99, SEARCH("-", F99:L99) - 4, 4), ""), "00\:00") + IF(TEXT(IF(ISNUMBER(SEARCH("-", F99:L99)), MID(F99:L99, SEARCH("-", F99:L99) + 1, 4), ""), "00\:00") &lt; TEXT(IF(ISNUMBER(SEARCH("-", F99:L99)), MID(F99:L99, SEARCH("-", F99:L99) - 4, 4), ""), "00\:00"), 1, 0))*24,""))))/9.5</f>
        <v>0</v>
      </c>
      <c r="O99"/>
      <c r="P99"/>
      <c r="Q99" s="2">
        <f>P99+O99+N99</f>
        <v>0</v>
      </c>
      <c r="S99">
        <f t="shared" ca="1" si="24"/>
        <v>0</v>
      </c>
      <c r="T99" s="2" t="e">
        <f>(IFERROR(VLOOKUP(D99,'Employee Numbers'!$A$3:$C$84,3,FALSE),"NOT FOUND"))*8</f>
        <v>#VALUE!</v>
      </c>
    </row>
    <row r="100" spans="1:20" s="2" customFormat="1" ht="15" customHeight="1">
      <c r="A100" s="56" t="s">
        <v>142</v>
      </c>
      <c r="B100" s="52"/>
      <c r="C100" s="53"/>
      <c r="D100" s="56" t="s">
        <v>142</v>
      </c>
      <c r="E100" s="41" t="s">
        <v>4</v>
      </c>
      <c r="F100" s="40" t="s">
        <v>5</v>
      </c>
      <c r="G100" s="40" t="s">
        <v>6</v>
      </c>
      <c r="H100" s="40" t="s">
        <v>7</v>
      </c>
      <c r="I100" s="40" t="s">
        <v>8</v>
      </c>
      <c r="J100" s="40" t="s">
        <v>9</v>
      </c>
      <c r="K100" s="40" t="s">
        <v>10</v>
      </c>
      <c r="L100" s="40" t="s">
        <v>11</v>
      </c>
      <c r="M100" s="5"/>
    </row>
    <row r="101" spans="1:20" s="2" customFormat="1" ht="15" customHeight="1">
      <c r="A101" s="2" t="s">
        <v>143</v>
      </c>
      <c r="B101" s="5"/>
      <c r="C101" s="8"/>
      <c r="D101" s="31" t="s">
        <v>144</v>
      </c>
      <c r="E101" s="39">
        <f>IFERROR(VLOOKUP(D101,'Employee Numbers'!$A$3:$B$84,2,FALSE),"NOT FOUND")</f>
        <v>641345</v>
      </c>
      <c r="F101" s="346" t="s">
        <v>44</v>
      </c>
      <c r="G101" s="347" t="s">
        <v>44</v>
      </c>
      <c r="H101" s="330" t="s">
        <v>44</v>
      </c>
      <c r="I101" s="347" t="s">
        <v>44</v>
      </c>
      <c r="J101" s="347"/>
      <c r="K101" s="347" t="s">
        <v>145</v>
      </c>
      <c r="L101" s="347" t="s">
        <v>44</v>
      </c>
      <c r="M101" s="5"/>
      <c r="N101">
        <f t="array" ref="N101">((SUM(IFERROR((TEXT(IF(ISNUMBER(SEARCH("-", F101:L101)), MID(F101:L101, SEARCH("-", F101:L101) + 1, 4), ""), "00\:00") - TEXT(IF(ISNUMBER(SEARCH("-", F101:L101)), MID(F101:L101, SEARCH("-", F101:L101) - 4, 4), ""), "00\:00") + IF(TEXT(IF(ISNUMBER(SEARCH("-", F101:L101)), MID(F101:L101, SEARCH("-", F101:L101) + 1, 4), ""), "00\:00") &lt; TEXT(IF(ISNUMBER(SEARCH("-", F101:L101)), MID(F101:L101, SEARCH("-", F101:L101) - 4, 4), ""), "00\:00"), 1, 0))*24,""))))/9.5</f>
        <v>5</v>
      </c>
      <c r="O101"/>
      <c r="P101"/>
      <c r="Q101" s="2">
        <f>P101+O101+N101</f>
        <v>5</v>
      </c>
      <c r="S101">
        <f t="shared" ref="S101:S102" ca="1" si="26">IF($C$4=1,SUM(Q101+INDIRECT("'Week "&amp;($B$3+1)&amp;"'!Q"&amp;(ROW()))),IF($C$4=2,SUM(Q101+INDIRECT("'Week "&amp;($B$3-1)&amp;"'!Q"&amp;(ROW())))))</f>
        <v>8</v>
      </c>
      <c r="T101" s="2">
        <f>(IFERROR(VLOOKUP(D101,'Employee Numbers'!$A$3:$C$84,3,FALSE),"NOT FOUND"))*8</f>
        <v>0</v>
      </c>
    </row>
    <row r="102" spans="1:20" s="2" customFormat="1" ht="15" customHeight="1">
      <c r="A102" s="44" t="s">
        <v>143</v>
      </c>
      <c r="B102" s="5"/>
      <c r="C102" s="8"/>
      <c r="D102" s="31" t="s">
        <v>146</v>
      </c>
      <c r="E102" s="39">
        <f>IFERROR(VLOOKUP(D102,'Employee Numbers'!$A$3:$B$84,2,FALSE),"NOT FOUND")</f>
        <v>703521</v>
      </c>
      <c r="F102" s="346" t="s">
        <v>145</v>
      </c>
      <c r="G102" s="347" t="s">
        <v>145</v>
      </c>
      <c r="H102" s="347"/>
      <c r="I102" s="347" t="s">
        <v>147</v>
      </c>
      <c r="J102" s="347" t="s">
        <v>44</v>
      </c>
      <c r="K102" s="347" t="s">
        <v>44</v>
      </c>
      <c r="L102" s="347"/>
      <c r="M102" s="5"/>
      <c r="N102">
        <f t="array" ref="N102">((SUM(IFERROR((TEXT(IF(ISNUMBER(SEARCH("-", F102:L102)), MID(F102:L102, SEARCH("-", F102:L102) + 1, 4), ""), "00\:00") - TEXT(IF(ISNUMBER(SEARCH("-", F102:L102)), MID(F102:L102, SEARCH("-", F102:L102) - 4, 4), ""), "00\:00") + IF(TEXT(IF(ISNUMBER(SEARCH("-", F102:L102)), MID(F102:L102, SEARCH("-", F102:L102) + 1, 4), ""), "00\:00") &lt; TEXT(IF(ISNUMBER(SEARCH("-", F102:L102)), MID(F102:L102, SEARCH("-", F102:L102) - 4, 4), ""), "00\:00"), 1, 0))*24,""))))/9.5</f>
        <v>3</v>
      </c>
      <c r="O102"/>
      <c r="P102"/>
      <c r="Q102" s="2">
        <f>P102+O102+N102</f>
        <v>3</v>
      </c>
      <c r="S102">
        <f t="shared" ca="1" si="26"/>
        <v>8</v>
      </c>
      <c r="T102" s="2">
        <f>(IFERROR(VLOOKUP(D102,'Employee Numbers'!$A$3:$C$84,3,FALSE),"NOT FOUND"))*8</f>
        <v>0</v>
      </c>
    </row>
    <row r="103" spans="1:20" s="2" customFormat="1" ht="15" customHeight="1">
      <c r="A103" s="54" t="s">
        <v>148</v>
      </c>
      <c r="B103" s="54"/>
      <c r="C103" s="54"/>
      <c r="D103" s="57" t="s">
        <v>148</v>
      </c>
      <c r="E103" s="107"/>
      <c r="F103" s="57"/>
      <c r="G103" s="57"/>
      <c r="H103" s="57"/>
      <c r="I103" s="57"/>
      <c r="J103" s="57"/>
      <c r="K103" s="57"/>
      <c r="L103" s="57"/>
      <c r="M103" s="5"/>
      <c r="N103"/>
      <c r="O103"/>
      <c r="Q103"/>
    </row>
    <row r="104" spans="1:20" ht="15" customHeight="1">
      <c r="B104" s="2"/>
      <c r="C104" s="21"/>
      <c r="D104" s="31"/>
      <c r="E104" s="154" t="s">
        <v>149</v>
      </c>
      <c r="F104" s="31"/>
      <c r="G104" s="31"/>
      <c r="H104" s="31"/>
      <c r="I104" s="31"/>
      <c r="J104" s="31"/>
      <c r="K104" s="31"/>
      <c r="L104" s="31"/>
      <c r="N104"/>
      <c r="O104"/>
      <c r="P104" s="2"/>
      <c r="Q104"/>
      <c r="R104" s="2"/>
    </row>
    <row r="105" spans="1:20" ht="15" customHeight="1" thickBot="1">
      <c r="L105" s="6"/>
      <c r="N105"/>
      <c r="O105"/>
      <c r="P105" s="2"/>
      <c r="Q105"/>
      <c r="R105" s="2"/>
    </row>
    <row r="106" spans="1:20" ht="15" customHeight="1">
      <c r="D106" s="77" t="s">
        <v>150</v>
      </c>
      <c r="F106" s="88" t="s">
        <v>151</v>
      </c>
      <c r="G106" s="89"/>
      <c r="H106" s="89"/>
      <c r="I106" s="89"/>
      <c r="J106" s="89"/>
      <c r="K106" s="89"/>
      <c r="L106" s="90"/>
      <c r="N106"/>
      <c r="O106"/>
      <c r="P106" s="2"/>
      <c r="Q106"/>
      <c r="R106" s="2"/>
    </row>
    <row r="107" spans="1:20" ht="15" customHeight="1">
      <c r="D107" s="78" t="s">
        <v>152</v>
      </c>
      <c r="F107" s="24" t="s">
        <v>153</v>
      </c>
      <c r="G107"/>
      <c r="L107" s="6"/>
      <c r="N107" s="2"/>
      <c r="O107" s="2"/>
      <c r="P107" s="2"/>
      <c r="Q107" s="2"/>
      <c r="R107" s="2"/>
    </row>
    <row r="108" spans="1:20" ht="15" customHeight="1">
      <c r="D108" s="79" t="s">
        <v>154</v>
      </c>
      <c r="F108" s="24" t="s">
        <v>155</v>
      </c>
      <c r="G108"/>
      <c r="L108" s="6"/>
      <c r="N108"/>
      <c r="O108"/>
      <c r="P108" s="2"/>
      <c r="Q108"/>
      <c r="R108" s="2"/>
    </row>
    <row r="109" spans="1:20" ht="15" customHeight="1">
      <c r="D109" s="80" t="s">
        <v>156</v>
      </c>
      <c r="F109" s="24" t="s">
        <v>157</v>
      </c>
      <c r="G109"/>
      <c r="L109" s="6"/>
      <c r="N109"/>
      <c r="O109"/>
      <c r="P109" s="2"/>
      <c r="Q109"/>
      <c r="R109" s="2"/>
    </row>
    <row r="110" spans="1:20" ht="15" customHeight="1">
      <c r="D110" s="81" t="s">
        <v>158</v>
      </c>
      <c r="F110" s="24" t="s">
        <v>159</v>
      </c>
      <c r="G110"/>
      <c r="L110" s="6"/>
      <c r="N110" s="2"/>
      <c r="O110" s="2"/>
      <c r="P110" s="2"/>
      <c r="Q110" s="2"/>
      <c r="R110" s="2"/>
    </row>
    <row r="111" spans="1:20" ht="15" customHeight="1" thickBot="1">
      <c r="A111" s="2"/>
      <c r="F111" s="25" t="s">
        <v>160</v>
      </c>
      <c r="G111" s="17"/>
      <c r="H111" s="7"/>
      <c r="I111" s="7"/>
      <c r="J111" s="7"/>
      <c r="K111" s="7"/>
      <c r="L111" s="18"/>
      <c r="N111" s="2"/>
      <c r="O111" s="2"/>
      <c r="P111" s="2"/>
      <c r="Q111" s="2"/>
      <c r="R111" s="2"/>
    </row>
    <row r="112" spans="1:20" ht="15" customHeight="1">
      <c r="G112" s="14"/>
    </row>
    <row r="113" spans="1:18" s="2" customFormat="1" ht="15" customHeight="1">
      <c r="A113" s="42" t="s">
        <v>38</v>
      </c>
      <c r="B113" s="33"/>
      <c r="C113" s="43"/>
      <c r="D113" s="82" t="s">
        <v>38</v>
      </c>
      <c r="E113" s="19"/>
      <c r="F113" s="10"/>
      <c r="G113" s="11"/>
      <c r="H113" s="11"/>
      <c r="I113" s="11"/>
      <c r="J113" s="11"/>
      <c r="K113" s="11"/>
      <c r="L113" s="15"/>
      <c r="M113" s="5"/>
      <c r="N113" s="5"/>
      <c r="O113" s="5"/>
      <c r="P113" s="5"/>
      <c r="Q113" s="5"/>
      <c r="R113" s="5"/>
    </row>
    <row r="114" spans="1:18" ht="15" customHeight="1" thickBot="1"/>
    <row r="115" spans="1:18" ht="15" customHeight="1" thickBot="1">
      <c r="A115" s="2" t="s">
        <v>161</v>
      </c>
      <c r="B115" s="55" t="s">
        <v>162</v>
      </c>
      <c r="C115" s="21"/>
      <c r="D115" s="27" t="str">
        <f t="shared" ref="D115:D143" si="27">D21</f>
        <v>Dr Adam West</v>
      </c>
      <c r="E115" s="22">
        <f>IFERROR(VLOOKUP(D115,'Employee Numbers'!$A$3:$B$84,2,FALSE),"NOT FOUND")</f>
        <v>287628</v>
      </c>
      <c r="F115" s="9" t="str">
        <f t="shared" ref="F115:L130" si="28">IF(F$50=$D115,"Con_8_0000","")</f>
        <v/>
      </c>
      <c r="G115" s="9" t="str">
        <f t="shared" si="28"/>
        <v/>
      </c>
      <c r="H115" s="9" t="str">
        <f t="shared" si="28"/>
        <v/>
      </c>
      <c r="I115" s="9" t="str">
        <f t="shared" si="28"/>
        <v/>
      </c>
      <c r="J115" s="9" t="str">
        <f t="shared" si="28"/>
        <v/>
      </c>
      <c r="K115" s="9" t="str">
        <f t="shared" si="28"/>
        <v/>
      </c>
      <c r="L115" s="9" t="str">
        <f t="shared" si="28"/>
        <v/>
      </c>
    </row>
    <row r="116" spans="1:18" ht="15" customHeight="1" thickBot="1">
      <c r="A116" s="2" t="s">
        <v>161</v>
      </c>
      <c r="B116" s="55" t="s">
        <v>162</v>
      </c>
      <c r="C116" s="21"/>
      <c r="D116" s="27" t="str">
        <f t="shared" si="27"/>
        <v>Dr Toby VanHest</v>
      </c>
      <c r="E116" s="22">
        <f>IFERROR(VLOOKUP(D116,'Employee Numbers'!$A$3:$B$84,2,FALSE),"NOT FOUND")</f>
        <v>609660</v>
      </c>
      <c r="F116" s="9" t="str">
        <f t="shared" si="28"/>
        <v/>
      </c>
      <c r="G116" s="9" t="str">
        <f t="shared" si="28"/>
        <v/>
      </c>
      <c r="H116" s="9" t="str">
        <f t="shared" si="28"/>
        <v>Con_8_0000</v>
      </c>
      <c r="I116" s="9" t="str">
        <f t="shared" si="28"/>
        <v/>
      </c>
      <c r="J116" s="9" t="str">
        <f t="shared" si="28"/>
        <v/>
      </c>
      <c r="K116" s="9" t="str">
        <f t="shared" si="28"/>
        <v/>
      </c>
      <c r="L116" s="9" t="str">
        <f t="shared" si="28"/>
        <v/>
      </c>
    </row>
    <row r="117" spans="1:18" ht="15" customHeight="1" thickBot="1">
      <c r="A117" s="2" t="s">
        <v>161</v>
      </c>
      <c r="B117" s="55" t="s">
        <v>162</v>
      </c>
      <c r="C117" s="21"/>
      <c r="D117" s="27" t="str">
        <f t="shared" si="27"/>
        <v>Dr Bob Seith</v>
      </c>
      <c r="E117" s="22">
        <f>IFERROR(VLOOKUP(D117,'Employee Numbers'!$A$3:$B$84,2,FALSE),"NOT FOUND")</f>
        <v>610036</v>
      </c>
      <c r="F117" s="9" t="str">
        <f t="shared" si="28"/>
        <v/>
      </c>
      <c r="G117" s="9" t="str">
        <f t="shared" si="28"/>
        <v/>
      </c>
      <c r="H117" s="9" t="str">
        <f t="shared" si="28"/>
        <v/>
      </c>
      <c r="I117" s="9" t="str">
        <f t="shared" si="28"/>
        <v/>
      </c>
      <c r="J117" s="9" t="str">
        <f t="shared" si="28"/>
        <v/>
      </c>
      <c r="K117" s="9" t="str">
        <f t="shared" si="28"/>
        <v/>
      </c>
      <c r="L117" s="9" t="str">
        <f t="shared" si="28"/>
        <v/>
      </c>
    </row>
    <row r="118" spans="1:18" ht="15" customHeight="1" thickBot="1">
      <c r="A118" s="2" t="s">
        <v>161</v>
      </c>
      <c r="B118" s="55" t="s">
        <v>162</v>
      </c>
      <c r="C118" s="21"/>
      <c r="D118" s="27" t="str">
        <f t="shared" si="27"/>
        <v>Dr Simon Craig</v>
      </c>
      <c r="E118" s="22">
        <f>IFERROR(VLOOKUP(D118,'Employee Numbers'!$A$3:$B$84,2,FALSE),"NOT FOUND")</f>
        <v>533509</v>
      </c>
      <c r="F118" s="9" t="str">
        <f t="shared" si="28"/>
        <v/>
      </c>
      <c r="G118" s="9" t="str">
        <f t="shared" si="28"/>
        <v/>
      </c>
      <c r="H118" s="9" t="str">
        <f t="shared" si="28"/>
        <v/>
      </c>
      <c r="I118" s="9" t="str">
        <f t="shared" si="28"/>
        <v/>
      </c>
      <c r="J118" s="9" t="str">
        <f t="shared" si="28"/>
        <v/>
      </c>
      <c r="K118" s="9" t="str">
        <f t="shared" si="28"/>
        <v/>
      </c>
      <c r="L118" s="9" t="str">
        <f t="shared" si="28"/>
        <v/>
      </c>
    </row>
    <row r="119" spans="1:18" ht="15" customHeight="1" thickBot="1">
      <c r="A119" s="2" t="s">
        <v>161</v>
      </c>
      <c r="B119" s="55" t="s">
        <v>162</v>
      </c>
      <c r="C119" s="21"/>
      <c r="D119" s="27" t="str">
        <f t="shared" si="27"/>
        <v>Dr Celia Bagshaw</v>
      </c>
      <c r="E119" s="22">
        <f>IFERROR(VLOOKUP(D119,'Employee Numbers'!$A$3:$B$84,2,FALSE),"NOT FOUND")</f>
        <v>625985</v>
      </c>
      <c r="F119" s="9" t="str">
        <f t="shared" si="28"/>
        <v/>
      </c>
      <c r="G119" s="9" t="str">
        <f t="shared" si="28"/>
        <v/>
      </c>
      <c r="H119" s="9" t="str">
        <f t="shared" si="28"/>
        <v/>
      </c>
      <c r="I119" s="9" t="str">
        <f t="shared" si="28"/>
        <v/>
      </c>
      <c r="J119" s="9" t="str">
        <f t="shared" si="28"/>
        <v/>
      </c>
      <c r="K119" s="9" t="str">
        <f t="shared" si="28"/>
        <v/>
      </c>
      <c r="L119" s="9" t="str">
        <f t="shared" si="28"/>
        <v/>
      </c>
    </row>
    <row r="120" spans="1:18" ht="15" customHeight="1" thickBot="1">
      <c r="A120" s="2" t="s">
        <v>161</v>
      </c>
      <c r="B120" s="55" t="s">
        <v>162</v>
      </c>
      <c r="C120" s="21"/>
      <c r="D120" s="27" t="str">
        <f t="shared" si="27"/>
        <v>Dr Adnan Bilgrami</v>
      </c>
      <c r="E120" s="22">
        <f>IFERROR(VLOOKUP(D120,'Employee Numbers'!$A$3:$B$84,2,FALSE),"NOT FOUND")</f>
        <v>632301</v>
      </c>
      <c r="F120" s="9" t="str">
        <f t="shared" si="28"/>
        <v/>
      </c>
      <c r="G120" s="9" t="str">
        <f t="shared" si="28"/>
        <v/>
      </c>
      <c r="H120" s="9" t="str">
        <f t="shared" si="28"/>
        <v/>
      </c>
      <c r="I120" s="9" t="str">
        <f t="shared" si="28"/>
        <v/>
      </c>
      <c r="J120" s="9" t="str">
        <f t="shared" si="28"/>
        <v/>
      </c>
      <c r="K120" s="9" t="str">
        <f t="shared" si="28"/>
        <v/>
      </c>
      <c r="L120" s="9" t="str">
        <f t="shared" si="28"/>
        <v>Con_8_0000</v>
      </c>
    </row>
    <row r="121" spans="1:18" ht="15" customHeight="1" thickBot="1">
      <c r="A121" s="2" t="s">
        <v>161</v>
      </c>
      <c r="B121" s="55" t="s">
        <v>162</v>
      </c>
      <c r="C121" s="21"/>
      <c r="D121" s="27" t="str">
        <f t="shared" si="27"/>
        <v>Dr Preeti Ramaswamy</v>
      </c>
      <c r="E121" s="22">
        <f>IFERROR(VLOOKUP(D121,'Employee Numbers'!$A$3:$B$84,2,FALSE),"NOT FOUND")</f>
        <v>613891</v>
      </c>
      <c r="F121" s="9" t="str">
        <f t="shared" si="28"/>
        <v/>
      </c>
      <c r="G121" s="9" t="str">
        <f t="shared" si="28"/>
        <v/>
      </c>
      <c r="H121" s="9" t="str">
        <f t="shared" si="28"/>
        <v/>
      </c>
      <c r="I121" s="9" t="str">
        <f t="shared" si="28"/>
        <v>Con_8_0000</v>
      </c>
      <c r="J121" s="9" t="str">
        <f t="shared" si="28"/>
        <v/>
      </c>
      <c r="K121" s="9" t="str">
        <f t="shared" si="28"/>
        <v/>
      </c>
      <c r="L121" s="9" t="str">
        <f t="shared" si="28"/>
        <v/>
      </c>
      <c r="N121" s="2"/>
      <c r="O121" s="2"/>
      <c r="P121" s="2"/>
      <c r="Q121" s="2"/>
      <c r="R121" s="2"/>
    </row>
    <row r="122" spans="1:18" ht="15" customHeight="1" thickBot="1">
      <c r="A122" s="2" t="s">
        <v>161</v>
      </c>
      <c r="B122" s="55" t="s">
        <v>162</v>
      </c>
      <c r="C122" s="21"/>
      <c r="D122" s="27" t="str">
        <f t="shared" si="27"/>
        <v>Dr Erin Mills</v>
      </c>
      <c r="E122" s="22">
        <f>IFERROR(VLOOKUP(D122,'Employee Numbers'!$A$3:$B$84,2,FALSE),"NOT FOUND")</f>
        <v>623657</v>
      </c>
      <c r="F122" s="9" t="str">
        <f t="shared" si="28"/>
        <v/>
      </c>
      <c r="G122" s="9" t="str">
        <f t="shared" si="28"/>
        <v/>
      </c>
      <c r="H122" s="9" t="str">
        <f t="shared" si="28"/>
        <v/>
      </c>
      <c r="I122" s="9" t="str">
        <f t="shared" si="28"/>
        <v/>
      </c>
      <c r="J122" s="9" t="str">
        <f t="shared" si="28"/>
        <v/>
      </c>
      <c r="K122" s="9" t="str">
        <f t="shared" si="28"/>
        <v/>
      </c>
      <c r="L122" s="9" t="str">
        <f t="shared" si="28"/>
        <v/>
      </c>
    </row>
    <row r="123" spans="1:18" ht="15" customHeight="1" thickBot="1">
      <c r="A123" s="2" t="s">
        <v>161</v>
      </c>
      <c r="B123" s="55" t="s">
        <v>162</v>
      </c>
      <c r="C123" s="21"/>
      <c r="D123" s="27" t="str">
        <f t="shared" si="27"/>
        <v>Dr Stella Robinson</v>
      </c>
      <c r="E123" s="22">
        <f>IFERROR(VLOOKUP(D123,'Employee Numbers'!$A$3:$B$84,2,FALSE),"NOT FOUND")</f>
        <v>623708</v>
      </c>
      <c r="F123" s="9" t="str">
        <f t="shared" si="28"/>
        <v/>
      </c>
      <c r="G123" s="9" t="str">
        <f t="shared" si="28"/>
        <v/>
      </c>
      <c r="H123" s="9" t="str">
        <f t="shared" si="28"/>
        <v/>
      </c>
      <c r="I123" s="9" t="str">
        <f t="shared" si="28"/>
        <v/>
      </c>
      <c r="J123" s="9" t="str">
        <f t="shared" si="28"/>
        <v/>
      </c>
      <c r="K123" s="9" t="str">
        <f t="shared" si="28"/>
        <v/>
      </c>
      <c r="L123" s="9" t="str">
        <f t="shared" si="28"/>
        <v/>
      </c>
    </row>
    <row r="124" spans="1:18" ht="15" customHeight="1" thickBot="1">
      <c r="A124" s="2" t="s">
        <v>161</v>
      </c>
      <c r="B124" s="55" t="s">
        <v>162</v>
      </c>
      <c r="C124" s="21"/>
      <c r="D124" s="27" t="str">
        <f t="shared" si="27"/>
        <v>Dr Bev Thompson</v>
      </c>
      <c r="E124" s="22">
        <f>IFERROR(VLOOKUP(D124,'Employee Numbers'!$A$3:$B$84,2,FALSE),"NOT FOUND")</f>
        <v>627680</v>
      </c>
      <c r="F124" s="9" t="str">
        <f t="shared" si="28"/>
        <v/>
      </c>
      <c r="G124" s="9" t="str">
        <f t="shared" si="28"/>
        <v/>
      </c>
      <c r="H124" s="9" t="str">
        <f t="shared" si="28"/>
        <v/>
      </c>
      <c r="I124" s="9" t="str">
        <f t="shared" si="28"/>
        <v/>
      </c>
      <c r="J124" s="9" t="str">
        <f t="shared" si="28"/>
        <v/>
      </c>
      <c r="K124" s="9" t="str">
        <f t="shared" si="28"/>
        <v>Con_8_0000</v>
      </c>
      <c r="L124" s="9" t="str">
        <f t="shared" si="28"/>
        <v/>
      </c>
    </row>
    <row r="125" spans="1:18" ht="15" customHeight="1" thickBot="1">
      <c r="A125" s="2" t="s">
        <v>161</v>
      </c>
      <c r="B125" s="55" t="s">
        <v>162</v>
      </c>
      <c r="C125" s="21"/>
      <c r="D125" s="27" t="str">
        <f t="shared" si="27"/>
        <v>Dr John Unwin</v>
      </c>
      <c r="E125" s="22">
        <f>IFERROR(VLOOKUP(D125,'Employee Numbers'!$A$3:$B$84,2,FALSE),"NOT FOUND")</f>
        <v>633210</v>
      </c>
      <c r="F125" s="9" t="str">
        <f t="shared" si="28"/>
        <v/>
      </c>
      <c r="G125" s="9" t="str">
        <f t="shared" si="28"/>
        <v/>
      </c>
      <c r="H125" s="9" t="str">
        <f t="shared" si="28"/>
        <v/>
      </c>
      <c r="I125" s="9" t="str">
        <f t="shared" si="28"/>
        <v/>
      </c>
      <c r="J125" s="9" t="str">
        <f t="shared" si="28"/>
        <v/>
      </c>
      <c r="K125" s="9" t="str">
        <f t="shared" si="28"/>
        <v/>
      </c>
      <c r="L125" s="9" t="str">
        <f t="shared" si="28"/>
        <v/>
      </c>
    </row>
    <row r="126" spans="1:18" ht="15" customHeight="1" thickBot="1">
      <c r="A126" s="2" t="s">
        <v>161</v>
      </c>
      <c r="B126" s="55" t="s">
        <v>162</v>
      </c>
      <c r="C126" s="21"/>
      <c r="D126" s="27" t="str">
        <f t="shared" si="27"/>
        <v>Dr Siri Samudrala</v>
      </c>
      <c r="E126" s="22">
        <f>IFERROR(VLOOKUP(D126,'Employee Numbers'!$A$3:$B$84,2,FALSE),"NOT FOUND")</f>
        <v>618952</v>
      </c>
      <c r="F126" s="9" t="str">
        <f t="shared" si="28"/>
        <v/>
      </c>
      <c r="G126" s="9" t="str">
        <f t="shared" si="28"/>
        <v>Con_8_0000</v>
      </c>
      <c r="H126" s="9" t="str">
        <f t="shared" si="28"/>
        <v/>
      </c>
      <c r="I126" s="9" t="str">
        <f t="shared" si="28"/>
        <v/>
      </c>
      <c r="J126" s="9" t="str">
        <f t="shared" si="28"/>
        <v/>
      </c>
      <c r="K126" s="9" t="str">
        <f t="shared" si="28"/>
        <v/>
      </c>
      <c r="L126" s="9" t="str">
        <f t="shared" si="28"/>
        <v/>
      </c>
    </row>
    <row r="127" spans="1:18" ht="15" customHeight="1" thickBot="1">
      <c r="A127" s="2" t="s">
        <v>161</v>
      </c>
      <c r="B127" s="55" t="s">
        <v>162</v>
      </c>
      <c r="C127" s="21"/>
      <c r="D127" s="27" t="str">
        <f t="shared" si="27"/>
        <v>Dr Tessa Smith</v>
      </c>
      <c r="E127" s="22">
        <f>IFERROR(VLOOKUP(D127,'Employee Numbers'!$A$3:$B$84,2,FALSE),"NOT FOUND")</f>
        <v>649039</v>
      </c>
      <c r="F127" s="9" t="str">
        <f t="shared" si="28"/>
        <v/>
      </c>
      <c r="G127" s="9" t="str">
        <f t="shared" si="28"/>
        <v/>
      </c>
      <c r="H127" s="9" t="str">
        <f t="shared" si="28"/>
        <v/>
      </c>
      <c r="I127" s="9" t="str">
        <f t="shared" si="28"/>
        <v/>
      </c>
      <c r="J127" s="9" t="str">
        <f t="shared" si="28"/>
        <v/>
      </c>
      <c r="K127" s="9" t="str">
        <f t="shared" si="28"/>
        <v/>
      </c>
      <c r="L127" s="9" t="str">
        <f t="shared" si="28"/>
        <v/>
      </c>
    </row>
    <row r="128" spans="1:18" ht="15" customHeight="1" thickBot="1">
      <c r="A128" s="2" t="s">
        <v>161</v>
      </c>
      <c r="B128" s="55" t="s">
        <v>162</v>
      </c>
      <c r="C128" s="21"/>
      <c r="D128" s="27" t="str">
        <f t="shared" si="27"/>
        <v>Dr Brad Dent</v>
      </c>
      <c r="E128" s="22">
        <f>IFERROR(VLOOKUP(D128,'Employee Numbers'!$A$3:$B$84,2,FALSE),"NOT FOUND")</f>
        <v>649671</v>
      </c>
      <c r="F128" s="9" t="str">
        <f t="shared" si="28"/>
        <v/>
      </c>
      <c r="G128" s="9" t="str">
        <f t="shared" si="28"/>
        <v/>
      </c>
      <c r="H128" s="9" t="str">
        <f t="shared" si="28"/>
        <v/>
      </c>
      <c r="I128" s="9" t="str">
        <f t="shared" si="28"/>
        <v/>
      </c>
      <c r="J128" s="9" t="str">
        <f t="shared" si="28"/>
        <v/>
      </c>
      <c r="K128" s="9" t="str">
        <f t="shared" si="28"/>
        <v/>
      </c>
      <c r="L128" s="9" t="str">
        <f t="shared" si="28"/>
        <v/>
      </c>
    </row>
    <row r="129" spans="1:18" ht="15" customHeight="1" thickBot="1">
      <c r="A129" s="2" t="s">
        <v>161</v>
      </c>
      <c r="B129" s="55" t="s">
        <v>162</v>
      </c>
      <c r="C129" s="21"/>
      <c r="D129" s="27" t="str">
        <f t="shared" si="27"/>
        <v>Dr Marjolein Slaa</v>
      </c>
      <c r="E129" s="22">
        <f>IFERROR(VLOOKUP(D129,'Employee Numbers'!$A$3:$B$84,2,FALSE),"NOT FOUND")</f>
        <v>646047</v>
      </c>
      <c r="F129" s="9" t="str">
        <f t="shared" si="28"/>
        <v/>
      </c>
      <c r="G129" s="9" t="str">
        <f t="shared" si="28"/>
        <v/>
      </c>
      <c r="H129" s="9" t="str">
        <f t="shared" si="28"/>
        <v/>
      </c>
      <c r="I129" s="9" t="str">
        <f t="shared" si="28"/>
        <v/>
      </c>
      <c r="J129" s="9" t="str">
        <f t="shared" si="28"/>
        <v/>
      </c>
      <c r="K129" s="9" t="str">
        <f t="shared" si="28"/>
        <v/>
      </c>
      <c r="L129" s="9" t="str">
        <f t="shared" si="28"/>
        <v/>
      </c>
    </row>
    <row r="130" spans="1:18" ht="15" customHeight="1" thickBot="1">
      <c r="A130" s="2" t="s">
        <v>161</v>
      </c>
      <c r="B130" s="55" t="s">
        <v>162</v>
      </c>
      <c r="C130" s="21"/>
      <c r="D130" s="27" t="str">
        <f t="shared" si="27"/>
        <v>Dr Natalie Hood</v>
      </c>
      <c r="E130" s="22">
        <f>IFERROR(VLOOKUP(D130,'Employee Numbers'!$A$3:$B$84,2,FALSE),"NOT FOUND")</f>
        <v>164003</v>
      </c>
      <c r="F130" s="9" t="str">
        <f t="shared" si="28"/>
        <v/>
      </c>
      <c r="G130" s="9" t="str">
        <f t="shared" si="28"/>
        <v/>
      </c>
      <c r="H130" s="9" t="str">
        <f t="shared" si="28"/>
        <v/>
      </c>
      <c r="I130" s="9" t="str">
        <f t="shared" si="28"/>
        <v/>
      </c>
      <c r="J130" s="9" t="str">
        <f t="shared" si="28"/>
        <v/>
      </c>
      <c r="K130" s="9" t="str">
        <f t="shared" si="28"/>
        <v/>
      </c>
      <c r="L130" s="9" t="str">
        <f t="shared" si="28"/>
        <v/>
      </c>
    </row>
    <row r="131" spans="1:18" ht="15" customHeight="1" thickBot="1">
      <c r="A131" s="2" t="s">
        <v>161</v>
      </c>
      <c r="B131" s="55" t="s">
        <v>162</v>
      </c>
      <c r="C131" s="21"/>
      <c r="D131" s="27" t="str">
        <f t="shared" si="27"/>
        <v>Dr Michael Coman</v>
      </c>
      <c r="E131" s="22">
        <f>IFERROR(VLOOKUP(D131,'Employee Numbers'!$A$3:$B$84,2,FALSE),"NOT FOUND")</f>
        <v>609408</v>
      </c>
      <c r="F131" s="9" t="str">
        <f t="shared" ref="F131:L143" si="29">IF(F$50=$D131,"Con_8_0000","")</f>
        <v/>
      </c>
      <c r="G131" s="9" t="str">
        <f t="shared" si="29"/>
        <v/>
      </c>
      <c r="H131" s="9" t="str">
        <f t="shared" si="29"/>
        <v/>
      </c>
      <c r="I131" s="9" t="str">
        <f t="shared" si="29"/>
        <v/>
      </c>
      <c r="J131" s="9" t="str">
        <f t="shared" si="29"/>
        <v>Con_8_0000</v>
      </c>
      <c r="K131" s="9" t="str">
        <f t="shared" si="29"/>
        <v/>
      </c>
      <c r="L131" s="9" t="str">
        <f t="shared" si="29"/>
        <v/>
      </c>
    </row>
    <row r="132" spans="1:18" ht="15" customHeight="1" thickBot="1">
      <c r="A132" s="2" t="s">
        <v>161</v>
      </c>
      <c r="B132" s="55" t="s">
        <v>162</v>
      </c>
      <c r="C132" s="21"/>
      <c r="D132" s="27" t="str">
        <f t="shared" si="27"/>
        <v>Dr Andrew Hardy</v>
      </c>
      <c r="E132" s="22">
        <f>IFERROR(VLOOKUP(D132,'Employee Numbers'!$A$3:$B$84,2,FALSE),"NOT FOUND")</f>
        <v>627619</v>
      </c>
      <c r="F132" s="9" t="str">
        <f t="shared" si="29"/>
        <v/>
      </c>
      <c r="G132" s="9" t="str">
        <f t="shared" si="29"/>
        <v/>
      </c>
      <c r="H132" s="9" t="str">
        <f t="shared" si="29"/>
        <v/>
      </c>
      <c r="I132" s="9" t="str">
        <f t="shared" si="29"/>
        <v/>
      </c>
      <c r="J132" s="9" t="str">
        <f t="shared" si="29"/>
        <v/>
      </c>
      <c r="K132" s="9" t="str">
        <f t="shared" si="29"/>
        <v/>
      </c>
      <c r="L132" s="9" t="str">
        <f t="shared" si="29"/>
        <v/>
      </c>
    </row>
    <row r="133" spans="1:18" ht="15" customHeight="1" thickBot="1">
      <c r="A133" s="2" t="s">
        <v>161</v>
      </c>
      <c r="B133" s="55" t="s">
        <v>162</v>
      </c>
      <c r="C133" s="21"/>
      <c r="D133" s="27" t="str">
        <f t="shared" si="27"/>
        <v>Dr Gargi Kanabar</v>
      </c>
      <c r="E133" s="22">
        <f>IFERROR(VLOOKUP(D133,'Employee Numbers'!$A$3:$B$84,2,FALSE),"NOT FOUND")</f>
        <v>632646</v>
      </c>
      <c r="F133" s="9" t="str">
        <f t="shared" si="29"/>
        <v>Con_8_0000</v>
      </c>
      <c r="G133" s="9" t="str">
        <f t="shared" si="29"/>
        <v/>
      </c>
      <c r="H133" s="9" t="str">
        <f t="shared" si="29"/>
        <v/>
      </c>
      <c r="I133" s="9" t="str">
        <f t="shared" si="29"/>
        <v/>
      </c>
      <c r="J133" s="9" t="str">
        <f t="shared" si="29"/>
        <v/>
      </c>
      <c r="K133" s="9" t="str">
        <f t="shared" si="29"/>
        <v/>
      </c>
      <c r="L133" s="9" t="str">
        <f t="shared" si="29"/>
        <v/>
      </c>
    </row>
    <row r="134" spans="1:18" ht="15" customHeight="1" thickBot="1">
      <c r="A134" s="2" t="s">
        <v>161</v>
      </c>
      <c r="B134" s="55" t="s">
        <v>162</v>
      </c>
      <c r="C134" s="21"/>
      <c r="D134" s="27" t="str">
        <f t="shared" si="27"/>
        <v>Dr Mandy Parr</v>
      </c>
      <c r="E134" s="22">
        <f>IFERROR(VLOOKUP(D134,'Employee Numbers'!$A$3:$B$84,2,FALSE),"NOT FOUND")</f>
        <v>652844</v>
      </c>
      <c r="F134" s="9" t="str">
        <f t="shared" si="29"/>
        <v/>
      </c>
      <c r="G134" s="9" t="str">
        <f t="shared" si="29"/>
        <v/>
      </c>
      <c r="H134" s="9" t="str">
        <f t="shared" si="29"/>
        <v/>
      </c>
      <c r="I134" s="9" t="str">
        <f t="shared" si="29"/>
        <v/>
      </c>
      <c r="J134" s="9" t="str">
        <f t="shared" si="29"/>
        <v/>
      </c>
      <c r="K134" s="9" t="str">
        <f t="shared" si="29"/>
        <v/>
      </c>
      <c r="L134" s="9" t="str">
        <f t="shared" si="29"/>
        <v/>
      </c>
    </row>
    <row r="135" spans="1:18" ht="15" customHeight="1" thickBot="1">
      <c r="A135" s="2" t="s">
        <v>161</v>
      </c>
      <c r="B135" s="55" t="s">
        <v>162</v>
      </c>
      <c r="C135" s="21"/>
      <c r="D135" s="27" t="str">
        <f t="shared" si="27"/>
        <v>Dr Tecwyn Davies</v>
      </c>
      <c r="E135" s="22">
        <f>IFERROR(VLOOKUP(D135,'Employee Numbers'!$A$3:$B$84,2,FALSE),"NOT FOUND")</f>
        <v>634491</v>
      </c>
      <c r="F135" s="9" t="str">
        <f t="shared" si="29"/>
        <v/>
      </c>
      <c r="G135" s="9" t="str">
        <f t="shared" si="29"/>
        <v/>
      </c>
      <c r="H135" s="9" t="str">
        <f t="shared" si="29"/>
        <v/>
      </c>
      <c r="I135" s="9" t="str">
        <f t="shared" si="29"/>
        <v/>
      </c>
      <c r="J135" s="9" t="str">
        <f t="shared" si="29"/>
        <v/>
      </c>
      <c r="K135" s="9" t="str">
        <f t="shared" si="29"/>
        <v/>
      </c>
      <c r="L135" s="9" t="str">
        <f t="shared" si="29"/>
        <v/>
      </c>
    </row>
    <row r="136" spans="1:18" ht="15" customHeight="1" thickBot="1">
      <c r="A136" s="2" t="s">
        <v>161</v>
      </c>
      <c r="B136" s="55" t="s">
        <v>162</v>
      </c>
      <c r="C136" s="21"/>
      <c r="D136" s="27" t="str">
        <f t="shared" si="27"/>
        <v>Dr Patrick Finn</v>
      </c>
      <c r="E136" s="22">
        <f>IFERROR(VLOOKUP(D136,'Employee Numbers'!$A$3:$B$84,2,FALSE),"NOT FOUND")</f>
        <v>621988</v>
      </c>
      <c r="F136" s="9" t="str">
        <f t="shared" si="29"/>
        <v/>
      </c>
      <c r="G136" s="9" t="str">
        <f t="shared" si="29"/>
        <v/>
      </c>
      <c r="H136" s="9" t="str">
        <f t="shared" si="29"/>
        <v/>
      </c>
      <c r="I136" s="9" t="str">
        <f t="shared" si="29"/>
        <v/>
      </c>
      <c r="J136" s="9" t="str">
        <f t="shared" si="29"/>
        <v/>
      </c>
      <c r="K136" s="9" t="str">
        <f t="shared" si="29"/>
        <v/>
      </c>
      <c r="L136" s="9" t="str">
        <f t="shared" si="29"/>
        <v/>
      </c>
    </row>
    <row r="137" spans="1:18" ht="15" customHeight="1" thickBot="1">
      <c r="A137" s="2" t="s">
        <v>161</v>
      </c>
      <c r="B137" s="55" t="s">
        <v>162</v>
      </c>
      <c r="C137" s="21"/>
      <c r="D137" s="27" t="str">
        <f t="shared" si="27"/>
        <v>Dr Chris Fong</v>
      </c>
      <c r="E137" s="22">
        <f>IFERROR(VLOOKUP(D137,'Employee Numbers'!$A$3:$B$84,2,FALSE),"NOT FOUND")</f>
        <v>409677</v>
      </c>
      <c r="F137" s="9" t="str">
        <f t="shared" si="29"/>
        <v/>
      </c>
      <c r="G137" s="9" t="str">
        <f t="shared" si="29"/>
        <v/>
      </c>
      <c r="H137" s="9" t="str">
        <f t="shared" si="29"/>
        <v/>
      </c>
      <c r="I137" s="9" t="str">
        <f t="shared" si="29"/>
        <v/>
      </c>
      <c r="J137" s="9" t="str">
        <f t="shared" si="29"/>
        <v/>
      </c>
      <c r="K137" s="9" t="str">
        <f t="shared" si="29"/>
        <v/>
      </c>
      <c r="L137" s="9" t="str">
        <f t="shared" si="29"/>
        <v/>
      </c>
    </row>
    <row r="138" spans="1:18" s="13" customFormat="1" ht="15" customHeight="1" thickBot="1">
      <c r="A138" s="2" t="s">
        <v>161</v>
      </c>
      <c r="B138" s="55" t="s">
        <v>162</v>
      </c>
      <c r="C138" s="21"/>
      <c r="D138" s="27" t="str">
        <f t="shared" si="27"/>
        <v>Dr Matthew Tang</v>
      </c>
      <c r="E138" s="22">
        <f>IFERROR(VLOOKUP(D138,'Employee Numbers'!$A$3:$B$84,2,FALSE),"NOT FOUND")</f>
        <v>632590</v>
      </c>
      <c r="F138" s="9" t="str">
        <f t="shared" si="29"/>
        <v/>
      </c>
      <c r="G138" s="9" t="str">
        <f t="shared" si="29"/>
        <v/>
      </c>
      <c r="H138" s="9" t="str">
        <f t="shared" si="29"/>
        <v/>
      </c>
      <c r="I138" s="9" t="str">
        <f t="shared" si="29"/>
        <v/>
      </c>
      <c r="J138" s="9" t="str">
        <f t="shared" si="29"/>
        <v/>
      </c>
      <c r="K138" s="9" t="str">
        <f t="shared" si="29"/>
        <v/>
      </c>
      <c r="L138" s="9" t="str">
        <f t="shared" si="29"/>
        <v/>
      </c>
      <c r="M138" s="5"/>
      <c r="N138" s="5"/>
      <c r="O138" s="5"/>
      <c r="P138" s="5"/>
      <c r="Q138" s="5"/>
      <c r="R138" s="5"/>
    </row>
    <row r="139" spans="1:18" s="13" customFormat="1" ht="15" customHeight="1" thickBot="1">
      <c r="A139" s="2" t="s">
        <v>161</v>
      </c>
      <c r="B139" s="55" t="s">
        <v>162</v>
      </c>
      <c r="C139" s="21"/>
      <c r="D139" s="27" t="str">
        <f t="shared" si="27"/>
        <v>Dr Niki Talic</v>
      </c>
      <c r="E139" s="22">
        <f>IFERROR(VLOOKUP(D139,'Employee Numbers'!$A$3:$B$84,2,FALSE),"NOT FOUND")</f>
        <v>619537</v>
      </c>
      <c r="F139" s="9" t="str">
        <f t="shared" si="29"/>
        <v/>
      </c>
      <c r="G139" s="9" t="str">
        <f t="shared" si="29"/>
        <v/>
      </c>
      <c r="H139" s="9" t="str">
        <f t="shared" si="29"/>
        <v/>
      </c>
      <c r="I139" s="9" t="str">
        <f t="shared" si="29"/>
        <v/>
      </c>
      <c r="J139" s="9" t="str">
        <f t="shared" si="29"/>
        <v/>
      </c>
      <c r="K139" s="9" t="str">
        <f t="shared" si="29"/>
        <v/>
      </c>
      <c r="L139" s="9" t="str">
        <f t="shared" si="29"/>
        <v/>
      </c>
      <c r="M139" s="5"/>
      <c r="N139" s="5"/>
      <c r="O139" s="5"/>
      <c r="P139" s="5"/>
      <c r="Q139" s="5"/>
      <c r="R139" s="5"/>
    </row>
    <row r="140" spans="1:18" s="13" customFormat="1" ht="15" customHeight="1" thickBot="1">
      <c r="A140" s="2" t="s">
        <v>161</v>
      </c>
      <c r="B140" s="55" t="s">
        <v>162</v>
      </c>
      <c r="C140" s="21"/>
      <c r="D140" s="27" t="str">
        <f t="shared" si="27"/>
        <v>Dr Deb Morawetz</v>
      </c>
      <c r="E140" s="22">
        <f>IFERROR(VLOOKUP(D140,'Employee Numbers'!$A$3:$B$84,2,FALSE),"NOT FOUND")</f>
        <v>621953</v>
      </c>
      <c r="F140" s="9" t="str">
        <f t="shared" si="29"/>
        <v/>
      </c>
      <c r="G140" s="9" t="str">
        <f t="shared" si="29"/>
        <v/>
      </c>
      <c r="H140" s="9" t="str">
        <f t="shared" si="29"/>
        <v/>
      </c>
      <c r="I140" s="9" t="str">
        <f t="shared" si="29"/>
        <v/>
      </c>
      <c r="J140" s="9" t="str">
        <f t="shared" si="29"/>
        <v/>
      </c>
      <c r="K140" s="9" t="str">
        <f t="shared" si="29"/>
        <v/>
      </c>
      <c r="L140" s="9" t="str">
        <f t="shared" si="29"/>
        <v/>
      </c>
      <c r="M140" s="5"/>
      <c r="N140" s="5"/>
      <c r="O140" s="5"/>
      <c r="P140" s="5"/>
      <c r="Q140" s="5"/>
      <c r="R140" s="5"/>
    </row>
    <row r="141" spans="1:18" s="13" customFormat="1" ht="15" customHeight="1" thickBot="1">
      <c r="A141" s="2" t="s">
        <v>161</v>
      </c>
      <c r="B141" s="55" t="s">
        <v>162</v>
      </c>
      <c r="C141" s="21"/>
      <c r="D141" s="27" t="str">
        <f t="shared" si="27"/>
        <v>Dr Priya Jeyaveerasingam</v>
      </c>
      <c r="E141" s="22">
        <f>IFERROR(VLOOKUP(D141,'Employee Numbers'!$A$3:$B$84,2,FALSE),"NOT FOUND")</f>
        <v>614504</v>
      </c>
      <c r="F141" s="9" t="str">
        <f t="shared" si="29"/>
        <v/>
      </c>
      <c r="G141" s="9" t="str">
        <f t="shared" si="29"/>
        <v/>
      </c>
      <c r="H141" s="9" t="str">
        <f t="shared" si="29"/>
        <v/>
      </c>
      <c r="I141" s="9" t="str">
        <f t="shared" si="29"/>
        <v/>
      </c>
      <c r="J141" s="9" t="str">
        <f t="shared" si="29"/>
        <v/>
      </c>
      <c r="K141" s="9" t="str">
        <f t="shared" si="29"/>
        <v/>
      </c>
      <c r="L141" s="9" t="str">
        <f t="shared" si="29"/>
        <v/>
      </c>
      <c r="M141" s="5"/>
      <c r="N141" s="5"/>
      <c r="O141" s="5"/>
      <c r="P141" s="5"/>
      <c r="Q141" s="5"/>
      <c r="R141" s="5"/>
    </row>
    <row r="142" spans="1:18" s="13" customFormat="1" ht="15" customHeight="1" thickBot="1">
      <c r="A142" s="2" t="s">
        <v>161</v>
      </c>
      <c r="B142" s="55" t="s">
        <v>162</v>
      </c>
      <c r="C142" s="21"/>
      <c r="D142" s="27" t="str">
        <f t="shared" si="27"/>
        <v>Locum</v>
      </c>
      <c r="E142" s="22" t="str">
        <f>IFERROR(VLOOKUP(D142,'Employee Numbers'!$A$3:$B$84,2,FALSE),"NOT FOUND")</f>
        <v>N/A</v>
      </c>
      <c r="F142" s="9" t="str">
        <f t="shared" si="29"/>
        <v/>
      </c>
      <c r="G142" s="9" t="str">
        <f t="shared" si="29"/>
        <v/>
      </c>
      <c r="H142" s="9" t="str">
        <f t="shared" si="29"/>
        <v/>
      </c>
      <c r="I142" s="9" t="str">
        <f t="shared" si="29"/>
        <v/>
      </c>
      <c r="J142" s="9" t="str">
        <f t="shared" si="29"/>
        <v/>
      </c>
      <c r="K142" s="9" t="str">
        <f t="shared" si="29"/>
        <v/>
      </c>
      <c r="L142" s="9" t="str">
        <f t="shared" si="29"/>
        <v/>
      </c>
      <c r="M142" s="5"/>
      <c r="N142" s="5"/>
      <c r="O142" s="5"/>
      <c r="P142" s="5"/>
      <c r="Q142" s="5"/>
      <c r="R142" s="5"/>
    </row>
    <row r="143" spans="1:18" s="13" customFormat="1" ht="15" customHeight="1">
      <c r="A143" s="2" t="s">
        <v>161</v>
      </c>
      <c r="B143" s="55" t="s">
        <v>162</v>
      </c>
      <c r="C143" s="21"/>
      <c r="D143" s="27" t="str">
        <f t="shared" si="27"/>
        <v>Locum</v>
      </c>
      <c r="E143" s="22" t="str">
        <f>IFERROR(VLOOKUP(D143,'Employee Numbers'!$A$3:$B$84,2,FALSE),"NOT FOUND")</f>
        <v>N/A</v>
      </c>
      <c r="F143" s="9" t="str">
        <f t="shared" si="29"/>
        <v/>
      </c>
      <c r="G143" s="9" t="str">
        <f t="shared" si="29"/>
        <v/>
      </c>
      <c r="H143" s="9" t="str">
        <f t="shared" si="29"/>
        <v/>
      </c>
      <c r="I143" s="9" t="str">
        <f t="shared" si="29"/>
        <v/>
      </c>
      <c r="J143" s="9" t="str">
        <f t="shared" si="29"/>
        <v/>
      </c>
      <c r="K143" s="9" t="str">
        <f t="shared" si="29"/>
        <v/>
      </c>
      <c r="L143" s="9" t="str">
        <f t="shared" si="29"/>
        <v/>
      </c>
      <c r="M143" s="5"/>
      <c r="N143" s="5"/>
      <c r="O143" s="5"/>
      <c r="P143" s="5"/>
      <c r="Q143" s="5"/>
      <c r="R143" s="5"/>
    </row>
    <row r="144" spans="1:18" ht="15" customHeight="1" thickBot="1"/>
    <row r="145" spans="1:18" s="2" customFormat="1" ht="15" customHeight="1" thickBot="1">
      <c r="A145" s="172" t="s">
        <v>86</v>
      </c>
      <c r="B145" s="48" t="s">
        <v>163</v>
      </c>
      <c r="C145" s="49" t="s">
        <v>164</v>
      </c>
      <c r="D145" s="173" t="str">
        <f>D53</f>
        <v xml:space="preserve">Fellow </v>
      </c>
      <c r="E145" s="20" t="s">
        <v>4</v>
      </c>
      <c r="F145" s="12" t="s">
        <v>5</v>
      </c>
      <c r="G145" s="83" t="s">
        <v>6</v>
      </c>
      <c r="H145" s="83" t="s">
        <v>7</v>
      </c>
      <c r="I145" s="83" t="s">
        <v>8</v>
      </c>
      <c r="J145" s="83" t="s">
        <v>9</v>
      </c>
      <c r="K145" s="83" t="s">
        <v>10</v>
      </c>
      <c r="L145" s="23" t="s">
        <v>11</v>
      </c>
      <c r="M145" s="23" t="s">
        <v>165</v>
      </c>
      <c r="N145" s="5"/>
      <c r="O145" s="5"/>
      <c r="P145" s="5"/>
      <c r="Q145" s="5"/>
      <c r="R145" s="5"/>
    </row>
    <row r="146" spans="1:18" ht="15" customHeight="1" thickBot="1">
      <c r="A146" s="2" t="s">
        <v>166</v>
      </c>
      <c r="B146" s="2"/>
      <c r="C146" s="21"/>
      <c r="D146" s="84" t="str">
        <f>D54</f>
        <v>Ellen Scott (0.75)</v>
      </c>
      <c r="E146" s="22">
        <f>IFERROR(VLOOKUP(D146,'Employee Numbers'!$A$3:$B$84,2,FALSE),"NOT FOUND")</f>
        <v>634905</v>
      </c>
      <c r="F146" s="38"/>
      <c r="G146" s="31"/>
      <c r="H146" s="31" t="s">
        <v>167</v>
      </c>
      <c r="I146" s="38"/>
      <c r="J146" s="38"/>
      <c r="K146" s="38"/>
      <c r="L146" s="38"/>
      <c r="M146" s="35" t="s">
        <v>168</v>
      </c>
    </row>
    <row r="147" spans="1:18" ht="15" customHeight="1" thickBot="1">
      <c r="A147" s="2" t="s">
        <v>166</v>
      </c>
      <c r="B147" s="2"/>
      <c r="C147" s="21"/>
      <c r="D147" s="84" t="str">
        <f t="shared" ref="D147:D151" si="30">D55</f>
        <v>Seamus Harrington</v>
      </c>
      <c r="E147" s="22">
        <f>IFERROR(VLOOKUP(D147,'Employee Numbers'!$A$3:$B$84,2,FALSE),"NOT FOUND")</f>
        <v>704751</v>
      </c>
      <c r="F147" s="38"/>
      <c r="G147" s="31"/>
      <c r="H147" s="31" t="str">
        <f t="shared" ref="H147:H148" si="31">IF(COUNTIF(H55,"0800-1730*"),"trg_5_1730","trg_5_0900")</f>
        <v>trg_5_0900</v>
      </c>
      <c r="I147" s="38"/>
      <c r="J147" s="38"/>
      <c r="K147" s="38"/>
      <c r="L147" s="38"/>
      <c r="M147" s="35" t="s">
        <v>168</v>
      </c>
    </row>
    <row r="148" spans="1:18" ht="15" customHeight="1" thickBot="1">
      <c r="A148" s="2" t="s">
        <v>166</v>
      </c>
      <c r="B148" s="2"/>
      <c r="C148" s="21"/>
      <c r="D148" s="84" t="str">
        <f t="shared" si="30"/>
        <v>Antra Ansons</v>
      </c>
      <c r="E148" s="22">
        <f>IFERROR(VLOOKUP(D148,'Employee Numbers'!$A$3:$B$84,2,FALSE),"NOT FOUND")</f>
        <v>637219</v>
      </c>
      <c r="F148" s="38"/>
      <c r="G148" s="31"/>
      <c r="H148" s="31" t="str">
        <f t="shared" si="31"/>
        <v>trg_5_0900</v>
      </c>
      <c r="I148" s="38"/>
      <c r="J148" s="38"/>
      <c r="K148" s="38"/>
      <c r="L148" s="38"/>
      <c r="M148" s="35" t="s">
        <v>168</v>
      </c>
    </row>
    <row r="149" spans="1:18" ht="15" customHeight="1" thickBot="1">
      <c r="A149" s="2" t="s">
        <v>166</v>
      </c>
      <c r="B149" s="2"/>
      <c r="C149" s="21"/>
      <c r="D149" s="84">
        <f t="shared" si="30"/>
        <v>0</v>
      </c>
      <c r="E149" s="22" t="str">
        <f>IFERROR(VLOOKUP(D149,'Employee Numbers'!$A$3:$B$84,2,FALSE),"NOT FOUND")</f>
        <v>NOT FOUND</v>
      </c>
      <c r="F149" s="38"/>
      <c r="G149" s="31"/>
      <c r="H149" s="31" t="str">
        <f t="shared" ref="H149:H151" si="32">IF(COUNTIF(H57,"0800-1730*"),"trg_2.5_1730","trg_2.5_0900")</f>
        <v>trg_2.5_0900</v>
      </c>
      <c r="I149" s="38"/>
      <c r="J149" s="38"/>
      <c r="K149" s="38"/>
      <c r="L149" s="38"/>
      <c r="M149" s="35" t="s">
        <v>168</v>
      </c>
    </row>
    <row r="150" spans="1:18" ht="15" customHeight="1" thickBot="1">
      <c r="A150" s="2" t="s">
        <v>166</v>
      </c>
      <c r="B150" s="2"/>
      <c r="C150" s="21"/>
      <c r="D150" s="84">
        <f t="shared" si="30"/>
        <v>0</v>
      </c>
      <c r="E150" s="22" t="str">
        <f>IFERROR(VLOOKUP(D150,'Employee Numbers'!$A$3:$B$84,2,FALSE),"NOT FOUND")</f>
        <v>NOT FOUND</v>
      </c>
      <c r="F150" s="38"/>
      <c r="G150" s="31"/>
      <c r="H150" s="31" t="str">
        <f t="shared" si="32"/>
        <v>trg_2.5_0900</v>
      </c>
      <c r="I150" s="38"/>
      <c r="J150" s="38"/>
      <c r="K150" s="38"/>
      <c r="L150" s="38"/>
      <c r="M150" s="35" t="s">
        <v>168</v>
      </c>
    </row>
    <row r="151" spans="1:18" ht="15" customHeight="1">
      <c r="A151" s="2" t="s">
        <v>166</v>
      </c>
      <c r="B151" s="2"/>
      <c r="C151" s="21"/>
      <c r="D151" s="84">
        <f t="shared" si="30"/>
        <v>0</v>
      </c>
      <c r="E151" s="22" t="str">
        <f>IFERROR(VLOOKUP(D151,'Employee Numbers'!$A$3:$B$84,2,FALSE),"NOT FOUND")</f>
        <v>NOT FOUND</v>
      </c>
      <c r="F151" s="38"/>
      <c r="G151" s="31"/>
      <c r="H151" s="31" t="str">
        <f t="shared" si="32"/>
        <v>trg_2.5_0900</v>
      </c>
      <c r="I151" s="38"/>
      <c r="J151" s="38"/>
      <c r="K151" s="38"/>
      <c r="L151" s="38"/>
      <c r="M151" s="35" t="s">
        <v>168</v>
      </c>
    </row>
    <row r="152" spans="1:18" s="2" customFormat="1" ht="13.5" customHeight="1" thickBot="1">
      <c r="A152" s="174" t="s">
        <v>96</v>
      </c>
      <c r="B152" s="50"/>
      <c r="C152" s="51"/>
      <c r="D152" s="175" t="s">
        <v>97</v>
      </c>
      <c r="E152" s="105" t="s">
        <v>4</v>
      </c>
      <c r="F152" s="105" t="s">
        <v>5</v>
      </c>
      <c r="G152" s="105" t="s">
        <v>6</v>
      </c>
      <c r="H152" s="106" t="s">
        <v>7</v>
      </c>
      <c r="I152" s="105" t="s">
        <v>8</v>
      </c>
      <c r="J152" s="105" t="s">
        <v>9</v>
      </c>
      <c r="K152" s="105" t="s">
        <v>10</v>
      </c>
      <c r="L152" s="105" t="s">
        <v>11</v>
      </c>
      <c r="N152"/>
      <c r="O152"/>
      <c r="Q152"/>
    </row>
    <row r="153" spans="1:18" s="2" customFormat="1" ht="15" customHeight="1" thickBot="1">
      <c r="A153" s="2" t="s">
        <v>169</v>
      </c>
      <c r="B153" s="5"/>
      <c r="C153" s="8"/>
      <c r="D153" s="84" t="str">
        <f>D61</f>
        <v>Mark Lim</v>
      </c>
      <c r="E153" s="22">
        <f>IFERROR(VLOOKUP(D153,'Employee Numbers'!$A$3:$B$84,2,FALSE),"NOT FOUND")</f>
        <v>638531</v>
      </c>
      <c r="F153" s="31" t="str">
        <f t="shared" ref="F153:G168" si="33">IF(COUNTIF(F61,"*on*call*"),"oncall 2300-0830","")</f>
        <v/>
      </c>
      <c r="G153" s="31" t="str">
        <f t="shared" si="33"/>
        <v/>
      </c>
      <c r="H153" s="37" t="s">
        <v>170</v>
      </c>
      <c r="I153" s="31" t="str">
        <f t="shared" ref="I153:L168" si="34">IF(COUNTIF(I61,"*on*call*"),"oncall 2300-0830","")</f>
        <v/>
      </c>
      <c r="J153" s="31" t="str">
        <f t="shared" si="34"/>
        <v/>
      </c>
      <c r="K153" s="31" t="str">
        <f t="shared" si="34"/>
        <v/>
      </c>
      <c r="L153" s="31" t="str">
        <f t="shared" si="34"/>
        <v/>
      </c>
      <c r="M153" s="35" t="s">
        <v>168</v>
      </c>
      <c r="N153" s="5"/>
      <c r="O153" s="5"/>
      <c r="P153" s="5"/>
      <c r="Q153" s="5"/>
      <c r="R153" s="5"/>
    </row>
    <row r="154" spans="1:18" ht="15" customHeight="1" thickBot="1">
      <c r="A154" s="2" t="s">
        <v>169</v>
      </c>
      <c r="B154" s="2"/>
      <c r="C154" s="47"/>
      <c r="D154" s="84" t="str">
        <f t="shared" ref="D154:D176" si="35">D62</f>
        <v xml:space="preserve">Melanie Engel </v>
      </c>
      <c r="E154" s="22">
        <f>IFERROR(VLOOKUP(D154,'Employee Numbers'!$A$3:$B$84,2,FALSE),"NOT FOUND")</f>
        <v>631715</v>
      </c>
      <c r="F154" s="31" t="str">
        <f t="shared" si="33"/>
        <v/>
      </c>
      <c r="G154" s="31" t="str">
        <f t="shared" si="33"/>
        <v/>
      </c>
      <c r="H154" s="37" t="s">
        <v>170</v>
      </c>
      <c r="I154" s="31" t="str">
        <f t="shared" si="34"/>
        <v/>
      </c>
      <c r="J154" s="31" t="str">
        <f t="shared" si="34"/>
        <v/>
      </c>
      <c r="K154" s="31" t="str">
        <f t="shared" si="34"/>
        <v/>
      </c>
      <c r="L154" s="31" t="str">
        <f t="shared" si="34"/>
        <v/>
      </c>
      <c r="M154" s="35" t="s">
        <v>168</v>
      </c>
      <c r="N154" s="2"/>
      <c r="O154" s="2"/>
      <c r="P154" s="2"/>
      <c r="Q154" s="2"/>
      <c r="R154" s="2"/>
    </row>
    <row r="155" spans="1:18" ht="15" customHeight="1" thickBot="1">
      <c r="A155" s="2" t="s">
        <v>169</v>
      </c>
      <c r="B155" s="2"/>
      <c r="C155" s="47"/>
      <c r="D155" s="84" t="str">
        <f t="shared" si="35"/>
        <v>Marian Isaac  (0.75)</v>
      </c>
      <c r="E155" s="22">
        <f>IFERROR(VLOOKUP(D155,'Employee Numbers'!$A$3:$B$84,2,FALSE),"NOT FOUND")</f>
        <v>703719</v>
      </c>
      <c r="F155" s="31" t="str">
        <f t="shared" si="33"/>
        <v/>
      </c>
      <c r="G155" s="31" t="str">
        <f t="shared" si="33"/>
        <v/>
      </c>
      <c r="H155" s="31" t="s">
        <v>167</v>
      </c>
      <c r="I155" s="31" t="str">
        <f t="shared" si="34"/>
        <v/>
      </c>
      <c r="J155" s="31" t="str">
        <f t="shared" si="34"/>
        <v/>
      </c>
      <c r="K155" s="31" t="str">
        <f t="shared" si="34"/>
        <v/>
      </c>
      <c r="L155" s="31" t="str">
        <f t="shared" si="34"/>
        <v/>
      </c>
      <c r="M155" s="35" t="s">
        <v>168</v>
      </c>
    </row>
    <row r="156" spans="1:18" ht="15" customHeight="1" thickBot="1">
      <c r="A156" s="2" t="s">
        <v>169</v>
      </c>
      <c r="B156" s="2"/>
      <c r="C156" s="47"/>
      <c r="D156" s="84" t="str">
        <f t="shared" si="35"/>
        <v xml:space="preserve">Jonathan Wong (0.75) </v>
      </c>
      <c r="E156" s="22">
        <f>IFERROR(VLOOKUP(D156,'Employee Numbers'!$A$3:$B$84,2,FALSE),"NOT FOUND")</f>
        <v>637791</v>
      </c>
      <c r="F156" s="31" t="str">
        <f t="shared" si="33"/>
        <v/>
      </c>
      <c r="G156" s="31" t="str">
        <f t="shared" si="33"/>
        <v/>
      </c>
      <c r="H156" s="31" t="s">
        <v>167</v>
      </c>
      <c r="I156" s="31" t="str">
        <f t="shared" si="34"/>
        <v/>
      </c>
      <c r="J156" s="31" t="str">
        <f t="shared" si="34"/>
        <v/>
      </c>
      <c r="K156" s="31" t="str">
        <f t="shared" si="34"/>
        <v/>
      </c>
      <c r="L156" s="31" t="str">
        <f t="shared" si="34"/>
        <v/>
      </c>
      <c r="M156" s="35" t="s">
        <v>168</v>
      </c>
    </row>
    <row r="157" spans="1:18" ht="15" customHeight="1" thickBot="1">
      <c r="A157" s="2" t="s">
        <v>169</v>
      </c>
      <c r="B157" s="2"/>
      <c r="C157" s="47"/>
      <c r="D157" s="84" t="str">
        <f t="shared" si="35"/>
        <v xml:space="preserve">Joshua Feek </v>
      </c>
      <c r="E157" s="22">
        <f>IFERROR(VLOOKUP(D157,'Employee Numbers'!$A$3:$B$84,2,FALSE),"NOT FOUND")</f>
        <v>652867</v>
      </c>
      <c r="F157" s="31" t="str">
        <f t="shared" si="33"/>
        <v/>
      </c>
      <c r="G157" s="31" t="str">
        <f t="shared" si="33"/>
        <v/>
      </c>
      <c r="H157" s="37" t="s">
        <v>170</v>
      </c>
      <c r="I157" s="31" t="str">
        <f t="shared" si="34"/>
        <v/>
      </c>
      <c r="J157" s="31" t="str">
        <f t="shared" si="34"/>
        <v/>
      </c>
      <c r="K157" s="31" t="str">
        <f t="shared" si="34"/>
        <v/>
      </c>
      <c r="L157" s="31" t="str">
        <f t="shared" si="34"/>
        <v/>
      </c>
      <c r="M157" s="35" t="s">
        <v>168</v>
      </c>
    </row>
    <row r="158" spans="1:18" ht="15" customHeight="1" thickBot="1">
      <c r="A158" s="2" t="s">
        <v>169</v>
      </c>
      <c r="B158" s="2"/>
      <c r="C158" s="47"/>
      <c r="D158" s="84" t="str">
        <f t="shared" si="35"/>
        <v xml:space="preserve">Andrea Lim (0.5) </v>
      </c>
      <c r="E158" s="22">
        <f>IFERROR(VLOOKUP(D158,'Employee Numbers'!$A$3:$B$84,2,FALSE),"NOT FOUND")</f>
        <v>611551</v>
      </c>
      <c r="F158" s="31" t="str">
        <f t="shared" si="33"/>
        <v/>
      </c>
      <c r="G158" s="31" t="str">
        <f t="shared" si="33"/>
        <v/>
      </c>
      <c r="H158" s="31" t="str">
        <f t="shared" ref="H158:H159" si="36">IF(COUNTIF(H66,"0800-1730*"),"trg_2.5_1730","trg_2.5_0900")</f>
        <v>trg_2.5_0900</v>
      </c>
      <c r="I158" s="31" t="str">
        <f t="shared" si="34"/>
        <v/>
      </c>
      <c r="J158" s="31" t="str">
        <f t="shared" si="34"/>
        <v/>
      </c>
      <c r="K158" s="31" t="str">
        <f t="shared" si="34"/>
        <v/>
      </c>
      <c r="L158" s="31" t="str">
        <f t="shared" si="34"/>
        <v/>
      </c>
      <c r="M158" s="35" t="s">
        <v>168</v>
      </c>
      <c r="N158" s="13"/>
      <c r="O158" s="13"/>
      <c r="P158" s="13"/>
      <c r="Q158" s="13"/>
      <c r="R158" s="13"/>
    </row>
    <row r="159" spans="1:18" ht="15" customHeight="1" thickBot="1">
      <c r="A159" s="2" t="s">
        <v>169</v>
      </c>
      <c r="B159" s="2"/>
      <c r="C159" s="47"/>
      <c r="D159" s="84" t="str">
        <f t="shared" si="35"/>
        <v>Jessica Burgess (0.5)</v>
      </c>
      <c r="E159" s="22">
        <f>IFERROR(VLOOKUP(D159,'Employee Numbers'!$A$3:$B$84,2,FALSE),"NOT FOUND")</f>
        <v>615820</v>
      </c>
      <c r="F159" s="31" t="str">
        <f t="shared" si="33"/>
        <v/>
      </c>
      <c r="G159" s="31" t="str">
        <f t="shared" si="33"/>
        <v/>
      </c>
      <c r="H159" s="31" t="str">
        <f t="shared" si="36"/>
        <v>trg_2.5_0900</v>
      </c>
      <c r="I159" s="31" t="str">
        <f t="shared" si="34"/>
        <v/>
      </c>
      <c r="J159" s="31" t="str">
        <f t="shared" si="34"/>
        <v/>
      </c>
      <c r="K159" s="31" t="str">
        <f t="shared" si="34"/>
        <v/>
      </c>
      <c r="L159" s="31" t="str">
        <f t="shared" si="34"/>
        <v/>
      </c>
      <c r="M159" s="35" t="s">
        <v>168</v>
      </c>
      <c r="N159" s="13"/>
      <c r="O159" s="13"/>
      <c r="P159" s="13"/>
      <c r="Q159" s="13"/>
      <c r="R159" s="13"/>
    </row>
    <row r="160" spans="1:18" ht="15" customHeight="1" thickBot="1">
      <c r="A160" s="2" t="s">
        <v>169</v>
      </c>
      <c r="B160" s="2"/>
      <c r="C160" s="47"/>
      <c r="D160" s="84" t="str">
        <f t="shared" si="35"/>
        <v>Elisha Gallivan</v>
      </c>
      <c r="E160" s="22">
        <f>IFERROR(VLOOKUP(D160,'Employee Numbers'!$A$3:$B$84,2,FALSE),"NOT FOUND")</f>
        <v>654727</v>
      </c>
      <c r="F160" s="31" t="str">
        <f t="shared" si="33"/>
        <v/>
      </c>
      <c r="G160" s="31" t="str">
        <f t="shared" si="33"/>
        <v/>
      </c>
      <c r="H160" s="37" t="s">
        <v>170</v>
      </c>
      <c r="I160" s="31" t="str">
        <f t="shared" si="34"/>
        <v/>
      </c>
      <c r="J160" s="31" t="str">
        <f t="shared" si="34"/>
        <v/>
      </c>
      <c r="K160" s="31" t="str">
        <f t="shared" si="34"/>
        <v/>
      </c>
      <c r="L160" s="31" t="str">
        <f t="shared" si="34"/>
        <v/>
      </c>
      <c r="M160" s="35" t="s">
        <v>168</v>
      </c>
    </row>
    <row r="161" spans="1:18" ht="15" customHeight="1" thickBot="1">
      <c r="A161" s="2" t="s">
        <v>169</v>
      </c>
      <c r="B161" s="2"/>
      <c r="C161" s="47"/>
      <c r="D161" s="84" t="str">
        <f t="shared" si="35"/>
        <v>Leila Dosso</v>
      </c>
      <c r="E161" s="22">
        <f>IFERROR(VLOOKUP(D161,'Employee Numbers'!$A$3:$B$84,2,FALSE),"NOT FOUND")</f>
        <v>702947</v>
      </c>
      <c r="F161" s="31" t="str">
        <f t="shared" si="33"/>
        <v/>
      </c>
      <c r="G161" s="31" t="str">
        <f t="shared" si="33"/>
        <v/>
      </c>
      <c r="H161" s="37" t="s">
        <v>170</v>
      </c>
      <c r="I161" s="31" t="str">
        <f t="shared" si="34"/>
        <v/>
      </c>
      <c r="J161" s="31" t="str">
        <f t="shared" si="34"/>
        <v/>
      </c>
      <c r="K161" s="31" t="str">
        <f t="shared" si="34"/>
        <v/>
      </c>
      <c r="L161" s="31" t="str">
        <f t="shared" si="34"/>
        <v/>
      </c>
      <c r="M161" s="35" t="s">
        <v>168</v>
      </c>
    </row>
    <row r="162" spans="1:18" s="13" customFormat="1" ht="15" customHeight="1" thickBot="1">
      <c r="A162" s="2" t="s">
        <v>169</v>
      </c>
      <c r="B162" s="2"/>
      <c r="C162" s="21"/>
      <c r="D162" s="84" t="str">
        <f t="shared" si="35"/>
        <v xml:space="preserve">Efi Tsampou </v>
      </c>
      <c r="E162" s="22">
        <f>IFERROR(VLOOKUP(D162,'Employee Numbers'!$A$3:$B$84,2,FALSE),"NOT FOUND")</f>
        <v>654002</v>
      </c>
      <c r="F162" s="31" t="str">
        <f t="shared" si="33"/>
        <v/>
      </c>
      <c r="G162" s="31" t="str">
        <f t="shared" si="33"/>
        <v/>
      </c>
      <c r="H162" s="37" t="s">
        <v>170</v>
      </c>
      <c r="I162" s="31" t="str">
        <f t="shared" si="34"/>
        <v/>
      </c>
      <c r="J162" s="31" t="str">
        <f t="shared" si="34"/>
        <v/>
      </c>
      <c r="K162" s="31" t="str">
        <f t="shared" si="34"/>
        <v/>
      </c>
      <c r="L162" s="31" t="str">
        <f t="shared" si="34"/>
        <v/>
      </c>
      <c r="M162" s="35" t="s">
        <v>168</v>
      </c>
      <c r="N162" s="5"/>
      <c r="O162" s="5"/>
      <c r="P162" s="5"/>
      <c r="Q162" s="5"/>
      <c r="R162" s="5"/>
    </row>
    <row r="163" spans="1:18" ht="15" customHeight="1" thickBot="1">
      <c r="A163" s="2" t="s">
        <v>169</v>
      </c>
      <c r="B163" s="2"/>
      <c r="C163" s="21"/>
      <c r="D163" s="84" t="str">
        <f t="shared" si="35"/>
        <v>Marian Panlilio</v>
      </c>
      <c r="E163" s="22">
        <f>IFERROR(VLOOKUP(D163,'Employee Numbers'!$A$3:$B$84,2,FALSE),"NOT FOUND")</f>
        <v>703068</v>
      </c>
      <c r="F163" s="31" t="str">
        <f t="shared" si="33"/>
        <v/>
      </c>
      <c r="G163" s="31" t="str">
        <f t="shared" si="33"/>
        <v/>
      </c>
      <c r="H163" s="37" t="s">
        <v>170</v>
      </c>
      <c r="I163" s="31" t="str">
        <f t="shared" si="34"/>
        <v/>
      </c>
      <c r="J163" s="31" t="str">
        <f t="shared" si="34"/>
        <v/>
      </c>
      <c r="K163" s="31" t="str">
        <f t="shared" si="34"/>
        <v/>
      </c>
      <c r="L163" s="31" t="str">
        <f t="shared" si="34"/>
        <v/>
      </c>
      <c r="M163" s="35" t="s">
        <v>168</v>
      </c>
    </row>
    <row r="164" spans="1:18" ht="15" customHeight="1" thickBot="1">
      <c r="A164" s="2" t="s">
        <v>169</v>
      </c>
      <c r="B164" s="2"/>
      <c r="C164" s="21"/>
      <c r="D164" s="84" t="str">
        <f t="shared" si="35"/>
        <v>Takhfif Othman</v>
      </c>
      <c r="E164" s="22">
        <f>IFERROR(VLOOKUP(D164,'Employee Numbers'!$A$3:$B$84,2,FALSE),"NOT FOUND")</f>
        <v>703911</v>
      </c>
      <c r="F164" s="31" t="str">
        <f t="shared" si="33"/>
        <v/>
      </c>
      <c r="G164" s="31" t="str">
        <f t="shared" si="33"/>
        <v/>
      </c>
      <c r="H164" s="37" t="s">
        <v>170</v>
      </c>
      <c r="I164" s="31" t="str">
        <f t="shared" si="34"/>
        <v/>
      </c>
      <c r="J164" s="31" t="str">
        <f t="shared" si="34"/>
        <v/>
      </c>
      <c r="K164" s="31" t="str">
        <f t="shared" si="34"/>
        <v/>
      </c>
      <c r="L164" s="31" t="str">
        <f t="shared" si="34"/>
        <v/>
      </c>
      <c r="M164" s="35" t="s">
        <v>168</v>
      </c>
    </row>
    <row r="165" spans="1:18" ht="15" customHeight="1" thickBot="1">
      <c r="A165" s="2" t="s">
        <v>169</v>
      </c>
      <c r="B165" s="2"/>
      <c r="C165" s="21"/>
      <c r="D165" s="84" t="str">
        <f t="shared" si="35"/>
        <v xml:space="preserve">Toby Obrien </v>
      </c>
      <c r="E165" s="22">
        <f>IFERROR(VLOOKUP(D165,'Employee Numbers'!$A$3:$B$84,2,FALSE),"NOT FOUND")</f>
        <v>633936</v>
      </c>
      <c r="F165" s="31" t="str">
        <f t="shared" si="33"/>
        <v/>
      </c>
      <c r="G165" s="31" t="str">
        <f t="shared" si="33"/>
        <v/>
      </c>
      <c r="H165" s="37" t="s">
        <v>170</v>
      </c>
      <c r="I165" s="31" t="str">
        <f t="shared" si="34"/>
        <v/>
      </c>
      <c r="J165" s="31" t="str">
        <f t="shared" si="34"/>
        <v/>
      </c>
      <c r="K165" s="31" t="str">
        <f t="shared" si="34"/>
        <v/>
      </c>
      <c r="L165" s="31" t="str">
        <f t="shared" si="34"/>
        <v/>
      </c>
      <c r="M165" s="35" t="s">
        <v>168</v>
      </c>
    </row>
    <row r="166" spans="1:18" ht="15" customHeight="1" thickBot="1">
      <c r="A166" s="2" t="s">
        <v>169</v>
      </c>
      <c r="B166" s="2"/>
      <c r="C166" s="21"/>
      <c r="D166" s="84" t="str">
        <f t="shared" si="35"/>
        <v>William Jiang</v>
      </c>
      <c r="E166" s="22">
        <f>IFERROR(VLOOKUP(D166,'Employee Numbers'!$A$3:$B$84,2,FALSE),"NOT FOUND")</f>
        <v>700755</v>
      </c>
      <c r="F166" s="31" t="str">
        <f t="shared" si="33"/>
        <v/>
      </c>
      <c r="G166" s="31" t="str">
        <f t="shared" si="33"/>
        <v/>
      </c>
      <c r="H166" s="37" t="s">
        <v>170</v>
      </c>
      <c r="I166" s="31" t="str">
        <f t="shared" si="34"/>
        <v/>
      </c>
      <c r="J166" s="31" t="str">
        <f t="shared" si="34"/>
        <v/>
      </c>
      <c r="K166" s="31" t="str">
        <f t="shared" si="34"/>
        <v/>
      </c>
      <c r="L166" s="31" t="str">
        <f t="shared" si="34"/>
        <v/>
      </c>
      <c r="M166" s="35" t="s">
        <v>168</v>
      </c>
    </row>
    <row r="167" spans="1:18" ht="15" customHeight="1" thickBot="1">
      <c r="A167" s="2" t="s">
        <v>169</v>
      </c>
      <c r="B167" s="2"/>
      <c r="C167" s="21"/>
      <c r="D167" s="84" t="str">
        <f t="shared" si="35"/>
        <v>Pam Nelson</v>
      </c>
      <c r="E167" s="22">
        <f>IFERROR(VLOOKUP(D167,'Employee Numbers'!$A$3:$B$84,2,FALSE),"NOT FOUND")</f>
        <v>704872</v>
      </c>
      <c r="F167" s="31" t="str">
        <f t="shared" si="33"/>
        <v/>
      </c>
      <c r="G167" s="31" t="str">
        <f t="shared" si="33"/>
        <v/>
      </c>
      <c r="H167" s="37"/>
      <c r="I167" s="31" t="str">
        <f t="shared" si="34"/>
        <v/>
      </c>
      <c r="J167" s="31" t="str">
        <f t="shared" si="34"/>
        <v/>
      </c>
      <c r="K167" s="31" t="str">
        <f t="shared" si="34"/>
        <v/>
      </c>
      <c r="L167" s="31" t="str">
        <f t="shared" si="34"/>
        <v/>
      </c>
      <c r="M167" s="35" t="s">
        <v>168</v>
      </c>
    </row>
    <row r="168" spans="1:18" ht="15" customHeight="1" thickBot="1">
      <c r="A168" s="2" t="s">
        <v>169</v>
      </c>
      <c r="B168" s="2"/>
      <c r="C168" s="21"/>
      <c r="D168" s="84" t="str">
        <f t="shared" si="35"/>
        <v xml:space="preserve">Phoebe Franich </v>
      </c>
      <c r="E168" s="22">
        <f>IFERROR(VLOOKUP(D168,'Employee Numbers'!$A$3:$B$84,2,FALSE),"NOT FOUND")</f>
        <v>700712</v>
      </c>
      <c r="F168" s="31" t="str">
        <f t="shared" si="33"/>
        <v/>
      </c>
      <c r="G168" s="31" t="str">
        <f t="shared" si="33"/>
        <v/>
      </c>
      <c r="H168" s="37" t="s">
        <v>170</v>
      </c>
      <c r="I168" s="31" t="str">
        <f t="shared" si="34"/>
        <v/>
      </c>
      <c r="J168" s="31" t="str">
        <f t="shared" si="34"/>
        <v/>
      </c>
      <c r="K168" s="31" t="str">
        <f t="shared" si="34"/>
        <v/>
      </c>
      <c r="L168" s="31" t="str">
        <f t="shared" si="34"/>
        <v/>
      </c>
      <c r="M168" s="35" t="s">
        <v>168</v>
      </c>
    </row>
    <row r="169" spans="1:18" ht="15" customHeight="1" thickBot="1">
      <c r="A169" s="2" t="s">
        <v>169</v>
      </c>
      <c r="B169" s="2"/>
      <c r="C169" s="21"/>
      <c r="D169" s="84" t="str">
        <f t="shared" si="35"/>
        <v xml:space="preserve">Marie Papadopulos </v>
      </c>
      <c r="E169" s="22">
        <f>IFERROR(VLOOKUP(D169,'Employee Numbers'!$A$3:$B$84,2,FALSE),"NOT FOUND")</f>
        <v>700818</v>
      </c>
      <c r="F169" s="31" t="str">
        <f t="shared" ref="F169:G176" si="37">IF(COUNTIF(F77,"*on*call*"),"oncall 2300-0830","")</f>
        <v/>
      </c>
      <c r="G169" s="31" t="str">
        <f t="shared" si="37"/>
        <v/>
      </c>
      <c r="H169" s="37" t="s">
        <v>170</v>
      </c>
      <c r="I169" s="31" t="str">
        <f t="shared" ref="I169:L176" si="38">IF(COUNTIF(I77,"*on*call*"),"oncall 2300-0830","")</f>
        <v/>
      </c>
      <c r="J169" s="31" t="str">
        <f t="shared" si="38"/>
        <v/>
      </c>
      <c r="K169" s="31" t="str">
        <f t="shared" si="38"/>
        <v/>
      </c>
      <c r="L169" s="31" t="str">
        <f t="shared" si="38"/>
        <v/>
      </c>
      <c r="M169" s="35" t="s">
        <v>168</v>
      </c>
    </row>
    <row r="170" spans="1:18" ht="15" customHeight="1" thickBot="1">
      <c r="A170" s="2" t="s">
        <v>169</v>
      </c>
      <c r="B170" s="2"/>
      <c r="C170" s="21"/>
      <c r="D170" s="84" t="str">
        <f t="shared" si="35"/>
        <v>Stormie de Groot (0.5)</v>
      </c>
      <c r="E170" s="22">
        <f>IFERROR(VLOOKUP(D170,'Employee Numbers'!$A$3:$B$84,2,FALSE),"NOT FOUND")</f>
        <v>650101</v>
      </c>
      <c r="F170" s="31" t="str">
        <f t="shared" si="37"/>
        <v/>
      </c>
      <c r="G170" s="31" t="str">
        <f t="shared" si="37"/>
        <v/>
      </c>
      <c r="H170" s="31" t="str">
        <f t="shared" ref="H170" si="39">IF(COUNTIF(H78,"0800-1730*"),"trg_2.5_1730","trg_2.5_0900")</f>
        <v>trg_2.5_0900</v>
      </c>
      <c r="I170" s="31" t="str">
        <f t="shared" si="38"/>
        <v/>
      </c>
      <c r="J170" s="31" t="str">
        <f t="shared" si="38"/>
        <v/>
      </c>
      <c r="K170" s="31" t="str">
        <f t="shared" si="38"/>
        <v/>
      </c>
      <c r="L170" s="31" t="str">
        <f t="shared" si="38"/>
        <v/>
      </c>
      <c r="M170" s="35" t="s">
        <v>168</v>
      </c>
    </row>
    <row r="171" spans="1:18" ht="15" customHeight="1" thickBot="1">
      <c r="A171" s="2" t="s">
        <v>169</v>
      </c>
      <c r="B171" s="2"/>
      <c r="C171" s="21"/>
      <c r="D171" s="84" t="str">
        <f t="shared" si="35"/>
        <v xml:space="preserve">Joanne Eaton </v>
      </c>
      <c r="E171" s="22">
        <f>IFERROR(VLOOKUP(D171,'Employee Numbers'!$A$3:$B$84,2,FALSE),"NOT FOUND")</f>
        <v>654888</v>
      </c>
      <c r="F171" s="31" t="str">
        <f t="shared" si="37"/>
        <v/>
      </c>
      <c r="G171" s="31" t="str">
        <f t="shared" si="37"/>
        <v/>
      </c>
      <c r="H171" s="37" t="s">
        <v>170</v>
      </c>
      <c r="I171" s="31" t="str">
        <f t="shared" si="38"/>
        <v/>
      </c>
      <c r="J171" s="31" t="str">
        <f t="shared" si="38"/>
        <v/>
      </c>
      <c r="K171" s="31" t="str">
        <f t="shared" si="38"/>
        <v/>
      </c>
      <c r="L171" s="31" t="str">
        <f t="shared" si="38"/>
        <v/>
      </c>
      <c r="M171" s="35" t="s">
        <v>168</v>
      </c>
    </row>
    <row r="172" spans="1:18" ht="15" customHeight="1" thickBot="1">
      <c r="A172" s="2" t="s">
        <v>169</v>
      </c>
      <c r="B172" s="2"/>
      <c r="C172" s="21"/>
      <c r="D172" s="84" t="str">
        <f t="shared" si="35"/>
        <v xml:space="preserve">Helena Li </v>
      </c>
      <c r="E172" s="22">
        <f>IFERROR(VLOOKUP(D172,'Employee Numbers'!$A$3:$B$84,2,FALSE),"NOT FOUND")</f>
        <v>703880</v>
      </c>
      <c r="F172" s="31" t="str">
        <f t="shared" si="37"/>
        <v/>
      </c>
      <c r="G172" s="31" t="str">
        <f t="shared" si="37"/>
        <v/>
      </c>
      <c r="H172" s="37" t="s">
        <v>170</v>
      </c>
      <c r="I172" s="31" t="str">
        <f t="shared" si="38"/>
        <v/>
      </c>
      <c r="J172" s="31" t="str">
        <f t="shared" si="38"/>
        <v/>
      </c>
      <c r="K172" s="31" t="str">
        <f t="shared" si="38"/>
        <v/>
      </c>
      <c r="L172" s="31" t="str">
        <f t="shared" si="38"/>
        <v/>
      </c>
      <c r="M172" s="35" t="s">
        <v>168</v>
      </c>
    </row>
    <row r="173" spans="1:18" ht="15" customHeight="1" thickBot="1">
      <c r="A173" s="2" t="s">
        <v>169</v>
      </c>
      <c r="B173" s="2"/>
      <c r="C173" s="21"/>
      <c r="D173" s="84" t="str">
        <f t="shared" si="35"/>
        <v xml:space="preserve">Mustafa Ozkul </v>
      </c>
      <c r="E173" s="22">
        <f>IFERROR(VLOOKUP(D173,'Employee Numbers'!$A$3:$B$84,2,FALSE),"NOT FOUND")</f>
        <v>703334</v>
      </c>
      <c r="F173" s="31" t="str">
        <f t="shared" si="37"/>
        <v/>
      </c>
      <c r="G173" s="31" t="str">
        <f t="shared" si="37"/>
        <v/>
      </c>
      <c r="H173" s="37" t="s">
        <v>170</v>
      </c>
      <c r="I173" s="31" t="str">
        <f t="shared" si="38"/>
        <v/>
      </c>
      <c r="J173" s="31" t="str">
        <f t="shared" si="38"/>
        <v/>
      </c>
      <c r="K173" s="31" t="str">
        <f t="shared" si="38"/>
        <v/>
      </c>
      <c r="L173" s="31" t="str">
        <f t="shared" si="38"/>
        <v/>
      </c>
      <c r="M173" s="35" t="s">
        <v>168</v>
      </c>
    </row>
    <row r="174" spans="1:18" ht="15" customHeight="1" thickBot="1">
      <c r="A174" s="2" t="s">
        <v>169</v>
      </c>
      <c r="B174" s="2"/>
      <c r="C174" s="21"/>
      <c r="D174" s="84" t="str">
        <f t="shared" si="35"/>
        <v>Ritu Chaurasia (0.75)</v>
      </c>
      <c r="E174" s="22">
        <f>IFERROR(VLOOKUP(D174,'Employee Numbers'!$A$3:$B$84,2,FALSE),"NOT FOUND")</f>
        <v>700538</v>
      </c>
      <c r="F174" s="31" t="str">
        <f t="shared" si="37"/>
        <v/>
      </c>
      <c r="G174" s="31" t="str">
        <f t="shared" si="37"/>
        <v/>
      </c>
      <c r="H174" s="31" t="s">
        <v>167</v>
      </c>
      <c r="I174" s="31" t="str">
        <f t="shared" si="38"/>
        <v/>
      </c>
      <c r="J174" s="31" t="str">
        <f t="shared" si="38"/>
        <v/>
      </c>
      <c r="K174" s="31" t="str">
        <f t="shared" si="38"/>
        <v/>
      </c>
      <c r="L174" s="31" t="str">
        <f t="shared" si="38"/>
        <v/>
      </c>
      <c r="M174" s="35" t="s">
        <v>168</v>
      </c>
    </row>
    <row r="175" spans="1:18" ht="15" customHeight="1" thickBot="1">
      <c r="A175" s="2" t="s">
        <v>169</v>
      </c>
      <c r="B175" s="2"/>
      <c r="C175" s="21"/>
      <c r="D175" s="84" t="str">
        <f t="shared" si="35"/>
        <v>Jamie Nicholls (0.5)</v>
      </c>
      <c r="E175" s="22">
        <f>IFERROR(VLOOKUP(D175,'Employee Numbers'!$A$3:$B$84,2,FALSE),"NOT FOUND")</f>
        <v>704862</v>
      </c>
      <c r="F175" s="31" t="str">
        <f t="shared" si="37"/>
        <v/>
      </c>
      <c r="G175" s="31" t="str">
        <f t="shared" si="37"/>
        <v/>
      </c>
      <c r="H175" s="31" t="str">
        <f t="shared" ref="H175" si="40">IF(COUNTIF(H83,"0800-1730*"),"trg_2.5_1730","trg_2.5_0900")</f>
        <v>trg_2.5_0900</v>
      </c>
      <c r="I175" s="31" t="str">
        <f t="shared" si="38"/>
        <v/>
      </c>
      <c r="J175" s="31" t="str">
        <f t="shared" si="38"/>
        <v/>
      </c>
      <c r="K175" s="31" t="str">
        <f t="shared" si="38"/>
        <v/>
      </c>
      <c r="L175" s="31" t="str">
        <f t="shared" si="38"/>
        <v/>
      </c>
      <c r="M175" s="35" t="s">
        <v>168</v>
      </c>
    </row>
    <row r="176" spans="1:18" ht="15" customHeight="1">
      <c r="A176" s="2" t="s">
        <v>169</v>
      </c>
      <c r="B176" s="2"/>
      <c r="C176" s="21"/>
      <c r="D176" s="84">
        <f t="shared" si="35"/>
        <v>0</v>
      </c>
      <c r="E176" s="22" t="str">
        <f>IFERROR(VLOOKUP(D176,'Employee Numbers'!$A$3:$B$84,2,FALSE),"NOT FOUND")</f>
        <v>NOT FOUND</v>
      </c>
      <c r="F176" s="31" t="str">
        <f t="shared" si="37"/>
        <v/>
      </c>
      <c r="G176" s="31" t="str">
        <f t="shared" si="37"/>
        <v/>
      </c>
      <c r="H176" s="37" t="s">
        <v>170</v>
      </c>
      <c r="I176" s="31" t="str">
        <f t="shared" si="38"/>
        <v/>
      </c>
      <c r="J176" s="31" t="str">
        <f t="shared" si="38"/>
        <v/>
      </c>
      <c r="K176" s="31" t="str">
        <f t="shared" si="38"/>
        <v/>
      </c>
      <c r="L176" s="31" t="str">
        <f t="shared" si="38"/>
        <v/>
      </c>
      <c r="M176" s="35" t="s">
        <v>168</v>
      </c>
    </row>
  </sheetData>
  <mergeCells count="1">
    <mergeCell ref="D4:L4"/>
  </mergeCells>
  <phoneticPr fontId="18" type="noConversion"/>
  <conditionalFormatting sqref="E21:E49">
    <cfRule type="containsText" dxfId="817" priority="1" operator="containsText" text="NOT FOUND">
      <formula>NOT(ISERROR(SEARCH("NOT FOUND",E21)))</formula>
    </cfRule>
    <cfRule type="cellIs" dxfId="816" priority="2" operator="equal">
      <formula>0</formula>
    </cfRule>
  </conditionalFormatting>
  <conditionalFormatting sqref="E54:E59">
    <cfRule type="cellIs" dxfId="815" priority="49" operator="equal">
      <formula>0</formula>
    </cfRule>
    <cfRule type="containsText" dxfId="814" priority="48" operator="containsText" text="NOT FOUND">
      <formula>NOT(ISERROR(SEARCH("NOT FOUND",E54)))</formula>
    </cfRule>
  </conditionalFormatting>
  <conditionalFormatting sqref="E61:E84">
    <cfRule type="cellIs" dxfId="813" priority="43" operator="equal">
      <formula>0</formula>
    </cfRule>
    <cfRule type="containsText" dxfId="812" priority="42" operator="containsText" text="NOT FOUND">
      <formula>NOT(ISERROR(SEARCH("NOT FOUND",E61)))</formula>
    </cfRule>
  </conditionalFormatting>
  <conditionalFormatting sqref="E86:E99">
    <cfRule type="cellIs" dxfId="811" priority="41" operator="equal">
      <formula>0</formula>
    </cfRule>
    <cfRule type="containsText" dxfId="810" priority="40" operator="containsText" text="NOT FOUND">
      <formula>NOT(ISERROR(SEARCH("NOT FOUND",E86)))</formula>
    </cfRule>
  </conditionalFormatting>
  <conditionalFormatting sqref="E101:E102">
    <cfRule type="containsText" dxfId="809" priority="46" operator="containsText" text="NOT FOUND">
      <formula>NOT(ISERROR(SEARCH("NOT FOUND",E101)))</formula>
    </cfRule>
    <cfRule type="cellIs" dxfId="808" priority="47" operator="equal">
      <formula>0</formula>
    </cfRule>
  </conditionalFormatting>
  <conditionalFormatting sqref="E115:E143">
    <cfRule type="containsText" dxfId="807" priority="44" operator="containsText" text="NOT FOUND">
      <formula>NOT(ISERROR(SEARCH("NOT FOUND",E115)))</formula>
    </cfRule>
    <cfRule type="cellIs" dxfId="806" priority="45" operator="equal">
      <formula>0</formula>
    </cfRule>
  </conditionalFormatting>
  <conditionalFormatting sqref="E146:E151">
    <cfRule type="containsText" dxfId="805" priority="5" operator="containsText" text="NOT FOUND">
      <formula>NOT(ISERROR(SEARCH("NOT FOUND",E146)))</formula>
    </cfRule>
    <cfRule type="cellIs" dxfId="804" priority="6" operator="equal">
      <formula>0</formula>
    </cfRule>
  </conditionalFormatting>
  <conditionalFormatting sqref="E153:E176">
    <cfRule type="containsText" dxfId="803" priority="3" operator="containsText" text="NOT FOUND">
      <formula>NOT(ISERROR(SEARCH("NOT FOUND",E153)))</formula>
    </cfRule>
    <cfRule type="cellIs" dxfId="802" priority="4" operator="equal">
      <formula>0</formula>
    </cfRule>
  </conditionalFormatting>
  <conditionalFormatting sqref="F6:L6">
    <cfRule type="cellIs" dxfId="801" priority="33" operator="lessThan">
      <formula>2</formula>
    </cfRule>
    <cfRule type="cellIs" dxfId="800" priority="20" operator="greaterThan">
      <formula>3</formula>
    </cfRule>
  </conditionalFormatting>
  <conditionalFormatting sqref="F7:L7">
    <cfRule type="cellIs" dxfId="799" priority="32" operator="lessThan">
      <formula>2</formula>
    </cfRule>
  </conditionalFormatting>
  <conditionalFormatting sqref="F8:L8">
    <cfRule type="cellIs" dxfId="798" priority="39" operator="between">
      <formula>6</formula>
      <formula>8</formula>
    </cfRule>
    <cfRule type="cellIs" dxfId="797" priority="38" operator="lessThan">
      <formula>5</formula>
    </cfRule>
    <cfRule type="cellIs" dxfId="796" priority="19" operator="greaterThan">
      <formula>8</formula>
    </cfRule>
    <cfRule type="cellIs" dxfId="795" priority="24" operator="equal">
      <formula>5</formula>
    </cfRule>
  </conditionalFormatting>
  <conditionalFormatting sqref="F10:L11">
    <cfRule type="cellIs" dxfId="794" priority="35" operator="greaterThan">
      <formula>1</formula>
    </cfRule>
    <cfRule type="cellIs" dxfId="793" priority="23" operator="equal">
      <formula>1</formula>
    </cfRule>
  </conditionalFormatting>
  <conditionalFormatting sqref="F12:L12 F6:L7">
    <cfRule type="cellIs" dxfId="792" priority="34" operator="between">
      <formula>2</formula>
      <formula>3</formula>
    </cfRule>
  </conditionalFormatting>
  <conditionalFormatting sqref="F12:L12">
    <cfRule type="cellIs" dxfId="791" priority="21" operator="greaterThan">
      <formula>2</formula>
    </cfRule>
    <cfRule type="cellIs" dxfId="790" priority="27" operator="lessThan">
      <formula>2</formula>
    </cfRule>
  </conditionalFormatting>
  <conditionalFormatting sqref="F13:L13">
    <cfRule type="cellIs" dxfId="789" priority="31" operator="lessThan">
      <formula>6</formula>
    </cfRule>
    <cfRule type="cellIs" dxfId="788" priority="28" operator="greaterThanOrEqual">
      <formula>6</formula>
    </cfRule>
  </conditionalFormatting>
  <conditionalFormatting sqref="F14:L14">
    <cfRule type="cellIs" dxfId="787" priority="25" operator="lessThan">
      <formula>9</formula>
    </cfRule>
    <cfRule type="cellIs" dxfId="786" priority="36" operator="between">
      <formula>10</formula>
      <formula>11</formula>
    </cfRule>
    <cfRule type="cellIs" dxfId="785" priority="26" operator="equal">
      <formula>9</formula>
    </cfRule>
    <cfRule type="cellIs" dxfId="784" priority="37" operator="greaterThan">
      <formula>11</formula>
    </cfRule>
  </conditionalFormatting>
  <conditionalFormatting sqref="F16:L16">
    <cfRule type="cellIs" dxfId="783" priority="22" operator="greaterThan">
      <formula>4</formula>
    </cfRule>
    <cfRule type="cellIs" dxfId="782" priority="29" operator="equal">
      <formula>4</formula>
    </cfRule>
    <cfRule type="cellIs" dxfId="781" priority="30" operator="lessThan">
      <formula>4</formula>
    </cfRule>
  </conditionalFormatting>
  <conditionalFormatting sqref="R21:R47">
    <cfRule type="cellIs" dxfId="780" priority="16" operator="equal">
      <formula>S21</formula>
    </cfRule>
    <cfRule type="cellIs" dxfId="779" priority="15" operator="notEqual">
      <formula>S21</formula>
    </cfRule>
  </conditionalFormatting>
  <conditionalFormatting sqref="R54:R59 R61:R84">
    <cfRule type="cellIs" dxfId="778" priority="18" operator="equal">
      <formula>(N54+P54)*9.5/38*5</formula>
    </cfRule>
    <cfRule type="cellIs" dxfId="777" priority="17" operator="notEqual">
      <formula>(N54+P54)*9.5/38*5</formula>
    </cfRule>
  </conditionalFormatting>
  <conditionalFormatting sqref="S54:S59">
    <cfRule type="cellIs" dxfId="776" priority="14" operator="equal">
      <formula>T54</formula>
    </cfRule>
    <cfRule type="cellIs" dxfId="775" priority="13" operator="notEqual">
      <formula>T54</formula>
    </cfRule>
  </conditionalFormatting>
  <conditionalFormatting sqref="S61:S84">
    <cfRule type="cellIs" dxfId="774" priority="12" operator="equal">
      <formula>T61</formula>
    </cfRule>
    <cfRule type="cellIs" dxfId="773" priority="11" operator="notEqual">
      <formula>T61</formula>
    </cfRule>
  </conditionalFormatting>
  <conditionalFormatting sqref="S86:S99">
    <cfRule type="cellIs" dxfId="772" priority="10" operator="equal">
      <formula>T86</formula>
    </cfRule>
    <cfRule type="cellIs" dxfId="771" priority="9" operator="notEqual">
      <formula>T86</formula>
    </cfRule>
  </conditionalFormatting>
  <conditionalFormatting sqref="S101:S102">
    <cfRule type="cellIs" dxfId="770" priority="7" operator="notEqual">
      <formula>T101</formula>
    </cfRule>
    <cfRule type="cellIs" dxfId="769" priority="8" operator="equal">
      <formula>T101</formula>
    </cfRule>
  </conditionalFormatting>
  <pageMargins left="0.70866141732283472" right="0.70866141732283472" top="0.15748031496062992" bottom="0.15748031496062992" header="0" footer="0"/>
  <pageSetup paperSize="9" scale="36" fitToWidth="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Y176"/>
  <sheetViews>
    <sheetView tabSelected="1" topLeftCell="D60" workbookViewId="0">
      <selection activeCell="M77" sqref="M77:M79"/>
    </sheetView>
  </sheetViews>
  <sheetFormatPr defaultColWidth="31.28515625" defaultRowHeight="15" customHeight="1"/>
  <cols>
    <col min="1" max="1" width="15.140625" style="5" customWidth="1"/>
    <col min="2" max="2" width="10.42578125" style="5" customWidth="1"/>
    <col min="3" max="3" width="6" style="8" customWidth="1"/>
    <col min="4" max="4" width="26.7109375" style="5" bestFit="1" customWidth="1"/>
    <col min="5" max="5" width="8.42578125" style="8" customWidth="1"/>
    <col min="6" max="7" width="15.85546875" style="5" customWidth="1"/>
    <col min="8" max="8" width="20" style="5" customWidth="1"/>
    <col min="9" max="12" width="15.85546875" style="5" customWidth="1"/>
    <col min="13" max="13" width="31.28515625" style="5"/>
    <col min="14" max="14" width="7.85546875" style="5" customWidth="1"/>
    <col min="15" max="15" width="14.42578125" style="5" customWidth="1"/>
    <col min="16" max="16" width="8.42578125" style="5" customWidth="1"/>
    <col min="17" max="17" width="8.7109375" style="5" customWidth="1"/>
    <col min="18" max="18" width="12.7109375" style="5" customWidth="1"/>
    <col min="19" max="19" width="14.7109375" style="5" bestFit="1" customWidth="1"/>
    <col min="20" max="20" width="14.140625" style="5" bestFit="1" customWidth="1"/>
    <col min="21" max="25" width="7.140625" style="5" customWidth="1"/>
    <col min="26" max="16384" width="31.28515625" style="5"/>
  </cols>
  <sheetData>
    <row r="1" spans="1:13" s="2" customFormat="1" ht="15" customHeight="1">
      <c r="A1" s="34" t="s">
        <v>0</v>
      </c>
      <c r="B1" s="103" t="s">
        <v>1</v>
      </c>
      <c r="C1" s="104" t="s">
        <v>2</v>
      </c>
      <c r="D1" s="104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 t="s">
        <v>8</v>
      </c>
      <c r="J1" s="47" t="s">
        <v>9</v>
      </c>
      <c r="K1" s="47" t="s">
        <v>10</v>
      </c>
      <c r="L1" s="47" t="s">
        <v>11</v>
      </c>
      <c r="M1" s="103" t="s">
        <v>12</v>
      </c>
    </row>
    <row r="2" spans="1:13" s="2" customFormat="1" ht="15" customHeight="1">
      <c r="A2" s="13" t="s">
        <v>13</v>
      </c>
      <c r="B2" s="112"/>
      <c r="C2" s="21"/>
      <c r="E2" s="21"/>
      <c r="F2" s="94">
        <f>'Week 3'!F2+7</f>
        <v>46167</v>
      </c>
      <c r="G2" s="95">
        <f>F2+1</f>
        <v>46168</v>
      </c>
      <c r="H2" s="95">
        <f t="shared" ref="H2:L2" si="0">G2+1</f>
        <v>46169</v>
      </c>
      <c r="I2" s="95">
        <f t="shared" si="0"/>
        <v>46170</v>
      </c>
      <c r="J2" s="95">
        <f t="shared" si="0"/>
        <v>46171</v>
      </c>
      <c r="K2" s="95">
        <f t="shared" si="0"/>
        <v>46172</v>
      </c>
      <c r="L2" s="95">
        <f t="shared" si="0"/>
        <v>46173</v>
      </c>
    </row>
    <row r="3" spans="1:13" s="2" customFormat="1" ht="15" customHeight="1">
      <c r="A3" s="13" t="s">
        <v>14</v>
      </c>
      <c r="B3" s="112">
        <f>1+(F2-'Week 1'!F2)/7</f>
        <v>4</v>
      </c>
      <c r="E3" s="21"/>
      <c r="F3" s="94"/>
      <c r="G3" s="95"/>
      <c r="H3" s="95"/>
      <c r="I3" s="95"/>
      <c r="J3" s="95"/>
      <c r="K3" s="95"/>
      <c r="L3" s="95"/>
    </row>
    <row r="4" spans="1:13" ht="22.5" customHeight="1">
      <c r="A4" s="13" t="s">
        <v>15</v>
      </c>
      <c r="B4" s="2"/>
      <c r="C4" s="21">
        <f ca="1">IF(INDIRECT("'Week "&amp;(B3-1)&amp;"'!C4")=1,2,IF(INDIRECT("'Week "&amp;(B3-1)&amp;"'!C4")=2,1,_xludf.NA))</f>
        <v>2</v>
      </c>
      <c r="D4" s="359" t="str">
        <f>'Week 1'!D4:L4</f>
        <v>PAEDIATRIC EMERGENCY DEPARTMENT ROSTER - Term 2 2026</v>
      </c>
      <c r="E4" s="360"/>
      <c r="F4" s="360"/>
      <c r="G4" s="360"/>
      <c r="H4" s="360"/>
      <c r="I4" s="360"/>
      <c r="J4" s="360"/>
      <c r="K4" s="360"/>
      <c r="L4" s="360"/>
    </row>
    <row r="5" spans="1:13" s="2" customFormat="1" ht="15" customHeight="1" thickBot="1">
      <c r="A5" s="13"/>
      <c r="C5" s="21"/>
      <c r="E5" s="21"/>
      <c r="F5" s="94"/>
      <c r="G5" s="95"/>
      <c r="H5" s="95"/>
      <c r="I5" s="95"/>
      <c r="J5" s="95"/>
      <c r="K5" s="95"/>
      <c r="L5" s="95"/>
    </row>
    <row r="6" spans="1:13" s="2" customFormat="1" ht="15" customHeight="1">
      <c r="A6" s="13"/>
      <c r="C6" s="21"/>
      <c r="D6" s="96" t="s">
        <v>17</v>
      </c>
      <c r="E6" s="97"/>
      <c r="F6" s="101">
        <f>COUNTIF(F$21:F$49,"0800-1???")-COUNTIFS(F$48,"0800-1???",$D$48,"Locum")-COUNTIFS(F$49,"0800-1???",$D$49,"Locum")</f>
        <v>3</v>
      </c>
      <c r="G6" s="101">
        <f t="shared" ref="G6:L6" si="1">COUNTIF(G$21:G$49,"0800-1???")-COUNTIFS(G$48,"0800-1???",$D$48,"Locum")-COUNTIFS(G$49,"0800-1???",$D$49,"Locum")</f>
        <v>3</v>
      </c>
      <c r="H6" s="101">
        <f t="shared" si="1"/>
        <v>3</v>
      </c>
      <c r="I6" s="101">
        <f t="shared" si="1"/>
        <v>3</v>
      </c>
      <c r="J6" s="101">
        <f t="shared" si="1"/>
        <v>3</v>
      </c>
      <c r="K6" s="101">
        <f t="shared" si="1"/>
        <v>2</v>
      </c>
      <c r="L6" s="101">
        <f t="shared" si="1"/>
        <v>2</v>
      </c>
    </row>
    <row r="7" spans="1:13" s="2" customFormat="1" ht="15" customHeight="1" thickBot="1">
      <c r="A7" s="13"/>
      <c r="C7" s="21"/>
      <c r="D7" s="68" t="s">
        <v>18</v>
      </c>
      <c r="E7" s="67"/>
      <c r="F7" s="109">
        <f t="shared" ref="F7:L7" si="2">COUNTIF(F$54:F$102,"0800-1???")</f>
        <v>5</v>
      </c>
      <c r="G7" s="109">
        <f t="shared" si="2"/>
        <v>5</v>
      </c>
      <c r="H7" s="109">
        <f t="shared" si="2"/>
        <v>4</v>
      </c>
      <c r="I7" s="109">
        <f t="shared" si="2"/>
        <v>5</v>
      </c>
      <c r="J7" s="109">
        <f t="shared" si="2"/>
        <v>4</v>
      </c>
      <c r="K7" s="109">
        <f t="shared" si="2"/>
        <v>6</v>
      </c>
      <c r="L7" s="157">
        <f t="shared" si="2"/>
        <v>6</v>
      </c>
    </row>
    <row r="8" spans="1:13" s="2" customFormat="1" ht="15" customHeight="1" thickBot="1">
      <c r="A8" s="13"/>
      <c r="C8" s="21"/>
      <c r="D8" s="98" t="s">
        <v>19</v>
      </c>
      <c r="E8" s="99"/>
      <c r="F8" s="108">
        <f>F6+F7</f>
        <v>8</v>
      </c>
      <c r="G8" s="108">
        <f t="shared" ref="G8:L8" si="3">G6+G7</f>
        <v>8</v>
      </c>
      <c r="H8" s="108">
        <f t="shared" si="3"/>
        <v>7</v>
      </c>
      <c r="I8" s="108">
        <f t="shared" si="3"/>
        <v>8</v>
      </c>
      <c r="J8" s="108">
        <f t="shared" si="3"/>
        <v>7</v>
      </c>
      <c r="K8" s="108">
        <f t="shared" si="3"/>
        <v>8</v>
      </c>
      <c r="L8" s="158">
        <f t="shared" si="3"/>
        <v>8</v>
      </c>
    </row>
    <row r="9" spans="1:13" s="2" customFormat="1" ht="15" customHeight="1" thickBot="1">
      <c r="A9" s="13"/>
      <c r="C9" s="21"/>
      <c r="E9" s="21"/>
      <c r="F9" s="21"/>
      <c r="G9" s="21"/>
      <c r="H9" s="21"/>
      <c r="I9" s="21"/>
      <c r="J9" s="21"/>
      <c r="K9" s="21"/>
      <c r="L9" s="21"/>
    </row>
    <row r="10" spans="1:13" s="2" customFormat="1" ht="15" customHeight="1">
      <c r="A10" s="13"/>
      <c r="C10" s="21"/>
      <c r="D10" s="96" t="s">
        <v>20</v>
      </c>
      <c r="E10" s="97"/>
      <c r="F10" s="101">
        <f>COUNTIF(F$21:F$49,"1100-????")-COUNTIFS(F$48,"1100-????",$D$48,"Locum")-COUNTIFS(F$49,"1100-????",$D$49,"Locum")</f>
        <v>0</v>
      </c>
      <c r="G10" s="101">
        <f t="shared" ref="G10:L10" si="4">COUNTIF(G$21:G$49,"1100-????")-COUNTIFS(G$48,"1100-????",$D$48,"Locum")-COUNTIFS(G$49,"1100-????",$D$49,"Locum")</f>
        <v>0</v>
      </c>
      <c r="H10" s="101">
        <f t="shared" si="4"/>
        <v>0</v>
      </c>
      <c r="I10" s="101">
        <f t="shared" si="4"/>
        <v>0</v>
      </c>
      <c r="J10" s="101">
        <f t="shared" si="4"/>
        <v>0</v>
      </c>
      <c r="K10" s="101">
        <f t="shared" si="4"/>
        <v>0</v>
      </c>
      <c r="L10" s="101">
        <f t="shared" si="4"/>
        <v>0</v>
      </c>
    </row>
    <row r="11" spans="1:13" s="2" customFormat="1" ht="15" customHeight="1">
      <c r="A11" s="13"/>
      <c r="C11" s="21"/>
      <c r="D11" s="68" t="s">
        <v>21</v>
      </c>
      <c r="E11" s="67"/>
      <c r="F11" s="161">
        <f>COUNTIF(F$54:F$102,"1100-????")</f>
        <v>0</v>
      </c>
      <c r="G11" s="161">
        <f t="shared" ref="G11:L11" si="5">COUNTIF(G$54:G$102,"1100-????")</f>
        <v>0</v>
      </c>
      <c r="H11" s="161">
        <f t="shared" si="5"/>
        <v>0</v>
      </c>
      <c r="I11" s="161">
        <f t="shared" si="5"/>
        <v>0</v>
      </c>
      <c r="J11" s="161">
        <f t="shared" si="5"/>
        <v>0</v>
      </c>
      <c r="K11" s="161">
        <f t="shared" si="5"/>
        <v>0</v>
      </c>
      <c r="L11" s="161">
        <f t="shared" si="5"/>
        <v>0</v>
      </c>
    </row>
    <row r="12" spans="1:13" s="2" customFormat="1" ht="15" customHeight="1">
      <c r="A12" s="13"/>
      <c r="C12" s="21"/>
      <c r="D12" s="68" t="s">
        <v>22</v>
      </c>
      <c r="E12" s="67"/>
      <c r="F12" s="102">
        <f>COUNTIF(F$21:F$49,"1???-00?0")-COUNTIFS(F$48,"1???-00?0",$D$48,"Locum")-COUNTIFS(F$49,"1???-00?0",$D$49,"Locum")</f>
        <v>3</v>
      </c>
      <c r="G12" s="102">
        <f t="shared" ref="G12:L12" si="6">COUNTIF(G$21:G$49,"1???-00?0")-COUNTIFS(G$48,"1???-00?0",$D$48,"Locum")-COUNTIFS(G$49,"1???-00?0",$D$49,"Locum")</f>
        <v>2</v>
      </c>
      <c r="H12" s="102">
        <f t="shared" si="6"/>
        <v>3</v>
      </c>
      <c r="I12" s="102">
        <f t="shared" si="6"/>
        <v>3</v>
      </c>
      <c r="J12" s="102">
        <f t="shared" si="6"/>
        <v>2</v>
      </c>
      <c r="K12" s="102">
        <f t="shared" si="6"/>
        <v>2</v>
      </c>
      <c r="L12" s="102">
        <f t="shared" si="6"/>
        <v>2</v>
      </c>
    </row>
    <row r="13" spans="1:13" s="2" customFormat="1" ht="15" customHeight="1" thickBot="1">
      <c r="A13" s="13"/>
      <c r="C13" s="21"/>
      <c r="D13" s="68" t="s">
        <v>23</v>
      </c>
      <c r="E13" s="67"/>
      <c r="F13" s="109">
        <f>COUNTIF(F$54:F$102,"1???-0000*")</f>
        <v>9</v>
      </c>
      <c r="G13" s="109">
        <f t="shared" ref="G13:L13" si="7">COUNTIF(G$54:G$102,"1???-0000*")</f>
        <v>8</v>
      </c>
      <c r="H13" s="109">
        <f t="shared" si="7"/>
        <v>8</v>
      </c>
      <c r="I13" s="109">
        <f t="shared" si="7"/>
        <v>8</v>
      </c>
      <c r="J13" s="109">
        <f t="shared" si="7"/>
        <v>8</v>
      </c>
      <c r="K13" s="109">
        <f t="shared" si="7"/>
        <v>8</v>
      </c>
      <c r="L13" s="157">
        <f t="shared" si="7"/>
        <v>8</v>
      </c>
    </row>
    <row r="14" spans="1:13" s="2" customFormat="1" ht="15" customHeight="1" thickBot="1">
      <c r="A14" s="13"/>
      <c r="C14" s="21"/>
      <c r="D14" s="98" t="s">
        <v>24</v>
      </c>
      <c r="E14" s="99"/>
      <c r="F14" s="108">
        <f>F12+F13</f>
        <v>12</v>
      </c>
      <c r="G14" s="108">
        <f t="shared" ref="G14:L14" si="8">G12+G13</f>
        <v>10</v>
      </c>
      <c r="H14" s="108">
        <f t="shared" si="8"/>
        <v>11</v>
      </c>
      <c r="I14" s="108">
        <f t="shared" si="8"/>
        <v>11</v>
      </c>
      <c r="J14" s="108">
        <f t="shared" si="8"/>
        <v>10</v>
      </c>
      <c r="K14" s="108">
        <f t="shared" si="8"/>
        <v>10</v>
      </c>
      <c r="L14" s="158">
        <f t="shared" si="8"/>
        <v>10</v>
      </c>
    </row>
    <row r="15" spans="1:13" s="2" customFormat="1" ht="15" customHeight="1" thickBot="1">
      <c r="A15" s="13"/>
      <c r="C15" s="21"/>
      <c r="E15" s="21"/>
      <c r="F15" s="21"/>
      <c r="G15" s="21"/>
      <c r="H15" s="21"/>
      <c r="I15" s="21"/>
      <c r="J15" s="21"/>
      <c r="K15" s="21"/>
      <c r="L15" s="21"/>
    </row>
    <row r="16" spans="1:13" s="2" customFormat="1" ht="15" customHeight="1" thickBot="1">
      <c r="A16" s="13"/>
      <c r="C16" s="21"/>
      <c r="D16" s="100" t="s">
        <v>25</v>
      </c>
      <c r="E16" s="72"/>
      <c r="F16" s="66">
        <f t="shared" ref="F16:L16" si="9">COUNTIF(F$54:F$99,"2300-0830")</f>
        <v>4</v>
      </c>
      <c r="G16" s="66">
        <f t="shared" si="9"/>
        <v>4</v>
      </c>
      <c r="H16" s="66">
        <f t="shared" si="9"/>
        <v>4</v>
      </c>
      <c r="I16" s="66">
        <f t="shared" si="9"/>
        <v>4</v>
      </c>
      <c r="J16" s="66">
        <f t="shared" si="9"/>
        <v>4</v>
      </c>
      <c r="K16" s="66">
        <f t="shared" si="9"/>
        <v>4</v>
      </c>
      <c r="L16" s="159">
        <f t="shared" si="9"/>
        <v>4</v>
      </c>
    </row>
    <row r="17" spans="1:25" s="2" customFormat="1" ht="15" customHeight="1" thickBot="1">
      <c r="A17" s="13"/>
      <c r="C17" s="21"/>
      <c r="E17" s="21"/>
      <c r="F17" s="21"/>
      <c r="G17" s="21"/>
      <c r="H17" s="21"/>
      <c r="I17" s="21"/>
      <c r="J17" s="21"/>
      <c r="K17" s="21"/>
      <c r="L17" s="21"/>
    </row>
    <row r="18" spans="1:25" s="2" customFormat="1" ht="15" customHeight="1" thickBot="1">
      <c r="A18" s="13"/>
      <c r="C18" s="21"/>
      <c r="D18" s="61" t="s">
        <v>26</v>
      </c>
      <c r="E18" s="62" t="s">
        <v>4</v>
      </c>
      <c r="F18" s="62" t="s">
        <v>5</v>
      </c>
      <c r="G18" s="62" t="s">
        <v>6</v>
      </c>
      <c r="H18" s="62" t="s">
        <v>7</v>
      </c>
      <c r="I18" s="62" t="s">
        <v>8</v>
      </c>
      <c r="J18" s="62" t="s">
        <v>9</v>
      </c>
      <c r="K18" s="62" t="s">
        <v>10</v>
      </c>
      <c r="L18" s="63" t="s">
        <v>11</v>
      </c>
      <c r="N18" s="145" t="s">
        <v>27</v>
      </c>
      <c r="O18" s="145" t="s">
        <v>28</v>
      </c>
      <c r="P18" s="136" t="s">
        <v>29</v>
      </c>
      <c r="R18" s="146" t="s">
        <v>30</v>
      </c>
      <c r="S18" s="145" t="s">
        <v>31</v>
      </c>
    </row>
    <row r="19" spans="1:25" s="2" customFormat="1" ht="15" customHeight="1" thickBot="1">
      <c r="A19" s="13"/>
      <c r="C19" s="21"/>
      <c r="D19" s="93"/>
      <c r="E19" s="91"/>
      <c r="F19" s="92">
        <f>F2</f>
        <v>46167</v>
      </c>
      <c r="G19" s="64">
        <f t="shared" ref="G19:L19" si="10">F19+1</f>
        <v>46168</v>
      </c>
      <c r="H19" s="64">
        <f t="shared" si="10"/>
        <v>46169</v>
      </c>
      <c r="I19" s="64">
        <f t="shared" si="10"/>
        <v>46170</v>
      </c>
      <c r="J19" s="64">
        <f t="shared" si="10"/>
        <v>46171</v>
      </c>
      <c r="K19" s="64">
        <f t="shared" si="10"/>
        <v>46172</v>
      </c>
      <c r="L19" s="65">
        <f t="shared" si="10"/>
        <v>46173</v>
      </c>
      <c r="N19" s="147" t="s">
        <v>32</v>
      </c>
      <c r="O19" s="21" t="s">
        <v>32</v>
      </c>
      <c r="P19" s="148"/>
      <c r="R19" s="149" t="s">
        <v>32</v>
      </c>
      <c r="S19" s="147" t="s">
        <v>32</v>
      </c>
      <c r="U19" s="2" t="s">
        <v>33</v>
      </c>
      <c r="V19" s="142" t="s">
        <v>34</v>
      </c>
      <c r="W19" s="2" t="s">
        <v>35</v>
      </c>
      <c r="X19" s="2" t="s">
        <v>36</v>
      </c>
      <c r="Y19" s="2" t="s">
        <v>37</v>
      </c>
    </row>
    <row r="20" spans="1:25" s="2" customFormat="1" ht="15.75" customHeight="1" thickBot="1">
      <c r="A20" s="114" t="s">
        <v>38</v>
      </c>
      <c r="B20" s="115"/>
      <c r="C20" s="116"/>
      <c r="D20" s="117" t="s">
        <v>38</v>
      </c>
      <c r="E20" s="155"/>
      <c r="F20" s="118"/>
      <c r="G20" s="119"/>
      <c r="H20" s="119"/>
      <c r="I20" s="119"/>
      <c r="J20" s="119"/>
      <c r="K20" s="119"/>
      <c r="L20" s="120"/>
      <c r="N20" s="160"/>
      <c r="O20" s="160"/>
      <c r="P20" s="150"/>
      <c r="R20" s="151"/>
      <c r="S20" s="160"/>
      <c r="T20" s="160"/>
      <c r="U20" s="160"/>
      <c r="V20" s="142"/>
    </row>
    <row r="21" spans="1:25" s="2" customFormat="1" ht="15" customHeight="1">
      <c r="A21" s="162" t="s">
        <v>39</v>
      </c>
      <c r="B21" s="162"/>
      <c r="C21" s="164"/>
      <c r="D21" s="234" t="s">
        <v>40</v>
      </c>
      <c r="E21" s="165">
        <f>IFERROR(VLOOKUP(D21,'Employee Numbers'!$A$3:$B$84,2,FALSE),"NOT FOUND")</f>
        <v>287628</v>
      </c>
      <c r="F21" s="235" t="s">
        <v>41</v>
      </c>
      <c r="G21" s="236" t="s">
        <v>41</v>
      </c>
      <c r="H21" s="236" t="s">
        <v>41</v>
      </c>
      <c r="I21" s="236"/>
      <c r="J21" s="236" t="s">
        <v>44</v>
      </c>
      <c r="K21" s="236"/>
      <c r="L21" s="237"/>
      <c r="N21">
        <f t="array" ref="N21">((SUM(IFERROR((TEXT(IF(ISNUMBER(SEARCH("-", F21:L21)), MID(F21:L21, SEARCH("-", F21:L21) + 1, 4), ""), "00\:00") - TEXT(IF(ISNUMBER(SEARCH("-", F21:L21)), MID(F21:L21, SEARCH("-", F21:L21) - 4, 4), ""), "00\:00") + IF(TEXT(IF(ISNUMBER(SEARCH("-", F21:L21)), MID(F21:L21, SEARCH("-", F21:L21) + 1, 4), ""), "00\:00") &lt; TEXT(IF(ISNUMBER(SEARCH("-", F21:L21)), MID(F21:L21, SEARCH("-", F21:L21) - 4, 4), ""), "00\:00"), 1, 0))*24,""))))/9.5</f>
        <v>4</v>
      </c>
      <c r="O21"/>
      <c r="P21" s="151">
        <f>N21+O21</f>
        <v>4</v>
      </c>
      <c r="R21" s="4">
        <f ca="1">IF($C$4=1,SUM(P21+INDIRECT("'Week "&amp;($B$3+1)&amp;"'!P"&amp;(ROW()))),IF($C$4=2,SUM(P21+INDIRECT("'Week "&amp;($B$3-1)&amp;"'!P"&amp;(ROW())))))</f>
        <v>8</v>
      </c>
      <c r="S21" s="2">
        <f>(IFERROR(VLOOKUP(D21,'Employee Numbers'!$A$3:$C$84,3,FALSE),"NOT FOUND"))*8</f>
        <v>8</v>
      </c>
      <c r="U21" s="142">
        <f>COUNTIF(E21:K21,"0800-1730")</f>
        <v>1</v>
      </c>
      <c r="V21" s="142">
        <f>COUNTIF(F21:L21,"1???-00?0")</f>
        <v>0</v>
      </c>
      <c r="W21" s="2">
        <f>COUNTIF(F21:L21,"*0800-1730*CS*")+COUNTIF(F21:L21,"*0800-1730*DEMT*")</f>
        <v>3</v>
      </c>
      <c r="Y21" s="2">
        <f>COUNTIF(K21:L21,"???0-*")</f>
        <v>0</v>
      </c>
    </row>
    <row r="22" spans="1:25" s="2" customFormat="1" ht="15" customHeight="1">
      <c r="A22" s="2" t="s">
        <v>39</v>
      </c>
      <c r="B22" s="46"/>
      <c r="C22" s="21"/>
      <c r="D22" s="227" t="s">
        <v>43</v>
      </c>
      <c r="E22" s="226">
        <f>IFERROR(VLOOKUP(D22,'Employee Numbers'!$A$3:$B$84,2,FALSE),"NOT FOUND")</f>
        <v>609660</v>
      </c>
      <c r="F22" s="29" t="s">
        <v>41</v>
      </c>
      <c r="G22" s="31" t="s">
        <v>41</v>
      </c>
      <c r="H22" s="31" t="s">
        <v>44</v>
      </c>
      <c r="I22" s="31" t="s">
        <v>69</v>
      </c>
      <c r="J22" s="31"/>
      <c r="K22" s="31"/>
      <c r="L22" s="228"/>
      <c r="N22">
        <f t="array" ref="N22">((SUM(IFERROR((TEXT(IF(ISNUMBER(SEARCH("-", F22:L22)), MID(F22:L22, SEARCH("-", F22:L22) + 1, 4), ""), "00\:00") - TEXT(IF(ISNUMBER(SEARCH("-", F22:L22)), MID(F22:L22, SEARCH("-", F22:L22) - 4, 4), ""), "00\:00") + IF(TEXT(IF(ISNUMBER(SEARCH("-", F22:L22)), MID(F22:L22, SEARCH("-", F22:L22) + 1, 4), ""), "00\:00") &lt; TEXT(IF(ISNUMBER(SEARCH("-", F22:L22)), MID(F22:L22, SEARCH("-", F22:L22) - 4, 4), ""), "00\:00"), 1, 0))*24,""))))/9.5</f>
        <v>3</v>
      </c>
      <c r="O22">
        <v>1</v>
      </c>
      <c r="P22" s="151">
        <f t="shared" ref="P22:P47" si="11">N22+O22</f>
        <v>4</v>
      </c>
      <c r="R22" s="4">
        <f t="shared" ref="R22:R47" ca="1" si="12">IF($C$4=1,SUM(P22+INDIRECT("'Week "&amp;($B$3+1)&amp;"'!P"&amp;(ROW()))),IF($C$4=2,SUM(P22+INDIRECT("'Week "&amp;($B$3-1)&amp;"'!P"&amp;(ROW())))))</f>
        <v>8</v>
      </c>
      <c r="S22" s="2">
        <f>(IFERROR(VLOOKUP(D22,'Employee Numbers'!$A$3:$C$84,3,FALSE),"NOT FOUND"))*8</f>
        <v>8</v>
      </c>
      <c r="U22" s="142">
        <f t="shared" ref="U22:U47" si="13">COUNTIF(E22:K22,"0800-1730")</f>
        <v>1</v>
      </c>
      <c r="V22" s="142">
        <f t="shared" ref="V22:V47" si="14">COUNTIF(F22:L22,"1???-00?0")</f>
        <v>0</v>
      </c>
      <c r="W22" s="2">
        <f t="shared" ref="W22:W47" si="15">COUNTIF(F22:L22,"*0800-1730*CS*")+COUNTIF(F22:L22,"*0800-1730*DEMT*")</f>
        <v>2</v>
      </c>
      <c r="Y22" s="2">
        <f t="shared" ref="Y22:Y47" si="16">COUNTIF(K22:L22,"???0-*")</f>
        <v>0</v>
      </c>
    </row>
    <row r="23" spans="1:25" s="2" customFormat="1" ht="15" customHeight="1">
      <c r="A23" s="162" t="s">
        <v>39</v>
      </c>
      <c r="B23" s="163"/>
      <c r="C23" s="238"/>
      <c r="D23" s="239" t="s">
        <v>45</v>
      </c>
      <c r="E23" s="165">
        <f>IFERROR(VLOOKUP(D23,'Employee Numbers'!$A$3:$B$84,2,FALSE),"NOT FOUND")</f>
        <v>610036</v>
      </c>
      <c r="F23" s="176" t="s">
        <v>41</v>
      </c>
      <c r="G23" s="166" t="s">
        <v>44</v>
      </c>
      <c r="H23" s="166"/>
      <c r="I23" s="166"/>
      <c r="J23" s="166"/>
      <c r="K23" s="166" t="s">
        <v>54</v>
      </c>
      <c r="L23" s="167" t="s">
        <v>54</v>
      </c>
      <c r="N23">
        <f t="array" ref="N23">((SUM(IFERROR((TEXT(IF(ISNUMBER(SEARCH("-", F23:L23)), MID(F23:L23, SEARCH("-", F23:L23) + 1, 4), ""), "00\:00") - TEXT(IF(ISNUMBER(SEARCH("-", F23:L23)), MID(F23:L23, SEARCH("-", F23:L23) - 4, 4), ""), "00\:00") + IF(TEXT(IF(ISNUMBER(SEARCH("-", F23:L23)), MID(F23:L23, SEARCH("-", F23:L23) + 1, 4), ""), "00\:00") &lt; TEXT(IF(ISNUMBER(SEARCH("-", F23:L23)), MID(F23:L23, SEARCH("-", F23:L23) - 4, 4), ""), "00\:00"), 1, 0))*24,""))))/9.5</f>
        <v>4</v>
      </c>
      <c r="O23"/>
      <c r="P23" s="151">
        <f t="shared" si="11"/>
        <v>4</v>
      </c>
      <c r="R23" s="4">
        <f t="shared" ca="1" si="12"/>
        <v>8</v>
      </c>
      <c r="S23" s="2">
        <f>(IFERROR(VLOOKUP(D23,'Employee Numbers'!$A$3:$C$84,3,FALSE),"NOT FOUND"))*8</f>
        <v>8</v>
      </c>
      <c r="U23" s="142">
        <f t="shared" si="13"/>
        <v>1</v>
      </c>
      <c r="V23" s="142">
        <f t="shared" si="14"/>
        <v>2</v>
      </c>
      <c r="W23" s="2">
        <f t="shared" si="15"/>
        <v>1</v>
      </c>
      <c r="Y23" s="2">
        <f t="shared" si="16"/>
        <v>2</v>
      </c>
    </row>
    <row r="24" spans="1:25" s="2" customFormat="1" ht="15" customHeight="1">
      <c r="A24" s="2" t="s">
        <v>39</v>
      </c>
      <c r="B24" s="46"/>
      <c r="C24" s="47"/>
      <c r="D24" s="227" t="s">
        <v>49</v>
      </c>
      <c r="E24" s="226">
        <f>IFERROR(VLOOKUP(D24,'Employee Numbers'!$A$3:$B$84,2,FALSE),"NOT FOUND")</f>
        <v>533509</v>
      </c>
      <c r="F24" s="29" t="s">
        <v>50</v>
      </c>
      <c r="G24" s="31" t="s">
        <v>50</v>
      </c>
      <c r="H24" s="31" t="s">
        <v>50</v>
      </c>
      <c r="I24" s="31" t="s">
        <v>50</v>
      </c>
      <c r="J24" s="31" t="s">
        <v>50</v>
      </c>
      <c r="K24" s="31" t="s">
        <v>50</v>
      </c>
      <c r="L24" s="228" t="s">
        <v>50</v>
      </c>
      <c r="N24">
        <f t="array" ref="N24">((SUM(IFERROR((TEXT(IF(ISNUMBER(SEARCH("-", F24:L24)), MID(F24:L24, SEARCH("-", F24:L24) + 1, 4), ""), "00\:00") - TEXT(IF(ISNUMBER(SEARCH("-", F24:L24)), MID(F24:L24, SEARCH("-", F24:L24) - 4, 4), ""), "00\:00") + IF(TEXT(IF(ISNUMBER(SEARCH("-", F24:L24)), MID(F24:L24, SEARCH("-", F24:L24) + 1, 4), ""), "00\:00") &lt; TEXT(IF(ISNUMBER(SEARCH("-", F24:L24)), MID(F24:L24, SEARCH("-", F24:L24) - 4, 4), ""), "00\:00"), 1, 0))*24,""))))/9.5</f>
        <v>0</v>
      </c>
      <c r="O24"/>
      <c r="P24" s="151">
        <f t="shared" si="11"/>
        <v>0</v>
      </c>
      <c r="R24" s="4">
        <f t="shared" ca="1" si="12"/>
        <v>0</v>
      </c>
      <c r="S24" s="2">
        <f>(IFERROR(VLOOKUP(D24,'Employee Numbers'!$A$3:$C$84,3,FALSE),"NOT FOUND"))*8</f>
        <v>0</v>
      </c>
      <c r="U24" s="142">
        <f t="shared" si="13"/>
        <v>0</v>
      </c>
      <c r="V24" s="142">
        <f t="shared" si="14"/>
        <v>0</v>
      </c>
      <c r="W24" s="2">
        <f t="shared" si="15"/>
        <v>0</v>
      </c>
      <c r="Y24" s="2">
        <f t="shared" si="16"/>
        <v>0</v>
      </c>
    </row>
    <row r="25" spans="1:25" s="2" customFormat="1" ht="15" customHeight="1">
      <c r="A25" s="162" t="s">
        <v>39</v>
      </c>
      <c r="B25" s="163"/>
      <c r="C25" s="238"/>
      <c r="D25" s="240" t="s">
        <v>51</v>
      </c>
      <c r="E25" s="165">
        <f>IFERROR(VLOOKUP(D25,'Employee Numbers'!$A$3:$B$84,2,FALSE),"NOT FOUND")</f>
        <v>625985</v>
      </c>
      <c r="F25" s="176" t="s">
        <v>42</v>
      </c>
      <c r="G25" s="166" t="s">
        <v>41</v>
      </c>
      <c r="H25" s="166" t="s">
        <v>42</v>
      </c>
      <c r="I25" s="166"/>
      <c r="J25" s="166"/>
      <c r="K25" s="166"/>
      <c r="L25" s="167" t="s">
        <v>44</v>
      </c>
      <c r="N25">
        <f t="array" ref="N25">((SUM(IFERROR((TEXT(IF(ISNUMBER(SEARCH("-", F25:L25)), MID(F25:L25, SEARCH("-", F25:L25) + 1, 4), ""), "00\:00") - TEXT(IF(ISNUMBER(SEARCH("-", F25:L25)), MID(F25:L25, SEARCH("-", F25:L25) - 4, 4), ""), "00\:00") + IF(TEXT(IF(ISNUMBER(SEARCH("-", F25:L25)), MID(F25:L25, SEARCH("-", F25:L25) + 1, 4), ""), "00\:00") &lt; TEXT(IF(ISNUMBER(SEARCH("-", F25:L25)), MID(F25:L25, SEARCH("-", F25:L25) - 4, 4), ""), "00\:00"), 1, 0))*24,""))))/9.5</f>
        <v>4</v>
      </c>
      <c r="O25"/>
      <c r="P25" s="151">
        <f t="shared" si="11"/>
        <v>4</v>
      </c>
      <c r="R25" s="4">
        <f t="shared" ca="1" si="12"/>
        <v>8</v>
      </c>
      <c r="S25" s="2">
        <f>(IFERROR(VLOOKUP(D25,'Employee Numbers'!$A$3:$C$84,3,FALSE),"NOT FOUND"))*8</f>
        <v>8</v>
      </c>
      <c r="U25" s="142">
        <f t="shared" si="13"/>
        <v>0</v>
      </c>
      <c r="V25" s="142">
        <f t="shared" si="14"/>
        <v>2</v>
      </c>
      <c r="W25" s="2">
        <f t="shared" si="15"/>
        <v>1</v>
      </c>
      <c r="Y25" s="2">
        <f t="shared" si="16"/>
        <v>1</v>
      </c>
    </row>
    <row r="26" spans="1:25" s="2" customFormat="1" ht="15" customHeight="1">
      <c r="A26" s="2" t="s">
        <v>39</v>
      </c>
      <c r="B26" s="46"/>
      <c r="C26" s="47"/>
      <c r="D26" s="227" t="s">
        <v>52</v>
      </c>
      <c r="E26" s="226">
        <f>IFERROR(VLOOKUP(D26,'Employee Numbers'!$A$3:$B$84,2,FALSE),"NOT FOUND")</f>
        <v>632301</v>
      </c>
      <c r="F26" s="29" t="s">
        <v>44</v>
      </c>
      <c r="G26" s="31" t="s">
        <v>42</v>
      </c>
      <c r="H26" s="31" t="s">
        <v>41</v>
      </c>
      <c r="I26" s="31" t="s">
        <v>42</v>
      </c>
      <c r="J26" s="31"/>
      <c r="K26" s="31"/>
      <c r="L26" s="228"/>
      <c r="M26" s="13"/>
      <c r="N26">
        <f t="array" ref="N26">((SUM(IFERROR((TEXT(IF(ISNUMBER(SEARCH("-", F26:L26)), MID(F26:L26, SEARCH("-", F26:L26) + 1, 4), ""), "00\:00") - TEXT(IF(ISNUMBER(SEARCH("-", F26:L26)), MID(F26:L26, SEARCH("-", F26:L26) - 4, 4), ""), "00\:00") + IF(TEXT(IF(ISNUMBER(SEARCH("-", F26:L26)), MID(F26:L26, SEARCH("-", F26:L26) + 1, 4), ""), "00\:00") &lt; TEXT(IF(ISNUMBER(SEARCH("-", F26:L26)), MID(F26:L26, SEARCH("-", F26:L26) - 4, 4), ""), "00\:00"), 1, 0))*24,""))))/9.5</f>
        <v>4</v>
      </c>
      <c r="O26"/>
      <c r="P26" s="151">
        <f t="shared" si="11"/>
        <v>4</v>
      </c>
      <c r="R26" s="4">
        <f t="shared" ca="1" si="12"/>
        <v>8</v>
      </c>
      <c r="S26" s="2">
        <f>(IFERROR(VLOOKUP(D26,'Employee Numbers'!$A$3:$C$84,3,FALSE),"NOT FOUND"))*8</f>
        <v>8</v>
      </c>
      <c r="U26" s="142">
        <f t="shared" si="13"/>
        <v>1</v>
      </c>
      <c r="V26" s="142">
        <f t="shared" si="14"/>
        <v>2</v>
      </c>
      <c r="W26" s="2">
        <f t="shared" si="15"/>
        <v>1</v>
      </c>
      <c r="Y26" s="2">
        <f t="shared" si="16"/>
        <v>0</v>
      </c>
    </row>
    <row r="27" spans="1:25" s="2" customFormat="1" ht="15" customHeight="1">
      <c r="A27" s="162" t="s">
        <v>39</v>
      </c>
      <c r="B27" s="163"/>
      <c r="C27" s="238"/>
      <c r="D27" s="240" t="s">
        <v>53</v>
      </c>
      <c r="E27" s="165">
        <f>IFERROR(VLOOKUP(D27,'Employee Numbers'!$A$3:$B$84,2,FALSE),"NOT FOUND")</f>
        <v>613891</v>
      </c>
      <c r="F27" s="176" t="s">
        <v>42</v>
      </c>
      <c r="G27" s="176"/>
      <c r="H27" s="166" t="s">
        <v>41</v>
      </c>
      <c r="I27" s="176" t="s">
        <v>44</v>
      </c>
      <c r="J27" s="176"/>
      <c r="K27" s="176"/>
      <c r="L27" s="167"/>
      <c r="M27" s="13"/>
      <c r="N27">
        <f t="array" ref="N27">((SUM(IFERROR((TEXT(IF(ISNUMBER(SEARCH("-", F27:L27)), MID(F27:L27, SEARCH("-", F27:L27) + 1, 4), ""), "00\:00") - TEXT(IF(ISNUMBER(SEARCH("-", F27:L27)), MID(F27:L27, SEARCH("-", F27:L27) - 4, 4), ""), "00\:00") + IF(TEXT(IF(ISNUMBER(SEARCH("-", F27:L27)), MID(F27:L27, SEARCH("-", F27:L27) + 1, 4), ""), "00\:00") &lt; TEXT(IF(ISNUMBER(SEARCH("-", F27:L27)), MID(F27:L27, SEARCH("-", F27:L27) - 4, 4), ""), "00\:00"), 1, 0))*24,""))))/9.5</f>
        <v>3</v>
      </c>
      <c r="O27"/>
      <c r="P27" s="151">
        <f t="shared" si="11"/>
        <v>3</v>
      </c>
      <c r="R27" s="4">
        <f t="shared" ca="1" si="12"/>
        <v>6</v>
      </c>
      <c r="S27" s="2">
        <f>(IFERROR(VLOOKUP(D27,'Employee Numbers'!$A$3:$C$84,3,FALSE),"NOT FOUND"))*8</f>
        <v>6</v>
      </c>
      <c r="U27" s="142">
        <f t="shared" si="13"/>
        <v>1</v>
      </c>
      <c r="V27" s="142">
        <f t="shared" si="14"/>
        <v>1</v>
      </c>
      <c r="W27" s="2">
        <f t="shared" si="15"/>
        <v>1</v>
      </c>
      <c r="Y27" s="2">
        <f t="shared" si="16"/>
        <v>0</v>
      </c>
    </row>
    <row r="28" spans="1:25" s="2" customFormat="1" ht="15" customHeight="1">
      <c r="A28" s="2" t="s">
        <v>39</v>
      </c>
      <c r="B28" s="46"/>
      <c r="C28" s="21"/>
      <c r="D28" s="227" t="s">
        <v>55</v>
      </c>
      <c r="E28" s="226">
        <f>IFERROR(VLOOKUP(D28,'Employee Numbers'!$A$3:$B$84,2,FALSE),"NOT FOUND")</f>
        <v>623657</v>
      </c>
      <c r="F28" s="250" t="s">
        <v>176</v>
      </c>
      <c r="G28" s="251" t="s">
        <v>176</v>
      </c>
      <c r="H28" s="251" t="s">
        <v>176</v>
      </c>
      <c r="I28" s="251" t="s">
        <v>176</v>
      </c>
      <c r="J28" s="251" t="s">
        <v>176</v>
      </c>
      <c r="K28" s="251" t="s">
        <v>176</v>
      </c>
      <c r="L28" s="252" t="s">
        <v>176</v>
      </c>
      <c r="N28">
        <f t="array" ref="N28">((SUM(IFERROR((TEXT(IF(ISNUMBER(SEARCH("-", F28:L28)), MID(F28:L28, SEARCH("-", F28:L28) + 1, 4), ""), "00\:00") - TEXT(IF(ISNUMBER(SEARCH("-", F28:L28)), MID(F28:L28, SEARCH("-", F28:L28) - 4, 4), ""), "00\:00") + IF(TEXT(IF(ISNUMBER(SEARCH("-", F28:L28)), MID(F28:L28, SEARCH("-", F28:L28) + 1, 4), ""), "00\:00") &lt; TEXT(IF(ISNUMBER(SEARCH("-", F28:L28)), MID(F28:L28, SEARCH("-", F28:L28) - 4, 4), ""), "00\:00"), 1, 0))*24,""))))/9.5</f>
        <v>0</v>
      </c>
      <c r="O28">
        <v>1</v>
      </c>
      <c r="P28" s="151">
        <f t="shared" si="11"/>
        <v>1</v>
      </c>
      <c r="R28" s="4">
        <f t="shared" ca="1" si="12"/>
        <v>2</v>
      </c>
      <c r="S28" s="2">
        <f>(IFERROR(VLOOKUP(D28,'Employee Numbers'!$A$3:$C$84,3,FALSE),"NOT FOUND"))*8</f>
        <v>2</v>
      </c>
      <c r="U28" s="142">
        <f t="shared" si="13"/>
        <v>0</v>
      </c>
      <c r="V28" s="142">
        <f t="shared" si="14"/>
        <v>0</v>
      </c>
      <c r="W28" s="2">
        <f t="shared" si="15"/>
        <v>0</v>
      </c>
      <c r="Y28" s="2">
        <f t="shared" si="16"/>
        <v>0</v>
      </c>
    </row>
    <row r="29" spans="1:25" s="2" customFormat="1" ht="15" customHeight="1">
      <c r="A29" s="162" t="s">
        <v>39</v>
      </c>
      <c r="B29" s="163"/>
      <c r="C29" s="164"/>
      <c r="D29" s="240" t="s">
        <v>56</v>
      </c>
      <c r="E29" s="165">
        <f>IFERROR(VLOOKUP(D29,'Employee Numbers'!$A$3:$B$84,2,FALSE),"NOT FOUND")</f>
        <v>623708</v>
      </c>
      <c r="F29" s="176"/>
      <c r="G29" s="166" t="s">
        <v>42</v>
      </c>
      <c r="H29" s="166" t="s">
        <v>41</v>
      </c>
      <c r="I29" s="166"/>
      <c r="J29" s="166" t="s">
        <v>44</v>
      </c>
      <c r="K29" s="166"/>
      <c r="L29" s="167"/>
      <c r="N29">
        <f t="array" ref="N29">((SUM(IFERROR((TEXT(IF(ISNUMBER(SEARCH("-", F29:L29)), MID(F29:L29, SEARCH("-", F29:L29) + 1, 4), ""), "00\:00") - TEXT(IF(ISNUMBER(SEARCH("-", F29:L29)), MID(F29:L29, SEARCH("-", F29:L29) - 4, 4), ""), "00\:00") + IF(TEXT(IF(ISNUMBER(SEARCH("-", F29:L29)), MID(F29:L29, SEARCH("-", F29:L29) + 1, 4), ""), "00\:00") &lt; TEXT(IF(ISNUMBER(SEARCH("-", F29:L29)), MID(F29:L29, SEARCH("-", F29:L29) - 4, 4), ""), "00\:00"), 1, 0))*24,""))))/9.5</f>
        <v>3</v>
      </c>
      <c r="O29"/>
      <c r="P29" s="151">
        <f t="shared" si="11"/>
        <v>3</v>
      </c>
      <c r="R29" s="4">
        <f t="shared" ca="1" si="12"/>
        <v>6</v>
      </c>
      <c r="S29" s="2">
        <f>(IFERROR(VLOOKUP(D29,'Employee Numbers'!$A$3:$C$84,3,FALSE),"NOT FOUND"))*8</f>
        <v>6</v>
      </c>
      <c r="U29" s="142">
        <f t="shared" si="13"/>
        <v>1</v>
      </c>
      <c r="V29" s="142">
        <f t="shared" si="14"/>
        <v>1</v>
      </c>
      <c r="W29" s="2">
        <f t="shared" si="15"/>
        <v>1</v>
      </c>
      <c r="Y29" s="2">
        <f t="shared" si="16"/>
        <v>0</v>
      </c>
    </row>
    <row r="30" spans="1:25" s="2" customFormat="1" ht="15" customHeight="1">
      <c r="A30" s="2" t="s">
        <v>39</v>
      </c>
      <c r="B30" s="46"/>
      <c r="C30" s="21"/>
      <c r="D30" s="227" t="s">
        <v>57</v>
      </c>
      <c r="E30" s="226">
        <f>IFERROR(VLOOKUP(D30,'Employee Numbers'!$A$3:$B$84,2,FALSE),"NOT FOUND")</f>
        <v>627680</v>
      </c>
      <c r="F30" s="29" t="s">
        <v>42</v>
      </c>
      <c r="G30" s="31"/>
      <c r="H30" s="31" t="s">
        <v>41</v>
      </c>
      <c r="I30" s="31" t="s">
        <v>44</v>
      </c>
      <c r="J30" s="31"/>
      <c r="K30" s="31"/>
      <c r="L30" s="228"/>
      <c r="N30">
        <f t="array" ref="N30">((SUM(IFERROR((TEXT(IF(ISNUMBER(SEARCH("-", F30:L30)), MID(F30:L30, SEARCH("-", F30:L30) + 1, 4), ""), "00\:00") - TEXT(IF(ISNUMBER(SEARCH("-", F30:L30)), MID(F30:L30, SEARCH("-", F30:L30) - 4, 4), ""), "00\:00") + IF(TEXT(IF(ISNUMBER(SEARCH("-", F30:L30)), MID(F30:L30, SEARCH("-", F30:L30) + 1, 4), ""), "00\:00") &lt; TEXT(IF(ISNUMBER(SEARCH("-", F30:L30)), MID(F30:L30, SEARCH("-", F30:L30) - 4, 4), ""), "00\:00"), 1, 0))*24,""))))/9.5</f>
        <v>3</v>
      </c>
      <c r="O30"/>
      <c r="P30" s="151">
        <f t="shared" si="11"/>
        <v>3</v>
      </c>
      <c r="R30" s="4">
        <f t="shared" ca="1" si="12"/>
        <v>6</v>
      </c>
      <c r="S30" s="2">
        <f>(IFERROR(VLOOKUP(D30,'Employee Numbers'!$A$3:$C$84,3,FALSE),"NOT FOUND"))*8</f>
        <v>6</v>
      </c>
      <c r="U30" s="142">
        <f t="shared" si="13"/>
        <v>1</v>
      </c>
      <c r="V30" s="142">
        <f t="shared" si="14"/>
        <v>1</v>
      </c>
      <c r="W30" s="2">
        <f t="shared" si="15"/>
        <v>1</v>
      </c>
      <c r="Y30" s="2">
        <f t="shared" si="16"/>
        <v>0</v>
      </c>
    </row>
    <row r="31" spans="1:25" s="2" customFormat="1" ht="15" customHeight="1">
      <c r="A31" s="162" t="s">
        <v>39</v>
      </c>
      <c r="B31" s="163"/>
      <c r="C31" s="164"/>
      <c r="D31" s="240" t="s">
        <v>58</v>
      </c>
      <c r="E31" s="165">
        <f>IFERROR(VLOOKUP(D31,'Employee Numbers'!$A$3:$B$84,2,FALSE),"NOT FOUND")</f>
        <v>633210</v>
      </c>
      <c r="F31" s="176"/>
      <c r="G31" s="166" t="s">
        <v>44</v>
      </c>
      <c r="H31" s="166" t="s">
        <v>42</v>
      </c>
      <c r="I31" s="166"/>
      <c r="J31" s="166" t="s">
        <v>41</v>
      </c>
      <c r="K31" s="166"/>
      <c r="L31" s="167"/>
      <c r="N31">
        <f t="array" ref="N31">((SUM(IFERROR((TEXT(IF(ISNUMBER(SEARCH("-", F31:L31)), MID(F31:L31, SEARCH("-", F31:L31) + 1, 4), ""), "00\:00") - TEXT(IF(ISNUMBER(SEARCH("-", F31:L31)), MID(F31:L31, SEARCH("-", F31:L31) - 4, 4), ""), "00\:00") + IF(TEXT(IF(ISNUMBER(SEARCH("-", F31:L31)), MID(F31:L31, SEARCH("-", F31:L31) + 1, 4), ""), "00\:00") &lt; TEXT(IF(ISNUMBER(SEARCH("-", F31:L31)), MID(F31:L31, SEARCH("-", F31:L31) - 4, 4), ""), "00\:00"), 1, 0))*24,""))))/9.5</f>
        <v>3</v>
      </c>
      <c r="O31"/>
      <c r="P31" s="151">
        <f t="shared" si="11"/>
        <v>3</v>
      </c>
      <c r="R31" s="4">
        <f t="shared" ca="1" si="12"/>
        <v>6</v>
      </c>
      <c r="S31" s="2">
        <f>(IFERROR(VLOOKUP(D31,'Employee Numbers'!$A$3:$C$84,3,FALSE),"NOT FOUND"))*8</f>
        <v>6</v>
      </c>
      <c r="U31" s="142">
        <f t="shared" si="13"/>
        <v>1</v>
      </c>
      <c r="V31" s="142">
        <f t="shared" si="14"/>
        <v>1</v>
      </c>
      <c r="W31" s="2">
        <f t="shared" si="15"/>
        <v>1</v>
      </c>
      <c r="Y31" s="2">
        <f t="shared" si="16"/>
        <v>0</v>
      </c>
    </row>
    <row r="32" spans="1:25" s="2" customFormat="1" ht="15" customHeight="1">
      <c r="A32" s="2" t="s">
        <v>39</v>
      </c>
      <c r="B32" s="46"/>
      <c r="C32" s="21"/>
      <c r="D32" s="230" t="s">
        <v>59</v>
      </c>
      <c r="E32" s="226">
        <f>IFERROR(VLOOKUP(D32,'Employee Numbers'!$A$3:$B$84,2,FALSE),"NOT FOUND")</f>
        <v>618952</v>
      </c>
      <c r="F32" s="29" t="s">
        <v>44</v>
      </c>
      <c r="G32" s="31"/>
      <c r="H32" s="31" t="s">
        <v>42</v>
      </c>
      <c r="I32" s="31" t="s">
        <v>63</v>
      </c>
      <c r="J32" s="31"/>
      <c r="K32" s="31"/>
      <c r="L32" s="228"/>
      <c r="N32">
        <f t="array" ref="N32">((SUM(IFERROR((TEXT(IF(ISNUMBER(SEARCH("-", F32:L32)), MID(F32:L32, SEARCH("-", F32:L32) + 1, 4), ""), "00\:00") - TEXT(IF(ISNUMBER(SEARCH("-", F32:L32)), MID(F32:L32, SEARCH("-", F32:L32) - 4, 4), ""), "00\:00") + IF(TEXT(IF(ISNUMBER(SEARCH("-", F32:L32)), MID(F32:L32, SEARCH("-", F32:L32) + 1, 4), ""), "00\:00") &lt; TEXT(IF(ISNUMBER(SEARCH("-", F32:L32)), MID(F32:L32, SEARCH("-", F32:L32) - 4, 4), ""), "00\:00"), 1, 0))*24,""))))/9.5</f>
        <v>3</v>
      </c>
      <c r="O32"/>
      <c r="P32" s="151">
        <f t="shared" si="11"/>
        <v>3</v>
      </c>
      <c r="R32" s="4">
        <f t="shared" ca="1" si="12"/>
        <v>6</v>
      </c>
      <c r="S32" s="2">
        <f>(IFERROR(VLOOKUP(D32,'Employee Numbers'!$A$3:$C$84,3,FALSE),"NOT FOUND"))*8</f>
        <v>6</v>
      </c>
      <c r="U32" s="142">
        <f t="shared" si="13"/>
        <v>1</v>
      </c>
      <c r="V32" s="142">
        <f t="shared" si="14"/>
        <v>1</v>
      </c>
      <c r="W32" s="2">
        <f t="shared" si="15"/>
        <v>1</v>
      </c>
      <c r="Y32" s="2">
        <f t="shared" si="16"/>
        <v>0</v>
      </c>
    </row>
    <row r="33" spans="1:25" s="2" customFormat="1" ht="15" customHeight="1">
      <c r="A33" s="162" t="s">
        <v>39</v>
      </c>
      <c r="B33" s="163"/>
      <c r="C33" s="164"/>
      <c r="D33" s="241" t="s">
        <v>61</v>
      </c>
      <c r="E33" s="165">
        <f>IFERROR(VLOOKUP(D33,'Employee Numbers'!$A$3:$B$84,2,FALSE),"NOT FOUND")</f>
        <v>649039</v>
      </c>
      <c r="F33" s="176" t="s">
        <v>44</v>
      </c>
      <c r="G33" s="166"/>
      <c r="H33" s="166" t="s">
        <v>41</v>
      </c>
      <c r="I33" s="166" t="s">
        <v>42</v>
      </c>
      <c r="J33" s="166"/>
      <c r="K33" s="166"/>
      <c r="L33" s="167"/>
      <c r="N33">
        <f t="array" ref="N33">((SUM(IFERROR((TEXT(IF(ISNUMBER(SEARCH("-", F33:L33)), MID(F33:L33, SEARCH("-", F33:L33) + 1, 4), ""), "00\:00") - TEXT(IF(ISNUMBER(SEARCH("-", F33:L33)), MID(F33:L33, SEARCH("-", F33:L33) - 4, 4), ""), "00\:00") + IF(TEXT(IF(ISNUMBER(SEARCH("-", F33:L33)), MID(F33:L33, SEARCH("-", F33:L33) + 1, 4), ""), "00\:00") &lt; TEXT(IF(ISNUMBER(SEARCH("-", F33:L33)), MID(F33:L33, SEARCH("-", F33:L33) - 4, 4), ""), "00\:00"), 1, 0))*24,""))))/9.5</f>
        <v>3</v>
      </c>
      <c r="O33"/>
      <c r="P33" s="151">
        <f t="shared" si="11"/>
        <v>3</v>
      </c>
      <c r="R33" s="4">
        <f t="shared" ca="1" si="12"/>
        <v>5</v>
      </c>
      <c r="S33" s="2">
        <f>(IFERROR(VLOOKUP(D33,'Employee Numbers'!$A$3:$C$84,3,FALSE),"NOT FOUND"))*8</f>
        <v>5</v>
      </c>
      <c r="U33" s="142">
        <f t="shared" si="13"/>
        <v>1</v>
      </c>
      <c r="V33" s="142">
        <f t="shared" si="14"/>
        <v>1</v>
      </c>
      <c r="W33" s="2">
        <f t="shared" si="15"/>
        <v>1</v>
      </c>
      <c r="Y33" s="2">
        <f t="shared" si="16"/>
        <v>0</v>
      </c>
    </row>
    <row r="34" spans="1:25" s="2" customFormat="1" ht="15" customHeight="1">
      <c r="A34" s="2" t="s">
        <v>39</v>
      </c>
      <c r="B34" s="46"/>
      <c r="C34" s="21"/>
      <c r="D34" s="227" t="s">
        <v>62</v>
      </c>
      <c r="E34" s="226">
        <f>IFERROR(VLOOKUP(D34,'Employee Numbers'!$A$3:$B$84,2,FALSE),"NOT FOUND")</f>
        <v>649671</v>
      </c>
      <c r="F34" s="250" t="s">
        <v>176</v>
      </c>
      <c r="G34" s="251" t="s">
        <v>176</v>
      </c>
      <c r="H34" s="251" t="s">
        <v>176</v>
      </c>
      <c r="I34" s="251" t="s">
        <v>176</v>
      </c>
      <c r="J34" s="251" t="s">
        <v>176</v>
      </c>
      <c r="K34" s="251" t="s">
        <v>176</v>
      </c>
      <c r="L34" s="252" t="s">
        <v>176</v>
      </c>
      <c r="N34">
        <f t="array" ref="N34">((SUM(IFERROR((TEXT(IF(ISNUMBER(SEARCH("-", F34:L34)), MID(F34:L34, SEARCH("-", F34:L34) + 1, 4), ""), "00\:00") - TEXT(IF(ISNUMBER(SEARCH("-", F34:L34)), MID(F34:L34, SEARCH("-", F34:L34) - 4, 4), ""), "00\:00") + IF(TEXT(IF(ISNUMBER(SEARCH("-", F34:L34)), MID(F34:L34, SEARCH("-", F34:L34) + 1, 4), ""), "00\:00") &lt; TEXT(IF(ISNUMBER(SEARCH("-", F34:L34)), MID(F34:L34, SEARCH("-", F34:L34) - 4, 4), ""), "00\:00"), 1, 0))*24,""))))/9.5</f>
        <v>0</v>
      </c>
      <c r="O34">
        <v>3</v>
      </c>
      <c r="P34" s="151">
        <f t="shared" si="11"/>
        <v>3</v>
      </c>
      <c r="R34" s="4">
        <f t="shared" ca="1" si="12"/>
        <v>6</v>
      </c>
      <c r="S34" s="2">
        <f>(IFERROR(VLOOKUP(D34,'Employee Numbers'!$A$3:$C$84,3,FALSE),"NOT FOUND"))*8</f>
        <v>6</v>
      </c>
      <c r="U34" s="142">
        <f t="shared" si="13"/>
        <v>0</v>
      </c>
      <c r="V34" s="142">
        <f t="shared" si="14"/>
        <v>0</v>
      </c>
      <c r="W34" s="2">
        <f t="shared" si="15"/>
        <v>0</v>
      </c>
      <c r="Y34" s="2">
        <f t="shared" si="16"/>
        <v>0</v>
      </c>
    </row>
    <row r="35" spans="1:25" s="2" customFormat="1" ht="15" customHeight="1">
      <c r="A35" s="162" t="s">
        <v>39</v>
      </c>
      <c r="B35" s="163"/>
      <c r="C35" s="164"/>
      <c r="D35" s="240" t="s">
        <v>64</v>
      </c>
      <c r="E35" s="165">
        <f>IFERROR(VLOOKUP(D35,'Employee Numbers'!$A$3:$B$84,2,FALSE),"NOT FOUND")</f>
        <v>646047</v>
      </c>
      <c r="F35" s="176"/>
      <c r="G35" s="166"/>
      <c r="H35" s="166" t="s">
        <v>41</v>
      </c>
      <c r="I35" s="166"/>
      <c r="J35" s="166"/>
      <c r="K35" s="166" t="s">
        <v>44</v>
      </c>
      <c r="L35" s="167"/>
      <c r="N35">
        <f t="array" ref="N35">((SUM(IFERROR((TEXT(IF(ISNUMBER(SEARCH("-", F35:L35)), MID(F35:L35, SEARCH("-", F35:L35) + 1, 4), ""), "00\:00") - TEXT(IF(ISNUMBER(SEARCH("-", F35:L35)), MID(F35:L35, SEARCH("-", F35:L35) - 4, 4), ""), "00\:00") + IF(TEXT(IF(ISNUMBER(SEARCH("-", F35:L35)), MID(F35:L35, SEARCH("-", F35:L35) + 1, 4), ""), "00\:00") &lt; TEXT(IF(ISNUMBER(SEARCH("-", F35:L35)), MID(F35:L35, SEARCH("-", F35:L35) - 4, 4), ""), "00\:00"), 1, 0))*24,""))))/9.5</f>
        <v>2</v>
      </c>
      <c r="O35"/>
      <c r="P35" s="151">
        <f t="shared" si="11"/>
        <v>2</v>
      </c>
      <c r="R35" s="4">
        <f t="shared" ca="1" si="12"/>
        <v>4</v>
      </c>
      <c r="S35" s="2">
        <f>(IFERROR(VLOOKUP(D35,'Employee Numbers'!$A$3:$C$84,3,FALSE),"NOT FOUND"))*8</f>
        <v>5</v>
      </c>
      <c r="U35" s="142">
        <f t="shared" si="13"/>
        <v>1</v>
      </c>
      <c r="V35" s="142">
        <f t="shared" si="14"/>
        <v>0</v>
      </c>
      <c r="W35" s="2">
        <f t="shared" si="15"/>
        <v>1</v>
      </c>
      <c r="Y35" s="2">
        <f t="shared" si="16"/>
        <v>1</v>
      </c>
    </row>
    <row r="36" spans="1:25" s="2" customFormat="1" ht="15" customHeight="1">
      <c r="A36" s="2" t="s">
        <v>39</v>
      </c>
      <c r="B36" s="46"/>
      <c r="C36" s="21"/>
      <c r="D36" s="229" t="s">
        <v>66</v>
      </c>
      <c r="E36" s="226">
        <f>IFERROR(VLOOKUP(D36,'Employee Numbers'!$A$3:$B$84,2,FALSE),"NOT FOUND")</f>
        <v>164003</v>
      </c>
      <c r="F36" s="29"/>
      <c r="G36" s="31"/>
      <c r="H36" s="31" t="s">
        <v>44</v>
      </c>
      <c r="I36" s="31" t="s">
        <v>42</v>
      </c>
      <c r="J36" s="31"/>
      <c r="K36" s="31"/>
      <c r="L36" s="228"/>
      <c r="N36">
        <f t="array" ref="N36">((SUM(IFERROR((TEXT(IF(ISNUMBER(SEARCH("-", F36:L36)), MID(F36:L36, SEARCH("-", F36:L36) + 1, 4), ""), "00\:00") - TEXT(IF(ISNUMBER(SEARCH("-", F36:L36)), MID(F36:L36, SEARCH("-", F36:L36) - 4, 4), ""), "00\:00") + IF(TEXT(IF(ISNUMBER(SEARCH("-", F36:L36)), MID(F36:L36, SEARCH("-", F36:L36) + 1, 4), ""), "00\:00") &lt; TEXT(IF(ISNUMBER(SEARCH("-", F36:L36)), MID(F36:L36, SEARCH("-", F36:L36) - 4, 4), ""), "00\:00"), 1, 0))*24,""))))/9.5</f>
        <v>2</v>
      </c>
      <c r="O36"/>
      <c r="P36" s="151">
        <f t="shared" si="11"/>
        <v>2</v>
      </c>
      <c r="R36" s="4">
        <f t="shared" ca="1" si="12"/>
        <v>4</v>
      </c>
      <c r="S36" s="2">
        <f>(IFERROR(VLOOKUP(D36,'Employee Numbers'!$A$3:$C$84,3,FALSE),"NOT FOUND"))*8</f>
        <v>4</v>
      </c>
      <c r="U36" s="142">
        <f t="shared" si="13"/>
        <v>1</v>
      </c>
      <c r="V36" s="142">
        <f t="shared" si="14"/>
        <v>1</v>
      </c>
      <c r="W36" s="2">
        <f t="shared" si="15"/>
        <v>0</v>
      </c>
      <c r="Y36" s="2">
        <f t="shared" si="16"/>
        <v>0</v>
      </c>
    </row>
    <row r="37" spans="1:25" s="2" customFormat="1" ht="15" customHeight="1">
      <c r="A37" s="162" t="s">
        <v>39</v>
      </c>
      <c r="B37" s="163"/>
      <c r="C37" s="164"/>
      <c r="D37" s="240" t="s">
        <v>67</v>
      </c>
      <c r="E37" s="165">
        <f>IFERROR(VLOOKUP(D37,'Employee Numbers'!$A$3:$B$84,2,FALSE),"NOT FOUND")</f>
        <v>609408</v>
      </c>
      <c r="F37" s="176"/>
      <c r="G37" s="166"/>
      <c r="H37" s="166"/>
      <c r="I37" s="166"/>
      <c r="J37" s="166"/>
      <c r="K37" s="166"/>
      <c r="L37" s="167"/>
      <c r="N37">
        <f t="array" ref="N37">((SUM(IFERROR((TEXT(IF(ISNUMBER(SEARCH("-", F37:L37)), MID(F37:L37, SEARCH("-", F37:L37) + 1, 4), ""), "00\:00") - TEXT(IF(ISNUMBER(SEARCH("-", F37:L37)), MID(F37:L37, SEARCH("-", F37:L37) - 4, 4), ""), "00\:00") + IF(TEXT(IF(ISNUMBER(SEARCH("-", F37:L37)), MID(F37:L37, SEARCH("-", F37:L37) + 1, 4), ""), "00\:00") &lt; TEXT(IF(ISNUMBER(SEARCH("-", F37:L37)), MID(F37:L37, SEARCH("-", F37:L37) - 4, 4), ""), "00\:00"), 1, 0))*24,""))))/9.5</f>
        <v>0</v>
      </c>
      <c r="O37"/>
      <c r="P37" s="151">
        <f t="shared" si="11"/>
        <v>0</v>
      </c>
      <c r="R37" s="4">
        <f t="shared" ca="1" si="12"/>
        <v>4</v>
      </c>
      <c r="S37" s="2">
        <f>(IFERROR(VLOOKUP(D37,'Employee Numbers'!$A$3:$C$84,3,FALSE),"NOT FOUND"))*8</f>
        <v>4</v>
      </c>
      <c r="U37" s="142">
        <f t="shared" si="13"/>
        <v>0</v>
      </c>
      <c r="V37" s="142">
        <f t="shared" si="14"/>
        <v>0</v>
      </c>
      <c r="W37" s="2">
        <f t="shared" si="15"/>
        <v>0</v>
      </c>
      <c r="Y37" s="2">
        <f t="shared" si="16"/>
        <v>0</v>
      </c>
    </row>
    <row r="38" spans="1:25" s="2" customFormat="1" ht="15" customHeight="1">
      <c r="A38" s="2" t="s">
        <v>39</v>
      </c>
      <c r="B38" s="46"/>
      <c r="C38" s="21"/>
      <c r="D38" s="227" t="s">
        <v>68</v>
      </c>
      <c r="E38" s="226">
        <f>IFERROR(VLOOKUP(D38,'Employee Numbers'!$A$3:$B$84,2,FALSE),"NOT FOUND")</f>
        <v>627619</v>
      </c>
      <c r="F38" s="29"/>
      <c r="G38" s="31" t="s">
        <v>44</v>
      </c>
      <c r="H38" s="31"/>
      <c r="I38" s="31"/>
      <c r="J38" s="31"/>
      <c r="K38" s="31" t="s">
        <v>44</v>
      </c>
      <c r="L38" s="228"/>
      <c r="N38">
        <f t="array" ref="N38">((SUM(IFERROR((TEXT(IF(ISNUMBER(SEARCH("-", F38:L38)), MID(F38:L38, SEARCH("-", F38:L38) + 1, 4), ""), "00\:00") - TEXT(IF(ISNUMBER(SEARCH("-", F38:L38)), MID(F38:L38, SEARCH("-", F38:L38) - 4, 4), ""), "00\:00") + IF(TEXT(IF(ISNUMBER(SEARCH("-", F38:L38)), MID(F38:L38, SEARCH("-", F38:L38) + 1, 4), ""), "00\:00") &lt; TEXT(IF(ISNUMBER(SEARCH("-", F38:L38)), MID(F38:L38, SEARCH("-", F38:L38) - 4, 4), ""), "00\:00"), 1, 0))*24,""))))/9.5</f>
        <v>2</v>
      </c>
      <c r="O38"/>
      <c r="P38" s="151">
        <f t="shared" si="11"/>
        <v>2</v>
      </c>
      <c r="R38" s="4">
        <f t="shared" ca="1" si="12"/>
        <v>4</v>
      </c>
      <c r="S38" s="2">
        <f>(IFERROR(VLOOKUP(D38,'Employee Numbers'!$A$3:$C$84,3,FALSE),"NOT FOUND"))*8</f>
        <v>4</v>
      </c>
      <c r="U38" s="142">
        <f t="shared" si="13"/>
        <v>2</v>
      </c>
      <c r="V38" s="142">
        <f t="shared" si="14"/>
        <v>0</v>
      </c>
      <c r="W38" s="2">
        <f t="shared" si="15"/>
        <v>0</v>
      </c>
      <c r="Y38" s="2">
        <f t="shared" si="16"/>
        <v>1</v>
      </c>
    </row>
    <row r="39" spans="1:25" s="2" customFormat="1" ht="15" customHeight="1">
      <c r="A39" s="162" t="s">
        <v>39</v>
      </c>
      <c r="B39" s="163"/>
      <c r="C39" s="164"/>
      <c r="D39" s="240" t="s">
        <v>71</v>
      </c>
      <c r="E39" s="165">
        <f>IFERROR(VLOOKUP(D39,'Employee Numbers'!$A$3:$B$84,2,FALSE),"NOT FOUND")</f>
        <v>632646</v>
      </c>
      <c r="F39" s="176"/>
      <c r="G39" s="166"/>
      <c r="H39" s="166"/>
      <c r="I39" s="166"/>
      <c r="J39" s="166"/>
      <c r="K39" s="166"/>
      <c r="L39" s="167"/>
      <c r="N39">
        <f t="array" ref="N39">((SUM(IFERROR((TEXT(IF(ISNUMBER(SEARCH("-", F39:L39)), MID(F39:L39, SEARCH("-", F39:L39) + 1, 4), ""), "00\:00") - TEXT(IF(ISNUMBER(SEARCH("-", F39:L39)), MID(F39:L39, SEARCH("-", F39:L39) - 4, 4), ""), "00\:00") + IF(TEXT(IF(ISNUMBER(SEARCH("-", F39:L39)), MID(F39:L39, SEARCH("-", F39:L39) + 1, 4), ""), "00\:00") &lt; TEXT(IF(ISNUMBER(SEARCH("-", F39:L39)), MID(F39:L39, SEARCH("-", F39:L39) - 4, 4), ""), "00\:00"), 1, 0))*24,""))))/9.5</f>
        <v>0</v>
      </c>
      <c r="O39"/>
      <c r="P39" s="151">
        <f t="shared" si="11"/>
        <v>0</v>
      </c>
      <c r="R39" s="4">
        <f t="shared" ca="1" si="12"/>
        <v>4</v>
      </c>
      <c r="S39" s="2">
        <f>(IFERROR(VLOOKUP(D39,'Employee Numbers'!$A$3:$C$84,3,FALSE),"NOT FOUND"))*8</f>
        <v>4</v>
      </c>
      <c r="U39" s="142">
        <f t="shared" si="13"/>
        <v>0</v>
      </c>
      <c r="V39" s="142">
        <f t="shared" si="14"/>
        <v>0</v>
      </c>
      <c r="W39" s="2">
        <f t="shared" si="15"/>
        <v>0</v>
      </c>
      <c r="Y39" s="2">
        <f t="shared" si="16"/>
        <v>0</v>
      </c>
    </row>
    <row r="40" spans="1:25" s="2" customFormat="1" ht="15" customHeight="1">
      <c r="A40" s="2" t="s">
        <v>39</v>
      </c>
      <c r="B40" s="46"/>
      <c r="C40" s="21"/>
      <c r="D40" s="229" t="s">
        <v>72</v>
      </c>
      <c r="E40" s="226">
        <f>IFERROR(VLOOKUP(D40,'Employee Numbers'!$A$3:$B$84,2,FALSE),"NOT FOUND")</f>
        <v>652844</v>
      </c>
      <c r="F40" s="29"/>
      <c r="G40" s="31" t="s">
        <v>63</v>
      </c>
      <c r="H40" s="31"/>
      <c r="I40" s="31" t="s">
        <v>44</v>
      </c>
      <c r="J40" s="31" t="s">
        <v>42</v>
      </c>
      <c r="K40" s="31" t="s">
        <v>54</v>
      </c>
      <c r="L40" s="228"/>
      <c r="N40">
        <f t="array" ref="N40">((SUM(IFERROR((TEXT(IF(ISNUMBER(SEARCH("-", F40:L40)), MID(F40:L40, SEARCH("-", F40:L40) + 1, 4), ""), "00\:00") - TEXT(IF(ISNUMBER(SEARCH("-", F40:L40)), MID(F40:L40, SEARCH("-", F40:L40) - 4, 4), ""), "00\:00") + IF(TEXT(IF(ISNUMBER(SEARCH("-", F40:L40)), MID(F40:L40, SEARCH("-", F40:L40) + 1, 4), ""), "00\:00") &lt; TEXT(IF(ISNUMBER(SEARCH("-", F40:L40)), MID(F40:L40, SEARCH("-", F40:L40) - 4, 4), ""), "00\:00"), 1, 0))*24,""))))/9.5</f>
        <v>4</v>
      </c>
      <c r="O40"/>
      <c r="P40" s="151">
        <f t="shared" si="11"/>
        <v>4</v>
      </c>
      <c r="R40" s="4">
        <f t="shared" ca="1" si="12"/>
        <v>4</v>
      </c>
      <c r="S40" s="2">
        <f>(IFERROR(VLOOKUP(D40,'Employee Numbers'!$A$3:$C$84,3,FALSE),"NOT FOUND"))*8</f>
        <v>4</v>
      </c>
      <c r="U40" s="142">
        <f t="shared" si="13"/>
        <v>1</v>
      </c>
      <c r="V40" s="142">
        <f t="shared" si="14"/>
        <v>2</v>
      </c>
      <c r="W40" s="2">
        <f t="shared" si="15"/>
        <v>1</v>
      </c>
      <c r="Y40" s="2">
        <f t="shared" si="16"/>
        <v>1</v>
      </c>
    </row>
    <row r="41" spans="1:25" s="2" customFormat="1" ht="15" customHeight="1">
      <c r="A41" s="162" t="s">
        <v>39</v>
      </c>
      <c r="B41" s="163"/>
      <c r="C41" s="164"/>
      <c r="D41" s="241" t="s">
        <v>73</v>
      </c>
      <c r="E41" s="165">
        <f>IFERROR(VLOOKUP(D41,'Employee Numbers'!$A$3:$B$84,2,FALSE),"NOT FOUND")</f>
        <v>634491</v>
      </c>
      <c r="F41" s="176" t="s">
        <v>41</v>
      </c>
      <c r="G41" s="166"/>
      <c r="H41" s="166" t="s">
        <v>44</v>
      </c>
      <c r="I41" s="166"/>
      <c r="J41" s="166" t="s">
        <v>44</v>
      </c>
      <c r="K41" s="166"/>
      <c r="L41" s="167" t="s">
        <v>54</v>
      </c>
      <c r="N41">
        <f t="array" ref="N41">((SUM(IFERROR((TEXT(IF(ISNUMBER(SEARCH("-", F41:L41)), MID(F41:L41, SEARCH("-", F41:L41) + 1, 4), ""), "00\:00") - TEXT(IF(ISNUMBER(SEARCH("-", F41:L41)), MID(F41:L41, SEARCH("-", F41:L41) - 4, 4), ""), "00\:00") + IF(TEXT(IF(ISNUMBER(SEARCH("-", F41:L41)), MID(F41:L41, SEARCH("-", F41:L41) + 1, 4), ""), "00\:00") &lt; TEXT(IF(ISNUMBER(SEARCH("-", F41:L41)), MID(F41:L41, SEARCH("-", F41:L41) - 4, 4), ""), "00\:00"), 1, 0))*24,""))))/9.5</f>
        <v>4</v>
      </c>
      <c r="O41"/>
      <c r="P41" s="151">
        <f t="shared" si="11"/>
        <v>4</v>
      </c>
      <c r="R41" s="4">
        <f t="shared" ca="1" si="12"/>
        <v>4</v>
      </c>
      <c r="S41" s="2">
        <f>(IFERROR(VLOOKUP(D41,'Employee Numbers'!$A$3:$C$84,3,FALSE),"NOT FOUND"))*8</f>
        <v>4</v>
      </c>
      <c r="U41" s="142">
        <f t="shared" si="13"/>
        <v>2</v>
      </c>
      <c r="V41" s="142">
        <f t="shared" si="14"/>
        <v>1</v>
      </c>
      <c r="W41" s="2">
        <f t="shared" si="15"/>
        <v>1</v>
      </c>
      <c r="Y41" s="2">
        <f t="shared" si="16"/>
        <v>1</v>
      </c>
    </row>
    <row r="42" spans="1:25" s="2" customFormat="1" ht="15" customHeight="1">
      <c r="A42" s="2" t="s">
        <v>39</v>
      </c>
      <c r="B42" s="46"/>
      <c r="C42" s="47"/>
      <c r="D42" s="227" t="s">
        <v>74</v>
      </c>
      <c r="E42" s="226">
        <f>IFERROR(VLOOKUP(D42,'Employee Numbers'!$A$3:$B$84,2,FALSE),"NOT FOUND")</f>
        <v>621988</v>
      </c>
      <c r="F42" s="250" t="s">
        <v>75</v>
      </c>
      <c r="G42" s="251" t="s">
        <v>75</v>
      </c>
      <c r="H42" s="251" t="s">
        <v>75</v>
      </c>
      <c r="I42" s="251" t="s">
        <v>75</v>
      </c>
      <c r="J42" s="251" t="s">
        <v>75</v>
      </c>
      <c r="K42" s="251" t="s">
        <v>75</v>
      </c>
      <c r="L42" s="252" t="s">
        <v>75</v>
      </c>
      <c r="N42">
        <f t="array" ref="N42">((SUM(IFERROR((TEXT(IF(ISNUMBER(SEARCH("-", F42:L42)), MID(F42:L42, SEARCH("-", F42:L42) + 1, 4), ""), "00\:00") - TEXT(IF(ISNUMBER(SEARCH("-", F42:L42)), MID(F42:L42, SEARCH("-", F42:L42) - 4, 4), ""), "00\:00") + IF(TEXT(IF(ISNUMBER(SEARCH("-", F42:L42)), MID(F42:L42, SEARCH("-", F42:L42) + 1, 4), ""), "00\:00") &lt; TEXT(IF(ISNUMBER(SEARCH("-", F42:L42)), MID(F42:L42, SEARCH("-", F42:L42) - 4, 4), ""), "00\:00"), 1, 0))*24,""))))/9.5</f>
        <v>0</v>
      </c>
      <c r="O42">
        <v>2</v>
      </c>
      <c r="P42" s="151">
        <f t="shared" si="11"/>
        <v>2</v>
      </c>
      <c r="R42" s="4">
        <f t="shared" ca="1" si="12"/>
        <v>4</v>
      </c>
      <c r="S42" s="2">
        <f>(IFERROR(VLOOKUP(D42,'Employee Numbers'!$A$3:$C$84,3,FALSE),"NOT FOUND"))*8</f>
        <v>4</v>
      </c>
      <c r="U42" s="142">
        <f t="shared" si="13"/>
        <v>0</v>
      </c>
      <c r="V42" s="142">
        <f t="shared" si="14"/>
        <v>0</v>
      </c>
      <c r="W42" s="2">
        <f t="shared" si="15"/>
        <v>0</v>
      </c>
      <c r="Y42" s="2">
        <f t="shared" si="16"/>
        <v>0</v>
      </c>
    </row>
    <row r="43" spans="1:25" s="2" customFormat="1" ht="15" customHeight="1">
      <c r="A43" s="162" t="s">
        <v>39</v>
      </c>
      <c r="B43" s="163"/>
      <c r="C43" s="238"/>
      <c r="D43" s="239" t="s">
        <v>76</v>
      </c>
      <c r="E43" s="165">
        <f>IFERROR(VLOOKUP(D43,'Employee Numbers'!$A$3:$B$84,2,FALSE),"NOT FOUND")</f>
        <v>409677</v>
      </c>
      <c r="F43" s="176" t="s">
        <v>63</v>
      </c>
      <c r="G43" s="166"/>
      <c r="H43" s="166"/>
      <c r="I43" s="166"/>
      <c r="J43" s="166" t="s">
        <v>42</v>
      </c>
      <c r="K43" s="166"/>
      <c r="L43" s="167"/>
      <c r="N43">
        <f t="array" ref="N43">((SUM(IFERROR((TEXT(IF(ISNUMBER(SEARCH("-", F43:L43)), MID(F43:L43, SEARCH("-", F43:L43) + 1, 4), ""), "00\:00") - TEXT(IF(ISNUMBER(SEARCH("-", F43:L43)), MID(F43:L43, SEARCH("-", F43:L43) - 4, 4), ""), "00\:00") + IF(TEXT(IF(ISNUMBER(SEARCH("-", F43:L43)), MID(F43:L43, SEARCH("-", F43:L43) + 1, 4), ""), "00\:00") &lt; TEXT(IF(ISNUMBER(SEARCH("-", F43:L43)), MID(F43:L43, SEARCH("-", F43:L43) - 4, 4), ""), "00\:00"), 1, 0))*24,""))))/9.5</f>
        <v>2</v>
      </c>
      <c r="O43"/>
      <c r="P43" s="151">
        <f t="shared" si="11"/>
        <v>2</v>
      </c>
      <c r="R43" s="4">
        <f t="shared" ca="1" si="12"/>
        <v>3</v>
      </c>
      <c r="S43" s="2">
        <f>(IFERROR(VLOOKUP(D43,'Employee Numbers'!$A$3:$C$84,3,FALSE),"NOT FOUND"))*8</f>
        <v>3</v>
      </c>
      <c r="U43" s="142">
        <f t="shared" si="13"/>
        <v>0</v>
      </c>
      <c r="V43" s="142">
        <f t="shared" si="14"/>
        <v>1</v>
      </c>
      <c r="W43" s="2">
        <f t="shared" si="15"/>
        <v>1</v>
      </c>
      <c r="Y43" s="2">
        <f t="shared" si="16"/>
        <v>0</v>
      </c>
    </row>
    <row r="44" spans="1:25" s="2" customFormat="1" ht="15" customHeight="1">
      <c r="A44" s="2" t="s">
        <v>39</v>
      </c>
      <c r="B44" s="46"/>
      <c r="C44" s="47"/>
      <c r="D44" s="249" t="s">
        <v>77</v>
      </c>
      <c r="E44" s="226">
        <f>IFERROR(VLOOKUP(D44,'Employee Numbers'!$A$3:$B$84,2,FALSE),"NOT FOUND")</f>
        <v>632590</v>
      </c>
      <c r="F44" s="29"/>
      <c r="G44" s="31"/>
      <c r="H44" s="31"/>
      <c r="I44" s="31"/>
      <c r="J44" s="31"/>
      <c r="K44" s="31"/>
      <c r="L44" s="228"/>
      <c r="N44">
        <f t="array" ref="N44">((SUM(IFERROR((TEXT(IF(ISNUMBER(SEARCH("-", F44:L44)), MID(F44:L44, SEARCH("-", F44:L44) + 1, 4), ""), "00\:00") - TEXT(IF(ISNUMBER(SEARCH("-", F44:L44)), MID(F44:L44, SEARCH("-", F44:L44) - 4, 4), ""), "00\:00") + IF(TEXT(IF(ISNUMBER(SEARCH("-", F44:L44)), MID(F44:L44, SEARCH("-", F44:L44) + 1, 4), ""), "00\:00") &lt; TEXT(IF(ISNUMBER(SEARCH("-", F44:L44)), MID(F44:L44, SEARCH("-", F44:L44) - 4, 4), ""), "00\:00"), 1, 0))*24,""))))/9.5</f>
        <v>0</v>
      </c>
      <c r="O44"/>
      <c r="P44" s="151">
        <f t="shared" si="11"/>
        <v>0</v>
      </c>
      <c r="R44" s="4">
        <f t="shared" ca="1" si="12"/>
        <v>4</v>
      </c>
      <c r="S44" s="2">
        <f>(IFERROR(VLOOKUP(D44,'Employee Numbers'!$A$3:$C$84,3,FALSE),"NOT FOUND"))*8</f>
        <v>4</v>
      </c>
      <c r="U44" s="142">
        <f t="shared" si="13"/>
        <v>0</v>
      </c>
      <c r="V44" s="142">
        <f t="shared" si="14"/>
        <v>0</v>
      </c>
      <c r="W44" s="2">
        <f t="shared" si="15"/>
        <v>0</v>
      </c>
      <c r="Y44" s="2">
        <f t="shared" si="16"/>
        <v>0</v>
      </c>
    </row>
    <row r="45" spans="1:25" s="2" customFormat="1" ht="15" customHeight="1">
      <c r="A45" s="162" t="s">
        <v>39</v>
      </c>
      <c r="B45" s="163"/>
      <c r="C45" s="238"/>
      <c r="D45" s="240" t="s">
        <v>78</v>
      </c>
      <c r="E45" s="165">
        <f>IFERROR(VLOOKUP(D45,'Employee Numbers'!$A$3:$B$84,2,FALSE),"NOT FOUND")</f>
        <v>619537</v>
      </c>
      <c r="F45" s="176"/>
      <c r="G45" s="166"/>
      <c r="H45" s="166"/>
      <c r="I45" s="166"/>
      <c r="J45" s="166"/>
      <c r="K45" s="166"/>
      <c r="L45" s="167" t="s">
        <v>44</v>
      </c>
      <c r="N45">
        <f t="array" ref="N45">((SUM(IFERROR((TEXT(IF(ISNUMBER(SEARCH("-", F45:L45)), MID(F45:L45, SEARCH("-", F45:L45) + 1, 4), ""), "00\:00") - TEXT(IF(ISNUMBER(SEARCH("-", F45:L45)), MID(F45:L45, SEARCH("-", F45:L45) - 4, 4), ""), "00\:00") + IF(TEXT(IF(ISNUMBER(SEARCH("-", F45:L45)), MID(F45:L45, SEARCH("-", F45:L45) + 1, 4), ""), "00\:00") &lt; TEXT(IF(ISNUMBER(SEARCH("-", F45:L45)), MID(F45:L45, SEARCH("-", F45:L45) - 4, 4), ""), "00\:00"), 1, 0))*24,""))))/9.5</f>
        <v>1</v>
      </c>
      <c r="O45"/>
      <c r="P45" s="151">
        <f t="shared" si="11"/>
        <v>1</v>
      </c>
      <c r="R45" s="4">
        <f t="shared" ca="1" si="12"/>
        <v>1</v>
      </c>
      <c r="S45" s="2">
        <f>(IFERROR(VLOOKUP(D45,'Employee Numbers'!$A$3:$C$84,3,FALSE),"NOT FOUND"))*8</f>
        <v>1</v>
      </c>
      <c r="U45" s="142">
        <f t="shared" si="13"/>
        <v>0</v>
      </c>
      <c r="V45" s="142">
        <f t="shared" si="14"/>
        <v>0</v>
      </c>
      <c r="W45" s="2">
        <f t="shared" si="15"/>
        <v>0</v>
      </c>
      <c r="Y45" s="2">
        <f t="shared" si="16"/>
        <v>1</v>
      </c>
    </row>
    <row r="46" spans="1:25" s="2" customFormat="1" ht="15" customHeight="1">
      <c r="A46" s="2" t="s">
        <v>39</v>
      </c>
      <c r="B46" s="46"/>
      <c r="C46" s="47"/>
      <c r="D46" s="229" t="s">
        <v>79</v>
      </c>
      <c r="E46" s="226">
        <f>IFERROR(VLOOKUP(D46,'Employee Numbers'!$A$3:$B$84,2,FALSE),"NOT FOUND")</f>
        <v>621953</v>
      </c>
      <c r="F46" s="231"/>
      <c r="G46" s="136"/>
      <c r="H46" s="136"/>
      <c r="I46" s="31"/>
      <c r="J46" s="136"/>
      <c r="K46" s="136"/>
      <c r="L46" s="232"/>
      <c r="N46">
        <f t="array" ref="N46">((SUM(IFERROR((TEXT(IF(ISNUMBER(SEARCH("-", F46:L46)), MID(F46:L46, SEARCH("-", F46:L46) + 1, 4), ""), "00\:00") - TEXT(IF(ISNUMBER(SEARCH("-", F46:L46)), MID(F46:L46, SEARCH("-", F46:L46) - 4, 4), ""), "00\:00") + IF(TEXT(IF(ISNUMBER(SEARCH("-", F46:L46)), MID(F46:L46, SEARCH("-", F46:L46) + 1, 4), ""), "00\:00") &lt; TEXT(IF(ISNUMBER(SEARCH("-", F46:L46)), MID(F46:L46, SEARCH("-", F46:L46) - 4, 4), ""), "00\:00"), 1, 0))*24,""))))/9.5</f>
        <v>0</v>
      </c>
      <c r="O46"/>
      <c r="P46" s="151">
        <f t="shared" si="11"/>
        <v>0</v>
      </c>
      <c r="R46" s="4">
        <f t="shared" ca="1" si="12"/>
        <v>1</v>
      </c>
      <c r="S46" s="2">
        <f>(IFERROR(VLOOKUP(D46,'Employee Numbers'!$A$3:$C$84,3,FALSE),"NOT FOUND"))*8</f>
        <v>1</v>
      </c>
      <c r="U46" s="142">
        <f t="shared" si="13"/>
        <v>0</v>
      </c>
      <c r="V46" s="142">
        <f t="shared" si="14"/>
        <v>0</v>
      </c>
      <c r="W46" s="2">
        <f t="shared" si="15"/>
        <v>0</v>
      </c>
      <c r="Y46" s="2">
        <f t="shared" si="16"/>
        <v>0</v>
      </c>
    </row>
    <row r="47" spans="1:25" s="2" customFormat="1" ht="15" customHeight="1">
      <c r="A47" s="162" t="s">
        <v>39</v>
      </c>
      <c r="B47" s="163"/>
      <c r="C47" s="164"/>
      <c r="D47" s="242" t="s">
        <v>80</v>
      </c>
      <c r="E47" s="165">
        <f>IFERROR(VLOOKUP(D47,'Employee Numbers'!$A$3:$B$84,2,FALSE),"NOT FOUND")</f>
        <v>614504</v>
      </c>
      <c r="F47" s="176"/>
      <c r="G47" s="166"/>
      <c r="H47" s="166"/>
      <c r="I47" s="166"/>
      <c r="J47" s="166"/>
      <c r="K47" s="166"/>
      <c r="L47" s="167"/>
      <c r="N47">
        <f t="array" ref="N47">((SUM(IFERROR((TEXT(IF(ISNUMBER(SEARCH("-", F47:L47)), MID(F47:L47, SEARCH("-", F47:L47) + 1, 4), ""), "00\:00") - TEXT(IF(ISNUMBER(SEARCH("-", F47:L47)), MID(F47:L47, SEARCH("-", F47:L47) - 4, 4), ""), "00\:00") + IF(TEXT(IF(ISNUMBER(SEARCH("-", F47:L47)), MID(F47:L47, SEARCH("-", F47:L47) + 1, 4), ""), "00\:00") &lt; TEXT(IF(ISNUMBER(SEARCH("-", F47:L47)), MID(F47:L47, SEARCH("-", F47:L47) - 4, 4), ""), "00\:00"), 1, 0))*24,""))))/9.5</f>
        <v>0</v>
      </c>
      <c r="O47"/>
      <c r="P47" s="178">
        <f t="shared" si="11"/>
        <v>0</v>
      </c>
      <c r="R47" s="3">
        <f t="shared" ca="1" si="12"/>
        <v>1</v>
      </c>
      <c r="S47" s="2">
        <f>(IFERROR(VLOOKUP(D47,'Employee Numbers'!$A$3:$C$84,3,FALSE),"NOT FOUND"))*8</f>
        <v>1</v>
      </c>
      <c r="U47" s="142">
        <f t="shared" si="13"/>
        <v>0</v>
      </c>
      <c r="V47" s="142">
        <f t="shared" si="14"/>
        <v>0</v>
      </c>
      <c r="W47" s="2">
        <f t="shared" si="15"/>
        <v>0</v>
      </c>
      <c r="Y47" s="2">
        <f t="shared" si="16"/>
        <v>0</v>
      </c>
    </row>
    <row r="48" spans="1:25" s="2" customFormat="1" ht="15" customHeight="1">
      <c r="A48" s="2" t="s">
        <v>39</v>
      </c>
      <c r="B48" s="46"/>
      <c r="C48" s="21"/>
      <c r="D48" s="230" t="s">
        <v>81</v>
      </c>
      <c r="E48" s="226" t="str">
        <f>IFERROR(VLOOKUP(D48,'Employee Numbers'!$A$3:$B$84,2,FALSE),"NOT FOUND")</f>
        <v>N/A</v>
      </c>
      <c r="F48" s="29"/>
      <c r="G48" s="31"/>
      <c r="H48" s="31"/>
      <c r="I48" s="31"/>
      <c r="J48" s="31"/>
      <c r="K48" s="31"/>
      <c r="L48" s="228"/>
    </row>
    <row r="49" spans="1:21" s="2" customFormat="1" ht="15" customHeight="1" thickBot="1">
      <c r="A49" s="162" t="s">
        <v>39</v>
      </c>
      <c r="B49" s="163"/>
      <c r="C49" s="238"/>
      <c r="D49" s="243" t="s">
        <v>81</v>
      </c>
      <c r="E49" s="248" t="str">
        <f>IFERROR(VLOOKUP(D49,'Employee Numbers'!$A$3:$B$84,2,FALSE),"NOT FOUND")</f>
        <v>N/A</v>
      </c>
      <c r="F49" s="245"/>
      <c r="G49" s="246"/>
      <c r="H49" s="246"/>
      <c r="I49" s="246"/>
      <c r="J49" s="246"/>
      <c r="K49" s="246"/>
      <c r="L49" s="247"/>
    </row>
    <row r="50" spans="1:21" s="2" customFormat="1" ht="15" customHeight="1" thickBot="1">
      <c r="B50" s="46"/>
      <c r="C50" s="21"/>
      <c r="D50" s="16" t="s">
        <v>82</v>
      </c>
      <c r="E50" s="58"/>
      <c r="F50" s="28" t="s">
        <v>61</v>
      </c>
      <c r="G50" s="59" t="s">
        <v>45</v>
      </c>
      <c r="H50" s="59" t="s">
        <v>66</v>
      </c>
      <c r="I50" s="59" t="s">
        <v>72</v>
      </c>
      <c r="J50" s="59" t="s">
        <v>40</v>
      </c>
      <c r="K50" s="59" t="s">
        <v>68</v>
      </c>
      <c r="L50" s="60" t="s">
        <v>51</v>
      </c>
    </row>
    <row r="51" spans="1:21" s="2" customFormat="1" ht="15" customHeight="1">
      <c r="B51" s="46"/>
      <c r="C51" s="21"/>
      <c r="E51" s="21"/>
      <c r="R51" s="2">
        <f>(N54+P54)*9.5/38*5</f>
        <v>3.75</v>
      </c>
    </row>
    <row r="52" spans="1:21" s="2" customFormat="1" ht="15.75" customHeight="1">
      <c r="B52" s="46"/>
      <c r="C52" s="21"/>
      <c r="E52" s="21"/>
      <c r="F52" s="126">
        <f t="shared" ref="F52:L52" si="17">F2</f>
        <v>46167</v>
      </c>
      <c r="G52" s="126">
        <f t="shared" si="17"/>
        <v>46168</v>
      </c>
      <c r="H52" s="126">
        <f t="shared" si="17"/>
        <v>46169</v>
      </c>
      <c r="I52" s="126">
        <f t="shared" si="17"/>
        <v>46170</v>
      </c>
      <c r="J52" s="126">
        <f t="shared" si="17"/>
        <v>46171</v>
      </c>
      <c r="K52" s="126">
        <f t="shared" si="17"/>
        <v>46172</v>
      </c>
      <c r="L52" s="126">
        <f t="shared" si="17"/>
        <v>46173</v>
      </c>
      <c r="M52" s="34"/>
      <c r="N52" s="152" t="s">
        <v>27</v>
      </c>
      <c r="O52" s="152" t="s">
        <v>83</v>
      </c>
      <c r="P52" s="152" t="s">
        <v>84</v>
      </c>
      <c r="Q52" s="2" t="s">
        <v>29</v>
      </c>
      <c r="R52" s="152" t="s">
        <v>85</v>
      </c>
      <c r="S52" s="152" t="s">
        <v>30</v>
      </c>
      <c r="T52" s="152" t="s">
        <v>31</v>
      </c>
      <c r="U52" s="152"/>
    </row>
    <row r="53" spans="1:21" s="2" customFormat="1" ht="30" customHeight="1">
      <c r="A53" s="168" t="s">
        <v>86</v>
      </c>
      <c r="B53" s="169"/>
      <c r="C53" s="169"/>
      <c r="D53" s="169" t="s">
        <v>86</v>
      </c>
      <c r="E53" s="127" t="s">
        <v>4</v>
      </c>
      <c r="F53" s="266" t="s">
        <v>5</v>
      </c>
      <c r="G53" s="267" t="s">
        <v>6</v>
      </c>
      <c r="H53" s="268" t="s">
        <v>87</v>
      </c>
      <c r="I53" s="267" t="s">
        <v>8</v>
      </c>
      <c r="J53" s="267" t="s">
        <v>9</v>
      </c>
      <c r="K53" s="267" t="s">
        <v>10</v>
      </c>
      <c r="L53" s="269" t="s">
        <v>11</v>
      </c>
      <c r="M53" s="34"/>
      <c r="N53" s="147" t="s">
        <v>32</v>
      </c>
      <c r="O53" s="147" t="s">
        <v>88</v>
      </c>
      <c r="P53" s="147" t="s">
        <v>89</v>
      </c>
      <c r="R53" s="145" t="s">
        <v>90</v>
      </c>
      <c r="S53" s="147" t="s">
        <v>32</v>
      </c>
      <c r="T53" s="147" t="s">
        <v>32</v>
      </c>
      <c r="U53" s="147"/>
    </row>
    <row r="54" spans="1:21" s="2" customFormat="1" ht="15" customHeight="1">
      <c r="A54" s="44" t="s">
        <v>91</v>
      </c>
      <c r="B54" s="44"/>
      <c r="C54" s="45"/>
      <c r="D54" s="123" t="s">
        <v>92</v>
      </c>
      <c r="E54" s="284">
        <f>IFERROR(VLOOKUP(D54,'Employee Numbers'!$A$3:$B$84,2,FALSE),"NOT FOUND")</f>
        <v>634905</v>
      </c>
      <c r="F54" s="264" t="s">
        <v>42</v>
      </c>
      <c r="G54" s="264" t="s">
        <v>42</v>
      </c>
      <c r="H54" s="264"/>
      <c r="I54" s="264"/>
      <c r="J54" s="275"/>
      <c r="K54" s="264"/>
      <c r="L54" s="264" t="s">
        <v>42</v>
      </c>
      <c r="N54">
        <f t="array" ref="N54">((SUM(IFERROR((TEXT(IF(ISNUMBER(SEARCH("-", F54:L54)), MID(F54:L54, SEARCH("-", F54:L54) + 1, 4), ""), "00\:00") - TEXT(IF(ISNUMBER(SEARCH("-", F54:L54)), MID(F54:L54, SEARCH("-", F54:L54) - 4, 4), ""), "00\:00") + IF(TEXT(IF(ISNUMBER(SEARCH("-", F54:L54)), MID(F54:L54, SEARCH("-", F54:L54) + 1, 4), ""), "00\:00") &lt; TEXT(IF(ISNUMBER(SEARCH("-", F54:L54)), MID(F54:L54, SEARCH("-", F54:L54) - 4, 4), ""), "00\:00"), 1, 0))*24,""))))/9.5</f>
        <v>3</v>
      </c>
      <c r="O54"/>
      <c r="P54"/>
      <c r="Q54" s="2">
        <f>P54+O54+N54</f>
        <v>3</v>
      </c>
      <c r="R54" s="2">
        <f>IF(ISNUMBER(SEARCH("trg_5",H146)),5,IF(ISNUMBER(SEARCH("trg_3.75",H146)),3.75,IF(ISNUMBER(SEARCH("trg_2.5",H146)),2.5,IF(ISNUMBER(SEARCH("trg_1.75",H146)),1.75,0))))</f>
        <v>3.75</v>
      </c>
      <c r="S54">
        <f ca="1">IF($C$4=1,SUM(Q54+INDIRECT("'Week "&amp;($B$3+1)&amp;"'!Q"&amp;(ROW()))),IF($C$4=2,SUM(Q54+INDIRECT("'Week "&amp;($B$3-1)&amp;"'!Q"&amp;(ROW())))))</f>
        <v>6</v>
      </c>
      <c r="T54" s="2">
        <f>(IFERROR(VLOOKUP(D54,'Employee Numbers'!$A$3:$C$84,3,FALSE),"NOT FOUND"))*8</f>
        <v>8</v>
      </c>
    </row>
    <row r="55" spans="1:21" s="13" customFormat="1" ht="15" customHeight="1">
      <c r="A55" s="2" t="s">
        <v>91</v>
      </c>
      <c r="B55" s="2"/>
      <c r="C55" s="21"/>
      <c r="D55" s="86" t="s">
        <v>93</v>
      </c>
      <c r="E55" s="285">
        <f>IFERROR(VLOOKUP(D55,'Employee Numbers'!$A$3:$B$84,2,FALSE),"NOT FOUND")</f>
        <v>704751</v>
      </c>
      <c r="F55" s="274" t="s">
        <v>176</v>
      </c>
      <c r="G55" s="274"/>
      <c r="H55" s="274"/>
      <c r="I55" s="274"/>
      <c r="J55" s="274"/>
      <c r="K55" s="274"/>
      <c r="L55" s="274"/>
      <c r="N55">
        <f t="array" ref="N55">((SUM(IFERROR((TEXT(IF(ISNUMBER(SEARCH("-", F55:L55)), MID(F55:L55, SEARCH("-", F55:L55) + 1, 4), ""), "00\:00") - TEXT(IF(ISNUMBER(SEARCH("-", F55:L55)), MID(F55:L55, SEARCH("-", F55:L55) - 4, 4), ""), "00\:00") + IF(TEXT(IF(ISNUMBER(SEARCH("-", F55:L55)), MID(F55:L55, SEARCH("-", F55:L55) + 1, 4), ""), "00\:00") &lt; TEXT(IF(ISNUMBER(SEARCH("-", F55:L55)), MID(F55:L55, SEARCH("-", F55:L55) - 4, 4), ""), "00\:00"), 1, 0))*24,""))))/9.5</f>
        <v>0</v>
      </c>
      <c r="O55"/>
      <c r="P55"/>
      <c r="Q55" s="2">
        <f t="shared" ref="Q55:Q59" si="18">P55+O55+N55</f>
        <v>0</v>
      </c>
      <c r="R55" s="2">
        <f t="shared" ref="R55:R59" si="19">IF(ISNUMBER(SEARCH("trg_5",H147)),5,IF(ISNUMBER(SEARCH("trg_3.75",H147)),3.75,IF(ISNUMBER(SEARCH("trg_2.5",H147)),2.5,IF(ISNUMBER(SEARCH("trg_1.75",H147)),1.75,0))))</f>
        <v>0</v>
      </c>
      <c r="S55">
        <f t="shared" ref="S55:S59" ca="1" si="20">IF($C$4=1,SUM(Q55+INDIRECT("'Week "&amp;($B$3+1)&amp;"'!Q"&amp;(ROW()))),IF($C$4=2,SUM(Q55+INDIRECT("'Week "&amp;($B$3-1)&amp;"'!Q"&amp;(ROW())))))</f>
        <v>4</v>
      </c>
      <c r="T55" s="2">
        <f>(IFERROR(VLOOKUP(D55,'Employee Numbers'!$A$3:$C$84,3,FALSE),"NOT FOUND"))*8</f>
        <v>0</v>
      </c>
      <c r="U55" s="2"/>
    </row>
    <row r="56" spans="1:21" s="2" customFormat="1" ht="15" customHeight="1">
      <c r="A56" s="44" t="s">
        <v>91</v>
      </c>
      <c r="B56" s="44"/>
      <c r="C56" s="45"/>
      <c r="D56" s="85" t="s">
        <v>94</v>
      </c>
      <c r="E56" s="285">
        <f>IFERROR(VLOOKUP(D56,'Employee Numbers'!$A$3:$B$84,2,FALSE),"NOT FOUND")</f>
        <v>637219</v>
      </c>
      <c r="F56" s="264"/>
      <c r="G56" s="264" t="s">
        <v>41</v>
      </c>
      <c r="H56" s="349" t="s">
        <v>44</v>
      </c>
      <c r="I56" s="264"/>
      <c r="J56" s="264"/>
      <c r="K56" s="264" t="s">
        <v>42</v>
      </c>
      <c r="L56" s="264" t="s">
        <v>42</v>
      </c>
      <c r="N56">
        <f t="array" ref="N56">((SUM(IFERROR((TEXT(IF(ISNUMBER(SEARCH("-", F56:L56)), MID(F56:L56, SEARCH("-", F56:L56) + 1, 4), ""), "00\:00") - TEXT(IF(ISNUMBER(SEARCH("-", F56:L56)), MID(F56:L56, SEARCH("-", F56:L56) - 4, 4), ""), "00\:00") + IF(TEXT(IF(ISNUMBER(SEARCH("-", F56:L56)), MID(F56:L56, SEARCH("-", F56:L56) + 1, 4), ""), "00\:00") &lt; TEXT(IF(ISNUMBER(SEARCH("-", F56:L56)), MID(F56:L56, SEARCH("-", F56:L56) - 4, 4), ""), "00\:00"), 1, 0))*24,""))))/9.5</f>
        <v>4</v>
      </c>
      <c r="O56"/>
      <c r="P56"/>
      <c r="Q56" s="2">
        <f t="shared" si="18"/>
        <v>4</v>
      </c>
      <c r="R56" s="2">
        <f t="shared" si="19"/>
        <v>5</v>
      </c>
      <c r="S56">
        <f t="shared" ca="1" si="20"/>
        <v>8</v>
      </c>
      <c r="T56" s="2">
        <f>(IFERROR(VLOOKUP(D56,'Employee Numbers'!$A$3:$C$84,3,FALSE),"NOT FOUND"))*8</f>
        <v>0</v>
      </c>
    </row>
    <row r="57" spans="1:21" s="13" customFormat="1" ht="15" customHeight="1">
      <c r="A57" s="2" t="s">
        <v>91</v>
      </c>
      <c r="B57" s="2"/>
      <c r="C57" s="21"/>
      <c r="D57" s="86"/>
      <c r="E57" s="39" t="str">
        <f>IFERROR(VLOOKUP(D57,'Employee Numbers'!$A$3:$B$84,2,FALSE),"NOT FOUND")</f>
        <v>NOT FOUND</v>
      </c>
      <c r="F57" s="125"/>
      <c r="G57" s="125"/>
      <c r="H57" s="125"/>
      <c r="I57" s="125"/>
      <c r="J57" s="125"/>
      <c r="K57" s="125"/>
      <c r="L57" s="125"/>
      <c r="N57">
        <f t="array" ref="N57">((SUM(IFERROR((TEXT(IF(ISNUMBER(SEARCH("-", F57:L57)), MID(F57:L57, SEARCH("-", F57:L57) + 1, 4), ""), "00\:00") - TEXT(IF(ISNUMBER(SEARCH("-", F57:L57)), MID(F57:L57, SEARCH("-", F57:L57) - 4, 4), ""), "00\:00") + IF(TEXT(IF(ISNUMBER(SEARCH("-", F57:L57)), MID(F57:L57, SEARCH("-", F57:L57) + 1, 4), ""), "00\:00") &lt; TEXT(IF(ISNUMBER(SEARCH("-", F57:L57)), MID(F57:L57, SEARCH("-", F57:L57) - 4, 4), ""), "00\:00"), 1, 0))*24,""))))/9.5</f>
        <v>0</v>
      </c>
      <c r="O57"/>
      <c r="P57"/>
      <c r="Q57" s="2">
        <f t="shared" si="18"/>
        <v>0</v>
      </c>
      <c r="R57" s="2">
        <f t="shared" si="19"/>
        <v>2.5</v>
      </c>
      <c r="S57">
        <f t="shared" ca="1" si="20"/>
        <v>0</v>
      </c>
      <c r="T57" s="2" t="e">
        <f>(IFERROR(VLOOKUP(D57,'Employee Numbers'!$A$3:$C$84,3,FALSE),"NOT FOUND"))*8</f>
        <v>#VALUE!</v>
      </c>
      <c r="U57" s="2"/>
    </row>
    <row r="58" spans="1:21" s="2" customFormat="1" ht="15" customHeight="1">
      <c r="A58" s="44" t="s">
        <v>91</v>
      </c>
      <c r="B58" s="44"/>
      <c r="C58" s="45"/>
      <c r="D58" s="85"/>
      <c r="E58" s="39" t="str">
        <f>IFERROR(VLOOKUP(D58,'Employee Numbers'!$A$3:$B$84,2,FALSE),"NOT FOUND")</f>
        <v>NOT FOUND</v>
      </c>
      <c r="F58" s="110"/>
      <c r="G58" s="110"/>
      <c r="H58" s="110"/>
      <c r="I58" s="110"/>
      <c r="J58" s="110"/>
      <c r="K58" s="110"/>
      <c r="L58" s="110"/>
      <c r="N58">
        <f t="array" ref="N58">((SUM(IFERROR((TEXT(IF(ISNUMBER(SEARCH("-", F58:L58)), MID(F58:L58, SEARCH("-", F58:L58) + 1, 4), ""), "00\:00") - TEXT(IF(ISNUMBER(SEARCH("-", F58:L58)), MID(F58:L58, SEARCH("-", F58:L58) - 4, 4), ""), "00\:00") + IF(TEXT(IF(ISNUMBER(SEARCH("-", F58:L58)), MID(F58:L58, SEARCH("-", F58:L58) + 1, 4), ""), "00\:00") &lt; TEXT(IF(ISNUMBER(SEARCH("-", F58:L58)), MID(F58:L58, SEARCH("-", F58:L58) - 4, 4), ""), "00\:00"), 1, 0))*24,""))))/9.5</f>
        <v>0</v>
      </c>
      <c r="O58"/>
      <c r="P58"/>
      <c r="Q58" s="2">
        <f t="shared" si="18"/>
        <v>0</v>
      </c>
      <c r="R58" s="2">
        <f t="shared" si="19"/>
        <v>2.5</v>
      </c>
      <c r="S58">
        <f t="shared" ca="1" si="20"/>
        <v>0</v>
      </c>
      <c r="T58" s="2" t="e">
        <f>(IFERROR(VLOOKUP(D58,'Employee Numbers'!$A$3:$C$84,3,FALSE),"NOT FOUND"))*8</f>
        <v>#VALUE!</v>
      </c>
    </row>
    <row r="59" spans="1:21" s="13" customFormat="1" ht="15" customHeight="1">
      <c r="A59" s="2" t="s">
        <v>91</v>
      </c>
      <c r="B59" s="2"/>
      <c r="C59" s="21"/>
      <c r="D59" s="86"/>
      <c r="E59" s="39" t="str">
        <f>IFERROR(VLOOKUP(D59,'Employee Numbers'!$A$3:$B$84,2,FALSE),"NOT FOUND")</f>
        <v>NOT FOUND</v>
      </c>
      <c r="F59" s="110"/>
      <c r="G59" s="110"/>
      <c r="H59" s="110"/>
      <c r="I59" s="110"/>
      <c r="J59" s="110"/>
      <c r="K59" s="110"/>
      <c r="L59" s="110"/>
      <c r="N59">
        <f t="array" ref="N59">((SUM(IFERROR((TEXT(IF(ISNUMBER(SEARCH("-", F59:L59)), MID(F59:L59, SEARCH("-", F59:L59) + 1, 4), ""), "00\:00") - TEXT(IF(ISNUMBER(SEARCH("-", F59:L59)), MID(F59:L59, SEARCH("-", F59:L59) - 4, 4), ""), "00\:00") + IF(TEXT(IF(ISNUMBER(SEARCH("-", F59:L59)), MID(F59:L59, SEARCH("-", F59:L59) + 1, 4), ""), "00\:00") &lt; TEXT(IF(ISNUMBER(SEARCH("-", F59:L59)), MID(F59:L59, SEARCH("-", F59:L59) - 4, 4), ""), "00\:00"), 1, 0))*24,""))))/9.5</f>
        <v>0</v>
      </c>
      <c r="O59"/>
      <c r="P59"/>
      <c r="Q59" s="2">
        <f t="shared" si="18"/>
        <v>0</v>
      </c>
      <c r="R59" s="2">
        <f t="shared" si="19"/>
        <v>2.5</v>
      </c>
      <c r="S59">
        <f t="shared" ca="1" si="20"/>
        <v>0</v>
      </c>
      <c r="T59" s="2" t="e">
        <f>(IFERROR(VLOOKUP(D59,'Employee Numbers'!$A$3:$C$84,3,FALSE),"NOT FOUND"))*8</f>
        <v>#VALUE!</v>
      </c>
      <c r="U59" s="2"/>
    </row>
    <row r="60" spans="1:21" s="2" customFormat="1" ht="30" customHeight="1">
      <c r="A60" s="170" t="s">
        <v>96</v>
      </c>
      <c r="B60" s="131"/>
      <c r="C60" s="132"/>
      <c r="D60" s="171" t="s">
        <v>97</v>
      </c>
      <c r="E60" s="133" t="s">
        <v>4</v>
      </c>
      <c r="F60" s="270" t="s">
        <v>5</v>
      </c>
      <c r="G60" s="270" t="s">
        <v>6</v>
      </c>
      <c r="H60" s="271" t="s">
        <v>87</v>
      </c>
      <c r="I60" s="270" t="s">
        <v>8</v>
      </c>
      <c r="J60" s="270" t="s">
        <v>9</v>
      </c>
      <c r="K60" s="270" t="s">
        <v>10</v>
      </c>
      <c r="L60" s="272" t="s">
        <v>11</v>
      </c>
      <c r="N60"/>
      <c r="O60"/>
      <c r="P60"/>
    </row>
    <row r="61" spans="1:21" s="2" customFormat="1" ht="15" customHeight="1">
      <c r="A61" s="2" t="s">
        <v>98</v>
      </c>
      <c r="C61" s="47"/>
      <c r="D61" s="262" t="s">
        <v>99</v>
      </c>
      <c r="E61" s="284">
        <f>IFERROR(VLOOKUP(D61,'Employee Numbers'!$A$3:$B$84,2,FALSE),"NOT FOUND")</f>
        <v>638531</v>
      </c>
      <c r="F61" s="351" t="s">
        <v>44</v>
      </c>
      <c r="G61" s="300" t="s">
        <v>42</v>
      </c>
      <c r="H61" s="300" t="s">
        <v>100</v>
      </c>
      <c r="I61" s="300" t="s">
        <v>100</v>
      </c>
      <c r="J61" s="300" t="s">
        <v>145</v>
      </c>
      <c r="K61" s="300" t="s">
        <v>145</v>
      </c>
      <c r="L61" s="300" t="s">
        <v>145</v>
      </c>
      <c r="N61">
        <f t="array" ref="N61">((SUM(IFERROR((TEXT(IF(ISNUMBER(SEARCH("-", F61:L61)), MID(F61:L61, SEARCH("-", F61:L61) + 1, 4), ""), "00\:00") - TEXT(IF(ISNUMBER(SEARCH("-", F61:L61)), MID(F61:L61, SEARCH("-", F61:L61) - 4, 4), ""), "00\:00") + IF(TEXT(IF(ISNUMBER(SEARCH("-", F61:L61)), MID(F61:L61, SEARCH("-", F61:L61) + 1, 4), ""), "00\:00") &lt; TEXT(IF(ISNUMBER(SEARCH("-", F61:L61)), MID(F61:L61, SEARCH("-", F61:L61) - 4, 4), ""), "00\:00"), 1, 0))*24,""))))/9.5</f>
        <v>4</v>
      </c>
      <c r="O61"/>
      <c r="P61"/>
      <c r="Q61" s="2">
        <f>P61+O61+N61</f>
        <v>4</v>
      </c>
      <c r="R61" s="2">
        <f>IF(ISNUMBER(SEARCH("trg_5",H153)),5,IF(ISNUMBER(SEARCH("trg_3.75",H153)),3.75,IF(ISNUMBER(SEARCH("trg_2.5",H153)),2.5,IF(ISNUMBER(SEARCH("trg_1.75",H153)),1.75,0))))</f>
        <v>5</v>
      </c>
      <c r="S61">
        <f ca="1">IF($C$4=1,SUM(Q61+INDIRECT("'Week "&amp;($B$3+1)&amp;"'!Q"&amp;(ROW()))),IF($C$4=2,SUM(Q61+INDIRECT("'Week "&amp;($B$3-1)&amp;"'!Q"&amp;(ROW())))))</f>
        <v>6</v>
      </c>
      <c r="T61" s="2">
        <f>(IFERROR(VLOOKUP(D61,'Employee Numbers'!$A$3:$C$84,3,FALSE),"NOT FOUND"))*8</f>
        <v>0</v>
      </c>
    </row>
    <row r="62" spans="1:21" s="2" customFormat="1" ht="15" customHeight="1">
      <c r="A62" s="44" t="s">
        <v>98</v>
      </c>
      <c r="B62" s="44"/>
      <c r="C62" s="45"/>
      <c r="D62" s="262" t="s">
        <v>101</v>
      </c>
      <c r="E62" s="285">
        <f>IFERROR(VLOOKUP(D62,'Employee Numbers'!$A$3:$B$84,2,FALSE),"NOT FOUND")</f>
        <v>631715</v>
      </c>
      <c r="F62" s="301" t="s">
        <v>145</v>
      </c>
      <c r="G62" s="302" t="s">
        <v>145</v>
      </c>
      <c r="H62" s="302" t="s">
        <v>145</v>
      </c>
      <c r="I62" s="302" t="s">
        <v>44</v>
      </c>
      <c r="J62" s="302" t="s">
        <v>42</v>
      </c>
      <c r="K62" s="302" t="s">
        <v>42</v>
      </c>
      <c r="L62" s="302" t="s">
        <v>42</v>
      </c>
      <c r="N62">
        <f t="array" ref="N62">((SUM(IFERROR((TEXT(IF(ISNUMBER(SEARCH("-", F62:L62)), MID(F62:L62, SEARCH("-", F62:L62) + 1, 4), ""), "00\:00") - TEXT(IF(ISNUMBER(SEARCH("-", F62:L62)), MID(F62:L62, SEARCH("-", F62:L62) - 4, 4), ""), "00\:00") + IF(TEXT(IF(ISNUMBER(SEARCH("-", F62:L62)), MID(F62:L62, SEARCH("-", F62:L62) + 1, 4), ""), "00\:00") &lt; TEXT(IF(ISNUMBER(SEARCH("-", F62:L62)), MID(F62:L62, SEARCH("-", F62:L62) - 4, 4), ""), "00\:00"), 1, 0))*24,""))))/9.5</f>
        <v>4</v>
      </c>
      <c r="O62"/>
      <c r="P62"/>
      <c r="Q62" s="2">
        <f t="shared" ref="Q62:Q80" si="21">P62+O62+N62</f>
        <v>4</v>
      </c>
      <c r="R62" s="2">
        <f t="shared" ref="R62:R80" si="22">IF(ISNUMBER(SEARCH("trg_5",H154)),5,IF(ISNUMBER(SEARCH("trg_3.75",H154)),3.75,IF(ISNUMBER(SEARCH("trg_2.5",H154)),2.5,IF(ISNUMBER(SEARCH("trg_1.75",H154)),1.75,0))))</f>
        <v>5</v>
      </c>
      <c r="S62">
        <f t="shared" ref="S62:S84" ca="1" si="23">IF($C$4=1,SUM(Q62+INDIRECT("'Week "&amp;($B$3+1)&amp;"'!Q"&amp;(ROW()))),IF($C$4=2,SUM(Q62+INDIRECT("'Week "&amp;($B$3-1)&amp;"'!Q"&amp;(ROW())))))</f>
        <v>8</v>
      </c>
      <c r="T62" s="2">
        <f>(IFERROR(VLOOKUP(D62,'Employee Numbers'!$A$3:$C$84,3,FALSE),"NOT FOUND"))*8</f>
        <v>0</v>
      </c>
    </row>
    <row r="63" spans="1:21" s="13" customFormat="1" ht="15" customHeight="1">
      <c r="A63" s="2" t="s">
        <v>98</v>
      </c>
      <c r="B63" s="2"/>
      <c r="C63" s="21"/>
      <c r="D63" s="262" t="s">
        <v>103</v>
      </c>
      <c r="E63" s="285">
        <f>IFERROR(VLOOKUP(D63,'Employee Numbers'!$A$3:$B$84,2,FALSE),"NOT FOUND")</f>
        <v>703719</v>
      </c>
      <c r="F63" s="301" t="s">
        <v>145</v>
      </c>
      <c r="G63" s="302" t="s">
        <v>44</v>
      </c>
      <c r="H63" s="302" t="s">
        <v>42</v>
      </c>
      <c r="I63" s="303" t="s">
        <v>145</v>
      </c>
      <c r="J63" s="302" t="s">
        <v>42</v>
      </c>
      <c r="K63" s="302" t="s">
        <v>42</v>
      </c>
      <c r="L63" s="302" t="s">
        <v>145</v>
      </c>
      <c r="N63">
        <f t="array" ref="N63">((SUM(IFERROR((TEXT(IF(ISNUMBER(SEARCH("-", F63:L63)), MID(F63:L63, SEARCH("-", F63:L63) + 1, 4), ""), "00\:00") - TEXT(IF(ISNUMBER(SEARCH("-", F63:L63)), MID(F63:L63, SEARCH("-", F63:L63) - 4, 4), ""), "00\:00") + IF(TEXT(IF(ISNUMBER(SEARCH("-", F63:L63)), MID(F63:L63, SEARCH("-", F63:L63) + 1, 4), ""), "00\:00") &lt; TEXT(IF(ISNUMBER(SEARCH("-", F63:L63)), MID(F63:L63, SEARCH("-", F63:L63) - 4, 4), ""), "00\:00"), 1, 0))*24,""))))/9.5</f>
        <v>4</v>
      </c>
      <c r="O63"/>
      <c r="P63"/>
      <c r="Q63" s="2">
        <f t="shared" si="21"/>
        <v>4</v>
      </c>
      <c r="R63" s="2">
        <f t="shared" si="22"/>
        <v>3.75</v>
      </c>
      <c r="S63">
        <f t="shared" ca="1" si="23"/>
        <v>7</v>
      </c>
      <c r="T63" s="2">
        <f>(IFERROR(VLOOKUP(D63,'Employee Numbers'!$A$3:$C$84,3,FALSE),"NOT FOUND"))*8</f>
        <v>0</v>
      </c>
      <c r="U63" s="2"/>
    </row>
    <row r="64" spans="1:21" s="2" customFormat="1" ht="15" customHeight="1">
      <c r="A64" s="44" t="s">
        <v>98</v>
      </c>
      <c r="B64" s="44"/>
      <c r="C64" s="45"/>
      <c r="D64" s="262" t="s">
        <v>104</v>
      </c>
      <c r="E64" s="285">
        <f>IFERROR(VLOOKUP(D64,'Employee Numbers'!$A$3:$B$84,2,FALSE),"NOT FOUND")</f>
        <v>637791</v>
      </c>
      <c r="F64" s="304" t="s">
        <v>176</v>
      </c>
      <c r="G64" s="305" t="s">
        <v>145</v>
      </c>
      <c r="H64" s="305" t="s">
        <v>145</v>
      </c>
      <c r="I64" s="305" t="s">
        <v>145</v>
      </c>
      <c r="J64" s="305" t="s">
        <v>145</v>
      </c>
      <c r="K64" s="305" t="s">
        <v>145</v>
      </c>
      <c r="L64" s="305" t="s">
        <v>145</v>
      </c>
      <c r="N64">
        <f t="array" ref="N64">((SUM(IFERROR((TEXT(IF(ISNUMBER(SEARCH("-", F64:L64)), MID(F64:L64, SEARCH("-", F64:L64) + 1, 4), ""), "00\:00") - TEXT(IF(ISNUMBER(SEARCH("-", F64:L64)), MID(F64:L64, SEARCH("-", F64:L64) - 4, 4), ""), "00\:00") + IF(TEXT(IF(ISNUMBER(SEARCH("-", F64:L64)), MID(F64:L64, SEARCH("-", F64:L64) + 1, 4), ""), "00\:00") &lt; TEXT(IF(ISNUMBER(SEARCH("-", F64:L64)), MID(F64:L64, SEARCH("-", F64:L64) - 4, 4), ""), "00\:00"), 1, 0))*24,""))))/9.5</f>
        <v>0</v>
      </c>
      <c r="O64"/>
      <c r="P64"/>
      <c r="Q64" s="2">
        <f t="shared" si="21"/>
        <v>0</v>
      </c>
      <c r="R64" s="2">
        <f t="shared" si="22"/>
        <v>0</v>
      </c>
      <c r="S64">
        <f t="shared" ca="1" si="23"/>
        <v>3</v>
      </c>
      <c r="T64" s="2">
        <f>(IFERROR(VLOOKUP(D64,'Employee Numbers'!$A$3:$C$84,3,FALSE),"NOT FOUND"))*8</f>
        <v>0</v>
      </c>
    </row>
    <row r="65" spans="1:20" s="2" customFormat="1" ht="15" customHeight="1">
      <c r="A65" s="2" t="s">
        <v>98</v>
      </c>
      <c r="C65" s="21"/>
      <c r="D65" s="262" t="s">
        <v>105</v>
      </c>
      <c r="E65" s="285">
        <f>IFERROR(VLOOKUP(D65,'Employee Numbers'!$A$3:$B$84,2,FALSE),"NOT FOUND")</f>
        <v>652867</v>
      </c>
      <c r="F65" s="304" t="s">
        <v>176</v>
      </c>
      <c r="G65" s="305" t="s">
        <v>145</v>
      </c>
      <c r="H65" s="305" t="s">
        <v>145</v>
      </c>
      <c r="I65" s="305" t="s">
        <v>145</v>
      </c>
      <c r="J65" s="305" t="s">
        <v>145</v>
      </c>
      <c r="K65" s="305" t="s">
        <v>145</v>
      </c>
      <c r="L65" s="305" t="s">
        <v>145</v>
      </c>
      <c r="N65">
        <f t="array" ref="N65">((SUM(IFERROR((TEXT(IF(ISNUMBER(SEARCH("-", F65:L65)), MID(F65:L65, SEARCH("-", F65:L65) + 1, 4), ""), "00\:00") - TEXT(IF(ISNUMBER(SEARCH("-", F65:L65)), MID(F65:L65, SEARCH("-", F65:L65) - 4, 4), ""), "00\:00") + IF(TEXT(IF(ISNUMBER(SEARCH("-", F65:L65)), MID(F65:L65, SEARCH("-", F65:L65) + 1, 4), ""), "00\:00") &lt; TEXT(IF(ISNUMBER(SEARCH("-", F65:L65)), MID(F65:L65, SEARCH("-", F65:L65) - 4, 4), ""), "00\:00"), 1, 0))*24,""))))/9.5</f>
        <v>0</v>
      </c>
      <c r="O65"/>
      <c r="P65"/>
      <c r="Q65" s="2">
        <f t="shared" si="21"/>
        <v>0</v>
      </c>
      <c r="R65" s="2">
        <f t="shared" si="22"/>
        <v>0</v>
      </c>
      <c r="S65">
        <f t="shared" ca="1" si="23"/>
        <v>2.9999999999999991</v>
      </c>
      <c r="T65" s="2">
        <f>(IFERROR(VLOOKUP(D65,'Employee Numbers'!$A$3:$C$84,3,FALSE),"NOT FOUND"))*8</f>
        <v>0</v>
      </c>
    </row>
    <row r="66" spans="1:20" s="2" customFormat="1" ht="15" customHeight="1">
      <c r="A66" s="44" t="s">
        <v>98</v>
      </c>
      <c r="B66" s="44"/>
      <c r="C66" s="45"/>
      <c r="D66" s="262" t="s">
        <v>106</v>
      </c>
      <c r="E66" s="285">
        <f>IFERROR(VLOOKUP(D66,'Employee Numbers'!$A$3:$B$84,2,FALSE),"NOT FOUND")</f>
        <v>611551</v>
      </c>
      <c r="F66" s="301" t="s">
        <v>145</v>
      </c>
      <c r="G66" s="302" t="s">
        <v>145</v>
      </c>
      <c r="H66" s="302" t="s">
        <v>145</v>
      </c>
      <c r="I66" s="302" t="s">
        <v>145</v>
      </c>
      <c r="J66" s="302" t="s">
        <v>42</v>
      </c>
      <c r="K66" s="302" t="s">
        <v>42</v>
      </c>
      <c r="L66" s="302" t="s">
        <v>145</v>
      </c>
      <c r="N66">
        <f t="array" ref="N66">((SUM(IFERROR((TEXT(IF(ISNUMBER(SEARCH("-", F66:L66)), MID(F66:L66, SEARCH("-", F66:L66) + 1, 4), ""), "00\:00") - TEXT(IF(ISNUMBER(SEARCH("-", F66:L66)), MID(F66:L66, SEARCH("-", F66:L66) - 4, 4), ""), "00\:00") + IF(TEXT(IF(ISNUMBER(SEARCH("-", F66:L66)), MID(F66:L66, SEARCH("-", F66:L66) + 1, 4), ""), "00\:00") &lt; TEXT(IF(ISNUMBER(SEARCH("-", F66:L66)), MID(F66:L66, SEARCH("-", F66:L66) - 4, 4), ""), "00\:00"), 1, 0))*24,""))))/9.5</f>
        <v>2</v>
      </c>
      <c r="O66"/>
      <c r="P66"/>
      <c r="Q66" s="2">
        <f t="shared" si="21"/>
        <v>2</v>
      </c>
      <c r="R66" s="2">
        <f t="shared" si="22"/>
        <v>2.5</v>
      </c>
      <c r="S66">
        <f t="shared" ca="1" si="23"/>
        <v>3.9999999999999996</v>
      </c>
      <c r="T66" s="2">
        <f>(IFERROR(VLOOKUP(D66,'Employee Numbers'!$A$3:$C$84,3,FALSE),"NOT FOUND"))*8</f>
        <v>0</v>
      </c>
    </row>
    <row r="67" spans="1:20" s="2" customFormat="1" ht="15" customHeight="1">
      <c r="A67" s="2" t="s">
        <v>98</v>
      </c>
      <c r="C67" s="21"/>
      <c r="D67" s="262" t="s">
        <v>107</v>
      </c>
      <c r="E67" s="285">
        <f>IFERROR(VLOOKUP(D67,'Employee Numbers'!$A$3:$B$84,2,FALSE),"NOT FOUND")</f>
        <v>615820</v>
      </c>
      <c r="F67" s="301" t="s">
        <v>100</v>
      </c>
      <c r="G67" s="302" t="s">
        <v>100</v>
      </c>
      <c r="H67" s="302" t="s">
        <v>145</v>
      </c>
      <c r="I67" s="302" t="s">
        <v>145</v>
      </c>
      <c r="J67" s="302" t="s">
        <v>145</v>
      </c>
      <c r="K67" s="302" t="s">
        <v>145</v>
      </c>
      <c r="L67" s="302" t="s">
        <v>145</v>
      </c>
      <c r="N67">
        <f t="array" ref="N67">((SUM(IFERROR((TEXT(IF(ISNUMBER(SEARCH("-", F67:L67)), MID(F67:L67, SEARCH("-", F67:L67) + 1, 4), ""), "00\:00") - TEXT(IF(ISNUMBER(SEARCH("-", F67:L67)), MID(F67:L67, SEARCH("-", F67:L67) - 4, 4), ""), "00\:00") + IF(TEXT(IF(ISNUMBER(SEARCH("-", F67:L67)), MID(F67:L67, SEARCH("-", F67:L67) + 1, 4), ""), "00\:00") &lt; TEXT(IF(ISNUMBER(SEARCH("-", F67:L67)), MID(F67:L67, SEARCH("-", F67:L67) - 4, 4), ""), "00\:00"), 1, 0))*24,""))))/9.5</f>
        <v>1.9999999999999996</v>
      </c>
      <c r="O67"/>
      <c r="P67"/>
      <c r="Q67" s="2">
        <f t="shared" si="21"/>
        <v>1.9999999999999996</v>
      </c>
      <c r="R67" s="2">
        <f t="shared" si="22"/>
        <v>2.5</v>
      </c>
      <c r="S67">
        <f t="shared" ca="1" si="23"/>
        <v>3.9999999999999991</v>
      </c>
      <c r="T67" s="2">
        <f>(IFERROR(VLOOKUP(D67,'Employee Numbers'!$A$3:$C$84,3,FALSE),"NOT FOUND"))*8</f>
        <v>0</v>
      </c>
    </row>
    <row r="68" spans="1:20" s="2" customFormat="1" ht="15" customHeight="1">
      <c r="A68" s="44" t="s">
        <v>98</v>
      </c>
      <c r="B68" s="44"/>
      <c r="C68" s="45"/>
      <c r="D68" s="262" t="s">
        <v>108</v>
      </c>
      <c r="E68" s="285">
        <f>IFERROR(VLOOKUP(D68,'Employee Numbers'!$A$3:$B$84,2,FALSE),"NOT FOUND")</f>
        <v>654727</v>
      </c>
      <c r="F68" s="306" t="s">
        <v>145</v>
      </c>
      <c r="G68" s="307" t="s">
        <v>145</v>
      </c>
      <c r="H68" s="307" t="s">
        <v>145</v>
      </c>
      <c r="I68" s="307" t="s">
        <v>44</v>
      </c>
      <c r="J68" s="307" t="s">
        <v>44</v>
      </c>
      <c r="K68" s="307" t="s">
        <v>42</v>
      </c>
      <c r="L68" s="307" t="s">
        <v>42</v>
      </c>
      <c r="N68">
        <f t="array" ref="N68">((SUM(IFERROR((TEXT(IF(ISNUMBER(SEARCH("-", F68:L68)), MID(F68:L68, SEARCH("-", F68:L68) + 1, 4), ""), "00\:00") - TEXT(IF(ISNUMBER(SEARCH("-", F68:L68)), MID(F68:L68, SEARCH("-", F68:L68) - 4, 4), ""), "00\:00") + IF(TEXT(IF(ISNUMBER(SEARCH("-", F68:L68)), MID(F68:L68, SEARCH("-", F68:L68) + 1, 4), ""), "00\:00") &lt; TEXT(IF(ISNUMBER(SEARCH("-", F68:L68)), MID(F68:L68, SEARCH("-", F68:L68) - 4, 4), ""), "00\:00"), 1, 0))*24,""))))/9.5</f>
        <v>4</v>
      </c>
      <c r="O68"/>
      <c r="P68"/>
      <c r="Q68" s="2">
        <f t="shared" si="21"/>
        <v>4</v>
      </c>
      <c r="R68" s="2">
        <f t="shared" si="22"/>
        <v>5</v>
      </c>
      <c r="S68">
        <f t="shared" ca="1" si="23"/>
        <v>10</v>
      </c>
      <c r="T68" s="2">
        <f>(IFERROR(VLOOKUP(D68,'Employee Numbers'!$A$3:$C$84,3,FALSE),"NOT FOUND"))*8</f>
        <v>0</v>
      </c>
    </row>
    <row r="69" spans="1:20" s="2" customFormat="1" ht="15" customHeight="1">
      <c r="A69" s="2" t="s">
        <v>98</v>
      </c>
      <c r="C69" s="47"/>
      <c r="D69" s="262" t="s">
        <v>109</v>
      </c>
      <c r="E69" s="285">
        <f>IFERROR(VLOOKUP(D69,'Employee Numbers'!$A$3:$B$84,2,FALSE),"NOT FOUND")</f>
        <v>702947</v>
      </c>
      <c r="F69" s="299" t="s">
        <v>145</v>
      </c>
      <c r="G69" s="300" t="s">
        <v>42</v>
      </c>
      <c r="H69" s="300" t="s">
        <v>42</v>
      </c>
      <c r="I69" s="300" t="s">
        <v>42</v>
      </c>
      <c r="J69" s="300" t="s">
        <v>42</v>
      </c>
      <c r="K69" s="308" t="s">
        <v>145</v>
      </c>
      <c r="L69" s="308" t="s">
        <v>145</v>
      </c>
      <c r="N69">
        <f t="array" ref="N69">((SUM(IFERROR((TEXT(IF(ISNUMBER(SEARCH("-", F69:L69)), MID(F69:L69, SEARCH("-", F69:L69) + 1, 4), ""), "00\:00") - TEXT(IF(ISNUMBER(SEARCH("-", F69:L69)), MID(F69:L69, SEARCH("-", F69:L69) - 4, 4), ""), "00\:00") + IF(TEXT(IF(ISNUMBER(SEARCH("-", F69:L69)), MID(F69:L69, SEARCH("-", F69:L69) + 1, 4), ""), "00\:00") &lt; TEXT(IF(ISNUMBER(SEARCH("-", F69:L69)), MID(F69:L69, SEARCH("-", F69:L69) - 4, 4), ""), "00\:00"), 1, 0))*24,""))))/9.5</f>
        <v>4</v>
      </c>
      <c r="O69"/>
      <c r="P69"/>
      <c r="Q69" s="2">
        <f t="shared" si="21"/>
        <v>4</v>
      </c>
      <c r="R69" s="2">
        <f t="shared" si="22"/>
        <v>5</v>
      </c>
      <c r="S69">
        <f t="shared" ca="1" si="23"/>
        <v>8</v>
      </c>
      <c r="T69" s="2">
        <f>(IFERROR(VLOOKUP(D69,'Employee Numbers'!$A$3:$C$84,3,FALSE),"NOT FOUND"))*8</f>
        <v>0</v>
      </c>
    </row>
    <row r="70" spans="1:20" s="2" customFormat="1" ht="15" customHeight="1">
      <c r="A70" s="44" t="s">
        <v>98</v>
      </c>
      <c r="B70" s="44"/>
      <c r="C70" s="45"/>
      <c r="D70" s="262" t="s">
        <v>110</v>
      </c>
      <c r="E70" s="285">
        <f>IFERROR(VLOOKUP(D70,'Employee Numbers'!$A$3:$B$84,2,FALSE),"NOT FOUND")</f>
        <v>654002</v>
      </c>
      <c r="F70" s="301" t="s">
        <v>42</v>
      </c>
      <c r="G70" s="302" t="s">
        <v>145</v>
      </c>
      <c r="H70" s="302" t="s">
        <v>42</v>
      </c>
      <c r="I70" s="302" t="s">
        <v>42</v>
      </c>
      <c r="J70" s="302"/>
      <c r="K70" s="302" t="s">
        <v>145</v>
      </c>
      <c r="L70" s="302" t="s">
        <v>145</v>
      </c>
      <c r="N70">
        <f t="array" ref="N70">((SUM(IFERROR((TEXT(IF(ISNUMBER(SEARCH("-", F70:L70)), MID(F70:L70, SEARCH("-", F70:L70) + 1, 4), ""), "00\:00") - TEXT(IF(ISNUMBER(SEARCH("-", F70:L70)), MID(F70:L70, SEARCH("-", F70:L70) - 4, 4), ""), "00\:00") + IF(TEXT(IF(ISNUMBER(SEARCH("-", F70:L70)), MID(F70:L70, SEARCH("-", F70:L70) + 1, 4), ""), "00\:00") &lt; TEXT(IF(ISNUMBER(SEARCH("-", F70:L70)), MID(F70:L70, SEARCH("-", F70:L70) - 4, 4), ""), "00\:00"), 1, 0))*24,""))))/9.5</f>
        <v>3</v>
      </c>
      <c r="O70"/>
      <c r="P70"/>
      <c r="Q70" s="2">
        <f t="shared" si="21"/>
        <v>3</v>
      </c>
      <c r="R70" s="2">
        <f t="shared" si="22"/>
        <v>5</v>
      </c>
      <c r="S70">
        <f t="shared" ca="1" si="23"/>
        <v>7</v>
      </c>
      <c r="T70" s="2">
        <f>(IFERROR(VLOOKUP(D70,'Employee Numbers'!$A$3:$C$84,3,FALSE),"NOT FOUND"))*8</f>
        <v>0</v>
      </c>
    </row>
    <row r="71" spans="1:20" s="2" customFormat="1" ht="15" customHeight="1">
      <c r="A71" s="2" t="s">
        <v>98</v>
      </c>
      <c r="C71" s="21"/>
      <c r="D71" s="262" t="s">
        <v>111</v>
      </c>
      <c r="E71" s="285">
        <f>IFERROR(VLOOKUP(D71,'Employee Numbers'!$A$3:$B$84,2,FALSE),"NOT FOUND")</f>
        <v>703068</v>
      </c>
      <c r="F71" s="309" t="s">
        <v>177</v>
      </c>
      <c r="G71" s="309" t="s">
        <v>145</v>
      </c>
      <c r="H71" s="309" t="s">
        <v>145</v>
      </c>
      <c r="I71" s="309" t="s">
        <v>145</v>
      </c>
      <c r="J71" s="309" t="s">
        <v>145</v>
      </c>
      <c r="K71" s="301" t="s">
        <v>44</v>
      </c>
      <c r="L71" s="302" t="s">
        <v>44</v>
      </c>
      <c r="N71">
        <f t="array" ref="N71">((SUM(IFERROR((TEXT(IF(ISNUMBER(SEARCH("-", F71:L71)), MID(F71:L71, SEARCH("-", F71:L71) + 1, 4), ""), "00\:00") - TEXT(IF(ISNUMBER(SEARCH("-", F71:L71)), MID(F71:L71, SEARCH("-", F71:L71) - 4, 4), ""), "00\:00") + IF(TEXT(IF(ISNUMBER(SEARCH("-", F71:L71)), MID(F71:L71, SEARCH("-", F71:L71) + 1, 4), ""), "00\:00") &lt; TEXT(IF(ISNUMBER(SEARCH("-", F71:L71)), MID(F71:L71, SEARCH("-", F71:L71) - 4, 4), ""), "00\:00"), 1, 0))*24,""))))/9.5</f>
        <v>2</v>
      </c>
      <c r="O71"/>
      <c r="P71"/>
      <c r="Q71" s="2">
        <f t="shared" si="21"/>
        <v>2</v>
      </c>
      <c r="R71" s="2">
        <f t="shared" si="22"/>
        <v>5</v>
      </c>
      <c r="S71">
        <f t="shared" ca="1" si="23"/>
        <v>6</v>
      </c>
      <c r="T71" s="2">
        <f>(IFERROR(VLOOKUP(D71,'Employee Numbers'!$A$3:$C$84,3,FALSE),"NOT FOUND"))*8</f>
        <v>0</v>
      </c>
    </row>
    <row r="72" spans="1:20" s="2" customFormat="1" ht="15" customHeight="1">
      <c r="A72" s="44" t="s">
        <v>98</v>
      </c>
      <c r="B72" s="44"/>
      <c r="C72" s="45"/>
      <c r="D72" s="262" t="s">
        <v>113</v>
      </c>
      <c r="E72" s="285">
        <f>IFERROR(VLOOKUP(D72,'Employee Numbers'!$A$3:$B$84,2,FALSE),"NOT FOUND")</f>
        <v>703911</v>
      </c>
      <c r="F72" s="299" t="s">
        <v>42</v>
      </c>
      <c r="G72" s="308" t="s">
        <v>145</v>
      </c>
      <c r="H72" s="308" t="s">
        <v>145</v>
      </c>
      <c r="I72" s="308" t="s">
        <v>145</v>
      </c>
      <c r="J72" s="300" t="s">
        <v>100</v>
      </c>
      <c r="K72" s="302" t="s">
        <v>100</v>
      </c>
      <c r="L72" s="302" t="s">
        <v>100</v>
      </c>
      <c r="N72">
        <f t="array" ref="N72">((SUM(IFERROR((TEXT(IF(ISNUMBER(SEARCH("-", F72:L72)), MID(F72:L72, SEARCH("-", F72:L72) + 1, 4), ""), "00\:00") - TEXT(IF(ISNUMBER(SEARCH("-", F72:L72)), MID(F72:L72, SEARCH("-", F72:L72) - 4, 4), ""), "00\:00") + IF(TEXT(IF(ISNUMBER(SEARCH("-", F72:L72)), MID(F72:L72, SEARCH("-", F72:L72) + 1, 4), ""), "00\:00") &lt; TEXT(IF(ISNUMBER(SEARCH("-", F72:L72)), MID(F72:L72, SEARCH("-", F72:L72) - 4, 4), ""), "00\:00"), 1, 0))*24,""))))/9.5</f>
        <v>4</v>
      </c>
      <c r="O72"/>
      <c r="P72"/>
      <c r="Q72" s="2">
        <f t="shared" si="21"/>
        <v>4</v>
      </c>
      <c r="R72" s="2">
        <f t="shared" si="22"/>
        <v>5</v>
      </c>
      <c r="S72">
        <f t="shared" ca="1" si="23"/>
        <v>8</v>
      </c>
      <c r="T72" s="2">
        <f>(IFERROR(VLOOKUP(D72,'Employee Numbers'!$A$3:$C$84,3,FALSE),"NOT FOUND"))*8</f>
        <v>0</v>
      </c>
    </row>
    <row r="73" spans="1:20" s="2" customFormat="1" ht="15" customHeight="1">
      <c r="A73" s="2" t="s">
        <v>98</v>
      </c>
      <c r="C73" s="21"/>
      <c r="D73" s="262" t="s">
        <v>114</v>
      </c>
      <c r="E73" s="285">
        <f>IFERROR(VLOOKUP(D73,'Employee Numbers'!$A$3:$B$84,2,FALSE),"NOT FOUND")</f>
        <v>633936</v>
      </c>
      <c r="F73" s="301" t="s">
        <v>145</v>
      </c>
      <c r="G73" s="302" t="s">
        <v>145</v>
      </c>
      <c r="H73" s="302" t="s">
        <v>42</v>
      </c>
      <c r="I73" s="302" t="s">
        <v>145</v>
      </c>
      <c r="J73" s="302" t="s">
        <v>100</v>
      </c>
      <c r="K73" s="302" t="s">
        <v>100</v>
      </c>
      <c r="L73" s="302" t="s">
        <v>100</v>
      </c>
      <c r="N73">
        <f t="array" ref="N73">((SUM(IFERROR((TEXT(IF(ISNUMBER(SEARCH("-", F73:L73)), MID(F73:L73, SEARCH("-", F73:L73) + 1, 4), ""), "00\:00") - TEXT(IF(ISNUMBER(SEARCH("-", F73:L73)), MID(F73:L73, SEARCH("-", F73:L73) - 4, 4), ""), "00\:00") + IF(TEXT(IF(ISNUMBER(SEARCH("-", F73:L73)), MID(F73:L73, SEARCH("-", F73:L73) + 1, 4), ""), "00\:00") &lt; TEXT(IF(ISNUMBER(SEARCH("-", F73:L73)), MID(F73:L73, SEARCH("-", F73:L73) - 4, 4), ""), "00\:00"), 1, 0))*24,""))))/9.5</f>
        <v>4</v>
      </c>
      <c r="O73"/>
      <c r="P73"/>
      <c r="Q73" s="2">
        <f t="shared" si="21"/>
        <v>4</v>
      </c>
      <c r="R73" s="2">
        <f t="shared" si="22"/>
        <v>5</v>
      </c>
      <c r="S73">
        <f t="shared" ca="1" si="23"/>
        <v>9</v>
      </c>
      <c r="T73" s="2">
        <f>(IFERROR(VLOOKUP(D73,'Employee Numbers'!$A$3:$C$84,3,FALSE),"NOT FOUND"))*8</f>
        <v>0</v>
      </c>
    </row>
    <row r="74" spans="1:20" s="2" customFormat="1" ht="15" customHeight="1">
      <c r="A74" s="44" t="s">
        <v>98</v>
      </c>
      <c r="B74" s="44"/>
      <c r="C74" s="45"/>
      <c r="D74" s="262" t="s">
        <v>115</v>
      </c>
      <c r="E74" s="285">
        <f>IFERROR(VLOOKUP(D74,'Employee Numbers'!$A$3:$B$84,2,FALSE),"NOT FOUND")</f>
        <v>700755</v>
      </c>
      <c r="F74" s="301" t="s">
        <v>42</v>
      </c>
      <c r="G74" s="302" t="s">
        <v>42</v>
      </c>
      <c r="H74" s="302" t="s">
        <v>42</v>
      </c>
      <c r="I74" s="302" t="s">
        <v>42</v>
      </c>
      <c r="J74" s="302" t="s">
        <v>145</v>
      </c>
      <c r="K74" s="352" t="s">
        <v>44</v>
      </c>
      <c r="L74" s="302" t="s">
        <v>44</v>
      </c>
      <c r="N74">
        <f t="array" ref="N74">((SUM(IFERROR((TEXT(IF(ISNUMBER(SEARCH("-", F74:L74)), MID(F74:L74, SEARCH("-", F74:L74) + 1, 4), ""), "00\:00") - TEXT(IF(ISNUMBER(SEARCH("-", F74:L74)), MID(F74:L74, SEARCH("-", F74:L74) - 4, 4), ""), "00\:00") + IF(TEXT(IF(ISNUMBER(SEARCH("-", F74:L74)), MID(F74:L74, SEARCH("-", F74:L74) + 1, 4), ""), "00\:00") &lt; TEXT(IF(ISNUMBER(SEARCH("-", F74:L74)), MID(F74:L74, SEARCH("-", F74:L74) - 4, 4), ""), "00\:00"), 1, 0))*24,""))))/9.5</f>
        <v>6</v>
      </c>
      <c r="O74"/>
      <c r="P74"/>
      <c r="Q74" s="2">
        <f t="shared" si="21"/>
        <v>6</v>
      </c>
      <c r="R74" s="2">
        <f t="shared" si="22"/>
        <v>5</v>
      </c>
      <c r="S74">
        <f t="shared" ca="1" si="23"/>
        <v>8</v>
      </c>
      <c r="T74" s="2">
        <f>(IFERROR(VLOOKUP(D74,'Employee Numbers'!$A$3:$C$84,3,FALSE),"NOT FOUND"))*8</f>
        <v>0</v>
      </c>
    </row>
    <row r="75" spans="1:20" s="2" customFormat="1" ht="15" customHeight="1">
      <c r="A75" s="2" t="s">
        <v>98</v>
      </c>
      <c r="C75" s="21"/>
      <c r="D75" s="262" t="s">
        <v>116</v>
      </c>
      <c r="E75" s="285">
        <f>IFERROR(VLOOKUP(D75,'Employee Numbers'!$A$3:$B$84,2,FALSE),"NOT FOUND")</f>
        <v>704872</v>
      </c>
      <c r="F75" s="310" t="s">
        <v>176</v>
      </c>
      <c r="G75" s="311" t="s">
        <v>145</v>
      </c>
      <c r="H75" s="311" t="s">
        <v>145</v>
      </c>
      <c r="I75" s="311" t="s">
        <v>145</v>
      </c>
      <c r="J75" s="311" t="s">
        <v>42</v>
      </c>
      <c r="K75" s="311" t="s">
        <v>145</v>
      </c>
      <c r="L75" s="311" t="s">
        <v>145</v>
      </c>
      <c r="N75">
        <f t="array" ref="N75">((SUM(IFERROR((TEXT(IF(ISNUMBER(SEARCH("-", F75:L75)), MID(F75:L75, SEARCH("-", F75:L75) + 1, 4), ""), "00\:00") - TEXT(IF(ISNUMBER(SEARCH("-", F75:L75)), MID(F75:L75, SEARCH("-", F75:L75) - 4, 4), ""), "00\:00") + IF(TEXT(IF(ISNUMBER(SEARCH("-", F75:L75)), MID(F75:L75, SEARCH("-", F75:L75) + 1, 4), ""), "00\:00") &lt; TEXT(IF(ISNUMBER(SEARCH("-", F75:L75)), MID(F75:L75, SEARCH("-", F75:L75) - 4, 4), ""), "00\:00"), 1, 0))*24,""))))/9.5</f>
        <v>1</v>
      </c>
      <c r="O75"/>
      <c r="P75"/>
      <c r="Q75" s="2">
        <f t="shared" si="21"/>
        <v>1</v>
      </c>
      <c r="R75" s="2">
        <f t="shared" si="22"/>
        <v>0</v>
      </c>
      <c r="S75">
        <f t="shared" ca="1" si="23"/>
        <v>1</v>
      </c>
      <c r="T75" s="2">
        <f>(IFERROR(VLOOKUP(D75,'Employee Numbers'!$A$3:$C$84,3,FALSE),"NOT FOUND"))*8</f>
        <v>0</v>
      </c>
    </row>
    <row r="76" spans="1:20" s="2" customFormat="1" ht="15" customHeight="1">
      <c r="A76" s="44" t="s">
        <v>98</v>
      </c>
      <c r="B76" s="44"/>
      <c r="C76" s="45"/>
      <c r="D76" s="262" t="s">
        <v>117</v>
      </c>
      <c r="E76" s="285">
        <f>IFERROR(VLOOKUP(D76,'Employee Numbers'!$A$3:$B$84,2,FALSE),"NOT FOUND")</f>
        <v>700712</v>
      </c>
      <c r="F76" s="299" t="s">
        <v>44</v>
      </c>
      <c r="G76" s="300" t="s">
        <v>42</v>
      </c>
      <c r="H76" s="300" t="s">
        <v>42</v>
      </c>
      <c r="I76" s="300" t="s">
        <v>42</v>
      </c>
      <c r="J76" s="300" t="s">
        <v>145</v>
      </c>
      <c r="K76" s="300" t="s">
        <v>145</v>
      </c>
      <c r="L76" s="300" t="s">
        <v>145</v>
      </c>
      <c r="N76">
        <f t="array" ref="N76">((SUM(IFERROR((TEXT(IF(ISNUMBER(SEARCH("-", F76:L76)), MID(F76:L76, SEARCH("-", F76:L76) + 1, 4), ""), "00\:00") - TEXT(IF(ISNUMBER(SEARCH("-", F76:L76)), MID(F76:L76, SEARCH("-", F76:L76) - 4, 4), ""), "00\:00") + IF(TEXT(IF(ISNUMBER(SEARCH("-", F76:L76)), MID(F76:L76, SEARCH("-", F76:L76) + 1, 4), ""), "00\:00") &lt; TEXT(IF(ISNUMBER(SEARCH("-", F76:L76)), MID(F76:L76, SEARCH("-", F76:L76) - 4, 4), ""), "00\:00"), 1, 0))*24,""))))/9.5</f>
        <v>4</v>
      </c>
      <c r="O76"/>
      <c r="P76"/>
      <c r="Q76" s="2">
        <f t="shared" si="21"/>
        <v>4</v>
      </c>
      <c r="R76" s="2">
        <f t="shared" si="22"/>
        <v>5</v>
      </c>
      <c r="S76">
        <f t="shared" ca="1" si="23"/>
        <v>6</v>
      </c>
      <c r="T76" s="2">
        <f>(IFERROR(VLOOKUP(D76,'Employee Numbers'!$A$3:$C$84,3,FALSE),"NOT FOUND"))*8</f>
        <v>0</v>
      </c>
    </row>
    <row r="77" spans="1:20" s="2" customFormat="1" ht="15" customHeight="1">
      <c r="A77" s="2" t="s">
        <v>98</v>
      </c>
      <c r="C77" s="47"/>
      <c r="D77" s="262" t="s">
        <v>119</v>
      </c>
      <c r="E77" s="285">
        <f>IFERROR(VLOOKUP(D77,'Employee Numbers'!$A$3:$B$84,2,FALSE),"NOT FOUND")</f>
        <v>700818</v>
      </c>
      <c r="F77" s="301" t="s">
        <v>42</v>
      </c>
      <c r="G77" s="312" t="s">
        <v>145</v>
      </c>
      <c r="H77" s="312" t="s">
        <v>145</v>
      </c>
      <c r="I77" s="312" t="s">
        <v>145</v>
      </c>
      <c r="J77" s="312" t="s">
        <v>102</v>
      </c>
      <c r="K77" s="302" t="s">
        <v>145</v>
      </c>
      <c r="L77" s="302" t="s">
        <v>42</v>
      </c>
      <c r="N77">
        <f t="array" ref="N77">((SUM(IFERROR((TEXT(IF(ISNUMBER(SEARCH("-", F77:L77)), MID(F77:L77, SEARCH("-", F77:L77) + 1, 4), ""), "00\:00") - TEXT(IF(ISNUMBER(SEARCH("-", F77:L77)), MID(F77:L77, SEARCH("-", F77:L77) - 4, 4), ""), "00\:00") + IF(TEXT(IF(ISNUMBER(SEARCH("-", F77:L77)), MID(F77:L77, SEARCH("-", F77:L77) + 1, 4), ""), "00\:00") &lt; TEXT(IF(ISNUMBER(SEARCH("-", F77:L77)), MID(F77:L77, SEARCH("-", F77:L77) - 4, 4), ""), "00\:00"), 1, 0))*24,""))))/9.5</f>
        <v>2</v>
      </c>
      <c r="O77"/>
      <c r="P77"/>
      <c r="Q77" s="2">
        <f t="shared" si="21"/>
        <v>2</v>
      </c>
      <c r="R77" s="2">
        <f t="shared" si="22"/>
        <v>5</v>
      </c>
      <c r="S77">
        <f t="shared" ca="1" si="23"/>
        <v>6</v>
      </c>
      <c r="T77" s="2">
        <f>(IFERROR(VLOOKUP(D77,'Employee Numbers'!$A$3:$C$84,3,FALSE),"NOT FOUND"))*8</f>
        <v>0</v>
      </c>
    </row>
    <row r="78" spans="1:20" s="2" customFormat="1" ht="15" customHeight="1">
      <c r="A78" s="44" t="s">
        <v>98</v>
      </c>
      <c r="B78" s="44"/>
      <c r="C78" s="45"/>
      <c r="D78" s="262" t="s">
        <v>120</v>
      </c>
      <c r="E78" s="285">
        <f>IFERROR(VLOOKUP(D78,'Employee Numbers'!$A$3:$B$84,2,FALSE),"NOT FOUND")</f>
        <v>650101</v>
      </c>
      <c r="F78" s="301" t="s">
        <v>145</v>
      </c>
      <c r="G78" s="302" t="s">
        <v>145</v>
      </c>
      <c r="H78" s="302" t="s">
        <v>145</v>
      </c>
      <c r="I78" s="302" t="s">
        <v>145</v>
      </c>
      <c r="J78" s="302" t="s">
        <v>145</v>
      </c>
      <c r="K78" s="302" t="s">
        <v>145</v>
      </c>
      <c r="L78" s="302" t="s">
        <v>145</v>
      </c>
      <c r="N78">
        <f t="array" ref="N78">((SUM(IFERROR((TEXT(IF(ISNUMBER(SEARCH("-", F78:L78)), MID(F78:L78, SEARCH("-", F78:L78) + 1, 4), ""), "00\:00") - TEXT(IF(ISNUMBER(SEARCH("-", F78:L78)), MID(F78:L78, SEARCH("-", F78:L78) - 4, 4), ""), "00\:00") + IF(TEXT(IF(ISNUMBER(SEARCH("-", F78:L78)), MID(F78:L78, SEARCH("-", F78:L78) + 1, 4), ""), "00\:00") &lt; TEXT(IF(ISNUMBER(SEARCH("-", F78:L78)), MID(F78:L78, SEARCH("-", F78:L78) - 4, 4), ""), "00\:00"), 1, 0))*24,""))))/9.5</f>
        <v>0</v>
      </c>
      <c r="O78"/>
      <c r="P78"/>
      <c r="Q78" s="2">
        <f t="shared" si="21"/>
        <v>0</v>
      </c>
      <c r="R78" s="2">
        <f t="shared" si="22"/>
        <v>2.5</v>
      </c>
      <c r="S78">
        <f t="shared" ca="1" si="23"/>
        <v>4</v>
      </c>
      <c r="T78" s="2">
        <f>(IFERROR(VLOOKUP(D78,'Employee Numbers'!$A$3:$C$84,3,FALSE),"NOT FOUND"))*8</f>
        <v>0</v>
      </c>
    </row>
    <row r="79" spans="1:20" s="2" customFormat="1" ht="15" customHeight="1">
      <c r="A79" s="2" t="s">
        <v>98</v>
      </c>
      <c r="C79" s="21"/>
      <c r="D79" s="262" t="s">
        <v>122</v>
      </c>
      <c r="E79" s="285">
        <f>IFERROR(VLOOKUP(D79,'Employee Numbers'!$A$3:$B$84,2,FALSE),"NOT FOUND")</f>
        <v>654888</v>
      </c>
      <c r="F79" s="301" t="s">
        <v>42</v>
      </c>
      <c r="G79" s="302" t="s">
        <v>42</v>
      </c>
      <c r="H79" s="302" t="s">
        <v>145</v>
      </c>
      <c r="I79" s="302" t="s">
        <v>42</v>
      </c>
      <c r="J79" s="302" t="s">
        <v>42</v>
      </c>
      <c r="K79" s="302" t="s">
        <v>145</v>
      </c>
      <c r="L79" s="302" t="s">
        <v>145</v>
      </c>
      <c r="N79">
        <f t="array" ref="N79">((SUM(IFERROR((TEXT(IF(ISNUMBER(SEARCH("-", F79:L79)), MID(F79:L79, SEARCH("-", F79:L79) + 1, 4), ""), "00\:00") - TEXT(IF(ISNUMBER(SEARCH("-", F79:L79)), MID(F79:L79, SEARCH("-", F79:L79) - 4, 4), ""), "00\:00") + IF(TEXT(IF(ISNUMBER(SEARCH("-", F79:L79)), MID(F79:L79, SEARCH("-", F79:L79) + 1, 4), ""), "00\:00") &lt; TEXT(IF(ISNUMBER(SEARCH("-", F79:L79)), MID(F79:L79, SEARCH("-", F79:L79) - 4, 4), ""), "00\:00"), 1, 0))*24,""))))/9.5</f>
        <v>4</v>
      </c>
      <c r="O79"/>
      <c r="P79"/>
      <c r="Q79" s="2">
        <f t="shared" si="21"/>
        <v>4</v>
      </c>
      <c r="R79" s="2">
        <f t="shared" si="22"/>
        <v>5</v>
      </c>
      <c r="S79">
        <f t="shared" ca="1" si="23"/>
        <v>8</v>
      </c>
      <c r="T79" s="2">
        <f>(IFERROR(VLOOKUP(D79,'Employee Numbers'!$A$3:$C$84,3,FALSE),"NOT FOUND"))*8</f>
        <v>0</v>
      </c>
    </row>
    <row r="80" spans="1:20" s="2" customFormat="1" ht="15" customHeight="1">
      <c r="A80" s="44" t="s">
        <v>98</v>
      </c>
      <c r="B80" s="44"/>
      <c r="C80" s="45"/>
      <c r="D80" s="262" t="s">
        <v>123</v>
      </c>
      <c r="E80" s="285">
        <f>IFERROR(VLOOKUP(D80,'Employee Numbers'!$A$3:$B$84,2,FALSE),"NOT FOUND")</f>
        <v>703880</v>
      </c>
      <c r="F80" s="301" t="s">
        <v>42</v>
      </c>
      <c r="G80" s="302" t="s">
        <v>42</v>
      </c>
      <c r="H80" s="302" t="s">
        <v>145</v>
      </c>
      <c r="I80" s="302" t="s">
        <v>145</v>
      </c>
      <c r="J80" s="302" t="s">
        <v>145</v>
      </c>
      <c r="K80" s="302" t="s">
        <v>44</v>
      </c>
      <c r="L80" s="302" t="s">
        <v>44</v>
      </c>
      <c r="N80">
        <f t="array" ref="N80">((SUM(IFERROR((TEXT(IF(ISNUMBER(SEARCH("-", F80:L80)), MID(F80:L80, SEARCH("-", F80:L80) + 1, 4), ""), "00\:00") - TEXT(IF(ISNUMBER(SEARCH("-", F80:L80)), MID(F80:L80, SEARCH("-", F80:L80) - 4, 4), ""), "00\:00") + IF(TEXT(IF(ISNUMBER(SEARCH("-", F80:L80)), MID(F80:L80, SEARCH("-", F80:L80) + 1, 4), ""), "00\:00") &lt; TEXT(IF(ISNUMBER(SEARCH("-", F80:L80)), MID(F80:L80, SEARCH("-", F80:L80) - 4, 4), ""), "00\:00"), 1, 0))*24,""))))/9.5</f>
        <v>4</v>
      </c>
      <c r="O80"/>
      <c r="P80"/>
      <c r="Q80" s="2">
        <f t="shared" si="21"/>
        <v>4</v>
      </c>
      <c r="R80" s="2">
        <f t="shared" si="22"/>
        <v>5</v>
      </c>
      <c r="S80">
        <f t="shared" ca="1" si="23"/>
        <v>7.9999999999999991</v>
      </c>
      <c r="T80" s="2">
        <f>(IFERROR(VLOOKUP(D80,'Employee Numbers'!$A$3:$C$84,3,FALSE),"NOT FOUND"))*8</f>
        <v>0</v>
      </c>
    </row>
    <row r="81" spans="1:21" s="13" customFormat="1" ht="15" customHeight="1">
      <c r="A81" s="2" t="s">
        <v>98</v>
      </c>
      <c r="B81" s="2"/>
      <c r="C81" s="21"/>
      <c r="D81" s="262" t="s">
        <v>124</v>
      </c>
      <c r="E81" s="285">
        <f>IFERROR(VLOOKUP(D81,'Employee Numbers'!$A$3:$B$84,2,FALSE),"NOT FOUND")</f>
        <v>703334</v>
      </c>
      <c r="F81" s="301" t="s">
        <v>100</v>
      </c>
      <c r="G81" s="302" t="s">
        <v>100</v>
      </c>
      <c r="H81" s="302" t="s">
        <v>100</v>
      </c>
      <c r="I81" s="302" t="s">
        <v>100</v>
      </c>
      <c r="J81" s="302" t="s">
        <v>145</v>
      </c>
      <c r="K81" s="302" t="s">
        <v>145</v>
      </c>
      <c r="L81" s="302" t="s">
        <v>145</v>
      </c>
      <c r="N81">
        <f t="array" ref="N81">((SUM(IFERROR((TEXT(IF(ISNUMBER(SEARCH("-", F81:L81)), MID(F81:L81, SEARCH("-", F81:L81) + 1, 4), ""), "00\:00") - TEXT(IF(ISNUMBER(SEARCH("-", F81:L81)), MID(F81:L81, SEARCH("-", F81:L81) - 4, 4), ""), "00\:00") + IF(TEXT(IF(ISNUMBER(SEARCH("-", F81:L81)), MID(F81:L81, SEARCH("-", F81:L81) + 1, 4), ""), "00\:00") &lt; TEXT(IF(ISNUMBER(SEARCH("-", F81:L81)), MID(F81:L81, SEARCH("-", F81:L81) - 4, 4), ""), "00\:00"), 1, 0))*24,""))))/9.5</f>
        <v>3.9999999999999991</v>
      </c>
      <c r="O81"/>
      <c r="P81"/>
      <c r="Q81" s="2">
        <f>P81+O81+N81</f>
        <v>3.9999999999999991</v>
      </c>
      <c r="R81" s="2">
        <f>IF(ISNUMBER(SEARCH("trg_5",H173)),5,IF(ISNUMBER(SEARCH("trg_3.75",H173)),3.75,IF(ISNUMBER(SEARCH("trg_2.5",H173)),2.5,IF(ISNUMBER(SEARCH("trg_1.75",H173)),1.75,0))))</f>
        <v>5</v>
      </c>
      <c r="S81">
        <f t="shared" ca="1" si="23"/>
        <v>7.9999999999999991</v>
      </c>
      <c r="T81" s="2">
        <f>(IFERROR(VLOOKUP(D81,'Employee Numbers'!$A$3:$C$84,3,FALSE),"NOT FOUND"))*8</f>
        <v>0</v>
      </c>
      <c r="U81" s="2"/>
    </row>
    <row r="82" spans="1:21" s="2" customFormat="1" ht="15" customHeight="1">
      <c r="A82" s="44" t="s">
        <v>98</v>
      </c>
      <c r="B82" s="44"/>
      <c r="C82" s="45"/>
      <c r="D82" s="262" t="s">
        <v>125</v>
      </c>
      <c r="E82" s="285">
        <f>IFERROR(VLOOKUP(D82,'Employee Numbers'!$A$3:$B$84,2,FALSE),"NOT FOUND")</f>
        <v>700538</v>
      </c>
      <c r="F82" s="313" t="s">
        <v>145</v>
      </c>
      <c r="G82" s="303" t="s">
        <v>145</v>
      </c>
      <c r="H82" s="302" t="s">
        <v>145</v>
      </c>
      <c r="I82" s="352" t="s">
        <v>44</v>
      </c>
      <c r="J82" s="302" t="s">
        <v>145</v>
      </c>
      <c r="K82" s="302" t="s">
        <v>42</v>
      </c>
      <c r="L82" s="302" t="s">
        <v>42</v>
      </c>
      <c r="N82">
        <f t="array" ref="N82">((SUM(IFERROR((TEXT(IF(ISNUMBER(SEARCH("-", F82:L82)), MID(F82:L82, SEARCH("-", F82:L82) + 1, 4), ""), "00\:00") - TEXT(IF(ISNUMBER(SEARCH("-", F82:L82)), MID(F82:L82, SEARCH("-", F82:L82) - 4, 4), ""), "00\:00") + IF(TEXT(IF(ISNUMBER(SEARCH("-", F82:L82)), MID(F82:L82, SEARCH("-", F82:L82) + 1, 4), ""), "00\:00") &lt; TEXT(IF(ISNUMBER(SEARCH("-", F82:L82)), MID(F82:L82, SEARCH("-", F82:L82) - 4, 4), ""), "00\:00"), 1, 0))*24,""))))/9.5</f>
        <v>3</v>
      </c>
      <c r="O82"/>
      <c r="P82"/>
      <c r="Q82" s="2">
        <f>P82+O82+N82</f>
        <v>3</v>
      </c>
      <c r="R82" s="2">
        <f>IF(ISNUMBER(SEARCH("trg_5",H174)),5,IF(ISNUMBER(SEARCH("trg_3.75",H174)),3.75,IF(ISNUMBER(SEARCH("trg_2.5",H174)),2.5,IF(ISNUMBER(SEARCH("trg_1.75",H174)),1.75,0))))</f>
        <v>3.75</v>
      </c>
      <c r="S82">
        <f t="shared" ca="1" si="23"/>
        <v>5</v>
      </c>
      <c r="T82" s="2">
        <f>(IFERROR(VLOOKUP(D82,'Employee Numbers'!$A$3:$C$84,3,FALSE),"NOT FOUND"))*8</f>
        <v>0</v>
      </c>
    </row>
    <row r="83" spans="1:21" s="2" customFormat="1" ht="15" customHeight="1">
      <c r="A83" s="2" t="s">
        <v>98</v>
      </c>
      <c r="C83" s="21"/>
      <c r="D83" s="262" t="s">
        <v>126</v>
      </c>
      <c r="E83" s="285">
        <f>IFERROR(VLOOKUP(D83,'Employee Numbers'!$A$3:$B$84,2,FALSE),"NOT FOUND")</f>
        <v>704862</v>
      </c>
      <c r="F83" s="301" t="s">
        <v>145</v>
      </c>
      <c r="G83" s="352" t="s">
        <v>44</v>
      </c>
      <c r="H83" s="302" t="s">
        <v>42</v>
      </c>
      <c r="I83" s="302" t="s">
        <v>42</v>
      </c>
      <c r="J83" s="302" t="s">
        <v>42</v>
      </c>
      <c r="K83" s="302" t="s">
        <v>145</v>
      </c>
      <c r="L83" s="302" t="s">
        <v>145</v>
      </c>
      <c r="N83">
        <f t="array" ref="N83">((SUM(IFERROR((TEXT(IF(ISNUMBER(SEARCH("-", F83:L83)), MID(F83:L83, SEARCH("-", F83:L83) + 1, 4), ""), "00\:00") - TEXT(IF(ISNUMBER(SEARCH("-", F83:L83)), MID(F83:L83, SEARCH("-", F83:L83) - 4, 4), ""), "00\:00") + IF(TEXT(IF(ISNUMBER(SEARCH("-", F83:L83)), MID(F83:L83, SEARCH("-", F83:L83) + 1, 4), ""), "00\:00") &lt; TEXT(IF(ISNUMBER(SEARCH("-", F83:L83)), MID(F83:L83, SEARCH("-", F83:L83) - 4, 4), ""), "00\:00"), 1, 0))*24,""))))/9.5</f>
        <v>4</v>
      </c>
      <c r="O83"/>
      <c r="P83"/>
      <c r="Q83" s="2">
        <f>P83+O83+N83</f>
        <v>4</v>
      </c>
      <c r="R83" s="2">
        <f>IF(ISNUMBER(SEARCH("trg_5",H175)),5,IF(ISNUMBER(SEARCH("trg_3.75",H175)),3.75,IF(ISNUMBER(SEARCH("trg_2.5",H175)),2.5,IF(ISNUMBER(SEARCH("trg_1.75",H175)),1.75,0))))</f>
        <v>2.5</v>
      </c>
      <c r="S83">
        <f t="shared" ca="1" si="23"/>
        <v>4</v>
      </c>
      <c r="T83" s="2">
        <f>(IFERROR(VLOOKUP(D83,'Employee Numbers'!$A$3:$C$84,3,FALSE),"NOT FOUND"))*8</f>
        <v>0</v>
      </c>
    </row>
    <row r="84" spans="1:21" s="2" customFormat="1" ht="15" customHeight="1">
      <c r="A84" s="44" t="s">
        <v>98</v>
      </c>
      <c r="B84" s="44"/>
      <c r="C84" s="45"/>
      <c r="D84" s="128"/>
      <c r="E84" s="129" t="str">
        <f>IFERROR(VLOOKUP(D84,'Employee Numbers'!$A$3:$B$84,2,FALSE),"NOT FOUND")</f>
        <v>NOT FOUND</v>
      </c>
      <c r="F84" s="151"/>
      <c r="G84" s="151"/>
      <c r="H84" s="151"/>
      <c r="I84" s="151"/>
      <c r="J84" s="151"/>
      <c r="K84" s="151"/>
      <c r="L84" s="151"/>
      <c r="N84">
        <f t="array" ref="N84">((SUM(IFERROR((TEXT(IF(ISNUMBER(SEARCH("-", F84:L84)), MID(F84:L84, SEARCH("-", F84:L84) + 1, 4), ""), "00\:00") - TEXT(IF(ISNUMBER(SEARCH("-", F84:L84)), MID(F84:L84, SEARCH("-", F84:L84) - 4, 4), ""), "00\:00") + IF(TEXT(IF(ISNUMBER(SEARCH("-", F84:L84)), MID(F84:L84, SEARCH("-", F84:L84) + 1, 4), ""), "00\:00") &lt; TEXT(IF(ISNUMBER(SEARCH("-", F84:L84)), MID(F84:L84, SEARCH("-", F84:L84) - 4, 4), ""), "00\:00"), 1, 0))*24,""))))/9.5</f>
        <v>0</v>
      </c>
      <c r="O84"/>
      <c r="P84"/>
      <c r="Q84" s="2">
        <f>P84+O84+N84</f>
        <v>0</v>
      </c>
      <c r="R84" s="2">
        <f>IF(ISNUMBER(SEARCH("trg_5",H176)),5,IF(ISNUMBER(SEARCH("trg_3.75",H176)),3.75,IF(ISNUMBER(SEARCH("trg_2.5",H176)),2.5,IF(ISNUMBER(SEARCH("trg_1.75",H176)),1.75,0))))</f>
        <v>5</v>
      </c>
      <c r="S84">
        <f t="shared" ca="1" si="23"/>
        <v>0</v>
      </c>
      <c r="T84" s="2" t="e">
        <f>(IFERROR(VLOOKUP(D84,'Employee Numbers'!$A$3:$C$84,3,FALSE),"NOT FOUND"))*8</f>
        <v>#VALUE!</v>
      </c>
    </row>
    <row r="85" spans="1:21" s="2" customFormat="1" ht="15" customHeight="1">
      <c r="A85" s="137" t="s">
        <v>128</v>
      </c>
      <c r="B85" s="138"/>
      <c r="C85" s="139"/>
      <c r="D85" s="140" t="s">
        <v>128</v>
      </c>
      <c r="E85" s="141" t="s">
        <v>4</v>
      </c>
      <c r="F85" s="281" t="s">
        <v>5</v>
      </c>
      <c r="G85" s="281" t="s">
        <v>6</v>
      </c>
      <c r="H85" s="281" t="s">
        <v>7</v>
      </c>
      <c r="I85" s="281" t="s">
        <v>8</v>
      </c>
      <c r="J85" s="281" t="s">
        <v>9</v>
      </c>
      <c r="K85" s="281" t="s">
        <v>10</v>
      </c>
      <c r="L85" s="282" t="s">
        <v>11</v>
      </c>
      <c r="M85" s="34"/>
      <c r="N85"/>
      <c r="O85"/>
      <c r="P85"/>
    </row>
    <row r="86" spans="1:21" s="2" customFormat="1" ht="15" customHeight="1">
      <c r="A86" s="44" t="s">
        <v>129</v>
      </c>
      <c r="B86" s="44"/>
      <c r="C86" s="45"/>
      <c r="D86" s="263" t="s">
        <v>130</v>
      </c>
      <c r="E86" s="284">
        <f>IFERROR(VLOOKUP(D86,'Employee Numbers'!$A$3:$B$84,2,FALSE),"NOT FOUND")</f>
        <v>703066</v>
      </c>
      <c r="F86" s="314" t="s">
        <v>178</v>
      </c>
      <c r="G86" s="315" t="s">
        <v>145</v>
      </c>
      <c r="H86" s="315" t="s">
        <v>145</v>
      </c>
      <c r="I86" s="315" t="s">
        <v>145</v>
      </c>
      <c r="J86" s="315" t="s">
        <v>145</v>
      </c>
      <c r="K86" s="300" t="s">
        <v>42</v>
      </c>
      <c r="L86" s="300" t="s">
        <v>42</v>
      </c>
      <c r="N86">
        <f t="array" ref="N86">((SUM(IFERROR((TEXT(IF(ISNUMBER(SEARCH("-", F86:L86)), MID(F86:L86, SEARCH("-", F86:L86) + 1, 4), ""), "00\:00") - TEXT(IF(ISNUMBER(SEARCH("-", F86:L86)), MID(F86:L86, SEARCH("-", F86:L86) - 4, 4), ""), "00\:00") + IF(TEXT(IF(ISNUMBER(SEARCH("-", F86:L86)), MID(F86:L86, SEARCH("-", F86:L86) + 1, 4), ""), "00\:00") &lt; TEXT(IF(ISNUMBER(SEARCH("-", F86:L86)), MID(F86:L86, SEARCH("-", F86:L86) - 4, 4), ""), "00\:00"), 1, 0))*24,""))))/9.5</f>
        <v>2</v>
      </c>
      <c r="O86"/>
      <c r="P86"/>
      <c r="Q86" s="2">
        <f>P86+O86+N86</f>
        <v>2</v>
      </c>
      <c r="S86">
        <f t="shared" ref="S86:S99" ca="1" si="24">IF($C$4=1,SUM(Q86+INDIRECT("'Week "&amp;($B$3+1)&amp;"'!Q"&amp;(ROW()))),IF($C$4=2,SUM(Q86+INDIRECT("'Week "&amp;($B$3-1)&amp;"'!Q"&amp;(ROW())))))</f>
        <v>2</v>
      </c>
      <c r="T86" s="2" t="e">
        <f>(IFERROR(VLOOKUP(D86,'Employee Numbers'!$A$3:$C$84,3,FALSE),"NOT FOUND"))*8</f>
        <v>#VALUE!</v>
      </c>
    </row>
    <row r="87" spans="1:21" s="2" customFormat="1" ht="15" customHeight="1">
      <c r="A87" s="2" t="s">
        <v>129</v>
      </c>
      <c r="C87" s="21"/>
      <c r="D87" s="263" t="s">
        <v>131</v>
      </c>
      <c r="E87" s="285">
        <f>IFERROR(VLOOKUP(D87,'Employee Numbers'!$A$3:$B$84,2,FALSE),"NOT FOUND")</f>
        <v>648637</v>
      </c>
      <c r="F87" s="301" t="s">
        <v>145</v>
      </c>
      <c r="G87" s="302" t="s">
        <v>145</v>
      </c>
      <c r="H87" s="302" t="s">
        <v>145</v>
      </c>
      <c r="I87" s="302" t="s">
        <v>44</v>
      </c>
      <c r="J87" s="302" t="s">
        <v>44</v>
      </c>
      <c r="K87" s="302" t="s">
        <v>44</v>
      </c>
      <c r="L87" s="302" t="s">
        <v>44</v>
      </c>
      <c r="N87">
        <f t="array" ref="N87">((SUM(IFERROR((TEXT(IF(ISNUMBER(SEARCH("-", F87:L87)), MID(F87:L87, SEARCH("-", F87:L87) + 1, 4), ""), "00\:00") - TEXT(IF(ISNUMBER(SEARCH("-", F87:L87)), MID(F87:L87, SEARCH("-", F87:L87) - 4, 4), ""), "00\:00") + IF(TEXT(IF(ISNUMBER(SEARCH("-", F87:L87)), MID(F87:L87, SEARCH("-", F87:L87) + 1, 4), ""), "00\:00") &lt; TEXT(IF(ISNUMBER(SEARCH("-", F87:L87)), MID(F87:L87, SEARCH("-", F87:L87) - 4, 4), ""), "00\:00"), 1, 0))*24,""))))/9.5</f>
        <v>4</v>
      </c>
      <c r="O87"/>
      <c r="P87"/>
      <c r="Q87" s="2">
        <f t="shared" ref="Q87:Q96" si="25">P87+O87+N87</f>
        <v>4</v>
      </c>
      <c r="S87">
        <f t="shared" ca="1" si="24"/>
        <v>8</v>
      </c>
      <c r="T87" s="2" t="e">
        <f>(IFERROR(VLOOKUP(D87,'Employee Numbers'!$A$3:$C$84,3,FALSE),"NOT FOUND"))*8</f>
        <v>#VALUE!</v>
      </c>
    </row>
    <row r="88" spans="1:21" s="13" customFormat="1" ht="15" customHeight="1">
      <c r="A88" s="44" t="s">
        <v>129</v>
      </c>
      <c r="B88" s="44"/>
      <c r="C88" s="45"/>
      <c r="D88" s="263" t="s">
        <v>132</v>
      </c>
      <c r="E88" s="285">
        <f>IFERROR(VLOOKUP(D88,'Employee Numbers'!$A$3:$B$84,2,FALSE),"NOT FOUND")</f>
        <v>703161</v>
      </c>
      <c r="F88" s="301" t="s">
        <v>42</v>
      </c>
      <c r="G88" s="302" t="s">
        <v>145</v>
      </c>
      <c r="H88" s="302" t="s">
        <v>145</v>
      </c>
      <c r="I88" s="302" t="s">
        <v>145</v>
      </c>
      <c r="J88" s="302" t="s">
        <v>100</v>
      </c>
      <c r="K88" s="302" t="s">
        <v>100</v>
      </c>
      <c r="L88" s="302" t="s">
        <v>100</v>
      </c>
      <c r="M88" s="2"/>
      <c r="N88">
        <f t="array" ref="N88">((SUM(IFERROR((TEXT(IF(ISNUMBER(SEARCH("-", F88:L88)), MID(F88:L88, SEARCH("-", F88:L88) + 1, 4), ""), "00\:00") - TEXT(IF(ISNUMBER(SEARCH("-", F88:L88)), MID(F88:L88, SEARCH("-", F88:L88) - 4, 4), ""), "00\:00") + IF(TEXT(IF(ISNUMBER(SEARCH("-", F88:L88)), MID(F88:L88, SEARCH("-", F88:L88) + 1, 4), ""), "00\:00") &lt; TEXT(IF(ISNUMBER(SEARCH("-", F88:L88)), MID(F88:L88, SEARCH("-", F88:L88) - 4, 4), ""), "00\:00"), 1, 0))*24,""))))/9.5</f>
        <v>4</v>
      </c>
      <c r="O88"/>
      <c r="P88"/>
      <c r="Q88" s="2">
        <f t="shared" si="25"/>
        <v>4</v>
      </c>
      <c r="R88" s="2"/>
      <c r="S88">
        <f t="shared" ca="1" si="24"/>
        <v>8</v>
      </c>
      <c r="T88" s="2" t="e">
        <f>(IFERROR(VLOOKUP(D88,'Employee Numbers'!$A$3:$C$84,3,FALSE),"NOT FOUND"))*8</f>
        <v>#VALUE!</v>
      </c>
      <c r="U88" s="2"/>
    </row>
    <row r="89" spans="1:21" s="2" customFormat="1" ht="15" customHeight="1">
      <c r="A89" s="2" t="s">
        <v>129</v>
      </c>
      <c r="C89" s="21"/>
      <c r="D89" s="263" t="s">
        <v>133</v>
      </c>
      <c r="E89" s="285">
        <f>IFERROR(VLOOKUP(D89,'Employee Numbers'!$A$3:$B$84,2,FALSE),"NOT FOUND")</f>
        <v>655179</v>
      </c>
      <c r="F89" s="304" t="s">
        <v>176</v>
      </c>
      <c r="G89" s="305" t="s">
        <v>145</v>
      </c>
      <c r="H89" s="305" t="s">
        <v>145</v>
      </c>
      <c r="I89" s="305" t="s">
        <v>145</v>
      </c>
      <c r="J89" s="305" t="s">
        <v>145</v>
      </c>
      <c r="K89" s="305" t="s">
        <v>145</v>
      </c>
      <c r="L89" s="305" t="s">
        <v>145</v>
      </c>
      <c r="N89">
        <f t="array" ref="N89">((SUM(IFERROR((TEXT(IF(ISNUMBER(SEARCH("-", F89:L89)), MID(F89:L89, SEARCH("-", F89:L89) + 1, 4), ""), "00\:00") - TEXT(IF(ISNUMBER(SEARCH("-", F89:L89)), MID(F89:L89, SEARCH("-", F89:L89) - 4, 4), ""), "00\:00") + IF(TEXT(IF(ISNUMBER(SEARCH("-", F89:L89)), MID(F89:L89, SEARCH("-", F89:L89) + 1, 4), ""), "00\:00") &lt; TEXT(IF(ISNUMBER(SEARCH("-", F89:L89)), MID(F89:L89, SEARCH("-", F89:L89) - 4, 4), ""), "00\:00"), 1, 0))*24,""))))/9.5</f>
        <v>0</v>
      </c>
      <c r="O89"/>
      <c r="P89"/>
      <c r="Q89" s="2">
        <f t="shared" si="25"/>
        <v>0</v>
      </c>
      <c r="S89">
        <f t="shared" ca="1" si="24"/>
        <v>4</v>
      </c>
      <c r="T89" s="2" t="e">
        <f>(IFERROR(VLOOKUP(D89,'Employee Numbers'!$A$3:$C$84,3,FALSE),"NOT FOUND"))*8</f>
        <v>#VALUE!</v>
      </c>
    </row>
    <row r="90" spans="1:21" s="2" customFormat="1" ht="15" customHeight="1">
      <c r="A90" s="44" t="s">
        <v>129</v>
      </c>
      <c r="B90" s="44"/>
      <c r="C90" s="45"/>
      <c r="D90" s="263" t="s">
        <v>134</v>
      </c>
      <c r="E90" s="285">
        <f>IFERROR(VLOOKUP(D90,'Employee Numbers'!$A$3:$B$84,2,FALSE),"NOT FOUND")</f>
        <v>700812</v>
      </c>
      <c r="F90" s="301" t="s">
        <v>145</v>
      </c>
      <c r="G90" s="302" t="s">
        <v>42</v>
      </c>
      <c r="H90" s="302" t="s">
        <v>42</v>
      </c>
      <c r="I90" s="302" t="s">
        <v>145</v>
      </c>
      <c r="J90" s="302" t="s">
        <v>145</v>
      </c>
      <c r="K90" s="302" t="s">
        <v>42</v>
      </c>
      <c r="L90" s="302" t="s">
        <v>42</v>
      </c>
      <c r="N90">
        <f t="array" ref="N90">((SUM(IFERROR((TEXT(IF(ISNUMBER(SEARCH("-", F90:L90)), MID(F90:L90, SEARCH("-", F90:L90) + 1, 4), ""), "00\:00") - TEXT(IF(ISNUMBER(SEARCH("-", F90:L90)), MID(F90:L90, SEARCH("-", F90:L90) - 4, 4), ""), "00\:00") + IF(TEXT(IF(ISNUMBER(SEARCH("-", F90:L90)), MID(F90:L90, SEARCH("-", F90:L90) + 1, 4), ""), "00\:00") &lt; TEXT(IF(ISNUMBER(SEARCH("-", F90:L90)), MID(F90:L90, SEARCH("-", F90:L90) - 4, 4), ""), "00\:00"), 1, 0))*24,""))))/9.5</f>
        <v>4</v>
      </c>
      <c r="O90"/>
      <c r="P90"/>
      <c r="Q90" s="2">
        <f t="shared" si="25"/>
        <v>4</v>
      </c>
      <c r="S90">
        <f t="shared" ca="1" si="24"/>
        <v>8</v>
      </c>
      <c r="T90" s="2" t="e">
        <f>(IFERROR(VLOOKUP(D90,'Employee Numbers'!$A$3:$C$84,3,FALSE),"NOT FOUND"))*8</f>
        <v>#VALUE!</v>
      </c>
    </row>
    <row r="91" spans="1:21" s="2" customFormat="1" ht="15" customHeight="1">
      <c r="A91" s="2" t="s">
        <v>129</v>
      </c>
      <c r="D91" s="263" t="s">
        <v>135</v>
      </c>
      <c r="E91" s="285">
        <f>IFERROR(VLOOKUP(D91,'Employee Numbers'!$A$3:$B$84,2,FALSE),"NOT FOUND")</f>
        <v>703157</v>
      </c>
      <c r="F91" s="301" t="s">
        <v>145</v>
      </c>
      <c r="G91" s="302" t="s">
        <v>145</v>
      </c>
      <c r="H91" s="302" t="s">
        <v>145</v>
      </c>
      <c r="I91" s="302" t="s">
        <v>42</v>
      </c>
      <c r="J91" s="302" t="s">
        <v>100</v>
      </c>
      <c r="K91" s="302" t="s">
        <v>100</v>
      </c>
      <c r="L91" s="302" t="s">
        <v>100</v>
      </c>
      <c r="N91">
        <f t="array" ref="N91">((SUM(IFERROR((TEXT(IF(ISNUMBER(SEARCH("-", F91:L91)), MID(F91:L91, SEARCH("-", F91:L91) + 1, 4), ""), "00\:00") - TEXT(IF(ISNUMBER(SEARCH("-", F91:L91)), MID(F91:L91, SEARCH("-", F91:L91) - 4, 4), ""), "00\:00") + IF(TEXT(IF(ISNUMBER(SEARCH("-", F91:L91)), MID(F91:L91, SEARCH("-", F91:L91) + 1, 4), ""), "00\:00") &lt; TEXT(IF(ISNUMBER(SEARCH("-", F91:L91)), MID(F91:L91, SEARCH("-", F91:L91) - 4, 4), ""), "00\:00"), 1, 0))*24,""))))/9.5</f>
        <v>4</v>
      </c>
      <c r="O91"/>
      <c r="P91"/>
      <c r="Q91" s="2">
        <f t="shared" si="25"/>
        <v>4</v>
      </c>
      <c r="S91">
        <f t="shared" ca="1" si="24"/>
        <v>8</v>
      </c>
      <c r="T91" s="2" t="e">
        <f>(IFERROR(VLOOKUP(D91,'Employee Numbers'!$A$3:$C$84,3,FALSE),"NOT FOUND"))*8</f>
        <v>#VALUE!</v>
      </c>
    </row>
    <row r="92" spans="1:21" s="2" customFormat="1" ht="15" customHeight="1">
      <c r="A92" s="44" t="s">
        <v>129</v>
      </c>
      <c r="B92" s="44"/>
      <c r="C92" s="44"/>
      <c r="D92" s="263" t="s">
        <v>136</v>
      </c>
      <c r="E92" s="285">
        <f>IFERROR(VLOOKUP(D92,'Employee Numbers'!$A$3:$B$84,2,FALSE),"NOT FOUND")</f>
        <v>655173</v>
      </c>
      <c r="F92" s="301" t="s">
        <v>44</v>
      </c>
      <c r="G92" s="302" t="s">
        <v>44</v>
      </c>
      <c r="H92" s="302" t="s">
        <v>44</v>
      </c>
      <c r="I92" s="302" t="s">
        <v>145</v>
      </c>
      <c r="J92" s="302" t="s">
        <v>42</v>
      </c>
      <c r="K92" s="302" t="s">
        <v>145</v>
      </c>
      <c r="L92" s="302" t="s">
        <v>145</v>
      </c>
      <c r="N92">
        <f t="array" ref="N92">((SUM(IFERROR((TEXT(IF(ISNUMBER(SEARCH("-", F92:L92)), MID(F92:L92, SEARCH("-", F92:L92) + 1, 4), ""), "00\:00") - TEXT(IF(ISNUMBER(SEARCH("-", F92:L92)), MID(F92:L92, SEARCH("-", F92:L92) - 4, 4), ""), "00\:00") + IF(TEXT(IF(ISNUMBER(SEARCH("-", F92:L92)), MID(F92:L92, SEARCH("-", F92:L92) + 1, 4), ""), "00\:00") &lt; TEXT(IF(ISNUMBER(SEARCH("-", F92:L92)), MID(F92:L92, SEARCH("-", F92:L92) - 4, 4), ""), "00\:00"), 1, 0))*24,""))))/9.5</f>
        <v>4</v>
      </c>
      <c r="O92"/>
      <c r="P92"/>
      <c r="Q92" s="2">
        <f t="shared" si="25"/>
        <v>4</v>
      </c>
      <c r="S92">
        <f t="shared" ca="1" si="24"/>
        <v>8</v>
      </c>
      <c r="T92" s="2" t="e">
        <f>(IFERROR(VLOOKUP(D92,'Employee Numbers'!$A$3:$C$84,3,FALSE),"NOT FOUND"))*8</f>
        <v>#VALUE!</v>
      </c>
    </row>
    <row r="93" spans="1:21" s="2" customFormat="1" ht="15" customHeight="1">
      <c r="A93" s="44" t="s">
        <v>129</v>
      </c>
      <c r="B93" s="44"/>
      <c r="C93" s="45"/>
      <c r="D93" s="263" t="s">
        <v>137</v>
      </c>
      <c r="E93" s="285">
        <f>IFERROR(VLOOKUP(D93,'Employee Numbers'!$A$3:$B$84,2,FALSE),"NOT FOUND")</f>
        <v>705273</v>
      </c>
      <c r="F93" s="301" t="s">
        <v>100</v>
      </c>
      <c r="G93" s="302" t="s">
        <v>145</v>
      </c>
      <c r="H93" s="302" t="s">
        <v>145</v>
      </c>
      <c r="I93" s="302" t="s">
        <v>145</v>
      </c>
      <c r="J93" s="302" t="s">
        <v>44</v>
      </c>
      <c r="K93" s="302" t="s">
        <v>44</v>
      </c>
      <c r="L93" s="302" t="s">
        <v>44</v>
      </c>
      <c r="N93">
        <f t="array" ref="N93">((SUM(IFERROR((TEXT(IF(ISNUMBER(SEARCH("-", F93:L93)), MID(F93:L93, SEARCH("-", F93:L93) + 1, 4), ""), "00\:00") - TEXT(IF(ISNUMBER(SEARCH("-", F93:L93)), MID(F93:L93, SEARCH("-", F93:L93) - 4, 4), ""), "00\:00") + IF(TEXT(IF(ISNUMBER(SEARCH("-", F93:L93)), MID(F93:L93, SEARCH("-", F93:L93) + 1, 4), ""), "00\:00") &lt; TEXT(IF(ISNUMBER(SEARCH("-", F93:L93)), MID(F93:L93, SEARCH("-", F93:L93) - 4, 4), ""), "00\:00"), 1, 0))*24,""))))/9.5</f>
        <v>4</v>
      </c>
      <c r="O93"/>
      <c r="P93"/>
      <c r="Q93" s="2">
        <f t="shared" si="25"/>
        <v>4</v>
      </c>
      <c r="S93">
        <f t="shared" ca="1" si="24"/>
        <v>8</v>
      </c>
      <c r="T93" s="2" t="e">
        <f>(IFERROR(VLOOKUP(D93,'Employee Numbers'!$A$3:$C$84,3,FALSE),"NOT FOUND"))*8</f>
        <v>#VALUE!</v>
      </c>
    </row>
    <row r="94" spans="1:21" s="2" customFormat="1" ht="15" customHeight="1">
      <c r="A94" s="2" t="s">
        <v>129</v>
      </c>
      <c r="C94" s="21"/>
      <c r="D94" s="263" t="s">
        <v>138</v>
      </c>
      <c r="E94" s="285">
        <f>IFERROR(VLOOKUP(D94,'Employee Numbers'!$A$3:$B$84,2,FALSE),"NOT FOUND")</f>
        <v>703418</v>
      </c>
      <c r="F94" s="301" t="s">
        <v>100</v>
      </c>
      <c r="G94" s="302" t="s">
        <v>100</v>
      </c>
      <c r="H94" s="302" t="s">
        <v>100</v>
      </c>
      <c r="I94" s="302" t="s">
        <v>100</v>
      </c>
      <c r="J94" s="302" t="s">
        <v>145</v>
      </c>
      <c r="K94" s="302" t="s">
        <v>145</v>
      </c>
      <c r="L94" s="302" t="s">
        <v>145</v>
      </c>
      <c r="N94">
        <f t="array" ref="N94">((SUM(IFERROR((TEXT(IF(ISNUMBER(SEARCH("-", F94:L94)), MID(F94:L94, SEARCH("-", F94:L94) + 1, 4), ""), "00\:00") - TEXT(IF(ISNUMBER(SEARCH("-", F94:L94)), MID(F94:L94, SEARCH("-", F94:L94) - 4, 4), ""), "00\:00") + IF(TEXT(IF(ISNUMBER(SEARCH("-", F94:L94)), MID(F94:L94, SEARCH("-", F94:L94) + 1, 4), ""), "00\:00") &lt; TEXT(IF(ISNUMBER(SEARCH("-", F94:L94)), MID(F94:L94, SEARCH("-", F94:L94) - 4, 4), ""), "00\:00"), 1, 0))*24,""))))/9.5</f>
        <v>3.9999999999999991</v>
      </c>
      <c r="O94"/>
      <c r="P94"/>
      <c r="Q94" s="2">
        <f t="shared" si="25"/>
        <v>3.9999999999999991</v>
      </c>
      <c r="S94">
        <f t="shared" ca="1" si="24"/>
        <v>7.9999999999999991</v>
      </c>
      <c r="T94" s="2" t="e">
        <f>(IFERROR(VLOOKUP(D94,'Employee Numbers'!$A$3:$C$84,3,FALSE),"NOT FOUND"))*8</f>
        <v>#VALUE!</v>
      </c>
    </row>
    <row r="95" spans="1:21" s="13" customFormat="1" ht="15" customHeight="1">
      <c r="A95" s="44" t="s">
        <v>129</v>
      </c>
      <c r="B95" s="44"/>
      <c r="C95" s="45"/>
      <c r="D95" s="263" t="s">
        <v>139</v>
      </c>
      <c r="E95" s="285">
        <f>IFERROR(VLOOKUP(D95,'Employee Numbers'!$A$3:$B$84,2,FALSE),"NOT FOUND")</f>
        <v>704108</v>
      </c>
      <c r="F95" s="316" t="s">
        <v>42</v>
      </c>
      <c r="G95" s="302" t="s">
        <v>100</v>
      </c>
      <c r="H95" s="302" t="s">
        <v>100</v>
      </c>
      <c r="I95" s="302" t="s">
        <v>100</v>
      </c>
      <c r="J95" s="302" t="s">
        <v>145</v>
      </c>
      <c r="K95" s="302" t="s">
        <v>145</v>
      </c>
      <c r="L95" s="302" t="s">
        <v>145</v>
      </c>
      <c r="M95" s="2"/>
      <c r="N95">
        <f t="array" ref="N95">((SUM(IFERROR((TEXT(IF(ISNUMBER(SEARCH("-", F95:L95)), MID(F95:L95, SEARCH("-", F95:L95) + 1, 4), ""), "00\:00") - TEXT(IF(ISNUMBER(SEARCH("-", F95:L95)), MID(F95:L95, SEARCH("-", F95:L95) - 4, 4), ""), "00\:00") + IF(TEXT(IF(ISNUMBER(SEARCH("-", F95:L95)), MID(F95:L95, SEARCH("-", F95:L95) + 1, 4), ""), "00\:00") &lt; TEXT(IF(ISNUMBER(SEARCH("-", F95:L95)), MID(F95:L95, SEARCH("-", F95:L95) - 4, 4), ""), "00\:00"), 1, 0))*24,""))))/9.5</f>
        <v>4</v>
      </c>
      <c r="O95"/>
      <c r="P95"/>
      <c r="Q95" s="2">
        <f t="shared" si="25"/>
        <v>4</v>
      </c>
      <c r="R95" s="2"/>
      <c r="S95">
        <f t="shared" ca="1" si="24"/>
        <v>4</v>
      </c>
      <c r="T95" s="2" t="e">
        <f>(IFERROR(VLOOKUP(D95,'Employee Numbers'!$A$3:$C$84,3,FALSE),"NOT FOUND"))*8</f>
        <v>#VALUE!</v>
      </c>
      <c r="U95" s="2"/>
    </row>
    <row r="96" spans="1:21" s="2" customFormat="1" ht="15" customHeight="1">
      <c r="A96" s="2" t="s">
        <v>129</v>
      </c>
      <c r="C96" s="21"/>
      <c r="D96" s="263" t="s">
        <v>140</v>
      </c>
      <c r="E96" s="39">
        <f>IFERROR(VLOOKUP(D96,'Employee Numbers'!$A$3:$B$84,2,FALSE),"NOT FOUND")</f>
        <v>651515</v>
      </c>
      <c r="F96" s="317" t="s">
        <v>145</v>
      </c>
      <c r="G96" s="318" t="s">
        <v>145</v>
      </c>
      <c r="H96" s="318" t="s">
        <v>145</v>
      </c>
      <c r="I96" s="318" t="s">
        <v>145</v>
      </c>
      <c r="J96" s="319" t="s">
        <v>145</v>
      </c>
      <c r="K96" s="319" t="s">
        <v>145</v>
      </c>
      <c r="L96" s="319" t="s">
        <v>145</v>
      </c>
      <c r="N96">
        <f t="array" ref="N96">((SUM(IFERROR((TEXT(IF(ISNUMBER(SEARCH("-", F96:L96)), MID(F96:L96, SEARCH("-", F96:L96) + 1, 4), ""), "00\:00") - TEXT(IF(ISNUMBER(SEARCH("-", F96:L96)), MID(F96:L96, SEARCH("-", F96:L96) - 4, 4), ""), "00\:00") + IF(TEXT(IF(ISNUMBER(SEARCH("-", F96:L96)), MID(F96:L96, SEARCH("-", F96:L96) + 1, 4), ""), "00\:00") &lt; TEXT(IF(ISNUMBER(SEARCH("-", F96:L96)), MID(F96:L96, SEARCH("-", F96:L96) - 4, 4), ""), "00\:00"), 1, 0))*24,""))))/9.5</f>
        <v>0</v>
      </c>
      <c r="O96"/>
      <c r="P96"/>
      <c r="Q96" s="2">
        <f t="shared" si="25"/>
        <v>0</v>
      </c>
      <c r="S96">
        <f t="shared" ca="1" si="24"/>
        <v>0</v>
      </c>
      <c r="T96" s="2" t="e">
        <f>(IFERROR(VLOOKUP(D96,'Employee Numbers'!$A$3:$C$84,3,FALSE),"NOT FOUND"))*8</f>
        <v>#VALUE!</v>
      </c>
    </row>
    <row r="97" spans="1:20" s="2" customFormat="1" ht="15" customHeight="1">
      <c r="A97" s="44" t="s">
        <v>129</v>
      </c>
      <c r="B97" s="44"/>
      <c r="C97" s="45"/>
      <c r="D97" s="263" t="s">
        <v>141</v>
      </c>
      <c r="E97" s="285">
        <f>IFERROR(VLOOKUP(D97,'Employee Numbers'!$A$3:$B$84,2,FALSE),"NOT FOUND")</f>
        <v>705199</v>
      </c>
      <c r="F97" s="299" t="s">
        <v>44</v>
      </c>
      <c r="G97" s="300" t="s">
        <v>44</v>
      </c>
      <c r="H97" s="300" t="s">
        <v>44</v>
      </c>
      <c r="I97" s="300" t="s">
        <v>42</v>
      </c>
      <c r="J97" s="319" t="s">
        <v>145</v>
      </c>
      <c r="K97" s="320" t="s">
        <v>145</v>
      </c>
      <c r="L97" s="321" t="s">
        <v>145</v>
      </c>
      <c r="N97">
        <f t="array" ref="N97">((SUM(IFERROR((TEXT(IF(ISNUMBER(SEARCH("-", F97:L97)), MID(F97:L97, SEARCH("-", F97:L97) + 1, 4), ""), "00\:00") - TEXT(IF(ISNUMBER(SEARCH("-", F97:L97)), MID(F97:L97, SEARCH("-", F97:L97) - 4, 4), ""), "00\:00") + IF(TEXT(IF(ISNUMBER(SEARCH("-", F97:L97)), MID(F97:L97, SEARCH("-", F97:L97) + 1, 4), ""), "00\:00") &lt; TEXT(IF(ISNUMBER(SEARCH("-", F97:L97)), MID(F97:L97, SEARCH("-", F97:L97) - 4, 4), ""), "00\:00"), 1, 0))*24,""))))/9.5</f>
        <v>4</v>
      </c>
      <c r="O97"/>
      <c r="P97"/>
      <c r="Q97" s="2">
        <f>P97+O97+N97</f>
        <v>4</v>
      </c>
      <c r="S97">
        <f t="shared" ca="1" si="24"/>
        <v>7.9999999999999991</v>
      </c>
      <c r="T97" s="2" t="e">
        <f>(IFERROR(VLOOKUP(D97,'Employee Numbers'!$A$3:$C$84,3,FALSE),"NOT FOUND"))*8</f>
        <v>#VALUE!</v>
      </c>
    </row>
    <row r="98" spans="1:20" s="2" customFormat="1" ht="15" customHeight="1">
      <c r="A98" s="2" t="s">
        <v>129</v>
      </c>
      <c r="D98" s="31"/>
      <c r="E98" s="39" t="str">
        <f>IFERROR(VLOOKUP(D98,'Employee Numbers'!$A$3:$B$84,2,FALSE),"NOT FOUND")</f>
        <v>NOT FOUND</v>
      </c>
      <c r="F98" s="130"/>
      <c r="G98" s="130"/>
      <c r="H98" s="130"/>
      <c r="I98" s="130"/>
      <c r="J98" s="37"/>
      <c r="K98" s="37"/>
      <c r="L98" s="37"/>
      <c r="N98">
        <f t="array" ref="N98">((SUM(IFERROR((TEXT(IF(ISNUMBER(SEARCH("-", F98:L98)), MID(F98:L98, SEARCH("-", F98:L98) + 1, 4), ""), "00\:00") - TEXT(IF(ISNUMBER(SEARCH("-", F98:L98)), MID(F98:L98, SEARCH("-", F98:L98) - 4, 4), ""), "00\:00") + IF(TEXT(IF(ISNUMBER(SEARCH("-", F98:L98)), MID(F98:L98, SEARCH("-", F98:L98) + 1, 4), ""), "00\:00") &lt; TEXT(IF(ISNUMBER(SEARCH("-", F98:L98)), MID(F98:L98, SEARCH("-", F98:L98) - 4, 4), ""), "00\:00"), 1, 0))*24,""))))/9.5</f>
        <v>0</v>
      </c>
      <c r="O98"/>
      <c r="P98"/>
      <c r="Q98" s="2">
        <f>P98+O98+N98</f>
        <v>0</v>
      </c>
      <c r="S98">
        <f t="shared" ca="1" si="24"/>
        <v>0</v>
      </c>
      <c r="T98" s="2" t="e">
        <f>(IFERROR(VLOOKUP(D98,'Employee Numbers'!$A$3:$C$84,3,FALSE),"NOT FOUND"))*8</f>
        <v>#VALUE!</v>
      </c>
    </row>
    <row r="99" spans="1:20" s="2" customFormat="1" ht="15" customHeight="1">
      <c r="A99" s="44" t="s">
        <v>129</v>
      </c>
      <c r="B99" s="44"/>
      <c r="C99" s="44"/>
      <c r="D99" s="30"/>
      <c r="E99" s="39" t="str">
        <f>IFERROR(VLOOKUP(D99,'Employee Numbers'!$A$3:$B$84,2,FALSE),"NOT FOUND")</f>
        <v>NOT FOUND</v>
      </c>
      <c r="F99" s="37"/>
      <c r="G99" s="37"/>
      <c r="H99" s="37"/>
      <c r="I99" s="37"/>
      <c r="J99" s="37"/>
      <c r="K99" s="37"/>
      <c r="L99" s="37"/>
      <c r="N99">
        <f t="array" ref="N99">((SUM(IFERROR((TEXT(IF(ISNUMBER(SEARCH("-", F99:L99)), MID(F99:L99, SEARCH("-", F99:L99) + 1, 4), ""), "00\:00") - TEXT(IF(ISNUMBER(SEARCH("-", F99:L99)), MID(F99:L99, SEARCH("-", F99:L99) - 4, 4), ""), "00\:00") + IF(TEXT(IF(ISNUMBER(SEARCH("-", F99:L99)), MID(F99:L99, SEARCH("-", F99:L99) + 1, 4), ""), "00\:00") &lt; TEXT(IF(ISNUMBER(SEARCH("-", F99:L99)), MID(F99:L99, SEARCH("-", F99:L99) - 4, 4), ""), "00\:00"), 1, 0))*24,""))))/9.5</f>
        <v>0</v>
      </c>
      <c r="O99"/>
      <c r="P99"/>
      <c r="Q99" s="2">
        <f>P99+O99+N99</f>
        <v>0</v>
      </c>
      <c r="S99">
        <f t="shared" ca="1" si="24"/>
        <v>0</v>
      </c>
      <c r="T99" s="2" t="e">
        <f>(IFERROR(VLOOKUP(D99,'Employee Numbers'!$A$3:$C$84,3,FALSE),"NOT FOUND"))*8</f>
        <v>#VALUE!</v>
      </c>
    </row>
    <row r="100" spans="1:20" s="2" customFormat="1" ht="15" customHeight="1">
      <c r="A100" s="56" t="s">
        <v>142</v>
      </c>
      <c r="B100" s="52"/>
      <c r="C100" s="53"/>
      <c r="D100" s="56" t="s">
        <v>142</v>
      </c>
      <c r="E100" s="41" t="s">
        <v>4</v>
      </c>
      <c r="F100" s="40" t="s">
        <v>5</v>
      </c>
      <c r="G100" s="40" t="s">
        <v>6</v>
      </c>
      <c r="H100" s="40" t="s">
        <v>7</v>
      </c>
      <c r="I100" s="40" t="s">
        <v>8</v>
      </c>
      <c r="J100" s="40" t="s">
        <v>9</v>
      </c>
      <c r="K100" s="40" t="s">
        <v>10</v>
      </c>
      <c r="L100" s="40" t="s">
        <v>11</v>
      </c>
      <c r="M100" s="5"/>
    </row>
    <row r="101" spans="1:20" s="2" customFormat="1" ht="15" customHeight="1">
      <c r="A101" s="2" t="s">
        <v>143</v>
      </c>
      <c r="B101" s="5"/>
      <c r="C101" s="8"/>
      <c r="D101" s="31" t="s">
        <v>144</v>
      </c>
      <c r="E101" s="39">
        <f>IFERROR(VLOOKUP(D101,'Employee Numbers'!$A$3:$B$84,2,FALSE),"NOT FOUND")</f>
        <v>641345</v>
      </c>
      <c r="F101" s="347" t="s">
        <v>145</v>
      </c>
      <c r="G101" s="347" t="s">
        <v>145</v>
      </c>
      <c r="H101" s="347"/>
      <c r="I101" s="345" t="s">
        <v>147</v>
      </c>
      <c r="J101" s="347" t="s">
        <v>145</v>
      </c>
      <c r="K101" s="347" t="s">
        <v>44</v>
      </c>
      <c r="L101" s="347" t="s">
        <v>44</v>
      </c>
      <c r="M101" s="5"/>
      <c r="N101">
        <f t="array" ref="N101">((SUM(IFERROR((TEXT(IF(ISNUMBER(SEARCH("-", F101:L101)), MID(F101:L101, SEARCH("-", F101:L101) + 1, 4), ""), "00\:00") - TEXT(IF(ISNUMBER(SEARCH("-", F101:L101)), MID(F101:L101, SEARCH("-", F101:L101) - 4, 4), ""), "00\:00") + IF(TEXT(IF(ISNUMBER(SEARCH("-", F101:L101)), MID(F101:L101, SEARCH("-", F101:L101) + 1, 4), ""), "00\:00") &lt; TEXT(IF(ISNUMBER(SEARCH("-", F101:L101)), MID(F101:L101, SEARCH("-", F101:L101) - 4, 4), ""), "00\:00"), 1, 0))*24,""))))/9.5</f>
        <v>3</v>
      </c>
      <c r="O101"/>
      <c r="P101"/>
      <c r="Q101" s="2">
        <f>P101+O101+N101</f>
        <v>3</v>
      </c>
      <c r="S101">
        <f t="shared" ref="S101:S102" ca="1" si="26">IF($C$4=1,SUM(Q101+INDIRECT("'Week "&amp;($B$3+1)&amp;"'!Q"&amp;(ROW()))),IF($C$4=2,SUM(Q101+INDIRECT("'Week "&amp;($B$3-1)&amp;"'!Q"&amp;(ROW())))))</f>
        <v>8</v>
      </c>
      <c r="T101" s="2">
        <f>(IFERROR(VLOOKUP(D101,'Employee Numbers'!$A$3:$C$84,3,FALSE),"NOT FOUND"))*8</f>
        <v>0</v>
      </c>
    </row>
    <row r="102" spans="1:20" s="2" customFormat="1" ht="15" customHeight="1">
      <c r="A102" s="44" t="s">
        <v>143</v>
      </c>
      <c r="B102" s="5"/>
      <c r="C102" s="8"/>
      <c r="D102" s="31" t="s">
        <v>146</v>
      </c>
      <c r="E102" s="39">
        <f>IFERROR(VLOOKUP(D102,'Employee Numbers'!$A$3:$B$84,2,FALSE),"NOT FOUND")</f>
        <v>703521</v>
      </c>
      <c r="F102" s="347" t="s">
        <v>44</v>
      </c>
      <c r="G102" s="347" t="s">
        <v>44</v>
      </c>
      <c r="H102" s="330" t="s">
        <v>44</v>
      </c>
      <c r="I102" s="347" t="s">
        <v>44</v>
      </c>
      <c r="J102" s="347" t="s">
        <v>44</v>
      </c>
      <c r="K102" s="347" t="s">
        <v>145</v>
      </c>
      <c r="L102" s="342"/>
      <c r="M102" s="5"/>
      <c r="N102">
        <f t="array" ref="N102">((SUM(IFERROR((TEXT(IF(ISNUMBER(SEARCH("-", F102:L102)), MID(F102:L102, SEARCH("-", F102:L102) + 1, 4), ""), "00\:00") - TEXT(IF(ISNUMBER(SEARCH("-", F102:L102)), MID(F102:L102, SEARCH("-", F102:L102) - 4, 4), ""), "00\:00") + IF(TEXT(IF(ISNUMBER(SEARCH("-", F102:L102)), MID(F102:L102, SEARCH("-", F102:L102) + 1, 4), ""), "00\:00") &lt; TEXT(IF(ISNUMBER(SEARCH("-", F102:L102)), MID(F102:L102, SEARCH("-", F102:L102) - 4, 4), ""), "00\:00"), 1, 0))*24,""))))/9.5</f>
        <v>5</v>
      </c>
      <c r="O102"/>
      <c r="P102"/>
      <c r="Q102" s="2">
        <f>P102+O102+N102</f>
        <v>5</v>
      </c>
      <c r="S102">
        <f t="shared" ca="1" si="26"/>
        <v>8</v>
      </c>
      <c r="T102" s="2">
        <f>(IFERROR(VLOOKUP(D102,'Employee Numbers'!$A$3:$C$84,3,FALSE),"NOT FOUND"))*8</f>
        <v>0</v>
      </c>
    </row>
    <row r="103" spans="1:20" s="2" customFormat="1" ht="15" customHeight="1">
      <c r="A103" s="54" t="s">
        <v>148</v>
      </c>
      <c r="B103" s="54"/>
      <c r="C103" s="54"/>
      <c r="D103" s="57" t="s">
        <v>148</v>
      </c>
      <c r="E103" s="107"/>
      <c r="F103" s="57"/>
      <c r="G103" s="57"/>
      <c r="H103" s="57"/>
      <c r="I103" s="57"/>
      <c r="J103" s="57"/>
      <c r="K103" s="57"/>
      <c r="L103" s="57"/>
      <c r="M103" s="5"/>
      <c r="N103"/>
      <c r="O103"/>
      <c r="Q103"/>
    </row>
    <row r="104" spans="1:20" ht="15" customHeight="1">
      <c r="B104" s="2"/>
      <c r="C104" s="21"/>
      <c r="D104" s="31"/>
      <c r="E104" s="154" t="s">
        <v>149</v>
      </c>
      <c r="F104" s="31"/>
      <c r="G104" s="31"/>
      <c r="H104" s="31"/>
      <c r="I104" s="31"/>
      <c r="J104" s="31"/>
      <c r="K104" s="31"/>
      <c r="L104" s="31"/>
      <c r="N104"/>
      <c r="O104"/>
      <c r="P104" s="2"/>
      <c r="Q104"/>
      <c r="R104" s="2"/>
    </row>
    <row r="105" spans="1:20" ht="15" customHeight="1" thickBot="1">
      <c r="L105" s="6"/>
      <c r="N105"/>
      <c r="O105"/>
      <c r="P105" s="2"/>
      <c r="Q105"/>
      <c r="R105" s="2"/>
    </row>
    <row r="106" spans="1:20" ht="15" customHeight="1">
      <c r="D106" s="77" t="s">
        <v>150</v>
      </c>
      <c r="F106" s="88" t="s">
        <v>151</v>
      </c>
      <c r="G106" s="89"/>
      <c r="H106" s="89"/>
      <c r="I106" s="89"/>
      <c r="J106" s="89"/>
      <c r="K106" s="89"/>
      <c r="L106" s="90"/>
      <c r="N106"/>
      <c r="O106"/>
      <c r="P106" s="2"/>
      <c r="Q106"/>
      <c r="R106" s="2"/>
    </row>
    <row r="107" spans="1:20" ht="15" customHeight="1">
      <c r="D107" s="78" t="s">
        <v>152</v>
      </c>
      <c r="F107" s="24" t="s">
        <v>153</v>
      </c>
      <c r="G107"/>
      <c r="L107" s="6"/>
      <c r="N107" s="2"/>
      <c r="O107" s="2"/>
      <c r="P107" s="2"/>
      <c r="Q107" s="2"/>
      <c r="R107" s="2"/>
    </row>
    <row r="108" spans="1:20" ht="15" customHeight="1">
      <c r="D108" s="79" t="s">
        <v>154</v>
      </c>
      <c r="F108" s="24" t="s">
        <v>155</v>
      </c>
      <c r="G108"/>
      <c r="L108" s="6"/>
      <c r="N108"/>
      <c r="O108"/>
      <c r="P108" s="2"/>
      <c r="Q108"/>
      <c r="R108" s="2"/>
    </row>
    <row r="109" spans="1:20" ht="15" customHeight="1">
      <c r="D109" s="80" t="s">
        <v>156</v>
      </c>
      <c r="F109" s="24" t="s">
        <v>157</v>
      </c>
      <c r="G109"/>
      <c r="L109" s="6"/>
      <c r="N109"/>
      <c r="O109"/>
      <c r="P109" s="2"/>
      <c r="Q109"/>
      <c r="R109" s="2"/>
    </row>
    <row r="110" spans="1:20" ht="15" customHeight="1">
      <c r="D110" s="81" t="s">
        <v>158</v>
      </c>
      <c r="F110" s="24" t="s">
        <v>159</v>
      </c>
      <c r="G110"/>
      <c r="L110" s="6"/>
      <c r="N110" s="2"/>
      <c r="O110" s="2"/>
      <c r="P110" s="2"/>
      <c r="Q110" s="2"/>
      <c r="R110" s="2"/>
    </row>
    <row r="111" spans="1:20" ht="15" customHeight="1" thickBot="1">
      <c r="A111" s="2"/>
      <c r="F111" s="25" t="s">
        <v>160</v>
      </c>
      <c r="G111" s="17"/>
      <c r="H111" s="7"/>
      <c r="I111" s="7"/>
      <c r="J111" s="7"/>
      <c r="K111" s="7"/>
      <c r="L111" s="18"/>
      <c r="N111" s="2"/>
      <c r="O111" s="2"/>
      <c r="P111" s="2"/>
      <c r="Q111" s="2"/>
      <c r="R111" s="2"/>
    </row>
    <row r="112" spans="1:20" ht="15" customHeight="1">
      <c r="G112" s="14"/>
    </row>
    <row r="113" spans="1:18" s="2" customFormat="1" ht="15" customHeight="1">
      <c r="A113" s="42" t="s">
        <v>38</v>
      </c>
      <c r="B113" s="33"/>
      <c r="C113" s="43"/>
      <c r="D113" s="82" t="s">
        <v>38</v>
      </c>
      <c r="E113" s="19"/>
      <c r="F113" s="10"/>
      <c r="G113" s="11"/>
      <c r="H113" s="11"/>
      <c r="I113" s="11"/>
      <c r="J113" s="11"/>
      <c r="K113" s="11"/>
      <c r="L113" s="15"/>
      <c r="M113" s="5"/>
      <c r="N113" s="5"/>
      <c r="O113" s="5"/>
      <c r="P113" s="5"/>
      <c r="Q113" s="5"/>
      <c r="R113" s="5"/>
    </row>
    <row r="114" spans="1:18" ht="15" customHeight="1" thickBot="1"/>
    <row r="115" spans="1:18" ht="15" customHeight="1" thickBot="1">
      <c r="A115" s="2" t="s">
        <v>161</v>
      </c>
      <c r="B115" s="55" t="s">
        <v>162</v>
      </c>
      <c r="C115" s="21"/>
      <c r="D115" s="27" t="str">
        <f t="shared" ref="D115:D143" si="27">D21</f>
        <v>Dr Adam West</v>
      </c>
      <c r="E115" s="22">
        <f>IFERROR(VLOOKUP(D115,'Employee Numbers'!$A$3:$B$84,2,FALSE),"NOT FOUND")</f>
        <v>287628</v>
      </c>
      <c r="F115" s="9" t="str">
        <f t="shared" ref="F115:L130" si="28">IF(F$50=$D115,"Con_8_0000","")</f>
        <v/>
      </c>
      <c r="G115" s="9" t="str">
        <f t="shared" si="28"/>
        <v/>
      </c>
      <c r="H115" s="9" t="str">
        <f t="shared" si="28"/>
        <v/>
      </c>
      <c r="I115" s="9" t="str">
        <f t="shared" si="28"/>
        <v/>
      </c>
      <c r="J115" s="9" t="str">
        <f t="shared" si="28"/>
        <v>Con_8_0000</v>
      </c>
      <c r="K115" s="9" t="str">
        <f t="shared" si="28"/>
        <v/>
      </c>
      <c r="L115" s="9" t="str">
        <f t="shared" si="28"/>
        <v/>
      </c>
    </row>
    <row r="116" spans="1:18" ht="15" customHeight="1" thickBot="1">
      <c r="A116" s="2" t="s">
        <v>161</v>
      </c>
      <c r="B116" s="55" t="s">
        <v>162</v>
      </c>
      <c r="C116" s="21"/>
      <c r="D116" s="27" t="str">
        <f t="shared" si="27"/>
        <v>Dr Toby VanHest</v>
      </c>
      <c r="E116" s="22">
        <f>IFERROR(VLOOKUP(D116,'Employee Numbers'!$A$3:$B$84,2,FALSE),"NOT FOUND")</f>
        <v>609660</v>
      </c>
      <c r="F116" s="9" t="str">
        <f t="shared" si="28"/>
        <v/>
      </c>
      <c r="G116" s="9" t="str">
        <f t="shared" si="28"/>
        <v/>
      </c>
      <c r="H116" s="9" t="str">
        <f t="shared" si="28"/>
        <v/>
      </c>
      <c r="I116" s="9" t="str">
        <f t="shared" si="28"/>
        <v/>
      </c>
      <c r="J116" s="9" t="str">
        <f t="shared" si="28"/>
        <v/>
      </c>
      <c r="K116" s="9" t="str">
        <f t="shared" si="28"/>
        <v/>
      </c>
      <c r="L116" s="9" t="str">
        <f t="shared" si="28"/>
        <v/>
      </c>
    </row>
    <row r="117" spans="1:18" ht="15" customHeight="1" thickBot="1">
      <c r="A117" s="2" t="s">
        <v>161</v>
      </c>
      <c r="B117" s="55" t="s">
        <v>162</v>
      </c>
      <c r="C117" s="21"/>
      <c r="D117" s="27" t="str">
        <f t="shared" si="27"/>
        <v>Dr Bob Seith</v>
      </c>
      <c r="E117" s="22">
        <f>IFERROR(VLOOKUP(D117,'Employee Numbers'!$A$3:$B$84,2,FALSE),"NOT FOUND")</f>
        <v>610036</v>
      </c>
      <c r="F117" s="9" t="str">
        <f t="shared" si="28"/>
        <v/>
      </c>
      <c r="G117" s="9" t="str">
        <f t="shared" si="28"/>
        <v>Con_8_0000</v>
      </c>
      <c r="H117" s="9" t="str">
        <f t="shared" si="28"/>
        <v/>
      </c>
      <c r="I117" s="9" t="str">
        <f t="shared" si="28"/>
        <v/>
      </c>
      <c r="J117" s="9" t="str">
        <f t="shared" si="28"/>
        <v/>
      </c>
      <c r="K117" s="9" t="str">
        <f t="shared" si="28"/>
        <v/>
      </c>
      <c r="L117" s="9" t="str">
        <f t="shared" si="28"/>
        <v/>
      </c>
    </row>
    <row r="118" spans="1:18" ht="15" customHeight="1" thickBot="1">
      <c r="A118" s="2" t="s">
        <v>161</v>
      </c>
      <c r="B118" s="55" t="s">
        <v>162</v>
      </c>
      <c r="C118" s="21"/>
      <c r="D118" s="27" t="str">
        <f t="shared" si="27"/>
        <v>Dr Simon Craig</v>
      </c>
      <c r="E118" s="22">
        <f>IFERROR(VLOOKUP(D118,'Employee Numbers'!$A$3:$B$84,2,FALSE),"NOT FOUND")</f>
        <v>533509</v>
      </c>
      <c r="F118" s="9" t="str">
        <f t="shared" si="28"/>
        <v/>
      </c>
      <c r="G118" s="9" t="str">
        <f t="shared" si="28"/>
        <v/>
      </c>
      <c r="H118" s="9" t="str">
        <f t="shared" si="28"/>
        <v/>
      </c>
      <c r="I118" s="9" t="str">
        <f t="shared" si="28"/>
        <v/>
      </c>
      <c r="J118" s="9" t="str">
        <f t="shared" si="28"/>
        <v/>
      </c>
      <c r="K118" s="9" t="str">
        <f t="shared" si="28"/>
        <v/>
      </c>
      <c r="L118" s="9" t="str">
        <f t="shared" si="28"/>
        <v/>
      </c>
    </row>
    <row r="119" spans="1:18" ht="15" customHeight="1" thickBot="1">
      <c r="A119" s="2" t="s">
        <v>161</v>
      </c>
      <c r="B119" s="55" t="s">
        <v>162</v>
      </c>
      <c r="C119" s="21"/>
      <c r="D119" s="27" t="str">
        <f t="shared" si="27"/>
        <v>Dr Celia Bagshaw</v>
      </c>
      <c r="E119" s="22">
        <f>IFERROR(VLOOKUP(D119,'Employee Numbers'!$A$3:$B$84,2,FALSE),"NOT FOUND")</f>
        <v>625985</v>
      </c>
      <c r="F119" s="9" t="str">
        <f t="shared" si="28"/>
        <v/>
      </c>
      <c r="G119" s="9" t="str">
        <f t="shared" si="28"/>
        <v/>
      </c>
      <c r="H119" s="9" t="str">
        <f t="shared" si="28"/>
        <v/>
      </c>
      <c r="I119" s="9" t="str">
        <f t="shared" si="28"/>
        <v/>
      </c>
      <c r="J119" s="9" t="str">
        <f t="shared" si="28"/>
        <v/>
      </c>
      <c r="K119" s="9" t="str">
        <f t="shared" si="28"/>
        <v/>
      </c>
      <c r="L119" s="9" t="str">
        <f t="shared" si="28"/>
        <v>Con_8_0000</v>
      </c>
    </row>
    <row r="120" spans="1:18" ht="15" customHeight="1" thickBot="1">
      <c r="A120" s="2" t="s">
        <v>161</v>
      </c>
      <c r="B120" s="55" t="s">
        <v>162</v>
      </c>
      <c r="C120" s="21"/>
      <c r="D120" s="27" t="str">
        <f t="shared" si="27"/>
        <v>Dr Adnan Bilgrami</v>
      </c>
      <c r="E120" s="22">
        <f>IFERROR(VLOOKUP(D120,'Employee Numbers'!$A$3:$B$84,2,FALSE),"NOT FOUND")</f>
        <v>632301</v>
      </c>
      <c r="F120" s="9" t="str">
        <f t="shared" si="28"/>
        <v/>
      </c>
      <c r="G120" s="9" t="str">
        <f t="shared" si="28"/>
        <v/>
      </c>
      <c r="H120" s="9" t="str">
        <f t="shared" si="28"/>
        <v/>
      </c>
      <c r="I120" s="9" t="str">
        <f t="shared" si="28"/>
        <v/>
      </c>
      <c r="J120" s="9" t="str">
        <f t="shared" si="28"/>
        <v/>
      </c>
      <c r="K120" s="9" t="str">
        <f t="shared" si="28"/>
        <v/>
      </c>
      <c r="L120" s="9" t="str">
        <f t="shared" si="28"/>
        <v/>
      </c>
    </row>
    <row r="121" spans="1:18" ht="15" customHeight="1" thickBot="1">
      <c r="A121" s="2" t="s">
        <v>161</v>
      </c>
      <c r="B121" s="55" t="s">
        <v>162</v>
      </c>
      <c r="C121" s="21"/>
      <c r="D121" s="27" t="str">
        <f t="shared" si="27"/>
        <v>Dr Preeti Ramaswamy</v>
      </c>
      <c r="E121" s="22">
        <f>IFERROR(VLOOKUP(D121,'Employee Numbers'!$A$3:$B$84,2,FALSE),"NOT FOUND")</f>
        <v>613891</v>
      </c>
      <c r="F121" s="9" t="str">
        <f t="shared" si="28"/>
        <v/>
      </c>
      <c r="G121" s="9" t="str">
        <f t="shared" si="28"/>
        <v/>
      </c>
      <c r="H121" s="9" t="str">
        <f t="shared" si="28"/>
        <v/>
      </c>
      <c r="I121" s="9" t="str">
        <f t="shared" si="28"/>
        <v/>
      </c>
      <c r="J121" s="9" t="str">
        <f t="shared" si="28"/>
        <v/>
      </c>
      <c r="K121" s="9" t="str">
        <f t="shared" si="28"/>
        <v/>
      </c>
      <c r="L121" s="9" t="str">
        <f t="shared" si="28"/>
        <v/>
      </c>
      <c r="N121" s="2"/>
      <c r="O121" s="2"/>
      <c r="P121" s="2"/>
      <c r="Q121" s="2"/>
      <c r="R121" s="2"/>
    </row>
    <row r="122" spans="1:18" ht="15" customHeight="1" thickBot="1">
      <c r="A122" s="2" t="s">
        <v>161</v>
      </c>
      <c r="B122" s="55" t="s">
        <v>162</v>
      </c>
      <c r="C122" s="21"/>
      <c r="D122" s="27" t="str">
        <f t="shared" si="27"/>
        <v>Dr Erin Mills</v>
      </c>
      <c r="E122" s="22">
        <f>IFERROR(VLOOKUP(D122,'Employee Numbers'!$A$3:$B$84,2,FALSE),"NOT FOUND")</f>
        <v>623657</v>
      </c>
      <c r="F122" s="9" t="str">
        <f t="shared" si="28"/>
        <v/>
      </c>
      <c r="G122" s="9" t="str">
        <f t="shared" si="28"/>
        <v/>
      </c>
      <c r="H122" s="9" t="str">
        <f t="shared" si="28"/>
        <v/>
      </c>
      <c r="I122" s="9" t="str">
        <f t="shared" si="28"/>
        <v/>
      </c>
      <c r="J122" s="9" t="str">
        <f t="shared" si="28"/>
        <v/>
      </c>
      <c r="K122" s="9" t="str">
        <f t="shared" si="28"/>
        <v/>
      </c>
      <c r="L122" s="9" t="str">
        <f t="shared" si="28"/>
        <v/>
      </c>
    </row>
    <row r="123" spans="1:18" ht="15" customHeight="1" thickBot="1">
      <c r="A123" s="2" t="s">
        <v>161</v>
      </c>
      <c r="B123" s="55" t="s">
        <v>162</v>
      </c>
      <c r="C123" s="21"/>
      <c r="D123" s="27" t="str">
        <f t="shared" si="27"/>
        <v>Dr Stella Robinson</v>
      </c>
      <c r="E123" s="22">
        <f>IFERROR(VLOOKUP(D123,'Employee Numbers'!$A$3:$B$84,2,FALSE),"NOT FOUND")</f>
        <v>623708</v>
      </c>
      <c r="F123" s="9" t="str">
        <f t="shared" si="28"/>
        <v/>
      </c>
      <c r="G123" s="9" t="str">
        <f t="shared" si="28"/>
        <v/>
      </c>
      <c r="H123" s="9" t="str">
        <f t="shared" si="28"/>
        <v/>
      </c>
      <c r="I123" s="9" t="str">
        <f t="shared" si="28"/>
        <v/>
      </c>
      <c r="J123" s="9" t="str">
        <f t="shared" si="28"/>
        <v/>
      </c>
      <c r="K123" s="9" t="str">
        <f t="shared" si="28"/>
        <v/>
      </c>
      <c r="L123" s="9" t="str">
        <f t="shared" si="28"/>
        <v/>
      </c>
    </row>
    <row r="124" spans="1:18" ht="15" customHeight="1" thickBot="1">
      <c r="A124" s="2" t="s">
        <v>161</v>
      </c>
      <c r="B124" s="55" t="s">
        <v>162</v>
      </c>
      <c r="C124" s="21"/>
      <c r="D124" s="27" t="str">
        <f t="shared" si="27"/>
        <v>Dr Bev Thompson</v>
      </c>
      <c r="E124" s="22">
        <f>IFERROR(VLOOKUP(D124,'Employee Numbers'!$A$3:$B$84,2,FALSE),"NOT FOUND")</f>
        <v>627680</v>
      </c>
      <c r="F124" s="9" t="str">
        <f t="shared" si="28"/>
        <v/>
      </c>
      <c r="G124" s="9" t="str">
        <f t="shared" si="28"/>
        <v/>
      </c>
      <c r="H124" s="9" t="str">
        <f t="shared" si="28"/>
        <v/>
      </c>
      <c r="I124" s="9" t="str">
        <f t="shared" si="28"/>
        <v/>
      </c>
      <c r="J124" s="9" t="str">
        <f t="shared" si="28"/>
        <v/>
      </c>
      <c r="K124" s="9" t="str">
        <f t="shared" si="28"/>
        <v/>
      </c>
      <c r="L124" s="9" t="str">
        <f t="shared" si="28"/>
        <v/>
      </c>
    </row>
    <row r="125" spans="1:18" ht="15" customHeight="1" thickBot="1">
      <c r="A125" s="2" t="s">
        <v>161</v>
      </c>
      <c r="B125" s="55" t="s">
        <v>162</v>
      </c>
      <c r="C125" s="21"/>
      <c r="D125" s="27" t="str">
        <f t="shared" si="27"/>
        <v>Dr John Unwin</v>
      </c>
      <c r="E125" s="22">
        <f>IFERROR(VLOOKUP(D125,'Employee Numbers'!$A$3:$B$84,2,FALSE),"NOT FOUND")</f>
        <v>633210</v>
      </c>
      <c r="F125" s="9" t="str">
        <f t="shared" si="28"/>
        <v/>
      </c>
      <c r="G125" s="9" t="str">
        <f t="shared" si="28"/>
        <v/>
      </c>
      <c r="H125" s="9" t="str">
        <f t="shared" si="28"/>
        <v/>
      </c>
      <c r="I125" s="9" t="str">
        <f t="shared" si="28"/>
        <v/>
      </c>
      <c r="J125" s="9" t="str">
        <f t="shared" si="28"/>
        <v/>
      </c>
      <c r="K125" s="9" t="str">
        <f t="shared" si="28"/>
        <v/>
      </c>
      <c r="L125" s="9" t="str">
        <f t="shared" si="28"/>
        <v/>
      </c>
    </row>
    <row r="126" spans="1:18" ht="15" customHeight="1" thickBot="1">
      <c r="A126" s="2" t="s">
        <v>161</v>
      </c>
      <c r="B126" s="55" t="s">
        <v>162</v>
      </c>
      <c r="C126" s="21"/>
      <c r="D126" s="27" t="str">
        <f t="shared" si="27"/>
        <v>Dr Siri Samudrala</v>
      </c>
      <c r="E126" s="22">
        <f>IFERROR(VLOOKUP(D126,'Employee Numbers'!$A$3:$B$84,2,FALSE),"NOT FOUND")</f>
        <v>618952</v>
      </c>
      <c r="F126" s="9" t="str">
        <f t="shared" si="28"/>
        <v/>
      </c>
      <c r="G126" s="9" t="str">
        <f t="shared" si="28"/>
        <v/>
      </c>
      <c r="H126" s="9" t="str">
        <f t="shared" si="28"/>
        <v/>
      </c>
      <c r="I126" s="9" t="str">
        <f t="shared" si="28"/>
        <v/>
      </c>
      <c r="J126" s="9" t="str">
        <f t="shared" si="28"/>
        <v/>
      </c>
      <c r="K126" s="9" t="str">
        <f t="shared" si="28"/>
        <v/>
      </c>
      <c r="L126" s="9" t="str">
        <f t="shared" si="28"/>
        <v/>
      </c>
    </row>
    <row r="127" spans="1:18" ht="15" customHeight="1" thickBot="1">
      <c r="A127" s="2" t="s">
        <v>161</v>
      </c>
      <c r="B127" s="55" t="s">
        <v>162</v>
      </c>
      <c r="C127" s="21"/>
      <c r="D127" s="27" t="str">
        <f t="shared" si="27"/>
        <v>Dr Tessa Smith</v>
      </c>
      <c r="E127" s="22">
        <f>IFERROR(VLOOKUP(D127,'Employee Numbers'!$A$3:$B$84,2,FALSE),"NOT FOUND")</f>
        <v>649039</v>
      </c>
      <c r="F127" s="9" t="str">
        <f t="shared" si="28"/>
        <v>Con_8_0000</v>
      </c>
      <c r="G127" s="9" t="str">
        <f t="shared" si="28"/>
        <v/>
      </c>
      <c r="H127" s="9" t="str">
        <f t="shared" si="28"/>
        <v/>
      </c>
      <c r="I127" s="9" t="str">
        <f t="shared" si="28"/>
        <v/>
      </c>
      <c r="J127" s="9" t="str">
        <f t="shared" si="28"/>
        <v/>
      </c>
      <c r="K127" s="9" t="str">
        <f t="shared" si="28"/>
        <v/>
      </c>
      <c r="L127" s="9" t="str">
        <f t="shared" si="28"/>
        <v/>
      </c>
    </row>
    <row r="128" spans="1:18" ht="15" customHeight="1" thickBot="1">
      <c r="A128" s="2" t="s">
        <v>161</v>
      </c>
      <c r="B128" s="55" t="s">
        <v>162</v>
      </c>
      <c r="C128" s="21"/>
      <c r="D128" s="27" t="str">
        <f t="shared" si="27"/>
        <v>Dr Brad Dent</v>
      </c>
      <c r="E128" s="22">
        <f>IFERROR(VLOOKUP(D128,'Employee Numbers'!$A$3:$B$84,2,FALSE),"NOT FOUND")</f>
        <v>649671</v>
      </c>
      <c r="F128" s="9" t="str">
        <f t="shared" si="28"/>
        <v/>
      </c>
      <c r="G128" s="9" t="str">
        <f t="shared" si="28"/>
        <v/>
      </c>
      <c r="H128" s="9" t="str">
        <f t="shared" si="28"/>
        <v/>
      </c>
      <c r="I128" s="9" t="str">
        <f t="shared" si="28"/>
        <v/>
      </c>
      <c r="J128" s="9" t="str">
        <f t="shared" si="28"/>
        <v/>
      </c>
      <c r="K128" s="9" t="str">
        <f t="shared" si="28"/>
        <v/>
      </c>
      <c r="L128" s="9" t="str">
        <f t="shared" si="28"/>
        <v/>
      </c>
    </row>
    <row r="129" spans="1:18" ht="15" customHeight="1" thickBot="1">
      <c r="A129" s="2" t="s">
        <v>161</v>
      </c>
      <c r="B129" s="55" t="s">
        <v>162</v>
      </c>
      <c r="C129" s="21"/>
      <c r="D129" s="27" t="str">
        <f t="shared" si="27"/>
        <v>Dr Marjolein Slaa</v>
      </c>
      <c r="E129" s="22">
        <f>IFERROR(VLOOKUP(D129,'Employee Numbers'!$A$3:$B$84,2,FALSE),"NOT FOUND")</f>
        <v>646047</v>
      </c>
      <c r="F129" s="9" t="str">
        <f t="shared" si="28"/>
        <v/>
      </c>
      <c r="G129" s="9" t="str">
        <f t="shared" si="28"/>
        <v/>
      </c>
      <c r="H129" s="9" t="str">
        <f t="shared" si="28"/>
        <v/>
      </c>
      <c r="I129" s="9" t="str">
        <f t="shared" si="28"/>
        <v/>
      </c>
      <c r="J129" s="9" t="str">
        <f t="shared" si="28"/>
        <v/>
      </c>
      <c r="K129" s="9" t="str">
        <f t="shared" si="28"/>
        <v/>
      </c>
      <c r="L129" s="9" t="str">
        <f t="shared" si="28"/>
        <v/>
      </c>
    </row>
    <row r="130" spans="1:18" ht="15" customHeight="1" thickBot="1">
      <c r="A130" s="2" t="s">
        <v>161</v>
      </c>
      <c r="B130" s="55" t="s">
        <v>162</v>
      </c>
      <c r="C130" s="21"/>
      <c r="D130" s="27" t="str">
        <f t="shared" si="27"/>
        <v>Dr Natalie Hood</v>
      </c>
      <c r="E130" s="22">
        <f>IFERROR(VLOOKUP(D130,'Employee Numbers'!$A$3:$B$84,2,FALSE),"NOT FOUND")</f>
        <v>164003</v>
      </c>
      <c r="F130" s="9" t="str">
        <f t="shared" si="28"/>
        <v/>
      </c>
      <c r="G130" s="9" t="str">
        <f t="shared" si="28"/>
        <v/>
      </c>
      <c r="H130" s="9" t="str">
        <f t="shared" si="28"/>
        <v>Con_8_0000</v>
      </c>
      <c r="I130" s="9" t="str">
        <f t="shared" si="28"/>
        <v/>
      </c>
      <c r="J130" s="9" t="str">
        <f t="shared" si="28"/>
        <v/>
      </c>
      <c r="K130" s="9" t="str">
        <f t="shared" si="28"/>
        <v/>
      </c>
      <c r="L130" s="9" t="str">
        <f t="shared" si="28"/>
        <v/>
      </c>
    </row>
    <row r="131" spans="1:18" ht="15" customHeight="1" thickBot="1">
      <c r="A131" s="2" t="s">
        <v>161</v>
      </c>
      <c r="B131" s="55" t="s">
        <v>162</v>
      </c>
      <c r="C131" s="21"/>
      <c r="D131" s="27" t="str">
        <f t="shared" si="27"/>
        <v>Dr Michael Coman</v>
      </c>
      <c r="E131" s="22">
        <f>IFERROR(VLOOKUP(D131,'Employee Numbers'!$A$3:$B$84,2,FALSE),"NOT FOUND")</f>
        <v>609408</v>
      </c>
      <c r="F131" s="9" t="str">
        <f t="shared" ref="F131:L143" si="29">IF(F$50=$D131,"Con_8_0000","")</f>
        <v/>
      </c>
      <c r="G131" s="9" t="str">
        <f t="shared" si="29"/>
        <v/>
      </c>
      <c r="H131" s="9" t="str">
        <f t="shared" si="29"/>
        <v/>
      </c>
      <c r="I131" s="9" t="str">
        <f t="shared" si="29"/>
        <v/>
      </c>
      <c r="J131" s="9" t="str">
        <f t="shared" si="29"/>
        <v/>
      </c>
      <c r="K131" s="9" t="str">
        <f t="shared" si="29"/>
        <v/>
      </c>
      <c r="L131" s="9" t="str">
        <f t="shared" si="29"/>
        <v/>
      </c>
    </row>
    <row r="132" spans="1:18" ht="15" customHeight="1" thickBot="1">
      <c r="A132" s="2" t="s">
        <v>161</v>
      </c>
      <c r="B132" s="55" t="s">
        <v>162</v>
      </c>
      <c r="C132" s="21"/>
      <c r="D132" s="27" t="str">
        <f t="shared" si="27"/>
        <v>Dr Andrew Hardy</v>
      </c>
      <c r="E132" s="22">
        <f>IFERROR(VLOOKUP(D132,'Employee Numbers'!$A$3:$B$84,2,FALSE),"NOT FOUND")</f>
        <v>627619</v>
      </c>
      <c r="F132" s="9" t="str">
        <f t="shared" si="29"/>
        <v/>
      </c>
      <c r="G132" s="9" t="str">
        <f t="shared" si="29"/>
        <v/>
      </c>
      <c r="H132" s="9" t="str">
        <f t="shared" si="29"/>
        <v/>
      </c>
      <c r="I132" s="9" t="str">
        <f t="shared" si="29"/>
        <v/>
      </c>
      <c r="J132" s="9" t="str">
        <f t="shared" si="29"/>
        <v/>
      </c>
      <c r="K132" s="9" t="str">
        <f t="shared" si="29"/>
        <v>Con_8_0000</v>
      </c>
      <c r="L132" s="9" t="str">
        <f t="shared" si="29"/>
        <v/>
      </c>
    </row>
    <row r="133" spans="1:18" ht="15" customHeight="1" thickBot="1">
      <c r="A133" s="2" t="s">
        <v>161</v>
      </c>
      <c r="B133" s="55" t="s">
        <v>162</v>
      </c>
      <c r="C133" s="21"/>
      <c r="D133" s="27" t="str">
        <f t="shared" si="27"/>
        <v>Dr Gargi Kanabar</v>
      </c>
      <c r="E133" s="22">
        <f>IFERROR(VLOOKUP(D133,'Employee Numbers'!$A$3:$B$84,2,FALSE),"NOT FOUND")</f>
        <v>632646</v>
      </c>
      <c r="F133" s="9" t="str">
        <f t="shared" si="29"/>
        <v/>
      </c>
      <c r="G133" s="9" t="str">
        <f t="shared" si="29"/>
        <v/>
      </c>
      <c r="H133" s="9" t="str">
        <f t="shared" si="29"/>
        <v/>
      </c>
      <c r="I133" s="9" t="str">
        <f t="shared" si="29"/>
        <v/>
      </c>
      <c r="J133" s="9" t="str">
        <f t="shared" si="29"/>
        <v/>
      </c>
      <c r="K133" s="9" t="str">
        <f t="shared" si="29"/>
        <v/>
      </c>
      <c r="L133" s="9" t="str">
        <f t="shared" si="29"/>
        <v/>
      </c>
    </row>
    <row r="134" spans="1:18" ht="15" customHeight="1" thickBot="1">
      <c r="A134" s="2" t="s">
        <v>161</v>
      </c>
      <c r="B134" s="55" t="s">
        <v>162</v>
      </c>
      <c r="C134" s="21"/>
      <c r="D134" s="27" t="str">
        <f t="shared" si="27"/>
        <v>Dr Mandy Parr</v>
      </c>
      <c r="E134" s="22">
        <f>IFERROR(VLOOKUP(D134,'Employee Numbers'!$A$3:$B$84,2,FALSE),"NOT FOUND")</f>
        <v>652844</v>
      </c>
      <c r="F134" s="9" t="str">
        <f t="shared" si="29"/>
        <v/>
      </c>
      <c r="G134" s="9" t="str">
        <f t="shared" si="29"/>
        <v/>
      </c>
      <c r="H134" s="9" t="str">
        <f t="shared" si="29"/>
        <v/>
      </c>
      <c r="I134" s="9" t="str">
        <f t="shared" si="29"/>
        <v>Con_8_0000</v>
      </c>
      <c r="J134" s="9" t="str">
        <f t="shared" si="29"/>
        <v/>
      </c>
      <c r="K134" s="9" t="str">
        <f t="shared" si="29"/>
        <v/>
      </c>
      <c r="L134" s="9" t="str">
        <f t="shared" si="29"/>
        <v/>
      </c>
    </row>
    <row r="135" spans="1:18" ht="15" customHeight="1" thickBot="1">
      <c r="A135" s="2" t="s">
        <v>161</v>
      </c>
      <c r="B135" s="55" t="s">
        <v>162</v>
      </c>
      <c r="C135" s="21"/>
      <c r="D135" s="27" t="str">
        <f t="shared" si="27"/>
        <v>Dr Tecwyn Davies</v>
      </c>
      <c r="E135" s="22">
        <f>IFERROR(VLOOKUP(D135,'Employee Numbers'!$A$3:$B$84,2,FALSE),"NOT FOUND")</f>
        <v>634491</v>
      </c>
      <c r="F135" s="9" t="str">
        <f t="shared" si="29"/>
        <v/>
      </c>
      <c r="G135" s="9" t="str">
        <f t="shared" si="29"/>
        <v/>
      </c>
      <c r="H135" s="9" t="str">
        <f t="shared" si="29"/>
        <v/>
      </c>
      <c r="I135" s="9" t="str">
        <f t="shared" si="29"/>
        <v/>
      </c>
      <c r="J135" s="9" t="str">
        <f t="shared" si="29"/>
        <v/>
      </c>
      <c r="K135" s="9" t="str">
        <f t="shared" si="29"/>
        <v/>
      </c>
      <c r="L135" s="9" t="str">
        <f t="shared" si="29"/>
        <v/>
      </c>
    </row>
    <row r="136" spans="1:18" ht="15" customHeight="1" thickBot="1">
      <c r="A136" s="2" t="s">
        <v>161</v>
      </c>
      <c r="B136" s="55" t="s">
        <v>162</v>
      </c>
      <c r="C136" s="21"/>
      <c r="D136" s="27" t="str">
        <f t="shared" si="27"/>
        <v>Dr Patrick Finn</v>
      </c>
      <c r="E136" s="22">
        <f>IFERROR(VLOOKUP(D136,'Employee Numbers'!$A$3:$B$84,2,FALSE),"NOT FOUND")</f>
        <v>621988</v>
      </c>
      <c r="F136" s="9" t="str">
        <f t="shared" si="29"/>
        <v/>
      </c>
      <c r="G136" s="9" t="str">
        <f t="shared" si="29"/>
        <v/>
      </c>
      <c r="H136" s="9" t="str">
        <f t="shared" si="29"/>
        <v/>
      </c>
      <c r="I136" s="9" t="str">
        <f t="shared" si="29"/>
        <v/>
      </c>
      <c r="J136" s="9" t="str">
        <f t="shared" si="29"/>
        <v/>
      </c>
      <c r="K136" s="9" t="str">
        <f t="shared" si="29"/>
        <v/>
      </c>
      <c r="L136" s="9" t="str">
        <f t="shared" si="29"/>
        <v/>
      </c>
    </row>
    <row r="137" spans="1:18" ht="15" customHeight="1" thickBot="1">
      <c r="A137" s="2" t="s">
        <v>161</v>
      </c>
      <c r="B137" s="55" t="s">
        <v>162</v>
      </c>
      <c r="C137" s="21"/>
      <c r="D137" s="27" t="str">
        <f t="shared" si="27"/>
        <v>Dr Chris Fong</v>
      </c>
      <c r="E137" s="22">
        <f>IFERROR(VLOOKUP(D137,'Employee Numbers'!$A$3:$B$84,2,FALSE),"NOT FOUND")</f>
        <v>409677</v>
      </c>
      <c r="F137" s="9" t="str">
        <f t="shared" si="29"/>
        <v/>
      </c>
      <c r="G137" s="9" t="str">
        <f t="shared" si="29"/>
        <v/>
      </c>
      <c r="H137" s="9" t="str">
        <f t="shared" si="29"/>
        <v/>
      </c>
      <c r="I137" s="9" t="str">
        <f t="shared" si="29"/>
        <v/>
      </c>
      <c r="J137" s="9" t="str">
        <f t="shared" si="29"/>
        <v/>
      </c>
      <c r="K137" s="9" t="str">
        <f t="shared" si="29"/>
        <v/>
      </c>
      <c r="L137" s="9" t="str">
        <f t="shared" si="29"/>
        <v/>
      </c>
    </row>
    <row r="138" spans="1:18" s="13" customFormat="1" ht="15" customHeight="1" thickBot="1">
      <c r="A138" s="2" t="s">
        <v>161</v>
      </c>
      <c r="B138" s="55" t="s">
        <v>162</v>
      </c>
      <c r="C138" s="21"/>
      <c r="D138" s="27" t="str">
        <f t="shared" si="27"/>
        <v>Dr Matthew Tang</v>
      </c>
      <c r="E138" s="22">
        <f>IFERROR(VLOOKUP(D138,'Employee Numbers'!$A$3:$B$84,2,FALSE),"NOT FOUND")</f>
        <v>632590</v>
      </c>
      <c r="F138" s="9" t="str">
        <f t="shared" si="29"/>
        <v/>
      </c>
      <c r="G138" s="9" t="str">
        <f t="shared" si="29"/>
        <v/>
      </c>
      <c r="H138" s="9" t="str">
        <f t="shared" si="29"/>
        <v/>
      </c>
      <c r="I138" s="9" t="str">
        <f t="shared" si="29"/>
        <v/>
      </c>
      <c r="J138" s="9" t="str">
        <f t="shared" si="29"/>
        <v/>
      </c>
      <c r="K138" s="9" t="str">
        <f t="shared" si="29"/>
        <v/>
      </c>
      <c r="L138" s="9" t="str">
        <f t="shared" si="29"/>
        <v/>
      </c>
      <c r="M138" s="5"/>
      <c r="N138" s="5"/>
      <c r="O138" s="5"/>
      <c r="P138" s="5"/>
      <c r="Q138" s="5"/>
      <c r="R138" s="5"/>
    </row>
    <row r="139" spans="1:18" s="13" customFormat="1" ht="15" customHeight="1" thickBot="1">
      <c r="A139" s="2" t="s">
        <v>161</v>
      </c>
      <c r="B139" s="55" t="s">
        <v>162</v>
      </c>
      <c r="C139" s="21"/>
      <c r="D139" s="27" t="str">
        <f t="shared" si="27"/>
        <v>Dr Niki Talic</v>
      </c>
      <c r="E139" s="22">
        <f>IFERROR(VLOOKUP(D139,'Employee Numbers'!$A$3:$B$84,2,FALSE),"NOT FOUND")</f>
        <v>619537</v>
      </c>
      <c r="F139" s="9" t="str">
        <f t="shared" si="29"/>
        <v/>
      </c>
      <c r="G139" s="9" t="str">
        <f t="shared" si="29"/>
        <v/>
      </c>
      <c r="H139" s="9" t="str">
        <f t="shared" si="29"/>
        <v/>
      </c>
      <c r="I139" s="9" t="str">
        <f t="shared" si="29"/>
        <v/>
      </c>
      <c r="J139" s="9" t="str">
        <f t="shared" si="29"/>
        <v/>
      </c>
      <c r="K139" s="9" t="str">
        <f t="shared" si="29"/>
        <v/>
      </c>
      <c r="L139" s="9" t="str">
        <f t="shared" si="29"/>
        <v/>
      </c>
      <c r="M139" s="5"/>
      <c r="N139" s="5"/>
      <c r="O139" s="5"/>
      <c r="P139" s="5"/>
      <c r="Q139" s="5"/>
      <c r="R139" s="5"/>
    </row>
    <row r="140" spans="1:18" s="13" customFormat="1" ht="15" customHeight="1" thickBot="1">
      <c r="A140" s="2" t="s">
        <v>161</v>
      </c>
      <c r="B140" s="55" t="s">
        <v>162</v>
      </c>
      <c r="C140" s="21"/>
      <c r="D140" s="27" t="str">
        <f t="shared" si="27"/>
        <v>Dr Deb Morawetz</v>
      </c>
      <c r="E140" s="22">
        <f>IFERROR(VLOOKUP(D140,'Employee Numbers'!$A$3:$B$84,2,FALSE),"NOT FOUND")</f>
        <v>621953</v>
      </c>
      <c r="F140" s="9" t="str">
        <f t="shared" si="29"/>
        <v/>
      </c>
      <c r="G140" s="9" t="str">
        <f t="shared" si="29"/>
        <v/>
      </c>
      <c r="H140" s="9" t="str">
        <f t="shared" si="29"/>
        <v/>
      </c>
      <c r="I140" s="9" t="str">
        <f t="shared" si="29"/>
        <v/>
      </c>
      <c r="J140" s="9" t="str">
        <f t="shared" si="29"/>
        <v/>
      </c>
      <c r="K140" s="9" t="str">
        <f t="shared" si="29"/>
        <v/>
      </c>
      <c r="L140" s="9" t="str">
        <f t="shared" si="29"/>
        <v/>
      </c>
      <c r="M140" s="5"/>
      <c r="N140" s="5"/>
      <c r="O140" s="5"/>
      <c r="P140" s="5"/>
      <c r="Q140" s="5"/>
      <c r="R140" s="5"/>
    </row>
    <row r="141" spans="1:18" s="13" customFormat="1" ht="15" customHeight="1" thickBot="1">
      <c r="A141" s="2" t="s">
        <v>161</v>
      </c>
      <c r="B141" s="55" t="s">
        <v>162</v>
      </c>
      <c r="C141" s="21"/>
      <c r="D141" s="27" t="str">
        <f t="shared" si="27"/>
        <v>Dr Priya Jeyaveerasingam</v>
      </c>
      <c r="E141" s="22">
        <f>IFERROR(VLOOKUP(D141,'Employee Numbers'!$A$3:$B$84,2,FALSE),"NOT FOUND")</f>
        <v>614504</v>
      </c>
      <c r="F141" s="9" t="str">
        <f t="shared" si="29"/>
        <v/>
      </c>
      <c r="G141" s="9" t="str">
        <f t="shared" si="29"/>
        <v/>
      </c>
      <c r="H141" s="9" t="str">
        <f t="shared" si="29"/>
        <v/>
      </c>
      <c r="I141" s="9" t="str">
        <f t="shared" si="29"/>
        <v/>
      </c>
      <c r="J141" s="9" t="str">
        <f t="shared" si="29"/>
        <v/>
      </c>
      <c r="K141" s="9" t="str">
        <f t="shared" si="29"/>
        <v/>
      </c>
      <c r="L141" s="9" t="str">
        <f t="shared" si="29"/>
        <v/>
      </c>
      <c r="M141" s="5"/>
      <c r="N141" s="5"/>
      <c r="O141" s="5"/>
      <c r="P141" s="5"/>
      <c r="Q141" s="5"/>
      <c r="R141" s="5"/>
    </row>
    <row r="142" spans="1:18" s="13" customFormat="1" ht="15" customHeight="1" thickBot="1">
      <c r="A142" s="2" t="s">
        <v>161</v>
      </c>
      <c r="B142" s="55" t="s">
        <v>162</v>
      </c>
      <c r="C142" s="21"/>
      <c r="D142" s="27" t="str">
        <f t="shared" si="27"/>
        <v>Locum</v>
      </c>
      <c r="E142" s="22" t="str">
        <f>IFERROR(VLOOKUP(D142,'Employee Numbers'!$A$3:$B$84,2,FALSE),"NOT FOUND")</f>
        <v>N/A</v>
      </c>
      <c r="F142" s="9" t="str">
        <f t="shared" si="29"/>
        <v/>
      </c>
      <c r="G142" s="9" t="str">
        <f t="shared" si="29"/>
        <v/>
      </c>
      <c r="H142" s="9" t="str">
        <f t="shared" si="29"/>
        <v/>
      </c>
      <c r="I142" s="9" t="str">
        <f t="shared" si="29"/>
        <v/>
      </c>
      <c r="J142" s="9" t="str">
        <f t="shared" si="29"/>
        <v/>
      </c>
      <c r="K142" s="9" t="str">
        <f t="shared" si="29"/>
        <v/>
      </c>
      <c r="L142" s="9" t="str">
        <f t="shared" si="29"/>
        <v/>
      </c>
      <c r="M142" s="5"/>
      <c r="N142" s="5"/>
      <c r="O142" s="5"/>
      <c r="P142" s="5"/>
      <c r="Q142" s="5"/>
      <c r="R142" s="5"/>
    </row>
    <row r="143" spans="1:18" s="13" customFormat="1" ht="15" customHeight="1">
      <c r="A143" s="2" t="s">
        <v>161</v>
      </c>
      <c r="B143" s="55" t="s">
        <v>162</v>
      </c>
      <c r="C143" s="21"/>
      <c r="D143" s="27" t="str">
        <f t="shared" si="27"/>
        <v>Locum</v>
      </c>
      <c r="E143" s="22" t="str">
        <f>IFERROR(VLOOKUP(D143,'Employee Numbers'!$A$3:$B$84,2,FALSE),"NOT FOUND")</f>
        <v>N/A</v>
      </c>
      <c r="F143" s="9" t="str">
        <f t="shared" si="29"/>
        <v/>
      </c>
      <c r="G143" s="9" t="str">
        <f t="shared" si="29"/>
        <v/>
      </c>
      <c r="H143" s="9" t="str">
        <f t="shared" si="29"/>
        <v/>
      </c>
      <c r="I143" s="9" t="str">
        <f t="shared" si="29"/>
        <v/>
      </c>
      <c r="J143" s="9" t="str">
        <f t="shared" si="29"/>
        <v/>
      </c>
      <c r="K143" s="9" t="str">
        <f t="shared" si="29"/>
        <v/>
      </c>
      <c r="L143" s="9" t="str">
        <f t="shared" si="29"/>
        <v/>
      </c>
      <c r="M143" s="5"/>
      <c r="N143" s="5"/>
      <c r="O143" s="5"/>
      <c r="P143" s="5"/>
      <c r="Q143" s="5"/>
      <c r="R143" s="5"/>
    </row>
    <row r="144" spans="1:18" ht="15" customHeight="1" thickBot="1"/>
    <row r="145" spans="1:18" s="2" customFormat="1" ht="15" customHeight="1" thickBot="1">
      <c r="A145" s="172" t="s">
        <v>86</v>
      </c>
      <c r="B145" s="48" t="s">
        <v>163</v>
      </c>
      <c r="C145" s="49" t="s">
        <v>164</v>
      </c>
      <c r="D145" s="173" t="str">
        <f>D53</f>
        <v xml:space="preserve">Fellow </v>
      </c>
      <c r="E145" s="20" t="s">
        <v>4</v>
      </c>
      <c r="F145" s="12" t="s">
        <v>5</v>
      </c>
      <c r="G145" s="83" t="s">
        <v>6</v>
      </c>
      <c r="H145" s="83" t="s">
        <v>7</v>
      </c>
      <c r="I145" s="83" t="s">
        <v>8</v>
      </c>
      <c r="J145" s="83" t="s">
        <v>9</v>
      </c>
      <c r="K145" s="83" t="s">
        <v>10</v>
      </c>
      <c r="L145" s="23" t="s">
        <v>11</v>
      </c>
      <c r="M145" s="23" t="s">
        <v>165</v>
      </c>
      <c r="N145" s="5"/>
      <c r="O145" s="5"/>
      <c r="P145" s="5"/>
      <c r="Q145" s="5"/>
      <c r="R145" s="5"/>
    </row>
    <row r="146" spans="1:18" ht="15" customHeight="1" thickBot="1">
      <c r="A146" s="2" t="s">
        <v>166</v>
      </c>
      <c r="B146" s="2"/>
      <c r="C146" s="21"/>
      <c r="D146" s="84" t="str">
        <f>D54</f>
        <v>Ellen Scott (0.75)</v>
      </c>
      <c r="E146" s="22">
        <f>IFERROR(VLOOKUP(D146,'Employee Numbers'!$A$3:$B$84,2,FALSE),"NOT FOUND")</f>
        <v>634905</v>
      </c>
      <c r="F146" s="38"/>
      <c r="G146" s="31"/>
      <c r="H146" s="31" t="s">
        <v>167</v>
      </c>
      <c r="I146" s="38"/>
      <c r="J146" s="38"/>
      <c r="K146" s="38"/>
      <c r="L146" s="38"/>
      <c r="M146" s="35" t="s">
        <v>168</v>
      </c>
    </row>
    <row r="147" spans="1:18" ht="15" customHeight="1" thickBot="1">
      <c r="A147" s="2" t="s">
        <v>166</v>
      </c>
      <c r="B147" s="2"/>
      <c r="C147" s="21"/>
      <c r="D147" s="84" t="str">
        <f t="shared" ref="D147:D151" si="30">D55</f>
        <v>Seamus Harrington</v>
      </c>
      <c r="E147" s="22">
        <f>IFERROR(VLOOKUP(D147,'Employee Numbers'!$A$3:$B$84,2,FALSE),"NOT FOUND")</f>
        <v>704751</v>
      </c>
      <c r="F147" s="38"/>
      <c r="G147" s="31"/>
      <c r="H147" s="31"/>
      <c r="I147" s="38"/>
      <c r="J147" s="38"/>
      <c r="K147" s="38"/>
      <c r="L147" s="38"/>
      <c r="M147" s="35" t="s">
        <v>168</v>
      </c>
    </row>
    <row r="148" spans="1:18" ht="15" customHeight="1" thickBot="1">
      <c r="A148" s="2" t="s">
        <v>166</v>
      </c>
      <c r="B148" s="2"/>
      <c r="C148" s="21"/>
      <c r="D148" s="84" t="str">
        <f t="shared" si="30"/>
        <v>Antra Ansons</v>
      </c>
      <c r="E148" s="22">
        <f>IFERROR(VLOOKUP(D148,'Employee Numbers'!$A$3:$B$84,2,FALSE),"NOT FOUND")</f>
        <v>637219</v>
      </c>
      <c r="F148" s="38"/>
      <c r="G148" s="31"/>
      <c r="H148" s="31" t="str">
        <f t="shared" ref="H148" si="31">IF(COUNTIF(H56,"0800-1730*"),"trg_5_1730","trg_5_0900")</f>
        <v>trg_5_1730</v>
      </c>
      <c r="I148" s="38"/>
      <c r="J148" s="38"/>
      <c r="K148" s="38"/>
      <c r="L148" s="38"/>
      <c r="M148" s="35" t="s">
        <v>168</v>
      </c>
    </row>
    <row r="149" spans="1:18" ht="15" customHeight="1" thickBot="1">
      <c r="A149" s="2" t="s">
        <v>166</v>
      </c>
      <c r="B149" s="2"/>
      <c r="C149" s="21"/>
      <c r="D149" s="84">
        <f t="shared" si="30"/>
        <v>0</v>
      </c>
      <c r="E149" s="22" t="str">
        <f>IFERROR(VLOOKUP(D149,'Employee Numbers'!$A$3:$B$84,2,FALSE),"NOT FOUND")</f>
        <v>NOT FOUND</v>
      </c>
      <c r="F149" s="38"/>
      <c r="G149" s="31"/>
      <c r="H149" s="31" t="str">
        <f t="shared" ref="H149:H151" si="32">IF(COUNTIF(H57,"0800-1730*"),"trg_2.5_1730","trg_2.5_0900")</f>
        <v>trg_2.5_0900</v>
      </c>
      <c r="I149" s="38"/>
      <c r="J149" s="38"/>
      <c r="K149" s="38"/>
      <c r="L149" s="38"/>
      <c r="M149" s="35" t="s">
        <v>168</v>
      </c>
    </row>
    <row r="150" spans="1:18" ht="15" customHeight="1" thickBot="1">
      <c r="A150" s="2" t="s">
        <v>166</v>
      </c>
      <c r="B150" s="2"/>
      <c r="C150" s="21"/>
      <c r="D150" s="84">
        <f t="shared" si="30"/>
        <v>0</v>
      </c>
      <c r="E150" s="22" t="str">
        <f>IFERROR(VLOOKUP(D150,'Employee Numbers'!$A$3:$B$84,2,FALSE),"NOT FOUND")</f>
        <v>NOT FOUND</v>
      </c>
      <c r="F150" s="38"/>
      <c r="G150" s="31"/>
      <c r="H150" s="31" t="str">
        <f t="shared" si="32"/>
        <v>trg_2.5_0900</v>
      </c>
      <c r="I150" s="38"/>
      <c r="J150" s="38"/>
      <c r="K150" s="38"/>
      <c r="L150" s="38"/>
      <c r="M150" s="35" t="s">
        <v>168</v>
      </c>
    </row>
    <row r="151" spans="1:18" ht="15" customHeight="1">
      <c r="A151" s="2" t="s">
        <v>166</v>
      </c>
      <c r="B151" s="2"/>
      <c r="C151" s="21"/>
      <c r="D151" s="84">
        <f t="shared" si="30"/>
        <v>0</v>
      </c>
      <c r="E151" s="22" t="str">
        <f>IFERROR(VLOOKUP(D151,'Employee Numbers'!$A$3:$B$84,2,FALSE),"NOT FOUND")</f>
        <v>NOT FOUND</v>
      </c>
      <c r="F151" s="38"/>
      <c r="G151" s="31"/>
      <c r="H151" s="31" t="str">
        <f t="shared" si="32"/>
        <v>trg_2.5_0900</v>
      </c>
      <c r="I151" s="38"/>
      <c r="J151" s="38"/>
      <c r="K151" s="38"/>
      <c r="L151" s="38"/>
      <c r="M151" s="35" t="s">
        <v>168</v>
      </c>
    </row>
    <row r="152" spans="1:18" s="2" customFormat="1" ht="13.5" customHeight="1" thickBot="1">
      <c r="A152" s="174" t="s">
        <v>96</v>
      </c>
      <c r="B152" s="50"/>
      <c r="C152" s="51"/>
      <c r="D152" s="175" t="s">
        <v>97</v>
      </c>
      <c r="E152" s="105" t="s">
        <v>4</v>
      </c>
      <c r="F152" s="105" t="s">
        <v>5</v>
      </c>
      <c r="G152" s="105" t="s">
        <v>6</v>
      </c>
      <c r="H152" s="106" t="s">
        <v>7</v>
      </c>
      <c r="I152" s="105" t="s">
        <v>8</v>
      </c>
      <c r="J152" s="105" t="s">
        <v>9</v>
      </c>
      <c r="K152" s="105" t="s">
        <v>10</v>
      </c>
      <c r="L152" s="105" t="s">
        <v>11</v>
      </c>
      <c r="N152"/>
      <c r="O152"/>
      <c r="Q152"/>
    </row>
    <row r="153" spans="1:18" s="2" customFormat="1" ht="15" customHeight="1" thickBot="1">
      <c r="A153" s="2" t="s">
        <v>169</v>
      </c>
      <c r="B153" s="5"/>
      <c r="C153" s="8"/>
      <c r="D153" s="84" t="str">
        <f>D61</f>
        <v>Mark Lim</v>
      </c>
      <c r="E153" s="22">
        <f>IFERROR(VLOOKUP(D153,'Employee Numbers'!$A$3:$B$84,2,FALSE),"NOT FOUND")</f>
        <v>638531</v>
      </c>
      <c r="F153" s="31" t="str">
        <f t="shared" ref="F153:G168" si="33">IF(COUNTIF(F61,"*on*call*"),"oncall 2300-0830","")</f>
        <v/>
      </c>
      <c r="G153" s="31" t="str">
        <f t="shared" si="33"/>
        <v/>
      </c>
      <c r="H153" s="37" t="s">
        <v>170</v>
      </c>
      <c r="I153" s="31" t="str">
        <f t="shared" ref="I153:L168" si="34">IF(COUNTIF(I61,"*on*call*"),"oncall 2300-0830","")</f>
        <v/>
      </c>
      <c r="J153" s="31" t="str">
        <f t="shared" si="34"/>
        <v/>
      </c>
      <c r="K153" s="31" t="str">
        <f t="shared" si="34"/>
        <v/>
      </c>
      <c r="L153" s="31" t="str">
        <f t="shared" si="34"/>
        <v/>
      </c>
      <c r="M153" s="35" t="s">
        <v>168</v>
      </c>
      <c r="N153" s="5"/>
      <c r="O153" s="5"/>
      <c r="P153" s="5"/>
      <c r="Q153" s="5"/>
      <c r="R153" s="5"/>
    </row>
    <row r="154" spans="1:18" ht="15" customHeight="1" thickBot="1">
      <c r="A154" s="2" t="s">
        <v>169</v>
      </c>
      <c r="B154" s="2"/>
      <c r="C154" s="47"/>
      <c r="D154" s="84" t="str">
        <f t="shared" ref="D154:D176" si="35">D62</f>
        <v xml:space="preserve">Melanie Engel </v>
      </c>
      <c r="E154" s="22">
        <f>IFERROR(VLOOKUP(D154,'Employee Numbers'!$A$3:$B$84,2,FALSE),"NOT FOUND")</f>
        <v>631715</v>
      </c>
      <c r="F154" s="31" t="str">
        <f t="shared" si="33"/>
        <v/>
      </c>
      <c r="G154" s="31" t="str">
        <f t="shared" si="33"/>
        <v/>
      </c>
      <c r="H154" s="37" t="s">
        <v>170</v>
      </c>
      <c r="I154" s="31" t="str">
        <f t="shared" si="34"/>
        <v/>
      </c>
      <c r="J154" s="31" t="str">
        <f t="shared" si="34"/>
        <v/>
      </c>
      <c r="K154" s="31" t="str">
        <f t="shared" si="34"/>
        <v/>
      </c>
      <c r="L154" s="31" t="str">
        <f t="shared" si="34"/>
        <v/>
      </c>
      <c r="M154" s="35" t="s">
        <v>168</v>
      </c>
      <c r="N154" s="2"/>
      <c r="O154" s="2"/>
      <c r="P154" s="2"/>
      <c r="Q154" s="2"/>
      <c r="R154" s="2"/>
    </row>
    <row r="155" spans="1:18" ht="15" customHeight="1" thickBot="1">
      <c r="A155" s="2" t="s">
        <v>169</v>
      </c>
      <c r="B155" s="2"/>
      <c r="C155" s="47"/>
      <c r="D155" s="84" t="str">
        <f t="shared" si="35"/>
        <v>Marian Isaac  (0.75)</v>
      </c>
      <c r="E155" s="22">
        <f>IFERROR(VLOOKUP(D155,'Employee Numbers'!$A$3:$B$84,2,FALSE),"NOT FOUND")</f>
        <v>703719</v>
      </c>
      <c r="F155" s="31" t="str">
        <f t="shared" si="33"/>
        <v/>
      </c>
      <c r="G155" s="31" t="str">
        <f t="shared" si="33"/>
        <v/>
      </c>
      <c r="H155" s="31" t="s">
        <v>167</v>
      </c>
      <c r="I155" s="31" t="str">
        <f t="shared" si="34"/>
        <v/>
      </c>
      <c r="J155" s="31" t="str">
        <f t="shared" si="34"/>
        <v/>
      </c>
      <c r="K155" s="31" t="str">
        <f t="shared" si="34"/>
        <v/>
      </c>
      <c r="L155" s="31" t="str">
        <f t="shared" si="34"/>
        <v/>
      </c>
      <c r="M155" s="35" t="s">
        <v>168</v>
      </c>
    </row>
    <row r="156" spans="1:18" ht="15" customHeight="1" thickBot="1">
      <c r="A156" s="2" t="s">
        <v>169</v>
      </c>
      <c r="B156" s="2"/>
      <c r="C156" s="47"/>
      <c r="D156" s="84" t="str">
        <f t="shared" si="35"/>
        <v xml:space="preserve">Jonathan Wong (0.75) </v>
      </c>
      <c r="E156" s="22">
        <f>IFERROR(VLOOKUP(D156,'Employee Numbers'!$A$3:$B$84,2,FALSE),"NOT FOUND")</f>
        <v>637791</v>
      </c>
      <c r="F156" s="31" t="str">
        <f t="shared" si="33"/>
        <v/>
      </c>
      <c r="G156" s="31" t="str">
        <f t="shared" si="33"/>
        <v/>
      </c>
      <c r="H156" s="31"/>
      <c r="I156" s="31" t="str">
        <f t="shared" si="34"/>
        <v/>
      </c>
      <c r="J156" s="31" t="str">
        <f t="shared" si="34"/>
        <v/>
      </c>
      <c r="K156" s="31" t="str">
        <f t="shared" si="34"/>
        <v/>
      </c>
      <c r="L156" s="31" t="str">
        <f t="shared" si="34"/>
        <v/>
      </c>
      <c r="M156" s="35" t="s">
        <v>168</v>
      </c>
    </row>
    <row r="157" spans="1:18" ht="15" customHeight="1" thickBot="1">
      <c r="A157" s="2" t="s">
        <v>169</v>
      </c>
      <c r="B157" s="2"/>
      <c r="C157" s="47"/>
      <c r="D157" s="84" t="str">
        <f t="shared" si="35"/>
        <v xml:space="preserve">Joshua Feek </v>
      </c>
      <c r="E157" s="22">
        <f>IFERROR(VLOOKUP(D157,'Employee Numbers'!$A$3:$B$84,2,FALSE),"NOT FOUND")</f>
        <v>652867</v>
      </c>
      <c r="F157" s="31" t="str">
        <f t="shared" si="33"/>
        <v/>
      </c>
      <c r="G157" s="31" t="str">
        <f t="shared" si="33"/>
        <v/>
      </c>
      <c r="H157" s="37"/>
      <c r="I157" s="31" t="str">
        <f t="shared" si="34"/>
        <v/>
      </c>
      <c r="J157" s="31" t="str">
        <f t="shared" si="34"/>
        <v/>
      </c>
      <c r="K157" s="31" t="str">
        <f t="shared" si="34"/>
        <v/>
      </c>
      <c r="L157" s="31" t="str">
        <f t="shared" si="34"/>
        <v/>
      </c>
      <c r="M157" s="35" t="s">
        <v>168</v>
      </c>
    </row>
    <row r="158" spans="1:18" ht="15" customHeight="1" thickBot="1">
      <c r="A158" s="2" t="s">
        <v>169</v>
      </c>
      <c r="B158" s="2"/>
      <c r="C158" s="47"/>
      <c r="D158" s="84" t="str">
        <f t="shared" si="35"/>
        <v xml:space="preserve">Andrea Lim (0.5) </v>
      </c>
      <c r="E158" s="22">
        <f>IFERROR(VLOOKUP(D158,'Employee Numbers'!$A$3:$B$84,2,FALSE),"NOT FOUND")</f>
        <v>611551</v>
      </c>
      <c r="F158" s="31" t="str">
        <f t="shared" si="33"/>
        <v/>
      </c>
      <c r="G158" s="31" t="str">
        <f t="shared" si="33"/>
        <v/>
      </c>
      <c r="H158" s="31" t="str">
        <f t="shared" ref="H158:H159" si="36">IF(COUNTIF(H66,"0800-1730*"),"trg_2.5_1730","trg_2.5_0900")</f>
        <v>trg_2.5_0900</v>
      </c>
      <c r="I158" s="31" t="str">
        <f t="shared" si="34"/>
        <v/>
      </c>
      <c r="J158" s="31" t="str">
        <f t="shared" si="34"/>
        <v/>
      </c>
      <c r="K158" s="31" t="str">
        <f t="shared" si="34"/>
        <v/>
      </c>
      <c r="L158" s="31" t="str">
        <f t="shared" si="34"/>
        <v/>
      </c>
      <c r="M158" s="35" t="s">
        <v>168</v>
      </c>
      <c r="N158" s="13"/>
      <c r="O158" s="13"/>
      <c r="P158" s="13"/>
      <c r="Q158" s="13"/>
      <c r="R158" s="13"/>
    </row>
    <row r="159" spans="1:18" ht="15" customHeight="1" thickBot="1">
      <c r="A159" s="2" t="s">
        <v>169</v>
      </c>
      <c r="B159" s="2"/>
      <c r="C159" s="47"/>
      <c r="D159" s="84" t="str">
        <f t="shared" si="35"/>
        <v>Jessica Burgess (0.5)</v>
      </c>
      <c r="E159" s="22">
        <f>IFERROR(VLOOKUP(D159,'Employee Numbers'!$A$3:$B$84,2,FALSE),"NOT FOUND")</f>
        <v>615820</v>
      </c>
      <c r="F159" s="31" t="str">
        <f t="shared" si="33"/>
        <v/>
      </c>
      <c r="G159" s="31" t="str">
        <f t="shared" si="33"/>
        <v/>
      </c>
      <c r="H159" s="31" t="str">
        <f t="shared" si="36"/>
        <v>trg_2.5_0900</v>
      </c>
      <c r="I159" s="31" t="str">
        <f t="shared" si="34"/>
        <v/>
      </c>
      <c r="J159" s="31" t="str">
        <f t="shared" si="34"/>
        <v/>
      </c>
      <c r="K159" s="31" t="str">
        <f t="shared" si="34"/>
        <v/>
      </c>
      <c r="L159" s="31" t="str">
        <f t="shared" si="34"/>
        <v/>
      </c>
      <c r="M159" s="35" t="s">
        <v>168</v>
      </c>
      <c r="N159" s="13"/>
      <c r="O159" s="13"/>
      <c r="P159" s="13"/>
      <c r="Q159" s="13"/>
      <c r="R159" s="13"/>
    </row>
    <row r="160" spans="1:18" ht="15" customHeight="1" thickBot="1">
      <c r="A160" s="2" t="s">
        <v>169</v>
      </c>
      <c r="B160" s="2"/>
      <c r="C160" s="47"/>
      <c r="D160" s="84" t="str">
        <f t="shared" si="35"/>
        <v>Elisha Gallivan</v>
      </c>
      <c r="E160" s="22">
        <f>IFERROR(VLOOKUP(D160,'Employee Numbers'!$A$3:$B$84,2,FALSE),"NOT FOUND")</f>
        <v>654727</v>
      </c>
      <c r="F160" s="31" t="str">
        <f t="shared" si="33"/>
        <v/>
      </c>
      <c r="G160" s="31" t="str">
        <f t="shared" si="33"/>
        <v/>
      </c>
      <c r="H160" s="37" t="s">
        <v>170</v>
      </c>
      <c r="I160" s="31" t="str">
        <f t="shared" si="34"/>
        <v/>
      </c>
      <c r="J160" s="31" t="str">
        <f t="shared" si="34"/>
        <v/>
      </c>
      <c r="K160" s="31" t="str">
        <f t="shared" si="34"/>
        <v/>
      </c>
      <c r="L160" s="31" t="str">
        <f t="shared" si="34"/>
        <v/>
      </c>
      <c r="M160" s="35" t="s">
        <v>168</v>
      </c>
    </row>
    <row r="161" spans="1:18" ht="15" customHeight="1" thickBot="1">
      <c r="A161" s="2" t="s">
        <v>169</v>
      </c>
      <c r="B161" s="2"/>
      <c r="C161" s="47"/>
      <c r="D161" s="84" t="str">
        <f t="shared" si="35"/>
        <v>Leila Dosso</v>
      </c>
      <c r="E161" s="22">
        <f>IFERROR(VLOOKUP(D161,'Employee Numbers'!$A$3:$B$84,2,FALSE),"NOT FOUND")</f>
        <v>702947</v>
      </c>
      <c r="F161" s="31" t="str">
        <f t="shared" si="33"/>
        <v/>
      </c>
      <c r="G161" s="31" t="str">
        <f t="shared" si="33"/>
        <v/>
      </c>
      <c r="H161" s="37" t="s">
        <v>170</v>
      </c>
      <c r="I161" s="31" t="str">
        <f t="shared" si="34"/>
        <v/>
      </c>
      <c r="J161" s="31" t="str">
        <f t="shared" si="34"/>
        <v/>
      </c>
      <c r="K161" s="31" t="str">
        <f t="shared" si="34"/>
        <v/>
      </c>
      <c r="L161" s="31" t="str">
        <f t="shared" si="34"/>
        <v/>
      </c>
      <c r="M161" s="35" t="s">
        <v>168</v>
      </c>
    </row>
    <row r="162" spans="1:18" s="13" customFormat="1" ht="15" customHeight="1" thickBot="1">
      <c r="A162" s="2" t="s">
        <v>169</v>
      </c>
      <c r="B162" s="2"/>
      <c r="C162" s="21"/>
      <c r="D162" s="84" t="str">
        <f t="shared" si="35"/>
        <v xml:space="preserve">Efi Tsampou </v>
      </c>
      <c r="E162" s="22">
        <f>IFERROR(VLOOKUP(D162,'Employee Numbers'!$A$3:$B$84,2,FALSE),"NOT FOUND")</f>
        <v>654002</v>
      </c>
      <c r="F162" s="31" t="str">
        <f t="shared" si="33"/>
        <v/>
      </c>
      <c r="G162" s="31" t="str">
        <f t="shared" si="33"/>
        <v/>
      </c>
      <c r="H162" s="37" t="s">
        <v>170</v>
      </c>
      <c r="I162" s="31" t="str">
        <f t="shared" si="34"/>
        <v/>
      </c>
      <c r="J162" s="31" t="str">
        <f t="shared" si="34"/>
        <v/>
      </c>
      <c r="K162" s="31" t="str">
        <f t="shared" si="34"/>
        <v/>
      </c>
      <c r="L162" s="31" t="str">
        <f t="shared" si="34"/>
        <v/>
      </c>
      <c r="M162" s="35" t="s">
        <v>168</v>
      </c>
      <c r="N162" s="5"/>
      <c r="O162" s="5"/>
      <c r="P162" s="5"/>
      <c r="Q162" s="5"/>
      <c r="R162" s="5"/>
    </row>
    <row r="163" spans="1:18" ht="15" customHeight="1" thickBot="1">
      <c r="A163" s="2" t="s">
        <v>169</v>
      </c>
      <c r="B163" s="2"/>
      <c r="C163" s="21"/>
      <c r="D163" s="84" t="str">
        <f t="shared" si="35"/>
        <v>Marian Panlilio</v>
      </c>
      <c r="E163" s="22">
        <f>IFERROR(VLOOKUP(D163,'Employee Numbers'!$A$3:$B$84,2,FALSE),"NOT FOUND")</f>
        <v>703068</v>
      </c>
      <c r="F163" s="31" t="str">
        <f t="shared" si="33"/>
        <v/>
      </c>
      <c r="G163" s="31" t="str">
        <f t="shared" si="33"/>
        <v/>
      </c>
      <c r="H163" s="37" t="s">
        <v>170</v>
      </c>
      <c r="I163" s="31" t="str">
        <f t="shared" si="34"/>
        <v/>
      </c>
      <c r="J163" s="31" t="str">
        <f t="shared" si="34"/>
        <v/>
      </c>
      <c r="K163" s="31" t="str">
        <f t="shared" si="34"/>
        <v/>
      </c>
      <c r="L163" s="31" t="str">
        <f t="shared" si="34"/>
        <v/>
      </c>
      <c r="M163" s="35" t="s">
        <v>168</v>
      </c>
    </row>
    <row r="164" spans="1:18" ht="15" customHeight="1" thickBot="1">
      <c r="A164" s="2" t="s">
        <v>169</v>
      </c>
      <c r="B164" s="2"/>
      <c r="C164" s="21"/>
      <c r="D164" s="84" t="str">
        <f t="shared" si="35"/>
        <v>Takhfif Othman</v>
      </c>
      <c r="E164" s="22">
        <f>IFERROR(VLOOKUP(D164,'Employee Numbers'!$A$3:$B$84,2,FALSE),"NOT FOUND")</f>
        <v>703911</v>
      </c>
      <c r="F164" s="31" t="str">
        <f t="shared" si="33"/>
        <v/>
      </c>
      <c r="G164" s="31" t="str">
        <f t="shared" si="33"/>
        <v/>
      </c>
      <c r="H164" s="37" t="s">
        <v>170</v>
      </c>
      <c r="I164" s="31" t="str">
        <f t="shared" si="34"/>
        <v/>
      </c>
      <c r="J164" s="31" t="str">
        <f t="shared" si="34"/>
        <v/>
      </c>
      <c r="K164" s="31" t="str">
        <f t="shared" si="34"/>
        <v/>
      </c>
      <c r="L164" s="31" t="str">
        <f t="shared" si="34"/>
        <v/>
      </c>
      <c r="M164" s="35" t="s">
        <v>168</v>
      </c>
    </row>
    <row r="165" spans="1:18" ht="15" customHeight="1" thickBot="1">
      <c r="A165" s="2" t="s">
        <v>169</v>
      </c>
      <c r="B165" s="2"/>
      <c r="C165" s="21"/>
      <c r="D165" s="84" t="str">
        <f t="shared" si="35"/>
        <v xml:space="preserve">Toby Obrien </v>
      </c>
      <c r="E165" s="22">
        <f>IFERROR(VLOOKUP(D165,'Employee Numbers'!$A$3:$B$84,2,FALSE),"NOT FOUND")</f>
        <v>633936</v>
      </c>
      <c r="F165" s="31" t="str">
        <f t="shared" si="33"/>
        <v/>
      </c>
      <c r="G165" s="31" t="str">
        <f t="shared" si="33"/>
        <v/>
      </c>
      <c r="H165" s="37" t="s">
        <v>170</v>
      </c>
      <c r="I165" s="31" t="str">
        <f t="shared" si="34"/>
        <v/>
      </c>
      <c r="J165" s="31" t="str">
        <f t="shared" si="34"/>
        <v/>
      </c>
      <c r="K165" s="31" t="str">
        <f t="shared" si="34"/>
        <v/>
      </c>
      <c r="L165" s="31" t="str">
        <f t="shared" si="34"/>
        <v/>
      </c>
      <c r="M165" s="35" t="s">
        <v>168</v>
      </c>
    </row>
    <row r="166" spans="1:18" ht="15" customHeight="1" thickBot="1">
      <c r="A166" s="2" t="s">
        <v>169</v>
      </c>
      <c r="B166" s="2"/>
      <c r="C166" s="21"/>
      <c r="D166" s="84" t="str">
        <f t="shared" si="35"/>
        <v>William Jiang</v>
      </c>
      <c r="E166" s="22">
        <f>IFERROR(VLOOKUP(D166,'Employee Numbers'!$A$3:$B$84,2,FALSE),"NOT FOUND")</f>
        <v>700755</v>
      </c>
      <c r="F166" s="31" t="str">
        <f t="shared" si="33"/>
        <v/>
      </c>
      <c r="G166" s="31" t="str">
        <f t="shared" si="33"/>
        <v/>
      </c>
      <c r="H166" s="37" t="s">
        <v>170</v>
      </c>
      <c r="I166" s="31" t="str">
        <f t="shared" si="34"/>
        <v/>
      </c>
      <c r="J166" s="31" t="str">
        <f t="shared" si="34"/>
        <v/>
      </c>
      <c r="K166" s="31" t="str">
        <f t="shared" si="34"/>
        <v/>
      </c>
      <c r="L166" s="31" t="str">
        <f t="shared" si="34"/>
        <v/>
      </c>
      <c r="M166" s="35" t="s">
        <v>168</v>
      </c>
    </row>
    <row r="167" spans="1:18" ht="15" customHeight="1" thickBot="1">
      <c r="A167" s="2" t="s">
        <v>169</v>
      </c>
      <c r="B167" s="2"/>
      <c r="C167" s="21"/>
      <c r="D167" s="84" t="str">
        <f t="shared" si="35"/>
        <v>Pam Nelson</v>
      </c>
      <c r="E167" s="22">
        <f>IFERROR(VLOOKUP(D167,'Employee Numbers'!$A$3:$B$84,2,FALSE),"NOT FOUND")</f>
        <v>704872</v>
      </c>
      <c r="F167" s="31" t="str">
        <f t="shared" si="33"/>
        <v/>
      </c>
      <c r="G167" s="31" t="str">
        <f t="shared" si="33"/>
        <v/>
      </c>
      <c r="H167" s="37"/>
      <c r="I167" s="31" t="str">
        <f t="shared" si="34"/>
        <v/>
      </c>
      <c r="J167" s="31" t="str">
        <f t="shared" si="34"/>
        <v/>
      </c>
      <c r="K167" s="31" t="str">
        <f t="shared" si="34"/>
        <v/>
      </c>
      <c r="L167" s="31" t="str">
        <f t="shared" si="34"/>
        <v/>
      </c>
      <c r="M167" s="35" t="s">
        <v>168</v>
      </c>
    </row>
    <row r="168" spans="1:18" ht="15" customHeight="1" thickBot="1">
      <c r="A168" s="2" t="s">
        <v>169</v>
      </c>
      <c r="B168" s="2"/>
      <c r="C168" s="21"/>
      <c r="D168" s="84" t="str">
        <f t="shared" si="35"/>
        <v xml:space="preserve">Phoebe Franich </v>
      </c>
      <c r="E168" s="22">
        <f>IFERROR(VLOOKUP(D168,'Employee Numbers'!$A$3:$B$84,2,FALSE),"NOT FOUND")</f>
        <v>700712</v>
      </c>
      <c r="F168" s="31" t="str">
        <f t="shared" si="33"/>
        <v/>
      </c>
      <c r="G168" s="31" t="str">
        <f t="shared" si="33"/>
        <v/>
      </c>
      <c r="H168" s="37" t="s">
        <v>170</v>
      </c>
      <c r="I168" s="31" t="str">
        <f t="shared" si="34"/>
        <v/>
      </c>
      <c r="J168" s="31" t="str">
        <f t="shared" si="34"/>
        <v/>
      </c>
      <c r="K168" s="31" t="str">
        <f t="shared" si="34"/>
        <v/>
      </c>
      <c r="L168" s="31" t="str">
        <f t="shared" si="34"/>
        <v/>
      </c>
      <c r="M168" s="35" t="s">
        <v>168</v>
      </c>
    </row>
    <row r="169" spans="1:18" ht="15" customHeight="1" thickBot="1">
      <c r="A169" s="2" t="s">
        <v>169</v>
      </c>
      <c r="B169" s="2"/>
      <c r="C169" s="21"/>
      <c r="D169" s="84" t="str">
        <f t="shared" si="35"/>
        <v xml:space="preserve">Marie Papadopulos </v>
      </c>
      <c r="E169" s="22">
        <f>IFERROR(VLOOKUP(D169,'Employee Numbers'!$A$3:$B$84,2,FALSE),"NOT FOUND")</f>
        <v>700818</v>
      </c>
      <c r="F169" s="31" t="str">
        <f t="shared" ref="F169:G176" si="37">IF(COUNTIF(F77,"*on*call*"),"oncall 2300-0830","")</f>
        <v/>
      </c>
      <c r="G169" s="31" t="str">
        <f t="shared" si="37"/>
        <v/>
      </c>
      <c r="H169" s="37" t="s">
        <v>170</v>
      </c>
      <c r="I169" s="31" t="str">
        <f t="shared" ref="I169:L176" si="38">IF(COUNTIF(I77,"*on*call*"),"oncall 2300-0830","")</f>
        <v/>
      </c>
      <c r="J169" s="31" t="str">
        <f t="shared" si="38"/>
        <v/>
      </c>
      <c r="K169" s="31" t="str">
        <f t="shared" si="38"/>
        <v/>
      </c>
      <c r="L169" s="31" t="str">
        <f t="shared" si="38"/>
        <v/>
      </c>
      <c r="M169" s="35" t="s">
        <v>168</v>
      </c>
    </row>
    <row r="170" spans="1:18" ht="15" customHeight="1" thickBot="1">
      <c r="A170" s="2" t="s">
        <v>169</v>
      </c>
      <c r="B170" s="2"/>
      <c r="C170" s="21"/>
      <c r="D170" s="84" t="str">
        <f t="shared" si="35"/>
        <v>Stormie de Groot (0.5)</v>
      </c>
      <c r="E170" s="22">
        <f>IFERROR(VLOOKUP(D170,'Employee Numbers'!$A$3:$B$84,2,FALSE),"NOT FOUND")</f>
        <v>650101</v>
      </c>
      <c r="F170" s="31" t="str">
        <f t="shared" si="37"/>
        <v/>
      </c>
      <c r="G170" s="31" t="str">
        <f t="shared" si="37"/>
        <v/>
      </c>
      <c r="H170" s="31" t="str">
        <f t="shared" ref="H170" si="39">IF(COUNTIF(H78,"0800-1730*"),"trg_2.5_1730","trg_2.5_0900")</f>
        <v>trg_2.5_0900</v>
      </c>
      <c r="I170" s="31" t="str">
        <f t="shared" si="38"/>
        <v/>
      </c>
      <c r="J170" s="31" t="str">
        <f t="shared" si="38"/>
        <v/>
      </c>
      <c r="K170" s="31" t="str">
        <f t="shared" si="38"/>
        <v/>
      </c>
      <c r="L170" s="31" t="str">
        <f t="shared" si="38"/>
        <v/>
      </c>
      <c r="M170" s="35" t="s">
        <v>168</v>
      </c>
    </row>
    <row r="171" spans="1:18" ht="15" customHeight="1" thickBot="1">
      <c r="A171" s="2" t="s">
        <v>169</v>
      </c>
      <c r="B171" s="2"/>
      <c r="C171" s="21"/>
      <c r="D171" s="84" t="str">
        <f t="shared" si="35"/>
        <v xml:space="preserve">Joanne Eaton </v>
      </c>
      <c r="E171" s="22">
        <f>IFERROR(VLOOKUP(D171,'Employee Numbers'!$A$3:$B$84,2,FALSE),"NOT FOUND")</f>
        <v>654888</v>
      </c>
      <c r="F171" s="31" t="str">
        <f t="shared" si="37"/>
        <v/>
      </c>
      <c r="G171" s="31" t="str">
        <f t="shared" si="37"/>
        <v/>
      </c>
      <c r="H171" s="37" t="s">
        <v>170</v>
      </c>
      <c r="I171" s="31" t="str">
        <f t="shared" si="38"/>
        <v/>
      </c>
      <c r="J171" s="31" t="str">
        <f t="shared" si="38"/>
        <v/>
      </c>
      <c r="K171" s="31" t="str">
        <f t="shared" si="38"/>
        <v/>
      </c>
      <c r="L171" s="31" t="str">
        <f t="shared" si="38"/>
        <v/>
      </c>
      <c r="M171" s="35" t="s">
        <v>168</v>
      </c>
    </row>
    <row r="172" spans="1:18" ht="15" customHeight="1" thickBot="1">
      <c r="A172" s="2" t="s">
        <v>169</v>
      </c>
      <c r="B172" s="2"/>
      <c r="C172" s="21"/>
      <c r="D172" s="84" t="str">
        <f t="shared" si="35"/>
        <v xml:space="preserve">Helena Li </v>
      </c>
      <c r="E172" s="22">
        <f>IFERROR(VLOOKUP(D172,'Employee Numbers'!$A$3:$B$84,2,FALSE),"NOT FOUND")</f>
        <v>703880</v>
      </c>
      <c r="F172" s="31" t="str">
        <f t="shared" si="37"/>
        <v/>
      </c>
      <c r="G172" s="31" t="str">
        <f t="shared" si="37"/>
        <v/>
      </c>
      <c r="H172" s="37" t="s">
        <v>170</v>
      </c>
      <c r="I172" s="31" t="str">
        <f t="shared" si="38"/>
        <v/>
      </c>
      <c r="J172" s="31" t="str">
        <f t="shared" si="38"/>
        <v/>
      </c>
      <c r="K172" s="31" t="str">
        <f t="shared" si="38"/>
        <v/>
      </c>
      <c r="L172" s="31" t="str">
        <f t="shared" si="38"/>
        <v/>
      </c>
      <c r="M172" s="35" t="s">
        <v>168</v>
      </c>
    </row>
    <row r="173" spans="1:18" ht="15" customHeight="1" thickBot="1">
      <c r="A173" s="2" t="s">
        <v>169</v>
      </c>
      <c r="B173" s="2"/>
      <c r="C173" s="21"/>
      <c r="D173" s="84" t="str">
        <f t="shared" si="35"/>
        <v xml:space="preserve">Mustafa Ozkul </v>
      </c>
      <c r="E173" s="22">
        <f>IFERROR(VLOOKUP(D173,'Employee Numbers'!$A$3:$B$84,2,FALSE),"NOT FOUND")</f>
        <v>703334</v>
      </c>
      <c r="F173" s="31" t="str">
        <f t="shared" si="37"/>
        <v/>
      </c>
      <c r="G173" s="31" t="str">
        <f t="shared" si="37"/>
        <v/>
      </c>
      <c r="H173" s="37" t="s">
        <v>170</v>
      </c>
      <c r="I173" s="31" t="str">
        <f t="shared" si="38"/>
        <v/>
      </c>
      <c r="J173" s="31" t="str">
        <f t="shared" si="38"/>
        <v/>
      </c>
      <c r="K173" s="31" t="str">
        <f t="shared" si="38"/>
        <v/>
      </c>
      <c r="L173" s="31" t="str">
        <f t="shared" si="38"/>
        <v/>
      </c>
      <c r="M173" s="35" t="s">
        <v>168</v>
      </c>
    </row>
    <row r="174" spans="1:18" ht="15" customHeight="1" thickBot="1">
      <c r="A174" s="2" t="s">
        <v>169</v>
      </c>
      <c r="B174" s="2"/>
      <c r="C174" s="21"/>
      <c r="D174" s="84" t="str">
        <f t="shared" si="35"/>
        <v>Ritu Chaurasia (0.75)</v>
      </c>
      <c r="E174" s="22">
        <f>IFERROR(VLOOKUP(D174,'Employee Numbers'!$A$3:$B$84,2,FALSE),"NOT FOUND")</f>
        <v>700538</v>
      </c>
      <c r="F174" s="31" t="str">
        <f t="shared" si="37"/>
        <v/>
      </c>
      <c r="G174" s="31" t="str">
        <f t="shared" si="37"/>
        <v/>
      </c>
      <c r="H174" s="31" t="s">
        <v>167</v>
      </c>
      <c r="I174" s="31" t="str">
        <f t="shared" si="38"/>
        <v/>
      </c>
      <c r="J174" s="31" t="str">
        <f t="shared" si="38"/>
        <v/>
      </c>
      <c r="K174" s="31" t="str">
        <f t="shared" si="38"/>
        <v/>
      </c>
      <c r="L174" s="31" t="str">
        <f t="shared" si="38"/>
        <v/>
      </c>
      <c r="M174" s="35" t="s">
        <v>168</v>
      </c>
    </row>
    <row r="175" spans="1:18" ht="15" customHeight="1" thickBot="1">
      <c r="A175" s="2" t="s">
        <v>169</v>
      </c>
      <c r="B175" s="2"/>
      <c r="C175" s="21"/>
      <c r="D175" s="84" t="str">
        <f t="shared" si="35"/>
        <v>Jamie Nicholls (0.5)</v>
      </c>
      <c r="E175" s="22">
        <f>IFERROR(VLOOKUP(D175,'Employee Numbers'!$A$3:$B$84,2,FALSE),"NOT FOUND")</f>
        <v>704862</v>
      </c>
      <c r="F175" s="31" t="str">
        <f t="shared" si="37"/>
        <v/>
      </c>
      <c r="G175" s="31" t="str">
        <f t="shared" si="37"/>
        <v/>
      </c>
      <c r="H175" s="31" t="str">
        <f t="shared" ref="H175" si="40">IF(COUNTIF(H83,"0800-1730*"),"trg_2.5_1730","trg_2.5_0900")</f>
        <v>trg_2.5_0900</v>
      </c>
      <c r="I175" s="31" t="str">
        <f t="shared" si="38"/>
        <v/>
      </c>
      <c r="J175" s="31" t="str">
        <f t="shared" si="38"/>
        <v/>
      </c>
      <c r="K175" s="31" t="str">
        <f t="shared" si="38"/>
        <v/>
      </c>
      <c r="L175" s="31" t="str">
        <f t="shared" si="38"/>
        <v/>
      </c>
      <c r="M175" s="35" t="s">
        <v>168</v>
      </c>
    </row>
    <row r="176" spans="1:18" ht="15" customHeight="1">
      <c r="A176" s="2" t="s">
        <v>169</v>
      </c>
      <c r="B176" s="2"/>
      <c r="C176" s="21"/>
      <c r="D176" s="84">
        <f t="shared" si="35"/>
        <v>0</v>
      </c>
      <c r="E176" s="22" t="str">
        <f>IFERROR(VLOOKUP(D176,'Employee Numbers'!$A$3:$B$84,2,FALSE),"NOT FOUND")</f>
        <v>NOT FOUND</v>
      </c>
      <c r="F176" s="31" t="str">
        <f t="shared" si="37"/>
        <v/>
      </c>
      <c r="G176" s="31" t="str">
        <f t="shared" si="37"/>
        <v/>
      </c>
      <c r="H176" s="37" t="s">
        <v>170</v>
      </c>
      <c r="I176" s="31" t="str">
        <f t="shared" si="38"/>
        <v/>
      </c>
      <c r="J176" s="31" t="str">
        <f t="shared" si="38"/>
        <v/>
      </c>
      <c r="K176" s="31" t="str">
        <f t="shared" si="38"/>
        <v/>
      </c>
      <c r="L176" s="31" t="str">
        <f t="shared" si="38"/>
        <v/>
      </c>
      <c r="M176" s="35" t="s">
        <v>168</v>
      </c>
    </row>
  </sheetData>
  <mergeCells count="1">
    <mergeCell ref="D4:L4"/>
  </mergeCells>
  <phoneticPr fontId="18" type="noConversion"/>
  <conditionalFormatting sqref="E21:E49">
    <cfRule type="containsText" dxfId="768" priority="1" operator="containsText" text="NOT FOUND">
      <formula>NOT(ISERROR(SEARCH("NOT FOUND",E21)))</formula>
    </cfRule>
    <cfRule type="cellIs" dxfId="767" priority="2" operator="equal">
      <formula>0</formula>
    </cfRule>
  </conditionalFormatting>
  <conditionalFormatting sqref="E54:E59">
    <cfRule type="cellIs" dxfId="766" priority="49" operator="equal">
      <formula>0</formula>
    </cfRule>
    <cfRule type="containsText" dxfId="765" priority="48" operator="containsText" text="NOT FOUND">
      <formula>NOT(ISERROR(SEARCH("NOT FOUND",E54)))</formula>
    </cfRule>
  </conditionalFormatting>
  <conditionalFormatting sqref="E61:E84">
    <cfRule type="cellIs" dxfId="764" priority="43" operator="equal">
      <formula>0</formula>
    </cfRule>
    <cfRule type="containsText" dxfId="763" priority="42" operator="containsText" text="NOT FOUND">
      <formula>NOT(ISERROR(SEARCH("NOT FOUND",E61)))</formula>
    </cfRule>
  </conditionalFormatting>
  <conditionalFormatting sqref="E86:E99">
    <cfRule type="cellIs" dxfId="762" priority="41" operator="equal">
      <formula>0</formula>
    </cfRule>
    <cfRule type="containsText" dxfId="761" priority="40" operator="containsText" text="NOT FOUND">
      <formula>NOT(ISERROR(SEARCH("NOT FOUND",E86)))</formula>
    </cfRule>
  </conditionalFormatting>
  <conditionalFormatting sqref="E101:E102">
    <cfRule type="containsText" dxfId="760" priority="46" operator="containsText" text="NOT FOUND">
      <formula>NOT(ISERROR(SEARCH("NOT FOUND",E101)))</formula>
    </cfRule>
    <cfRule type="cellIs" dxfId="759" priority="47" operator="equal">
      <formula>0</formula>
    </cfRule>
  </conditionalFormatting>
  <conditionalFormatting sqref="E115:E143">
    <cfRule type="containsText" dxfId="758" priority="44" operator="containsText" text="NOT FOUND">
      <formula>NOT(ISERROR(SEARCH("NOT FOUND",E115)))</formula>
    </cfRule>
    <cfRule type="cellIs" dxfId="757" priority="45" operator="equal">
      <formula>0</formula>
    </cfRule>
  </conditionalFormatting>
  <conditionalFormatting sqref="E146:E151">
    <cfRule type="containsText" dxfId="756" priority="5" operator="containsText" text="NOT FOUND">
      <formula>NOT(ISERROR(SEARCH("NOT FOUND",E146)))</formula>
    </cfRule>
    <cfRule type="cellIs" dxfId="755" priority="6" operator="equal">
      <formula>0</formula>
    </cfRule>
  </conditionalFormatting>
  <conditionalFormatting sqref="E153:E176">
    <cfRule type="containsText" dxfId="754" priority="3" operator="containsText" text="NOT FOUND">
      <formula>NOT(ISERROR(SEARCH("NOT FOUND",E153)))</formula>
    </cfRule>
    <cfRule type="cellIs" dxfId="753" priority="4" operator="equal">
      <formula>0</formula>
    </cfRule>
  </conditionalFormatting>
  <conditionalFormatting sqref="F6:L6">
    <cfRule type="cellIs" dxfId="752" priority="33" operator="lessThan">
      <formula>2</formula>
    </cfRule>
    <cfRule type="cellIs" dxfId="751" priority="20" operator="greaterThan">
      <formula>3</formula>
    </cfRule>
  </conditionalFormatting>
  <conditionalFormatting sqref="F7:L7">
    <cfRule type="cellIs" dxfId="750" priority="32" operator="lessThan">
      <formula>2</formula>
    </cfRule>
  </conditionalFormatting>
  <conditionalFormatting sqref="F8:L8">
    <cfRule type="cellIs" dxfId="749" priority="39" operator="between">
      <formula>6</formula>
      <formula>8</formula>
    </cfRule>
    <cfRule type="cellIs" dxfId="748" priority="38" operator="lessThan">
      <formula>5</formula>
    </cfRule>
    <cfRule type="cellIs" dxfId="747" priority="19" operator="greaterThan">
      <formula>8</formula>
    </cfRule>
    <cfRule type="cellIs" dxfId="746" priority="24" operator="equal">
      <formula>5</formula>
    </cfRule>
  </conditionalFormatting>
  <conditionalFormatting sqref="F10:L11">
    <cfRule type="cellIs" dxfId="745" priority="35" operator="greaterThan">
      <formula>1</formula>
    </cfRule>
    <cfRule type="cellIs" dxfId="744" priority="23" operator="equal">
      <formula>1</formula>
    </cfRule>
  </conditionalFormatting>
  <conditionalFormatting sqref="F12:L12 F6:L7">
    <cfRule type="cellIs" dxfId="743" priority="34" operator="between">
      <formula>2</formula>
      <formula>3</formula>
    </cfRule>
  </conditionalFormatting>
  <conditionalFormatting sqref="F12:L12">
    <cfRule type="cellIs" dxfId="742" priority="21" operator="greaterThan">
      <formula>2</formula>
    </cfRule>
    <cfRule type="cellIs" dxfId="741" priority="27" operator="lessThan">
      <formula>2</formula>
    </cfRule>
  </conditionalFormatting>
  <conditionalFormatting sqref="F13:L13">
    <cfRule type="cellIs" dxfId="740" priority="31" operator="lessThan">
      <formula>6</formula>
    </cfRule>
    <cfRule type="cellIs" dxfId="739" priority="28" operator="greaterThanOrEqual">
      <formula>6</formula>
    </cfRule>
  </conditionalFormatting>
  <conditionalFormatting sqref="F14:L14">
    <cfRule type="cellIs" dxfId="738" priority="25" operator="lessThan">
      <formula>9</formula>
    </cfRule>
    <cfRule type="cellIs" dxfId="737" priority="36" operator="between">
      <formula>10</formula>
      <formula>11</formula>
    </cfRule>
    <cfRule type="cellIs" dxfId="736" priority="26" operator="equal">
      <formula>9</formula>
    </cfRule>
    <cfRule type="cellIs" dxfId="735" priority="37" operator="greaterThan">
      <formula>11</formula>
    </cfRule>
  </conditionalFormatting>
  <conditionalFormatting sqref="F16:L16">
    <cfRule type="cellIs" dxfId="734" priority="22" operator="greaterThan">
      <formula>4</formula>
    </cfRule>
    <cfRule type="cellIs" dxfId="733" priority="29" operator="equal">
      <formula>4</formula>
    </cfRule>
    <cfRule type="cellIs" dxfId="732" priority="30" operator="lessThan">
      <formula>4</formula>
    </cfRule>
  </conditionalFormatting>
  <conditionalFormatting sqref="R21:R47">
    <cfRule type="cellIs" dxfId="731" priority="16" operator="equal">
      <formula>S21</formula>
    </cfRule>
    <cfRule type="cellIs" dxfId="730" priority="15" operator="notEqual">
      <formula>S21</formula>
    </cfRule>
  </conditionalFormatting>
  <conditionalFormatting sqref="R54:R59 R61:R84">
    <cfRule type="cellIs" dxfId="729" priority="18" operator="equal">
      <formula>(N54+P54)*9.5/38*5</formula>
    </cfRule>
    <cfRule type="cellIs" dxfId="728" priority="17" operator="notEqual">
      <formula>(N54+P54)*9.5/38*5</formula>
    </cfRule>
  </conditionalFormatting>
  <conditionalFormatting sqref="S54:S59">
    <cfRule type="cellIs" dxfId="727" priority="14" operator="equal">
      <formula>T54</formula>
    </cfRule>
    <cfRule type="cellIs" dxfId="726" priority="13" operator="notEqual">
      <formula>T54</formula>
    </cfRule>
  </conditionalFormatting>
  <conditionalFormatting sqref="S61:S84">
    <cfRule type="cellIs" dxfId="725" priority="12" operator="equal">
      <formula>T61</formula>
    </cfRule>
    <cfRule type="cellIs" dxfId="724" priority="11" operator="notEqual">
      <formula>T61</formula>
    </cfRule>
  </conditionalFormatting>
  <conditionalFormatting sqref="S86:S99">
    <cfRule type="cellIs" dxfId="723" priority="10" operator="equal">
      <formula>T86</formula>
    </cfRule>
    <cfRule type="cellIs" dxfId="722" priority="9" operator="notEqual">
      <formula>T86</formula>
    </cfRule>
  </conditionalFormatting>
  <conditionalFormatting sqref="S101:S102">
    <cfRule type="cellIs" dxfId="721" priority="7" operator="notEqual">
      <formula>T101</formula>
    </cfRule>
    <cfRule type="cellIs" dxfId="720" priority="8" operator="equal">
      <formula>T101</formula>
    </cfRule>
  </conditionalFormatting>
  <pageMargins left="0.70866141732283472" right="0.70866141732283472" top="0.15748031496062992" bottom="0.15748031496062992" header="0" footer="0"/>
  <pageSetup paperSize="9" scale="49" fitToWidth="0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Y176"/>
  <sheetViews>
    <sheetView topLeftCell="B1" workbookViewId="0">
      <selection activeCell="F101" sqref="F101"/>
    </sheetView>
  </sheetViews>
  <sheetFormatPr defaultColWidth="31.28515625" defaultRowHeight="15" customHeight="1"/>
  <cols>
    <col min="1" max="1" width="15.140625" style="5" customWidth="1"/>
    <col min="2" max="2" width="10.42578125" style="5" customWidth="1"/>
    <col min="3" max="3" width="6" style="8" customWidth="1"/>
    <col min="4" max="4" width="26.7109375" style="5" bestFit="1" customWidth="1"/>
    <col min="5" max="5" width="8.42578125" style="8" customWidth="1"/>
    <col min="6" max="7" width="15.85546875" style="5" customWidth="1"/>
    <col min="8" max="8" width="20" style="5" customWidth="1"/>
    <col min="9" max="12" width="15.85546875" style="5" customWidth="1"/>
    <col min="13" max="13" width="31.28515625" style="5"/>
    <col min="14" max="14" width="7.85546875" style="5" customWidth="1"/>
    <col min="15" max="15" width="14.42578125" style="5" customWidth="1"/>
    <col min="16" max="16" width="8.42578125" style="5" customWidth="1"/>
    <col min="17" max="17" width="8.7109375" style="5" customWidth="1"/>
    <col min="18" max="18" width="12.7109375" style="5" customWidth="1"/>
    <col min="19" max="19" width="14.7109375" style="5" bestFit="1" customWidth="1"/>
    <col min="20" max="20" width="14.140625" style="5" bestFit="1" customWidth="1"/>
    <col min="21" max="25" width="7.140625" style="5" customWidth="1"/>
    <col min="26" max="16384" width="31.28515625" style="5"/>
  </cols>
  <sheetData>
    <row r="1" spans="1:13" s="2" customFormat="1" ht="15" customHeight="1">
      <c r="A1" s="34" t="s">
        <v>0</v>
      </c>
      <c r="B1" s="103" t="s">
        <v>1</v>
      </c>
      <c r="C1" s="104" t="s">
        <v>2</v>
      </c>
      <c r="D1" s="104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 t="s">
        <v>8</v>
      </c>
      <c r="J1" s="47" t="s">
        <v>9</v>
      </c>
      <c r="K1" s="47" t="s">
        <v>10</v>
      </c>
      <c r="L1" s="47" t="s">
        <v>11</v>
      </c>
      <c r="M1" s="103" t="s">
        <v>12</v>
      </c>
    </row>
    <row r="2" spans="1:13" s="2" customFormat="1" ht="15" customHeight="1">
      <c r="A2" s="13" t="s">
        <v>13</v>
      </c>
      <c r="B2" s="112"/>
      <c r="C2" s="21"/>
      <c r="E2" s="21"/>
      <c r="F2" s="94">
        <f>'Week 4'!F2+7</f>
        <v>46174</v>
      </c>
      <c r="G2" s="95">
        <f>F2+1</f>
        <v>46175</v>
      </c>
      <c r="H2" s="95">
        <f t="shared" ref="H2:L2" si="0">G2+1</f>
        <v>46176</v>
      </c>
      <c r="I2" s="95">
        <f t="shared" si="0"/>
        <v>46177</v>
      </c>
      <c r="J2" s="95">
        <f t="shared" si="0"/>
        <v>46178</v>
      </c>
      <c r="K2" s="95">
        <f t="shared" si="0"/>
        <v>46179</v>
      </c>
      <c r="L2" s="95">
        <f t="shared" si="0"/>
        <v>46180</v>
      </c>
    </row>
    <row r="3" spans="1:13" s="2" customFormat="1" ht="15" customHeight="1">
      <c r="A3" s="13" t="s">
        <v>14</v>
      </c>
      <c r="B3" s="112">
        <f>1+(F2-'Week 1'!F2)/7</f>
        <v>5</v>
      </c>
      <c r="E3" s="21"/>
      <c r="F3" s="94"/>
      <c r="G3" s="95"/>
      <c r="H3" s="95"/>
      <c r="I3" s="95"/>
      <c r="J3" s="95"/>
      <c r="K3" s="95"/>
      <c r="L3" s="95"/>
    </row>
    <row r="4" spans="1:13" ht="22.5" customHeight="1">
      <c r="A4" s="13" t="s">
        <v>15</v>
      </c>
      <c r="B4" s="2"/>
      <c r="C4" s="21">
        <f ca="1">IF(INDIRECT("'Week "&amp;(B3-1)&amp;"'!C4")=1,2,IF(INDIRECT("'Week "&amp;(B3-1)&amp;"'!C4")=2,1,_xludf.NA))</f>
        <v>1</v>
      </c>
      <c r="D4" s="359" t="str">
        <f>'Week 1'!D4:L4</f>
        <v>PAEDIATRIC EMERGENCY DEPARTMENT ROSTER - Term 2 2026</v>
      </c>
      <c r="E4" s="360"/>
      <c r="F4" s="360"/>
      <c r="G4" s="360"/>
      <c r="H4" s="360"/>
      <c r="I4" s="360"/>
      <c r="J4" s="360"/>
      <c r="K4" s="360"/>
      <c r="L4" s="360"/>
    </row>
    <row r="5" spans="1:13" s="2" customFormat="1" ht="15" customHeight="1" thickBot="1">
      <c r="A5" s="13"/>
      <c r="C5" s="21"/>
      <c r="E5" s="21"/>
      <c r="F5" s="94"/>
      <c r="G5" s="95"/>
      <c r="H5" s="95"/>
      <c r="I5" s="95"/>
      <c r="J5" s="95"/>
      <c r="K5" s="95"/>
      <c r="L5" s="95"/>
    </row>
    <row r="6" spans="1:13" s="2" customFormat="1" ht="15" customHeight="1">
      <c r="A6" s="13"/>
      <c r="C6" s="21"/>
      <c r="D6" s="96" t="s">
        <v>17</v>
      </c>
      <c r="E6" s="97"/>
      <c r="F6" s="101">
        <f>COUNTIF(F$21:F$49,"0800-1???")-COUNTIFS(F$48,"0800-1???",$D$48,"Locum")-COUNTIFS(F$49,"0800-1???",$D$49,"Locum")</f>
        <v>3</v>
      </c>
      <c r="G6" s="101">
        <f t="shared" ref="G6:L6" si="1">COUNTIF(G$21:G$49,"0800-1???")-COUNTIFS(G$48,"0800-1???",$D$48,"Locum")-COUNTIFS(G$49,"0800-1???",$D$49,"Locum")</f>
        <v>3</v>
      </c>
      <c r="H6" s="101">
        <f t="shared" si="1"/>
        <v>3</v>
      </c>
      <c r="I6" s="101">
        <f t="shared" si="1"/>
        <v>3</v>
      </c>
      <c r="J6" s="101">
        <f t="shared" si="1"/>
        <v>3</v>
      </c>
      <c r="K6" s="101">
        <f t="shared" si="1"/>
        <v>2</v>
      </c>
      <c r="L6" s="101">
        <f t="shared" si="1"/>
        <v>2</v>
      </c>
    </row>
    <row r="7" spans="1:13" s="2" customFormat="1" ht="15" customHeight="1" thickBot="1">
      <c r="A7" s="13"/>
      <c r="C7" s="21"/>
      <c r="D7" s="68" t="s">
        <v>18</v>
      </c>
      <c r="E7" s="67"/>
      <c r="F7" s="109">
        <f t="shared" ref="F7:L7" si="2">COUNTIF(F$54:F$102,"0800-1???")</f>
        <v>4</v>
      </c>
      <c r="G7" s="109">
        <f t="shared" si="2"/>
        <v>5</v>
      </c>
      <c r="H7" s="109">
        <f t="shared" si="2"/>
        <v>3</v>
      </c>
      <c r="I7" s="109">
        <f t="shared" si="2"/>
        <v>4</v>
      </c>
      <c r="J7" s="109">
        <f t="shared" si="2"/>
        <v>4</v>
      </c>
      <c r="K7" s="109">
        <f t="shared" si="2"/>
        <v>4</v>
      </c>
      <c r="L7" s="157">
        <f t="shared" si="2"/>
        <v>4</v>
      </c>
    </row>
    <row r="8" spans="1:13" s="2" customFormat="1" ht="15" customHeight="1" thickBot="1">
      <c r="A8" s="13"/>
      <c r="C8" s="21"/>
      <c r="D8" s="98" t="s">
        <v>19</v>
      </c>
      <c r="E8" s="99"/>
      <c r="F8" s="108">
        <f>F6+F7</f>
        <v>7</v>
      </c>
      <c r="G8" s="108">
        <f t="shared" ref="G8:L8" si="3">G6+G7</f>
        <v>8</v>
      </c>
      <c r="H8" s="108">
        <f t="shared" si="3"/>
        <v>6</v>
      </c>
      <c r="I8" s="108">
        <f t="shared" si="3"/>
        <v>7</v>
      </c>
      <c r="J8" s="108">
        <f t="shared" si="3"/>
        <v>7</v>
      </c>
      <c r="K8" s="108">
        <f t="shared" si="3"/>
        <v>6</v>
      </c>
      <c r="L8" s="158">
        <f t="shared" si="3"/>
        <v>6</v>
      </c>
    </row>
    <row r="9" spans="1:13" s="2" customFormat="1" ht="15" customHeight="1" thickBot="1">
      <c r="A9" s="13"/>
      <c r="C9" s="21"/>
      <c r="E9" s="21"/>
      <c r="F9" s="21"/>
      <c r="G9" s="21"/>
      <c r="H9" s="21"/>
      <c r="I9" s="21"/>
      <c r="J9" s="21"/>
      <c r="K9" s="21"/>
      <c r="L9" s="21"/>
    </row>
    <row r="10" spans="1:13" s="2" customFormat="1" ht="15" customHeight="1">
      <c r="A10" s="13"/>
      <c r="C10" s="21"/>
      <c r="D10" s="96" t="s">
        <v>20</v>
      </c>
      <c r="E10" s="97"/>
      <c r="F10" s="101">
        <f>COUNTIF(F$21:F$49,"1100-????")-COUNTIFS(F$48,"1100-????",$D$48,"Locum")-COUNTIFS(F$49,"1100-????",$D$49,"Locum")</f>
        <v>0</v>
      </c>
      <c r="G10" s="101">
        <f t="shared" ref="G10:L10" si="4">COUNTIF(G$21:G$49,"1100-????")-COUNTIFS(G$48,"1100-????",$D$48,"Locum")-COUNTIFS(G$49,"1100-????",$D$49,"Locum")</f>
        <v>0</v>
      </c>
      <c r="H10" s="101">
        <f t="shared" si="4"/>
        <v>0</v>
      </c>
      <c r="I10" s="101">
        <f t="shared" si="4"/>
        <v>0</v>
      </c>
      <c r="J10" s="101">
        <f t="shared" si="4"/>
        <v>0</v>
      </c>
      <c r="K10" s="101">
        <f t="shared" si="4"/>
        <v>0</v>
      </c>
      <c r="L10" s="101">
        <f t="shared" si="4"/>
        <v>0</v>
      </c>
    </row>
    <row r="11" spans="1:13" s="2" customFormat="1" ht="15" customHeight="1">
      <c r="A11" s="13"/>
      <c r="C11" s="21"/>
      <c r="D11" s="68" t="s">
        <v>21</v>
      </c>
      <c r="E11" s="67"/>
      <c r="F11" s="161">
        <f>COUNTIF(F$54:F$102,"1100-????")</f>
        <v>0</v>
      </c>
      <c r="G11" s="161">
        <f t="shared" ref="G11:L11" si="5">COUNTIF(G$54:G$102,"1100-????")</f>
        <v>0</v>
      </c>
      <c r="H11" s="161">
        <f t="shared" si="5"/>
        <v>1</v>
      </c>
      <c r="I11" s="161">
        <f t="shared" si="5"/>
        <v>1</v>
      </c>
      <c r="J11" s="161">
        <f t="shared" si="5"/>
        <v>0</v>
      </c>
      <c r="K11" s="161">
        <f t="shared" si="5"/>
        <v>0</v>
      </c>
      <c r="L11" s="161">
        <f t="shared" si="5"/>
        <v>0</v>
      </c>
    </row>
    <row r="12" spans="1:13" s="2" customFormat="1" ht="15" customHeight="1">
      <c r="A12" s="13"/>
      <c r="C12" s="21"/>
      <c r="D12" s="68" t="s">
        <v>22</v>
      </c>
      <c r="E12" s="67"/>
      <c r="F12" s="102">
        <f>COUNTIF(F$21:F$49,"1???-00?0")-COUNTIFS(F$48,"1???-00?0",$D$48,"Locum")-COUNTIFS(F$49,"1???-00?0",$D$49,"Locum")</f>
        <v>3</v>
      </c>
      <c r="G12" s="102">
        <f t="shared" ref="G12:L12" si="6">COUNTIF(G$21:G$49,"1???-00?0")-COUNTIFS(G$48,"1???-00?0",$D$48,"Locum")-COUNTIFS(G$49,"1???-00?0",$D$49,"Locum")</f>
        <v>2</v>
      </c>
      <c r="H12" s="102">
        <f t="shared" si="6"/>
        <v>2</v>
      </c>
      <c r="I12" s="102">
        <f t="shared" si="6"/>
        <v>2</v>
      </c>
      <c r="J12" s="102">
        <f t="shared" si="6"/>
        <v>3</v>
      </c>
      <c r="K12" s="102">
        <f t="shared" si="6"/>
        <v>2</v>
      </c>
      <c r="L12" s="102">
        <f t="shared" si="6"/>
        <v>2</v>
      </c>
    </row>
    <row r="13" spans="1:13" s="2" customFormat="1" ht="15" customHeight="1" thickBot="1">
      <c r="A13" s="13"/>
      <c r="C13" s="21"/>
      <c r="D13" s="68" t="s">
        <v>23</v>
      </c>
      <c r="E13" s="67"/>
      <c r="F13" s="109">
        <f>COUNTIF(F$54:F$102,"1???-0000*")</f>
        <v>9</v>
      </c>
      <c r="G13" s="109">
        <f t="shared" ref="G13:L13" si="7">COUNTIF(G$54:G$102,"1???-0000*")</f>
        <v>9</v>
      </c>
      <c r="H13" s="109">
        <f t="shared" si="7"/>
        <v>8</v>
      </c>
      <c r="I13" s="109">
        <f t="shared" si="7"/>
        <v>10</v>
      </c>
      <c r="J13" s="109">
        <f t="shared" si="7"/>
        <v>8</v>
      </c>
      <c r="K13" s="109">
        <f t="shared" si="7"/>
        <v>8</v>
      </c>
      <c r="L13" s="157">
        <f t="shared" si="7"/>
        <v>8</v>
      </c>
    </row>
    <row r="14" spans="1:13" s="2" customFormat="1" ht="15" customHeight="1" thickBot="1">
      <c r="A14" s="13"/>
      <c r="C14" s="21"/>
      <c r="D14" s="98" t="s">
        <v>24</v>
      </c>
      <c r="E14" s="99"/>
      <c r="F14" s="108">
        <f>F12+F13</f>
        <v>12</v>
      </c>
      <c r="G14" s="108">
        <f t="shared" ref="G14:L14" si="8">G12+G13</f>
        <v>11</v>
      </c>
      <c r="H14" s="108">
        <f t="shared" si="8"/>
        <v>10</v>
      </c>
      <c r="I14" s="108">
        <f t="shared" si="8"/>
        <v>12</v>
      </c>
      <c r="J14" s="108">
        <f t="shared" si="8"/>
        <v>11</v>
      </c>
      <c r="K14" s="108">
        <f t="shared" si="8"/>
        <v>10</v>
      </c>
      <c r="L14" s="158">
        <f t="shared" si="8"/>
        <v>10</v>
      </c>
    </row>
    <row r="15" spans="1:13" s="2" customFormat="1" ht="15" customHeight="1" thickBot="1">
      <c r="A15" s="13"/>
      <c r="C15" s="21"/>
      <c r="E15" s="21"/>
      <c r="F15" s="21"/>
      <c r="G15" s="21"/>
      <c r="H15" s="21"/>
      <c r="I15" s="21"/>
      <c r="J15" s="21"/>
      <c r="K15" s="21"/>
      <c r="L15" s="21"/>
    </row>
    <row r="16" spans="1:13" s="2" customFormat="1" ht="15" customHeight="1" thickBot="1">
      <c r="A16" s="13"/>
      <c r="C16" s="21"/>
      <c r="D16" s="100" t="s">
        <v>25</v>
      </c>
      <c r="E16" s="72"/>
      <c r="F16" s="66">
        <f t="shared" ref="F16:L16" si="9">COUNTIF(F$54:F$99,"2300-0830")</f>
        <v>4</v>
      </c>
      <c r="G16" s="66">
        <f t="shared" si="9"/>
        <v>4</v>
      </c>
      <c r="H16" s="66">
        <f t="shared" si="9"/>
        <v>4</v>
      </c>
      <c r="I16" s="66">
        <f t="shared" si="9"/>
        <v>4</v>
      </c>
      <c r="J16" s="66">
        <f t="shared" si="9"/>
        <v>5</v>
      </c>
      <c r="K16" s="66">
        <f t="shared" si="9"/>
        <v>5</v>
      </c>
      <c r="L16" s="159">
        <f t="shared" si="9"/>
        <v>5</v>
      </c>
    </row>
    <row r="17" spans="1:25" s="2" customFormat="1" ht="15" customHeight="1" thickBot="1">
      <c r="A17" s="13"/>
      <c r="C17" s="21"/>
      <c r="E17" s="21"/>
      <c r="F17" s="21"/>
      <c r="G17" s="21"/>
      <c r="H17" s="21"/>
      <c r="I17" s="21"/>
      <c r="J17" s="21"/>
      <c r="K17" s="21"/>
      <c r="L17" s="21"/>
    </row>
    <row r="18" spans="1:25" s="2" customFormat="1" ht="15" customHeight="1" thickBot="1">
      <c r="A18" s="13"/>
      <c r="C18" s="21"/>
      <c r="D18" s="61" t="s">
        <v>26</v>
      </c>
      <c r="E18" s="62" t="s">
        <v>4</v>
      </c>
      <c r="F18" s="62" t="s">
        <v>5</v>
      </c>
      <c r="G18" s="62" t="s">
        <v>6</v>
      </c>
      <c r="H18" s="62" t="s">
        <v>7</v>
      </c>
      <c r="I18" s="62" t="s">
        <v>8</v>
      </c>
      <c r="J18" s="62" t="s">
        <v>9</v>
      </c>
      <c r="K18" s="62" t="s">
        <v>10</v>
      </c>
      <c r="L18" s="63" t="s">
        <v>11</v>
      </c>
      <c r="N18" s="145" t="s">
        <v>27</v>
      </c>
      <c r="O18" s="145" t="s">
        <v>28</v>
      </c>
      <c r="P18" s="136" t="s">
        <v>29</v>
      </c>
      <c r="R18" s="146" t="s">
        <v>30</v>
      </c>
      <c r="S18" s="145" t="s">
        <v>31</v>
      </c>
    </row>
    <row r="19" spans="1:25" s="2" customFormat="1" ht="15" customHeight="1" thickBot="1">
      <c r="A19" s="13"/>
      <c r="C19" s="21"/>
      <c r="D19" s="93"/>
      <c r="E19" s="91"/>
      <c r="F19" s="92">
        <f>F2</f>
        <v>46174</v>
      </c>
      <c r="G19" s="64">
        <f t="shared" ref="G19:L19" si="10">F19+1</f>
        <v>46175</v>
      </c>
      <c r="H19" s="64">
        <f t="shared" si="10"/>
        <v>46176</v>
      </c>
      <c r="I19" s="64">
        <f t="shared" si="10"/>
        <v>46177</v>
      </c>
      <c r="J19" s="64">
        <f t="shared" si="10"/>
        <v>46178</v>
      </c>
      <c r="K19" s="64">
        <f t="shared" si="10"/>
        <v>46179</v>
      </c>
      <c r="L19" s="65">
        <f t="shared" si="10"/>
        <v>46180</v>
      </c>
      <c r="N19" s="147" t="s">
        <v>32</v>
      </c>
      <c r="O19" s="21" t="s">
        <v>32</v>
      </c>
      <c r="P19" s="148"/>
      <c r="R19" s="149" t="s">
        <v>32</v>
      </c>
      <c r="S19" s="147" t="s">
        <v>32</v>
      </c>
      <c r="U19" s="2" t="s">
        <v>33</v>
      </c>
      <c r="V19" s="142" t="s">
        <v>34</v>
      </c>
      <c r="W19" s="2" t="s">
        <v>35</v>
      </c>
      <c r="X19" s="2" t="s">
        <v>36</v>
      </c>
      <c r="Y19" s="2" t="s">
        <v>37</v>
      </c>
    </row>
    <row r="20" spans="1:25" s="2" customFormat="1" ht="15.75" customHeight="1" thickBot="1">
      <c r="A20" s="114" t="s">
        <v>38</v>
      </c>
      <c r="B20" s="115"/>
      <c r="C20" s="116"/>
      <c r="D20" s="117" t="s">
        <v>38</v>
      </c>
      <c r="E20" s="155"/>
      <c r="F20" s="118"/>
      <c r="G20" s="119"/>
      <c r="H20" s="119"/>
      <c r="I20" s="119"/>
      <c r="J20" s="119"/>
      <c r="K20" s="119"/>
      <c r="L20" s="120"/>
      <c r="N20" s="160"/>
      <c r="O20" s="160"/>
      <c r="P20" s="150"/>
      <c r="R20" s="151"/>
      <c r="S20" s="160"/>
      <c r="T20" s="160"/>
      <c r="U20" s="160"/>
      <c r="V20" s="142"/>
    </row>
    <row r="21" spans="1:25" s="2" customFormat="1" ht="15" customHeight="1">
      <c r="A21" s="162" t="s">
        <v>39</v>
      </c>
      <c r="B21" s="162"/>
      <c r="C21" s="164"/>
      <c r="D21" s="234" t="s">
        <v>40</v>
      </c>
      <c r="E21" s="165">
        <f>IFERROR(VLOOKUP(D21,'Employee Numbers'!$A$3:$B$84,2,FALSE),"NOT FOUND")</f>
        <v>287628</v>
      </c>
      <c r="F21" s="235" t="s">
        <v>41</v>
      </c>
      <c r="G21" s="236" t="s">
        <v>41</v>
      </c>
      <c r="H21" s="236" t="s">
        <v>41</v>
      </c>
      <c r="I21" s="236" t="s">
        <v>41</v>
      </c>
      <c r="J21" s="236"/>
      <c r="K21" s="236"/>
      <c r="L21" s="237" t="s">
        <v>44</v>
      </c>
      <c r="N21">
        <f t="array" ref="N21">((SUM(IFERROR((TEXT(IF(ISNUMBER(SEARCH("-", F21:L21)), MID(F21:L21, SEARCH("-", F21:L21) + 1, 4), ""), "00\:00") - TEXT(IF(ISNUMBER(SEARCH("-", F21:L21)), MID(F21:L21, SEARCH("-", F21:L21) - 4, 4), ""), "00\:00") + IF(TEXT(IF(ISNUMBER(SEARCH("-", F21:L21)), MID(F21:L21, SEARCH("-", F21:L21) + 1, 4), ""), "00\:00") &lt; TEXT(IF(ISNUMBER(SEARCH("-", F21:L21)), MID(F21:L21, SEARCH("-", F21:L21) - 4, 4), ""), "00\:00"), 1, 0))*24,""))))/9.5</f>
        <v>5</v>
      </c>
      <c r="O21"/>
      <c r="P21" s="151">
        <f>N21+O21</f>
        <v>5</v>
      </c>
      <c r="R21" s="4">
        <f ca="1">IF($C$4=1,SUM(P21+INDIRECT("'Week "&amp;($B$3+1)&amp;"'!P"&amp;(ROW()))),IF($C$4=2,SUM(P21+INDIRECT("'Week "&amp;($B$3-1)&amp;"'!P"&amp;(ROW())))))</f>
        <v>10</v>
      </c>
      <c r="S21" s="2">
        <f>(IFERROR(VLOOKUP(D21,'Employee Numbers'!$A$3:$C$84,3,FALSE),"NOT FOUND"))*8</f>
        <v>8</v>
      </c>
      <c r="U21" s="142">
        <f>COUNTIF(E21:K21,"0800-1730")</f>
        <v>0</v>
      </c>
      <c r="V21" s="142">
        <f>COUNTIF(F21:L21,"1???-00?0")</f>
        <v>0</v>
      </c>
      <c r="W21" s="2">
        <f>COUNTIF(F21:L21,"*0800-1730*CS*")+COUNTIF(F21:L21,"*0800-1730*DEMT*")</f>
        <v>4</v>
      </c>
      <c r="Y21" s="2">
        <f>COUNTIF(K21:L21,"???0-*")</f>
        <v>1</v>
      </c>
    </row>
    <row r="22" spans="1:25" s="2" customFormat="1" ht="15" customHeight="1">
      <c r="A22" s="2" t="s">
        <v>39</v>
      </c>
      <c r="B22" s="46"/>
      <c r="C22" s="21"/>
      <c r="D22" s="227" t="s">
        <v>43</v>
      </c>
      <c r="E22" s="226">
        <f>IFERROR(VLOOKUP(D22,'Employee Numbers'!$A$3:$B$84,2,FALSE),"NOT FOUND")</f>
        <v>609660</v>
      </c>
      <c r="F22" s="250" t="s">
        <v>176</v>
      </c>
      <c r="G22" s="251" t="s">
        <v>176</v>
      </c>
      <c r="H22" s="251" t="s">
        <v>176</v>
      </c>
      <c r="I22" s="251" t="s">
        <v>176</v>
      </c>
      <c r="J22" s="251" t="s">
        <v>176</v>
      </c>
      <c r="K22" s="251" t="s">
        <v>176</v>
      </c>
      <c r="L22" s="252" t="s">
        <v>176</v>
      </c>
      <c r="N22">
        <f t="array" ref="N22">((SUM(IFERROR((TEXT(IF(ISNUMBER(SEARCH("-", F22:L22)), MID(F22:L22, SEARCH("-", F22:L22) + 1, 4), ""), "00\:00") - TEXT(IF(ISNUMBER(SEARCH("-", F22:L22)), MID(F22:L22, SEARCH("-", F22:L22) - 4, 4), ""), "00\:00") + IF(TEXT(IF(ISNUMBER(SEARCH("-", F22:L22)), MID(F22:L22, SEARCH("-", F22:L22) + 1, 4), ""), "00\:00") &lt; TEXT(IF(ISNUMBER(SEARCH("-", F22:L22)), MID(F22:L22, SEARCH("-", F22:L22) - 4, 4), ""), "00\:00"), 1, 0))*24,""))))/9.5</f>
        <v>0</v>
      </c>
      <c r="O22">
        <v>4</v>
      </c>
      <c r="P22" s="151">
        <f t="shared" ref="P22:P47" si="11">N22+O22</f>
        <v>4</v>
      </c>
      <c r="R22" s="4">
        <f t="shared" ref="R22:R47" ca="1" si="12">IF($C$4=1,SUM(P22+INDIRECT("'Week "&amp;($B$3+1)&amp;"'!P"&amp;(ROW()))),IF($C$4=2,SUM(P22+INDIRECT("'Week "&amp;($B$3-1)&amp;"'!P"&amp;(ROW())))))</f>
        <v>8</v>
      </c>
      <c r="S22" s="2">
        <f>(IFERROR(VLOOKUP(D22,'Employee Numbers'!$A$3:$C$84,3,FALSE),"NOT FOUND"))*8</f>
        <v>8</v>
      </c>
      <c r="U22" s="142">
        <f t="shared" ref="U22:U47" si="13">COUNTIF(E22:K22,"0800-1730")</f>
        <v>0</v>
      </c>
      <c r="V22" s="142">
        <f t="shared" ref="V22:V47" si="14">COUNTIF(F22:L22,"1???-00?0")</f>
        <v>0</v>
      </c>
      <c r="W22" s="2">
        <f t="shared" ref="W22:W47" si="15">COUNTIF(F22:L22,"*0800-1730*CS*")+COUNTIF(F22:L22,"*0800-1730*DEMT*")</f>
        <v>0</v>
      </c>
      <c r="Y22" s="2">
        <f t="shared" ref="Y22:Y47" si="16">COUNTIF(K22:L22,"???0-*")</f>
        <v>0</v>
      </c>
    </row>
    <row r="23" spans="1:25" s="2" customFormat="1" ht="15" customHeight="1">
      <c r="A23" s="162" t="s">
        <v>39</v>
      </c>
      <c r="B23" s="163"/>
      <c r="C23" s="238"/>
      <c r="D23" s="239" t="s">
        <v>45</v>
      </c>
      <c r="E23" s="165">
        <f>IFERROR(VLOOKUP(D23,'Employee Numbers'!$A$3:$B$84,2,FALSE),"NOT FOUND")</f>
        <v>610036</v>
      </c>
      <c r="F23" s="166" t="s">
        <v>41</v>
      </c>
      <c r="G23" s="166" t="s">
        <v>44</v>
      </c>
      <c r="H23" s="166" t="s">
        <v>42</v>
      </c>
      <c r="I23" s="166"/>
      <c r="J23" s="166" t="s">
        <v>46</v>
      </c>
      <c r="K23" s="166"/>
      <c r="L23" s="167"/>
      <c r="N23">
        <f t="array" ref="N23">((SUM(IFERROR((TEXT(IF(ISNUMBER(SEARCH("-", F23:L23)), MID(F23:L23, SEARCH("-", F23:L23) + 1, 4), ""), "00\:00") - TEXT(IF(ISNUMBER(SEARCH("-", F23:L23)), MID(F23:L23, SEARCH("-", F23:L23) - 4, 4), ""), "00\:00") + IF(TEXT(IF(ISNUMBER(SEARCH("-", F23:L23)), MID(F23:L23, SEARCH("-", F23:L23) + 1, 4), ""), "00\:00") &lt; TEXT(IF(ISNUMBER(SEARCH("-", F23:L23)), MID(F23:L23, SEARCH("-", F23:L23) - 4, 4), ""), "00\:00"), 1, 0))*24,""))))/9.5</f>
        <v>4</v>
      </c>
      <c r="O23"/>
      <c r="P23" s="151">
        <f t="shared" si="11"/>
        <v>4</v>
      </c>
      <c r="R23" s="4">
        <f t="shared" ca="1" si="12"/>
        <v>8</v>
      </c>
      <c r="S23" s="2">
        <f>(IFERROR(VLOOKUP(D23,'Employee Numbers'!$A$3:$C$84,3,FALSE),"NOT FOUND"))*8</f>
        <v>8</v>
      </c>
      <c r="U23" s="142">
        <f t="shared" si="13"/>
        <v>1</v>
      </c>
      <c r="V23" s="142">
        <f t="shared" si="14"/>
        <v>1</v>
      </c>
      <c r="W23" s="2">
        <f t="shared" si="15"/>
        <v>2</v>
      </c>
      <c r="Y23" s="2">
        <f t="shared" si="16"/>
        <v>0</v>
      </c>
    </row>
    <row r="24" spans="1:25" s="2" customFormat="1" ht="15" customHeight="1">
      <c r="A24" s="2" t="s">
        <v>39</v>
      </c>
      <c r="B24" s="46"/>
      <c r="C24" s="47"/>
      <c r="D24" s="227" t="s">
        <v>49</v>
      </c>
      <c r="E24" s="226">
        <f>IFERROR(VLOOKUP(D24,'Employee Numbers'!$A$3:$B$84,2,FALSE),"NOT FOUND")</f>
        <v>533509</v>
      </c>
      <c r="F24" s="29" t="s">
        <v>50</v>
      </c>
      <c r="G24" s="31" t="s">
        <v>50</v>
      </c>
      <c r="H24" s="31" t="s">
        <v>50</v>
      </c>
      <c r="I24" s="31" t="s">
        <v>50</v>
      </c>
      <c r="J24" s="31" t="s">
        <v>50</v>
      </c>
      <c r="K24" s="31" t="s">
        <v>50</v>
      </c>
      <c r="L24" s="228" t="s">
        <v>50</v>
      </c>
      <c r="N24">
        <f t="array" ref="N24">((SUM(IFERROR((TEXT(IF(ISNUMBER(SEARCH("-", F24:L24)), MID(F24:L24, SEARCH("-", F24:L24) + 1, 4), ""), "00\:00") - TEXT(IF(ISNUMBER(SEARCH("-", F24:L24)), MID(F24:L24, SEARCH("-", F24:L24) - 4, 4), ""), "00\:00") + IF(TEXT(IF(ISNUMBER(SEARCH("-", F24:L24)), MID(F24:L24, SEARCH("-", F24:L24) + 1, 4), ""), "00\:00") &lt; TEXT(IF(ISNUMBER(SEARCH("-", F24:L24)), MID(F24:L24, SEARCH("-", F24:L24) - 4, 4), ""), "00\:00"), 1, 0))*24,""))))/9.5</f>
        <v>0</v>
      </c>
      <c r="O24"/>
      <c r="P24" s="151">
        <f t="shared" si="11"/>
        <v>0</v>
      </c>
      <c r="R24" s="4">
        <f t="shared" ca="1" si="12"/>
        <v>0</v>
      </c>
      <c r="S24" s="2">
        <f>(IFERROR(VLOOKUP(D24,'Employee Numbers'!$A$3:$C$84,3,FALSE),"NOT FOUND"))*8</f>
        <v>0</v>
      </c>
      <c r="U24" s="142">
        <f t="shared" si="13"/>
        <v>0</v>
      </c>
      <c r="V24" s="142">
        <f t="shared" si="14"/>
        <v>0</v>
      </c>
      <c r="W24" s="2">
        <f t="shared" si="15"/>
        <v>0</v>
      </c>
      <c r="Y24" s="2">
        <f t="shared" si="16"/>
        <v>0</v>
      </c>
    </row>
    <row r="25" spans="1:25" s="2" customFormat="1" ht="15" customHeight="1">
      <c r="A25" s="162" t="s">
        <v>39</v>
      </c>
      <c r="B25" s="163"/>
      <c r="C25" s="238"/>
      <c r="D25" s="240" t="s">
        <v>51</v>
      </c>
      <c r="E25" s="165">
        <f>IFERROR(VLOOKUP(D25,'Employee Numbers'!$A$3:$B$84,2,FALSE),"NOT FOUND")</f>
        <v>625985</v>
      </c>
      <c r="F25" s="176" t="s">
        <v>42</v>
      </c>
      <c r="G25" s="166"/>
      <c r="H25" s="166" t="s">
        <v>44</v>
      </c>
      <c r="I25" s="166" t="s">
        <v>44</v>
      </c>
      <c r="J25" s="166" t="s">
        <v>41</v>
      </c>
      <c r="K25" s="166"/>
      <c r="L25" s="167"/>
      <c r="N25">
        <f t="array" ref="N25">((SUM(IFERROR((TEXT(IF(ISNUMBER(SEARCH("-", F25:L25)), MID(F25:L25, SEARCH("-", F25:L25) + 1, 4), ""), "00\:00") - TEXT(IF(ISNUMBER(SEARCH("-", F25:L25)), MID(F25:L25, SEARCH("-", F25:L25) - 4, 4), ""), "00\:00") + IF(TEXT(IF(ISNUMBER(SEARCH("-", F25:L25)), MID(F25:L25, SEARCH("-", F25:L25) + 1, 4), ""), "00\:00") &lt; TEXT(IF(ISNUMBER(SEARCH("-", F25:L25)), MID(F25:L25, SEARCH("-", F25:L25) - 4, 4), ""), "00\:00"), 1, 0))*24,""))))/9.5</f>
        <v>4</v>
      </c>
      <c r="O25"/>
      <c r="P25" s="151">
        <f t="shared" si="11"/>
        <v>4</v>
      </c>
      <c r="R25" s="4">
        <f t="shared" ca="1" si="12"/>
        <v>8</v>
      </c>
      <c r="S25" s="2">
        <f>(IFERROR(VLOOKUP(D25,'Employee Numbers'!$A$3:$C$84,3,FALSE),"NOT FOUND"))*8</f>
        <v>8</v>
      </c>
      <c r="U25" s="142">
        <f t="shared" si="13"/>
        <v>2</v>
      </c>
      <c r="V25" s="142">
        <f t="shared" si="14"/>
        <v>1</v>
      </c>
      <c r="W25" s="2">
        <f t="shared" si="15"/>
        <v>1</v>
      </c>
      <c r="Y25" s="2">
        <f t="shared" si="16"/>
        <v>0</v>
      </c>
    </row>
    <row r="26" spans="1:25" s="2" customFormat="1" ht="15" customHeight="1">
      <c r="A26" s="2" t="s">
        <v>39</v>
      </c>
      <c r="B26" s="46"/>
      <c r="C26" s="47"/>
      <c r="D26" s="227" t="s">
        <v>52</v>
      </c>
      <c r="E26" s="226">
        <f>IFERROR(VLOOKUP(D26,'Employee Numbers'!$A$3:$B$84,2,FALSE),"NOT FOUND")</f>
        <v>632301</v>
      </c>
      <c r="F26" s="29" t="s">
        <v>44</v>
      </c>
      <c r="G26" s="31" t="s">
        <v>44</v>
      </c>
      <c r="H26" s="31" t="s">
        <v>41</v>
      </c>
      <c r="I26" s="31" t="s">
        <v>42</v>
      </c>
      <c r="J26" s="31"/>
      <c r="K26" s="31"/>
      <c r="L26" s="228"/>
      <c r="M26" s="13"/>
      <c r="N26">
        <f t="array" ref="N26">((SUM(IFERROR((TEXT(IF(ISNUMBER(SEARCH("-", F26:L26)), MID(F26:L26, SEARCH("-", F26:L26) + 1, 4), ""), "00\:00") - TEXT(IF(ISNUMBER(SEARCH("-", F26:L26)), MID(F26:L26, SEARCH("-", F26:L26) - 4, 4), ""), "00\:00") + IF(TEXT(IF(ISNUMBER(SEARCH("-", F26:L26)), MID(F26:L26, SEARCH("-", F26:L26) + 1, 4), ""), "00\:00") &lt; TEXT(IF(ISNUMBER(SEARCH("-", F26:L26)), MID(F26:L26, SEARCH("-", F26:L26) - 4, 4), ""), "00\:00"), 1, 0))*24,""))))/9.5</f>
        <v>4</v>
      </c>
      <c r="O26"/>
      <c r="P26" s="151">
        <f t="shared" si="11"/>
        <v>4</v>
      </c>
      <c r="R26" s="4">
        <f t="shared" ca="1" si="12"/>
        <v>8</v>
      </c>
      <c r="S26" s="2">
        <f>(IFERROR(VLOOKUP(D26,'Employee Numbers'!$A$3:$C$84,3,FALSE),"NOT FOUND"))*8</f>
        <v>8</v>
      </c>
      <c r="U26" s="142">
        <f t="shared" si="13"/>
        <v>2</v>
      </c>
      <c r="V26" s="142">
        <f t="shared" si="14"/>
        <v>1</v>
      </c>
      <c r="W26" s="2">
        <f t="shared" si="15"/>
        <v>1</v>
      </c>
      <c r="Y26" s="2">
        <f t="shared" si="16"/>
        <v>0</v>
      </c>
    </row>
    <row r="27" spans="1:25" s="2" customFormat="1" ht="15" customHeight="1">
      <c r="A27" s="162" t="s">
        <v>39</v>
      </c>
      <c r="B27" s="163"/>
      <c r="C27" s="238"/>
      <c r="D27" s="240" t="s">
        <v>53</v>
      </c>
      <c r="E27" s="165">
        <f>IFERROR(VLOOKUP(D27,'Employee Numbers'!$A$3:$B$84,2,FALSE),"NOT FOUND")</f>
        <v>613891</v>
      </c>
      <c r="F27" s="176" t="s">
        <v>42</v>
      </c>
      <c r="G27" s="166"/>
      <c r="H27" s="166" t="s">
        <v>44</v>
      </c>
      <c r="I27" s="166"/>
      <c r="J27" s="166"/>
      <c r="K27" s="166" t="s">
        <v>54</v>
      </c>
      <c r="L27" s="167"/>
      <c r="M27" s="13"/>
      <c r="N27">
        <f t="array" ref="N27">((SUM(IFERROR((TEXT(IF(ISNUMBER(SEARCH("-", F27:L27)), MID(F27:L27, SEARCH("-", F27:L27) + 1, 4), ""), "00\:00") - TEXT(IF(ISNUMBER(SEARCH("-", F27:L27)), MID(F27:L27, SEARCH("-", F27:L27) - 4, 4), ""), "00\:00") + IF(TEXT(IF(ISNUMBER(SEARCH("-", F27:L27)), MID(F27:L27, SEARCH("-", F27:L27) + 1, 4), ""), "00\:00") &lt; TEXT(IF(ISNUMBER(SEARCH("-", F27:L27)), MID(F27:L27, SEARCH("-", F27:L27) - 4, 4), ""), "00\:00"), 1, 0))*24,""))))/9.5</f>
        <v>3</v>
      </c>
      <c r="O27"/>
      <c r="P27" s="151">
        <f t="shared" si="11"/>
        <v>3</v>
      </c>
      <c r="R27" s="4">
        <f t="shared" ca="1" si="12"/>
        <v>6</v>
      </c>
      <c r="S27" s="2">
        <f>(IFERROR(VLOOKUP(D27,'Employee Numbers'!$A$3:$C$84,3,FALSE),"NOT FOUND"))*8</f>
        <v>6</v>
      </c>
      <c r="U27" s="142">
        <f t="shared" si="13"/>
        <v>1</v>
      </c>
      <c r="V27" s="142">
        <f t="shared" si="14"/>
        <v>2</v>
      </c>
      <c r="W27" s="2">
        <f t="shared" si="15"/>
        <v>0</v>
      </c>
      <c r="Y27" s="2">
        <f t="shared" si="16"/>
        <v>1</v>
      </c>
    </row>
    <row r="28" spans="1:25" s="2" customFormat="1" ht="15" customHeight="1">
      <c r="A28" s="2" t="s">
        <v>39</v>
      </c>
      <c r="B28" s="46"/>
      <c r="C28" s="21"/>
      <c r="D28" s="227" t="s">
        <v>55</v>
      </c>
      <c r="E28" s="226">
        <f>IFERROR(VLOOKUP(D28,'Employee Numbers'!$A$3:$B$84,2,FALSE),"NOT FOUND")</f>
        <v>623657</v>
      </c>
      <c r="F28" s="29"/>
      <c r="G28" s="31"/>
      <c r="H28" s="31" t="s">
        <v>44</v>
      </c>
      <c r="I28" s="31"/>
      <c r="J28" s="31"/>
      <c r="K28" s="31"/>
      <c r="L28" s="228"/>
      <c r="N28">
        <f t="array" ref="N28">((SUM(IFERROR((TEXT(IF(ISNUMBER(SEARCH("-", F28:L28)), MID(F28:L28, SEARCH("-", F28:L28) + 1, 4), ""), "00\:00") - TEXT(IF(ISNUMBER(SEARCH("-", F28:L28)), MID(F28:L28, SEARCH("-", F28:L28) - 4, 4), ""), "00\:00") + IF(TEXT(IF(ISNUMBER(SEARCH("-", F28:L28)), MID(F28:L28, SEARCH("-", F28:L28) + 1, 4), ""), "00\:00") &lt; TEXT(IF(ISNUMBER(SEARCH("-", F28:L28)), MID(F28:L28, SEARCH("-", F28:L28) - 4, 4), ""), "00\:00"), 1, 0))*24,""))))/9.5</f>
        <v>1</v>
      </c>
      <c r="O28"/>
      <c r="P28" s="151">
        <f t="shared" si="11"/>
        <v>1</v>
      </c>
      <c r="R28" s="4">
        <f t="shared" ca="1" si="12"/>
        <v>3</v>
      </c>
      <c r="S28" s="2">
        <f>(IFERROR(VLOOKUP(D28,'Employee Numbers'!$A$3:$C$84,3,FALSE),"NOT FOUND"))*8</f>
        <v>2</v>
      </c>
      <c r="U28" s="142">
        <f t="shared" si="13"/>
        <v>1</v>
      </c>
      <c r="V28" s="142">
        <f t="shared" si="14"/>
        <v>0</v>
      </c>
      <c r="W28" s="2">
        <f t="shared" si="15"/>
        <v>0</v>
      </c>
      <c r="Y28" s="2">
        <f t="shared" si="16"/>
        <v>0</v>
      </c>
    </row>
    <row r="29" spans="1:25" s="2" customFormat="1" ht="15" customHeight="1">
      <c r="A29" s="162" t="s">
        <v>39</v>
      </c>
      <c r="B29" s="163"/>
      <c r="C29" s="164"/>
      <c r="D29" s="240" t="s">
        <v>56</v>
      </c>
      <c r="E29" s="165">
        <f>IFERROR(VLOOKUP(D29,'Employee Numbers'!$A$3:$B$84,2,FALSE),"NOT FOUND")</f>
        <v>623708</v>
      </c>
      <c r="F29" s="176" t="s">
        <v>42</v>
      </c>
      <c r="G29" s="166"/>
      <c r="H29" s="166" t="s">
        <v>42</v>
      </c>
      <c r="I29" s="166"/>
      <c r="J29" s="166" t="s">
        <v>44</v>
      </c>
      <c r="K29" s="166"/>
      <c r="L29" s="167"/>
      <c r="N29">
        <f t="array" ref="N29">((SUM(IFERROR((TEXT(IF(ISNUMBER(SEARCH("-", F29:L29)), MID(F29:L29, SEARCH("-", F29:L29) + 1, 4), ""), "00\:00") - TEXT(IF(ISNUMBER(SEARCH("-", F29:L29)), MID(F29:L29, SEARCH("-", F29:L29) - 4, 4), ""), "00\:00") + IF(TEXT(IF(ISNUMBER(SEARCH("-", F29:L29)), MID(F29:L29, SEARCH("-", F29:L29) + 1, 4), ""), "00\:00") &lt; TEXT(IF(ISNUMBER(SEARCH("-", F29:L29)), MID(F29:L29, SEARCH("-", F29:L29) - 4, 4), ""), "00\:00"), 1, 0))*24,""))))/9.5</f>
        <v>3</v>
      </c>
      <c r="O29"/>
      <c r="P29" s="151">
        <f t="shared" si="11"/>
        <v>3</v>
      </c>
      <c r="R29" s="4">
        <f t="shared" ca="1" si="12"/>
        <v>6</v>
      </c>
      <c r="S29" s="2">
        <f>(IFERROR(VLOOKUP(D29,'Employee Numbers'!$A$3:$C$84,3,FALSE),"NOT FOUND"))*8</f>
        <v>6</v>
      </c>
      <c r="U29" s="142">
        <f t="shared" si="13"/>
        <v>1</v>
      </c>
      <c r="V29" s="142">
        <f t="shared" si="14"/>
        <v>2</v>
      </c>
      <c r="W29" s="2">
        <f t="shared" si="15"/>
        <v>0</v>
      </c>
      <c r="Y29" s="2">
        <f t="shared" si="16"/>
        <v>0</v>
      </c>
    </row>
    <row r="30" spans="1:25" s="2" customFormat="1" ht="15" customHeight="1">
      <c r="A30" s="2" t="s">
        <v>39</v>
      </c>
      <c r="B30" s="46"/>
      <c r="C30" s="21"/>
      <c r="D30" s="227" t="s">
        <v>57</v>
      </c>
      <c r="E30" s="226">
        <f>IFERROR(VLOOKUP(D30,'Employee Numbers'!$A$3:$B$84,2,FALSE),"NOT FOUND")</f>
        <v>627680</v>
      </c>
      <c r="F30" s="29"/>
      <c r="G30" s="31"/>
      <c r="H30" s="31" t="s">
        <v>41</v>
      </c>
      <c r="I30" s="31" t="s">
        <v>42</v>
      </c>
      <c r="J30" s="31" t="s">
        <v>42</v>
      </c>
      <c r="K30" s="31"/>
      <c r="L30" s="228"/>
      <c r="N30">
        <f t="array" ref="N30">((SUM(IFERROR((TEXT(IF(ISNUMBER(SEARCH("-", F30:L30)), MID(F30:L30, SEARCH("-", F30:L30) + 1, 4), ""), "00\:00") - TEXT(IF(ISNUMBER(SEARCH("-", F30:L30)), MID(F30:L30, SEARCH("-", F30:L30) - 4, 4), ""), "00\:00") + IF(TEXT(IF(ISNUMBER(SEARCH("-", F30:L30)), MID(F30:L30, SEARCH("-", F30:L30) + 1, 4), ""), "00\:00") &lt; TEXT(IF(ISNUMBER(SEARCH("-", F30:L30)), MID(F30:L30, SEARCH("-", F30:L30) - 4, 4), ""), "00\:00"), 1, 0))*24,""))))/9.5</f>
        <v>3</v>
      </c>
      <c r="O30"/>
      <c r="P30" s="151">
        <f t="shared" si="11"/>
        <v>3</v>
      </c>
      <c r="R30" s="4">
        <f t="shared" ca="1" si="12"/>
        <v>6</v>
      </c>
      <c r="S30" s="2">
        <f>(IFERROR(VLOOKUP(D30,'Employee Numbers'!$A$3:$C$84,3,FALSE),"NOT FOUND"))*8</f>
        <v>6</v>
      </c>
      <c r="U30" s="142">
        <f t="shared" si="13"/>
        <v>0</v>
      </c>
      <c r="V30" s="142">
        <f t="shared" si="14"/>
        <v>2</v>
      </c>
      <c r="W30" s="2">
        <f t="shared" si="15"/>
        <v>1</v>
      </c>
      <c r="Y30" s="2">
        <f t="shared" si="16"/>
        <v>0</v>
      </c>
    </row>
    <row r="31" spans="1:25" s="2" customFormat="1" ht="15" customHeight="1">
      <c r="A31" s="162" t="s">
        <v>39</v>
      </c>
      <c r="B31" s="163"/>
      <c r="C31" s="164"/>
      <c r="D31" s="240" t="s">
        <v>58</v>
      </c>
      <c r="E31" s="165">
        <f>IFERROR(VLOOKUP(D31,'Employee Numbers'!$A$3:$B$84,2,FALSE),"NOT FOUND")</f>
        <v>633210</v>
      </c>
      <c r="F31" s="253" t="s">
        <v>176</v>
      </c>
      <c r="G31" s="254" t="s">
        <v>176</v>
      </c>
      <c r="H31" s="254" t="s">
        <v>176</v>
      </c>
      <c r="I31" s="254" t="s">
        <v>176</v>
      </c>
      <c r="J31" s="254" t="s">
        <v>176</v>
      </c>
      <c r="K31" s="254" t="s">
        <v>176</v>
      </c>
      <c r="L31" s="255" t="s">
        <v>176</v>
      </c>
      <c r="N31">
        <f t="array" ref="N31">((SUM(IFERROR((TEXT(IF(ISNUMBER(SEARCH("-", F31:L31)), MID(F31:L31, SEARCH("-", F31:L31) + 1, 4), ""), "00\:00") - TEXT(IF(ISNUMBER(SEARCH("-", F31:L31)), MID(F31:L31, SEARCH("-", F31:L31) - 4, 4), ""), "00\:00") + IF(TEXT(IF(ISNUMBER(SEARCH("-", F31:L31)), MID(F31:L31, SEARCH("-", F31:L31) + 1, 4), ""), "00\:00") &lt; TEXT(IF(ISNUMBER(SEARCH("-", F31:L31)), MID(F31:L31, SEARCH("-", F31:L31) - 4, 4), ""), "00\:00"), 1, 0))*24,""))))/9.5</f>
        <v>0</v>
      </c>
      <c r="O31">
        <v>3</v>
      </c>
      <c r="P31" s="151">
        <f t="shared" si="11"/>
        <v>3</v>
      </c>
      <c r="R31" s="4">
        <f t="shared" ca="1" si="12"/>
        <v>6</v>
      </c>
      <c r="S31" s="2">
        <f>(IFERROR(VLOOKUP(D31,'Employee Numbers'!$A$3:$C$84,3,FALSE),"NOT FOUND"))*8</f>
        <v>6</v>
      </c>
      <c r="U31" s="142">
        <f t="shared" si="13"/>
        <v>0</v>
      </c>
      <c r="V31" s="142">
        <f t="shared" si="14"/>
        <v>0</v>
      </c>
      <c r="W31" s="2">
        <f t="shared" si="15"/>
        <v>0</v>
      </c>
      <c r="Y31" s="2">
        <f t="shared" si="16"/>
        <v>0</v>
      </c>
    </row>
    <row r="32" spans="1:25" s="2" customFormat="1" ht="15" customHeight="1">
      <c r="A32" s="2" t="s">
        <v>39</v>
      </c>
      <c r="B32" s="46"/>
      <c r="C32" s="21"/>
      <c r="D32" s="230" t="s">
        <v>59</v>
      </c>
      <c r="E32" s="226">
        <f>IFERROR(VLOOKUP(D32,'Employee Numbers'!$A$3:$B$84,2,FALSE),"NOT FOUND")</f>
        <v>618952</v>
      </c>
      <c r="F32" s="29"/>
      <c r="G32" s="31" t="s">
        <v>44</v>
      </c>
      <c r="H32" s="31"/>
      <c r="I32" s="31" t="s">
        <v>41</v>
      </c>
      <c r="J32" s="31" t="s">
        <v>42</v>
      </c>
      <c r="K32" s="31"/>
      <c r="L32" s="228"/>
      <c r="N32">
        <f t="array" ref="N32">((SUM(IFERROR((TEXT(IF(ISNUMBER(SEARCH("-", F32:L32)), MID(F32:L32, SEARCH("-", F32:L32) + 1, 4), ""), "00\:00") - TEXT(IF(ISNUMBER(SEARCH("-", F32:L32)), MID(F32:L32, SEARCH("-", F32:L32) - 4, 4), ""), "00\:00") + IF(TEXT(IF(ISNUMBER(SEARCH("-", F32:L32)), MID(F32:L32, SEARCH("-", F32:L32) + 1, 4), ""), "00\:00") &lt; TEXT(IF(ISNUMBER(SEARCH("-", F32:L32)), MID(F32:L32, SEARCH("-", F32:L32) - 4, 4), ""), "00\:00"), 1, 0))*24,""))))/9.5</f>
        <v>3</v>
      </c>
      <c r="O32"/>
      <c r="P32" s="151">
        <f t="shared" si="11"/>
        <v>3</v>
      </c>
      <c r="R32" s="4">
        <f t="shared" ca="1" si="12"/>
        <v>6</v>
      </c>
      <c r="S32" s="2">
        <f>(IFERROR(VLOOKUP(D32,'Employee Numbers'!$A$3:$C$84,3,FALSE),"NOT FOUND"))*8</f>
        <v>6</v>
      </c>
      <c r="U32" s="142">
        <f t="shared" si="13"/>
        <v>1</v>
      </c>
      <c r="V32" s="142">
        <f t="shared" si="14"/>
        <v>1</v>
      </c>
      <c r="W32" s="2">
        <f t="shared" si="15"/>
        <v>1</v>
      </c>
      <c r="Y32" s="2">
        <f t="shared" si="16"/>
        <v>0</v>
      </c>
    </row>
    <row r="33" spans="1:25" s="2" customFormat="1" ht="15" customHeight="1">
      <c r="A33" s="162" t="s">
        <v>39</v>
      </c>
      <c r="B33" s="163"/>
      <c r="C33" s="164"/>
      <c r="D33" s="241" t="s">
        <v>61</v>
      </c>
      <c r="E33" s="165">
        <f>IFERROR(VLOOKUP(D33,'Employee Numbers'!$A$3:$B$84,2,FALSE),"NOT FOUND")</f>
        <v>649039</v>
      </c>
      <c r="F33" s="176" t="s">
        <v>44</v>
      </c>
      <c r="G33" s="166"/>
      <c r="H33" s="166"/>
      <c r="I33" s="166"/>
      <c r="J33" s="166" t="s">
        <v>42</v>
      </c>
      <c r="K33" s="166" t="s">
        <v>54</v>
      </c>
      <c r="L33" s="167"/>
      <c r="N33">
        <f t="array" ref="N33">((SUM(IFERROR((TEXT(IF(ISNUMBER(SEARCH("-", F33:L33)), MID(F33:L33, SEARCH("-", F33:L33) + 1, 4), ""), "00\:00") - TEXT(IF(ISNUMBER(SEARCH("-", F33:L33)), MID(F33:L33, SEARCH("-", F33:L33) - 4, 4), ""), "00\:00") + IF(TEXT(IF(ISNUMBER(SEARCH("-", F33:L33)), MID(F33:L33, SEARCH("-", F33:L33) + 1, 4), ""), "00\:00") &lt; TEXT(IF(ISNUMBER(SEARCH("-", F33:L33)), MID(F33:L33, SEARCH("-", F33:L33) - 4, 4), ""), "00\:00"), 1, 0))*24,""))))/9.5</f>
        <v>3</v>
      </c>
      <c r="O33"/>
      <c r="P33" s="151">
        <f t="shared" si="11"/>
        <v>3</v>
      </c>
      <c r="R33" s="4">
        <f t="shared" ca="1" si="12"/>
        <v>5</v>
      </c>
      <c r="S33" s="2">
        <f>(IFERROR(VLOOKUP(D33,'Employee Numbers'!$A$3:$C$84,3,FALSE),"NOT FOUND"))*8</f>
        <v>5</v>
      </c>
      <c r="U33" s="142">
        <f t="shared" si="13"/>
        <v>1</v>
      </c>
      <c r="V33" s="142">
        <f t="shared" si="14"/>
        <v>2</v>
      </c>
      <c r="W33" s="2">
        <f t="shared" si="15"/>
        <v>0</v>
      </c>
      <c r="Y33" s="2">
        <f t="shared" si="16"/>
        <v>1</v>
      </c>
    </row>
    <row r="34" spans="1:25" s="2" customFormat="1" ht="15" customHeight="1">
      <c r="A34" s="2" t="s">
        <v>39</v>
      </c>
      <c r="B34" s="46"/>
      <c r="C34" s="21"/>
      <c r="D34" s="227" t="s">
        <v>62</v>
      </c>
      <c r="E34" s="226">
        <f>IFERROR(VLOOKUP(D34,'Employee Numbers'!$A$3:$B$84,2,FALSE),"NOT FOUND")</f>
        <v>649671</v>
      </c>
      <c r="F34" s="250" t="s">
        <v>176</v>
      </c>
      <c r="G34" s="251" t="s">
        <v>176</v>
      </c>
      <c r="H34" s="251" t="s">
        <v>176</v>
      </c>
      <c r="I34" s="251" t="s">
        <v>176</v>
      </c>
      <c r="J34" s="251" t="s">
        <v>176</v>
      </c>
      <c r="K34" s="251" t="s">
        <v>176</v>
      </c>
      <c r="L34" s="252" t="s">
        <v>176</v>
      </c>
      <c r="N34">
        <f t="array" ref="N34">((SUM(IFERROR((TEXT(IF(ISNUMBER(SEARCH("-", F34:L34)), MID(F34:L34, SEARCH("-", F34:L34) + 1, 4), ""), "00\:00") - TEXT(IF(ISNUMBER(SEARCH("-", F34:L34)), MID(F34:L34, SEARCH("-", F34:L34) - 4, 4), ""), "00\:00") + IF(TEXT(IF(ISNUMBER(SEARCH("-", F34:L34)), MID(F34:L34, SEARCH("-", F34:L34) + 1, 4), ""), "00\:00") &lt; TEXT(IF(ISNUMBER(SEARCH("-", F34:L34)), MID(F34:L34, SEARCH("-", F34:L34) - 4, 4), ""), "00\:00"), 1, 0))*24,""))))/9.5</f>
        <v>0</v>
      </c>
      <c r="O34">
        <v>3</v>
      </c>
      <c r="P34" s="151">
        <f t="shared" si="11"/>
        <v>3</v>
      </c>
      <c r="R34" s="4">
        <f t="shared" ca="1" si="12"/>
        <v>6</v>
      </c>
      <c r="S34" s="2">
        <f>(IFERROR(VLOOKUP(D34,'Employee Numbers'!$A$3:$C$84,3,FALSE),"NOT FOUND"))*8</f>
        <v>6</v>
      </c>
      <c r="U34" s="142">
        <f t="shared" si="13"/>
        <v>0</v>
      </c>
      <c r="V34" s="142">
        <f t="shared" si="14"/>
        <v>0</v>
      </c>
      <c r="W34" s="2">
        <f t="shared" si="15"/>
        <v>0</v>
      </c>
      <c r="Y34" s="2">
        <f t="shared" si="16"/>
        <v>0</v>
      </c>
    </row>
    <row r="35" spans="1:25" s="2" customFormat="1" ht="15" customHeight="1">
      <c r="A35" s="162" t="s">
        <v>39</v>
      </c>
      <c r="B35" s="163"/>
      <c r="C35" s="164"/>
      <c r="D35" s="240" t="s">
        <v>64</v>
      </c>
      <c r="E35" s="165">
        <f>IFERROR(VLOOKUP(D35,'Employee Numbers'!$A$3:$B$84,2,FALSE),"NOT FOUND")</f>
        <v>646047</v>
      </c>
      <c r="F35" s="176" t="s">
        <v>63</v>
      </c>
      <c r="G35" s="166"/>
      <c r="H35" s="166"/>
      <c r="I35" s="166"/>
      <c r="J35" s="166" t="s">
        <v>44</v>
      </c>
      <c r="K35" s="166"/>
      <c r="L35" s="167" t="s">
        <v>54</v>
      </c>
      <c r="N35">
        <f t="array" ref="N35">((SUM(IFERROR((TEXT(IF(ISNUMBER(SEARCH("-", F35:L35)), MID(F35:L35, SEARCH("-", F35:L35) + 1, 4), ""), "00\:00") - TEXT(IF(ISNUMBER(SEARCH("-", F35:L35)), MID(F35:L35, SEARCH("-", F35:L35) - 4, 4), ""), "00\:00") + IF(TEXT(IF(ISNUMBER(SEARCH("-", F35:L35)), MID(F35:L35, SEARCH("-", F35:L35) + 1, 4), ""), "00\:00") &lt; TEXT(IF(ISNUMBER(SEARCH("-", F35:L35)), MID(F35:L35, SEARCH("-", F35:L35) - 4, 4), ""), "00\:00"), 1, 0))*24,""))))/9.5</f>
        <v>3</v>
      </c>
      <c r="O35"/>
      <c r="P35" s="151">
        <f t="shared" si="11"/>
        <v>3</v>
      </c>
      <c r="R35" s="4">
        <f t="shared" ca="1" si="12"/>
        <v>5</v>
      </c>
      <c r="S35" s="2">
        <f>(IFERROR(VLOOKUP(D35,'Employee Numbers'!$A$3:$C$84,3,FALSE),"NOT FOUND"))*8</f>
        <v>5</v>
      </c>
      <c r="U35" s="142">
        <f t="shared" si="13"/>
        <v>1</v>
      </c>
      <c r="V35" s="142">
        <f t="shared" si="14"/>
        <v>1</v>
      </c>
      <c r="W35" s="2">
        <f t="shared" si="15"/>
        <v>1</v>
      </c>
      <c r="Y35" s="2">
        <f t="shared" si="16"/>
        <v>1</v>
      </c>
    </row>
    <row r="36" spans="1:25" s="2" customFormat="1" ht="15" customHeight="1">
      <c r="A36" s="2" t="s">
        <v>39</v>
      </c>
      <c r="B36" s="46"/>
      <c r="C36" s="21"/>
      <c r="D36" s="229" t="s">
        <v>66</v>
      </c>
      <c r="E36" s="226">
        <f>IFERROR(VLOOKUP(D36,'Employee Numbers'!$A$3:$B$84,2,FALSE),"NOT FOUND")</f>
        <v>164003</v>
      </c>
      <c r="F36" s="29"/>
      <c r="G36" s="31"/>
      <c r="H36" s="31" t="s">
        <v>41</v>
      </c>
      <c r="I36" s="31"/>
      <c r="J36" s="31"/>
      <c r="K36" s="31" t="s">
        <v>44</v>
      </c>
      <c r="L36" s="228"/>
      <c r="N36">
        <f t="array" ref="N36">((SUM(IFERROR((TEXT(IF(ISNUMBER(SEARCH("-", F36:L36)), MID(F36:L36, SEARCH("-", F36:L36) + 1, 4), ""), "00\:00") - TEXT(IF(ISNUMBER(SEARCH("-", F36:L36)), MID(F36:L36, SEARCH("-", F36:L36) - 4, 4), ""), "00\:00") + IF(TEXT(IF(ISNUMBER(SEARCH("-", F36:L36)), MID(F36:L36, SEARCH("-", F36:L36) + 1, 4), ""), "00\:00") &lt; TEXT(IF(ISNUMBER(SEARCH("-", F36:L36)), MID(F36:L36, SEARCH("-", F36:L36) - 4, 4), ""), "00\:00"), 1, 0))*24,""))))/9.5</f>
        <v>2</v>
      </c>
      <c r="O36"/>
      <c r="P36" s="151">
        <f t="shared" si="11"/>
        <v>2</v>
      </c>
      <c r="R36" s="4">
        <f t="shared" ca="1" si="12"/>
        <v>4</v>
      </c>
      <c r="S36" s="2">
        <f>(IFERROR(VLOOKUP(D36,'Employee Numbers'!$A$3:$C$84,3,FALSE),"NOT FOUND"))*8</f>
        <v>4</v>
      </c>
      <c r="U36" s="142">
        <f t="shared" si="13"/>
        <v>1</v>
      </c>
      <c r="V36" s="142">
        <f t="shared" si="14"/>
        <v>0</v>
      </c>
      <c r="W36" s="2">
        <f t="shared" si="15"/>
        <v>1</v>
      </c>
      <c r="Y36" s="2">
        <f t="shared" si="16"/>
        <v>1</v>
      </c>
    </row>
    <row r="37" spans="1:25" s="2" customFormat="1" ht="15" customHeight="1">
      <c r="A37" s="162" t="s">
        <v>39</v>
      </c>
      <c r="B37" s="163"/>
      <c r="C37" s="164"/>
      <c r="D37" s="240" t="s">
        <v>67</v>
      </c>
      <c r="E37" s="165">
        <f>IFERROR(VLOOKUP(D37,'Employee Numbers'!$A$3:$B$84,2,FALSE),"NOT FOUND")</f>
        <v>609408</v>
      </c>
      <c r="F37" s="176"/>
      <c r="G37" s="166" t="s">
        <v>42</v>
      </c>
      <c r="H37" s="166" t="s">
        <v>41</v>
      </c>
      <c r="I37" s="166" t="s">
        <v>44</v>
      </c>
      <c r="J37" s="166" t="s">
        <v>44</v>
      </c>
      <c r="K37" s="166"/>
      <c r="L37" s="167"/>
      <c r="N37">
        <f t="array" ref="N37">((SUM(IFERROR((TEXT(IF(ISNUMBER(SEARCH("-", F37:L37)), MID(F37:L37, SEARCH("-", F37:L37) + 1, 4), ""), "00\:00") - TEXT(IF(ISNUMBER(SEARCH("-", F37:L37)), MID(F37:L37, SEARCH("-", F37:L37) - 4, 4), ""), "00\:00") + IF(TEXT(IF(ISNUMBER(SEARCH("-", F37:L37)), MID(F37:L37, SEARCH("-", F37:L37) + 1, 4), ""), "00\:00") &lt; TEXT(IF(ISNUMBER(SEARCH("-", F37:L37)), MID(F37:L37, SEARCH("-", F37:L37) - 4, 4), ""), "00\:00"), 1, 0))*24,""))))/9.5</f>
        <v>4</v>
      </c>
      <c r="O37"/>
      <c r="P37" s="151">
        <f t="shared" si="11"/>
        <v>4</v>
      </c>
      <c r="R37" s="4">
        <f t="shared" ca="1" si="12"/>
        <v>4</v>
      </c>
      <c r="S37" s="2">
        <f>(IFERROR(VLOOKUP(D37,'Employee Numbers'!$A$3:$C$84,3,FALSE),"NOT FOUND"))*8</f>
        <v>4</v>
      </c>
      <c r="U37" s="142">
        <f t="shared" si="13"/>
        <v>2</v>
      </c>
      <c r="V37" s="142">
        <f t="shared" si="14"/>
        <v>1</v>
      </c>
      <c r="W37" s="2">
        <f t="shared" si="15"/>
        <v>1</v>
      </c>
      <c r="Y37" s="2">
        <f t="shared" si="16"/>
        <v>0</v>
      </c>
    </row>
    <row r="38" spans="1:25" s="2" customFormat="1" ht="15" customHeight="1">
      <c r="A38" s="2" t="s">
        <v>39</v>
      </c>
      <c r="B38" s="46"/>
      <c r="C38" s="21"/>
      <c r="D38" s="227" t="s">
        <v>68</v>
      </c>
      <c r="E38" s="226">
        <f>IFERROR(VLOOKUP(D38,'Employee Numbers'!$A$3:$B$84,2,FALSE),"NOT FOUND")</f>
        <v>627619</v>
      </c>
      <c r="F38" s="29" t="s">
        <v>44</v>
      </c>
      <c r="G38" s="31"/>
      <c r="H38" s="31"/>
      <c r="I38" s="31" t="s">
        <v>41</v>
      </c>
      <c r="J38" s="31"/>
      <c r="K38" s="31"/>
      <c r="L38" s="228"/>
      <c r="N38">
        <f t="array" ref="N38">((SUM(IFERROR((TEXT(IF(ISNUMBER(SEARCH("-", F38:L38)), MID(F38:L38, SEARCH("-", F38:L38) + 1, 4), ""), "00\:00") - TEXT(IF(ISNUMBER(SEARCH("-", F38:L38)), MID(F38:L38, SEARCH("-", F38:L38) - 4, 4), ""), "00\:00") + IF(TEXT(IF(ISNUMBER(SEARCH("-", F38:L38)), MID(F38:L38, SEARCH("-", F38:L38) + 1, 4), ""), "00\:00") &lt; TEXT(IF(ISNUMBER(SEARCH("-", F38:L38)), MID(F38:L38, SEARCH("-", F38:L38) - 4, 4), ""), "00\:00"), 1, 0))*24,""))))/9.5</f>
        <v>2</v>
      </c>
      <c r="O38"/>
      <c r="P38" s="151">
        <f t="shared" si="11"/>
        <v>2</v>
      </c>
      <c r="R38" s="4">
        <f t="shared" ca="1" si="12"/>
        <v>4</v>
      </c>
      <c r="S38" s="2">
        <f>(IFERROR(VLOOKUP(D38,'Employee Numbers'!$A$3:$C$84,3,FALSE),"NOT FOUND"))*8</f>
        <v>4</v>
      </c>
      <c r="U38" s="142">
        <f t="shared" si="13"/>
        <v>1</v>
      </c>
      <c r="V38" s="142">
        <f t="shared" si="14"/>
        <v>0</v>
      </c>
      <c r="W38" s="2">
        <f t="shared" si="15"/>
        <v>1</v>
      </c>
      <c r="Y38" s="2">
        <f t="shared" si="16"/>
        <v>0</v>
      </c>
    </row>
    <row r="39" spans="1:25" s="2" customFormat="1" ht="15" customHeight="1">
      <c r="A39" s="162" t="s">
        <v>39</v>
      </c>
      <c r="B39" s="163"/>
      <c r="C39" s="164"/>
      <c r="D39" s="240" t="s">
        <v>71</v>
      </c>
      <c r="E39" s="165">
        <f>IFERROR(VLOOKUP(D39,'Employee Numbers'!$A$3:$B$84,2,FALSE),"NOT FOUND")</f>
        <v>632646</v>
      </c>
      <c r="F39" s="253" t="s">
        <v>176</v>
      </c>
      <c r="G39" s="254" t="s">
        <v>176</v>
      </c>
      <c r="H39" s="254" t="s">
        <v>176</v>
      </c>
      <c r="I39" s="254" t="s">
        <v>176</v>
      </c>
      <c r="J39" s="254" t="s">
        <v>176</v>
      </c>
      <c r="K39" s="254" t="s">
        <v>176</v>
      </c>
      <c r="L39" s="255" t="s">
        <v>176</v>
      </c>
      <c r="N39">
        <f t="array" ref="N39">((SUM(IFERROR((TEXT(IF(ISNUMBER(SEARCH("-", F39:L39)), MID(F39:L39, SEARCH("-", F39:L39) + 1, 4), ""), "00\:00") - TEXT(IF(ISNUMBER(SEARCH("-", F39:L39)), MID(F39:L39, SEARCH("-", F39:L39) - 4, 4), ""), "00\:00") + IF(TEXT(IF(ISNUMBER(SEARCH("-", F39:L39)), MID(F39:L39, SEARCH("-", F39:L39) + 1, 4), ""), "00\:00") &lt; TEXT(IF(ISNUMBER(SEARCH("-", F39:L39)), MID(F39:L39, SEARCH("-", F39:L39) - 4, 4), ""), "00\:00"), 1, 0))*24,""))))/9.5</f>
        <v>0</v>
      </c>
      <c r="O39">
        <v>4</v>
      </c>
      <c r="P39" s="151">
        <f t="shared" si="11"/>
        <v>4</v>
      </c>
      <c r="R39" s="4">
        <f t="shared" ca="1" si="12"/>
        <v>4</v>
      </c>
      <c r="S39" s="2">
        <f>(IFERROR(VLOOKUP(D39,'Employee Numbers'!$A$3:$C$84,3,FALSE),"NOT FOUND"))*8</f>
        <v>4</v>
      </c>
      <c r="U39" s="142">
        <f t="shared" si="13"/>
        <v>0</v>
      </c>
      <c r="V39" s="142">
        <f t="shared" si="14"/>
        <v>0</v>
      </c>
      <c r="W39" s="2">
        <f t="shared" si="15"/>
        <v>0</v>
      </c>
      <c r="Y39" s="2">
        <f t="shared" si="16"/>
        <v>0</v>
      </c>
    </row>
    <row r="40" spans="1:25" s="2" customFormat="1" ht="15" customHeight="1">
      <c r="A40" s="2" t="s">
        <v>39</v>
      </c>
      <c r="B40" s="46"/>
      <c r="C40" s="21"/>
      <c r="D40" s="229" t="s">
        <v>72</v>
      </c>
      <c r="E40" s="226">
        <f>IFERROR(VLOOKUP(D40,'Employee Numbers'!$A$3:$B$84,2,FALSE),"NOT FOUND")</f>
        <v>652844</v>
      </c>
      <c r="F40" s="29"/>
      <c r="G40" s="31"/>
      <c r="H40" s="31"/>
      <c r="I40" s="31"/>
      <c r="J40" s="31"/>
      <c r="K40" s="31"/>
      <c r="L40" s="228"/>
      <c r="N40">
        <f t="array" ref="N40">((SUM(IFERROR((TEXT(IF(ISNUMBER(SEARCH("-", F40:L40)), MID(F40:L40, SEARCH("-", F40:L40) + 1, 4), ""), "00\:00") - TEXT(IF(ISNUMBER(SEARCH("-", F40:L40)), MID(F40:L40, SEARCH("-", F40:L40) - 4, 4), ""), "00\:00") + IF(TEXT(IF(ISNUMBER(SEARCH("-", F40:L40)), MID(F40:L40, SEARCH("-", F40:L40) + 1, 4), ""), "00\:00") &lt; TEXT(IF(ISNUMBER(SEARCH("-", F40:L40)), MID(F40:L40, SEARCH("-", F40:L40) - 4, 4), ""), "00\:00"), 1, 0))*24,""))))/9.5</f>
        <v>0</v>
      </c>
      <c r="O40"/>
      <c r="P40" s="151">
        <f t="shared" si="11"/>
        <v>0</v>
      </c>
      <c r="R40" s="4">
        <f t="shared" ca="1" si="12"/>
        <v>4</v>
      </c>
      <c r="S40" s="2">
        <f>(IFERROR(VLOOKUP(D40,'Employee Numbers'!$A$3:$C$84,3,FALSE),"NOT FOUND"))*8</f>
        <v>4</v>
      </c>
      <c r="U40" s="142">
        <f t="shared" si="13"/>
        <v>0</v>
      </c>
      <c r="V40" s="142">
        <f t="shared" si="14"/>
        <v>0</v>
      </c>
      <c r="W40" s="2">
        <f t="shared" si="15"/>
        <v>0</v>
      </c>
      <c r="Y40" s="2">
        <f t="shared" si="16"/>
        <v>0</v>
      </c>
    </row>
    <row r="41" spans="1:25" s="2" customFormat="1" ht="15" customHeight="1">
      <c r="A41" s="162" t="s">
        <v>39</v>
      </c>
      <c r="B41" s="163"/>
      <c r="C41" s="164"/>
      <c r="D41" s="241" t="s">
        <v>73</v>
      </c>
      <c r="E41" s="165">
        <f>IFERROR(VLOOKUP(D41,'Employee Numbers'!$A$3:$B$84,2,FALSE),"NOT FOUND")</f>
        <v>634491</v>
      </c>
      <c r="F41" s="176"/>
      <c r="G41" s="166"/>
      <c r="H41" s="166"/>
      <c r="I41" s="166"/>
      <c r="J41" s="166"/>
      <c r="K41" s="166"/>
      <c r="L41" s="167"/>
      <c r="N41">
        <f t="array" ref="N41">((SUM(IFERROR((TEXT(IF(ISNUMBER(SEARCH("-", F41:L41)), MID(F41:L41, SEARCH("-", F41:L41) + 1, 4), ""), "00\:00") - TEXT(IF(ISNUMBER(SEARCH("-", F41:L41)), MID(F41:L41, SEARCH("-", F41:L41) - 4, 4), ""), "00\:00") + IF(TEXT(IF(ISNUMBER(SEARCH("-", F41:L41)), MID(F41:L41, SEARCH("-", F41:L41) + 1, 4), ""), "00\:00") &lt; TEXT(IF(ISNUMBER(SEARCH("-", F41:L41)), MID(F41:L41, SEARCH("-", F41:L41) - 4, 4), ""), "00\:00"), 1, 0))*24,""))))/9.5</f>
        <v>0</v>
      </c>
      <c r="O41"/>
      <c r="P41" s="151">
        <f t="shared" si="11"/>
        <v>0</v>
      </c>
      <c r="R41" s="4">
        <f t="shared" ca="1" si="12"/>
        <v>4</v>
      </c>
      <c r="S41" s="2">
        <f>(IFERROR(VLOOKUP(D41,'Employee Numbers'!$A$3:$C$84,3,FALSE),"NOT FOUND"))*8</f>
        <v>4</v>
      </c>
      <c r="U41" s="142">
        <f t="shared" si="13"/>
        <v>0</v>
      </c>
      <c r="V41" s="142">
        <f t="shared" si="14"/>
        <v>0</v>
      </c>
      <c r="W41" s="2">
        <f t="shared" si="15"/>
        <v>0</v>
      </c>
      <c r="Y41" s="2">
        <f t="shared" si="16"/>
        <v>0</v>
      </c>
    </row>
    <row r="42" spans="1:25" s="2" customFormat="1" ht="15" customHeight="1">
      <c r="A42" s="2" t="s">
        <v>39</v>
      </c>
      <c r="B42" s="46"/>
      <c r="C42" s="47"/>
      <c r="D42" s="227" t="s">
        <v>74</v>
      </c>
      <c r="E42" s="226">
        <f>IFERROR(VLOOKUP(D42,'Employee Numbers'!$A$3:$B$84,2,FALSE),"NOT FOUND")</f>
        <v>621988</v>
      </c>
      <c r="F42" s="250" t="s">
        <v>75</v>
      </c>
      <c r="G42" s="251" t="s">
        <v>75</v>
      </c>
      <c r="H42" s="251" t="s">
        <v>75</v>
      </c>
      <c r="I42" s="251" t="s">
        <v>75</v>
      </c>
      <c r="J42" s="251" t="s">
        <v>75</v>
      </c>
      <c r="K42" s="251" t="s">
        <v>75</v>
      </c>
      <c r="L42" s="252" t="s">
        <v>75</v>
      </c>
      <c r="N42">
        <f t="array" ref="N42">((SUM(IFERROR((TEXT(IF(ISNUMBER(SEARCH("-", F42:L42)), MID(F42:L42, SEARCH("-", F42:L42) + 1, 4), ""), "00\:00") - TEXT(IF(ISNUMBER(SEARCH("-", F42:L42)), MID(F42:L42, SEARCH("-", F42:L42) - 4, 4), ""), "00\:00") + IF(TEXT(IF(ISNUMBER(SEARCH("-", F42:L42)), MID(F42:L42, SEARCH("-", F42:L42) + 1, 4), ""), "00\:00") &lt; TEXT(IF(ISNUMBER(SEARCH("-", F42:L42)), MID(F42:L42, SEARCH("-", F42:L42) - 4, 4), ""), "00\:00"), 1, 0))*24,""))))/9.5</f>
        <v>0</v>
      </c>
      <c r="O42">
        <v>2</v>
      </c>
      <c r="P42" s="151">
        <f t="shared" si="11"/>
        <v>2</v>
      </c>
      <c r="R42" s="4">
        <f t="shared" ca="1" si="12"/>
        <v>4</v>
      </c>
      <c r="S42" s="2">
        <f>(IFERROR(VLOOKUP(D42,'Employee Numbers'!$A$3:$C$84,3,FALSE),"NOT FOUND"))*8</f>
        <v>4</v>
      </c>
      <c r="U42" s="142">
        <f t="shared" si="13"/>
        <v>0</v>
      </c>
      <c r="V42" s="142">
        <f t="shared" si="14"/>
        <v>0</v>
      </c>
      <c r="W42" s="2">
        <f t="shared" si="15"/>
        <v>0</v>
      </c>
      <c r="Y42" s="2">
        <f t="shared" si="16"/>
        <v>0</v>
      </c>
    </row>
    <row r="43" spans="1:25" s="2" customFormat="1" ht="15" customHeight="1">
      <c r="A43" s="162" t="s">
        <v>39</v>
      </c>
      <c r="B43" s="163"/>
      <c r="C43" s="238"/>
      <c r="D43" s="239" t="s">
        <v>76</v>
      </c>
      <c r="E43" s="165">
        <f>IFERROR(VLOOKUP(D43,'Employee Numbers'!$A$3:$B$84,2,FALSE),"NOT FOUND")</f>
        <v>409677</v>
      </c>
      <c r="F43" s="176"/>
      <c r="G43" s="166"/>
      <c r="H43" s="166" t="s">
        <v>63</v>
      </c>
      <c r="I43" s="166"/>
      <c r="J43" s="166"/>
      <c r="K43" s="166"/>
      <c r="L43" s="167"/>
      <c r="N43">
        <f t="array" ref="N43">((SUM(IFERROR((TEXT(IF(ISNUMBER(SEARCH("-", F43:L43)), MID(F43:L43, SEARCH("-", F43:L43) + 1, 4), ""), "00\:00") - TEXT(IF(ISNUMBER(SEARCH("-", F43:L43)), MID(F43:L43, SEARCH("-", F43:L43) - 4, 4), ""), "00\:00") + IF(TEXT(IF(ISNUMBER(SEARCH("-", F43:L43)), MID(F43:L43, SEARCH("-", F43:L43) + 1, 4), ""), "00\:00") &lt; TEXT(IF(ISNUMBER(SEARCH("-", F43:L43)), MID(F43:L43, SEARCH("-", F43:L43) - 4, 4), ""), "00\:00"), 1, 0))*24,""))))/9.5</f>
        <v>1</v>
      </c>
      <c r="O43"/>
      <c r="P43" s="151">
        <f t="shared" si="11"/>
        <v>1</v>
      </c>
      <c r="R43" s="4">
        <f t="shared" ca="1" si="12"/>
        <v>3</v>
      </c>
      <c r="S43" s="2">
        <f>(IFERROR(VLOOKUP(D43,'Employee Numbers'!$A$3:$C$84,3,FALSE),"NOT FOUND"))*8</f>
        <v>3</v>
      </c>
      <c r="U43" s="142">
        <f t="shared" si="13"/>
        <v>0</v>
      </c>
      <c r="V43" s="142">
        <f t="shared" si="14"/>
        <v>0</v>
      </c>
      <c r="W43" s="2">
        <f t="shared" si="15"/>
        <v>1</v>
      </c>
      <c r="Y43" s="2">
        <f t="shared" si="16"/>
        <v>0</v>
      </c>
    </row>
    <row r="44" spans="1:25" s="2" customFormat="1" ht="15" customHeight="1">
      <c r="A44" s="2" t="s">
        <v>39</v>
      </c>
      <c r="B44" s="46"/>
      <c r="C44" s="47"/>
      <c r="D44" s="249" t="s">
        <v>77</v>
      </c>
      <c r="E44" s="226">
        <f>IFERROR(VLOOKUP(D44,'Employee Numbers'!$A$3:$B$84,2,FALSE),"NOT FOUND")</f>
        <v>632590</v>
      </c>
      <c r="F44" s="29"/>
      <c r="G44" s="31"/>
      <c r="H44" s="31"/>
      <c r="I44" s="31" t="s">
        <v>44</v>
      </c>
      <c r="J44" s="31" t="s">
        <v>63</v>
      </c>
      <c r="K44" s="31" t="s">
        <v>44</v>
      </c>
      <c r="L44" s="228" t="s">
        <v>44</v>
      </c>
      <c r="N44">
        <f t="array" ref="N44">((SUM(IFERROR((TEXT(IF(ISNUMBER(SEARCH("-", F44:L44)), MID(F44:L44, SEARCH("-", F44:L44) + 1, 4), ""), "00\:00") - TEXT(IF(ISNUMBER(SEARCH("-", F44:L44)), MID(F44:L44, SEARCH("-", F44:L44) - 4, 4), ""), "00\:00") + IF(TEXT(IF(ISNUMBER(SEARCH("-", F44:L44)), MID(F44:L44, SEARCH("-", F44:L44) + 1, 4), ""), "00\:00") &lt; TEXT(IF(ISNUMBER(SEARCH("-", F44:L44)), MID(F44:L44, SEARCH("-", F44:L44) - 4, 4), ""), "00\:00"), 1, 0))*24,""))))/9.5</f>
        <v>4</v>
      </c>
      <c r="O44"/>
      <c r="P44" s="151">
        <f t="shared" si="11"/>
        <v>4</v>
      </c>
      <c r="R44" s="4">
        <f t="shared" ca="1" si="12"/>
        <v>4</v>
      </c>
      <c r="S44" s="2">
        <f>(IFERROR(VLOOKUP(D44,'Employee Numbers'!$A$3:$C$84,3,FALSE),"NOT FOUND"))*8</f>
        <v>4</v>
      </c>
      <c r="U44" s="142">
        <f t="shared" si="13"/>
        <v>2</v>
      </c>
      <c r="V44" s="142">
        <f t="shared" si="14"/>
        <v>0</v>
      </c>
      <c r="W44" s="2">
        <f t="shared" si="15"/>
        <v>1</v>
      </c>
      <c r="Y44" s="2">
        <f t="shared" si="16"/>
        <v>2</v>
      </c>
    </row>
    <row r="45" spans="1:25" s="2" customFormat="1" ht="15" customHeight="1">
      <c r="A45" s="162" t="s">
        <v>39</v>
      </c>
      <c r="B45" s="163"/>
      <c r="C45" s="238"/>
      <c r="D45" s="240" t="s">
        <v>78</v>
      </c>
      <c r="E45" s="165">
        <f>IFERROR(VLOOKUP(D45,'Employee Numbers'!$A$3:$B$84,2,FALSE),"NOT FOUND")</f>
        <v>619537</v>
      </c>
      <c r="F45" s="176"/>
      <c r="G45" s="166" t="s">
        <v>42</v>
      </c>
      <c r="H45" s="166"/>
      <c r="I45" s="166"/>
      <c r="J45" s="166"/>
      <c r="K45" s="166"/>
      <c r="L45" s="167"/>
      <c r="N45">
        <f t="array" ref="N45">((SUM(IFERROR((TEXT(IF(ISNUMBER(SEARCH("-", F45:L45)), MID(F45:L45, SEARCH("-", F45:L45) + 1, 4), ""), "00\:00") - TEXT(IF(ISNUMBER(SEARCH("-", F45:L45)), MID(F45:L45, SEARCH("-", F45:L45) - 4, 4), ""), "00\:00") + IF(TEXT(IF(ISNUMBER(SEARCH("-", F45:L45)), MID(F45:L45, SEARCH("-", F45:L45) + 1, 4), ""), "00\:00") &lt; TEXT(IF(ISNUMBER(SEARCH("-", F45:L45)), MID(F45:L45, SEARCH("-", F45:L45) - 4, 4), ""), "00\:00"), 1, 0))*24,""))))/9.5</f>
        <v>1</v>
      </c>
      <c r="O45"/>
      <c r="P45" s="151">
        <f t="shared" si="11"/>
        <v>1</v>
      </c>
      <c r="R45" s="4">
        <f t="shared" ca="1" si="12"/>
        <v>1</v>
      </c>
      <c r="S45" s="2">
        <f>(IFERROR(VLOOKUP(D45,'Employee Numbers'!$A$3:$C$84,3,FALSE),"NOT FOUND"))*8</f>
        <v>1</v>
      </c>
      <c r="U45" s="142">
        <f t="shared" si="13"/>
        <v>0</v>
      </c>
      <c r="V45" s="142">
        <f t="shared" si="14"/>
        <v>1</v>
      </c>
      <c r="W45" s="2">
        <f t="shared" si="15"/>
        <v>0</v>
      </c>
      <c r="Y45" s="2">
        <f t="shared" si="16"/>
        <v>0</v>
      </c>
    </row>
    <row r="46" spans="1:25" s="2" customFormat="1" ht="15" customHeight="1">
      <c r="A46" s="2" t="s">
        <v>39</v>
      </c>
      <c r="B46" s="46"/>
      <c r="C46" s="47"/>
      <c r="D46" s="229" t="s">
        <v>79</v>
      </c>
      <c r="E46" s="226">
        <f>IFERROR(VLOOKUP(D46,'Employee Numbers'!$A$3:$B$84,2,FALSE),"NOT FOUND")</f>
        <v>621953</v>
      </c>
      <c r="F46" s="231"/>
      <c r="G46" s="31"/>
      <c r="H46" s="136"/>
      <c r="I46" s="31"/>
      <c r="J46" s="31"/>
      <c r="K46" s="136"/>
      <c r="L46" s="232" t="s">
        <v>54</v>
      </c>
      <c r="N46">
        <f t="array" ref="N46">((SUM(IFERROR((TEXT(IF(ISNUMBER(SEARCH("-", F46:L46)), MID(F46:L46, SEARCH("-", F46:L46) + 1, 4), ""), "00\:00") - TEXT(IF(ISNUMBER(SEARCH("-", F46:L46)), MID(F46:L46, SEARCH("-", F46:L46) - 4, 4), ""), "00\:00") + IF(TEXT(IF(ISNUMBER(SEARCH("-", F46:L46)), MID(F46:L46, SEARCH("-", F46:L46) + 1, 4), ""), "00\:00") &lt; TEXT(IF(ISNUMBER(SEARCH("-", F46:L46)), MID(F46:L46, SEARCH("-", F46:L46) - 4, 4), ""), "00\:00"), 1, 0))*24,""))))/9.5</f>
        <v>1</v>
      </c>
      <c r="O46"/>
      <c r="P46" s="151">
        <f t="shared" si="11"/>
        <v>1</v>
      </c>
      <c r="R46" s="4">
        <f t="shared" ca="1" si="12"/>
        <v>1</v>
      </c>
      <c r="S46" s="2">
        <f>(IFERROR(VLOOKUP(D46,'Employee Numbers'!$A$3:$C$84,3,FALSE),"NOT FOUND"))*8</f>
        <v>1</v>
      </c>
      <c r="U46" s="142">
        <f t="shared" si="13"/>
        <v>0</v>
      </c>
      <c r="V46" s="142">
        <f t="shared" si="14"/>
        <v>1</v>
      </c>
      <c r="W46" s="2">
        <f t="shared" si="15"/>
        <v>0</v>
      </c>
      <c r="Y46" s="2">
        <f t="shared" si="16"/>
        <v>1</v>
      </c>
    </row>
    <row r="47" spans="1:25" s="2" customFormat="1" ht="15" customHeight="1">
      <c r="A47" s="162" t="s">
        <v>39</v>
      </c>
      <c r="B47" s="163"/>
      <c r="C47" s="164"/>
      <c r="D47" s="242" t="s">
        <v>80</v>
      </c>
      <c r="E47" s="165">
        <f>IFERROR(VLOOKUP(D47,'Employee Numbers'!$A$3:$B$84,2,FALSE),"NOT FOUND")</f>
        <v>614504</v>
      </c>
      <c r="F47" s="176"/>
      <c r="G47" s="166" t="s">
        <v>63</v>
      </c>
      <c r="H47" s="166"/>
      <c r="I47" s="166"/>
      <c r="J47" s="166"/>
      <c r="K47" s="166"/>
      <c r="L47" s="167"/>
      <c r="N47">
        <f t="array" ref="N47">((SUM(IFERROR((TEXT(IF(ISNUMBER(SEARCH("-", F47:L47)), MID(F47:L47, SEARCH("-", F47:L47) + 1, 4), ""), "00\:00") - TEXT(IF(ISNUMBER(SEARCH("-", F47:L47)), MID(F47:L47, SEARCH("-", F47:L47) - 4, 4), ""), "00\:00") + IF(TEXT(IF(ISNUMBER(SEARCH("-", F47:L47)), MID(F47:L47, SEARCH("-", F47:L47) + 1, 4), ""), "00\:00") &lt; TEXT(IF(ISNUMBER(SEARCH("-", F47:L47)), MID(F47:L47, SEARCH("-", F47:L47) - 4, 4), ""), "00\:00"), 1, 0))*24,""))))/9.5</f>
        <v>1</v>
      </c>
      <c r="O47"/>
      <c r="P47" s="178">
        <f t="shared" si="11"/>
        <v>1</v>
      </c>
      <c r="R47" s="3">
        <f t="shared" ca="1" si="12"/>
        <v>1</v>
      </c>
      <c r="S47" s="2">
        <f>(IFERROR(VLOOKUP(D47,'Employee Numbers'!$A$3:$C$84,3,FALSE),"NOT FOUND"))*8</f>
        <v>1</v>
      </c>
      <c r="U47" s="142">
        <f t="shared" si="13"/>
        <v>0</v>
      </c>
      <c r="V47" s="142">
        <f t="shared" si="14"/>
        <v>0</v>
      </c>
      <c r="W47" s="2">
        <f t="shared" si="15"/>
        <v>1</v>
      </c>
      <c r="Y47" s="2">
        <f t="shared" si="16"/>
        <v>0</v>
      </c>
    </row>
    <row r="48" spans="1:25" s="2" customFormat="1" ht="15" customHeight="1">
      <c r="A48" s="2" t="s">
        <v>39</v>
      </c>
      <c r="B48" s="46"/>
      <c r="C48" s="21"/>
      <c r="D48" s="230" t="s">
        <v>81</v>
      </c>
      <c r="E48" s="226" t="str">
        <f>IFERROR(VLOOKUP(D48,'Employee Numbers'!$A$3:$B$84,2,FALSE),"NOT FOUND")</f>
        <v>N/A</v>
      </c>
      <c r="F48" s="29"/>
      <c r="G48" s="29"/>
      <c r="H48" s="29"/>
      <c r="I48" s="29"/>
      <c r="J48" s="29"/>
      <c r="K48" s="29"/>
      <c r="L48" s="29"/>
    </row>
    <row r="49" spans="1:21" s="2" customFormat="1" ht="15" customHeight="1" thickBot="1">
      <c r="A49" s="162" t="s">
        <v>39</v>
      </c>
      <c r="B49" s="163"/>
      <c r="C49" s="238"/>
      <c r="D49" s="243" t="s">
        <v>81</v>
      </c>
      <c r="E49" s="248" t="str">
        <f>IFERROR(VLOOKUP(D49,'Employee Numbers'!$A$3:$B$84,2,FALSE),"NOT FOUND")</f>
        <v>N/A</v>
      </c>
      <c r="F49" s="245"/>
      <c r="G49" s="246"/>
      <c r="H49" s="246"/>
      <c r="I49" s="246"/>
      <c r="J49" s="246"/>
      <c r="K49" s="246"/>
      <c r="L49" s="247"/>
    </row>
    <row r="50" spans="1:21" s="2" customFormat="1" ht="15" customHeight="1" thickBot="1">
      <c r="B50" s="46"/>
      <c r="C50" s="21"/>
      <c r="D50" s="16" t="s">
        <v>82</v>
      </c>
      <c r="E50" s="58"/>
      <c r="F50" s="28" t="s">
        <v>68</v>
      </c>
      <c r="G50" s="59" t="s">
        <v>58</v>
      </c>
      <c r="H50" s="59" t="s">
        <v>55</v>
      </c>
      <c r="I50" s="59" t="s">
        <v>51</v>
      </c>
      <c r="J50" s="59" t="s">
        <v>67</v>
      </c>
      <c r="K50" s="59" t="s">
        <v>77</v>
      </c>
      <c r="L50" s="60" t="s">
        <v>40</v>
      </c>
    </row>
    <row r="51" spans="1:21" s="2" customFormat="1" ht="15" customHeight="1">
      <c r="B51" s="46"/>
      <c r="C51" s="21"/>
      <c r="E51" s="21"/>
      <c r="R51" s="2">
        <f>(N54+P54)*9.5/38*5</f>
        <v>3.75</v>
      </c>
    </row>
    <row r="52" spans="1:21" s="2" customFormat="1" ht="15.75" customHeight="1">
      <c r="B52" s="46"/>
      <c r="C52" s="21"/>
      <c r="E52" s="21"/>
      <c r="F52" s="126">
        <f t="shared" ref="F52:L52" si="17">F2</f>
        <v>46174</v>
      </c>
      <c r="G52" s="126">
        <f t="shared" si="17"/>
        <v>46175</v>
      </c>
      <c r="H52" s="126">
        <f t="shared" si="17"/>
        <v>46176</v>
      </c>
      <c r="I52" s="126">
        <f t="shared" si="17"/>
        <v>46177</v>
      </c>
      <c r="J52" s="126">
        <f t="shared" si="17"/>
        <v>46178</v>
      </c>
      <c r="K52" s="126">
        <f t="shared" si="17"/>
        <v>46179</v>
      </c>
      <c r="L52" s="126">
        <f t="shared" si="17"/>
        <v>46180</v>
      </c>
      <c r="M52" s="34"/>
      <c r="N52" s="152" t="s">
        <v>27</v>
      </c>
      <c r="O52" s="152" t="s">
        <v>83</v>
      </c>
      <c r="P52" s="152" t="s">
        <v>84</v>
      </c>
      <c r="Q52" s="2" t="s">
        <v>29</v>
      </c>
      <c r="R52" s="152" t="s">
        <v>85</v>
      </c>
      <c r="S52" s="152" t="s">
        <v>30</v>
      </c>
      <c r="T52" s="152" t="s">
        <v>31</v>
      </c>
      <c r="U52" s="152"/>
    </row>
    <row r="53" spans="1:21" s="2" customFormat="1" ht="30" customHeight="1">
      <c r="A53" s="168" t="s">
        <v>86</v>
      </c>
      <c r="B53" s="169"/>
      <c r="C53" s="169"/>
      <c r="D53" s="169" t="s">
        <v>86</v>
      </c>
      <c r="E53" s="127" t="s">
        <v>4</v>
      </c>
      <c r="F53" s="266" t="s">
        <v>5</v>
      </c>
      <c r="G53" s="267" t="s">
        <v>6</v>
      </c>
      <c r="H53" s="268" t="s">
        <v>87</v>
      </c>
      <c r="I53" s="267" t="s">
        <v>8</v>
      </c>
      <c r="J53" s="267" t="s">
        <v>9</v>
      </c>
      <c r="K53" s="267" t="s">
        <v>10</v>
      </c>
      <c r="L53" s="269" t="s">
        <v>11</v>
      </c>
      <c r="M53" s="34"/>
      <c r="N53" s="147" t="s">
        <v>32</v>
      </c>
      <c r="O53" s="147" t="s">
        <v>88</v>
      </c>
      <c r="P53" s="147" t="s">
        <v>89</v>
      </c>
      <c r="R53" s="145" t="s">
        <v>90</v>
      </c>
      <c r="S53" s="147" t="s">
        <v>32</v>
      </c>
      <c r="T53" s="147" t="s">
        <v>32</v>
      </c>
      <c r="U53" s="147"/>
    </row>
    <row r="54" spans="1:21" s="2" customFormat="1" ht="15" customHeight="1">
      <c r="A54" s="44" t="s">
        <v>91</v>
      </c>
      <c r="B54" s="44"/>
      <c r="C54" s="45"/>
      <c r="D54" s="123" t="s">
        <v>92</v>
      </c>
      <c r="E54" s="284">
        <f>IFERROR(VLOOKUP(D54,'Employee Numbers'!$A$3:$B$84,2,FALSE),"NOT FOUND")</f>
        <v>634905</v>
      </c>
      <c r="F54" s="299" t="s">
        <v>42</v>
      </c>
      <c r="G54" s="300" t="s">
        <v>42</v>
      </c>
      <c r="H54" s="300" t="s">
        <v>145</v>
      </c>
      <c r="I54" s="300" t="s">
        <v>145</v>
      </c>
      <c r="J54" s="308" t="s">
        <v>145</v>
      </c>
      <c r="K54" s="300" t="s">
        <v>145</v>
      </c>
      <c r="L54" s="300" t="s">
        <v>42</v>
      </c>
      <c r="N54">
        <f t="array" ref="N54">((SUM(IFERROR((TEXT(IF(ISNUMBER(SEARCH("-", F54:L54)), MID(F54:L54, SEARCH("-", F54:L54) + 1, 4), ""), "00\:00") - TEXT(IF(ISNUMBER(SEARCH("-", F54:L54)), MID(F54:L54, SEARCH("-", F54:L54) - 4, 4), ""), "00\:00") + IF(TEXT(IF(ISNUMBER(SEARCH("-", F54:L54)), MID(F54:L54, SEARCH("-", F54:L54) + 1, 4), ""), "00\:00") &lt; TEXT(IF(ISNUMBER(SEARCH("-", F54:L54)), MID(F54:L54, SEARCH("-", F54:L54) - 4, 4), ""), "00\:00"), 1, 0))*24,""))))/9.5</f>
        <v>3</v>
      </c>
      <c r="O54"/>
      <c r="P54"/>
      <c r="Q54" s="2">
        <f>P54+O54+N54</f>
        <v>3</v>
      </c>
      <c r="R54" s="2">
        <f>IF(ISNUMBER(SEARCH("trg_5",H146)),5,IF(ISNUMBER(SEARCH("trg_3.75",H146)),3.75,IF(ISNUMBER(SEARCH("trg_2.5",H146)),2.5,IF(ISNUMBER(SEARCH("trg_1.75",H146)),1.75,0))))</f>
        <v>3.75</v>
      </c>
      <c r="S54">
        <f ca="1">IF($C$4=1,SUM(Q54+INDIRECT("'Week "&amp;($B$3+1)&amp;"'!Q"&amp;(ROW()))),IF($C$4=2,SUM(Q54+INDIRECT("'Week "&amp;($B$3-1)&amp;"'!Q"&amp;(ROW())))))</f>
        <v>6</v>
      </c>
      <c r="T54" s="2">
        <f>(IFERROR(VLOOKUP(D54,'Employee Numbers'!$A$3:$C$84,3,FALSE),"NOT FOUND"))*8</f>
        <v>8</v>
      </c>
    </row>
    <row r="55" spans="1:21" s="13" customFormat="1" ht="15" customHeight="1">
      <c r="A55" s="2" t="s">
        <v>91</v>
      </c>
      <c r="B55" s="2"/>
      <c r="C55" s="21"/>
      <c r="D55" s="86" t="s">
        <v>93</v>
      </c>
      <c r="E55" s="285">
        <f>IFERROR(VLOOKUP(D55,'Employee Numbers'!$A$3:$B$84,2,FALSE),"NOT FOUND")</f>
        <v>704751</v>
      </c>
      <c r="F55" s="301" t="s">
        <v>145</v>
      </c>
      <c r="G55" s="302" t="s">
        <v>41</v>
      </c>
      <c r="H55" s="302" t="s">
        <v>42</v>
      </c>
      <c r="I55" s="302" t="s">
        <v>145</v>
      </c>
      <c r="J55" s="302" t="s">
        <v>145</v>
      </c>
      <c r="K55" s="302" t="s">
        <v>42</v>
      </c>
      <c r="L55" s="302" t="s">
        <v>42</v>
      </c>
      <c r="N55">
        <f t="array" ref="N55">((SUM(IFERROR((TEXT(IF(ISNUMBER(SEARCH("-", F55:L55)), MID(F55:L55, SEARCH("-", F55:L55) + 1, 4), ""), "00\:00") - TEXT(IF(ISNUMBER(SEARCH("-", F55:L55)), MID(F55:L55, SEARCH("-", F55:L55) - 4, 4), ""), "00\:00") + IF(TEXT(IF(ISNUMBER(SEARCH("-", F55:L55)), MID(F55:L55, SEARCH("-", F55:L55) + 1, 4), ""), "00\:00") &lt; TEXT(IF(ISNUMBER(SEARCH("-", F55:L55)), MID(F55:L55, SEARCH("-", F55:L55) - 4, 4), ""), "00\:00"), 1, 0))*24,""))))/9.5</f>
        <v>4</v>
      </c>
      <c r="O55"/>
      <c r="P55"/>
      <c r="Q55" s="2">
        <f t="shared" ref="Q55:Q59" si="18">P55+O55+N55</f>
        <v>4</v>
      </c>
      <c r="R55" s="2">
        <f t="shared" ref="R55:R59" si="19">IF(ISNUMBER(SEARCH("trg_5",H147)),5,IF(ISNUMBER(SEARCH("trg_3.75",H147)),3.75,IF(ISNUMBER(SEARCH("trg_2.5",H147)),2.5,IF(ISNUMBER(SEARCH("trg_1.75",H147)),1.75,0))))</f>
        <v>5</v>
      </c>
      <c r="S55">
        <f t="shared" ref="S55:S59" ca="1" si="20">IF($C$4=1,SUM(Q55+INDIRECT("'Week "&amp;($B$3+1)&amp;"'!Q"&amp;(ROW()))),IF($C$4=2,SUM(Q55+INDIRECT("'Week "&amp;($B$3-1)&amp;"'!Q"&amp;(ROW())))))</f>
        <v>8</v>
      </c>
      <c r="T55" s="2">
        <f>(IFERROR(VLOOKUP(D55,'Employee Numbers'!$A$3:$C$84,3,FALSE),"NOT FOUND"))*8</f>
        <v>0</v>
      </c>
      <c r="U55" s="2"/>
    </row>
    <row r="56" spans="1:21" s="2" customFormat="1" ht="15" customHeight="1">
      <c r="A56" s="44" t="s">
        <v>91</v>
      </c>
      <c r="B56" s="44"/>
      <c r="C56" s="45"/>
      <c r="D56" s="85" t="s">
        <v>94</v>
      </c>
      <c r="E56" s="285">
        <f>IFERROR(VLOOKUP(D56,'Employee Numbers'!$A$3:$B$84,2,FALSE),"NOT FOUND")</f>
        <v>637219</v>
      </c>
      <c r="F56" s="301" t="s">
        <v>42</v>
      </c>
      <c r="G56" s="302" t="s">
        <v>145</v>
      </c>
      <c r="H56" s="302" t="s">
        <v>44</v>
      </c>
      <c r="I56" s="302" t="s">
        <v>42</v>
      </c>
      <c r="J56" s="302" t="s">
        <v>42</v>
      </c>
      <c r="K56" s="302" t="s">
        <v>145</v>
      </c>
      <c r="L56" s="302" t="s">
        <v>145</v>
      </c>
      <c r="N56">
        <f t="array" ref="N56">((SUM(IFERROR((TEXT(IF(ISNUMBER(SEARCH("-", F56:L56)), MID(F56:L56, SEARCH("-", F56:L56) + 1, 4), ""), "00\:00") - TEXT(IF(ISNUMBER(SEARCH("-", F56:L56)), MID(F56:L56, SEARCH("-", F56:L56) - 4, 4), ""), "00\:00") + IF(TEXT(IF(ISNUMBER(SEARCH("-", F56:L56)), MID(F56:L56, SEARCH("-", F56:L56) + 1, 4), ""), "00\:00") &lt; TEXT(IF(ISNUMBER(SEARCH("-", F56:L56)), MID(F56:L56, SEARCH("-", F56:L56) - 4, 4), ""), "00\:00"), 1, 0))*24,""))))/9.5</f>
        <v>4</v>
      </c>
      <c r="O56"/>
      <c r="P56"/>
      <c r="Q56" s="2">
        <f t="shared" si="18"/>
        <v>4</v>
      </c>
      <c r="R56" s="2">
        <f t="shared" si="19"/>
        <v>5</v>
      </c>
      <c r="S56">
        <f t="shared" ca="1" si="20"/>
        <v>8</v>
      </c>
      <c r="T56" s="2">
        <f>(IFERROR(VLOOKUP(D56,'Employee Numbers'!$A$3:$C$84,3,FALSE),"NOT FOUND"))*8</f>
        <v>0</v>
      </c>
    </row>
    <row r="57" spans="1:21" s="13" customFormat="1" ht="15" customHeight="1">
      <c r="A57" s="2" t="s">
        <v>91</v>
      </c>
      <c r="B57" s="2"/>
      <c r="C57" s="21"/>
      <c r="D57" s="86"/>
      <c r="E57" s="39" t="str">
        <f>IFERROR(VLOOKUP(D57,'Employee Numbers'!$A$3:$B$84,2,FALSE),"NOT FOUND")</f>
        <v>NOT FOUND</v>
      </c>
      <c r="F57" s="322" t="s">
        <v>145</v>
      </c>
      <c r="G57" s="319" t="s">
        <v>145</v>
      </c>
      <c r="H57" s="319" t="s">
        <v>145</v>
      </c>
      <c r="I57" s="319" t="s">
        <v>145</v>
      </c>
      <c r="J57" s="319" t="s">
        <v>145</v>
      </c>
      <c r="K57" s="319" t="s">
        <v>145</v>
      </c>
      <c r="L57" s="319" t="s">
        <v>145</v>
      </c>
      <c r="N57">
        <f t="array" ref="N57">((SUM(IFERROR((TEXT(IF(ISNUMBER(SEARCH("-", F57:L57)), MID(F57:L57, SEARCH("-", F57:L57) + 1, 4), ""), "00\:00") - TEXT(IF(ISNUMBER(SEARCH("-", F57:L57)), MID(F57:L57, SEARCH("-", F57:L57) - 4, 4), ""), "00\:00") + IF(TEXT(IF(ISNUMBER(SEARCH("-", F57:L57)), MID(F57:L57, SEARCH("-", F57:L57) + 1, 4), ""), "00\:00") &lt; TEXT(IF(ISNUMBER(SEARCH("-", F57:L57)), MID(F57:L57, SEARCH("-", F57:L57) - 4, 4), ""), "00\:00"), 1, 0))*24,""))))/9.5</f>
        <v>0</v>
      </c>
      <c r="O57"/>
      <c r="P57"/>
      <c r="Q57" s="2">
        <f t="shared" si="18"/>
        <v>0</v>
      </c>
      <c r="R57" s="2">
        <f t="shared" si="19"/>
        <v>2.5</v>
      </c>
      <c r="S57">
        <f t="shared" ca="1" si="20"/>
        <v>0</v>
      </c>
      <c r="T57" s="2" t="e">
        <f>(IFERROR(VLOOKUP(D57,'Employee Numbers'!$A$3:$C$84,3,FALSE),"NOT FOUND"))*8</f>
        <v>#VALUE!</v>
      </c>
      <c r="U57" s="2"/>
    </row>
    <row r="58" spans="1:21" s="2" customFormat="1" ht="15" customHeight="1">
      <c r="A58" s="44" t="s">
        <v>91</v>
      </c>
      <c r="B58" s="44"/>
      <c r="C58" s="45"/>
      <c r="D58" s="85"/>
      <c r="E58" s="39" t="str">
        <f>IFERROR(VLOOKUP(D58,'Employee Numbers'!$A$3:$B$84,2,FALSE),"NOT FOUND")</f>
        <v>NOT FOUND</v>
      </c>
      <c r="F58" s="320" t="s">
        <v>145</v>
      </c>
      <c r="G58" s="321" t="s">
        <v>145</v>
      </c>
      <c r="H58" s="321" t="s">
        <v>145</v>
      </c>
      <c r="I58" s="321" t="s">
        <v>145</v>
      </c>
      <c r="J58" s="321" t="s">
        <v>145</v>
      </c>
      <c r="K58" s="321" t="s">
        <v>145</v>
      </c>
      <c r="L58" s="321" t="s">
        <v>145</v>
      </c>
      <c r="N58">
        <f t="array" ref="N58">((SUM(IFERROR((TEXT(IF(ISNUMBER(SEARCH("-", F58:L58)), MID(F58:L58, SEARCH("-", F58:L58) + 1, 4), ""), "00\:00") - TEXT(IF(ISNUMBER(SEARCH("-", F58:L58)), MID(F58:L58, SEARCH("-", F58:L58) - 4, 4), ""), "00\:00") + IF(TEXT(IF(ISNUMBER(SEARCH("-", F58:L58)), MID(F58:L58, SEARCH("-", F58:L58) + 1, 4), ""), "00\:00") &lt; TEXT(IF(ISNUMBER(SEARCH("-", F58:L58)), MID(F58:L58, SEARCH("-", F58:L58) - 4, 4), ""), "00\:00"), 1, 0))*24,""))))/9.5</f>
        <v>0</v>
      </c>
      <c r="O58"/>
      <c r="P58"/>
      <c r="Q58" s="2">
        <f t="shared" si="18"/>
        <v>0</v>
      </c>
      <c r="R58" s="2">
        <f t="shared" si="19"/>
        <v>2.5</v>
      </c>
      <c r="S58">
        <f t="shared" ca="1" si="20"/>
        <v>0</v>
      </c>
      <c r="T58" s="2" t="e">
        <f>(IFERROR(VLOOKUP(D58,'Employee Numbers'!$A$3:$C$84,3,FALSE),"NOT FOUND"))*8</f>
        <v>#VALUE!</v>
      </c>
    </row>
    <row r="59" spans="1:21" s="13" customFormat="1" ht="15" customHeight="1">
      <c r="A59" s="2" t="s">
        <v>91</v>
      </c>
      <c r="B59" s="2"/>
      <c r="C59" s="21"/>
      <c r="D59" s="86"/>
      <c r="E59" s="39" t="str">
        <f>IFERROR(VLOOKUP(D59,'Employee Numbers'!$A$3:$B$84,2,FALSE),"NOT FOUND")</f>
        <v>NOT FOUND</v>
      </c>
      <c r="F59" s="322" t="s">
        <v>145</v>
      </c>
      <c r="G59" s="319" t="s">
        <v>145</v>
      </c>
      <c r="H59" s="319" t="s">
        <v>145</v>
      </c>
      <c r="I59" s="319" t="s">
        <v>145</v>
      </c>
      <c r="J59" s="319" t="s">
        <v>145</v>
      </c>
      <c r="K59" s="319" t="s">
        <v>145</v>
      </c>
      <c r="L59" s="319" t="s">
        <v>145</v>
      </c>
      <c r="N59">
        <f t="array" ref="N59">((SUM(IFERROR((TEXT(IF(ISNUMBER(SEARCH("-", F59:L59)), MID(F59:L59, SEARCH("-", F59:L59) + 1, 4), ""), "00\:00") - TEXT(IF(ISNUMBER(SEARCH("-", F59:L59)), MID(F59:L59, SEARCH("-", F59:L59) - 4, 4), ""), "00\:00") + IF(TEXT(IF(ISNUMBER(SEARCH("-", F59:L59)), MID(F59:L59, SEARCH("-", F59:L59) + 1, 4), ""), "00\:00") &lt; TEXT(IF(ISNUMBER(SEARCH("-", F59:L59)), MID(F59:L59, SEARCH("-", F59:L59) - 4, 4), ""), "00\:00"), 1, 0))*24,""))))/9.5</f>
        <v>0</v>
      </c>
      <c r="O59"/>
      <c r="P59"/>
      <c r="Q59" s="2">
        <f t="shared" si="18"/>
        <v>0</v>
      </c>
      <c r="R59" s="2">
        <f t="shared" si="19"/>
        <v>2.5</v>
      </c>
      <c r="S59">
        <f t="shared" ca="1" si="20"/>
        <v>0</v>
      </c>
      <c r="T59" s="2" t="e">
        <f>(IFERROR(VLOOKUP(D59,'Employee Numbers'!$A$3:$C$84,3,FALSE),"NOT FOUND"))*8</f>
        <v>#VALUE!</v>
      </c>
      <c r="U59" s="2"/>
    </row>
    <row r="60" spans="1:21" s="2" customFormat="1" ht="30" customHeight="1">
      <c r="A60" s="170" t="s">
        <v>96</v>
      </c>
      <c r="B60" s="131"/>
      <c r="C60" s="132"/>
      <c r="D60" s="171" t="s">
        <v>97</v>
      </c>
      <c r="E60" s="133" t="s">
        <v>4</v>
      </c>
      <c r="F60" s="323" t="s">
        <v>5</v>
      </c>
      <c r="G60" s="324" t="s">
        <v>6</v>
      </c>
      <c r="H60" s="325" t="s">
        <v>87</v>
      </c>
      <c r="I60" s="324" t="s">
        <v>8</v>
      </c>
      <c r="J60" s="324" t="s">
        <v>9</v>
      </c>
      <c r="K60" s="324" t="s">
        <v>10</v>
      </c>
      <c r="L60" s="326" t="s">
        <v>11</v>
      </c>
      <c r="N60"/>
      <c r="O60"/>
      <c r="P60"/>
    </row>
    <row r="61" spans="1:21" s="2" customFormat="1" ht="15" customHeight="1">
      <c r="A61" s="2" t="s">
        <v>98</v>
      </c>
      <c r="C61" s="47"/>
      <c r="D61" s="262" t="s">
        <v>99</v>
      </c>
      <c r="E61" s="284">
        <f>IFERROR(VLOOKUP(D61,'Employee Numbers'!$A$3:$B$84,2,FALSE),"NOT FOUND")</f>
        <v>638531</v>
      </c>
      <c r="F61" s="299" t="s">
        <v>42</v>
      </c>
      <c r="G61" s="300" t="s">
        <v>42</v>
      </c>
      <c r="H61" s="300" t="s">
        <v>145</v>
      </c>
      <c r="I61" s="300" t="s">
        <v>145</v>
      </c>
      <c r="J61" s="300" t="s">
        <v>145</v>
      </c>
      <c r="K61" s="300" t="s">
        <v>44</v>
      </c>
      <c r="L61" s="300" t="s">
        <v>44</v>
      </c>
      <c r="N61">
        <f t="array" ref="N61">((SUM(IFERROR((TEXT(IF(ISNUMBER(SEARCH("-", F61:L61)), MID(F61:L61, SEARCH("-", F61:L61) + 1, 4), ""), "00\:00") - TEXT(IF(ISNUMBER(SEARCH("-", F61:L61)), MID(F61:L61, SEARCH("-", F61:L61) - 4, 4), ""), "00\:00") + IF(TEXT(IF(ISNUMBER(SEARCH("-", F61:L61)), MID(F61:L61, SEARCH("-", F61:L61) + 1, 4), ""), "00\:00") &lt; TEXT(IF(ISNUMBER(SEARCH("-", F61:L61)), MID(F61:L61, SEARCH("-", F61:L61) - 4, 4), ""), "00\:00"), 1, 0))*24,""))))/9.5</f>
        <v>4</v>
      </c>
      <c r="O61"/>
      <c r="P61"/>
      <c r="Q61" s="2">
        <f>P61+O61+N61</f>
        <v>4</v>
      </c>
      <c r="R61" s="2">
        <f>IF(ISNUMBER(SEARCH("trg_5",H153)),5,IF(ISNUMBER(SEARCH("trg_3.75",H153)),3.75,IF(ISNUMBER(SEARCH("trg_2.5",H153)),2.5,IF(ISNUMBER(SEARCH("trg_1.75",H153)),1.75,0))))</f>
        <v>5</v>
      </c>
      <c r="S61">
        <f ca="1">IF($C$4=1,SUM(Q61+INDIRECT("'Week "&amp;($B$3+1)&amp;"'!Q"&amp;(ROW()))),IF($C$4=2,SUM(Q61+INDIRECT("'Week "&amp;($B$3-1)&amp;"'!Q"&amp;(ROW())))))</f>
        <v>8</v>
      </c>
      <c r="T61" s="2">
        <f>(IFERROR(VLOOKUP(D61,'Employee Numbers'!$A$3:$C$84,3,FALSE),"NOT FOUND"))*8</f>
        <v>0</v>
      </c>
    </row>
    <row r="62" spans="1:21" s="2" customFormat="1" ht="15" customHeight="1">
      <c r="A62" s="44" t="s">
        <v>98</v>
      </c>
      <c r="B62" s="44"/>
      <c r="C62" s="45"/>
      <c r="D62" s="262" t="s">
        <v>101</v>
      </c>
      <c r="E62" s="285">
        <f>IFERROR(VLOOKUP(D62,'Employee Numbers'!$A$3:$B$84,2,FALSE),"NOT FOUND")</f>
        <v>631715</v>
      </c>
      <c r="F62" s="301" t="s">
        <v>145</v>
      </c>
      <c r="G62" s="302" t="s">
        <v>44</v>
      </c>
      <c r="H62" s="302" t="s">
        <v>42</v>
      </c>
      <c r="I62" s="302" t="s">
        <v>42</v>
      </c>
      <c r="J62" s="302" t="s">
        <v>42</v>
      </c>
      <c r="K62" s="302" t="s">
        <v>145</v>
      </c>
      <c r="L62" s="302" t="s">
        <v>145</v>
      </c>
      <c r="N62">
        <f t="array" ref="N62">((SUM(IFERROR((TEXT(IF(ISNUMBER(SEARCH("-", F62:L62)), MID(F62:L62, SEARCH("-", F62:L62) + 1, 4), ""), "00\:00") - TEXT(IF(ISNUMBER(SEARCH("-", F62:L62)), MID(F62:L62, SEARCH("-", F62:L62) - 4, 4), ""), "00\:00") + IF(TEXT(IF(ISNUMBER(SEARCH("-", F62:L62)), MID(F62:L62, SEARCH("-", F62:L62) + 1, 4), ""), "00\:00") &lt; TEXT(IF(ISNUMBER(SEARCH("-", F62:L62)), MID(F62:L62, SEARCH("-", F62:L62) - 4, 4), ""), "00\:00"), 1, 0))*24,""))))/9.5</f>
        <v>4</v>
      </c>
      <c r="O62"/>
      <c r="P62"/>
      <c r="Q62" s="2">
        <f t="shared" ref="Q62:Q80" si="21">P62+O62+N62</f>
        <v>4</v>
      </c>
      <c r="R62" s="2">
        <f t="shared" ref="R62:R80" si="22">IF(ISNUMBER(SEARCH("trg_5",H154)),5,IF(ISNUMBER(SEARCH("trg_3.75",H154)),3.75,IF(ISNUMBER(SEARCH("trg_2.5",H154)),2.5,IF(ISNUMBER(SEARCH("trg_1.75",H154)),1.75,0))))</f>
        <v>5</v>
      </c>
      <c r="S62">
        <f t="shared" ref="S62:S84" ca="1" si="23">IF($C$4=1,SUM(Q62+INDIRECT("'Week "&amp;($B$3+1)&amp;"'!Q"&amp;(ROW()))),IF($C$4=2,SUM(Q62+INDIRECT("'Week "&amp;($B$3-1)&amp;"'!Q"&amp;(ROW())))))</f>
        <v>7.9999999999999991</v>
      </c>
      <c r="T62" s="2">
        <f>(IFERROR(VLOOKUP(D62,'Employee Numbers'!$A$3:$C$84,3,FALSE),"NOT FOUND"))*8</f>
        <v>0</v>
      </c>
    </row>
    <row r="63" spans="1:21" s="13" customFormat="1" ht="15" customHeight="1">
      <c r="A63" s="2" t="s">
        <v>98</v>
      </c>
      <c r="B63" s="2"/>
      <c r="C63" s="21"/>
      <c r="D63" s="262" t="s">
        <v>103</v>
      </c>
      <c r="E63" s="285">
        <f>IFERROR(VLOOKUP(D63,'Employee Numbers'!$A$3:$B$84,2,FALSE),"NOT FOUND")</f>
        <v>703719</v>
      </c>
      <c r="F63" s="301" t="s">
        <v>100</v>
      </c>
      <c r="G63" s="302" t="s">
        <v>100</v>
      </c>
      <c r="H63" s="302" t="s">
        <v>145</v>
      </c>
      <c r="I63" s="303" t="s">
        <v>145</v>
      </c>
      <c r="J63" s="302" t="s">
        <v>145</v>
      </c>
      <c r="K63" s="303" t="s">
        <v>145</v>
      </c>
      <c r="L63" s="302"/>
      <c r="N63">
        <f t="array" ref="N63">((SUM(IFERROR((TEXT(IF(ISNUMBER(SEARCH("-", F63:L63)), MID(F63:L63, SEARCH("-", F63:L63) + 1, 4), ""), "00\:00") - TEXT(IF(ISNUMBER(SEARCH("-", F63:L63)), MID(F63:L63, SEARCH("-", F63:L63) - 4, 4), ""), "00\:00") + IF(TEXT(IF(ISNUMBER(SEARCH("-", F63:L63)), MID(F63:L63, SEARCH("-", F63:L63) + 1, 4), ""), "00\:00") &lt; TEXT(IF(ISNUMBER(SEARCH("-", F63:L63)), MID(F63:L63, SEARCH("-", F63:L63) - 4, 4), ""), "00\:00"), 1, 0))*24,""))))/9.5</f>
        <v>1.9999999999999996</v>
      </c>
      <c r="O63"/>
      <c r="P63"/>
      <c r="Q63" s="2">
        <f t="shared" si="21"/>
        <v>1.9999999999999996</v>
      </c>
      <c r="R63" s="2">
        <f t="shared" si="22"/>
        <v>3.75</v>
      </c>
      <c r="S63">
        <f t="shared" ca="1" si="23"/>
        <v>5</v>
      </c>
      <c r="T63" s="2">
        <f>(IFERROR(VLOOKUP(D63,'Employee Numbers'!$A$3:$C$84,3,FALSE),"NOT FOUND"))*8</f>
        <v>0</v>
      </c>
      <c r="U63" s="2"/>
    </row>
    <row r="64" spans="1:21" s="2" customFormat="1" ht="15" customHeight="1">
      <c r="A64" s="44" t="s">
        <v>98</v>
      </c>
      <c r="B64" s="44"/>
      <c r="C64" s="45"/>
      <c r="D64" s="262" t="s">
        <v>104</v>
      </c>
      <c r="E64" s="285">
        <f>IFERROR(VLOOKUP(D64,'Employee Numbers'!$A$3:$B$84,2,FALSE),"NOT FOUND")</f>
        <v>637791</v>
      </c>
      <c r="F64" s="304" t="s">
        <v>176</v>
      </c>
      <c r="G64" s="305" t="s">
        <v>145</v>
      </c>
      <c r="H64" s="305" t="s">
        <v>145</v>
      </c>
      <c r="I64" s="305" t="s">
        <v>145</v>
      </c>
      <c r="J64" s="305" t="s">
        <v>145</v>
      </c>
      <c r="K64" s="305" t="s">
        <v>145</v>
      </c>
      <c r="L64" s="305" t="s">
        <v>145</v>
      </c>
      <c r="N64">
        <f t="array" ref="N64">((SUM(IFERROR((TEXT(IF(ISNUMBER(SEARCH("-", F64:L64)), MID(F64:L64, SEARCH("-", F64:L64) + 1, 4), ""), "00\:00") - TEXT(IF(ISNUMBER(SEARCH("-", F64:L64)), MID(F64:L64, SEARCH("-", F64:L64) - 4, 4), ""), "00\:00") + IF(TEXT(IF(ISNUMBER(SEARCH("-", F64:L64)), MID(F64:L64, SEARCH("-", F64:L64) + 1, 4), ""), "00\:00") &lt; TEXT(IF(ISNUMBER(SEARCH("-", F64:L64)), MID(F64:L64, SEARCH("-", F64:L64) - 4, 4), ""), "00\:00"), 1, 0))*24,""))))/9.5</f>
        <v>0</v>
      </c>
      <c r="O64"/>
      <c r="P64"/>
      <c r="Q64" s="2">
        <f t="shared" si="21"/>
        <v>0</v>
      </c>
      <c r="R64" s="2">
        <f t="shared" si="22"/>
        <v>0</v>
      </c>
      <c r="S64">
        <f t="shared" ca="1" si="23"/>
        <v>3</v>
      </c>
      <c r="T64" s="2">
        <f>(IFERROR(VLOOKUP(D64,'Employee Numbers'!$A$3:$C$84,3,FALSE),"NOT FOUND"))*8</f>
        <v>0</v>
      </c>
    </row>
    <row r="65" spans="1:20" s="2" customFormat="1" ht="15" customHeight="1">
      <c r="A65" s="2" t="s">
        <v>98</v>
      </c>
      <c r="C65" s="21"/>
      <c r="D65" s="262" t="s">
        <v>105</v>
      </c>
      <c r="E65" s="285">
        <f>IFERROR(VLOOKUP(D65,'Employee Numbers'!$A$3:$B$84,2,FALSE),"NOT FOUND")</f>
        <v>652867</v>
      </c>
      <c r="F65" s="304" t="s">
        <v>176</v>
      </c>
      <c r="G65" s="305" t="s">
        <v>145</v>
      </c>
      <c r="H65" s="305" t="s">
        <v>145</v>
      </c>
      <c r="I65" s="305" t="s">
        <v>145</v>
      </c>
      <c r="J65" s="305" t="s">
        <v>145</v>
      </c>
      <c r="K65" s="305" t="s">
        <v>145</v>
      </c>
      <c r="L65" s="305" t="s">
        <v>145</v>
      </c>
      <c r="N65">
        <f t="array" ref="N65">((SUM(IFERROR((TEXT(IF(ISNUMBER(SEARCH("-", F65:L65)), MID(F65:L65, SEARCH("-", F65:L65) + 1, 4), ""), "00\:00") - TEXT(IF(ISNUMBER(SEARCH("-", F65:L65)), MID(F65:L65, SEARCH("-", F65:L65) - 4, 4), ""), "00\:00") + IF(TEXT(IF(ISNUMBER(SEARCH("-", F65:L65)), MID(F65:L65, SEARCH("-", F65:L65) + 1, 4), ""), "00\:00") &lt; TEXT(IF(ISNUMBER(SEARCH("-", F65:L65)), MID(F65:L65, SEARCH("-", F65:L65) - 4, 4), ""), "00\:00"), 1, 0))*24,""))))/9.5</f>
        <v>0</v>
      </c>
      <c r="O65"/>
      <c r="P65"/>
      <c r="Q65" s="2">
        <f t="shared" si="21"/>
        <v>0</v>
      </c>
      <c r="R65" s="2">
        <f t="shared" si="22"/>
        <v>0</v>
      </c>
      <c r="S65">
        <f t="shared" ca="1" si="23"/>
        <v>4</v>
      </c>
      <c r="T65" s="2">
        <f>(IFERROR(VLOOKUP(D65,'Employee Numbers'!$A$3:$C$84,3,FALSE),"NOT FOUND"))*8</f>
        <v>0</v>
      </c>
    </row>
    <row r="66" spans="1:20" s="2" customFormat="1" ht="15" customHeight="1">
      <c r="A66" s="44" t="s">
        <v>98</v>
      </c>
      <c r="B66" s="44"/>
      <c r="C66" s="45"/>
      <c r="D66" s="262" t="s">
        <v>106</v>
      </c>
      <c r="E66" s="285">
        <f>IFERROR(VLOOKUP(D66,'Employee Numbers'!$A$3:$B$84,2,FALSE),"NOT FOUND")</f>
        <v>611551</v>
      </c>
      <c r="F66" s="301" t="s">
        <v>145</v>
      </c>
      <c r="G66" s="302" t="s">
        <v>145</v>
      </c>
      <c r="H66" s="302" t="s">
        <v>145</v>
      </c>
      <c r="I66" s="302" t="s">
        <v>145</v>
      </c>
      <c r="J66" s="352" t="s">
        <v>44</v>
      </c>
      <c r="K66" s="302" t="s">
        <v>42</v>
      </c>
      <c r="L66" s="302" t="s">
        <v>145</v>
      </c>
      <c r="N66">
        <f t="array" ref="N66">((SUM(IFERROR((TEXT(IF(ISNUMBER(SEARCH("-", F66:L66)), MID(F66:L66, SEARCH("-", F66:L66) + 1, 4), ""), "00\:00") - TEXT(IF(ISNUMBER(SEARCH("-", F66:L66)), MID(F66:L66, SEARCH("-", F66:L66) - 4, 4), ""), "00\:00") + IF(TEXT(IF(ISNUMBER(SEARCH("-", F66:L66)), MID(F66:L66, SEARCH("-", F66:L66) + 1, 4), ""), "00\:00") &lt; TEXT(IF(ISNUMBER(SEARCH("-", F66:L66)), MID(F66:L66, SEARCH("-", F66:L66) - 4, 4), ""), "00\:00"), 1, 0))*24,""))))/9.5</f>
        <v>2</v>
      </c>
      <c r="O66"/>
      <c r="P66"/>
      <c r="Q66" s="2">
        <f t="shared" si="21"/>
        <v>2</v>
      </c>
      <c r="R66" s="2">
        <f t="shared" si="22"/>
        <v>2.5</v>
      </c>
      <c r="S66">
        <f t="shared" ca="1" si="23"/>
        <v>3.9999999999999996</v>
      </c>
      <c r="T66" s="2">
        <f>(IFERROR(VLOOKUP(D66,'Employee Numbers'!$A$3:$C$84,3,FALSE),"NOT FOUND"))*8</f>
        <v>0</v>
      </c>
    </row>
    <row r="67" spans="1:20" s="2" customFormat="1" ht="15" customHeight="1">
      <c r="A67" s="2" t="s">
        <v>98</v>
      </c>
      <c r="C67" s="21"/>
      <c r="D67" s="262" t="s">
        <v>107</v>
      </c>
      <c r="E67" s="285">
        <f>IFERROR(VLOOKUP(D67,'Employee Numbers'!$A$3:$B$84,2,FALSE),"NOT FOUND")</f>
        <v>615820</v>
      </c>
      <c r="F67" s="301" t="s">
        <v>145</v>
      </c>
      <c r="G67" s="302" t="s">
        <v>145</v>
      </c>
      <c r="H67" s="302" t="s">
        <v>100</v>
      </c>
      <c r="I67" s="302" t="s">
        <v>100</v>
      </c>
      <c r="J67" s="302" t="s">
        <v>145</v>
      </c>
      <c r="K67" s="302" t="s">
        <v>145</v>
      </c>
      <c r="L67" s="302" t="s">
        <v>145</v>
      </c>
      <c r="N67">
        <f t="array" ref="N67">((SUM(IFERROR((TEXT(IF(ISNUMBER(SEARCH("-", F67:L67)), MID(F67:L67, SEARCH("-", F67:L67) + 1, 4), ""), "00\:00") - TEXT(IF(ISNUMBER(SEARCH("-", F67:L67)), MID(F67:L67, SEARCH("-", F67:L67) - 4, 4), ""), "00\:00") + IF(TEXT(IF(ISNUMBER(SEARCH("-", F67:L67)), MID(F67:L67, SEARCH("-", F67:L67) + 1, 4), ""), "00\:00") &lt; TEXT(IF(ISNUMBER(SEARCH("-", F67:L67)), MID(F67:L67, SEARCH("-", F67:L67) - 4, 4), ""), "00\:00"), 1, 0))*24,""))))/9.5</f>
        <v>1.9999999999999996</v>
      </c>
      <c r="O67"/>
      <c r="P67"/>
      <c r="Q67" s="2">
        <f t="shared" si="21"/>
        <v>1.9999999999999996</v>
      </c>
      <c r="R67" s="2">
        <f t="shared" si="22"/>
        <v>2.5</v>
      </c>
      <c r="S67">
        <f t="shared" ca="1" si="23"/>
        <v>3.9999999999999991</v>
      </c>
      <c r="T67" s="2">
        <f>(IFERROR(VLOOKUP(D67,'Employee Numbers'!$A$3:$C$84,3,FALSE),"NOT FOUND"))*8</f>
        <v>0</v>
      </c>
    </row>
    <row r="68" spans="1:20" s="2" customFormat="1" ht="15" customHeight="1">
      <c r="A68" s="44" t="s">
        <v>98</v>
      </c>
      <c r="B68" s="44"/>
      <c r="C68" s="45"/>
      <c r="D68" s="262" t="s">
        <v>108</v>
      </c>
      <c r="E68" s="285">
        <f>IFERROR(VLOOKUP(D68,'Employee Numbers'!$A$3:$B$84,2,FALSE),"NOT FOUND")</f>
        <v>654727</v>
      </c>
      <c r="F68" s="306" t="s">
        <v>145</v>
      </c>
      <c r="G68" s="307" t="s">
        <v>44</v>
      </c>
      <c r="H68" s="307" t="s">
        <v>42</v>
      </c>
      <c r="I68" s="307" t="s">
        <v>42</v>
      </c>
      <c r="J68" s="307" t="s">
        <v>42</v>
      </c>
      <c r="K68" s="307" t="s">
        <v>145</v>
      </c>
      <c r="L68" s="307" t="s">
        <v>145</v>
      </c>
      <c r="N68">
        <f t="array" ref="N68">((SUM(IFERROR((TEXT(IF(ISNUMBER(SEARCH("-", F68:L68)), MID(F68:L68, SEARCH("-", F68:L68) + 1, 4), ""), "00\:00") - TEXT(IF(ISNUMBER(SEARCH("-", F68:L68)), MID(F68:L68, SEARCH("-", F68:L68) - 4, 4), ""), "00\:00") + IF(TEXT(IF(ISNUMBER(SEARCH("-", F68:L68)), MID(F68:L68, SEARCH("-", F68:L68) + 1, 4), ""), "00\:00") &lt; TEXT(IF(ISNUMBER(SEARCH("-", F68:L68)), MID(F68:L68, SEARCH("-", F68:L68) - 4, 4), ""), "00\:00"), 1, 0))*24,""))))/9.5</f>
        <v>4</v>
      </c>
      <c r="O68"/>
      <c r="P68"/>
      <c r="Q68" s="2">
        <f t="shared" si="21"/>
        <v>4</v>
      </c>
      <c r="R68" s="2">
        <f t="shared" si="22"/>
        <v>5</v>
      </c>
      <c r="S68">
        <f t="shared" ca="1" si="23"/>
        <v>7.9999999999999991</v>
      </c>
      <c r="T68" s="2">
        <f>(IFERROR(VLOOKUP(D68,'Employee Numbers'!$A$3:$C$84,3,FALSE),"NOT FOUND"))*8</f>
        <v>0</v>
      </c>
    </row>
    <row r="69" spans="1:20" s="2" customFormat="1" ht="15" customHeight="1">
      <c r="A69" s="2" t="s">
        <v>98</v>
      </c>
      <c r="C69" s="47"/>
      <c r="D69" s="262" t="s">
        <v>109</v>
      </c>
      <c r="E69" s="285">
        <f>IFERROR(VLOOKUP(D69,'Employee Numbers'!$A$3:$B$84,2,FALSE),"NOT FOUND")</f>
        <v>702947</v>
      </c>
      <c r="F69" s="327" t="s">
        <v>145</v>
      </c>
      <c r="G69" s="308" t="s">
        <v>145</v>
      </c>
      <c r="H69" s="308" t="s">
        <v>145</v>
      </c>
      <c r="I69" s="300" t="s">
        <v>42</v>
      </c>
      <c r="J69" s="300" t="s">
        <v>100</v>
      </c>
      <c r="K69" s="300" t="s">
        <v>100</v>
      </c>
      <c r="L69" s="300" t="s">
        <v>100</v>
      </c>
      <c r="N69">
        <f t="array" ref="N69">((SUM(IFERROR((TEXT(IF(ISNUMBER(SEARCH("-", F69:L69)), MID(F69:L69, SEARCH("-", F69:L69) + 1, 4), ""), "00\:00") - TEXT(IF(ISNUMBER(SEARCH("-", F69:L69)), MID(F69:L69, SEARCH("-", F69:L69) - 4, 4), ""), "00\:00") + IF(TEXT(IF(ISNUMBER(SEARCH("-", F69:L69)), MID(F69:L69, SEARCH("-", F69:L69) + 1, 4), ""), "00\:00") &lt; TEXT(IF(ISNUMBER(SEARCH("-", F69:L69)), MID(F69:L69, SEARCH("-", F69:L69) - 4, 4), ""), "00\:00"), 1, 0))*24,""))))/9.5</f>
        <v>4</v>
      </c>
      <c r="O69"/>
      <c r="P69"/>
      <c r="Q69" s="2">
        <f t="shared" si="21"/>
        <v>4</v>
      </c>
      <c r="R69" s="2">
        <f t="shared" si="22"/>
        <v>5</v>
      </c>
      <c r="S69">
        <f t="shared" ca="1" si="23"/>
        <v>8</v>
      </c>
      <c r="T69" s="2">
        <f>(IFERROR(VLOOKUP(D69,'Employee Numbers'!$A$3:$C$84,3,FALSE),"NOT FOUND"))*8</f>
        <v>0</v>
      </c>
    </row>
    <row r="70" spans="1:20" s="2" customFormat="1" ht="15" customHeight="1">
      <c r="A70" s="44" t="s">
        <v>98</v>
      </c>
      <c r="B70" s="44"/>
      <c r="C70" s="45"/>
      <c r="D70" s="262" t="s">
        <v>110</v>
      </c>
      <c r="E70" s="285">
        <f>IFERROR(VLOOKUP(D70,'Employee Numbers'!$A$3:$B$84,2,FALSE),"NOT FOUND")</f>
        <v>654002</v>
      </c>
      <c r="F70" s="301" t="s">
        <v>145</v>
      </c>
      <c r="G70" s="352" t="s">
        <v>44</v>
      </c>
      <c r="H70" s="302" t="s">
        <v>42</v>
      </c>
      <c r="I70" s="302" t="s">
        <v>145</v>
      </c>
      <c r="J70" s="302" t="s">
        <v>100</v>
      </c>
      <c r="K70" s="302" t="s">
        <v>100</v>
      </c>
      <c r="L70" s="302" t="s">
        <v>100</v>
      </c>
      <c r="N70">
        <f t="array" ref="N70">((SUM(IFERROR((TEXT(IF(ISNUMBER(SEARCH("-", F70:L70)), MID(F70:L70, SEARCH("-", F70:L70) + 1, 4), ""), "00\:00") - TEXT(IF(ISNUMBER(SEARCH("-", F70:L70)), MID(F70:L70, SEARCH("-", F70:L70) - 4, 4), ""), "00\:00") + IF(TEXT(IF(ISNUMBER(SEARCH("-", F70:L70)), MID(F70:L70, SEARCH("-", F70:L70) + 1, 4), ""), "00\:00") &lt; TEXT(IF(ISNUMBER(SEARCH("-", F70:L70)), MID(F70:L70, SEARCH("-", F70:L70) - 4, 4), ""), "00\:00"), 1, 0))*24,""))))/9.5</f>
        <v>5</v>
      </c>
      <c r="O70"/>
      <c r="P70"/>
      <c r="Q70" s="2">
        <f t="shared" si="21"/>
        <v>5</v>
      </c>
      <c r="R70" s="2">
        <f t="shared" si="22"/>
        <v>5</v>
      </c>
      <c r="S70">
        <f t="shared" ca="1" si="23"/>
        <v>8</v>
      </c>
      <c r="T70" s="2">
        <f>(IFERROR(VLOOKUP(D70,'Employee Numbers'!$A$3:$C$84,3,FALSE),"NOT FOUND"))*8</f>
        <v>0</v>
      </c>
    </row>
    <row r="71" spans="1:20" s="2" customFormat="1" ht="15" customHeight="1">
      <c r="A71" s="2" t="s">
        <v>98</v>
      </c>
      <c r="C71" s="21"/>
      <c r="D71" s="262" t="s">
        <v>111</v>
      </c>
      <c r="E71" s="285">
        <f>IFERROR(VLOOKUP(D71,'Employee Numbers'!$A$3:$B$84,2,FALSE),"NOT FOUND")</f>
        <v>703068</v>
      </c>
      <c r="F71" s="313" t="s">
        <v>145</v>
      </c>
      <c r="G71" s="302" t="s">
        <v>42</v>
      </c>
      <c r="H71" s="302" t="s">
        <v>42</v>
      </c>
      <c r="I71" s="302" t="s">
        <v>145</v>
      </c>
      <c r="J71" s="302" t="s">
        <v>145</v>
      </c>
      <c r="K71" s="302" t="s">
        <v>42</v>
      </c>
      <c r="L71" s="302" t="s">
        <v>42</v>
      </c>
      <c r="N71">
        <f t="array" ref="N71">((SUM(IFERROR((TEXT(IF(ISNUMBER(SEARCH("-", F71:L71)), MID(F71:L71, SEARCH("-", F71:L71) + 1, 4), ""), "00\:00") - TEXT(IF(ISNUMBER(SEARCH("-", F71:L71)), MID(F71:L71, SEARCH("-", F71:L71) - 4, 4), ""), "00\:00") + IF(TEXT(IF(ISNUMBER(SEARCH("-", F71:L71)), MID(F71:L71, SEARCH("-", F71:L71) + 1, 4), ""), "00\:00") &lt; TEXT(IF(ISNUMBER(SEARCH("-", F71:L71)), MID(F71:L71, SEARCH("-", F71:L71) - 4, 4), ""), "00\:00"), 1, 0))*24,""))))/9.5</f>
        <v>4</v>
      </c>
      <c r="O71"/>
      <c r="P71"/>
      <c r="Q71" s="2">
        <f t="shared" si="21"/>
        <v>4</v>
      </c>
      <c r="R71" s="2">
        <f t="shared" si="22"/>
        <v>5</v>
      </c>
      <c r="S71">
        <f t="shared" ca="1" si="23"/>
        <v>8</v>
      </c>
      <c r="T71" s="2">
        <f>(IFERROR(VLOOKUP(D71,'Employee Numbers'!$A$3:$C$84,3,FALSE),"NOT FOUND"))*8</f>
        <v>0</v>
      </c>
    </row>
    <row r="72" spans="1:20" s="2" customFormat="1" ht="15" customHeight="1">
      <c r="A72" s="44" t="s">
        <v>98</v>
      </c>
      <c r="B72" s="44"/>
      <c r="C72" s="45"/>
      <c r="D72" s="262" t="s">
        <v>113</v>
      </c>
      <c r="E72" s="285">
        <f>IFERROR(VLOOKUP(D72,'Employee Numbers'!$A$3:$B$84,2,FALSE),"NOT FOUND")</f>
        <v>703911</v>
      </c>
      <c r="F72" s="301" t="s">
        <v>145</v>
      </c>
      <c r="G72" s="302" t="s">
        <v>145</v>
      </c>
      <c r="H72" s="302" t="s">
        <v>42</v>
      </c>
      <c r="I72" s="302" t="s">
        <v>174</v>
      </c>
      <c r="J72" s="302" t="s">
        <v>42</v>
      </c>
      <c r="K72" s="302" t="s">
        <v>145</v>
      </c>
      <c r="L72" s="302" t="s">
        <v>145</v>
      </c>
      <c r="N72">
        <f t="array" ref="N72">((SUM(IFERROR((TEXT(IF(ISNUMBER(SEARCH("-", F72:L72)), MID(F72:L72, SEARCH("-", F72:L72) + 1, 4), ""), "00\:00") - TEXT(IF(ISNUMBER(SEARCH("-", F72:L72)), MID(F72:L72, SEARCH("-", F72:L72) - 4, 4), ""), "00\:00") + IF(TEXT(IF(ISNUMBER(SEARCH("-", F72:L72)), MID(F72:L72, SEARCH("-", F72:L72) + 1, 4), ""), "00\:00") &lt; TEXT(IF(ISNUMBER(SEARCH("-", F72:L72)), MID(F72:L72, SEARCH("-", F72:L72) - 4, 4), ""), "00\:00"), 1, 0))*24,""))))/9.5</f>
        <v>3</v>
      </c>
      <c r="O72"/>
      <c r="P72"/>
      <c r="Q72" s="2">
        <f t="shared" si="21"/>
        <v>3</v>
      </c>
      <c r="R72" s="2">
        <f t="shared" si="22"/>
        <v>5</v>
      </c>
      <c r="S72">
        <f t="shared" ca="1" si="23"/>
        <v>8</v>
      </c>
      <c r="T72" s="2">
        <f>(IFERROR(VLOOKUP(D72,'Employee Numbers'!$A$3:$C$84,3,FALSE),"NOT FOUND"))*8</f>
        <v>0</v>
      </c>
    </row>
    <row r="73" spans="1:20" s="2" customFormat="1" ht="15" customHeight="1">
      <c r="A73" s="2" t="s">
        <v>98</v>
      </c>
      <c r="C73" s="21"/>
      <c r="D73" s="262" t="s">
        <v>114</v>
      </c>
      <c r="E73" s="285">
        <f>IFERROR(VLOOKUP(D73,'Employee Numbers'!$A$3:$B$84,2,FALSE),"NOT FOUND")</f>
        <v>633936</v>
      </c>
      <c r="F73" s="301" t="s">
        <v>145</v>
      </c>
      <c r="G73" s="302" t="s">
        <v>145</v>
      </c>
      <c r="H73" s="302" t="s">
        <v>145</v>
      </c>
      <c r="I73" s="352" t="s">
        <v>44</v>
      </c>
      <c r="J73" s="302" t="s">
        <v>44</v>
      </c>
      <c r="K73" s="302" t="s">
        <v>42</v>
      </c>
      <c r="L73" s="302" t="s">
        <v>42</v>
      </c>
      <c r="N73">
        <f t="array" ref="N73">((SUM(IFERROR((TEXT(IF(ISNUMBER(SEARCH("-", F73:L73)), MID(F73:L73, SEARCH("-", F73:L73) + 1, 4), ""), "00\:00") - TEXT(IF(ISNUMBER(SEARCH("-", F73:L73)), MID(F73:L73, SEARCH("-", F73:L73) - 4, 4), ""), "00\:00") + IF(TEXT(IF(ISNUMBER(SEARCH("-", F73:L73)), MID(F73:L73, SEARCH("-", F73:L73) + 1, 4), ""), "00\:00") &lt; TEXT(IF(ISNUMBER(SEARCH("-", F73:L73)), MID(F73:L73, SEARCH("-", F73:L73) - 4, 4), ""), "00\:00"), 1, 0))*24,""))))/9.5</f>
        <v>4</v>
      </c>
      <c r="O73"/>
      <c r="P73"/>
      <c r="Q73" s="2">
        <f t="shared" si="21"/>
        <v>4</v>
      </c>
      <c r="R73" s="2">
        <f t="shared" si="22"/>
        <v>5</v>
      </c>
      <c r="S73">
        <f t="shared" ca="1" si="23"/>
        <v>8</v>
      </c>
      <c r="T73" s="2">
        <f>(IFERROR(VLOOKUP(D73,'Employee Numbers'!$A$3:$C$84,3,FALSE),"NOT FOUND"))*8</f>
        <v>0</v>
      </c>
    </row>
    <row r="74" spans="1:20" s="2" customFormat="1" ht="15" customHeight="1">
      <c r="A74" s="44" t="s">
        <v>98</v>
      </c>
      <c r="B74" s="44"/>
      <c r="C74" s="45"/>
      <c r="D74" s="262" t="s">
        <v>115</v>
      </c>
      <c r="E74" s="285">
        <f>IFERROR(VLOOKUP(D74,'Employee Numbers'!$A$3:$B$84,2,FALSE),"NOT FOUND")</f>
        <v>700755</v>
      </c>
      <c r="F74" s="301" t="s">
        <v>42</v>
      </c>
      <c r="G74" s="302" t="s">
        <v>42</v>
      </c>
      <c r="H74" s="302" t="s">
        <v>145</v>
      </c>
      <c r="I74" s="302" t="s">
        <v>44</v>
      </c>
      <c r="J74" s="302" t="s">
        <v>42</v>
      </c>
      <c r="K74" s="302"/>
      <c r="L74" s="302"/>
      <c r="N74">
        <f t="array" ref="N74">((SUM(IFERROR((TEXT(IF(ISNUMBER(SEARCH("-", F74:L74)), MID(F74:L74, SEARCH("-", F74:L74) + 1, 4), ""), "00\:00") - TEXT(IF(ISNUMBER(SEARCH("-", F74:L74)), MID(F74:L74, SEARCH("-", F74:L74) - 4, 4), ""), "00\:00") + IF(TEXT(IF(ISNUMBER(SEARCH("-", F74:L74)), MID(F74:L74, SEARCH("-", F74:L74) + 1, 4), ""), "00\:00") &lt; TEXT(IF(ISNUMBER(SEARCH("-", F74:L74)), MID(F74:L74, SEARCH("-", F74:L74) - 4, 4), ""), "00\:00"), 1, 0))*24,""))))/9.5</f>
        <v>4</v>
      </c>
      <c r="O74"/>
      <c r="P74"/>
      <c r="Q74" s="2">
        <f t="shared" si="21"/>
        <v>4</v>
      </c>
      <c r="R74" s="2">
        <f t="shared" si="22"/>
        <v>5</v>
      </c>
      <c r="S74">
        <f t="shared" ca="1" si="23"/>
        <v>8</v>
      </c>
      <c r="T74" s="2">
        <f>(IFERROR(VLOOKUP(D74,'Employee Numbers'!$A$3:$C$84,3,FALSE),"NOT FOUND"))*8</f>
        <v>0</v>
      </c>
    </row>
    <row r="75" spans="1:20" s="2" customFormat="1" ht="15" customHeight="1">
      <c r="A75" s="2" t="s">
        <v>98</v>
      </c>
      <c r="C75" s="21"/>
      <c r="D75" s="262" t="s">
        <v>116</v>
      </c>
      <c r="E75" s="285">
        <f>IFERROR(VLOOKUP(D75,'Employee Numbers'!$A$3:$B$84,2,FALSE),"NOT FOUND")</f>
        <v>704872</v>
      </c>
      <c r="F75" s="328" t="s">
        <v>177</v>
      </c>
      <c r="G75" s="307" t="s">
        <v>42</v>
      </c>
      <c r="H75" s="307" t="s">
        <v>42</v>
      </c>
      <c r="I75" s="307" t="s">
        <v>42</v>
      </c>
      <c r="J75" s="307" t="s">
        <v>145</v>
      </c>
      <c r="K75" s="307" t="s">
        <v>42</v>
      </c>
      <c r="L75" s="307" t="s">
        <v>42</v>
      </c>
      <c r="N75">
        <f t="array" ref="N75">((SUM(IFERROR((TEXT(IF(ISNUMBER(SEARCH("-", F75:L75)), MID(F75:L75, SEARCH("-", F75:L75) + 1, 4), ""), "00\:00") - TEXT(IF(ISNUMBER(SEARCH("-", F75:L75)), MID(F75:L75, SEARCH("-", F75:L75) - 4, 4), ""), "00\:00") + IF(TEXT(IF(ISNUMBER(SEARCH("-", F75:L75)), MID(F75:L75, SEARCH("-", F75:L75) + 1, 4), ""), "00\:00") &lt; TEXT(IF(ISNUMBER(SEARCH("-", F75:L75)), MID(F75:L75, SEARCH("-", F75:L75) - 4, 4), ""), "00\:00"), 1, 0))*24,""))))/9.5</f>
        <v>5</v>
      </c>
      <c r="O75"/>
      <c r="P75"/>
      <c r="Q75" s="2">
        <f t="shared" si="21"/>
        <v>5</v>
      </c>
      <c r="R75" s="2">
        <f t="shared" si="22"/>
        <v>5</v>
      </c>
      <c r="S75">
        <f t="shared" ca="1" si="23"/>
        <v>8</v>
      </c>
      <c r="T75" s="2">
        <f>(IFERROR(VLOOKUP(D75,'Employee Numbers'!$A$3:$C$84,3,FALSE),"NOT FOUND"))*8</f>
        <v>0</v>
      </c>
    </row>
    <row r="76" spans="1:20" s="2" customFormat="1" ht="15" customHeight="1">
      <c r="A76" s="44" t="s">
        <v>98</v>
      </c>
      <c r="B76" s="44"/>
      <c r="C76" s="45"/>
      <c r="D76" s="262" t="s">
        <v>117</v>
      </c>
      <c r="E76" s="285">
        <f>IFERROR(VLOOKUP(D76,'Employee Numbers'!$A$3:$B$84,2,FALSE),"NOT FOUND")</f>
        <v>700712</v>
      </c>
      <c r="F76" s="299" t="s">
        <v>145</v>
      </c>
      <c r="G76" s="300" t="s">
        <v>145</v>
      </c>
      <c r="H76" s="300" t="s">
        <v>145</v>
      </c>
      <c r="I76" s="300" t="s">
        <v>42</v>
      </c>
      <c r="J76" s="300" t="s">
        <v>100</v>
      </c>
      <c r="K76" s="300" t="s">
        <v>100</v>
      </c>
      <c r="L76" s="300" t="s">
        <v>100</v>
      </c>
      <c r="N76">
        <f t="array" ref="N76">((SUM(IFERROR((TEXT(IF(ISNUMBER(SEARCH("-", F76:L76)), MID(F76:L76, SEARCH("-", F76:L76) + 1, 4), ""), "00\:00") - TEXT(IF(ISNUMBER(SEARCH("-", F76:L76)), MID(F76:L76, SEARCH("-", F76:L76) - 4, 4), ""), "00\:00") + IF(TEXT(IF(ISNUMBER(SEARCH("-", F76:L76)), MID(F76:L76, SEARCH("-", F76:L76) + 1, 4), ""), "00\:00") &lt; TEXT(IF(ISNUMBER(SEARCH("-", F76:L76)), MID(F76:L76, SEARCH("-", F76:L76) - 4, 4), ""), "00\:00"), 1, 0))*24,""))))/9.5</f>
        <v>4</v>
      </c>
      <c r="O76"/>
      <c r="P76"/>
      <c r="Q76" s="2">
        <f t="shared" si="21"/>
        <v>4</v>
      </c>
      <c r="R76" s="2">
        <f t="shared" si="22"/>
        <v>5</v>
      </c>
      <c r="S76">
        <f t="shared" ca="1" si="23"/>
        <v>6</v>
      </c>
      <c r="T76" s="2">
        <f>(IFERROR(VLOOKUP(D76,'Employee Numbers'!$A$3:$C$84,3,FALSE),"NOT FOUND"))*8</f>
        <v>0</v>
      </c>
    </row>
    <row r="77" spans="1:20" s="2" customFormat="1" ht="15" customHeight="1">
      <c r="A77" s="2" t="s">
        <v>98</v>
      </c>
      <c r="C77" s="47"/>
      <c r="D77" s="262" t="s">
        <v>119</v>
      </c>
      <c r="E77" s="285">
        <f>IFERROR(VLOOKUP(D77,'Employee Numbers'!$A$3:$B$84,2,FALSE),"NOT FOUND")</f>
        <v>700818</v>
      </c>
      <c r="F77" s="301" t="s">
        <v>42</v>
      </c>
      <c r="G77" s="302" t="s">
        <v>145</v>
      </c>
      <c r="H77" s="302" t="s">
        <v>42</v>
      </c>
      <c r="I77" s="302" t="s">
        <v>42</v>
      </c>
      <c r="J77" s="302" t="s">
        <v>42</v>
      </c>
      <c r="K77" s="302" t="s">
        <v>145</v>
      </c>
      <c r="L77" s="302" t="s">
        <v>145</v>
      </c>
      <c r="N77">
        <f t="array" ref="N77">((SUM(IFERROR((TEXT(IF(ISNUMBER(SEARCH("-", F77:L77)), MID(F77:L77, SEARCH("-", F77:L77) + 1, 4), ""), "00\:00") - TEXT(IF(ISNUMBER(SEARCH("-", F77:L77)), MID(F77:L77, SEARCH("-", F77:L77) - 4, 4), ""), "00\:00") + IF(TEXT(IF(ISNUMBER(SEARCH("-", F77:L77)), MID(F77:L77, SEARCH("-", F77:L77) + 1, 4), ""), "00\:00") &lt; TEXT(IF(ISNUMBER(SEARCH("-", F77:L77)), MID(F77:L77, SEARCH("-", F77:L77) - 4, 4), ""), "00\:00"), 1, 0))*24,""))))/9.5</f>
        <v>4</v>
      </c>
      <c r="O77"/>
      <c r="P77"/>
      <c r="Q77" s="2">
        <f t="shared" si="21"/>
        <v>4</v>
      </c>
      <c r="R77" s="2">
        <f t="shared" si="22"/>
        <v>5</v>
      </c>
      <c r="S77">
        <f t="shared" ca="1" si="23"/>
        <v>8</v>
      </c>
      <c r="T77" s="2">
        <f>(IFERROR(VLOOKUP(D77,'Employee Numbers'!$A$3:$C$84,3,FALSE),"NOT FOUND"))*8</f>
        <v>0</v>
      </c>
    </row>
    <row r="78" spans="1:20" s="2" customFormat="1" ht="15" customHeight="1">
      <c r="A78" s="44" t="s">
        <v>98</v>
      </c>
      <c r="B78" s="44"/>
      <c r="C78" s="45"/>
      <c r="D78" s="262" t="s">
        <v>120</v>
      </c>
      <c r="E78" s="285">
        <f>IFERROR(VLOOKUP(D78,'Employee Numbers'!$A$3:$B$84,2,FALSE),"NOT FOUND")</f>
        <v>650101</v>
      </c>
      <c r="F78" s="301" t="s">
        <v>100</v>
      </c>
      <c r="G78" s="302" t="s">
        <v>100</v>
      </c>
      <c r="H78" s="302" t="s">
        <v>100</v>
      </c>
      <c r="I78" s="302" t="s">
        <v>100</v>
      </c>
      <c r="J78" s="302" t="s">
        <v>145</v>
      </c>
      <c r="K78" s="302" t="s">
        <v>145</v>
      </c>
      <c r="L78" s="302" t="s">
        <v>145</v>
      </c>
      <c r="N78">
        <f t="array" ref="N78">((SUM(IFERROR((TEXT(IF(ISNUMBER(SEARCH("-", F78:L78)), MID(F78:L78, SEARCH("-", F78:L78) + 1, 4), ""), "00\:00") - TEXT(IF(ISNUMBER(SEARCH("-", F78:L78)), MID(F78:L78, SEARCH("-", F78:L78) - 4, 4), ""), "00\:00") + IF(TEXT(IF(ISNUMBER(SEARCH("-", F78:L78)), MID(F78:L78, SEARCH("-", F78:L78) + 1, 4), ""), "00\:00") &lt; TEXT(IF(ISNUMBER(SEARCH("-", F78:L78)), MID(F78:L78, SEARCH("-", F78:L78) - 4, 4), ""), "00\:00"), 1, 0))*24,""))))/9.5</f>
        <v>3.9999999999999991</v>
      </c>
      <c r="O78"/>
      <c r="P78"/>
      <c r="Q78" s="2">
        <f t="shared" si="21"/>
        <v>3.9999999999999991</v>
      </c>
      <c r="R78" s="2">
        <f t="shared" si="22"/>
        <v>2.5</v>
      </c>
      <c r="S78">
        <f t="shared" ca="1" si="23"/>
        <v>3.9999999999999991</v>
      </c>
      <c r="T78" s="2">
        <f>(IFERROR(VLOOKUP(D78,'Employee Numbers'!$A$3:$C$84,3,FALSE),"NOT FOUND"))*8</f>
        <v>0</v>
      </c>
    </row>
    <row r="79" spans="1:20" s="2" customFormat="1" ht="15" customHeight="1">
      <c r="A79" s="2" t="s">
        <v>98</v>
      </c>
      <c r="C79" s="21"/>
      <c r="D79" s="262" t="s">
        <v>122</v>
      </c>
      <c r="E79" s="285">
        <f>IFERROR(VLOOKUP(D79,'Employee Numbers'!$A$3:$B$84,2,FALSE),"NOT FOUND")</f>
        <v>654888</v>
      </c>
      <c r="F79" s="353" t="s">
        <v>44</v>
      </c>
      <c r="G79" s="302" t="s">
        <v>44</v>
      </c>
      <c r="H79" s="302" t="s">
        <v>145</v>
      </c>
      <c r="I79" s="302"/>
      <c r="J79" s="302" t="s">
        <v>100</v>
      </c>
      <c r="K79" s="302" t="s">
        <v>100</v>
      </c>
      <c r="L79" s="302" t="s">
        <v>100</v>
      </c>
      <c r="N79">
        <f t="array" ref="N79">((SUM(IFERROR((TEXT(IF(ISNUMBER(SEARCH("-", F79:L79)), MID(F79:L79, SEARCH("-", F79:L79) + 1, 4), ""), "00\:00") - TEXT(IF(ISNUMBER(SEARCH("-", F79:L79)), MID(F79:L79, SEARCH("-", F79:L79) - 4, 4), ""), "00\:00") + IF(TEXT(IF(ISNUMBER(SEARCH("-", F79:L79)), MID(F79:L79, SEARCH("-", F79:L79) + 1, 4), ""), "00\:00") &lt; TEXT(IF(ISNUMBER(SEARCH("-", F79:L79)), MID(F79:L79, SEARCH("-", F79:L79) - 4, 4), ""), "00\:00"), 1, 0))*24,""))))/9.5</f>
        <v>5</v>
      </c>
      <c r="O79"/>
      <c r="P79"/>
      <c r="Q79" s="2">
        <f t="shared" si="21"/>
        <v>5</v>
      </c>
      <c r="R79" s="2">
        <f t="shared" si="22"/>
        <v>5</v>
      </c>
      <c r="S79">
        <f t="shared" ca="1" si="23"/>
        <v>8</v>
      </c>
      <c r="T79" s="2">
        <f>(IFERROR(VLOOKUP(D79,'Employee Numbers'!$A$3:$C$84,3,FALSE),"NOT FOUND"))*8</f>
        <v>0</v>
      </c>
    </row>
    <row r="80" spans="1:20" s="2" customFormat="1" ht="15" customHeight="1">
      <c r="A80" s="44" t="s">
        <v>98</v>
      </c>
      <c r="B80" s="44"/>
      <c r="C80" s="45"/>
      <c r="D80" s="262" t="s">
        <v>123</v>
      </c>
      <c r="E80" s="285">
        <f>IFERROR(VLOOKUP(D80,'Employee Numbers'!$A$3:$B$84,2,FALSE),"NOT FOUND")</f>
        <v>703880</v>
      </c>
      <c r="F80" s="301" t="s">
        <v>44</v>
      </c>
      <c r="G80" s="302" t="s">
        <v>42</v>
      </c>
      <c r="H80" s="302" t="s">
        <v>145</v>
      </c>
      <c r="I80" s="302" t="s">
        <v>145</v>
      </c>
      <c r="J80" s="302" t="s">
        <v>145</v>
      </c>
      <c r="K80" s="302" t="s">
        <v>42</v>
      </c>
      <c r="L80" s="302" t="s">
        <v>42</v>
      </c>
      <c r="N80">
        <f t="array" ref="N80">((SUM(IFERROR((TEXT(IF(ISNUMBER(SEARCH("-", F80:L80)), MID(F80:L80, SEARCH("-", F80:L80) + 1, 4), ""), "00\:00") - TEXT(IF(ISNUMBER(SEARCH("-", F80:L80)), MID(F80:L80, SEARCH("-", F80:L80) - 4, 4), ""), "00\:00") + IF(TEXT(IF(ISNUMBER(SEARCH("-", F80:L80)), MID(F80:L80, SEARCH("-", F80:L80) + 1, 4), ""), "00\:00") &lt; TEXT(IF(ISNUMBER(SEARCH("-", F80:L80)), MID(F80:L80, SEARCH("-", F80:L80) - 4, 4), ""), "00\:00"), 1, 0))*24,""))))/9.5</f>
        <v>4</v>
      </c>
      <c r="O80"/>
      <c r="P80"/>
      <c r="Q80" s="2">
        <f t="shared" si="21"/>
        <v>4</v>
      </c>
      <c r="R80" s="2">
        <f t="shared" si="22"/>
        <v>5</v>
      </c>
      <c r="S80">
        <f t="shared" ca="1" si="23"/>
        <v>8</v>
      </c>
      <c r="T80" s="2">
        <f>(IFERROR(VLOOKUP(D80,'Employee Numbers'!$A$3:$C$84,3,FALSE),"NOT FOUND"))*8</f>
        <v>0</v>
      </c>
    </row>
    <row r="81" spans="1:21" s="13" customFormat="1" ht="15" customHeight="1">
      <c r="A81" s="2" t="s">
        <v>98</v>
      </c>
      <c r="B81" s="2"/>
      <c r="C81" s="21"/>
      <c r="D81" s="262" t="s">
        <v>124</v>
      </c>
      <c r="E81" s="285">
        <f>IFERROR(VLOOKUP(D81,'Employee Numbers'!$A$3:$B$84,2,FALSE),"NOT FOUND")</f>
        <v>703334</v>
      </c>
      <c r="F81" s="301" t="s">
        <v>42</v>
      </c>
      <c r="G81" s="302" t="s">
        <v>42</v>
      </c>
      <c r="H81" s="302" t="s">
        <v>145</v>
      </c>
      <c r="I81" s="302" t="s">
        <v>145</v>
      </c>
      <c r="J81" s="302" t="s">
        <v>145</v>
      </c>
      <c r="K81" s="352" t="s">
        <v>44</v>
      </c>
      <c r="L81" s="302" t="s">
        <v>44</v>
      </c>
      <c r="N81">
        <f t="array" ref="N81">((SUM(IFERROR((TEXT(IF(ISNUMBER(SEARCH("-", F81:L81)), MID(F81:L81, SEARCH("-", F81:L81) + 1, 4), ""), "00\:00") - TEXT(IF(ISNUMBER(SEARCH("-", F81:L81)), MID(F81:L81, SEARCH("-", F81:L81) - 4, 4), ""), "00\:00") + IF(TEXT(IF(ISNUMBER(SEARCH("-", F81:L81)), MID(F81:L81, SEARCH("-", F81:L81) + 1, 4), ""), "00\:00") &lt; TEXT(IF(ISNUMBER(SEARCH("-", F81:L81)), MID(F81:L81, SEARCH("-", F81:L81) - 4, 4), ""), "00\:00"), 1, 0))*24,""))))/9.5</f>
        <v>4</v>
      </c>
      <c r="O81"/>
      <c r="P81"/>
      <c r="Q81" s="2">
        <f>P81+O81+N81</f>
        <v>4</v>
      </c>
      <c r="R81" s="2">
        <f>IF(ISNUMBER(SEARCH("trg_5",H173)),5,IF(ISNUMBER(SEARCH("trg_3.75",H173)),3.75,IF(ISNUMBER(SEARCH("trg_2.5",H173)),2.5,IF(ISNUMBER(SEARCH("trg_1.75",H173)),1.75,0))))</f>
        <v>5</v>
      </c>
      <c r="S81">
        <f t="shared" ca="1" si="23"/>
        <v>8</v>
      </c>
      <c r="T81" s="2">
        <f>(IFERROR(VLOOKUP(D81,'Employee Numbers'!$A$3:$C$84,3,FALSE),"NOT FOUND"))*8</f>
        <v>0</v>
      </c>
      <c r="U81" s="2"/>
    </row>
    <row r="82" spans="1:21" s="2" customFormat="1" ht="15" customHeight="1">
      <c r="A82" s="44" t="s">
        <v>98</v>
      </c>
      <c r="B82" s="44"/>
      <c r="C82" s="45"/>
      <c r="D82" s="262" t="s">
        <v>125</v>
      </c>
      <c r="E82" s="285">
        <f>IFERROR(VLOOKUP(D82,'Employee Numbers'!$A$3:$B$84,2,FALSE),"NOT FOUND")</f>
        <v>700538</v>
      </c>
      <c r="F82" s="301" t="s">
        <v>42</v>
      </c>
      <c r="G82" s="302" t="s">
        <v>145</v>
      </c>
      <c r="H82" s="302" t="s">
        <v>145</v>
      </c>
      <c r="I82" s="302" t="s">
        <v>42</v>
      </c>
      <c r="J82" s="302" t="s">
        <v>42</v>
      </c>
      <c r="K82" s="302" t="s">
        <v>145</v>
      </c>
      <c r="L82" s="302" t="s">
        <v>145</v>
      </c>
      <c r="N82">
        <f t="array" ref="N82">((SUM(IFERROR((TEXT(IF(ISNUMBER(SEARCH("-", F82:L82)), MID(F82:L82, SEARCH("-", F82:L82) + 1, 4), ""), "00\:00") - TEXT(IF(ISNUMBER(SEARCH("-", F82:L82)), MID(F82:L82, SEARCH("-", F82:L82) - 4, 4), ""), "00\:00") + IF(TEXT(IF(ISNUMBER(SEARCH("-", F82:L82)), MID(F82:L82, SEARCH("-", F82:L82) + 1, 4), ""), "00\:00") &lt; TEXT(IF(ISNUMBER(SEARCH("-", F82:L82)), MID(F82:L82, SEARCH("-", F82:L82) - 4, 4), ""), "00\:00"), 1, 0))*24,""))))/9.5</f>
        <v>3</v>
      </c>
      <c r="O82"/>
      <c r="P82"/>
      <c r="Q82" s="2">
        <f>P82+O82+N82</f>
        <v>3</v>
      </c>
      <c r="R82" s="2">
        <f>IF(ISNUMBER(SEARCH("trg_5",H174)),5,IF(ISNUMBER(SEARCH("trg_3.75",H174)),3.75,IF(ISNUMBER(SEARCH("trg_2.5",H174)),2.5,IF(ISNUMBER(SEARCH("trg_1.75",H174)),1.75,0))))</f>
        <v>3.75</v>
      </c>
      <c r="S82">
        <f t="shared" ca="1" si="23"/>
        <v>5.9999999999999991</v>
      </c>
      <c r="T82" s="2">
        <f>(IFERROR(VLOOKUP(D82,'Employee Numbers'!$A$3:$C$84,3,FALSE),"NOT FOUND"))*8</f>
        <v>0</v>
      </c>
    </row>
    <row r="83" spans="1:21" s="2" customFormat="1" ht="15" customHeight="1">
      <c r="A83" s="2" t="s">
        <v>98</v>
      </c>
      <c r="C83" s="21"/>
      <c r="D83" s="262" t="s">
        <v>126</v>
      </c>
      <c r="E83" s="39">
        <f>IFERROR(VLOOKUP(D83,'Employee Numbers'!$A$3:$B$84,2,FALSE),"NOT FOUND")</f>
        <v>704862</v>
      </c>
      <c r="F83" s="329" t="s">
        <v>145</v>
      </c>
      <c r="G83" s="330" t="s">
        <v>145</v>
      </c>
      <c r="H83" s="330" t="s">
        <v>145</v>
      </c>
      <c r="I83" s="330" t="s">
        <v>145</v>
      </c>
      <c r="J83" s="330" t="s">
        <v>145</v>
      </c>
      <c r="K83" s="330" t="s">
        <v>145</v>
      </c>
      <c r="L83" s="330" t="s">
        <v>145</v>
      </c>
      <c r="N83">
        <f t="array" ref="N83">((SUM(IFERROR((TEXT(IF(ISNUMBER(SEARCH("-", F83:L83)), MID(F83:L83, SEARCH("-", F83:L83) + 1, 4), ""), "00\:00") - TEXT(IF(ISNUMBER(SEARCH("-", F83:L83)), MID(F83:L83, SEARCH("-", F83:L83) - 4, 4), ""), "00\:00") + IF(TEXT(IF(ISNUMBER(SEARCH("-", F83:L83)), MID(F83:L83, SEARCH("-", F83:L83) + 1, 4), ""), "00\:00") &lt; TEXT(IF(ISNUMBER(SEARCH("-", F83:L83)), MID(F83:L83, SEARCH("-", F83:L83) - 4, 4), ""), "00\:00"), 1, 0))*24,""))))/9.5</f>
        <v>0</v>
      </c>
      <c r="O83"/>
      <c r="P83"/>
      <c r="Q83" s="2">
        <f>P83+O83+N83</f>
        <v>0</v>
      </c>
      <c r="R83" s="2">
        <f>IF(ISNUMBER(SEARCH("trg_5",H175)),5,IF(ISNUMBER(SEARCH("trg_3.75",H175)),3.75,IF(ISNUMBER(SEARCH("trg_2.5",H175)),2.5,IF(ISNUMBER(SEARCH("trg_1.75",H175)),1.75,0))))</f>
        <v>2.5</v>
      </c>
      <c r="S83">
        <f t="shared" ca="1" si="23"/>
        <v>4</v>
      </c>
      <c r="T83" s="2">
        <f>(IFERROR(VLOOKUP(D83,'Employee Numbers'!$A$3:$C$84,3,FALSE),"NOT FOUND"))*8</f>
        <v>0</v>
      </c>
    </row>
    <row r="84" spans="1:21" s="2" customFormat="1" ht="15" customHeight="1">
      <c r="A84" s="44" t="s">
        <v>98</v>
      </c>
      <c r="B84" s="44"/>
      <c r="C84" s="45"/>
      <c r="D84" s="128"/>
      <c r="E84" s="129" t="str">
        <f>IFERROR(VLOOKUP(D84,'Employee Numbers'!$A$3:$B$84,2,FALSE),"NOT FOUND")</f>
        <v>NOT FOUND</v>
      </c>
      <c r="F84" s="331" t="s">
        <v>145</v>
      </c>
      <c r="G84" s="332" t="s">
        <v>145</v>
      </c>
      <c r="H84" s="332" t="s">
        <v>145</v>
      </c>
      <c r="I84" s="332" t="s">
        <v>145</v>
      </c>
      <c r="J84" s="332" t="s">
        <v>145</v>
      </c>
      <c r="K84" s="332" t="s">
        <v>145</v>
      </c>
      <c r="L84" s="332" t="s">
        <v>145</v>
      </c>
      <c r="N84">
        <f t="array" ref="N84">((SUM(IFERROR((TEXT(IF(ISNUMBER(SEARCH("-", F84:L84)), MID(F84:L84, SEARCH("-", F84:L84) + 1, 4), ""), "00\:00") - TEXT(IF(ISNUMBER(SEARCH("-", F84:L84)), MID(F84:L84, SEARCH("-", F84:L84) - 4, 4), ""), "00\:00") + IF(TEXT(IF(ISNUMBER(SEARCH("-", F84:L84)), MID(F84:L84, SEARCH("-", F84:L84) + 1, 4), ""), "00\:00") &lt; TEXT(IF(ISNUMBER(SEARCH("-", F84:L84)), MID(F84:L84, SEARCH("-", F84:L84) - 4, 4), ""), "00\:00"), 1, 0))*24,""))))/9.5</f>
        <v>0</v>
      </c>
      <c r="O84"/>
      <c r="P84"/>
      <c r="Q84" s="2">
        <f>P84+O84+N84</f>
        <v>0</v>
      </c>
      <c r="R84" s="2">
        <f>IF(ISNUMBER(SEARCH("trg_5",H176)),5,IF(ISNUMBER(SEARCH("trg_3.75",H176)),3.75,IF(ISNUMBER(SEARCH("trg_2.5",H176)),2.5,IF(ISNUMBER(SEARCH("trg_1.75",H176)),1.75,0))))</f>
        <v>5</v>
      </c>
      <c r="S84">
        <f t="shared" ca="1" si="23"/>
        <v>0</v>
      </c>
      <c r="T84" s="2" t="e">
        <f>(IFERROR(VLOOKUP(D84,'Employee Numbers'!$A$3:$C$84,3,FALSE),"NOT FOUND"))*8</f>
        <v>#VALUE!</v>
      </c>
    </row>
    <row r="85" spans="1:21" s="2" customFormat="1" ht="15" customHeight="1">
      <c r="A85" s="137" t="s">
        <v>128</v>
      </c>
      <c r="B85" s="138"/>
      <c r="C85" s="139"/>
      <c r="D85" s="140" t="s">
        <v>128</v>
      </c>
      <c r="E85" s="141" t="s">
        <v>4</v>
      </c>
      <c r="F85" s="333" t="s">
        <v>5</v>
      </c>
      <c r="G85" s="334" t="s">
        <v>6</v>
      </c>
      <c r="H85" s="334" t="s">
        <v>7</v>
      </c>
      <c r="I85" s="334" t="s">
        <v>8</v>
      </c>
      <c r="J85" s="334" t="s">
        <v>9</v>
      </c>
      <c r="K85" s="334" t="s">
        <v>10</v>
      </c>
      <c r="L85" s="335" t="s">
        <v>11</v>
      </c>
      <c r="M85" s="34"/>
      <c r="N85"/>
      <c r="O85"/>
      <c r="P85"/>
    </row>
    <row r="86" spans="1:21" s="2" customFormat="1" ht="15" customHeight="1">
      <c r="A86" s="44" t="s">
        <v>129</v>
      </c>
      <c r="B86" s="44"/>
      <c r="C86" s="45"/>
      <c r="D86" s="263" t="s">
        <v>130</v>
      </c>
      <c r="E86" s="284">
        <f>IFERROR(VLOOKUP(D86,'Employee Numbers'!$A$3:$B$84,2,FALSE),"NOT FOUND")</f>
        <v>703066</v>
      </c>
      <c r="F86" s="299" t="s">
        <v>42</v>
      </c>
      <c r="G86" s="300" t="s">
        <v>100</v>
      </c>
      <c r="H86" s="300" t="s">
        <v>100</v>
      </c>
      <c r="I86" s="300" t="s">
        <v>100</v>
      </c>
      <c r="J86" s="300" t="s">
        <v>145</v>
      </c>
      <c r="K86" s="300" t="s">
        <v>145</v>
      </c>
      <c r="L86" s="300" t="s">
        <v>145</v>
      </c>
      <c r="N86">
        <f t="array" ref="N86">((SUM(IFERROR((TEXT(IF(ISNUMBER(SEARCH("-", F86:L86)), MID(F86:L86, SEARCH("-", F86:L86) + 1, 4), ""), "00\:00") - TEXT(IF(ISNUMBER(SEARCH("-", F86:L86)), MID(F86:L86, SEARCH("-", F86:L86) - 4, 4), ""), "00\:00") + IF(TEXT(IF(ISNUMBER(SEARCH("-", F86:L86)), MID(F86:L86, SEARCH("-", F86:L86) + 1, 4), ""), "00\:00") &lt; TEXT(IF(ISNUMBER(SEARCH("-", F86:L86)), MID(F86:L86, SEARCH("-", F86:L86) - 4, 4), ""), "00\:00"), 1, 0))*24,""))))/9.5</f>
        <v>4</v>
      </c>
      <c r="O86"/>
      <c r="P86"/>
      <c r="Q86" s="2">
        <f>P86+O86+N86</f>
        <v>4</v>
      </c>
      <c r="S86">
        <f t="shared" ref="S86:S99" ca="1" si="24">IF($C$4=1,SUM(Q86+INDIRECT("'Week "&amp;($B$3+1)&amp;"'!Q"&amp;(ROW()))),IF($C$4=2,SUM(Q86+INDIRECT("'Week "&amp;($B$3-1)&amp;"'!Q"&amp;(ROW())))))</f>
        <v>8</v>
      </c>
      <c r="T86" s="2" t="e">
        <f>(IFERROR(VLOOKUP(D86,'Employee Numbers'!$A$3:$C$84,3,FALSE),"NOT FOUND"))*8</f>
        <v>#VALUE!</v>
      </c>
    </row>
    <row r="87" spans="1:21" s="2" customFormat="1" ht="15" customHeight="1">
      <c r="A87" s="2" t="s">
        <v>129</v>
      </c>
      <c r="C87" s="21"/>
      <c r="D87" s="263" t="s">
        <v>131</v>
      </c>
      <c r="E87" s="285">
        <f>IFERROR(VLOOKUP(D87,'Employee Numbers'!$A$3:$B$84,2,FALSE),"NOT FOUND")</f>
        <v>648637</v>
      </c>
      <c r="F87" s="304" t="s">
        <v>176</v>
      </c>
      <c r="G87" s="305" t="s">
        <v>145</v>
      </c>
      <c r="H87" s="305" t="s">
        <v>145</v>
      </c>
      <c r="I87" s="305" t="s">
        <v>145</v>
      </c>
      <c r="J87" s="305" t="s">
        <v>145</v>
      </c>
      <c r="K87" s="305" t="s">
        <v>145</v>
      </c>
      <c r="L87" s="305" t="s">
        <v>145</v>
      </c>
      <c r="N87">
        <f t="array" ref="N87">((SUM(IFERROR((TEXT(IF(ISNUMBER(SEARCH("-", F87:L87)), MID(F87:L87, SEARCH("-", F87:L87) + 1, 4), ""), "00\:00") - TEXT(IF(ISNUMBER(SEARCH("-", F87:L87)), MID(F87:L87, SEARCH("-", F87:L87) - 4, 4), ""), "00\:00") + IF(TEXT(IF(ISNUMBER(SEARCH("-", F87:L87)), MID(F87:L87, SEARCH("-", F87:L87) + 1, 4), ""), "00\:00") &lt; TEXT(IF(ISNUMBER(SEARCH("-", F87:L87)), MID(F87:L87, SEARCH("-", F87:L87) - 4, 4), ""), "00\:00"), 1, 0))*24,""))))/9.5</f>
        <v>0</v>
      </c>
      <c r="O87"/>
      <c r="P87"/>
      <c r="Q87" s="2">
        <f t="shared" ref="Q87:Q96" si="25">P87+O87+N87</f>
        <v>0</v>
      </c>
      <c r="S87">
        <f t="shared" ca="1" si="24"/>
        <v>4</v>
      </c>
      <c r="T87" s="2" t="e">
        <f>(IFERROR(VLOOKUP(D87,'Employee Numbers'!$A$3:$C$84,3,FALSE),"NOT FOUND"))*8</f>
        <v>#VALUE!</v>
      </c>
    </row>
    <row r="88" spans="1:21" s="13" customFormat="1" ht="15" customHeight="1">
      <c r="A88" s="44" t="s">
        <v>129</v>
      </c>
      <c r="B88" s="44"/>
      <c r="C88" s="45"/>
      <c r="D88" s="263" t="s">
        <v>132</v>
      </c>
      <c r="E88" s="285">
        <f>IFERROR(VLOOKUP(D88,'Employee Numbers'!$A$3:$B$84,2,FALSE),"NOT FOUND")</f>
        <v>703161</v>
      </c>
      <c r="F88" s="301" t="s">
        <v>145</v>
      </c>
      <c r="G88" s="302" t="s">
        <v>42</v>
      </c>
      <c r="H88" s="302" t="s">
        <v>174</v>
      </c>
      <c r="I88" s="302" t="s">
        <v>145</v>
      </c>
      <c r="J88" s="302" t="s">
        <v>145</v>
      </c>
      <c r="K88" s="302" t="s">
        <v>42</v>
      </c>
      <c r="L88" s="302" t="s">
        <v>42</v>
      </c>
      <c r="M88" s="2"/>
      <c r="N88">
        <f t="array" ref="N88">((SUM(IFERROR((TEXT(IF(ISNUMBER(SEARCH("-", F88:L88)), MID(F88:L88, SEARCH("-", F88:L88) + 1, 4), ""), "00\:00") - TEXT(IF(ISNUMBER(SEARCH("-", F88:L88)), MID(F88:L88, SEARCH("-", F88:L88) - 4, 4), ""), "00\:00") + IF(TEXT(IF(ISNUMBER(SEARCH("-", F88:L88)), MID(F88:L88, SEARCH("-", F88:L88) + 1, 4), ""), "00\:00") &lt; TEXT(IF(ISNUMBER(SEARCH("-", F88:L88)), MID(F88:L88, SEARCH("-", F88:L88) - 4, 4), ""), "00\:00"), 1, 0))*24,""))))/9.5</f>
        <v>4</v>
      </c>
      <c r="O88"/>
      <c r="P88"/>
      <c r="Q88" s="2">
        <f t="shared" si="25"/>
        <v>4</v>
      </c>
      <c r="R88" s="2"/>
      <c r="S88">
        <f t="shared" ca="1" si="24"/>
        <v>8</v>
      </c>
      <c r="T88" s="2" t="e">
        <f>(IFERROR(VLOOKUP(D88,'Employee Numbers'!$A$3:$C$84,3,FALSE),"NOT FOUND"))*8</f>
        <v>#VALUE!</v>
      </c>
      <c r="U88" s="2"/>
    </row>
    <row r="89" spans="1:21" s="2" customFormat="1" ht="15" customHeight="1">
      <c r="A89" s="2" t="s">
        <v>129</v>
      </c>
      <c r="C89" s="21"/>
      <c r="D89" s="263" t="s">
        <v>133</v>
      </c>
      <c r="E89" s="285">
        <f>IFERROR(VLOOKUP(D89,'Employee Numbers'!$A$3:$B$84,2,FALSE),"NOT FOUND")</f>
        <v>655179</v>
      </c>
      <c r="F89" s="304" t="s">
        <v>176</v>
      </c>
      <c r="G89" s="305" t="s">
        <v>145</v>
      </c>
      <c r="H89" s="305" t="s">
        <v>145</v>
      </c>
      <c r="I89" s="305" t="s">
        <v>145</v>
      </c>
      <c r="J89" s="305" t="s">
        <v>145</v>
      </c>
      <c r="K89" s="305" t="s">
        <v>145</v>
      </c>
      <c r="L89" s="305" t="s">
        <v>145</v>
      </c>
      <c r="N89">
        <f t="array" ref="N89">((SUM(IFERROR((TEXT(IF(ISNUMBER(SEARCH("-", F89:L89)), MID(F89:L89, SEARCH("-", F89:L89) + 1, 4), ""), "00\:00") - TEXT(IF(ISNUMBER(SEARCH("-", F89:L89)), MID(F89:L89, SEARCH("-", F89:L89) - 4, 4), ""), "00\:00") + IF(TEXT(IF(ISNUMBER(SEARCH("-", F89:L89)), MID(F89:L89, SEARCH("-", F89:L89) + 1, 4), ""), "00\:00") &lt; TEXT(IF(ISNUMBER(SEARCH("-", F89:L89)), MID(F89:L89, SEARCH("-", F89:L89) - 4, 4), ""), "00\:00"), 1, 0))*24,""))))/9.5</f>
        <v>0</v>
      </c>
      <c r="O89"/>
      <c r="P89"/>
      <c r="Q89" s="2">
        <f t="shared" si="25"/>
        <v>0</v>
      </c>
      <c r="S89">
        <f t="shared" ca="1" si="24"/>
        <v>0</v>
      </c>
      <c r="T89" s="2" t="e">
        <f>(IFERROR(VLOOKUP(D89,'Employee Numbers'!$A$3:$C$84,3,FALSE),"NOT FOUND"))*8</f>
        <v>#VALUE!</v>
      </c>
    </row>
    <row r="90" spans="1:21" s="2" customFormat="1" ht="15" customHeight="1">
      <c r="A90" s="44" t="s">
        <v>129</v>
      </c>
      <c r="B90" s="44"/>
      <c r="C90" s="45"/>
      <c r="D90" s="263" t="s">
        <v>134</v>
      </c>
      <c r="E90" s="285">
        <f>IFERROR(VLOOKUP(D90,'Employee Numbers'!$A$3:$B$84,2,FALSE),"NOT FOUND")</f>
        <v>700812</v>
      </c>
      <c r="F90" s="301" t="s">
        <v>42</v>
      </c>
      <c r="G90" s="302" t="s">
        <v>145</v>
      </c>
      <c r="H90" s="302" t="s">
        <v>145</v>
      </c>
      <c r="I90" s="302" t="s">
        <v>145</v>
      </c>
      <c r="J90" s="302" t="s">
        <v>100</v>
      </c>
      <c r="K90" s="302" t="s">
        <v>100</v>
      </c>
      <c r="L90" s="302" t="s">
        <v>100</v>
      </c>
      <c r="N90">
        <f t="array" ref="N90">((SUM(IFERROR((TEXT(IF(ISNUMBER(SEARCH("-", F90:L90)), MID(F90:L90, SEARCH("-", F90:L90) + 1, 4), ""), "00\:00") - TEXT(IF(ISNUMBER(SEARCH("-", F90:L90)), MID(F90:L90, SEARCH("-", F90:L90) - 4, 4), ""), "00\:00") + IF(TEXT(IF(ISNUMBER(SEARCH("-", F90:L90)), MID(F90:L90, SEARCH("-", F90:L90) + 1, 4), ""), "00\:00") &lt; TEXT(IF(ISNUMBER(SEARCH("-", F90:L90)), MID(F90:L90, SEARCH("-", F90:L90) - 4, 4), ""), "00\:00"), 1, 0))*24,""))))/9.5</f>
        <v>4</v>
      </c>
      <c r="O90"/>
      <c r="P90"/>
      <c r="Q90" s="2">
        <f t="shared" si="25"/>
        <v>4</v>
      </c>
      <c r="S90">
        <f t="shared" ca="1" si="24"/>
        <v>8</v>
      </c>
      <c r="T90" s="2" t="e">
        <f>(IFERROR(VLOOKUP(D90,'Employee Numbers'!$A$3:$C$84,3,FALSE),"NOT FOUND"))*8</f>
        <v>#VALUE!</v>
      </c>
    </row>
    <row r="91" spans="1:21" s="2" customFormat="1" ht="15" customHeight="1">
      <c r="A91" s="2" t="s">
        <v>129</v>
      </c>
      <c r="D91" s="263" t="s">
        <v>135</v>
      </c>
      <c r="E91" s="285">
        <f>IFERROR(VLOOKUP(D91,'Employee Numbers'!$A$3:$B$84,2,FALSE),"NOT FOUND")</f>
        <v>703157</v>
      </c>
      <c r="F91" s="301" t="s">
        <v>145</v>
      </c>
      <c r="G91" s="302" t="s">
        <v>145</v>
      </c>
      <c r="H91" s="302" t="s">
        <v>145</v>
      </c>
      <c r="I91" s="302" t="s">
        <v>44</v>
      </c>
      <c r="J91" s="302" t="s">
        <v>44</v>
      </c>
      <c r="K91" s="302" t="s">
        <v>44</v>
      </c>
      <c r="L91" s="302" t="s">
        <v>44</v>
      </c>
      <c r="N91">
        <f t="array" ref="N91">((SUM(IFERROR((TEXT(IF(ISNUMBER(SEARCH("-", F91:L91)), MID(F91:L91, SEARCH("-", F91:L91) + 1, 4), ""), "00\:00") - TEXT(IF(ISNUMBER(SEARCH("-", F91:L91)), MID(F91:L91, SEARCH("-", F91:L91) - 4, 4), ""), "00\:00") + IF(TEXT(IF(ISNUMBER(SEARCH("-", F91:L91)), MID(F91:L91, SEARCH("-", F91:L91) + 1, 4), ""), "00\:00") &lt; TEXT(IF(ISNUMBER(SEARCH("-", F91:L91)), MID(F91:L91, SEARCH("-", F91:L91) - 4, 4), ""), "00\:00"), 1, 0))*24,""))))/9.5</f>
        <v>4</v>
      </c>
      <c r="O91"/>
      <c r="P91"/>
      <c r="Q91" s="2">
        <f t="shared" si="25"/>
        <v>4</v>
      </c>
      <c r="S91">
        <f t="shared" ca="1" si="24"/>
        <v>8</v>
      </c>
      <c r="T91" s="2" t="e">
        <f>(IFERROR(VLOOKUP(D91,'Employee Numbers'!$A$3:$C$84,3,FALSE),"NOT FOUND"))*8</f>
        <v>#VALUE!</v>
      </c>
    </row>
    <row r="92" spans="1:21" s="2" customFormat="1" ht="15" customHeight="1">
      <c r="A92" s="44" t="s">
        <v>129</v>
      </c>
      <c r="B92" s="44"/>
      <c r="C92" s="44"/>
      <c r="D92" s="263" t="s">
        <v>136</v>
      </c>
      <c r="E92" s="285">
        <f>IFERROR(VLOOKUP(D92,'Employee Numbers'!$A$3:$B$84,2,FALSE),"NOT FOUND")</f>
        <v>655173</v>
      </c>
      <c r="F92" s="301" t="s">
        <v>100</v>
      </c>
      <c r="G92" s="302" t="s">
        <v>100</v>
      </c>
      <c r="H92" s="302" t="s">
        <v>100</v>
      </c>
      <c r="I92" s="302" t="s">
        <v>100</v>
      </c>
      <c r="J92" s="302" t="s">
        <v>145</v>
      </c>
      <c r="K92" s="302" t="s">
        <v>145</v>
      </c>
      <c r="L92" s="302" t="s">
        <v>145</v>
      </c>
      <c r="N92">
        <f t="array" ref="N92">((SUM(IFERROR((TEXT(IF(ISNUMBER(SEARCH("-", F92:L92)), MID(F92:L92, SEARCH("-", F92:L92) + 1, 4), ""), "00\:00") - TEXT(IF(ISNUMBER(SEARCH("-", F92:L92)), MID(F92:L92, SEARCH("-", F92:L92) - 4, 4), ""), "00\:00") + IF(TEXT(IF(ISNUMBER(SEARCH("-", F92:L92)), MID(F92:L92, SEARCH("-", F92:L92) + 1, 4), ""), "00\:00") &lt; TEXT(IF(ISNUMBER(SEARCH("-", F92:L92)), MID(F92:L92, SEARCH("-", F92:L92) - 4, 4), ""), "00\:00"), 1, 0))*24,""))))/9.5</f>
        <v>3.9999999999999991</v>
      </c>
      <c r="O92"/>
      <c r="P92"/>
      <c r="Q92" s="2">
        <f t="shared" si="25"/>
        <v>3.9999999999999991</v>
      </c>
      <c r="S92">
        <f t="shared" ca="1" si="24"/>
        <v>7.9999999999999991</v>
      </c>
      <c r="T92" s="2" t="e">
        <f>(IFERROR(VLOOKUP(D92,'Employee Numbers'!$A$3:$C$84,3,FALSE),"NOT FOUND"))*8</f>
        <v>#VALUE!</v>
      </c>
    </row>
    <row r="93" spans="1:21" s="2" customFormat="1" ht="15" customHeight="1">
      <c r="A93" s="44" t="s">
        <v>129</v>
      </c>
      <c r="B93" s="44"/>
      <c r="C93" s="45"/>
      <c r="D93" s="263" t="s">
        <v>137</v>
      </c>
      <c r="E93" s="285">
        <f>IFERROR(VLOOKUP(D93,'Employee Numbers'!$A$3:$B$84,2,FALSE),"NOT FOUND")</f>
        <v>705273</v>
      </c>
      <c r="F93" s="301" t="s">
        <v>44</v>
      </c>
      <c r="G93" s="302" t="s">
        <v>42</v>
      </c>
      <c r="H93" s="302" t="s">
        <v>145</v>
      </c>
      <c r="I93" s="302" t="s">
        <v>44</v>
      </c>
      <c r="J93" s="302" t="s">
        <v>42</v>
      </c>
      <c r="K93" s="302" t="s">
        <v>145</v>
      </c>
      <c r="L93" s="302" t="s">
        <v>145</v>
      </c>
      <c r="N93">
        <f t="array" ref="N93">((SUM(IFERROR((TEXT(IF(ISNUMBER(SEARCH("-", F93:L93)), MID(F93:L93, SEARCH("-", F93:L93) + 1, 4), ""), "00\:00") - TEXT(IF(ISNUMBER(SEARCH("-", F93:L93)), MID(F93:L93, SEARCH("-", F93:L93) - 4, 4), ""), "00\:00") + IF(TEXT(IF(ISNUMBER(SEARCH("-", F93:L93)), MID(F93:L93, SEARCH("-", F93:L93) + 1, 4), ""), "00\:00") &lt; TEXT(IF(ISNUMBER(SEARCH("-", F93:L93)), MID(F93:L93, SEARCH("-", F93:L93) - 4, 4), ""), "00\:00"), 1, 0))*24,""))))/9.5</f>
        <v>4</v>
      </c>
      <c r="O93"/>
      <c r="P93"/>
      <c r="Q93" s="2">
        <f t="shared" si="25"/>
        <v>4</v>
      </c>
      <c r="S93">
        <f t="shared" ca="1" si="24"/>
        <v>8</v>
      </c>
      <c r="T93" s="2" t="e">
        <f>(IFERROR(VLOOKUP(D93,'Employee Numbers'!$A$3:$C$84,3,FALSE),"NOT FOUND"))*8</f>
        <v>#VALUE!</v>
      </c>
    </row>
    <row r="94" spans="1:21" s="2" customFormat="1" ht="15" customHeight="1">
      <c r="A94" s="2" t="s">
        <v>129</v>
      </c>
      <c r="C94" s="21"/>
      <c r="D94" s="263" t="s">
        <v>138</v>
      </c>
      <c r="E94" s="285">
        <f>IFERROR(VLOOKUP(D94,'Employee Numbers'!$A$3:$B$84,2,FALSE),"NOT FOUND")</f>
        <v>703418</v>
      </c>
      <c r="F94" s="301" t="s">
        <v>44</v>
      </c>
      <c r="G94" s="302" t="s">
        <v>44</v>
      </c>
      <c r="H94" s="302" t="s">
        <v>44</v>
      </c>
      <c r="I94" s="302" t="s">
        <v>42</v>
      </c>
      <c r="J94" s="302" t="s">
        <v>145</v>
      </c>
      <c r="K94" s="302" t="s">
        <v>145</v>
      </c>
      <c r="L94" s="302" t="s">
        <v>145</v>
      </c>
      <c r="N94">
        <f t="array" ref="N94">((SUM(IFERROR((TEXT(IF(ISNUMBER(SEARCH("-", F94:L94)), MID(F94:L94, SEARCH("-", F94:L94) + 1, 4), ""), "00\:00") - TEXT(IF(ISNUMBER(SEARCH("-", F94:L94)), MID(F94:L94, SEARCH("-", F94:L94) - 4, 4), ""), "00\:00") + IF(TEXT(IF(ISNUMBER(SEARCH("-", F94:L94)), MID(F94:L94, SEARCH("-", F94:L94) + 1, 4), ""), "00\:00") &lt; TEXT(IF(ISNUMBER(SEARCH("-", F94:L94)), MID(F94:L94, SEARCH("-", F94:L94) - 4, 4), ""), "00\:00"), 1, 0))*24,""))))/9.5</f>
        <v>4</v>
      </c>
      <c r="O94"/>
      <c r="P94"/>
      <c r="Q94" s="2">
        <f t="shared" si="25"/>
        <v>4</v>
      </c>
      <c r="S94">
        <f t="shared" ca="1" si="24"/>
        <v>8</v>
      </c>
      <c r="T94" s="2" t="e">
        <f>(IFERROR(VLOOKUP(D94,'Employee Numbers'!$A$3:$C$84,3,FALSE),"NOT FOUND"))*8</f>
        <v>#VALUE!</v>
      </c>
    </row>
    <row r="95" spans="1:21" s="13" customFormat="1" ht="15" customHeight="1">
      <c r="A95" s="44" t="s">
        <v>129</v>
      </c>
      <c r="B95" s="44"/>
      <c r="C95" s="45"/>
      <c r="D95" s="263" t="s">
        <v>139</v>
      </c>
      <c r="E95" s="285">
        <f>IFERROR(VLOOKUP(D95,'Employee Numbers'!$A$3:$B$84,2,FALSE),"NOT FOUND")</f>
        <v>704108</v>
      </c>
      <c r="F95" s="301" t="s">
        <v>100</v>
      </c>
      <c r="G95" s="302" t="s">
        <v>145</v>
      </c>
      <c r="H95" s="302" t="s">
        <v>145</v>
      </c>
      <c r="I95" s="302" t="s">
        <v>145</v>
      </c>
      <c r="J95" s="302" t="s">
        <v>44</v>
      </c>
      <c r="K95" s="302" t="s">
        <v>44</v>
      </c>
      <c r="L95" s="302" t="s">
        <v>44</v>
      </c>
      <c r="M95" s="2"/>
      <c r="N95">
        <f t="array" ref="N95">((SUM(IFERROR((TEXT(IF(ISNUMBER(SEARCH("-", F95:L95)), MID(F95:L95, SEARCH("-", F95:L95) + 1, 4), ""), "00\:00") - TEXT(IF(ISNUMBER(SEARCH("-", F95:L95)), MID(F95:L95, SEARCH("-", F95:L95) - 4, 4), ""), "00\:00") + IF(TEXT(IF(ISNUMBER(SEARCH("-", F95:L95)), MID(F95:L95, SEARCH("-", F95:L95) + 1, 4), ""), "00\:00") &lt; TEXT(IF(ISNUMBER(SEARCH("-", F95:L95)), MID(F95:L95, SEARCH("-", F95:L95) - 4, 4), ""), "00\:00"), 1, 0))*24,""))))/9.5</f>
        <v>4</v>
      </c>
      <c r="O95"/>
      <c r="P95"/>
      <c r="Q95" s="2">
        <f t="shared" si="25"/>
        <v>4</v>
      </c>
      <c r="R95" s="2"/>
      <c r="S95">
        <f t="shared" ca="1" si="24"/>
        <v>8</v>
      </c>
      <c r="T95" s="2" t="e">
        <f>(IFERROR(VLOOKUP(D95,'Employee Numbers'!$A$3:$C$84,3,FALSE),"NOT FOUND"))*8</f>
        <v>#VALUE!</v>
      </c>
      <c r="U95" s="2"/>
    </row>
    <row r="96" spans="1:21" s="2" customFormat="1" ht="15" customHeight="1">
      <c r="A96" s="2" t="s">
        <v>129</v>
      </c>
      <c r="C96" s="21"/>
      <c r="D96" s="263" t="s">
        <v>140</v>
      </c>
      <c r="E96" s="39">
        <f>IFERROR(VLOOKUP(D96,'Employee Numbers'!$A$3:$B$84,2,FALSE),"NOT FOUND")</f>
        <v>651515</v>
      </c>
      <c r="F96" s="317" t="s">
        <v>145</v>
      </c>
      <c r="G96" s="318" t="s">
        <v>145</v>
      </c>
      <c r="H96" s="318" t="s">
        <v>145</v>
      </c>
      <c r="I96" s="318" t="s">
        <v>145</v>
      </c>
      <c r="J96" s="318" t="s">
        <v>145</v>
      </c>
      <c r="K96" s="318" t="s">
        <v>145</v>
      </c>
      <c r="L96" s="318" t="s">
        <v>145</v>
      </c>
      <c r="N96">
        <f t="array" ref="N96">((SUM(IFERROR((TEXT(IF(ISNUMBER(SEARCH("-", F96:L96)), MID(F96:L96, SEARCH("-", F96:L96) + 1, 4), ""), "00\:00") - TEXT(IF(ISNUMBER(SEARCH("-", F96:L96)), MID(F96:L96, SEARCH("-", F96:L96) - 4, 4), ""), "00\:00") + IF(TEXT(IF(ISNUMBER(SEARCH("-", F96:L96)), MID(F96:L96, SEARCH("-", F96:L96) + 1, 4), ""), "00\:00") &lt; TEXT(IF(ISNUMBER(SEARCH("-", F96:L96)), MID(F96:L96, SEARCH("-", F96:L96) - 4, 4), ""), "00\:00"), 1, 0))*24,""))))/9.5</f>
        <v>0</v>
      </c>
      <c r="O96"/>
      <c r="P96"/>
      <c r="Q96" s="2">
        <f t="shared" si="25"/>
        <v>0</v>
      </c>
      <c r="S96">
        <f t="shared" ca="1" si="24"/>
        <v>0</v>
      </c>
      <c r="T96" s="2" t="e">
        <f>(IFERROR(VLOOKUP(D96,'Employee Numbers'!$A$3:$C$84,3,FALSE),"NOT FOUND"))*8</f>
        <v>#VALUE!</v>
      </c>
    </row>
    <row r="97" spans="1:20" s="2" customFormat="1" ht="15" customHeight="1">
      <c r="A97" s="44" t="s">
        <v>129</v>
      </c>
      <c r="B97" s="44"/>
      <c r="C97" s="45"/>
      <c r="D97" s="263" t="s">
        <v>141</v>
      </c>
      <c r="E97" s="285">
        <f>IFERROR(VLOOKUP(D97,'Employee Numbers'!$A$3:$B$84,2,FALSE),"NOT FOUND")</f>
        <v>705199</v>
      </c>
      <c r="F97" s="299" t="s">
        <v>145</v>
      </c>
      <c r="G97" s="300" t="s">
        <v>145</v>
      </c>
      <c r="H97" s="300" t="s">
        <v>44</v>
      </c>
      <c r="I97" s="300" t="s">
        <v>42</v>
      </c>
      <c r="J97" s="300" t="s">
        <v>145</v>
      </c>
      <c r="K97" s="300" t="s">
        <v>42</v>
      </c>
      <c r="L97" s="300" t="s">
        <v>42</v>
      </c>
      <c r="N97">
        <f t="array" ref="N97">((SUM(IFERROR((TEXT(IF(ISNUMBER(SEARCH("-", F97:L97)), MID(F97:L97, SEARCH("-", F97:L97) + 1, 4), ""), "00\:00") - TEXT(IF(ISNUMBER(SEARCH("-", F97:L97)), MID(F97:L97, SEARCH("-", F97:L97) - 4, 4), ""), "00\:00") + IF(TEXT(IF(ISNUMBER(SEARCH("-", F97:L97)), MID(F97:L97, SEARCH("-", F97:L97) + 1, 4), ""), "00\:00") &lt; TEXT(IF(ISNUMBER(SEARCH("-", F97:L97)), MID(F97:L97, SEARCH("-", F97:L97) - 4, 4), ""), "00\:00"), 1, 0))*24,""))))/9.5</f>
        <v>4</v>
      </c>
      <c r="O97"/>
      <c r="P97"/>
      <c r="Q97" s="2">
        <f>P97+O97+N97</f>
        <v>4</v>
      </c>
      <c r="S97">
        <f t="shared" ca="1" si="24"/>
        <v>8</v>
      </c>
      <c r="T97" s="2" t="e">
        <f>(IFERROR(VLOOKUP(D97,'Employee Numbers'!$A$3:$C$84,3,FALSE),"NOT FOUND"))*8</f>
        <v>#VALUE!</v>
      </c>
    </row>
    <row r="98" spans="1:20" s="2" customFormat="1" ht="15" customHeight="1">
      <c r="A98" s="2" t="s">
        <v>129</v>
      </c>
      <c r="D98" s="31"/>
      <c r="E98" s="39" t="str">
        <f>IFERROR(VLOOKUP(D98,'Employee Numbers'!$A$3:$B$84,2,FALSE),"NOT FOUND")</f>
        <v>NOT FOUND</v>
      </c>
      <c r="F98" s="130"/>
      <c r="G98" s="130"/>
      <c r="H98" s="130"/>
      <c r="I98" s="130"/>
      <c r="J98" s="130"/>
      <c r="K98" s="130"/>
      <c r="L98" s="130"/>
      <c r="N98">
        <f t="array" ref="N98">((SUM(IFERROR((TEXT(IF(ISNUMBER(SEARCH("-", F98:L98)), MID(F98:L98, SEARCH("-", F98:L98) + 1, 4), ""), "00\:00") - TEXT(IF(ISNUMBER(SEARCH("-", F98:L98)), MID(F98:L98, SEARCH("-", F98:L98) - 4, 4), ""), "00\:00") + IF(TEXT(IF(ISNUMBER(SEARCH("-", F98:L98)), MID(F98:L98, SEARCH("-", F98:L98) + 1, 4), ""), "00\:00") &lt; TEXT(IF(ISNUMBER(SEARCH("-", F98:L98)), MID(F98:L98, SEARCH("-", F98:L98) - 4, 4), ""), "00\:00"), 1, 0))*24,""))))/9.5</f>
        <v>0</v>
      </c>
      <c r="O98"/>
      <c r="P98"/>
      <c r="Q98" s="2">
        <f>P98+O98+N98</f>
        <v>0</v>
      </c>
      <c r="S98">
        <f t="shared" ca="1" si="24"/>
        <v>0</v>
      </c>
      <c r="T98" s="2" t="e">
        <f>(IFERROR(VLOOKUP(D98,'Employee Numbers'!$A$3:$C$84,3,FALSE),"NOT FOUND"))*8</f>
        <v>#VALUE!</v>
      </c>
    </row>
    <row r="99" spans="1:20" s="2" customFormat="1" ht="15" customHeight="1">
      <c r="A99" s="44" t="s">
        <v>129</v>
      </c>
      <c r="B99" s="44"/>
      <c r="C99" s="44"/>
      <c r="D99" s="30"/>
      <c r="E99" s="39" t="str">
        <f>IFERROR(VLOOKUP(D99,'Employee Numbers'!$A$3:$B$84,2,FALSE),"NOT FOUND")</f>
        <v>NOT FOUND</v>
      </c>
      <c r="F99" s="37"/>
      <c r="G99" s="37"/>
      <c r="H99" s="37"/>
      <c r="I99" s="37"/>
      <c r="J99" s="37"/>
      <c r="K99" s="37"/>
      <c r="L99" s="37"/>
      <c r="N99">
        <f t="array" ref="N99">((SUM(IFERROR((TEXT(IF(ISNUMBER(SEARCH("-", F99:L99)), MID(F99:L99, SEARCH("-", F99:L99) + 1, 4), ""), "00\:00") - TEXT(IF(ISNUMBER(SEARCH("-", F99:L99)), MID(F99:L99, SEARCH("-", F99:L99) - 4, 4), ""), "00\:00") + IF(TEXT(IF(ISNUMBER(SEARCH("-", F99:L99)), MID(F99:L99, SEARCH("-", F99:L99) + 1, 4), ""), "00\:00") &lt; TEXT(IF(ISNUMBER(SEARCH("-", F99:L99)), MID(F99:L99, SEARCH("-", F99:L99) - 4, 4), ""), "00\:00"), 1, 0))*24,""))))/9.5</f>
        <v>0</v>
      </c>
      <c r="O99"/>
      <c r="P99"/>
      <c r="Q99" s="2">
        <f>P99+O99+N99</f>
        <v>0</v>
      </c>
      <c r="S99">
        <f t="shared" ca="1" si="24"/>
        <v>0</v>
      </c>
      <c r="T99" s="2" t="e">
        <f>(IFERROR(VLOOKUP(D99,'Employee Numbers'!$A$3:$C$84,3,FALSE),"NOT FOUND"))*8</f>
        <v>#VALUE!</v>
      </c>
    </row>
    <row r="100" spans="1:20" s="2" customFormat="1" ht="15" customHeight="1">
      <c r="A100" s="56" t="s">
        <v>142</v>
      </c>
      <c r="B100" s="52"/>
      <c r="C100" s="53"/>
      <c r="D100" s="56" t="s">
        <v>142</v>
      </c>
      <c r="E100" s="41" t="s">
        <v>4</v>
      </c>
      <c r="F100" s="40" t="s">
        <v>5</v>
      </c>
      <c r="G100" s="40" t="s">
        <v>6</v>
      </c>
      <c r="H100" s="40" t="s">
        <v>7</v>
      </c>
      <c r="I100" s="40" t="s">
        <v>8</v>
      </c>
      <c r="J100" s="40" t="s">
        <v>9</v>
      </c>
      <c r="K100" s="40" t="s">
        <v>10</v>
      </c>
      <c r="L100" s="40" t="s">
        <v>11</v>
      </c>
      <c r="M100" s="5"/>
    </row>
    <row r="101" spans="1:20" s="2" customFormat="1" ht="15" customHeight="1">
      <c r="A101" s="2" t="s">
        <v>143</v>
      </c>
      <c r="B101" s="5"/>
      <c r="C101" s="8"/>
      <c r="D101" s="31"/>
      <c r="E101" s="39" t="str">
        <f>IFERROR(VLOOKUP(D101,'Employee Numbers'!$A$3:$B$84,2,FALSE),"NOT FOUND")</f>
        <v>NOT FOUND</v>
      </c>
      <c r="F101" s="31"/>
      <c r="G101" s="31"/>
      <c r="H101" s="31"/>
      <c r="I101" s="31"/>
      <c r="J101" s="31"/>
      <c r="K101" s="31"/>
      <c r="L101" s="31"/>
      <c r="M101" s="5"/>
      <c r="N101">
        <f t="array" ref="N101">((SUM(IFERROR((TEXT(IF(ISNUMBER(SEARCH("-", F101:L101)), MID(F101:L101, SEARCH("-", F101:L101) + 1, 4), ""), "00\:00") - TEXT(IF(ISNUMBER(SEARCH("-", F101:L101)), MID(F101:L101, SEARCH("-", F101:L101) - 4, 4), ""), "00\:00") + IF(TEXT(IF(ISNUMBER(SEARCH("-", F101:L101)), MID(F101:L101, SEARCH("-", F101:L101) + 1, 4), ""), "00\:00") &lt; TEXT(IF(ISNUMBER(SEARCH("-", F101:L101)), MID(F101:L101, SEARCH("-", F101:L101) - 4, 4), ""), "00\:00"), 1, 0))*24,""))))/9.5</f>
        <v>0</v>
      </c>
      <c r="O101"/>
      <c r="P101"/>
      <c r="Q101" s="2">
        <f>P101+O101+N101</f>
        <v>0</v>
      </c>
      <c r="S101">
        <f t="shared" ref="S101:S102" ca="1" si="26">IF($C$4=1,SUM(Q101+INDIRECT("'Week "&amp;($B$3+1)&amp;"'!Q"&amp;(ROW()))),IF($C$4=2,SUM(Q101+INDIRECT("'Week "&amp;($B$3-1)&amp;"'!Q"&amp;(ROW())))))</f>
        <v>0</v>
      </c>
      <c r="T101" s="2" t="e">
        <f>(IFERROR(VLOOKUP(D101,'Employee Numbers'!$A$3:$C$84,3,FALSE),"NOT FOUND"))*8</f>
        <v>#VALUE!</v>
      </c>
    </row>
    <row r="102" spans="1:20" s="2" customFormat="1" ht="15" customHeight="1">
      <c r="A102" s="44" t="s">
        <v>143</v>
      </c>
      <c r="B102" s="5"/>
      <c r="C102" s="8"/>
      <c r="D102" s="31"/>
      <c r="E102" s="39" t="str">
        <f>IFERROR(VLOOKUP(D102,'Employee Numbers'!$A$3:$B$84,2,FALSE),"NOT FOUND")</f>
        <v>NOT FOUND</v>
      </c>
      <c r="F102" s="31"/>
      <c r="G102" s="31"/>
      <c r="H102" s="31"/>
      <c r="I102" s="31"/>
      <c r="J102" s="31"/>
      <c r="K102" s="31"/>
      <c r="L102" s="31"/>
      <c r="M102" s="5"/>
      <c r="N102">
        <f t="array" ref="N102">((SUM(IFERROR((TEXT(IF(ISNUMBER(SEARCH("-", F102:L102)), MID(F102:L102, SEARCH("-", F102:L102) + 1, 4), ""), "00\:00") - TEXT(IF(ISNUMBER(SEARCH("-", F102:L102)), MID(F102:L102, SEARCH("-", F102:L102) - 4, 4), ""), "00\:00") + IF(TEXT(IF(ISNUMBER(SEARCH("-", F102:L102)), MID(F102:L102, SEARCH("-", F102:L102) + 1, 4), ""), "00\:00") &lt; TEXT(IF(ISNUMBER(SEARCH("-", F102:L102)), MID(F102:L102, SEARCH("-", F102:L102) - 4, 4), ""), "00\:00"), 1, 0))*24,""))))/9.5</f>
        <v>0</v>
      </c>
      <c r="O102"/>
      <c r="P102"/>
      <c r="Q102" s="2">
        <f>P102+O102+N102</f>
        <v>0</v>
      </c>
      <c r="S102">
        <f t="shared" ca="1" si="26"/>
        <v>0</v>
      </c>
      <c r="T102" s="2" t="e">
        <f>(IFERROR(VLOOKUP(D102,'Employee Numbers'!$A$3:$C$84,3,FALSE),"NOT FOUND"))*8</f>
        <v>#VALUE!</v>
      </c>
    </row>
    <row r="103" spans="1:20" s="2" customFormat="1" ht="15" customHeight="1">
      <c r="A103" s="54" t="s">
        <v>148</v>
      </c>
      <c r="B103" s="54"/>
      <c r="C103" s="54"/>
      <c r="D103" s="57" t="s">
        <v>148</v>
      </c>
      <c r="E103" s="107"/>
      <c r="F103" s="57"/>
      <c r="G103" s="57"/>
      <c r="H103" s="57"/>
      <c r="I103" s="57"/>
      <c r="J103" s="57"/>
      <c r="K103" s="57"/>
      <c r="L103" s="57"/>
      <c r="M103" s="5"/>
      <c r="N103"/>
      <c r="O103"/>
      <c r="Q103"/>
    </row>
    <row r="104" spans="1:20" ht="15" customHeight="1">
      <c r="B104" s="2"/>
      <c r="C104" s="21"/>
      <c r="D104" s="31"/>
      <c r="E104" s="154" t="s">
        <v>149</v>
      </c>
      <c r="F104" s="31"/>
      <c r="G104" s="31"/>
      <c r="H104" s="31"/>
      <c r="I104" s="31"/>
      <c r="J104" s="31"/>
      <c r="K104" s="31"/>
      <c r="L104" s="31"/>
      <c r="N104"/>
      <c r="O104"/>
      <c r="P104" s="2"/>
      <c r="Q104"/>
      <c r="R104" s="2"/>
    </row>
    <row r="105" spans="1:20" ht="15" customHeight="1" thickBot="1">
      <c r="L105" s="6"/>
      <c r="N105"/>
      <c r="O105"/>
      <c r="P105" s="2"/>
      <c r="Q105"/>
      <c r="R105" s="2"/>
    </row>
    <row r="106" spans="1:20" ht="15" customHeight="1">
      <c r="D106" s="77" t="s">
        <v>150</v>
      </c>
      <c r="F106" s="88" t="s">
        <v>151</v>
      </c>
      <c r="G106" s="89"/>
      <c r="H106" s="89"/>
      <c r="I106" s="89"/>
      <c r="J106" s="89"/>
      <c r="K106" s="89"/>
      <c r="L106" s="90"/>
      <c r="N106"/>
      <c r="O106"/>
      <c r="P106" s="2"/>
      <c r="Q106"/>
      <c r="R106" s="2"/>
    </row>
    <row r="107" spans="1:20" ht="15" customHeight="1">
      <c r="D107" s="78" t="s">
        <v>152</v>
      </c>
      <c r="F107" s="24" t="s">
        <v>153</v>
      </c>
      <c r="G107"/>
      <c r="L107" s="6"/>
      <c r="N107" s="2"/>
      <c r="O107" s="2"/>
      <c r="P107" s="2"/>
      <c r="Q107" s="2"/>
      <c r="R107" s="2"/>
    </row>
    <row r="108" spans="1:20" ht="15" customHeight="1">
      <c r="D108" s="79" t="s">
        <v>154</v>
      </c>
      <c r="F108" s="24" t="s">
        <v>155</v>
      </c>
      <c r="G108"/>
      <c r="L108" s="6"/>
      <c r="N108"/>
      <c r="O108"/>
      <c r="P108" s="2"/>
      <c r="Q108"/>
      <c r="R108" s="2"/>
    </row>
    <row r="109" spans="1:20" ht="15" customHeight="1">
      <c r="D109" s="80" t="s">
        <v>156</v>
      </c>
      <c r="F109" s="24" t="s">
        <v>157</v>
      </c>
      <c r="G109"/>
      <c r="L109" s="6"/>
      <c r="N109"/>
      <c r="O109"/>
      <c r="P109" s="2"/>
      <c r="Q109"/>
      <c r="R109" s="2"/>
    </row>
    <row r="110" spans="1:20" ht="15" customHeight="1">
      <c r="D110" s="81" t="s">
        <v>158</v>
      </c>
      <c r="F110" s="24" t="s">
        <v>159</v>
      </c>
      <c r="G110"/>
      <c r="L110" s="6"/>
      <c r="N110" s="2"/>
      <c r="O110" s="2"/>
      <c r="P110" s="2"/>
      <c r="Q110" s="2"/>
      <c r="R110" s="2"/>
    </row>
    <row r="111" spans="1:20" ht="15" customHeight="1" thickBot="1">
      <c r="A111" s="2"/>
      <c r="F111" s="25" t="s">
        <v>160</v>
      </c>
      <c r="G111" s="17"/>
      <c r="H111" s="7"/>
      <c r="I111" s="7"/>
      <c r="J111" s="7"/>
      <c r="K111" s="7"/>
      <c r="L111" s="18"/>
      <c r="N111" s="2"/>
      <c r="O111" s="2"/>
      <c r="P111" s="2"/>
      <c r="Q111" s="2"/>
      <c r="R111" s="2"/>
    </row>
    <row r="112" spans="1:20" ht="15" customHeight="1">
      <c r="G112" s="14"/>
    </row>
    <row r="113" spans="1:18" s="2" customFormat="1" ht="15" customHeight="1">
      <c r="A113" s="42" t="s">
        <v>38</v>
      </c>
      <c r="B113" s="33"/>
      <c r="C113" s="43"/>
      <c r="D113" s="82" t="s">
        <v>38</v>
      </c>
      <c r="E113" s="19"/>
      <c r="F113" s="10"/>
      <c r="G113" s="11"/>
      <c r="H113" s="11"/>
      <c r="I113" s="11"/>
      <c r="J113" s="11"/>
      <c r="K113" s="11"/>
      <c r="L113" s="15"/>
      <c r="M113" s="5"/>
      <c r="N113" s="5"/>
      <c r="O113" s="5"/>
      <c r="P113" s="5"/>
      <c r="Q113" s="5"/>
      <c r="R113" s="5"/>
    </row>
    <row r="114" spans="1:18" ht="15" customHeight="1" thickBot="1"/>
    <row r="115" spans="1:18" ht="15" customHeight="1" thickBot="1">
      <c r="A115" s="2" t="s">
        <v>161</v>
      </c>
      <c r="B115" s="55" t="s">
        <v>162</v>
      </c>
      <c r="C115" s="21"/>
      <c r="D115" s="27" t="str">
        <f t="shared" ref="D115:D143" si="27">D21</f>
        <v>Dr Adam West</v>
      </c>
      <c r="E115" s="22">
        <f>IFERROR(VLOOKUP(D115,'Employee Numbers'!$A$3:$B$84,2,FALSE),"NOT FOUND")</f>
        <v>287628</v>
      </c>
      <c r="F115" s="9" t="str">
        <f t="shared" ref="F115:L130" si="28">IF(F$50=$D115,"Con_8_0000","")</f>
        <v/>
      </c>
      <c r="G115" s="9" t="str">
        <f t="shared" si="28"/>
        <v/>
      </c>
      <c r="H115" s="9" t="str">
        <f t="shared" si="28"/>
        <v/>
      </c>
      <c r="I115" s="9" t="str">
        <f t="shared" si="28"/>
        <v/>
      </c>
      <c r="J115" s="9" t="str">
        <f t="shared" si="28"/>
        <v/>
      </c>
      <c r="K115" s="9" t="str">
        <f t="shared" si="28"/>
        <v/>
      </c>
      <c r="L115" s="9" t="str">
        <f t="shared" si="28"/>
        <v>Con_8_0000</v>
      </c>
    </row>
    <row r="116" spans="1:18" ht="15" customHeight="1" thickBot="1">
      <c r="A116" s="2" t="s">
        <v>161</v>
      </c>
      <c r="B116" s="55" t="s">
        <v>162</v>
      </c>
      <c r="C116" s="21"/>
      <c r="D116" s="27" t="str">
        <f t="shared" si="27"/>
        <v>Dr Toby VanHest</v>
      </c>
      <c r="E116" s="22">
        <f>IFERROR(VLOOKUP(D116,'Employee Numbers'!$A$3:$B$84,2,FALSE),"NOT FOUND")</f>
        <v>609660</v>
      </c>
      <c r="F116" s="9" t="str">
        <f t="shared" si="28"/>
        <v/>
      </c>
      <c r="G116" s="9" t="str">
        <f t="shared" si="28"/>
        <v/>
      </c>
      <c r="H116" s="9" t="str">
        <f t="shared" si="28"/>
        <v/>
      </c>
      <c r="I116" s="9" t="str">
        <f t="shared" si="28"/>
        <v/>
      </c>
      <c r="J116" s="9" t="str">
        <f t="shared" si="28"/>
        <v/>
      </c>
      <c r="K116" s="9" t="str">
        <f t="shared" si="28"/>
        <v/>
      </c>
      <c r="L116" s="9" t="str">
        <f t="shared" si="28"/>
        <v/>
      </c>
    </row>
    <row r="117" spans="1:18" ht="15" customHeight="1" thickBot="1">
      <c r="A117" s="2" t="s">
        <v>161</v>
      </c>
      <c r="B117" s="55" t="s">
        <v>162</v>
      </c>
      <c r="C117" s="21"/>
      <c r="D117" s="27" t="str">
        <f t="shared" si="27"/>
        <v>Dr Bob Seith</v>
      </c>
      <c r="E117" s="22">
        <f>IFERROR(VLOOKUP(D117,'Employee Numbers'!$A$3:$B$84,2,FALSE),"NOT FOUND")</f>
        <v>610036</v>
      </c>
      <c r="F117" s="9" t="str">
        <f t="shared" si="28"/>
        <v/>
      </c>
      <c r="G117" s="9" t="str">
        <f t="shared" si="28"/>
        <v/>
      </c>
      <c r="H117" s="9" t="str">
        <f t="shared" si="28"/>
        <v/>
      </c>
      <c r="I117" s="9" t="str">
        <f t="shared" si="28"/>
        <v/>
      </c>
      <c r="J117" s="9" t="str">
        <f t="shared" si="28"/>
        <v/>
      </c>
      <c r="K117" s="9" t="str">
        <f t="shared" si="28"/>
        <v/>
      </c>
      <c r="L117" s="9" t="str">
        <f t="shared" si="28"/>
        <v/>
      </c>
    </row>
    <row r="118" spans="1:18" ht="15" customHeight="1" thickBot="1">
      <c r="A118" s="2" t="s">
        <v>161</v>
      </c>
      <c r="B118" s="55" t="s">
        <v>162</v>
      </c>
      <c r="C118" s="21"/>
      <c r="D118" s="27" t="str">
        <f t="shared" si="27"/>
        <v>Dr Simon Craig</v>
      </c>
      <c r="E118" s="22">
        <f>IFERROR(VLOOKUP(D118,'Employee Numbers'!$A$3:$B$84,2,FALSE),"NOT FOUND")</f>
        <v>533509</v>
      </c>
      <c r="F118" s="9" t="str">
        <f t="shared" si="28"/>
        <v/>
      </c>
      <c r="G118" s="9" t="str">
        <f t="shared" si="28"/>
        <v/>
      </c>
      <c r="H118" s="9" t="str">
        <f t="shared" si="28"/>
        <v/>
      </c>
      <c r="I118" s="9" t="str">
        <f t="shared" si="28"/>
        <v/>
      </c>
      <c r="J118" s="9" t="str">
        <f t="shared" si="28"/>
        <v/>
      </c>
      <c r="K118" s="9" t="str">
        <f t="shared" si="28"/>
        <v/>
      </c>
      <c r="L118" s="9" t="str">
        <f t="shared" si="28"/>
        <v/>
      </c>
    </row>
    <row r="119" spans="1:18" ht="15" customHeight="1" thickBot="1">
      <c r="A119" s="2" t="s">
        <v>161</v>
      </c>
      <c r="B119" s="55" t="s">
        <v>162</v>
      </c>
      <c r="C119" s="21"/>
      <c r="D119" s="27" t="str">
        <f t="shared" si="27"/>
        <v>Dr Celia Bagshaw</v>
      </c>
      <c r="E119" s="22">
        <f>IFERROR(VLOOKUP(D119,'Employee Numbers'!$A$3:$B$84,2,FALSE),"NOT FOUND")</f>
        <v>625985</v>
      </c>
      <c r="F119" s="9" t="str">
        <f t="shared" si="28"/>
        <v/>
      </c>
      <c r="G119" s="9" t="str">
        <f t="shared" si="28"/>
        <v/>
      </c>
      <c r="H119" s="9" t="str">
        <f t="shared" si="28"/>
        <v/>
      </c>
      <c r="I119" s="9" t="str">
        <f t="shared" si="28"/>
        <v>Con_8_0000</v>
      </c>
      <c r="J119" s="9" t="str">
        <f t="shared" si="28"/>
        <v/>
      </c>
      <c r="K119" s="9" t="str">
        <f t="shared" si="28"/>
        <v/>
      </c>
      <c r="L119" s="9" t="str">
        <f t="shared" si="28"/>
        <v/>
      </c>
    </row>
    <row r="120" spans="1:18" ht="15" customHeight="1" thickBot="1">
      <c r="A120" s="2" t="s">
        <v>161</v>
      </c>
      <c r="B120" s="55" t="s">
        <v>162</v>
      </c>
      <c r="C120" s="21"/>
      <c r="D120" s="27" t="str">
        <f t="shared" si="27"/>
        <v>Dr Adnan Bilgrami</v>
      </c>
      <c r="E120" s="22">
        <f>IFERROR(VLOOKUP(D120,'Employee Numbers'!$A$3:$B$84,2,FALSE),"NOT FOUND")</f>
        <v>632301</v>
      </c>
      <c r="F120" s="9" t="str">
        <f t="shared" si="28"/>
        <v/>
      </c>
      <c r="G120" s="9" t="str">
        <f t="shared" si="28"/>
        <v/>
      </c>
      <c r="H120" s="9" t="str">
        <f t="shared" si="28"/>
        <v/>
      </c>
      <c r="I120" s="9" t="str">
        <f t="shared" si="28"/>
        <v/>
      </c>
      <c r="J120" s="9" t="str">
        <f t="shared" si="28"/>
        <v/>
      </c>
      <c r="K120" s="9" t="str">
        <f t="shared" si="28"/>
        <v/>
      </c>
      <c r="L120" s="9" t="str">
        <f t="shared" si="28"/>
        <v/>
      </c>
    </row>
    <row r="121" spans="1:18" ht="15" customHeight="1" thickBot="1">
      <c r="A121" s="2" t="s">
        <v>161</v>
      </c>
      <c r="B121" s="55" t="s">
        <v>162</v>
      </c>
      <c r="C121" s="21"/>
      <c r="D121" s="27" t="str">
        <f t="shared" si="27"/>
        <v>Dr Preeti Ramaswamy</v>
      </c>
      <c r="E121" s="22">
        <f>IFERROR(VLOOKUP(D121,'Employee Numbers'!$A$3:$B$84,2,FALSE),"NOT FOUND")</f>
        <v>613891</v>
      </c>
      <c r="F121" s="9" t="str">
        <f t="shared" si="28"/>
        <v/>
      </c>
      <c r="G121" s="9" t="str">
        <f t="shared" si="28"/>
        <v/>
      </c>
      <c r="H121" s="9" t="str">
        <f t="shared" si="28"/>
        <v/>
      </c>
      <c r="I121" s="9" t="str">
        <f t="shared" si="28"/>
        <v/>
      </c>
      <c r="J121" s="9" t="str">
        <f t="shared" si="28"/>
        <v/>
      </c>
      <c r="K121" s="9" t="str">
        <f t="shared" si="28"/>
        <v/>
      </c>
      <c r="L121" s="9" t="str">
        <f t="shared" si="28"/>
        <v/>
      </c>
      <c r="N121" s="2"/>
      <c r="O121" s="2"/>
      <c r="P121" s="2"/>
      <c r="Q121" s="2"/>
      <c r="R121" s="2"/>
    </row>
    <row r="122" spans="1:18" ht="15" customHeight="1" thickBot="1">
      <c r="A122" s="2" t="s">
        <v>161</v>
      </c>
      <c r="B122" s="55" t="s">
        <v>162</v>
      </c>
      <c r="C122" s="21"/>
      <c r="D122" s="27" t="str">
        <f t="shared" si="27"/>
        <v>Dr Erin Mills</v>
      </c>
      <c r="E122" s="22">
        <f>IFERROR(VLOOKUP(D122,'Employee Numbers'!$A$3:$B$84,2,FALSE),"NOT FOUND")</f>
        <v>623657</v>
      </c>
      <c r="F122" s="9" t="str">
        <f t="shared" si="28"/>
        <v/>
      </c>
      <c r="G122" s="9" t="str">
        <f t="shared" si="28"/>
        <v/>
      </c>
      <c r="H122" s="9" t="str">
        <f t="shared" si="28"/>
        <v>Con_8_0000</v>
      </c>
      <c r="I122" s="9" t="str">
        <f t="shared" si="28"/>
        <v/>
      </c>
      <c r="J122" s="9" t="str">
        <f t="shared" si="28"/>
        <v/>
      </c>
      <c r="K122" s="9" t="str">
        <f t="shared" si="28"/>
        <v/>
      </c>
      <c r="L122" s="9" t="str">
        <f t="shared" si="28"/>
        <v/>
      </c>
    </row>
    <row r="123" spans="1:18" ht="15" customHeight="1" thickBot="1">
      <c r="A123" s="2" t="s">
        <v>161</v>
      </c>
      <c r="B123" s="55" t="s">
        <v>162</v>
      </c>
      <c r="C123" s="21"/>
      <c r="D123" s="27" t="str">
        <f t="shared" si="27"/>
        <v>Dr Stella Robinson</v>
      </c>
      <c r="E123" s="22">
        <f>IFERROR(VLOOKUP(D123,'Employee Numbers'!$A$3:$B$84,2,FALSE),"NOT FOUND")</f>
        <v>623708</v>
      </c>
      <c r="F123" s="9" t="str">
        <f t="shared" si="28"/>
        <v/>
      </c>
      <c r="G123" s="9" t="str">
        <f t="shared" si="28"/>
        <v/>
      </c>
      <c r="H123" s="9" t="str">
        <f t="shared" si="28"/>
        <v/>
      </c>
      <c r="I123" s="9" t="str">
        <f t="shared" si="28"/>
        <v/>
      </c>
      <c r="J123" s="9" t="str">
        <f t="shared" si="28"/>
        <v/>
      </c>
      <c r="K123" s="9" t="str">
        <f t="shared" si="28"/>
        <v/>
      </c>
      <c r="L123" s="9" t="str">
        <f t="shared" si="28"/>
        <v/>
      </c>
    </row>
    <row r="124" spans="1:18" ht="15" customHeight="1" thickBot="1">
      <c r="A124" s="2" t="s">
        <v>161</v>
      </c>
      <c r="B124" s="55" t="s">
        <v>162</v>
      </c>
      <c r="C124" s="21"/>
      <c r="D124" s="27" t="str">
        <f t="shared" si="27"/>
        <v>Dr Bev Thompson</v>
      </c>
      <c r="E124" s="22">
        <f>IFERROR(VLOOKUP(D124,'Employee Numbers'!$A$3:$B$84,2,FALSE),"NOT FOUND")</f>
        <v>627680</v>
      </c>
      <c r="F124" s="9" t="str">
        <f t="shared" si="28"/>
        <v/>
      </c>
      <c r="G124" s="9" t="str">
        <f t="shared" si="28"/>
        <v/>
      </c>
      <c r="H124" s="9" t="str">
        <f t="shared" si="28"/>
        <v/>
      </c>
      <c r="I124" s="9" t="str">
        <f t="shared" si="28"/>
        <v/>
      </c>
      <c r="J124" s="9" t="str">
        <f t="shared" si="28"/>
        <v/>
      </c>
      <c r="K124" s="9" t="str">
        <f t="shared" si="28"/>
        <v/>
      </c>
      <c r="L124" s="9" t="str">
        <f t="shared" si="28"/>
        <v/>
      </c>
    </row>
    <row r="125" spans="1:18" ht="15" customHeight="1" thickBot="1">
      <c r="A125" s="2" t="s">
        <v>161</v>
      </c>
      <c r="B125" s="55" t="s">
        <v>162</v>
      </c>
      <c r="C125" s="21"/>
      <c r="D125" s="27" t="str">
        <f t="shared" si="27"/>
        <v>Dr John Unwin</v>
      </c>
      <c r="E125" s="22">
        <f>IFERROR(VLOOKUP(D125,'Employee Numbers'!$A$3:$B$84,2,FALSE),"NOT FOUND")</f>
        <v>633210</v>
      </c>
      <c r="F125" s="9" t="str">
        <f t="shared" si="28"/>
        <v/>
      </c>
      <c r="G125" s="9" t="str">
        <f t="shared" si="28"/>
        <v>Con_8_0000</v>
      </c>
      <c r="H125" s="9" t="str">
        <f t="shared" si="28"/>
        <v/>
      </c>
      <c r="I125" s="9" t="str">
        <f t="shared" si="28"/>
        <v/>
      </c>
      <c r="J125" s="9" t="str">
        <f t="shared" si="28"/>
        <v/>
      </c>
      <c r="K125" s="9" t="str">
        <f t="shared" si="28"/>
        <v/>
      </c>
      <c r="L125" s="9" t="str">
        <f t="shared" si="28"/>
        <v/>
      </c>
    </row>
    <row r="126" spans="1:18" ht="15" customHeight="1" thickBot="1">
      <c r="A126" s="2" t="s">
        <v>161</v>
      </c>
      <c r="B126" s="55" t="s">
        <v>162</v>
      </c>
      <c r="C126" s="21"/>
      <c r="D126" s="27" t="str">
        <f t="shared" si="27"/>
        <v>Dr Siri Samudrala</v>
      </c>
      <c r="E126" s="22">
        <f>IFERROR(VLOOKUP(D126,'Employee Numbers'!$A$3:$B$84,2,FALSE),"NOT FOUND")</f>
        <v>618952</v>
      </c>
      <c r="F126" s="9" t="str">
        <f t="shared" si="28"/>
        <v/>
      </c>
      <c r="G126" s="9" t="str">
        <f t="shared" si="28"/>
        <v/>
      </c>
      <c r="H126" s="9" t="str">
        <f t="shared" si="28"/>
        <v/>
      </c>
      <c r="I126" s="9" t="str">
        <f t="shared" si="28"/>
        <v/>
      </c>
      <c r="J126" s="9" t="str">
        <f t="shared" si="28"/>
        <v/>
      </c>
      <c r="K126" s="9" t="str">
        <f t="shared" si="28"/>
        <v/>
      </c>
      <c r="L126" s="9" t="str">
        <f t="shared" si="28"/>
        <v/>
      </c>
    </row>
    <row r="127" spans="1:18" ht="15" customHeight="1" thickBot="1">
      <c r="A127" s="2" t="s">
        <v>161</v>
      </c>
      <c r="B127" s="55" t="s">
        <v>162</v>
      </c>
      <c r="C127" s="21"/>
      <c r="D127" s="27" t="str">
        <f t="shared" si="27"/>
        <v>Dr Tessa Smith</v>
      </c>
      <c r="E127" s="22">
        <f>IFERROR(VLOOKUP(D127,'Employee Numbers'!$A$3:$B$84,2,FALSE),"NOT FOUND")</f>
        <v>649039</v>
      </c>
      <c r="F127" s="9" t="str">
        <f t="shared" si="28"/>
        <v/>
      </c>
      <c r="G127" s="9" t="str">
        <f t="shared" si="28"/>
        <v/>
      </c>
      <c r="H127" s="9" t="str">
        <f t="shared" si="28"/>
        <v/>
      </c>
      <c r="I127" s="9" t="str">
        <f t="shared" si="28"/>
        <v/>
      </c>
      <c r="J127" s="9" t="str">
        <f t="shared" si="28"/>
        <v/>
      </c>
      <c r="K127" s="9" t="str">
        <f t="shared" si="28"/>
        <v/>
      </c>
      <c r="L127" s="9" t="str">
        <f t="shared" si="28"/>
        <v/>
      </c>
    </row>
    <row r="128" spans="1:18" ht="15" customHeight="1" thickBot="1">
      <c r="A128" s="2" t="s">
        <v>161</v>
      </c>
      <c r="B128" s="55" t="s">
        <v>162</v>
      </c>
      <c r="C128" s="21"/>
      <c r="D128" s="27" t="str">
        <f t="shared" si="27"/>
        <v>Dr Brad Dent</v>
      </c>
      <c r="E128" s="22">
        <f>IFERROR(VLOOKUP(D128,'Employee Numbers'!$A$3:$B$84,2,FALSE),"NOT FOUND")</f>
        <v>649671</v>
      </c>
      <c r="F128" s="9" t="str">
        <f t="shared" si="28"/>
        <v/>
      </c>
      <c r="G128" s="9" t="str">
        <f t="shared" si="28"/>
        <v/>
      </c>
      <c r="H128" s="9" t="str">
        <f t="shared" si="28"/>
        <v/>
      </c>
      <c r="I128" s="9" t="str">
        <f t="shared" si="28"/>
        <v/>
      </c>
      <c r="J128" s="9" t="str">
        <f t="shared" si="28"/>
        <v/>
      </c>
      <c r="K128" s="9" t="str">
        <f t="shared" si="28"/>
        <v/>
      </c>
      <c r="L128" s="9" t="str">
        <f t="shared" si="28"/>
        <v/>
      </c>
    </row>
    <row r="129" spans="1:18" ht="15" customHeight="1" thickBot="1">
      <c r="A129" s="2" t="s">
        <v>161</v>
      </c>
      <c r="B129" s="55" t="s">
        <v>162</v>
      </c>
      <c r="C129" s="21"/>
      <c r="D129" s="27" t="str">
        <f t="shared" si="27"/>
        <v>Dr Marjolein Slaa</v>
      </c>
      <c r="E129" s="22">
        <f>IFERROR(VLOOKUP(D129,'Employee Numbers'!$A$3:$B$84,2,FALSE),"NOT FOUND")</f>
        <v>646047</v>
      </c>
      <c r="F129" s="9" t="str">
        <f t="shared" si="28"/>
        <v/>
      </c>
      <c r="G129" s="9" t="str">
        <f t="shared" si="28"/>
        <v/>
      </c>
      <c r="H129" s="9" t="str">
        <f t="shared" si="28"/>
        <v/>
      </c>
      <c r="I129" s="9" t="str">
        <f t="shared" si="28"/>
        <v/>
      </c>
      <c r="J129" s="9" t="str">
        <f t="shared" si="28"/>
        <v/>
      </c>
      <c r="K129" s="9" t="str">
        <f t="shared" si="28"/>
        <v/>
      </c>
      <c r="L129" s="9" t="str">
        <f t="shared" si="28"/>
        <v/>
      </c>
    </row>
    <row r="130" spans="1:18" ht="15" customHeight="1" thickBot="1">
      <c r="A130" s="2" t="s">
        <v>161</v>
      </c>
      <c r="B130" s="55" t="s">
        <v>162</v>
      </c>
      <c r="C130" s="21"/>
      <c r="D130" s="27" t="str">
        <f t="shared" si="27"/>
        <v>Dr Natalie Hood</v>
      </c>
      <c r="E130" s="22">
        <f>IFERROR(VLOOKUP(D130,'Employee Numbers'!$A$3:$B$84,2,FALSE),"NOT FOUND")</f>
        <v>164003</v>
      </c>
      <c r="F130" s="9" t="str">
        <f t="shared" si="28"/>
        <v/>
      </c>
      <c r="G130" s="9" t="str">
        <f t="shared" si="28"/>
        <v/>
      </c>
      <c r="H130" s="9" t="str">
        <f t="shared" si="28"/>
        <v/>
      </c>
      <c r="I130" s="9" t="str">
        <f t="shared" si="28"/>
        <v/>
      </c>
      <c r="J130" s="9" t="str">
        <f t="shared" si="28"/>
        <v/>
      </c>
      <c r="K130" s="9" t="str">
        <f t="shared" si="28"/>
        <v/>
      </c>
      <c r="L130" s="9" t="str">
        <f t="shared" si="28"/>
        <v/>
      </c>
    </row>
    <row r="131" spans="1:18" ht="15" customHeight="1" thickBot="1">
      <c r="A131" s="2" t="s">
        <v>161</v>
      </c>
      <c r="B131" s="55" t="s">
        <v>162</v>
      </c>
      <c r="C131" s="21"/>
      <c r="D131" s="27" t="str">
        <f t="shared" si="27"/>
        <v>Dr Michael Coman</v>
      </c>
      <c r="E131" s="22">
        <f>IFERROR(VLOOKUP(D131,'Employee Numbers'!$A$3:$B$84,2,FALSE),"NOT FOUND")</f>
        <v>609408</v>
      </c>
      <c r="F131" s="9" t="str">
        <f t="shared" ref="F131:L143" si="29">IF(F$50=$D131,"Con_8_0000","")</f>
        <v/>
      </c>
      <c r="G131" s="9" t="str">
        <f t="shared" si="29"/>
        <v/>
      </c>
      <c r="H131" s="9" t="str">
        <f t="shared" si="29"/>
        <v/>
      </c>
      <c r="I131" s="9" t="str">
        <f t="shared" si="29"/>
        <v/>
      </c>
      <c r="J131" s="9" t="str">
        <f t="shared" si="29"/>
        <v>Con_8_0000</v>
      </c>
      <c r="K131" s="9" t="str">
        <f t="shared" si="29"/>
        <v/>
      </c>
      <c r="L131" s="9" t="str">
        <f t="shared" si="29"/>
        <v/>
      </c>
    </row>
    <row r="132" spans="1:18" ht="15" customHeight="1" thickBot="1">
      <c r="A132" s="2" t="s">
        <v>161</v>
      </c>
      <c r="B132" s="55" t="s">
        <v>162</v>
      </c>
      <c r="C132" s="21"/>
      <c r="D132" s="27" t="str">
        <f t="shared" si="27"/>
        <v>Dr Andrew Hardy</v>
      </c>
      <c r="E132" s="22">
        <f>IFERROR(VLOOKUP(D132,'Employee Numbers'!$A$3:$B$84,2,FALSE),"NOT FOUND")</f>
        <v>627619</v>
      </c>
      <c r="F132" s="9" t="str">
        <f t="shared" si="29"/>
        <v>Con_8_0000</v>
      </c>
      <c r="G132" s="9" t="str">
        <f t="shared" si="29"/>
        <v/>
      </c>
      <c r="H132" s="9" t="str">
        <f t="shared" si="29"/>
        <v/>
      </c>
      <c r="I132" s="9" t="str">
        <f t="shared" si="29"/>
        <v/>
      </c>
      <c r="J132" s="9" t="str">
        <f t="shared" si="29"/>
        <v/>
      </c>
      <c r="K132" s="9" t="str">
        <f t="shared" si="29"/>
        <v/>
      </c>
      <c r="L132" s="9" t="str">
        <f t="shared" si="29"/>
        <v/>
      </c>
    </row>
    <row r="133" spans="1:18" ht="15" customHeight="1" thickBot="1">
      <c r="A133" s="2" t="s">
        <v>161</v>
      </c>
      <c r="B133" s="55" t="s">
        <v>162</v>
      </c>
      <c r="C133" s="21"/>
      <c r="D133" s="27" t="str">
        <f t="shared" si="27"/>
        <v>Dr Gargi Kanabar</v>
      </c>
      <c r="E133" s="22">
        <f>IFERROR(VLOOKUP(D133,'Employee Numbers'!$A$3:$B$84,2,FALSE),"NOT FOUND")</f>
        <v>632646</v>
      </c>
      <c r="F133" s="9" t="str">
        <f t="shared" si="29"/>
        <v/>
      </c>
      <c r="G133" s="9" t="str">
        <f t="shared" si="29"/>
        <v/>
      </c>
      <c r="H133" s="9" t="str">
        <f t="shared" si="29"/>
        <v/>
      </c>
      <c r="I133" s="9" t="str">
        <f t="shared" si="29"/>
        <v/>
      </c>
      <c r="J133" s="9" t="str">
        <f t="shared" si="29"/>
        <v/>
      </c>
      <c r="K133" s="9" t="str">
        <f t="shared" si="29"/>
        <v/>
      </c>
      <c r="L133" s="9" t="str">
        <f t="shared" si="29"/>
        <v/>
      </c>
    </row>
    <row r="134" spans="1:18" ht="15" customHeight="1" thickBot="1">
      <c r="A134" s="2" t="s">
        <v>161</v>
      </c>
      <c r="B134" s="55" t="s">
        <v>162</v>
      </c>
      <c r="C134" s="21"/>
      <c r="D134" s="27" t="str">
        <f t="shared" si="27"/>
        <v>Dr Mandy Parr</v>
      </c>
      <c r="E134" s="22">
        <f>IFERROR(VLOOKUP(D134,'Employee Numbers'!$A$3:$B$84,2,FALSE),"NOT FOUND")</f>
        <v>652844</v>
      </c>
      <c r="F134" s="9" t="str">
        <f t="shared" si="29"/>
        <v/>
      </c>
      <c r="G134" s="9" t="str">
        <f t="shared" si="29"/>
        <v/>
      </c>
      <c r="H134" s="9" t="str">
        <f t="shared" si="29"/>
        <v/>
      </c>
      <c r="I134" s="9" t="str">
        <f t="shared" si="29"/>
        <v/>
      </c>
      <c r="J134" s="9" t="str">
        <f t="shared" si="29"/>
        <v/>
      </c>
      <c r="K134" s="9" t="str">
        <f t="shared" si="29"/>
        <v/>
      </c>
      <c r="L134" s="9" t="str">
        <f t="shared" si="29"/>
        <v/>
      </c>
    </row>
    <row r="135" spans="1:18" ht="15" customHeight="1" thickBot="1">
      <c r="A135" s="2" t="s">
        <v>161</v>
      </c>
      <c r="B135" s="55" t="s">
        <v>162</v>
      </c>
      <c r="C135" s="21"/>
      <c r="D135" s="27" t="str">
        <f t="shared" si="27"/>
        <v>Dr Tecwyn Davies</v>
      </c>
      <c r="E135" s="22">
        <f>IFERROR(VLOOKUP(D135,'Employee Numbers'!$A$3:$B$84,2,FALSE),"NOT FOUND")</f>
        <v>634491</v>
      </c>
      <c r="F135" s="9" t="str">
        <f t="shared" si="29"/>
        <v/>
      </c>
      <c r="G135" s="9" t="str">
        <f t="shared" si="29"/>
        <v/>
      </c>
      <c r="H135" s="9" t="str">
        <f t="shared" si="29"/>
        <v/>
      </c>
      <c r="I135" s="9" t="str">
        <f t="shared" si="29"/>
        <v/>
      </c>
      <c r="J135" s="9" t="str">
        <f t="shared" si="29"/>
        <v/>
      </c>
      <c r="K135" s="9" t="str">
        <f t="shared" si="29"/>
        <v/>
      </c>
      <c r="L135" s="9" t="str">
        <f t="shared" si="29"/>
        <v/>
      </c>
    </row>
    <row r="136" spans="1:18" ht="15" customHeight="1" thickBot="1">
      <c r="A136" s="2" t="s">
        <v>161</v>
      </c>
      <c r="B136" s="55" t="s">
        <v>162</v>
      </c>
      <c r="C136" s="21"/>
      <c r="D136" s="27" t="str">
        <f t="shared" si="27"/>
        <v>Dr Patrick Finn</v>
      </c>
      <c r="E136" s="22">
        <f>IFERROR(VLOOKUP(D136,'Employee Numbers'!$A$3:$B$84,2,FALSE),"NOT FOUND")</f>
        <v>621988</v>
      </c>
      <c r="F136" s="9" t="str">
        <f t="shared" si="29"/>
        <v/>
      </c>
      <c r="G136" s="9" t="str">
        <f t="shared" si="29"/>
        <v/>
      </c>
      <c r="H136" s="9" t="str">
        <f t="shared" si="29"/>
        <v/>
      </c>
      <c r="I136" s="9" t="str">
        <f t="shared" si="29"/>
        <v/>
      </c>
      <c r="J136" s="9" t="str">
        <f t="shared" si="29"/>
        <v/>
      </c>
      <c r="K136" s="9" t="str">
        <f t="shared" si="29"/>
        <v/>
      </c>
      <c r="L136" s="9" t="str">
        <f t="shared" si="29"/>
        <v/>
      </c>
    </row>
    <row r="137" spans="1:18" ht="15" customHeight="1" thickBot="1">
      <c r="A137" s="2" t="s">
        <v>161</v>
      </c>
      <c r="B137" s="55" t="s">
        <v>162</v>
      </c>
      <c r="C137" s="21"/>
      <c r="D137" s="27" t="str">
        <f t="shared" si="27"/>
        <v>Dr Chris Fong</v>
      </c>
      <c r="E137" s="22">
        <f>IFERROR(VLOOKUP(D137,'Employee Numbers'!$A$3:$B$84,2,FALSE),"NOT FOUND")</f>
        <v>409677</v>
      </c>
      <c r="F137" s="9" t="str">
        <f t="shared" si="29"/>
        <v/>
      </c>
      <c r="G137" s="9" t="str">
        <f t="shared" si="29"/>
        <v/>
      </c>
      <c r="H137" s="9" t="str">
        <f t="shared" si="29"/>
        <v/>
      </c>
      <c r="I137" s="9" t="str">
        <f t="shared" si="29"/>
        <v/>
      </c>
      <c r="J137" s="9" t="str">
        <f t="shared" si="29"/>
        <v/>
      </c>
      <c r="K137" s="9" t="str">
        <f t="shared" si="29"/>
        <v/>
      </c>
      <c r="L137" s="9" t="str">
        <f t="shared" si="29"/>
        <v/>
      </c>
    </row>
    <row r="138" spans="1:18" s="13" customFormat="1" ht="15" customHeight="1" thickBot="1">
      <c r="A138" s="2" t="s">
        <v>161</v>
      </c>
      <c r="B138" s="55" t="s">
        <v>162</v>
      </c>
      <c r="C138" s="21"/>
      <c r="D138" s="27" t="str">
        <f t="shared" si="27"/>
        <v>Dr Matthew Tang</v>
      </c>
      <c r="E138" s="22">
        <f>IFERROR(VLOOKUP(D138,'Employee Numbers'!$A$3:$B$84,2,FALSE),"NOT FOUND")</f>
        <v>632590</v>
      </c>
      <c r="F138" s="9" t="str">
        <f t="shared" si="29"/>
        <v/>
      </c>
      <c r="G138" s="9" t="str">
        <f t="shared" si="29"/>
        <v/>
      </c>
      <c r="H138" s="9" t="str">
        <f t="shared" si="29"/>
        <v/>
      </c>
      <c r="I138" s="9" t="str">
        <f t="shared" si="29"/>
        <v/>
      </c>
      <c r="J138" s="9" t="str">
        <f t="shared" si="29"/>
        <v/>
      </c>
      <c r="K138" s="9" t="str">
        <f t="shared" si="29"/>
        <v>Con_8_0000</v>
      </c>
      <c r="L138" s="9" t="str">
        <f t="shared" si="29"/>
        <v/>
      </c>
      <c r="M138" s="5"/>
      <c r="N138" s="5"/>
      <c r="O138" s="5"/>
      <c r="P138" s="5"/>
      <c r="Q138" s="5"/>
      <c r="R138" s="5"/>
    </row>
    <row r="139" spans="1:18" s="13" customFormat="1" ht="15" customHeight="1" thickBot="1">
      <c r="A139" s="2" t="s">
        <v>161</v>
      </c>
      <c r="B139" s="55" t="s">
        <v>162</v>
      </c>
      <c r="C139" s="21"/>
      <c r="D139" s="27" t="str">
        <f t="shared" si="27"/>
        <v>Dr Niki Talic</v>
      </c>
      <c r="E139" s="22">
        <f>IFERROR(VLOOKUP(D139,'Employee Numbers'!$A$3:$B$84,2,FALSE),"NOT FOUND")</f>
        <v>619537</v>
      </c>
      <c r="F139" s="9" t="str">
        <f t="shared" si="29"/>
        <v/>
      </c>
      <c r="G139" s="9" t="str">
        <f t="shared" si="29"/>
        <v/>
      </c>
      <c r="H139" s="9" t="str">
        <f t="shared" si="29"/>
        <v/>
      </c>
      <c r="I139" s="9" t="str">
        <f t="shared" si="29"/>
        <v/>
      </c>
      <c r="J139" s="9" t="str">
        <f t="shared" si="29"/>
        <v/>
      </c>
      <c r="K139" s="9" t="str">
        <f t="shared" si="29"/>
        <v/>
      </c>
      <c r="L139" s="9" t="str">
        <f t="shared" si="29"/>
        <v/>
      </c>
      <c r="M139" s="5"/>
      <c r="N139" s="5"/>
      <c r="O139" s="5"/>
      <c r="P139" s="5"/>
      <c r="Q139" s="5"/>
      <c r="R139" s="5"/>
    </row>
    <row r="140" spans="1:18" s="13" customFormat="1" ht="15" customHeight="1" thickBot="1">
      <c r="A140" s="2" t="s">
        <v>161</v>
      </c>
      <c r="B140" s="55" t="s">
        <v>162</v>
      </c>
      <c r="C140" s="21"/>
      <c r="D140" s="27" t="str">
        <f t="shared" si="27"/>
        <v>Dr Deb Morawetz</v>
      </c>
      <c r="E140" s="22">
        <f>IFERROR(VLOOKUP(D140,'Employee Numbers'!$A$3:$B$84,2,FALSE),"NOT FOUND")</f>
        <v>621953</v>
      </c>
      <c r="F140" s="9" t="str">
        <f t="shared" si="29"/>
        <v/>
      </c>
      <c r="G140" s="9" t="str">
        <f t="shared" si="29"/>
        <v/>
      </c>
      <c r="H140" s="9" t="str">
        <f t="shared" si="29"/>
        <v/>
      </c>
      <c r="I140" s="9" t="str">
        <f t="shared" si="29"/>
        <v/>
      </c>
      <c r="J140" s="9" t="str">
        <f t="shared" si="29"/>
        <v/>
      </c>
      <c r="K140" s="9" t="str">
        <f t="shared" si="29"/>
        <v/>
      </c>
      <c r="L140" s="9" t="str">
        <f t="shared" si="29"/>
        <v/>
      </c>
      <c r="M140" s="5"/>
      <c r="N140" s="5"/>
      <c r="O140" s="5"/>
      <c r="P140" s="5"/>
      <c r="Q140" s="5"/>
      <c r="R140" s="5"/>
    </row>
    <row r="141" spans="1:18" s="13" customFormat="1" ht="15" customHeight="1" thickBot="1">
      <c r="A141" s="2" t="s">
        <v>161</v>
      </c>
      <c r="B141" s="55" t="s">
        <v>162</v>
      </c>
      <c r="C141" s="21"/>
      <c r="D141" s="27" t="str">
        <f t="shared" si="27"/>
        <v>Dr Priya Jeyaveerasingam</v>
      </c>
      <c r="E141" s="22">
        <f>IFERROR(VLOOKUP(D141,'Employee Numbers'!$A$3:$B$84,2,FALSE),"NOT FOUND")</f>
        <v>614504</v>
      </c>
      <c r="F141" s="9" t="str">
        <f t="shared" si="29"/>
        <v/>
      </c>
      <c r="G141" s="9" t="str">
        <f t="shared" si="29"/>
        <v/>
      </c>
      <c r="H141" s="9" t="str">
        <f t="shared" si="29"/>
        <v/>
      </c>
      <c r="I141" s="9" t="str">
        <f t="shared" si="29"/>
        <v/>
      </c>
      <c r="J141" s="9" t="str">
        <f t="shared" si="29"/>
        <v/>
      </c>
      <c r="K141" s="9" t="str">
        <f t="shared" si="29"/>
        <v/>
      </c>
      <c r="L141" s="9" t="str">
        <f t="shared" si="29"/>
        <v/>
      </c>
      <c r="M141" s="5"/>
      <c r="N141" s="5"/>
      <c r="O141" s="5"/>
      <c r="P141" s="5"/>
      <c r="Q141" s="5"/>
      <c r="R141" s="5"/>
    </row>
    <row r="142" spans="1:18" s="13" customFormat="1" ht="15" customHeight="1" thickBot="1">
      <c r="A142" s="2" t="s">
        <v>161</v>
      </c>
      <c r="B142" s="55" t="s">
        <v>162</v>
      </c>
      <c r="C142" s="21"/>
      <c r="D142" s="27" t="str">
        <f t="shared" si="27"/>
        <v>Locum</v>
      </c>
      <c r="E142" s="22" t="str">
        <f>IFERROR(VLOOKUP(D142,'Employee Numbers'!$A$3:$B$84,2,FALSE),"NOT FOUND")</f>
        <v>N/A</v>
      </c>
      <c r="F142" s="9" t="str">
        <f t="shared" si="29"/>
        <v/>
      </c>
      <c r="G142" s="9" t="str">
        <f t="shared" si="29"/>
        <v/>
      </c>
      <c r="H142" s="9" t="str">
        <f t="shared" si="29"/>
        <v/>
      </c>
      <c r="I142" s="9" t="str">
        <f t="shared" si="29"/>
        <v/>
      </c>
      <c r="J142" s="9" t="str">
        <f t="shared" si="29"/>
        <v/>
      </c>
      <c r="K142" s="9" t="str">
        <f t="shared" si="29"/>
        <v/>
      </c>
      <c r="L142" s="9" t="str">
        <f t="shared" si="29"/>
        <v/>
      </c>
      <c r="M142" s="5"/>
      <c r="N142" s="5"/>
      <c r="O142" s="5"/>
      <c r="P142" s="5"/>
      <c r="Q142" s="5"/>
      <c r="R142" s="5"/>
    </row>
    <row r="143" spans="1:18" s="13" customFormat="1" ht="15" customHeight="1">
      <c r="A143" s="2" t="s">
        <v>161</v>
      </c>
      <c r="B143" s="55" t="s">
        <v>162</v>
      </c>
      <c r="C143" s="21"/>
      <c r="D143" s="27" t="str">
        <f t="shared" si="27"/>
        <v>Locum</v>
      </c>
      <c r="E143" s="22" t="str">
        <f>IFERROR(VLOOKUP(D143,'Employee Numbers'!$A$3:$B$84,2,FALSE),"NOT FOUND")</f>
        <v>N/A</v>
      </c>
      <c r="F143" s="9" t="str">
        <f t="shared" si="29"/>
        <v/>
      </c>
      <c r="G143" s="9" t="str">
        <f t="shared" si="29"/>
        <v/>
      </c>
      <c r="H143" s="9" t="str">
        <f t="shared" si="29"/>
        <v/>
      </c>
      <c r="I143" s="9" t="str">
        <f t="shared" si="29"/>
        <v/>
      </c>
      <c r="J143" s="9" t="str">
        <f t="shared" si="29"/>
        <v/>
      </c>
      <c r="K143" s="9" t="str">
        <f t="shared" si="29"/>
        <v/>
      </c>
      <c r="L143" s="9" t="str">
        <f t="shared" si="29"/>
        <v/>
      </c>
      <c r="M143" s="5"/>
      <c r="N143" s="5"/>
      <c r="O143" s="5"/>
      <c r="P143" s="5"/>
      <c r="Q143" s="5"/>
      <c r="R143" s="5"/>
    </row>
    <row r="144" spans="1:18" ht="15" customHeight="1" thickBot="1"/>
    <row r="145" spans="1:18" s="2" customFormat="1" ht="15" customHeight="1" thickBot="1">
      <c r="A145" s="172" t="s">
        <v>86</v>
      </c>
      <c r="B145" s="48" t="s">
        <v>163</v>
      </c>
      <c r="C145" s="49" t="s">
        <v>164</v>
      </c>
      <c r="D145" s="173" t="str">
        <f>D53</f>
        <v xml:space="preserve">Fellow </v>
      </c>
      <c r="E145" s="20" t="s">
        <v>4</v>
      </c>
      <c r="F145" s="12" t="s">
        <v>5</v>
      </c>
      <c r="G145" s="83" t="s">
        <v>6</v>
      </c>
      <c r="H145" s="83" t="s">
        <v>7</v>
      </c>
      <c r="I145" s="83" t="s">
        <v>8</v>
      </c>
      <c r="J145" s="83" t="s">
        <v>9</v>
      </c>
      <c r="K145" s="83" t="s">
        <v>10</v>
      </c>
      <c r="L145" s="23" t="s">
        <v>11</v>
      </c>
      <c r="M145" s="23" t="s">
        <v>165</v>
      </c>
      <c r="N145" s="5"/>
      <c r="O145" s="5"/>
      <c r="P145" s="5"/>
      <c r="Q145" s="5"/>
      <c r="R145" s="5"/>
    </row>
    <row r="146" spans="1:18" ht="15" customHeight="1" thickBot="1">
      <c r="A146" s="2" t="s">
        <v>166</v>
      </c>
      <c r="B146" s="2"/>
      <c r="C146" s="21"/>
      <c r="D146" s="84" t="str">
        <f>D54</f>
        <v>Ellen Scott (0.75)</v>
      </c>
      <c r="E146" s="22">
        <f>IFERROR(VLOOKUP(D146,'Employee Numbers'!$A$3:$B$84,2,FALSE),"NOT FOUND")</f>
        <v>634905</v>
      </c>
      <c r="F146" s="38"/>
      <c r="G146" s="31"/>
      <c r="H146" s="31" t="s">
        <v>167</v>
      </c>
      <c r="I146" s="38"/>
      <c r="J146" s="38"/>
      <c r="K146" s="38"/>
      <c r="L146" s="38"/>
      <c r="M146" s="35" t="s">
        <v>168</v>
      </c>
    </row>
    <row r="147" spans="1:18" ht="15" customHeight="1" thickBot="1">
      <c r="A147" s="2" t="s">
        <v>166</v>
      </c>
      <c r="B147" s="2"/>
      <c r="C147" s="21"/>
      <c r="D147" s="84" t="str">
        <f t="shared" ref="D147:D151" si="30">D55</f>
        <v>Seamus Harrington</v>
      </c>
      <c r="E147" s="22">
        <f>IFERROR(VLOOKUP(D147,'Employee Numbers'!$A$3:$B$84,2,FALSE),"NOT FOUND")</f>
        <v>704751</v>
      </c>
      <c r="F147" s="38"/>
      <c r="G147" s="31"/>
      <c r="H147" s="31" t="str">
        <f t="shared" ref="H147:H148" si="31">IF(COUNTIF(H55,"0800-1730*"),"trg_5_1730","trg_5_0900")</f>
        <v>trg_5_0900</v>
      </c>
      <c r="I147" s="38"/>
      <c r="J147" s="38"/>
      <c r="K147" s="38"/>
      <c r="L147" s="38"/>
      <c r="M147" s="35" t="s">
        <v>168</v>
      </c>
    </row>
    <row r="148" spans="1:18" ht="15" customHeight="1" thickBot="1">
      <c r="A148" s="2" t="s">
        <v>166</v>
      </c>
      <c r="B148" s="2"/>
      <c r="C148" s="21"/>
      <c r="D148" s="84" t="str">
        <f t="shared" si="30"/>
        <v>Antra Ansons</v>
      </c>
      <c r="E148" s="22">
        <f>IFERROR(VLOOKUP(D148,'Employee Numbers'!$A$3:$B$84,2,FALSE),"NOT FOUND")</f>
        <v>637219</v>
      </c>
      <c r="F148" s="38"/>
      <c r="G148" s="31"/>
      <c r="H148" s="31" t="str">
        <f t="shared" si="31"/>
        <v>trg_5_1730</v>
      </c>
      <c r="I148" s="38"/>
      <c r="J148" s="38"/>
      <c r="K148" s="38"/>
      <c r="L148" s="38"/>
      <c r="M148" s="35" t="s">
        <v>168</v>
      </c>
    </row>
    <row r="149" spans="1:18" ht="15" customHeight="1" thickBot="1">
      <c r="A149" s="2" t="s">
        <v>166</v>
      </c>
      <c r="B149" s="2"/>
      <c r="C149" s="21"/>
      <c r="D149" s="84">
        <f t="shared" si="30"/>
        <v>0</v>
      </c>
      <c r="E149" s="22" t="str">
        <f>IFERROR(VLOOKUP(D149,'Employee Numbers'!$A$3:$B$84,2,FALSE),"NOT FOUND")</f>
        <v>NOT FOUND</v>
      </c>
      <c r="F149" s="38"/>
      <c r="G149" s="31"/>
      <c r="H149" s="31" t="str">
        <f t="shared" ref="H149:H151" si="32">IF(COUNTIF(H57,"0800-1730*"),"trg_2.5_1730","trg_2.5_0900")</f>
        <v>trg_2.5_0900</v>
      </c>
      <c r="I149" s="38"/>
      <c r="J149" s="38"/>
      <c r="K149" s="38"/>
      <c r="L149" s="38"/>
      <c r="M149" s="35" t="s">
        <v>168</v>
      </c>
    </row>
    <row r="150" spans="1:18" ht="15" customHeight="1" thickBot="1">
      <c r="A150" s="2" t="s">
        <v>166</v>
      </c>
      <c r="B150" s="2"/>
      <c r="C150" s="21"/>
      <c r="D150" s="84">
        <f t="shared" si="30"/>
        <v>0</v>
      </c>
      <c r="E150" s="22" t="str">
        <f>IFERROR(VLOOKUP(D150,'Employee Numbers'!$A$3:$B$84,2,FALSE),"NOT FOUND")</f>
        <v>NOT FOUND</v>
      </c>
      <c r="F150" s="38"/>
      <c r="G150" s="31"/>
      <c r="H150" s="31" t="str">
        <f t="shared" si="32"/>
        <v>trg_2.5_0900</v>
      </c>
      <c r="I150" s="38"/>
      <c r="J150" s="38"/>
      <c r="K150" s="38"/>
      <c r="L150" s="38"/>
      <c r="M150" s="35" t="s">
        <v>168</v>
      </c>
    </row>
    <row r="151" spans="1:18" ht="15" customHeight="1">
      <c r="A151" s="2" t="s">
        <v>166</v>
      </c>
      <c r="B151" s="2"/>
      <c r="C151" s="21"/>
      <c r="D151" s="84">
        <f t="shared" si="30"/>
        <v>0</v>
      </c>
      <c r="E151" s="22" t="str">
        <f>IFERROR(VLOOKUP(D151,'Employee Numbers'!$A$3:$B$84,2,FALSE),"NOT FOUND")</f>
        <v>NOT FOUND</v>
      </c>
      <c r="F151" s="38"/>
      <c r="G151" s="31"/>
      <c r="H151" s="31" t="str">
        <f t="shared" si="32"/>
        <v>trg_2.5_0900</v>
      </c>
      <c r="I151" s="38"/>
      <c r="J151" s="38"/>
      <c r="K151" s="38"/>
      <c r="L151" s="38"/>
      <c r="M151" s="35" t="s">
        <v>168</v>
      </c>
    </row>
    <row r="152" spans="1:18" s="2" customFormat="1" ht="13.5" customHeight="1" thickBot="1">
      <c r="A152" s="174" t="s">
        <v>96</v>
      </c>
      <c r="B152" s="50"/>
      <c r="C152" s="51"/>
      <c r="D152" s="175" t="s">
        <v>97</v>
      </c>
      <c r="E152" s="105" t="s">
        <v>4</v>
      </c>
      <c r="F152" s="105" t="s">
        <v>5</v>
      </c>
      <c r="G152" s="105" t="s">
        <v>6</v>
      </c>
      <c r="H152" s="106" t="s">
        <v>7</v>
      </c>
      <c r="I152" s="105" t="s">
        <v>8</v>
      </c>
      <c r="J152" s="105" t="s">
        <v>9</v>
      </c>
      <c r="K152" s="105" t="s">
        <v>10</v>
      </c>
      <c r="L152" s="105" t="s">
        <v>11</v>
      </c>
      <c r="N152"/>
      <c r="O152"/>
      <c r="Q152"/>
    </row>
    <row r="153" spans="1:18" s="2" customFormat="1" ht="15" customHeight="1" thickBot="1">
      <c r="A153" s="2" t="s">
        <v>169</v>
      </c>
      <c r="B153" s="5"/>
      <c r="C153" s="8"/>
      <c r="D153" s="84" t="str">
        <f>D61</f>
        <v>Mark Lim</v>
      </c>
      <c r="E153" s="22">
        <f>IFERROR(VLOOKUP(D153,'Employee Numbers'!$A$3:$B$84,2,FALSE),"NOT FOUND")</f>
        <v>638531</v>
      </c>
      <c r="F153" s="31" t="str">
        <f t="shared" ref="F153:G168" si="33">IF(COUNTIF(F61,"*on*call*"),"oncall 2300-0830","")</f>
        <v/>
      </c>
      <c r="G153" s="31" t="str">
        <f t="shared" si="33"/>
        <v/>
      </c>
      <c r="H153" s="37" t="s">
        <v>170</v>
      </c>
      <c r="I153" s="31" t="str">
        <f t="shared" ref="I153:L168" si="34">IF(COUNTIF(I61,"*on*call*"),"oncall 2300-0830","")</f>
        <v/>
      </c>
      <c r="J153" s="31" t="str">
        <f t="shared" si="34"/>
        <v/>
      </c>
      <c r="K153" s="31" t="str">
        <f t="shared" si="34"/>
        <v/>
      </c>
      <c r="L153" s="31" t="str">
        <f t="shared" si="34"/>
        <v/>
      </c>
      <c r="M153" s="35" t="s">
        <v>168</v>
      </c>
      <c r="N153" s="5"/>
      <c r="O153" s="5"/>
      <c r="P153" s="5"/>
      <c r="Q153" s="5"/>
      <c r="R153" s="5"/>
    </row>
    <row r="154" spans="1:18" ht="15" customHeight="1" thickBot="1">
      <c r="A154" s="2" t="s">
        <v>169</v>
      </c>
      <c r="B154" s="2"/>
      <c r="C154" s="47"/>
      <c r="D154" s="84" t="str">
        <f t="shared" ref="D154:D176" si="35">D62</f>
        <v xml:space="preserve">Melanie Engel </v>
      </c>
      <c r="E154" s="22">
        <f>IFERROR(VLOOKUP(D154,'Employee Numbers'!$A$3:$B$84,2,FALSE),"NOT FOUND")</f>
        <v>631715</v>
      </c>
      <c r="F154" s="31" t="str">
        <f t="shared" si="33"/>
        <v/>
      </c>
      <c r="G154" s="31" t="str">
        <f t="shared" si="33"/>
        <v/>
      </c>
      <c r="H154" s="37" t="s">
        <v>170</v>
      </c>
      <c r="I154" s="31" t="str">
        <f t="shared" si="34"/>
        <v/>
      </c>
      <c r="J154" s="31" t="str">
        <f t="shared" si="34"/>
        <v/>
      </c>
      <c r="K154" s="31" t="str">
        <f t="shared" si="34"/>
        <v/>
      </c>
      <c r="L154" s="31" t="str">
        <f t="shared" si="34"/>
        <v/>
      </c>
      <c r="M154" s="35" t="s">
        <v>168</v>
      </c>
      <c r="N154" s="2"/>
      <c r="O154" s="2"/>
      <c r="P154" s="2"/>
      <c r="Q154" s="2"/>
      <c r="R154" s="2"/>
    </row>
    <row r="155" spans="1:18" ht="15" customHeight="1" thickBot="1">
      <c r="A155" s="2" t="s">
        <v>169</v>
      </c>
      <c r="B155" s="2"/>
      <c r="C155" s="47"/>
      <c r="D155" s="84" t="str">
        <f t="shared" si="35"/>
        <v>Marian Isaac  (0.75)</v>
      </c>
      <c r="E155" s="22">
        <f>IFERROR(VLOOKUP(D155,'Employee Numbers'!$A$3:$B$84,2,FALSE),"NOT FOUND")</f>
        <v>703719</v>
      </c>
      <c r="F155" s="31" t="str">
        <f t="shared" si="33"/>
        <v/>
      </c>
      <c r="G155" s="31" t="str">
        <f t="shared" si="33"/>
        <v/>
      </c>
      <c r="H155" s="31" t="s">
        <v>167</v>
      </c>
      <c r="I155" s="31" t="str">
        <f t="shared" si="34"/>
        <v/>
      </c>
      <c r="J155" s="31" t="str">
        <f t="shared" si="34"/>
        <v/>
      </c>
      <c r="K155" s="31" t="str">
        <f t="shared" si="34"/>
        <v/>
      </c>
      <c r="L155" s="31" t="str">
        <f t="shared" si="34"/>
        <v/>
      </c>
      <c r="M155" s="35" t="s">
        <v>168</v>
      </c>
    </row>
    <row r="156" spans="1:18" ht="15" customHeight="1" thickBot="1">
      <c r="A156" s="2" t="s">
        <v>169</v>
      </c>
      <c r="B156" s="2"/>
      <c r="C156" s="47"/>
      <c r="D156" s="84" t="str">
        <f t="shared" si="35"/>
        <v xml:space="preserve">Jonathan Wong (0.75) </v>
      </c>
      <c r="E156" s="22">
        <f>IFERROR(VLOOKUP(D156,'Employee Numbers'!$A$3:$B$84,2,FALSE),"NOT FOUND")</f>
        <v>637791</v>
      </c>
      <c r="F156" s="31" t="str">
        <f t="shared" si="33"/>
        <v/>
      </c>
      <c r="G156" s="31" t="str">
        <f t="shared" si="33"/>
        <v/>
      </c>
      <c r="H156" s="31"/>
      <c r="I156" s="31" t="str">
        <f t="shared" si="34"/>
        <v/>
      </c>
      <c r="J156" s="31" t="str">
        <f t="shared" si="34"/>
        <v/>
      </c>
      <c r="K156" s="31" t="str">
        <f t="shared" si="34"/>
        <v/>
      </c>
      <c r="L156" s="31" t="str">
        <f t="shared" si="34"/>
        <v/>
      </c>
      <c r="M156" s="35" t="s">
        <v>168</v>
      </c>
    </row>
    <row r="157" spans="1:18" ht="15" customHeight="1" thickBot="1">
      <c r="A157" s="2" t="s">
        <v>169</v>
      </c>
      <c r="B157" s="2"/>
      <c r="C157" s="47"/>
      <c r="D157" s="84" t="str">
        <f t="shared" si="35"/>
        <v xml:space="preserve">Joshua Feek </v>
      </c>
      <c r="E157" s="22">
        <f>IFERROR(VLOOKUP(D157,'Employee Numbers'!$A$3:$B$84,2,FALSE),"NOT FOUND")</f>
        <v>652867</v>
      </c>
      <c r="F157" s="31" t="str">
        <f t="shared" si="33"/>
        <v/>
      </c>
      <c r="G157" s="31" t="str">
        <f t="shared" si="33"/>
        <v/>
      </c>
      <c r="H157" s="37"/>
      <c r="I157" s="31" t="str">
        <f t="shared" si="34"/>
        <v/>
      </c>
      <c r="J157" s="31" t="str">
        <f t="shared" si="34"/>
        <v/>
      </c>
      <c r="K157" s="31" t="str">
        <f t="shared" si="34"/>
        <v/>
      </c>
      <c r="L157" s="31" t="str">
        <f t="shared" si="34"/>
        <v/>
      </c>
      <c r="M157" s="35" t="s">
        <v>168</v>
      </c>
    </row>
    <row r="158" spans="1:18" ht="15" customHeight="1" thickBot="1">
      <c r="A158" s="2" t="s">
        <v>169</v>
      </c>
      <c r="B158" s="2"/>
      <c r="C158" s="47"/>
      <c r="D158" s="84" t="str">
        <f t="shared" si="35"/>
        <v xml:space="preserve">Andrea Lim (0.5) </v>
      </c>
      <c r="E158" s="22">
        <f>IFERROR(VLOOKUP(D158,'Employee Numbers'!$A$3:$B$84,2,FALSE),"NOT FOUND")</f>
        <v>611551</v>
      </c>
      <c r="F158" s="31" t="str">
        <f t="shared" si="33"/>
        <v/>
      </c>
      <c r="G158" s="31" t="str">
        <f t="shared" si="33"/>
        <v/>
      </c>
      <c r="H158" s="31" t="str">
        <f t="shared" ref="H158:H159" si="36">IF(COUNTIF(H66,"0800-1730*"),"trg_2.5_1730","trg_2.5_0900")</f>
        <v>trg_2.5_0900</v>
      </c>
      <c r="I158" s="31" t="str">
        <f t="shared" si="34"/>
        <v/>
      </c>
      <c r="J158" s="31" t="str">
        <f t="shared" si="34"/>
        <v/>
      </c>
      <c r="K158" s="31" t="str">
        <f t="shared" si="34"/>
        <v/>
      </c>
      <c r="L158" s="31" t="str">
        <f t="shared" si="34"/>
        <v/>
      </c>
      <c r="M158" s="35" t="s">
        <v>168</v>
      </c>
      <c r="N158" s="13"/>
      <c r="O158" s="13"/>
      <c r="P158" s="13"/>
      <c r="Q158" s="13"/>
      <c r="R158" s="13"/>
    </row>
    <row r="159" spans="1:18" ht="15" customHeight="1" thickBot="1">
      <c r="A159" s="2" t="s">
        <v>169</v>
      </c>
      <c r="B159" s="2"/>
      <c r="C159" s="47"/>
      <c r="D159" s="84" t="str">
        <f t="shared" si="35"/>
        <v>Jessica Burgess (0.5)</v>
      </c>
      <c r="E159" s="22">
        <f>IFERROR(VLOOKUP(D159,'Employee Numbers'!$A$3:$B$84,2,FALSE),"NOT FOUND")</f>
        <v>615820</v>
      </c>
      <c r="F159" s="31" t="str">
        <f t="shared" si="33"/>
        <v/>
      </c>
      <c r="G159" s="31" t="str">
        <f t="shared" si="33"/>
        <v/>
      </c>
      <c r="H159" s="31" t="str">
        <f t="shared" si="36"/>
        <v>trg_2.5_0900</v>
      </c>
      <c r="I159" s="31" t="str">
        <f t="shared" si="34"/>
        <v/>
      </c>
      <c r="J159" s="31" t="str">
        <f t="shared" si="34"/>
        <v/>
      </c>
      <c r="K159" s="31" t="str">
        <f t="shared" si="34"/>
        <v/>
      </c>
      <c r="L159" s="31" t="str">
        <f t="shared" si="34"/>
        <v/>
      </c>
      <c r="M159" s="35" t="s">
        <v>168</v>
      </c>
      <c r="N159" s="13"/>
      <c r="O159" s="13"/>
      <c r="P159" s="13"/>
      <c r="Q159" s="13"/>
      <c r="R159" s="13"/>
    </row>
    <row r="160" spans="1:18" ht="15" customHeight="1" thickBot="1">
      <c r="A160" s="2" t="s">
        <v>169</v>
      </c>
      <c r="B160" s="2"/>
      <c r="C160" s="47"/>
      <c r="D160" s="84" t="str">
        <f t="shared" si="35"/>
        <v>Elisha Gallivan</v>
      </c>
      <c r="E160" s="22">
        <f>IFERROR(VLOOKUP(D160,'Employee Numbers'!$A$3:$B$84,2,FALSE),"NOT FOUND")</f>
        <v>654727</v>
      </c>
      <c r="F160" s="31" t="str">
        <f t="shared" si="33"/>
        <v/>
      </c>
      <c r="G160" s="31" t="str">
        <f t="shared" si="33"/>
        <v/>
      </c>
      <c r="H160" s="37" t="s">
        <v>170</v>
      </c>
      <c r="I160" s="31" t="str">
        <f t="shared" si="34"/>
        <v/>
      </c>
      <c r="J160" s="31" t="str">
        <f t="shared" si="34"/>
        <v/>
      </c>
      <c r="K160" s="31" t="str">
        <f t="shared" si="34"/>
        <v/>
      </c>
      <c r="L160" s="31" t="str">
        <f t="shared" si="34"/>
        <v/>
      </c>
      <c r="M160" s="35" t="s">
        <v>168</v>
      </c>
    </row>
    <row r="161" spans="1:18" ht="15" customHeight="1" thickBot="1">
      <c r="A161" s="2" t="s">
        <v>169</v>
      </c>
      <c r="B161" s="2"/>
      <c r="C161" s="47"/>
      <c r="D161" s="84" t="str">
        <f t="shared" si="35"/>
        <v>Leila Dosso</v>
      </c>
      <c r="E161" s="22">
        <f>IFERROR(VLOOKUP(D161,'Employee Numbers'!$A$3:$B$84,2,FALSE),"NOT FOUND")</f>
        <v>702947</v>
      </c>
      <c r="F161" s="31" t="str">
        <f t="shared" si="33"/>
        <v/>
      </c>
      <c r="G161" s="31" t="str">
        <f t="shared" si="33"/>
        <v/>
      </c>
      <c r="H161" s="37" t="s">
        <v>170</v>
      </c>
      <c r="I161" s="31" t="str">
        <f t="shared" si="34"/>
        <v/>
      </c>
      <c r="J161" s="31" t="str">
        <f t="shared" si="34"/>
        <v/>
      </c>
      <c r="K161" s="31" t="str">
        <f t="shared" si="34"/>
        <v/>
      </c>
      <c r="L161" s="31" t="str">
        <f t="shared" si="34"/>
        <v/>
      </c>
      <c r="M161" s="35" t="s">
        <v>168</v>
      </c>
    </row>
    <row r="162" spans="1:18" s="13" customFormat="1" ht="15" customHeight="1" thickBot="1">
      <c r="A162" s="2" t="s">
        <v>169</v>
      </c>
      <c r="B162" s="2"/>
      <c r="C162" s="21"/>
      <c r="D162" s="84" t="str">
        <f t="shared" si="35"/>
        <v xml:space="preserve">Efi Tsampou </v>
      </c>
      <c r="E162" s="22">
        <f>IFERROR(VLOOKUP(D162,'Employee Numbers'!$A$3:$B$84,2,FALSE),"NOT FOUND")</f>
        <v>654002</v>
      </c>
      <c r="F162" s="31" t="str">
        <f t="shared" si="33"/>
        <v/>
      </c>
      <c r="G162" s="31" t="str">
        <f t="shared" si="33"/>
        <v/>
      </c>
      <c r="H162" s="37" t="s">
        <v>170</v>
      </c>
      <c r="I162" s="31" t="str">
        <f t="shared" si="34"/>
        <v/>
      </c>
      <c r="J162" s="31" t="str">
        <f t="shared" si="34"/>
        <v/>
      </c>
      <c r="K162" s="31" t="str">
        <f t="shared" si="34"/>
        <v/>
      </c>
      <c r="L162" s="31" t="str">
        <f t="shared" si="34"/>
        <v/>
      </c>
      <c r="M162" s="35" t="s">
        <v>168</v>
      </c>
      <c r="N162" s="5"/>
      <c r="O162" s="5"/>
      <c r="P162" s="5"/>
      <c r="Q162" s="5"/>
      <c r="R162" s="5"/>
    </row>
    <row r="163" spans="1:18" ht="15" customHeight="1" thickBot="1">
      <c r="A163" s="2" t="s">
        <v>169</v>
      </c>
      <c r="B163" s="2"/>
      <c r="C163" s="21"/>
      <c r="D163" s="84" t="str">
        <f t="shared" si="35"/>
        <v>Marian Panlilio</v>
      </c>
      <c r="E163" s="22">
        <f>IFERROR(VLOOKUP(D163,'Employee Numbers'!$A$3:$B$84,2,FALSE),"NOT FOUND")</f>
        <v>703068</v>
      </c>
      <c r="F163" s="31" t="str">
        <f t="shared" si="33"/>
        <v/>
      </c>
      <c r="G163" s="31" t="str">
        <f t="shared" si="33"/>
        <v/>
      </c>
      <c r="H163" s="37" t="s">
        <v>170</v>
      </c>
      <c r="I163" s="31" t="str">
        <f t="shared" si="34"/>
        <v/>
      </c>
      <c r="J163" s="31" t="str">
        <f t="shared" si="34"/>
        <v/>
      </c>
      <c r="K163" s="31" t="str">
        <f t="shared" si="34"/>
        <v/>
      </c>
      <c r="L163" s="31" t="str">
        <f t="shared" si="34"/>
        <v/>
      </c>
      <c r="M163" s="35" t="s">
        <v>168</v>
      </c>
    </row>
    <row r="164" spans="1:18" ht="15" customHeight="1" thickBot="1">
      <c r="A164" s="2" t="s">
        <v>169</v>
      </c>
      <c r="B164" s="2"/>
      <c r="C164" s="21"/>
      <c r="D164" s="84" t="str">
        <f t="shared" si="35"/>
        <v>Takhfif Othman</v>
      </c>
      <c r="E164" s="22">
        <f>IFERROR(VLOOKUP(D164,'Employee Numbers'!$A$3:$B$84,2,FALSE),"NOT FOUND")</f>
        <v>703911</v>
      </c>
      <c r="F164" s="31" t="str">
        <f t="shared" si="33"/>
        <v/>
      </c>
      <c r="G164" s="31" t="str">
        <f t="shared" si="33"/>
        <v/>
      </c>
      <c r="H164" s="37" t="s">
        <v>170</v>
      </c>
      <c r="I164" s="31" t="str">
        <f t="shared" si="34"/>
        <v/>
      </c>
      <c r="J164" s="31" t="str">
        <f t="shared" si="34"/>
        <v/>
      </c>
      <c r="K164" s="31" t="str">
        <f t="shared" si="34"/>
        <v/>
      </c>
      <c r="L164" s="31" t="str">
        <f t="shared" si="34"/>
        <v/>
      </c>
      <c r="M164" s="35" t="s">
        <v>168</v>
      </c>
    </row>
    <row r="165" spans="1:18" ht="15" customHeight="1" thickBot="1">
      <c r="A165" s="2" t="s">
        <v>169</v>
      </c>
      <c r="B165" s="2"/>
      <c r="C165" s="21"/>
      <c r="D165" s="84" t="str">
        <f t="shared" si="35"/>
        <v xml:space="preserve">Toby Obrien </v>
      </c>
      <c r="E165" s="22">
        <f>IFERROR(VLOOKUP(D165,'Employee Numbers'!$A$3:$B$84,2,FALSE),"NOT FOUND")</f>
        <v>633936</v>
      </c>
      <c r="F165" s="31" t="str">
        <f t="shared" si="33"/>
        <v/>
      </c>
      <c r="G165" s="31" t="str">
        <f t="shared" si="33"/>
        <v/>
      </c>
      <c r="H165" s="37" t="s">
        <v>170</v>
      </c>
      <c r="I165" s="31" t="str">
        <f t="shared" si="34"/>
        <v/>
      </c>
      <c r="J165" s="31" t="str">
        <f t="shared" si="34"/>
        <v/>
      </c>
      <c r="K165" s="31" t="str">
        <f t="shared" si="34"/>
        <v/>
      </c>
      <c r="L165" s="31" t="str">
        <f t="shared" si="34"/>
        <v/>
      </c>
      <c r="M165" s="35" t="s">
        <v>168</v>
      </c>
    </row>
    <row r="166" spans="1:18" ht="15" customHeight="1" thickBot="1">
      <c r="A166" s="2" t="s">
        <v>169</v>
      </c>
      <c r="B166" s="2"/>
      <c r="C166" s="21"/>
      <c r="D166" s="84" t="str">
        <f t="shared" si="35"/>
        <v>William Jiang</v>
      </c>
      <c r="E166" s="22">
        <f>IFERROR(VLOOKUP(D166,'Employee Numbers'!$A$3:$B$84,2,FALSE),"NOT FOUND")</f>
        <v>700755</v>
      </c>
      <c r="F166" s="31" t="str">
        <f t="shared" si="33"/>
        <v/>
      </c>
      <c r="G166" s="31" t="str">
        <f t="shared" si="33"/>
        <v/>
      </c>
      <c r="H166" s="37" t="s">
        <v>170</v>
      </c>
      <c r="I166" s="31" t="str">
        <f t="shared" si="34"/>
        <v/>
      </c>
      <c r="J166" s="31" t="str">
        <f t="shared" si="34"/>
        <v/>
      </c>
      <c r="K166" s="31" t="str">
        <f t="shared" si="34"/>
        <v/>
      </c>
      <c r="L166" s="31" t="str">
        <f t="shared" si="34"/>
        <v/>
      </c>
      <c r="M166" s="35" t="s">
        <v>168</v>
      </c>
    </row>
    <row r="167" spans="1:18" ht="15" customHeight="1" thickBot="1">
      <c r="A167" s="2" t="s">
        <v>169</v>
      </c>
      <c r="B167" s="2"/>
      <c r="C167" s="21"/>
      <c r="D167" s="84" t="str">
        <f t="shared" si="35"/>
        <v>Pam Nelson</v>
      </c>
      <c r="E167" s="22">
        <f>IFERROR(VLOOKUP(D167,'Employee Numbers'!$A$3:$B$84,2,FALSE),"NOT FOUND")</f>
        <v>704872</v>
      </c>
      <c r="F167" s="31" t="str">
        <f t="shared" si="33"/>
        <v/>
      </c>
      <c r="G167" s="31" t="str">
        <f t="shared" si="33"/>
        <v/>
      </c>
      <c r="H167" s="37" t="s">
        <v>170</v>
      </c>
      <c r="I167" s="31" t="str">
        <f t="shared" si="34"/>
        <v/>
      </c>
      <c r="J167" s="31" t="str">
        <f t="shared" si="34"/>
        <v/>
      </c>
      <c r="K167" s="31" t="str">
        <f t="shared" si="34"/>
        <v/>
      </c>
      <c r="L167" s="31" t="str">
        <f t="shared" si="34"/>
        <v/>
      </c>
      <c r="M167" s="35" t="s">
        <v>168</v>
      </c>
    </row>
    <row r="168" spans="1:18" ht="15" customHeight="1" thickBot="1">
      <c r="A168" s="2" t="s">
        <v>169</v>
      </c>
      <c r="B168" s="2"/>
      <c r="C168" s="21"/>
      <c r="D168" s="84" t="str">
        <f t="shared" si="35"/>
        <v xml:space="preserve">Phoebe Franich </v>
      </c>
      <c r="E168" s="22">
        <f>IFERROR(VLOOKUP(D168,'Employee Numbers'!$A$3:$B$84,2,FALSE),"NOT FOUND")</f>
        <v>700712</v>
      </c>
      <c r="F168" s="31" t="str">
        <f t="shared" si="33"/>
        <v/>
      </c>
      <c r="G168" s="31" t="str">
        <f t="shared" si="33"/>
        <v/>
      </c>
      <c r="H168" s="37" t="s">
        <v>170</v>
      </c>
      <c r="I168" s="31" t="str">
        <f t="shared" si="34"/>
        <v/>
      </c>
      <c r="J168" s="31" t="str">
        <f t="shared" si="34"/>
        <v/>
      </c>
      <c r="K168" s="31" t="str">
        <f t="shared" si="34"/>
        <v/>
      </c>
      <c r="L168" s="31" t="str">
        <f t="shared" si="34"/>
        <v/>
      </c>
      <c r="M168" s="35" t="s">
        <v>168</v>
      </c>
    </row>
    <row r="169" spans="1:18" ht="15" customHeight="1" thickBot="1">
      <c r="A169" s="2" t="s">
        <v>169</v>
      </c>
      <c r="B169" s="2"/>
      <c r="C169" s="21"/>
      <c r="D169" s="84" t="str">
        <f t="shared" si="35"/>
        <v xml:space="preserve">Marie Papadopulos </v>
      </c>
      <c r="E169" s="22">
        <f>IFERROR(VLOOKUP(D169,'Employee Numbers'!$A$3:$B$84,2,FALSE),"NOT FOUND")</f>
        <v>700818</v>
      </c>
      <c r="F169" s="31" t="str">
        <f t="shared" ref="F169:G176" si="37">IF(COUNTIF(F77,"*on*call*"),"oncall 2300-0830","")</f>
        <v/>
      </c>
      <c r="G169" s="31" t="str">
        <f t="shared" si="37"/>
        <v/>
      </c>
      <c r="H169" s="37" t="s">
        <v>170</v>
      </c>
      <c r="I169" s="31" t="str">
        <f t="shared" ref="I169:L176" si="38">IF(COUNTIF(I77,"*on*call*"),"oncall 2300-0830","")</f>
        <v/>
      </c>
      <c r="J169" s="31" t="str">
        <f t="shared" si="38"/>
        <v/>
      </c>
      <c r="K169" s="31" t="str">
        <f t="shared" si="38"/>
        <v/>
      </c>
      <c r="L169" s="31" t="str">
        <f t="shared" si="38"/>
        <v/>
      </c>
      <c r="M169" s="35" t="s">
        <v>168</v>
      </c>
    </row>
    <row r="170" spans="1:18" ht="15" customHeight="1" thickBot="1">
      <c r="A170" s="2" t="s">
        <v>169</v>
      </c>
      <c r="B170" s="2"/>
      <c r="C170" s="21"/>
      <c r="D170" s="84" t="str">
        <f t="shared" si="35"/>
        <v>Stormie de Groot (0.5)</v>
      </c>
      <c r="E170" s="22">
        <f>IFERROR(VLOOKUP(D170,'Employee Numbers'!$A$3:$B$84,2,FALSE),"NOT FOUND")</f>
        <v>650101</v>
      </c>
      <c r="F170" s="31" t="str">
        <f t="shared" si="37"/>
        <v/>
      </c>
      <c r="G170" s="31" t="str">
        <f t="shared" si="37"/>
        <v/>
      </c>
      <c r="H170" s="31" t="str">
        <f t="shared" ref="H170" si="39">IF(COUNTIF(H78,"0800-1730*"),"trg_2.5_1730","trg_2.5_0900")</f>
        <v>trg_2.5_0900</v>
      </c>
      <c r="I170" s="31" t="str">
        <f t="shared" si="38"/>
        <v/>
      </c>
      <c r="J170" s="31" t="str">
        <f t="shared" si="38"/>
        <v/>
      </c>
      <c r="K170" s="31" t="str">
        <f t="shared" si="38"/>
        <v/>
      </c>
      <c r="L170" s="31" t="str">
        <f t="shared" si="38"/>
        <v/>
      </c>
      <c r="M170" s="35" t="s">
        <v>168</v>
      </c>
    </row>
    <row r="171" spans="1:18" ht="15" customHeight="1" thickBot="1">
      <c r="A171" s="2" t="s">
        <v>169</v>
      </c>
      <c r="B171" s="2"/>
      <c r="C171" s="21"/>
      <c r="D171" s="84" t="str">
        <f t="shared" si="35"/>
        <v xml:space="preserve">Joanne Eaton </v>
      </c>
      <c r="E171" s="22">
        <f>IFERROR(VLOOKUP(D171,'Employee Numbers'!$A$3:$B$84,2,FALSE),"NOT FOUND")</f>
        <v>654888</v>
      </c>
      <c r="F171" s="31" t="str">
        <f t="shared" si="37"/>
        <v/>
      </c>
      <c r="G171" s="31" t="str">
        <f t="shared" si="37"/>
        <v/>
      </c>
      <c r="H171" s="37" t="s">
        <v>170</v>
      </c>
      <c r="I171" s="31" t="str">
        <f t="shared" si="38"/>
        <v/>
      </c>
      <c r="J171" s="31" t="str">
        <f t="shared" si="38"/>
        <v/>
      </c>
      <c r="K171" s="31" t="str">
        <f t="shared" si="38"/>
        <v/>
      </c>
      <c r="L171" s="31" t="str">
        <f t="shared" si="38"/>
        <v/>
      </c>
      <c r="M171" s="35" t="s">
        <v>168</v>
      </c>
    </row>
    <row r="172" spans="1:18" ht="15" customHeight="1" thickBot="1">
      <c r="A172" s="2" t="s">
        <v>169</v>
      </c>
      <c r="B172" s="2"/>
      <c r="C172" s="21"/>
      <c r="D172" s="84" t="str">
        <f t="shared" si="35"/>
        <v xml:space="preserve">Helena Li </v>
      </c>
      <c r="E172" s="22">
        <f>IFERROR(VLOOKUP(D172,'Employee Numbers'!$A$3:$B$84,2,FALSE),"NOT FOUND")</f>
        <v>703880</v>
      </c>
      <c r="F172" s="31" t="str">
        <f t="shared" si="37"/>
        <v/>
      </c>
      <c r="G172" s="31" t="str">
        <f t="shared" si="37"/>
        <v/>
      </c>
      <c r="H172" s="37" t="s">
        <v>170</v>
      </c>
      <c r="I172" s="31" t="str">
        <f t="shared" si="38"/>
        <v/>
      </c>
      <c r="J172" s="31" t="str">
        <f t="shared" si="38"/>
        <v/>
      </c>
      <c r="K172" s="31" t="str">
        <f t="shared" si="38"/>
        <v/>
      </c>
      <c r="L172" s="31" t="str">
        <f t="shared" si="38"/>
        <v/>
      </c>
      <c r="M172" s="35" t="s">
        <v>168</v>
      </c>
    </row>
    <row r="173" spans="1:18" ht="15" customHeight="1" thickBot="1">
      <c r="A173" s="2" t="s">
        <v>169</v>
      </c>
      <c r="B173" s="2"/>
      <c r="C173" s="21"/>
      <c r="D173" s="84" t="str">
        <f t="shared" si="35"/>
        <v xml:space="preserve">Mustafa Ozkul </v>
      </c>
      <c r="E173" s="22">
        <f>IFERROR(VLOOKUP(D173,'Employee Numbers'!$A$3:$B$84,2,FALSE),"NOT FOUND")</f>
        <v>703334</v>
      </c>
      <c r="F173" s="31" t="str">
        <f t="shared" si="37"/>
        <v/>
      </c>
      <c r="G173" s="31" t="str">
        <f t="shared" si="37"/>
        <v/>
      </c>
      <c r="H173" s="37" t="s">
        <v>170</v>
      </c>
      <c r="I173" s="31" t="str">
        <f t="shared" si="38"/>
        <v/>
      </c>
      <c r="J173" s="31" t="str">
        <f t="shared" si="38"/>
        <v/>
      </c>
      <c r="K173" s="31" t="str">
        <f t="shared" si="38"/>
        <v/>
      </c>
      <c r="L173" s="31" t="str">
        <f t="shared" si="38"/>
        <v/>
      </c>
      <c r="M173" s="35" t="s">
        <v>168</v>
      </c>
    </row>
    <row r="174" spans="1:18" ht="15" customHeight="1" thickBot="1">
      <c r="A174" s="2" t="s">
        <v>169</v>
      </c>
      <c r="B174" s="2"/>
      <c r="C174" s="21"/>
      <c r="D174" s="84" t="str">
        <f t="shared" si="35"/>
        <v>Ritu Chaurasia (0.75)</v>
      </c>
      <c r="E174" s="22">
        <f>IFERROR(VLOOKUP(D174,'Employee Numbers'!$A$3:$B$84,2,FALSE),"NOT FOUND")</f>
        <v>700538</v>
      </c>
      <c r="F174" s="31" t="str">
        <f t="shared" si="37"/>
        <v/>
      </c>
      <c r="G174" s="31" t="str">
        <f t="shared" si="37"/>
        <v/>
      </c>
      <c r="H174" s="31" t="s">
        <v>167</v>
      </c>
      <c r="I174" s="31" t="str">
        <f t="shared" si="38"/>
        <v/>
      </c>
      <c r="J174" s="31" t="str">
        <f t="shared" si="38"/>
        <v/>
      </c>
      <c r="K174" s="31" t="str">
        <f t="shared" si="38"/>
        <v/>
      </c>
      <c r="L174" s="31" t="str">
        <f t="shared" si="38"/>
        <v/>
      </c>
      <c r="M174" s="35" t="s">
        <v>168</v>
      </c>
    </row>
    <row r="175" spans="1:18" ht="15" customHeight="1" thickBot="1">
      <c r="A175" s="2" t="s">
        <v>169</v>
      </c>
      <c r="B175" s="2"/>
      <c r="C175" s="21"/>
      <c r="D175" s="84" t="str">
        <f t="shared" si="35"/>
        <v>Jamie Nicholls (0.5)</v>
      </c>
      <c r="E175" s="22">
        <f>IFERROR(VLOOKUP(D175,'Employee Numbers'!$A$3:$B$84,2,FALSE),"NOT FOUND")</f>
        <v>704862</v>
      </c>
      <c r="F175" s="31" t="str">
        <f t="shared" si="37"/>
        <v/>
      </c>
      <c r="G175" s="31" t="str">
        <f t="shared" si="37"/>
        <v/>
      </c>
      <c r="H175" s="31" t="str">
        <f t="shared" ref="H175" si="40">IF(COUNTIF(H83,"0800-1730*"),"trg_2.5_1730","trg_2.5_0900")</f>
        <v>trg_2.5_0900</v>
      </c>
      <c r="I175" s="31" t="str">
        <f t="shared" si="38"/>
        <v/>
      </c>
      <c r="J175" s="31" t="str">
        <f t="shared" si="38"/>
        <v/>
      </c>
      <c r="K175" s="31" t="str">
        <f t="shared" si="38"/>
        <v/>
      </c>
      <c r="L175" s="31" t="str">
        <f t="shared" si="38"/>
        <v/>
      </c>
      <c r="M175" s="35" t="s">
        <v>168</v>
      </c>
    </row>
    <row r="176" spans="1:18" ht="15" customHeight="1">
      <c r="A176" s="2" t="s">
        <v>169</v>
      </c>
      <c r="B176" s="2"/>
      <c r="C176" s="21"/>
      <c r="D176" s="84">
        <f t="shared" si="35"/>
        <v>0</v>
      </c>
      <c r="E176" s="22" t="str">
        <f>IFERROR(VLOOKUP(D176,'Employee Numbers'!$A$3:$B$84,2,FALSE),"NOT FOUND")</f>
        <v>NOT FOUND</v>
      </c>
      <c r="F176" s="31" t="str">
        <f t="shared" si="37"/>
        <v/>
      </c>
      <c r="G176" s="31" t="str">
        <f t="shared" si="37"/>
        <v/>
      </c>
      <c r="H176" s="37" t="s">
        <v>170</v>
      </c>
      <c r="I176" s="31" t="str">
        <f t="shared" si="38"/>
        <v/>
      </c>
      <c r="J176" s="31" t="str">
        <f t="shared" si="38"/>
        <v/>
      </c>
      <c r="K176" s="31" t="str">
        <f t="shared" si="38"/>
        <v/>
      </c>
      <c r="L176" s="31" t="str">
        <f t="shared" si="38"/>
        <v/>
      </c>
      <c r="M176" s="35" t="s">
        <v>168</v>
      </c>
    </row>
  </sheetData>
  <mergeCells count="1">
    <mergeCell ref="D4:L4"/>
  </mergeCells>
  <phoneticPr fontId="18" type="noConversion"/>
  <conditionalFormatting sqref="E21:E49">
    <cfRule type="containsText" dxfId="719" priority="1" operator="containsText" text="NOT FOUND">
      <formula>NOT(ISERROR(SEARCH("NOT FOUND",E21)))</formula>
    </cfRule>
    <cfRule type="cellIs" dxfId="718" priority="2" operator="equal">
      <formula>0</formula>
    </cfRule>
  </conditionalFormatting>
  <conditionalFormatting sqref="E54:E59">
    <cfRule type="cellIs" dxfId="717" priority="49" operator="equal">
      <formula>0</formula>
    </cfRule>
    <cfRule type="containsText" dxfId="716" priority="48" operator="containsText" text="NOT FOUND">
      <formula>NOT(ISERROR(SEARCH("NOT FOUND",E54)))</formula>
    </cfRule>
  </conditionalFormatting>
  <conditionalFormatting sqref="E61:E84">
    <cfRule type="cellIs" dxfId="715" priority="43" operator="equal">
      <formula>0</formula>
    </cfRule>
    <cfRule type="containsText" dxfId="714" priority="42" operator="containsText" text="NOT FOUND">
      <formula>NOT(ISERROR(SEARCH("NOT FOUND",E61)))</formula>
    </cfRule>
  </conditionalFormatting>
  <conditionalFormatting sqref="E86:E99">
    <cfRule type="cellIs" dxfId="713" priority="41" operator="equal">
      <formula>0</formula>
    </cfRule>
    <cfRule type="containsText" dxfId="712" priority="40" operator="containsText" text="NOT FOUND">
      <formula>NOT(ISERROR(SEARCH("NOT FOUND",E86)))</formula>
    </cfRule>
  </conditionalFormatting>
  <conditionalFormatting sqref="E101:E102">
    <cfRule type="containsText" dxfId="711" priority="46" operator="containsText" text="NOT FOUND">
      <formula>NOT(ISERROR(SEARCH("NOT FOUND",E101)))</formula>
    </cfRule>
    <cfRule type="cellIs" dxfId="710" priority="47" operator="equal">
      <formula>0</formula>
    </cfRule>
  </conditionalFormatting>
  <conditionalFormatting sqref="E115:E143">
    <cfRule type="containsText" dxfId="709" priority="44" operator="containsText" text="NOT FOUND">
      <formula>NOT(ISERROR(SEARCH("NOT FOUND",E115)))</formula>
    </cfRule>
    <cfRule type="cellIs" dxfId="708" priority="45" operator="equal">
      <formula>0</formula>
    </cfRule>
  </conditionalFormatting>
  <conditionalFormatting sqref="E146:E151">
    <cfRule type="containsText" dxfId="707" priority="5" operator="containsText" text="NOT FOUND">
      <formula>NOT(ISERROR(SEARCH("NOT FOUND",E146)))</formula>
    </cfRule>
    <cfRule type="cellIs" dxfId="706" priority="6" operator="equal">
      <formula>0</formula>
    </cfRule>
  </conditionalFormatting>
  <conditionalFormatting sqref="E153:E176">
    <cfRule type="containsText" dxfId="705" priority="3" operator="containsText" text="NOT FOUND">
      <formula>NOT(ISERROR(SEARCH("NOT FOUND",E153)))</formula>
    </cfRule>
    <cfRule type="cellIs" dxfId="704" priority="4" operator="equal">
      <formula>0</formula>
    </cfRule>
  </conditionalFormatting>
  <conditionalFormatting sqref="F6:L6">
    <cfRule type="cellIs" dxfId="703" priority="33" operator="lessThan">
      <formula>2</formula>
    </cfRule>
    <cfRule type="cellIs" dxfId="702" priority="20" operator="greaterThan">
      <formula>3</formula>
    </cfRule>
  </conditionalFormatting>
  <conditionalFormatting sqref="F7:L7">
    <cfRule type="cellIs" dxfId="701" priority="32" operator="lessThan">
      <formula>2</formula>
    </cfRule>
  </conditionalFormatting>
  <conditionalFormatting sqref="F8:L8">
    <cfRule type="cellIs" dxfId="700" priority="39" operator="between">
      <formula>6</formula>
      <formula>8</formula>
    </cfRule>
    <cfRule type="cellIs" dxfId="699" priority="38" operator="lessThan">
      <formula>5</formula>
    </cfRule>
    <cfRule type="cellIs" dxfId="698" priority="19" operator="greaterThan">
      <formula>8</formula>
    </cfRule>
    <cfRule type="cellIs" dxfId="697" priority="24" operator="equal">
      <formula>5</formula>
    </cfRule>
  </conditionalFormatting>
  <conditionalFormatting sqref="F10:L11">
    <cfRule type="cellIs" dxfId="696" priority="35" operator="greaterThan">
      <formula>1</formula>
    </cfRule>
    <cfRule type="cellIs" dxfId="695" priority="23" operator="equal">
      <formula>1</formula>
    </cfRule>
  </conditionalFormatting>
  <conditionalFormatting sqref="F12:L12 F6:L7">
    <cfRule type="cellIs" dxfId="694" priority="34" operator="between">
      <formula>2</formula>
      <formula>3</formula>
    </cfRule>
  </conditionalFormatting>
  <conditionalFormatting sqref="F12:L12">
    <cfRule type="cellIs" dxfId="693" priority="21" operator="greaterThan">
      <formula>2</formula>
    </cfRule>
    <cfRule type="cellIs" dxfId="692" priority="27" operator="lessThan">
      <formula>2</formula>
    </cfRule>
  </conditionalFormatting>
  <conditionalFormatting sqref="F13:L13">
    <cfRule type="cellIs" dxfId="691" priority="31" operator="lessThan">
      <formula>6</formula>
    </cfRule>
    <cfRule type="cellIs" dxfId="690" priority="28" operator="greaterThanOrEqual">
      <formula>6</formula>
    </cfRule>
  </conditionalFormatting>
  <conditionalFormatting sqref="F14:L14">
    <cfRule type="cellIs" dxfId="689" priority="25" operator="lessThan">
      <formula>9</formula>
    </cfRule>
    <cfRule type="cellIs" dxfId="688" priority="36" operator="between">
      <formula>10</formula>
      <formula>11</formula>
    </cfRule>
    <cfRule type="cellIs" dxfId="687" priority="26" operator="equal">
      <formula>9</formula>
    </cfRule>
    <cfRule type="cellIs" dxfId="686" priority="37" operator="greaterThan">
      <formula>11</formula>
    </cfRule>
  </conditionalFormatting>
  <conditionalFormatting sqref="F16:L16">
    <cfRule type="cellIs" dxfId="685" priority="22" operator="greaterThan">
      <formula>4</formula>
    </cfRule>
    <cfRule type="cellIs" dxfId="684" priority="29" operator="equal">
      <formula>4</formula>
    </cfRule>
    <cfRule type="cellIs" dxfId="683" priority="30" operator="lessThan">
      <formula>4</formula>
    </cfRule>
  </conditionalFormatting>
  <conditionalFormatting sqref="R21:R47">
    <cfRule type="cellIs" dxfId="682" priority="16" operator="equal">
      <formula>S21</formula>
    </cfRule>
    <cfRule type="cellIs" dxfId="681" priority="15" operator="notEqual">
      <formula>S21</formula>
    </cfRule>
  </conditionalFormatting>
  <conditionalFormatting sqref="R54:R59 R61:R84">
    <cfRule type="cellIs" dxfId="680" priority="18" operator="equal">
      <formula>(N54+P54)*9.5/38*5</formula>
    </cfRule>
    <cfRule type="cellIs" dxfId="679" priority="17" operator="notEqual">
      <formula>(N54+P54)*9.5/38*5</formula>
    </cfRule>
  </conditionalFormatting>
  <conditionalFormatting sqref="S54:S59">
    <cfRule type="cellIs" dxfId="678" priority="14" operator="equal">
      <formula>T54</formula>
    </cfRule>
    <cfRule type="cellIs" dxfId="677" priority="13" operator="notEqual">
      <formula>T54</formula>
    </cfRule>
  </conditionalFormatting>
  <conditionalFormatting sqref="S61:S84">
    <cfRule type="cellIs" dxfId="676" priority="12" operator="equal">
      <formula>T61</formula>
    </cfRule>
    <cfRule type="cellIs" dxfId="675" priority="11" operator="notEqual">
      <formula>T61</formula>
    </cfRule>
  </conditionalFormatting>
  <conditionalFormatting sqref="S86:S99">
    <cfRule type="cellIs" dxfId="674" priority="10" operator="equal">
      <formula>T86</formula>
    </cfRule>
    <cfRule type="cellIs" dxfId="673" priority="9" operator="notEqual">
      <formula>T86</formula>
    </cfRule>
  </conditionalFormatting>
  <conditionalFormatting sqref="S101:S102">
    <cfRule type="cellIs" dxfId="672" priority="7" operator="notEqual">
      <formula>T101</formula>
    </cfRule>
    <cfRule type="cellIs" dxfId="671" priority="8" operator="equal">
      <formula>T101</formula>
    </cfRule>
  </conditionalFormatting>
  <pageMargins left="0.70866141732283472" right="0.70866141732283472" top="0.15748031496062992" bottom="0.15748031496062992" header="0" footer="0"/>
  <pageSetup paperSize="9" scale="49" fitToWidth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Y176"/>
  <sheetViews>
    <sheetView topLeftCell="D1" workbookViewId="0">
      <selection activeCell="D97" sqref="D97"/>
    </sheetView>
  </sheetViews>
  <sheetFormatPr defaultColWidth="31.28515625" defaultRowHeight="15" customHeight="1"/>
  <cols>
    <col min="1" max="1" width="15.140625" style="5" customWidth="1"/>
    <col min="2" max="2" width="10.42578125" style="5" customWidth="1"/>
    <col min="3" max="3" width="6" style="8" customWidth="1"/>
    <col min="4" max="4" width="26.7109375" style="5" bestFit="1" customWidth="1"/>
    <col min="5" max="5" width="8.42578125" style="8" customWidth="1"/>
    <col min="6" max="7" width="15.85546875" style="5" customWidth="1"/>
    <col min="8" max="8" width="20" style="5" customWidth="1"/>
    <col min="9" max="12" width="15.85546875" style="5" customWidth="1"/>
    <col min="13" max="13" width="31.28515625" style="5"/>
    <col min="14" max="14" width="7.85546875" style="5" customWidth="1"/>
    <col min="15" max="15" width="14.42578125" style="5" customWidth="1"/>
    <col min="16" max="16" width="8.42578125" style="5" customWidth="1"/>
    <col min="17" max="17" width="8.7109375" style="5" customWidth="1"/>
    <col min="18" max="18" width="12.7109375" style="5" customWidth="1"/>
    <col min="19" max="19" width="14.7109375" style="5" bestFit="1" customWidth="1"/>
    <col min="20" max="20" width="14.140625" style="5" bestFit="1" customWidth="1"/>
    <col min="21" max="25" width="7.140625" style="5" customWidth="1"/>
    <col min="26" max="16384" width="31.28515625" style="5"/>
  </cols>
  <sheetData>
    <row r="1" spans="1:13" s="2" customFormat="1" ht="15" customHeight="1">
      <c r="A1" s="34" t="s">
        <v>0</v>
      </c>
      <c r="B1" s="103" t="s">
        <v>1</v>
      </c>
      <c r="C1" s="104" t="s">
        <v>2</v>
      </c>
      <c r="D1" s="104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 t="s">
        <v>8</v>
      </c>
      <c r="J1" s="47" t="s">
        <v>9</v>
      </c>
      <c r="K1" s="47" t="s">
        <v>10</v>
      </c>
      <c r="L1" s="47" t="s">
        <v>11</v>
      </c>
      <c r="M1" s="103" t="s">
        <v>12</v>
      </c>
    </row>
    <row r="2" spans="1:13" s="2" customFormat="1" ht="15" customHeight="1">
      <c r="A2" s="13" t="s">
        <v>13</v>
      </c>
      <c r="B2" s="112"/>
      <c r="C2" s="21"/>
      <c r="E2" s="21"/>
      <c r="F2" s="94">
        <f>'Week 5'!F2+7</f>
        <v>46181</v>
      </c>
      <c r="G2" s="95">
        <f>F2+1</f>
        <v>46182</v>
      </c>
      <c r="H2" s="95">
        <f t="shared" ref="H2:L2" si="0">G2+1</f>
        <v>46183</v>
      </c>
      <c r="I2" s="95">
        <f t="shared" si="0"/>
        <v>46184</v>
      </c>
      <c r="J2" s="95">
        <f t="shared" si="0"/>
        <v>46185</v>
      </c>
      <c r="K2" s="95">
        <f t="shared" si="0"/>
        <v>46186</v>
      </c>
      <c r="L2" s="95">
        <f t="shared" si="0"/>
        <v>46187</v>
      </c>
    </row>
    <row r="3" spans="1:13" s="2" customFormat="1" ht="15" customHeight="1">
      <c r="A3" s="13" t="s">
        <v>14</v>
      </c>
      <c r="B3" s="112">
        <f>1+(F2-'Week 1'!F2)/7</f>
        <v>6</v>
      </c>
      <c r="E3" s="21"/>
      <c r="F3" s="94"/>
      <c r="G3" s="95"/>
      <c r="H3" s="95"/>
      <c r="I3" s="95"/>
      <c r="J3" s="95"/>
      <c r="K3" s="95"/>
      <c r="L3" s="95"/>
    </row>
    <row r="4" spans="1:13" ht="22.5" customHeight="1">
      <c r="A4" s="13" t="s">
        <v>15</v>
      </c>
      <c r="B4" s="2"/>
      <c r="C4" s="21">
        <f ca="1">IF(INDIRECT("'Week "&amp;(B3-1)&amp;"'!C4")=1,2,IF(INDIRECT("'Week "&amp;(B3-1)&amp;"'!C4")=2,1,_xludf.NA))</f>
        <v>2</v>
      </c>
      <c r="D4" s="359" t="str">
        <f>'Week 1'!D4:L4</f>
        <v>PAEDIATRIC EMERGENCY DEPARTMENT ROSTER - Term 2 2026</v>
      </c>
      <c r="E4" s="360"/>
      <c r="F4" s="360"/>
      <c r="G4" s="360"/>
      <c r="H4" s="360"/>
      <c r="I4" s="360"/>
      <c r="J4" s="360"/>
      <c r="K4" s="360"/>
      <c r="L4" s="360"/>
    </row>
    <row r="5" spans="1:13" s="2" customFormat="1" ht="15" customHeight="1" thickBot="1">
      <c r="A5" s="13"/>
      <c r="C5" s="21"/>
      <c r="E5" s="21"/>
      <c r="F5" s="94"/>
      <c r="G5" s="95"/>
      <c r="H5" s="95"/>
      <c r="I5" s="95"/>
      <c r="J5" s="95"/>
      <c r="K5" s="95"/>
      <c r="L5" s="95"/>
    </row>
    <row r="6" spans="1:13" s="2" customFormat="1" ht="15" customHeight="1">
      <c r="A6" s="13"/>
      <c r="C6" s="21"/>
      <c r="D6" s="96" t="s">
        <v>17</v>
      </c>
      <c r="E6" s="97"/>
      <c r="F6" s="101">
        <f>COUNTIF(F$21:F$49,"0800-1???")-COUNTIFS(F$48,"0800-1???",$D$48,"Locum")-COUNTIFS(F$49,"0800-1???",$D$49,"Locum")</f>
        <v>3</v>
      </c>
      <c r="G6" s="101">
        <f t="shared" ref="G6:L6" si="1">COUNTIF(G$21:G$49,"0800-1???")-COUNTIFS(G$48,"0800-1???",$D$48,"Locum")-COUNTIFS(G$49,"0800-1???",$D$49,"Locum")</f>
        <v>3</v>
      </c>
      <c r="H6" s="101">
        <f t="shared" si="1"/>
        <v>3</v>
      </c>
      <c r="I6" s="101">
        <f t="shared" si="1"/>
        <v>3</v>
      </c>
      <c r="J6" s="101">
        <f t="shared" si="1"/>
        <v>3</v>
      </c>
      <c r="K6" s="101">
        <f t="shared" si="1"/>
        <v>2</v>
      </c>
      <c r="L6" s="101">
        <f t="shared" si="1"/>
        <v>2</v>
      </c>
    </row>
    <row r="7" spans="1:13" s="2" customFormat="1" ht="15" customHeight="1" thickBot="1">
      <c r="A7" s="13"/>
      <c r="C7" s="21"/>
      <c r="D7" s="68" t="s">
        <v>18</v>
      </c>
      <c r="E7" s="67"/>
      <c r="F7" s="109">
        <f t="shared" ref="F7:L7" si="2">COUNTIF(F$54:F$102,"0800-1???")</f>
        <v>4</v>
      </c>
      <c r="G7" s="109">
        <f t="shared" si="2"/>
        <v>5</v>
      </c>
      <c r="H7" s="109">
        <f t="shared" si="2"/>
        <v>3</v>
      </c>
      <c r="I7" s="109">
        <f t="shared" si="2"/>
        <v>4</v>
      </c>
      <c r="J7" s="109">
        <f t="shared" si="2"/>
        <v>5</v>
      </c>
      <c r="K7" s="109">
        <f t="shared" si="2"/>
        <v>5</v>
      </c>
      <c r="L7" s="157">
        <f t="shared" si="2"/>
        <v>5</v>
      </c>
    </row>
    <row r="8" spans="1:13" s="2" customFormat="1" ht="15" customHeight="1" thickBot="1">
      <c r="A8" s="13"/>
      <c r="C8" s="21"/>
      <c r="D8" s="98" t="s">
        <v>19</v>
      </c>
      <c r="E8" s="99"/>
      <c r="F8" s="108">
        <f>F6+F7</f>
        <v>7</v>
      </c>
      <c r="G8" s="108">
        <f t="shared" ref="G8:L8" si="3">G6+G7</f>
        <v>8</v>
      </c>
      <c r="H8" s="108">
        <f t="shared" si="3"/>
        <v>6</v>
      </c>
      <c r="I8" s="108">
        <f t="shared" si="3"/>
        <v>7</v>
      </c>
      <c r="J8" s="108">
        <f t="shared" si="3"/>
        <v>8</v>
      </c>
      <c r="K8" s="108">
        <f t="shared" si="3"/>
        <v>7</v>
      </c>
      <c r="L8" s="158">
        <f t="shared" si="3"/>
        <v>7</v>
      </c>
    </row>
    <row r="9" spans="1:13" s="2" customFormat="1" ht="15" customHeight="1" thickBot="1">
      <c r="A9" s="13"/>
      <c r="C9" s="21"/>
      <c r="E9" s="21"/>
      <c r="F9" s="21"/>
      <c r="G9" s="21"/>
      <c r="H9" s="21"/>
      <c r="I9" s="21"/>
      <c r="J9" s="21"/>
      <c r="K9" s="21"/>
      <c r="L9" s="21"/>
    </row>
    <row r="10" spans="1:13" s="2" customFormat="1" ht="15" customHeight="1">
      <c r="A10" s="13"/>
      <c r="C10" s="21"/>
      <c r="D10" s="96" t="s">
        <v>20</v>
      </c>
      <c r="E10" s="97"/>
      <c r="F10" s="101">
        <f>COUNTIF(F$21:F$49,"1100-????")-COUNTIFS(F$48,"1100-????",$D$48,"Locum")-COUNTIFS(F$49,"1100-????",$D$49,"Locum")</f>
        <v>0</v>
      </c>
      <c r="G10" s="101">
        <f t="shared" ref="G10:L10" si="4">COUNTIF(G$21:G$49,"1100-????")-COUNTIFS(G$48,"1100-????",$D$48,"Locum")-COUNTIFS(G$49,"1100-????",$D$49,"Locum")</f>
        <v>0</v>
      </c>
      <c r="H10" s="101">
        <f t="shared" si="4"/>
        <v>0</v>
      </c>
      <c r="I10" s="101">
        <f t="shared" si="4"/>
        <v>0</v>
      </c>
      <c r="J10" s="101">
        <f t="shared" si="4"/>
        <v>0</v>
      </c>
      <c r="K10" s="101">
        <f t="shared" si="4"/>
        <v>0</v>
      </c>
      <c r="L10" s="101">
        <f t="shared" si="4"/>
        <v>0</v>
      </c>
    </row>
    <row r="11" spans="1:13" s="2" customFormat="1" ht="15" customHeight="1">
      <c r="A11" s="13"/>
      <c r="C11" s="21"/>
      <c r="D11" s="68" t="s">
        <v>21</v>
      </c>
      <c r="E11" s="67"/>
      <c r="F11" s="161">
        <f>COUNTIF(F$54:F$102,"1100-????")</f>
        <v>0</v>
      </c>
      <c r="G11" s="161">
        <f t="shared" ref="G11:L11" si="5">COUNTIF(G$54:G$102,"1100-????")</f>
        <v>0</v>
      </c>
      <c r="H11" s="161">
        <f t="shared" si="5"/>
        <v>1</v>
      </c>
      <c r="I11" s="161">
        <f t="shared" si="5"/>
        <v>2</v>
      </c>
      <c r="J11" s="161">
        <f t="shared" si="5"/>
        <v>0</v>
      </c>
      <c r="K11" s="161">
        <f t="shared" si="5"/>
        <v>0</v>
      </c>
      <c r="L11" s="161">
        <f t="shared" si="5"/>
        <v>0</v>
      </c>
    </row>
    <row r="12" spans="1:13" s="2" customFormat="1" ht="15" customHeight="1">
      <c r="A12" s="13"/>
      <c r="C12" s="21"/>
      <c r="D12" s="68" t="s">
        <v>22</v>
      </c>
      <c r="E12" s="67"/>
      <c r="F12" s="102">
        <f>COUNTIF(F$21:F$49,"1???-00?0")-COUNTIFS(F$48,"1???-00?0",$D$48,"Locum")-COUNTIFS(F$49,"1???-00?0",$D$49,"Locum")</f>
        <v>3</v>
      </c>
      <c r="G12" s="102">
        <f t="shared" ref="G12:L12" si="6">COUNTIF(G$21:G$49,"1???-00?0")-COUNTIFS(G$48,"1???-00?0",$D$48,"Locum")-COUNTIFS(G$49,"1???-00?0",$D$49,"Locum")</f>
        <v>2</v>
      </c>
      <c r="H12" s="102">
        <f t="shared" si="6"/>
        <v>2</v>
      </c>
      <c r="I12" s="102">
        <f t="shared" si="6"/>
        <v>2</v>
      </c>
      <c r="J12" s="102">
        <f t="shared" si="6"/>
        <v>2</v>
      </c>
      <c r="K12" s="102">
        <f t="shared" si="6"/>
        <v>2</v>
      </c>
      <c r="L12" s="102">
        <f t="shared" si="6"/>
        <v>2</v>
      </c>
    </row>
    <row r="13" spans="1:13" s="2" customFormat="1" ht="15" customHeight="1" thickBot="1">
      <c r="A13" s="13"/>
      <c r="C13" s="21"/>
      <c r="D13" s="68" t="s">
        <v>23</v>
      </c>
      <c r="E13" s="67"/>
      <c r="F13" s="109">
        <f>COUNTIF(F$54:F$102,"1???-0000*")</f>
        <v>11</v>
      </c>
      <c r="G13" s="109">
        <f t="shared" ref="G13:L13" si="7">COUNTIF(G$54:G$102,"1???-0000*")</f>
        <v>7</v>
      </c>
      <c r="H13" s="109">
        <f t="shared" si="7"/>
        <v>8</v>
      </c>
      <c r="I13" s="109">
        <f t="shared" si="7"/>
        <v>8</v>
      </c>
      <c r="J13" s="109">
        <f t="shared" si="7"/>
        <v>9</v>
      </c>
      <c r="K13" s="109">
        <f t="shared" si="7"/>
        <v>9</v>
      </c>
      <c r="L13" s="157">
        <f t="shared" si="7"/>
        <v>9</v>
      </c>
    </row>
    <row r="14" spans="1:13" s="2" customFormat="1" ht="15" customHeight="1" thickBot="1">
      <c r="A14" s="13"/>
      <c r="C14" s="21"/>
      <c r="D14" s="98" t="s">
        <v>24</v>
      </c>
      <c r="E14" s="99"/>
      <c r="F14" s="108">
        <f>F12+F13</f>
        <v>14</v>
      </c>
      <c r="G14" s="108">
        <f t="shared" ref="G14:L14" si="8">G12+G13</f>
        <v>9</v>
      </c>
      <c r="H14" s="108">
        <f t="shared" si="8"/>
        <v>10</v>
      </c>
      <c r="I14" s="108">
        <f t="shared" si="8"/>
        <v>10</v>
      </c>
      <c r="J14" s="108">
        <f t="shared" si="8"/>
        <v>11</v>
      </c>
      <c r="K14" s="108">
        <f t="shared" si="8"/>
        <v>11</v>
      </c>
      <c r="L14" s="158">
        <f t="shared" si="8"/>
        <v>11</v>
      </c>
    </row>
    <row r="15" spans="1:13" s="2" customFormat="1" ht="15" customHeight="1" thickBot="1">
      <c r="A15" s="13"/>
      <c r="C15" s="21"/>
      <c r="E15" s="21"/>
      <c r="F15" s="21"/>
      <c r="G15" s="21"/>
      <c r="H15" s="21"/>
      <c r="I15" s="21"/>
      <c r="J15" s="21"/>
      <c r="K15" s="21"/>
      <c r="L15" s="21"/>
    </row>
    <row r="16" spans="1:13" s="2" customFormat="1" ht="15" customHeight="1" thickBot="1">
      <c r="A16" s="13"/>
      <c r="C16" s="21"/>
      <c r="D16" s="100" t="s">
        <v>25</v>
      </c>
      <c r="E16" s="72"/>
      <c r="F16" s="66">
        <f t="shared" ref="F16:L16" si="9">COUNTIF(F$54:F$99,"2300-0830")</f>
        <v>5</v>
      </c>
      <c r="G16" s="66">
        <f t="shared" si="9"/>
        <v>5</v>
      </c>
      <c r="H16" s="66">
        <f t="shared" si="9"/>
        <v>5</v>
      </c>
      <c r="I16" s="66">
        <f t="shared" si="9"/>
        <v>4</v>
      </c>
      <c r="J16" s="66">
        <f t="shared" si="9"/>
        <v>4</v>
      </c>
      <c r="K16" s="66">
        <f t="shared" si="9"/>
        <v>4</v>
      </c>
      <c r="L16" s="159">
        <f t="shared" si="9"/>
        <v>4</v>
      </c>
    </row>
    <row r="17" spans="1:25" s="2" customFormat="1" ht="15" customHeight="1" thickBot="1">
      <c r="A17" s="13"/>
      <c r="C17" s="21"/>
      <c r="E17" s="21"/>
      <c r="F17" s="21"/>
      <c r="G17" s="21"/>
      <c r="H17" s="21"/>
      <c r="I17" s="21"/>
      <c r="J17" s="21"/>
      <c r="K17" s="21"/>
      <c r="L17" s="21"/>
    </row>
    <row r="18" spans="1:25" s="2" customFormat="1" ht="15" customHeight="1" thickBot="1">
      <c r="A18" s="13"/>
      <c r="C18" s="21"/>
      <c r="D18" s="61" t="s">
        <v>26</v>
      </c>
      <c r="E18" s="62" t="s">
        <v>4</v>
      </c>
      <c r="F18" s="62" t="s">
        <v>5</v>
      </c>
      <c r="G18" s="62" t="s">
        <v>6</v>
      </c>
      <c r="H18" s="62" t="s">
        <v>7</v>
      </c>
      <c r="I18" s="62" t="s">
        <v>8</v>
      </c>
      <c r="J18" s="62" t="s">
        <v>9</v>
      </c>
      <c r="K18" s="62" t="s">
        <v>10</v>
      </c>
      <c r="L18" s="63" t="s">
        <v>11</v>
      </c>
      <c r="N18" s="145" t="s">
        <v>27</v>
      </c>
      <c r="O18" s="145" t="s">
        <v>28</v>
      </c>
      <c r="P18" s="136" t="s">
        <v>29</v>
      </c>
      <c r="R18" s="146" t="s">
        <v>30</v>
      </c>
      <c r="S18" s="145" t="s">
        <v>31</v>
      </c>
    </row>
    <row r="19" spans="1:25" s="2" customFormat="1" ht="15" customHeight="1" thickBot="1">
      <c r="A19" s="13"/>
      <c r="C19" s="21"/>
      <c r="D19" s="93"/>
      <c r="E19" s="91"/>
      <c r="F19" s="92">
        <f>F2</f>
        <v>46181</v>
      </c>
      <c r="G19" s="64">
        <f t="shared" ref="G19:L19" si="10">F19+1</f>
        <v>46182</v>
      </c>
      <c r="H19" s="64">
        <f t="shared" si="10"/>
        <v>46183</v>
      </c>
      <c r="I19" s="64">
        <f t="shared" si="10"/>
        <v>46184</v>
      </c>
      <c r="J19" s="64">
        <f t="shared" si="10"/>
        <v>46185</v>
      </c>
      <c r="K19" s="64">
        <f t="shared" si="10"/>
        <v>46186</v>
      </c>
      <c r="L19" s="65">
        <f t="shared" si="10"/>
        <v>46187</v>
      </c>
      <c r="N19" s="147" t="s">
        <v>32</v>
      </c>
      <c r="O19" s="21" t="s">
        <v>32</v>
      </c>
      <c r="P19" s="148"/>
      <c r="R19" s="149" t="s">
        <v>32</v>
      </c>
      <c r="S19" s="147" t="s">
        <v>32</v>
      </c>
      <c r="U19" s="2" t="s">
        <v>33</v>
      </c>
      <c r="V19" s="142" t="s">
        <v>34</v>
      </c>
      <c r="W19" s="2" t="s">
        <v>35</v>
      </c>
      <c r="X19" s="2" t="s">
        <v>36</v>
      </c>
      <c r="Y19" s="2" t="s">
        <v>37</v>
      </c>
    </row>
    <row r="20" spans="1:25" s="2" customFormat="1" ht="15.75" customHeight="1" thickBot="1">
      <c r="A20" s="114" t="s">
        <v>38</v>
      </c>
      <c r="B20" s="115"/>
      <c r="C20" s="116"/>
      <c r="D20" s="117" t="s">
        <v>38</v>
      </c>
      <c r="E20" s="155"/>
      <c r="F20" s="118"/>
      <c r="G20" s="119"/>
      <c r="H20" s="119"/>
      <c r="I20" s="119"/>
      <c r="J20" s="119"/>
      <c r="K20" s="119"/>
      <c r="L20" s="120"/>
      <c r="N20" s="160"/>
      <c r="O20" s="160"/>
      <c r="P20" s="150"/>
      <c r="R20" s="151"/>
      <c r="S20" s="160"/>
      <c r="T20" s="160"/>
      <c r="U20" s="160"/>
      <c r="V20" s="142"/>
    </row>
    <row r="21" spans="1:25" s="2" customFormat="1" ht="15" customHeight="1">
      <c r="A21" s="162" t="s">
        <v>39</v>
      </c>
      <c r="B21" s="162"/>
      <c r="C21" s="164"/>
      <c r="D21" s="234" t="s">
        <v>40</v>
      </c>
      <c r="E21" s="165">
        <f>IFERROR(VLOOKUP(D21,'Employee Numbers'!$A$3:$B$84,2,FALSE),"NOT FOUND")</f>
        <v>287628</v>
      </c>
      <c r="F21" s="235" t="s">
        <v>179</v>
      </c>
      <c r="G21" s="236" t="s">
        <v>41</v>
      </c>
      <c r="H21" s="236" t="s">
        <v>41</v>
      </c>
      <c r="I21" s="236" t="s">
        <v>41</v>
      </c>
      <c r="J21" s="236"/>
      <c r="K21" s="236" t="s">
        <v>44</v>
      </c>
      <c r="L21" s="237"/>
      <c r="N21">
        <f t="array" ref="N21">((SUM(IFERROR((TEXT(IF(ISNUMBER(SEARCH("-", F21:L21)), MID(F21:L21, SEARCH("-", F21:L21) + 1, 4), ""), "00\:00") - TEXT(IF(ISNUMBER(SEARCH("-", F21:L21)), MID(F21:L21, SEARCH("-", F21:L21) - 4, 4), ""), "00\:00") + IF(TEXT(IF(ISNUMBER(SEARCH("-", F21:L21)), MID(F21:L21, SEARCH("-", F21:L21) + 1, 4), ""), "00\:00") &lt; TEXT(IF(ISNUMBER(SEARCH("-", F21:L21)), MID(F21:L21, SEARCH("-", F21:L21) - 4, 4), ""), "00\:00"), 1, 0))*24,""))))/9.5</f>
        <v>5</v>
      </c>
      <c r="O21"/>
      <c r="P21" s="151">
        <f>N21+O21</f>
        <v>5</v>
      </c>
      <c r="R21" s="4">
        <f ca="1">IF($C$4=1,SUM(P21+INDIRECT("'Week "&amp;($B$3+1)&amp;"'!P"&amp;(ROW()))),IF($C$4=2,SUM(P21+INDIRECT("'Week "&amp;($B$3-1)&amp;"'!P"&amp;(ROW())))))</f>
        <v>10</v>
      </c>
      <c r="S21" s="2">
        <f>(IFERROR(VLOOKUP(D21,'Employee Numbers'!$A$3:$C$84,3,FALSE),"NOT FOUND"))*8</f>
        <v>8</v>
      </c>
      <c r="U21" s="142">
        <f>COUNTIF(E21:K21,"0800-1730")</f>
        <v>1</v>
      </c>
      <c r="V21" s="142">
        <f>COUNTIF(F21:L21,"1???-00?0")</f>
        <v>0</v>
      </c>
      <c r="W21" s="2">
        <f>COUNTIF(F21:L21,"*0800-1730*CS*")+COUNTIF(F21:L21,"*0800-1730*DEMT*")</f>
        <v>3</v>
      </c>
      <c r="Y21" s="2">
        <f>COUNTIF(K21:L21,"???0-*")</f>
        <v>1</v>
      </c>
    </row>
    <row r="22" spans="1:25" s="2" customFormat="1" ht="15" customHeight="1">
      <c r="A22" s="2" t="s">
        <v>39</v>
      </c>
      <c r="B22" s="46"/>
      <c r="C22" s="21"/>
      <c r="D22" s="227" t="s">
        <v>43</v>
      </c>
      <c r="E22" s="226">
        <f>IFERROR(VLOOKUP(D22,'Employee Numbers'!$A$3:$B$84,2,FALSE),"NOT FOUND")</f>
        <v>609660</v>
      </c>
      <c r="F22" s="29" t="s">
        <v>179</v>
      </c>
      <c r="G22" s="251" t="s">
        <v>69</v>
      </c>
      <c r="H22" s="251" t="s">
        <v>69</v>
      </c>
      <c r="I22" s="251" t="s">
        <v>69</v>
      </c>
      <c r="J22" s="31"/>
      <c r="K22" s="31"/>
      <c r="L22" s="228"/>
      <c r="N22">
        <f t="array" ref="N22">((SUM(IFERROR((TEXT(IF(ISNUMBER(SEARCH("-", F22:L22)), MID(F22:L22, SEARCH("-", F22:L22) + 1, 4), ""), "00\:00") - TEXT(IF(ISNUMBER(SEARCH("-", F22:L22)), MID(F22:L22, SEARCH("-", F22:L22) - 4, 4), ""), "00\:00") + IF(TEXT(IF(ISNUMBER(SEARCH("-", F22:L22)), MID(F22:L22, SEARCH("-", F22:L22) + 1, 4), ""), "00\:00") &lt; TEXT(IF(ISNUMBER(SEARCH("-", F22:L22)), MID(F22:L22, SEARCH("-", F22:L22) - 4, 4), ""), "00\:00"), 1, 0))*24,""))))/9.5</f>
        <v>1</v>
      </c>
      <c r="O22">
        <v>3</v>
      </c>
      <c r="P22" s="151">
        <f t="shared" ref="P22:P47" si="11">N22+O22</f>
        <v>4</v>
      </c>
      <c r="R22" s="4">
        <f t="shared" ref="R22:R47" ca="1" si="12">IF($C$4=1,SUM(P22+INDIRECT("'Week "&amp;($B$3+1)&amp;"'!P"&amp;(ROW()))),IF($C$4=2,SUM(P22+INDIRECT("'Week "&amp;($B$3-1)&amp;"'!P"&amp;(ROW())))))</f>
        <v>8</v>
      </c>
      <c r="S22" s="2">
        <f>(IFERROR(VLOOKUP(D22,'Employee Numbers'!$A$3:$C$84,3,FALSE),"NOT FOUND"))*8</f>
        <v>8</v>
      </c>
      <c r="U22" s="142">
        <f t="shared" ref="U22:U47" si="13">COUNTIF(E22:K22,"0800-1730")</f>
        <v>0</v>
      </c>
      <c r="V22" s="142">
        <f t="shared" ref="V22:V47" si="14">COUNTIF(F22:L22,"1???-00?0")</f>
        <v>0</v>
      </c>
      <c r="W22" s="2">
        <f t="shared" ref="W22:W47" si="15">COUNTIF(F22:L22,"*0800-1730*CS*")+COUNTIF(F22:L22,"*0800-1730*DEMT*")</f>
        <v>0</v>
      </c>
      <c r="Y22" s="2">
        <f t="shared" ref="Y22:Y47" si="16">COUNTIF(K22:L22,"???0-*")</f>
        <v>0</v>
      </c>
    </row>
    <row r="23" spans="1:25" s="2" customFormat="1" ht="15" customHeight="1">
      <c r="A23" s="162" t="s">
        <v>39</v>
      </c>
      <c r="B23" s="163"/>
      <c r="C23" s="238"/>
      <c r="D23" s="239" t="s">
        <v>45</v>
      </c>
      <c r="E23" s="165">
        <f>IFERROR(VLOOKUP(D23,'Employee Numbers'!$A$3:$B$84,2,FALSE),"NOT FOUND")</f>
        <v>610036</v>
      </c>
      <c r="F23" s="176" t="s">
        <v>179</v>
      </c>
      <c r="G23" s="166" t="s">
        <v>44</v>
      </c>
      <c r="H23" s="166" t="s">
        <v>42</v>
      </c>
      <c r="I23" s="166"/>
      <c r="J23" s="166" t="s">
        <v>44</v>
      </c>
      <c r="K23" s="166"/>
      <c r="L23" s="167"/>
      <c r="N23">
        <f t="array" ref="N23">((SUM(IFERROR((TEXT(IF(ISNUMBER(SEARCH("-", F23:L23)), MID(F23:L23, SEARCH("-", F23:L23) + 1, 4), ""), "00\:00") - TEXT(IF(ISNUMBER(SEARCH("-", F23:L23)), MID(F23:L23, SEARCH("-", F23:L23) - 4, 4), ""), "00\:00") + IF(TEXT(IF(ISNUMBER(SEARCH("-", F23:L23)), MID(F23:L23, SEARCH("-", F23:L23) + 1, 4), ""), "00\:00") &lt; TEXT(IF(ISNUMBER(SEARCH("-", F23:L23)), MID(F23:L23, SEARCH("-", F23:L23) - 4, 4), ""), "00\:00"), 1, 0))*24,""))))/9.5</f>
        <v>4</v>
      </c>
      <c r="O23"/>
      <c r="P23" s="151">
        <f t="shared" si="11"/>
        <v>4</v>
      </c>
      <c r="R23" s="4">
        <f t="shared" ca="1" si="12"/>
        <v>8</v>
      </c>
      <c r="S23" s="2">
        <f>(IFERROR(VLOOKUP(D23,'Employee Numbers'!$A$3:$C$84,3,FALSE),"NOT FOUND"))*8</f>
        <v>8</v>
      </c>
      <c r="U23" s="142">
        <f t="shared" si="13"/>
        <v>2</v>
      </c>
      <c r="V23" s="142">
        <f t="shared" si="14"/>
        <v>1</v>
      </c>
      <c r="W23" s="2">
        <f t="shared" si="15"/>
        <v>0</v>
      </c>
      <c r="Y23" s="2">
        <f t="shared" si="16"/>
        <v>0</v>
      </c>
    </row>
    <row r="24" spans="1:25" s="2" customFormat="1" ht="15" customHeight="1">
      <c r="A24" s="2" t="s">
        <v>39</v>
      </c>
      <c r="B24" s="46"/>
      <c r="C24" s="47"/>
      <c r="D24" s="227" t="s">
        <v>49</v>
      </c>
      <c r="E24" s="226">
        <f>IFERROR(VLOOKUP(D24,'Employee Numbers'!$A$3:$B$84,2,FALSE),"NOT FOUND")</f>
        <v>533509</v>
      </c>
      <c r="F24" s="29" t="s">
        <v>50</v>
      </c>
      <c r="G24" s="31" t="s">
        <v>50</v>
      </c>
      <c r="H24" s="31" t="s">
        <v>50</v>
      </c>
      <c r="I24" s="31" t="s">
        <v>50</v>
      </c>
      <c r="J24" s="31" t="s">
        <v>50</v>
      </c>
      <c r="K24" s="31" t="s">
        <v>50</v>
      </c>
      <c r="L24" s="228" t="s">
        <v>50</v>
      </c>
      <c r="N24">
        <f t="array" ref="N24">((SUM(IFERROR((TEXT(IF(ISNUMBER(SEARCH("-", F24:L24)), MID(F24:L24, SEARCH("-", F24:L24) + 1, 4), ""), "00\:00") - TEXT(IF(ISNUMBER(SEARCH("-", F24:L24)), MID(F24:L24, SEARCH("-", F24:L24) - 4, 4), ""), "00\:00") + IF(TEXT(IF(ISNUMBER(SEARCH("-", F24:L24)), MID(F24:L24, SEARCH("-", F24:L24) + 1, 4), ""), "00\:00") &lt; TEXT(IF(ISNUMBER(SEARCH("-", F24:L24)), MID(F24:L24, SEARCH("-", F24:L24) - 4, 4), ""), "00\:00"), 1, 0))*24,""))))/9.5</f>
        <v>0</v>
      </c>
      <c r="O24"/>
      <c r="P24" s="151">
        <f t="shared" si="11"/>
        <v>0</v>
      </c>
      <c r="R24" s="4">
        <f t="shared" ca="1" si="12"/>
        <v>0</v>
      </c>
      <c r="S24" s="2">
        <f>(IFERROR(VLOOKUP(D24,'Employee Numbers'!$A$3:$C$84,3,FALSE),"NOT FOUND"))*8</f>
        <v>0</v>
      </c>
      <c r="U24" s="142">
        <f t="shared" si="13"/>
        <v>0</v>
      </c>
      <c r="V24" s="142">
        <f t="shared" si="14"/>
        <v>0</v>
      </c>
      <c r="W24" s="2">
        <f t="shared" si="15"/>
        <v>0</v>
      </c>
      <c r="Y24" s="2">
        <f t="shared" si="16"/>
        <v>0</v>
      </c>
    </row>
    <row r="25" spans="1:25" s="2" customFormat="1" ht="15" customHeight="1">
      <c r="A25" s="162" t="s">
        <v>39</v>
      </c>
      <c r="B25" s="163"/>
      <c r="C25" s="238"/>
      <c r="D25" s="240" t="s">
        <v>51</v>
      </c>
      <c r="E25" s="165">
        <f>IFERROR(VLOOKUP(D25,'Employee Numbers'!$A$3:$B$84,2,FALSE),"NOT FOUND")</f>
        <v>625985</v>
      </c>
      <c r="F25" s="176" t="s">
        <v>54</v>
      </c>
      <c r="G25" s="166" t="s">
        <v>41</v>
      </c>
      <c r="H25" s="166" t="s">
        <v>44</v>
      </c>
      <c r="I25" s="166"/>
      <c r="J25" s="166" t="s">
        <v>44</v>
      </c>
      <c r="K25" s="246"/>
      <c r="L25" s="167"/>
      <c r="N25">
        <f t="array" ref="N25">((SUM(IFERROR((TEXT(IF(ISNUMBER(SEARCH("-", F25:L25)), MID(F25:L25, SEARCH("-", F25:L25) + 1, 4), ""), "00\:00") - TEXT(IF(ISNUMBER(SEARCH("-", F25:L25)), MID(F25:L25, SEARCH("-", F25:L25) - 4, 4), ""), "00\:00") + IF(TEXT(IF(ISNUMBER(SEARCH("-", F25:L25)), MID(F25:L25, SEARCH("-", F25:L25) + 1, 4), ""), "00\:00") &lt; TEXT(IF(ISNUMBER(SEARCH("-", F25:L25)), MID(F25:L25, SEARCH("-", F25:L25) - 4, 4), ""), "00\:00"), 1, 0))*24,""))))/9.5</f>
        <v>4</v>
      </c>
      <c r="O25"/>
      <c r="P25" s="151">
        <f t="shared" si="11"/>
        <v>4</v>
      </c>
      <c r="R25" s="4">
        <f t="shared" ca="1" si="12"/>
        <v>8</v>
      </c>
      <c r="S25" s="2">
        <f>(IFERROR(VLOOKUP(D25,'Employee Numbers'!$A$3:$C$84,3,FALSE),"NOT FOUND"))*8</f>
        <v>8</v>
      </c>
      <c r="U25" s="142">
        <f t="shared" si="13"/>
        <v>2</v>
      </c>
      <c r="V25" s="142">
        <f t="shared" si="14"/>
        <v>1</v>
      </c>
      <c r="W25" s="2">
        <f t="shared" si="15"/>
        <v>1</v>
      </c>
      <c r="Y25" s="2">
        <f t="shared" si="16"/>
        <v>0</v>
      </c>
    </row>
    <row r="26" spans="1:25" s="2" customFormat="1" ht="15" customHeight="1">
      <c r="A26" s="2" t="s">
        <v>39</v>
      </c>
      <c r="B26" s="46"/>
      <c r="C26" s="47"/>
      <c r="D26" s="227" t="s">
        <v>52</v>
      </c>
      <c r="E26" s="226">
        <f>IFERROR(VLOOKUP(D26,'Employee Numbers'!$A$3:$B$84,2,FALSE),"NOT FOUND")</f>
        <v>632301</v>
      </c>
      <c r="F26" s="29" t="s">
        <v>54</v>
      </c>
      <c r="G26" s="31" t="s">
        <v>63</v>
      </c>
      <c r="H26" s="31" t="s">
        <v>44</v>
      </c>
      <c r="I26" s="31" t="s">
        <v>44</v>
      </c>
      <c r="J26" s="31"/>
      <c r="K26" s="31"/>
      <c r="L26" s="228"/>
      <c r="M26" s="13"/>
      <c r="N26">
        <f t="array" ref="N26">((SUM(IFERROR((TEXT(IF(ISNUMBER(SEARCH("-", F26:L26)), MID(F26:L26, SEARCH("-", F26:L26) + 1, 4), ""), "00\:00") - TEXT(IF(ISNUMBER(SEARCH("-", F26:L26)), MID(F26:L26, SEARCH("-", F26:L26) - 4, 4), ""), "00\:00") + IF(TEXT(IF(ISNUMBER(SEARCH("-", F26:L26)), MID(F26:L26, SEARCH("-", F26:L26) + 1, 4), ""), "00\:00") &lt; TEXT(IF(ISNUMBER(SEARCH("-", F26:L26)), MID(F26:L26, SEARCH("-", F26:L26) - 4, 4), ""), "00\:00"), 1, 0))*24,""))))/9.5</f>
        <v>4</v>
      </c>
      <c r="O26"/>
      <c r="P26" s="151">
        <f t="shared" si="11"/>
        <v>4</v>
      </c>
      <c r="R26" s="4">
        <f t="shared" ca="1" si="12"/>
        <v>8</v>
      </c>
      <c r="S26" s="2">
        <f>(IFERROR(VLOOKUP(D26,'Employee Numbers'!$A$3:$C$84,3,FALSE),"NOT FOUND"))*8</f>
        <v>8</v>
      </c>
      <c r="U26" s="142">
        <f t="shared" si="13"/>
        <v>2</v>
      </c>
      <c r="V26" s="142">
        <f t="shared" si="14"/>
        <v>1</v>
      </c>
      <c r="W26" s="2">
        <f t="shared" si="15"/>
        <v>1</v>
      </c>
      <c r="Y26" s="2">
        <f t="shared" si="16"/>
        <v>0</v>
      </c>
    </row>
    <row r="27" spans="1:25" s="2" customFormat="1" ht="15" customHeight="1">
      <c r="A27" s="162" t="s">
        <v>39</v>
      </c>
      <c r="B27" s="163"/>
      <c r="C27" s="238"/>
      <c r="D27" s="240" t="s">
        <v>53</v>
      </c>
      <c r="E27" s="165">
        <f>IFERROR(VLOOKUP(D27,'Employee Numbers'!$A$3:$B$84,2,FALSE),"NOT FOUND")</f>
        <v>613891</v>
      </c>
      <c r="F27" s="176"/>
      <c r="G27" s="166" t="s">
        <v>42</v>
      </c>
      <c r="H27" s="166" t="s">
        <v>41</v>
      </c>
      <c r="I27" s="246" t="s">
        <v>44</v>
      </c>
      <c r="J27" s="246"/>
      <c r="K27" s="166"/>
      <c r="L27" s="167"/>
      <c r="M27" s="13"/>
      <c r="N27">
        <f t="array" ref="N27">((SUM(IFERROR((TEXT(IF(ISNUMBER(SEARCH("-", F27:L27)), MID(F27:L27, SEARCH("-", F27:L27) + 1, 4), ""), "00\:00") - TEXT(IF(ISNUMBER(SEARCH("-", F27:L27)), MID(F27:L27, SEARCH("-", F27:L27) - 4, 4), ""), "00\:00") + IF(TEXT(IF(ISNUMBER(SEARCH("-", F27:L27)), MID(F27:L27, SEARCH("-", F27:L27) + 1, 4), ""), "00\:00") &lt; TEXT(IF(ISNUMBER(SEARCH("-", F27:L27)), MID(F27:L27, SEARCH("-", F27:L27) - 4, 4), ""), "00\:00"), 1, 0))*24,""))))/9.5</f>
        <v>3</v>
      </c>
      <c r="O27"/>
      <c r="P27" s="151">
        <f t="shared" si="11"/>
        <v>3</v>
      </c>
      <c r="R27" s="4">
        <f t="shared" ca="1" si="12"/>
        <v>6</v>
      </c>
      <c r="S27" s="2">
        <f>(IFERROR(VLOOKUP(D27,'Employee Numbers'!$A$3:$C$84,3,FALSE),"NOT FOUND"))*8</f>
        <v>6</v>
      </c>
      <c r="U27" s="142">
        <f t="shared" si="13"/>
        <v>1</v>
      </c>
      <c r="V27" s="142">
        <f t="shared" si="14"/>
        <v>1</v>
      </c>
      <c r="W27" s="2">
        <f t="shared" si="15"/>
        <v>1</v>
      </c>
      <c r="Y27" s="2">
        <f t="shared" si="16"/>
        <v>0</v>
      </c>
    </row>
    <row r="28" spans="1:25" s="2" customFormat="1" ht="15" customHeight="1">
      <c r="A28" s="2" t="s">
        <v>39</v>
      </c>
      <c r="B28" s="46"/>
      <c r="C28" s="21"/>
      <c r="D28" s="227" t="s">
        <v>55</v>
      </c>
      <c r="E28" s="226">
        <f>IFERROR(VLOOKUP(D28,'Employee Numbers'!$A$3:$B$84,2,FALSE),"NOT FOUND")</f>
        <v>623657</v>
      </c>
      <c r="F28" s="29"/>
      <c r="G28" s="31"/>
      <c r="H28" s="31" t="s">
        <v>42</v>
      </c>
      <c r="I28" s="31"/>
      <c r="J28" s="31"/>
      <c r="K28" s="31" t="s">
        <v>54</v>
      </c>
      <c r="L28" s="228"/>
      <c r="N28">
        <f t="array" ref="N28">((SUM(IFERROR((TEXT(IF(ISNUMBER(SEARCH("-", F28:L28)), MID(F28:L28, SEARCH("-", F28:L28) + 1, 4), ""), "00\:00") - TEXT(IF(ISNUMBER(SEARCH("-", F28:L28)), MID(F28:L28, SEARCH("-", F28:L28) - 4, 4), ""), "00\:00") + IF(TEXT(IF(ISNUMBER(SEARCH("-", F28:L28)), MID(F28:L28, SEARCH("-", F28:L28) + 1, 4), ""), "00\:00") &lt; TEXT(IF(ISNUMBER(SEARCH("-", F28:L28)), MID(F28:L28, SEARCH("-", F28:L28) - 4, 4), ""), "00\:00"), 1, 0))*24,""))))/9.5</f>
        <v>2</v>
      </c>
      <c r="O28"/>
      <c r="P28" s="151">
        <f t="shared" si="11"/>
        <v>2</v>
      </c>
      <c r="R28" s="4">
        <f t="shared" ca="1" si="12"/>
        <v>3</v>
      </c>
      <c r="S28" s="2">
        <f>(IFERROR(VLOOKUP(D28,'Employee Numbers'!$A$3:$C$84,3,FALSE),"NOT FOUND"))*8</f>
        <v>2</v>
      </c>
      <c r="U28" s="142">
        <f t="shared" si="13"/>
        <v>0</v>
      </c>
      <c r="V28" s="142">
        <f t="shared" si="14"/>
        <v>2</v>
      </c>
      <c r="W28" s="2">
        <f t="shared" si="15"/>
        <v>0</v>
      </c>
      <c r="Y28" s="2">
        <f t="shared" si="16"/>
        <v>1</v>
      </c>
    </row>
    <row r="29" spans="1:25" s="2" customFormat="1" ht="15" customHeight="1">
      <c r="A29" s="162" t="s">
        <v>39</v>
      </c>
      <c r="B29" s="163"/>
      <c r="C29" s="164"/>
      <c r="D29" s="240" t="s">
        <v>56</v>
      </c>
      <c r="E29" s="165">
        <f>IFERROR(VLOOKUP(D29,'Employee Numbers'!$A$3:$B$84,2,FALSE),"NOT FOUND")</f>
        <v>623708</v>
      </c>
      <c r="F29" s="253" t="s">
        <v>69</v>
      </c>
      <c r="G29" s="254" t="s">
        <v>69</v>
      </c>
      <c r="H29" s="254" t="s">
        <v>69</v>
      </c>
      <c r="I29" s="254" t="s">
        <v>69</v>
      </c>
      <c r="J29" s="254" t="s">
        <v>69</v>
      </c>
      <c r="K29" s="254" t="s">
        <v>69</v>
      </c>
      <c r="L29" s="255" t="s">
        <v>69</v>
      </c>
      <c r="N29">
        <f t="array" ref="N29">((SUM(IFERROR((TEXT(IF(ISNUMBER(SEARCH("-", F29:L29)), MID(F29:L29, SEARCH("-", F29:L29) + 1, 4), ""), "00\:00") - TEXT(IF(ISNUMBER(SEARCH("-", F29:L29)), MID(F29:L29, SEARCH("-", F29:L29) - 4, 4), ""), "00\:00") + IF(TEXT(IF(ISNUMBER(SEARCH("-", F29:L29)), MID(F29:L29, SEARCH("-", F29:L29) + 1, 4), ""), "00\:00") &lt; TEXT(IF(ISNUMBER(SEARCH("-", F29:L29)), MID(F29:L29, SEARCH("-", F29:L29) - 4, 4), ""), "00\:00"), 1, 0))*24,""))))/9.5</f>
        <v>0</v>
      </c>
      <c r="O29">
        <v>3</v>
      </c>
      <c r="P29" s="151">
        <f t="shared" si="11"/>
        <v>3</v>
      </c>
      <c r="R29" s="4">
        <f t="shared" ca="1" si="12"/>
        <v>6</v>
      </c>
      <c r="S29" s="2">
        <f>(IFERROR(VLOOKUP(D29,'Employee Numbers'!$A$3:$C$84,3,FALSE),"NOT FOUND"))*8</f>
        <v>6</v>
      </c>
      <c r="U29" s="142">
        <f t="shared" si="13"/>
        <v>0</v>
      </c>
      <c r="V29" s="142">
        <f t="shared" si="14"/>
        <v>0</v>
      </c>
      <c r="W29" s="2">
        <f t="shared" si="15"/>
        <v>0</v>
      </c>
      <c r="Y29" s="2">
        <f t="shared" si="16"/>
        <v>0</v>
      </c>
    </row>
    <row r="30" spans="1:25" s="2" customFormat="1" ht="15" customHeight="1">
      <c r="A30" s="2" t="s">
        <v>39</v>
      </c>
      <c r="B30" s="46"/>
      <c r="C30" s="21"/>
      <c r="D30" s="227" t="s">
        <v>57</v>
      </c>
      <c r="E30" s="226">
        <f>IFERROR(VLOOKUP(D30,'Employee Numbers'!$A$3:$B$84,2,FALSE),"NOT FOUND")</f>
        <v>627680</v>
      </c>
      <c r="F30" s="29" t="s">
        <v>44</v>
      </c>
      <c r="G30" s="31"/>
      <c r="H30" s="31"/>
      <c r="I30" s="31" t="s">
        <v>44</v>
      </c>
      <c r="J30" s="31" t="s">
        <v>42</v>
      </c>
      <c r="K30" s="31"/>
      <c r="L30" s="228"/>
      <c r="N30">
        <f t="array" ref="N30">((SUM(IFERROR((TEXT(IF(ISNUMBER(SEARCH("-", F30:L30)), MID(F30:L30, SEARCH("-", F30:L30) + 1, 4), ""), "00\:00") - TEXT(IF(ISNUMBER(SEARCH("-", F30:L30)), MID(F30:L30, SEARCH("-", F30:L30) - 4, 4), ""), "00\:00") + IF(TEXT(IF(ISNUMBER(SEARCH("-", F30:L30)), MID(F30:L30, SEARCH("-", F30:L30) + 1, 4), ""), "00\:00") &lt; TEXT(IF(ISNUMBER(SEARCH("-", F30:L30)), MID(F30:L30, SEARCH("-", F30:L30) - 4, 4), ""), "00\:00"), 1, 0))*24,""))))/9.5</f>
        <v>3</v>
      </c>
      <c r="O30"/>
      <c r="P30" s="151">
        <f t="shared" si="11"/>
        <v>3</v>
      </c>
      <c r="R30" s="4">
        <f t="shared" ca="1" si="12"/>
        <v>6</v>
      </c>
      <c r="S30" s="2">
        <f>(IFERROR(VLOOKUP(D30,'Employee Numbers'!$A$3:$C$84,3,FALSE),"NOT FOUND"))*8</f>
        <v>6</v>
      </c>
      <c r="U30" s="142">
        <f t="shared" si="13"/>
        <v>2</v>
      </c>
      <c r="V30" s="142">
        <f t="shared" si="14"/>
        <v>1</v>
      </c>
      <c r="W30" s="2">
        <f t="shared" si="15"/>
        <v>0</v>
      </c>
      <c r="Y30" s="2">
        <f t="shared" si="16"/>
        <v>0</v>
      </c>
    </row>
    <row r="31" spans="1:25" s="2" customFormat="1" ht="15" customHeight="1">
      <c r="A31" s="162" t="s">
        <v>39</v>
      </c>
      <c r="B31" s="163"/>
      <c r="C31" s="164"/>
      <c r="D31" s="240" t="s">
        <v>58</v>
      </c>
      <c r="E31" s="165">
        <f>IFERROR(VLOOKUP(D31,'Employee Numbers'!$A$3:$B$84,2,FALSE),"NOT FOUND")</f>
        <v>633210</v>
      </c>
      <c r="F31" s="176" t="s">
        <v>44</v>
      </c>
      <c r="G31" s="166" t="s">
        <v>44</v>
      </c>
      <c r="H31" s="166" t="s">
        <v>63</v>
      </c>
      <c r="I31" s="166"/>
      <c r="J31" s="166"/>
      <c r="K31" s="166"/>
      <c r="L31" s="167"/>
      <c r="N31">
        <f t="array" ref="N31">((SUM(IFERROR((TEXT(IF(ISNUMBER(SEARCH("-", F31:L31)), MID(F31:L31, SEARCH("-", F31:L31) + 1, 4), ""), "00\:00") - TEXT(IF(ISNUMBER(SEARCH("-", F31:L31)), MID(F31:L31, SEARCH("-", F31:L31) - 4, 4), ""), "00\:00") + IF(TEXT(IF(ISNUMBER(SEARCH("-", F31:L31)), MID(F31:L31, SEARCH("-", F31:L31) + 1, 4), ""), "00\:00") &lt; TEXT(IF(ISNUMBER(SEARCH("-", F31:L31)), MID(F31:L31, SEARCH("-", F31:L31) - 4, 4), ""), "00\:00"), 1, 0))*24,""))))/9.5</f>
        <v>3</v>
      </c>
      <c r="O31"/>
      <c r="P31" s="151">
        <f t="shared" si="11"/>
        <v>3</v>
      </c>
      <c r="R31" s="4">
        <f t="shared" ca="1" si="12"/>
        <v>6</v>
      </c>
      <c r="S31" s="2">
        <f>(IFERROR(VLOOKUP(D31,'Employee Numbers'!$A$3:$C$84,3,FALSE),"NOT FOUND"))*8</f>
        <v>6</v>
      </c>
      <c r="U31" s="142">
        <f t="shared" si="13"/>
        <v>2</v>
      </c>
      <c r="V31" s="142">
        <f t="shared" si="14"/>
        <v>0</v>
      </c>
      <c r="W31" s="2">
        <f t="shared" si="15"/>
        <v>1</v>
      </c>
      <c r="Y31" s="2">
        <f t="shared" si="16"/>
        <v>0</v>
      </c>
    </row>
    <row r="32" spans="1:25" s="2" customFormat="1" ht="15" customHeight="1">
      <c r="A32" s="2" t="s">
        <v>39</v>
      </c>
      <c r="B32" s="46"/>
      <c r="C32" s="21"/>
      <c r="D32" s="230" t="s">
        <v>59</v>
      </c>
      <c r="E32" s="226">
        <f>IFERROR(VLOOKUP(D32,'Employee Numbers'!$A$3:$B$84,2,FALSE),"NOT FOUND")</f>
        <v>618952</v>
      </c>
      <c r="F32" s="29" t="s">
        <v>54</v>
      </c>
      <c r="G32" s="31"/>
      <c r="H32" s="31"/>
      <c r="I32" s="31" t="s">
        <v>41</v>
      </c>
      <c r="J32" s="31"/>
      <c r="K32" s="31" t="s">
        <v>44</v>
      </c>
      <c r="L32" s="228"/>
      <c r="N32">
        <f t="array" ref="N32">((SUM(IFERROR((TEXT(IF(ISNUMBER(SEARCH("-", F32:L32)), MID(F32:L32, SEARCH("-", F32:L32) + 1, 4), ""), "00\:00") - TEXT(IF(ISNUMBER(SEARCH("-", F32:L32)), MID(F32:L32, SEARCH("-", F32:L32) - 4, 4), ""), "00\:00") + IF(TEXT(IF(ISNUMBER(SEARCH("-", F32:L32)), MID(F32:L32, SEARCH("-", F32:L32) + 1, 4), ""), "00\:00") &lt; TEXT(IF(ISNUMBER(SEARCH("-", F32:L32)), MID(F32:L32, SEARCH("-", F32:L32) - 4, 4), ""), "00\:00"), 1, 0))*24,""))))/9.5</f>
        <v>3</v>
      </c>
      <c r="O32"/>
      <c r="P32" s="151">
        <f t="shared" si="11"/>
        <v>3</v>
      </c>
      <c r="R32" s="4">
        <f t="shared" ca="1" si="12"/>
        <v>6</v>
      </c>
      <c r="S32" s="2">
        <f>(IFERROR(VLOOKUP(D32,'Employee Numbers'!$A$3:$C$84,3,FALSE),"NOT FOUND"))*8</f>
        <v>6</v>
      </c>
      <c r="U32" s="142">
        <f t="shared" si="13"/>
        <v>1</v>
      </c>
      <c r="V32" s="142">
        <f t="shared" si="14"/>
        <v>1</v>
      </c>
      <c r="W32" s="2">
        <f t="shared" si="15"/>
        <v>1</v>
      </c>
      <c r="Y32" s="2">
        <f t="shared" si="16"/>
        <v>1</v>
      </c>
    </row>
    <row r="33" spans="1:25" s="2" customFormat="1" ht="15" customHeight="1">
      <c r="A33" s="162" t="s">
        <v>39</v>
      </c>
      <c r="B33" s="163"/>
      <c r="C33" s="164"/>
      <c r="D33" s="241" t="s">
        <v>61</v>
      </c>
      <c r="E33" s="165">
        <f>IFERROR(VLOOKUP(D33,'Employee Numbers'!$A$3:$B$84,2,FALSE),"NOT FOUND")</f>
        <v>649039</v>
      </c>
      <c r="F33" s="176" t="s">
        <v>179</v>
      </c>
      <c r="G33" s="166"/>
      <c r="H33" s="166"/>
      <c r="I33" s="166" t="s">
        <v>42</v>
      </c>
      <c r="J33" s="166"/>
      <c r="K33" s="166"/>
      <c r="L33" s="167"/>
      <c r="N33">
        <f t="array" ref="N33">((SUM(IFERROR((TEXT(IF(ISNUMBER(SEARCH("-", F33:L33)), MID(F33:L33, SEARCH("-", F33:L33) + 1, 4), ""), "00\:00") - TEXT(IF(ISNUMBER(SEARCH("-", F33:L33)), MID(F33:L33, SEARCH("-", F33:L33) - 4, 4), ""), "00\:00") + IF(TEXT(IF(ISNUMBER(SEARCH("-", F33:L33)), MID(F33:L33, SEARCH("-", F33:L33) + 1, 4), ""), "00\:00") &lt; TEXT(IF(ISNUMBER(SEARCH("-", F33:L33)), MID(F33:L33, SEARCH("-", F33:L33) - 4, 4), ""), "00\:00"), 1, 0))*24,""))))/9.5</f>
        <v>2</v>
      </c>
      <c r="O33"/>
      <c r="P33" s="151">
        <f t="shared" si="11"/>
        <v>2</v>
      </c>
      <c r="R33" s="4">
        <f t="shared" ca="1" si="12"/>
        <v>5</v>
      </c>
      <c r="S33" s="2">
        <f>(IFERROR(VLOOKUP(D33,'Employee Numbers'!$A$3:$C$84,3,FALSE),"NOT FOUND"))*8</f>
        <v>5</v>
      </c>
      <c r="U33" s="142">
        <f t="shared" si="13"/>
        <v>0</v>
      </c>
      <c r="V33" s="142">
        <f t="shared" si="14"/>
        <v>1</v>
      </c>
      <c r="W33" s="2">
        <f t="shared" si="15"/>
        <v>0</v>
      </c>
      <c r="Y33" s="2">
        <f t="shared" si="16"/>
        <v>0</v>
      </c>
    </row>
    <row r="34" spans="1:25" s="2" customFormat="1" ht="15" customHeight="1">
      <c r="A34" s="2" t="s">
        <v>39</v>
      </c>
      <c r="B34" s="46"/>
      <c r="C34" s="21"/>
      <c r="D34" s="227" t="s">
        <v>62</v>
      </c>
      <c r="E34" s="226">
        <f>IFERROR(VLOOKUP(D34,'Employee Numbers'!$A$3:$B$84,2,FALSE),"NOT FOUND")</f>
        <v>649671</v>
      </c>
      <c r="F34" s="29"/>
      <c r="G34" s="31"/>
      <c r="H34" s="31"/>
      <c r="I34" s="31"/>
      <c r="J34" s="31" t="s">
        <v>44</v>
      </c>
      <c r="K34" s="31" t="s">
        <v>54</v>
      </c>
      <c r="L34" s="228" t="s">
        <v>54</v>
      </c>
      <c r="N34">
        <f t="array" ref="N34">((SUM(IFERROR((TEXT(IF(ISNUMBER(SEARCH("-", F34:L34)), MID(F34:L34, SEARCH("-", F34:L34) + 1, 4), ""), "00\:00") - TEXT(IF(ISNUMBER(SEARCH("-", F34:L34)), MID(F34:L34, SEARCH("-", F34:L34) - 4, 4), ""), "00\:00") + IF(TEXT(IF(ISNUMBER(SEARCH("-", F34:L34)), MID(F34:L34, SEARCH("-", F34:L34) + 1, 4), ""), "00\:00") &lt; TEXT(IF(ISNUMBER(SEARCH("-", F34:L34)), MID(F34:L34, SEARCH("-", F34:L34) - 4, 4), ""), "00\:00"), 1, 0))*24,""))))/9.5</f>
        <v>3</v>
      </c>
      <c r="O34"/>
      <c r="P34" s="151">
        <f t="shared" si="11"/>
        <v>3</v>
      </c>
      <c r="R34" s="4">
        <f t="shared" ca="1" si="12"/>
        <v>6</v>
      </c>
      <c r="S34" s="2">
        <f>(IFERROR(VLOOKUP(D34,'Employee Numbers'!$A$3:$C$84,3,FALSE),"NOT FOUND"))*8</f>
        <v>6</v>
      </c>
      <c r="U34" s="142">
        <f t="shared" si="13"/>
        <v>1</v>
      </c>
      <c r="V34" s="142">
        <f t="shared" si="14"/>
        <v>2</v>
      </c>
      <c r="W34" s="2">
        <f t="shared" si="15"/>
        <v>0</v>
      </c>
      <c r="Y34" s="2">
        <f t="shared" si="16"/>
        <v>2</v>
      </c>
    </row>
    <row r="35" spans="1:25" s="2" customFormat="1" ht="15" customHeight="1">
      <c r="A35" s="162" t="s">
        <v>39</v>
      </c>
      <c r="B35" s="163"/>
      <c r="C35" s="164"/>
      <c r="D35" s="240" t="s">
        <v>64</v>
      </c>
      <c r="E35" s="165">
        <f>IFERROR(VLOOKUP(D35,'Employee Numbers'!$A$3:$B$84,2,FALSE),"NOT FOUND")</f>
        <v>646047</v>
      </c>
      <c r="F35" s="176"/>
      <c r="G35" s="166" t="s">
        <v>44</v>
      </c>
      <c r="H35" s="246"/>
      <c r="I35" s="166" t="s">
        <v>42</v>
      </c>
      <c r="J35" s="166"/>
      <c r="K35" s="166"/>
      <c r="L35" s="167"/>
      <c r="N35">
        <f t="array" ref="N35">((SUM(IFERROR((TEXT(IF(ISNUMBER(SEARCH("-", F35:L35)), MID(F35:L35, SEARCH("-", F35:L35) + 1, 4), ""), "00\:00") - TEXT(IF(ISNUMBER(SEARCH("-", F35:L35)), MID(F35:L35, SEARCH("-", F35:L35) - 4, 4), ""), "00\:00") + IF(TEXT(IF(ISNUMBER(SEARCH("-", F35:L35)), MID(F35:L35, SEARCH("-", F35:L35) + 1, 4), ""), "00\:00") &lt; TEXT(IF(ISNUMBER(SEARCH("-", F35:L35)), MID(F35:L35, SEARCH("-", F35:L35) - 4, 4), ""), "00\:00"), 1, 0))*24,""))))/9.5</f>
        <v>2</v>
      </c>
      <c r="O35"/>
      <c r="P35" s="151">
        <f t="shared" si="11"/>
        <v>2</v>
      </c>
      <c r="R35" s="4">
        <f t="shared" ca="1" si="12"/>
        <v>5</v>
      </c>
      <c r="S35" s="2">
        <f>(IFERROR(VLOOKUP(D35,'Employee Numbers'!$A$3:$C$84,3,FALSE),"NOT FOUND"))*8</f>
        <v>5</v>
      </c>
      <c r="U35" s="142">
        <f t="shared" si="13"/>
        <v>1</v>
      </c>
      <c r="V35" s="142">
        <f t="shared" si="14"/>
        <v>1</v>
      </c>
      <c r="W35" s="2">
        <f t="shared" si="15"/>
        <v>0</v>
      </c>
      <c r="Y35" s="2">
        <f t="shared" si="16"/>
        <v>0</v>
      </c>
    </row>
    <row r="36" spans="1:25" s="2" customFormat="1" ht="15" customHeight="1">
      <c r="A36" s="2" t="s">
        <v>39</v>
      </c>
      <c r="B36" s="46"/>
      <c r="C36" s="21"/>
      <c r="D36" s="229" t="s">
        <v>66</v>
      </c>
      <c r="E36" s="226">
        <f>IFERROR(VLOOKUP(D36,'Employee Numbers'!$A$3:$B$84,2,FALSE),"NOT FOUND")</f>
        <v>164003</v>
      </c>
      <c r="F36" s="29"/>
      <c r="G36" s="31" t="s">
        <v>42</v>
      </c>
      <c r="H36" s="31"/>
      <c r="I36" s="31"/>
      <c r="J36" s="31"/>
      <c r="K36" s="31"/>
      <c r="L36" s="228" t="s">
        <v>44</v>
      </c>
      <c r="N36">
        <f t="array" ref="N36">((SUM(IFERROR((TEXT(IF(ISNUMBER(SEARCH("-", F36:L36)), MID(F36:L36, SEARCH("-", F36:L36) + 1, 4), ""), "00\:00") - TEXT(IF(ISNUMBER(SEARCH("-", F36:L36)), MID(F36:L36, SEARCH("-", F36:L36) - 4, 4), ""), "00\:00") + IF(TEXT(IF(ISNUMBER(SEARCH("-", F36:L36)), MID(F36:L36, SEARCH("-", F36:L36) + 1, 4), ""), "00\:00") &lt; TEXT(IF(ISNUMBER(SEARCH("-", F36:L36)), MID(F36:L36, SEARCH("-", F36:L36) - 4, 4), ""), "00\:00"), 1, 0))*24,""))))/9.5</f>
        <v>2</v>
      </c>
      <c r="O36"/>
      <c r="P36" s="151">
        <f t="shared" si="11"/>
        <v>2</v>
      </c>
      <c r="R36" s="4">
        <f t="shared" ca="1" si="12"/>
        <v>4</v>
      </c>
      <c r="S36" s="2">
        <f>(IFERROR(VLOOKUP(D36,'Employee Numbers'!$A$3:$C$84,3,FALSE),"NOT FOUND"))*8</f>
        <v>4</v>
      </c>
      <c r="U36" s="142">
        <f t="shared" si="13"/>
        <v>0</v>
      </c>
      <c r="V36" s="142">
        <f t="shared" si="14"/>
        <v>1</v>
      </c>
      <c r="W36" s="2">
        <f t="shared" si="15"/>
        <v>0</v>
      </c>
      <c r="Y36" s="2">
        <f t="shared" si="16"/>
        <v>1</v>
      </c>
    </row>
    <row r="37" spans="1:25" s="2" customFormat="1" ht="15" customHeight="1">
      <c r="A37" s="162" t="s">
        <v>39</v>
      </c>
      <c r="B37" s="163"/>
      <c r="C37" s="164"/>
      <c r="D37" s="240" t="s">
        <v>67</v>
      </c>
      <c r="E37" s="165">
        <f>IFERROR(VLOOKUP(D37,'Employee Numbers'!$A$3:$B$84,2,FALSE),"NOT FOUND")</f>
        <v>609408</v>
      </c>
      <c r="F37" s="176"/>
      <c r="G37" s="166"/>
      <c r="H37" s="166"/>
      <c r="I37" s="166"/>
      <c r="J37" s="166"/>
      <c r="K37" s="166"/>
      <c r="L37" s="167"/>
      <c r="N37">
        <f t="array" ref="N37">((SUM(IFERROR((TEXT(IF(ISNUMBER(SEARCH("-", F37:L37)), MID(F37:L37, SEARCH("-", F37:L37) + 1, 4), ""), "00\:00") - TEXT(IF(ISNUMBER(SEARCH("-", F37:L37)), MID(F37:L37, SEARCH("-", F37:L37) - 4, 4), ""), "00\:00") + IF(TEXT(IF(ISNUMBER(SEARCH("-", F37:L37)), MID(F37:L37, SEARCH("-", F37:L37) + 1, 4), ""), "00\:00") &lt; TEXT(IF(ISNUMBER(SEARCH("-", F37:L37)), MID(F37:L37, SEARCH("-", F37:L37) - 4, 4), ""), "00\:00"), 1, 0))*24,""))))/9.5</f>
        <v>0</v>
      </c>
      <c r="O37"/>
      <c r="P37" s="151">
        <f t="shared" si="11"/>
        <v>0</v>
      </c>
      <c r="R37" s="4">
        <f t="shared" ca="1" si="12"/>
        <v>4</v>
      </c>
      <c r="S37" s="2">
        <f>(IFERROR(VLOOKUP(D37,'Employee Numbers'!$A$3:$C$84,3,FALSE),"NOT FOUND"))*8</f>
        <v>4</v>
      </c>
      <c r="U37" s="142">
        <f t="shared" si="13"/>
        <v>0</v>
      </c>
      <c r="V37" s="142">
        <f t="shared" si="14"/>
        <v>0</v>
      </c>
      <c r="W37" s="2">
        <f t="shared" si="15"/>
        <v>0</v>
      </c>
      <c r="Y37" s="2">
        <f t="shared" si="16"/>
        <v>0</v>
      </c>
    </row>
    <row r="38" spans="1:25" s="2" customFormat="1" ht="15" customHeight="1">
      <c r="A38" s="2" t="s">
        <v>39</v>
      </c>
      <c r="B38" s="46"/>
      <c r="C38" s="21"/>
      <c r="D38" s="227" t="s">
        <v>68</v>
      </c>
      <c r="E38" s="226">
        <f>IFERROR(VLOOKUP(D38,'Employee Numbers'!$A$3:$B$84,2,FALSE),"NOT FOUND")</f>
        <v>627619</v>
      </c>
      <c r="F38" s="250" t="s">
        <v>69</v>
      </c>
      <c r="G38" s="251" t="s">
        <v>69</v>
      </c>
      <c r="H38" s="251" t="s">
        <v>69</v>
      </c>
      <c r="I38" s="251" t="s">
        <v>69</v>
      </c>
      <c r="J38" s="251" t="s">
        <v>69</v>
      </c>
      <c r="K38" s="251" t="s">
        <v>69</v>
      </c>
      <c r="L38" s="252" t="s">
        <v>69</v>
      </c>
      <c r="N38">
        <f t="array" ref="N38">((SUM(IFERROR((TEXT(IF(ISNUMBER(SEARCH("-", F38:L38)), MID(F38:L38, SEARCH("-", F38:L38) + 1, 4), ""), "00\:00") - TEXT(IF(ISNUMBER(SEARCH("-", F38:L38)), MID(F38:L38, SEARCH("-", F38:L38) - 4, 4), ""), "00\:00") + IF(TEXT(IF(ISNUMBER(SEARCH("-", F38:L38)), MID(F38:L38, SEARCH("-", F38:L38) + 1, 4), ""), "00\:00") &lt; TEXT(IF(ISNUMBER(SEARCH("-", F38:L38)), MID(F38:L38, SEARCH("-", F38:L38) - 4, 4), ""), "00\:00"), 1, 0))*24,""))))/9.5</f>
        <v>0</v>
      </c>
      <c r="O38">
        <v>2</v>
      </c>
      <c r="P38" s="151">
        <f t="shared" si="11"/>
        <v>2</v>
      </c>
      <c r="R38" s="4">
        <f t="shared" ca="1" si="12"/>
        <v>4</v>
      </c>
      <c r="S38" s="2">
        <f>(IFERROR(VLOOKUP(D38,'Employee Numbers'!$A$3:$C$84,3,FALSE),"NOT FOUND"))*8</f>
        <v>4</v>
      </c>
      <c r="U38" s="142">
        <f t="shared" si="13"/>
        <v>0</v>
      </c>
      <c r="V38" s="142">
        <f t="shared" si="14"/>
        <v>0</v>
      </c>
      <c r="W38" s="2">
        <f t="shared" si="15"/>
        <v>0</v>
      </c>
      <c r="Y38" s="2">
        <f t="shared" si="16"/>
        <v>0</v>
      </c>
    </row>
    <row r="39" spans="1:25" s="2" customFormat="1" ht="15" customHeight="1">
      <c r="A39" s="162" t="s">
        <v>39</v>
      </c>
      <c r="B39" s="163"/>
      <c r="C39" s="164"/>
      <c r="D39" s="240" t="s">
        <v>71</v>
      </c>
      <c r="E39" s="165">
        <f>IFERROR(VLOOKUP(D39,'Employee Numbers'!$A$3:$B$84,2,FALSE),"NOT FOUND")</f>
        <v>632646</v>
      </c>
      <c r="F39" s="176"/>
      <c r="G39" s="166"/>
      <c r="H39" s="166"/>
      <c r="I39" s="166"/>
      <c r="J39" s="166"/>
      <c r="K39" s="166"/>
      <c r="L39" s="167"/>
      <c r="N39">
        <f t="array" ref="N39">((SUM(IFERROR((TEXT(IF(ISNUMBER(SEARCH("-", F39:L39)), MID(F39:L39, SEARCH("-", F39:L39) + 1, 4), ""), "00\:00") - TEXT(IF(ISNUMBER(SEARCH("-", F39:L39)), MID(F39:L39, SEARCH("-", F39:L39) - 4, 4), ""), "00\:00") + IF(TEXT(IF(ISNUMBER(SEARCH("-", F39:L39)), MID(F39:L39, SEARCH("-", F39:L39) + 1, 4), ""), "00\:00") &lt; TEXT(IF(ISNUMBER(SEARCH("-", F39:L39)), MID(F39:L39, SEARCH("-", F39:L39) - 4, 4), ""), "00\:00"), 1, 0))*24,""))))/9.5</f>
        <v>0</v>
      </c>
      <c r="O39"/>
      <c r="P39" s="151">
        <f t="shared" si="11"/>
        <v>0</v>
      </c>
      <c r="R39" s="4">
        <f t="shared" ca="1" si="12"/>
        <v>4</v>
      </c>
      <c r="S39" s="2">
        <f>(IFERROR(VLOOKUP(D39,'Employee Numbers'!$A$3:$C$84,3,FALSE),"NOT FOUND"))*8</f>
        <v>4</v>
      </c>
      <c r="U39" s="142">
        <f t="shared" si="13"/>
        <v>0</v>
      </c>
      <c r="V39" s="142">
        <f t="shared" si="14"/>
        <v>0</v>
      </c>
      <c r="W39" s="2">
        <f t="shared" si="15"/>
        <v>0</v>
      </c>
      <c r="Y39" s="2">
        <f t="shared" si="16"/>
        <v>0</v>
      </c>
    </row>
    <row r="40" spans="1:25" s="2" customFormat="1" ht="15" customHeight="1">
      <c r="A40" s="2" t="s">
        <v>39</v>
      </c>
      <c r="B40" s="46"/>
      <c r="C40" s="21"/>
      <c r="D40" s="229" t="s">
        <v>72</v>
      </c>
      <c r="E40" s="226">
        <f>IFERROR(VLOOKUP(D40,'Employee Numbers'!$A$3:$B$84,2,FALSE),"NOT FOUND")</f>
        <v>652844</v>
      </c>
      <c r="F40" s="250" t="s">
        <v>69</v>
      </c>
      <c r="G40" s="251" t="s">
        <v>69</v>
      </c>
      <c r="H40" s="251" t="s">
        <v>69</v>
      </c>
      <c r="I40" s="251" t="s">
        <v>69</v>
      </c>
      <c r="J40" s="251" t="s">
        <v>69</v>
      </c>
      <c r="K40" s="251" t="s">
        <v>69</v>
      </c>
      <c r="L40" s="252" t="s">
        <v>69</v>
      </c>
      <c r="N40">
        <f t="array" ref="N40">((SUM(IFERROR((TEXT(IF(ISNUMBER(SEARCH("-", F40:L40)), MID(F40:L40, SEARCH("-", F40:L40) + 1, 4), ""), "00\:00") - TEXT(IF(ISNUMBER(SEARCH("-", F40:L40)), MID(F40:L40, SEARCH("-", F40:L40) - 4, 4), ""), "00\:00") + IF(TEXT(IF(ISNUMBER(SEARCH("-", F40:L40)), MID(F40:L40, SEARCH("-", F40:L40) + 1, 4), ""), "00\:00") &lt; TEXT(IF(ISNUMBER(SEARCH("-", F40:L40)), MID(F40:L40, SEARCH("-", F40:L40) - 4, 4), ""), "00\:00"), 1, 0))*24,""))))/9.5</f>
        <v>0</v>
      </c>
      <c r="O40">
        <v>4</v>
      </c>
      <c r="P40" s="151">
        <f t="shared" si="11"/>
        <v>4</v>
      </c>
      <c r="R40" s="4">
        <f t="shared" ca="1" si="12"/>
        <v>4</v>
      </c>
      <c r="S40" s="2">
        <f>(IFERROR(VLOOKUP(D40,'Employee Numbers'!$A$3:$C$84,3,FALSE),"NOT FOUND"))*8</f>
        <v>4</v>
      </c>
      <c r="U40" s="142">
        <f t="shared" si="13"/>
        <v>0</v>
      </c>
      <c r="V40" s="142">
        <f t="shared" si="14"/>
        <v>0</v>
      </c>
      <c r="W40" s="2">
        <f t="shared" si="15"/>
        <v>0</v>
      </c>
      <c r="Y40" s="2">
        <f t="shared" si="16"/>
        <v>0</v>
      </c>
    </row>
    <row r="41" spans="1:25" s="2" customFormat="1" ht="15" customHeight="1">
      <c r="A41" s="162" t="s">
        <v>39</v>
      </c>
      <c r="B41" s="163"/>
      <c r="C41" s="164"/>
      <c r="D41" s="241" t="s">
        <v>73</v>
      </c>
      <c r="E41" s="165">
        <f>IFERROR(VLOOKUP(D41,'Employee Numbers'!$A$3:$B$84,2,FALSE),"NOT FOUND")</f>
        <v>634491</v>
      </c>
      <c r="F41" s="176" t="s">
        <v>179</v>
      </c>
      <c r="G41" s="166"/>
      <c r="H41" s="166" t="s">
        <v>44</v>
      </c>
      <c r="I41" s="166"/>
      <c r="J41" s="166" t="s">
        <v>42</v>
      </c>
      <c r="K41" s="166"/>
      <c r="L41" s="167" t="s">
        <v>54</v>
      </c>
      <c r="N41">
        <f t="array" ref="N41">((SUM(IFERROR((TEXT(IF(ISNUMBER(SEARCH("-", F41:L41)), MID(F41:L41, SEARCH("-", F41:L41) + 1, 4), ""), "00\:00") - TEXT(IF(ISNUMBER(SEARCH("-", F41:L41)), MID(F41:L41, SEARCH("-", F41:L41) - 4, 4), ""), "00\:00") + IF(TEXT(IF(ISNUMBER(SEARCH("-", F41:L41)), MID(F41:L41, SEARCH("-", F41:L41) + 1, 4), ""), "00\:00") &lt; TEXT(IF(ISNUMBER(SEARCH("-", F41:L41)), MID(F41:L41, SEARCH("-", F41:L41) - 4, 4), ""), "00\:00"), 1, 0))*24,""))))/9.5</f>
        <v>4</v>
      </c>
      <c r="O41"/>
      <c r="P41" s="151">
        <f t="shared" si="11"/>
        <v>4</v>
      </c>
      <c r="R41" s="4">
        <f t="shared" ca="1" si="12"/>
        <v>4</v>
      </c>
      <c r="S41" s="2">
        <f>(IFERROR(VLOOKUP(D41,'Employee Numbers'!$A$3:$C$84,3,FALSE),"NOT FOUND"))*8</f>
        <v>4</v>
      </c>
      <c r="U41" s="142">
        <f t="shared" si="13"/>
        <v>1</v>
      </c>
      <c r="V41" s="142">
        <f t="shared" si="14"/>
        <v>2</v>
      </c>
      <c r="W41" s="2">
        <f t="shared" si="15"/>
        <v>0</v>
      </c>
      <c r="Y41" s="2">
        <f t="shared" si="16"/>
        <v>1</v>
      </c>
    </row>
    <row r="42" spans="1:25" s="2" customFormat="1" ht="15" customHeight="1">
      <c r="A42" s="2" t="s">
        <v>39</v>
      </c>
      <c r="B42" s="46"/>
      <c r="C42" s="47"/>
      <c r="D42" s="227" t="s">
        <v>74</v>
      </c>
      <c r="E42" s="226">
        <f>IFERROR(VLOOKUP(D42,'Employee Numbers'!$A$3:$B$84,2,FALSE),"NOT FOUND")</f>
        <v>621988</v>
      </c>
      <c r="F42" s="250" t="s">
        <v>75</v>
      </c>
      <c r="G42" s="251" t="s">
        <v>75</v>
      </c>
      <c r="H42" s="251" t="s">
        <v>75</v>
      </c>
      <c r="I42" s="251" t="s">
        <v>75</v>
      </c>
      <c r="J42" s="251" t="s">
        <v>75</v>
      </c>
      <c r="K42" s="251" t="s">
        <v>75</v>
      </c>
      <c r="L42" s="252" t="s">
        <v>75</v>
      </c>
      <c r="N42">
        <f t="array" ref="N42">((SUM(IFERROR((TEXT(IF(ISNUMBER(SEARCH("-", F42:L42)), MID(F42:L42, SEARCH("-", F42:L42) + 1, 4), ""), "00\:00") - TEXT(IF(ISNUMBER(SEARCH("-", F42:L42)), MID(F42:L42, SEARCH("-", F42:L42) - 4, 4), ""), "00\:00") + IF(TEXT(IF(ISNUMBER(SEARCH("-", F42:L42)), MID(F42:L42, SEARCH("-", F42:L42) + 1, 4), ""), "00\:00") &lt; TEXT(IF(ISNUMBER(SEARCH("-", F42:L42)), MID(F42:L42, SEARCH("-", F42:L42) - 4, 4), ""), "00\:00"), 1, 0))*24,""))))/9.5</f>
        <v>0</v>
      </c>
      <c r="O42">
        <v>2</v>
      </c>
      <c r="P42" s="151">
        <f t="shared" si="11"/>
        <v>2</v>
      </c>
      <c r="R42" s="4">
        <f t="shared" ca="1" si="12"/>
        <v>4</v>
      </c>
      <c r="S42" s="2">
        <f>(IFERROR(VLOOKUP(D42,'Employee Numbers'!$A$3:$C$84,3,FALSE),"NOT FOUND"))*8</f>
        <v>4</v>
      </c>
      <c r="U42" s="142">
        <f t="shared" si="13"/>
        <v>0</v>
      </c>
      <c r="V42" s="142">
        <f t="shared" si="14"/>
        <v>0</v>
      </c>
      <c r="W42" s="2">
        <f t="shared" si="15"/>
        <v>0</v>
      </c>
      <c r="Y42" s="2">
        <f t="shared" si="16"/>
        <v>0</v>
      </c>
    </row>
    <row r="43" spans="1:25" s="2" customFormat="1" ht="15" customHeight="1">
      <c r="A43" s="162" t="s">
        <v>39</v>
      </c>
      <c r="B43" s="163"/>
      <c r="C43" s="238"/>
      <c r="D43" s="239" t="s">
        <v>76</v>
      </c>
      <c r="E43" s="165">
        <f>IFERROR(VLOOKUP(D43,'Employee Numbers'!$A$3:$B$84,2,FALSE),"NOT FOUND")</f>
        <v>409677</v>
      </c>
      <c r="F43" s="176" t="s">
        <v>44</v>
      </c>
      <c r="G43" s="166"/>
      <c r="H43" s="166"/>
      <c r="I43" s="166"/>
      <c r="J43" s="166"/>
      <c r="K43" s="166"/>
      <c r="L43" s="167" t="s">
        <v>44</v>
      </c>
      <c r="N43">
        <f t="array" ref="N43">((SUM(IFERROR((TEXT(IF(ISNUMBER(SEARCH("-", F43:L43)), MID(F43:L43, SEARCH("-", F43:L43) + 1, 4), ""), "00\:00") - TEXT(IF(ISNUMBER(SEARCH("-", F43:L43)), MID(F43:L43, SEARCH("-", F43:L43) - 4, 4), ""), "00\:00") + IF(TEXT(IF(ISNUMBER(SEARCH("-", F43:L43)), MID(F43:L43, SEARCH("-", F43:L43) + 1, 4), ""), "00\:00") &lt; TEXT(IF(ISNUMBER(SEARCH("-", F43:L43)), MID(F43:L43, SEARCH("-", F43:L43) - 4, 4), ""), "00\:00"), 1, 0))*24,""))))/9.5</f>
        <v>2</v>
      </c>
      <c r="O43"/>
      <c r="P43" s="151">
        <f t="shared" si="11"/>
        <v>2</v>
      </c>
      <c r="R43" s="4">
        <f t="shared" ca="1" si="12"/>
        <v>3</v>
      </c>
      <c r="S43" s="2">
        <f>(IFERROR(VLOOKUP(D43,'Employee Numbers'!$A$3:$C$84,3,FALSE),"NOT FOUND"))*8</f>
        <v>3</v>
      </c>
      <c r="U43" s="142">
        <f t="shared" si="13"/>
        <v>1</v>
      </c>
      <c r="V43" s="142">
        <f t="shared" si="14"/>
        <v>0</v>
      </c>
      <c r="W43" s="2">
        <f t="shared" si="15"/>
        <v>0</v>
      </c>
      <c r="Y43" s="2">
        <f t="shared" si="16"/>
        <v>1</v>
      </c>
    </row>
    <row r="44" spans="1:25" s="2" customFormat="1" ht="15" customHeight="1">
      <c r="A44" s="2" t="s">
        <v>39</v>
      </c>
      <c r="B44" s="46"/>
      <c r="C44" s="47"/>
      <c r="D44" s="249" t="s">
        <v>77</v>
      </c>
      <c r="E44" s="226">
        <f>IFERROR(VLOOKUP(D44,'Employee Numbers'!$A$3:$B$84,2,FALSE),"NOT FOUND")</f>
        <v>632590</v>
      </c>
      <c r="F44" s="29"/>
      <c r="G44" s="136"/>
      <c r="H44" s="31"/>
      <c r="I44" s="31"/>
      <c r="J44" s="31"/>
      <c r="K44" s="31"/>
      <c r="L44" s="228"/>
      <c r="N44">
        <f t="array" ref="N44">((SUM(IFERROR((TEXT(IF(ISNUMBER(SEARCH("-", F44:L44)), MID(F44:L44, SEARCH("-", F44:L44) + 1, 4), ""), "00\:00") - TEXT(IF(ISNUMBER(SEARCH("-", F44:L44)), MID(F44:L44, SEARCH("-", F44:L44) - 4, 4), ""), "00\:00") + IF(TEXT(IF(ISNUMBER(SEARCH("-", F44:L44)), MID(F44:L44, SEARCH("-", F44:L44) + 1, 4), ""), "00\:00") &lt; TEXT(IF(ISNUMBER(SEARCH("-", F44:L44)), MID(F44:L44, SEARCH("-", F44:L44) - 4, 4), ""), "00\:00"), 1, 0))*24,""))))/9.5</f>
        <v>0</v>
      </c>
      <c r="O44"/>
      <c r="P44" s="151">
        <f t="shared" si="11"/>
        <v>0</v>
      </c>
      <c r="R44" s="4">
        <f t="shared" ca="1" si="12"/>
        <v>4</v>
      </c>
      <c r="S44" s="2">
        <f>(IFERROR(VLOOKUP(D44,'Employee Numbers'!$A$3:$C$84,3,FALSE),"NOT FOUND"))*8</f>
        <v>4</v>
      </c>
      <c r="U44" s="142">
        <f t="shared" si="13"/>
        <v>0</v>
      </c>
      <c r="V44" s="142">
        <f t="shared" si="14"/>
        <v>0</v>
      </c>
      <c r="W44" s="2">
        <f t="shared" si="15"/>
        <v>0</v>
      </c>
      <c r="Y44" s="2">
        <f t="shared" si="16"/>
        <v>0</v>
      </c>
    </row>
    <row r="45" spans="1:25" s="2" customFormat="1" ht="15" customHeight="1">
      <c r="A45" s="162" t="s">
        <v>39</v>
      </c>
      <c r="B45" s="163"/>
      <c r="C45" s="238"/>
      <c r="D45" s="240" t="s">
        <v>78</v>
      </c>
      <c r="E45" s="165">
        <f>IFERROR(VLOOKUP(D45,'Employee Numbers'!$A$3:$B$84,2,FALSE),"NOT FOUND")</f>
        <v>619537</v>
      </c>
      <c r="F45" s="176"/>
      <c r="G45" s="166"/>
      <c r="H45" s="166"/>
      <c r="I45" s="166"/>
      <c r="J45" s="166"/>
      <c r="K45" s="166"/>
      <c r="L45" s="167"/>
      <c r="N45">
        <f t="array" ref="N45">((SUM(IFERROR((TEXT(IF(ISNUMBER(SEARCH("-", F45:L45)), MID(F45:L45, SEARCH("-", F45:L45) + 1, 4), ""), "00\:00") - TEXT(IF(ISNUMBER(SEARCH("-", F45:L45)), MID(F45:L45, SEARCH("-", F45:L45) - 4, 4), ""), "00\:00") + IF(TEXT(IF(ISNUMBER(SEARCH("-", F45:L45)), MID(F45:L45, SEARCH("-", F45:L45) + 1, 4), ""), "00\:00") &lt; TEXT(IF(ISNUMBER(SEARCH("-", F45:L45)), MID(F45:L45, SEARCH("-", F45:L45) - 4, 4), ""), "00\:00"), 1, 0))*24,""))))/9.5</f>
        <v>0</v>
      </c>
      <c r="O45"/>
      <c r="P45" s="151">
        <f t="shared" si="11"/>
        <v>0</v>
      </c>
      <c r="R45" s="4">
        <f t="shared" ca="1" si="12"/>
        <v>1</v>
      </c>
      <c r="S45" s="2">
        <f>(IFERROR(VLOOKUP(D45,'Employee Numbers'!$A$3:$C$84,3,FALSE),"NOT FOUND"))*8</f>
        <v>1</v>
      </c>
      <c r="U45" s="142">
        <f t="shared" si="13"/>
        <v>0</v>
      </c>
      <c r="V45" s="142">
        <f t="shared" si="14"/>
        <v>0</v>
      </c>
      <c r="W45" s="2">
        <f t="shared" si="15"/>
        <v>0</v>
      </c>
      <c r="Y45" s="2">
        <f t="shared" si="16"/>
        <v>0</v>
      </c>
    </row>
    <row r="46" spans="1:25" s="2" customFormat="1" ht="15" customHeight="1">
      <c r="A46" s="2" t="s">
        <v>39</v>
      </c>
      <c r="B46" s="46"/>
      <c r="C46" s="47"/>
      <c r="D46" s="229" t="s">
        <v>79</v>
      </c>
      <c r="E46" s="226">
        <f>IFERROR(VLOOKUP(D46,'Employee Numbers'!$A$3:$B$84,2,FALSE),"NOT FOUND")</f>
        <v>621953</v>
      </c>
      <c r="F46" s="29"/>
      <c r="G46" s="136"/>
      <c r="H46" s="136"/>
      <c r="I46" s="136"/>
      <c r="J46" s="136"/>
      <c r="K46" s="136"/>
      <c r="L46" s="232"/>
      <c r="N46">
        <f t="array" ref="N46">((SUM(IFERROR((TEXT(IF(ISNUMBER(SEARCH("-", F46:L46)), MID(F46:L46, SEARCH("-", F46:L46) + 1, 4), ""), "00\:00") - TEXT(IF(ISNUMBER(SEARCH("-", F46:L46)), MID(F46:L46, SEARCH("-", F46:L46) - 4, 4), ""), "00\:00") + IF(TEXT(IF(ISNUMBER(SEARCH("-", F46:L46)), MID(F46:L46, SEARCH("-", F46:L46) + 1, 4), ""), "00\:00") &lt; TEXT(IF(ISNUMBER(SEARCH("-", F46:L46)), MID(F46:L46, SEARCH("-", F46:L46) - 4, 4), ""), "00\:00"), 1, 0))*24,""))))/9.5</f>
        <v>0</v>
      </c>
      <c r="O46"/>
      <c r="P46" s="151">
        <f t="shared" si="11"/>
        <v>0</v>
      </c>
      <c r="R46" s="4">
        <f t="shared" ca="1" si="12"/>
        <v>1</v>
      </c>
      <c r="S46" s="2">
        <f>(IFERROR(VLOOKUP(D46,'Employee Numbers'!$A$3:$C$84,3,FALSE),"NOT FOUND"))*8</f>
        <v>1</v>
      </c>
      <c r="U46" s="142">
        <f t="shared" si="13"/>
        <v>0</v>
      </c>
      <c r="V46" s="142">
        <f t="shared" si="14"/>
        <v>0</v>
      </c>
      <c r="W46" s="2">
        <f t="shared" si="15"/>
        <v>0</v>
      </c>
      <c r="Y46" s="2">
        <f t="shared" si="16"/>
        <v>0</v>
      </c>
    </row>
    <row r="47" spans="1:25" s="2" customFormat="1" ht="15" customHeight="1">
      <c r="A47" s="162" t="s">
        <v>39</v>
      </c>
      <c r="B47" s="163"/>
      <c r="C47" s="164"/>
      <c r="D47" s="242" t="s">
        <v>80</v>
      </c>
      <c r="E47" s="165">
        <f>IFERROR(VLOOKUP(D47,'Employee Numbers'!$A$3:$B$84,2,FALSE),"NOT FOUND")</f>
        <v>614504</v>
      </c>
      <c r="F47" s="176"/>
      <c r="G47" s="166"/>
      <c r="H47" s="166"/>
      <c r="I47" s="166"/>
      <c r="J47" s="166"/>
      <c r="K47" s="166"/>
      <c r="L47" s="167"/>
      <c r="N47">
        <f t="array" ref="N47">((SUM(IFERROR((TEXT(IF(ISNUMBER(SEARCH("-", F47:L47)), MID(F47:L47, SEARCH("-", F47:L47) + 1, 4), ""), "00\:00") - TEXT(IF(ISNUMBER(SEARCH("-", F47:L47)), MID(F47:L47, SEARCH("-", F47:L47) - 4, 4), ""), "00\:00") + IF(TEXT(IF(ISNUMBER(SEARCH("-", F47:L47)), MID(F47:L47, SEARCH("-", F47:L47) + 1, 4), ""), "00\:00") &lt; TEXT(IF(ISNUMBER(SEARCH("-", F47:L47)), MID(F47:L47, SEARCH("-", F47:L47) - 4, 4), ""), "00\:00"), 1, 0))*24,""))))/9.5</f>
        <v>0</v>
      </c>
      <c r="O47"/>
      <c r="P47" s="178">
        <f t="shared" si="11"/>
        <v>0</v>
      </c>
      <c r="R47" s="3">
        <f t="shared" ca="1" si="12"/>
        <v>1</v>
      </c>
      <c r="S47" s="2">
        <f>(IFERROR(VLOOKUP(D47,'Employee Numbers'!$A$3:$C$84,3,FALSE),"NOT FOUND"))*8</f>
        <v>1</v>
      </c>
      <c r="U47" s="142">
        <f t="shared" si="13"/>
        <v>0</v>
      </c>
      <c r="V47" s="142">
        <f t="shared" si="14"/>
        <v>0</v>
      </c>
      <c r="W47" s="2">
        <f t="shared" si="15"/>
        <v>0</v>
      </c>
      <c r="Y47" s="2">
        <f t="shared" si="16"/>
        <v>0</v>
      </c>
    </row>
    <row r="48" spans="1:25" s="2" customFormat="1" ht="15" customHeight="1">
      <c r="A48" s="2" t="s">
        <v>39</v>
      </c>
      <c r="B48" s="46"/>
      <c r="C48" s="21"/>
      <c r="D48" s="230" t="s">
        <v>81</v>
      </c>
      <c r="E48" s="226" t="str">
        <f>IFERROR(VLOOKUP(D48,'Employee Numbers'!$A$3:$B$84,2,FALSE),"NOT FOUND")</f>
        <v>N/A</v>
      </c>
      <c r="F48" s="31"/>
      <c r="G48" s="31"/>
      <c r="H48" s="31"/>
      <c r="I48" s="136"/>
      <c r="J48" s="31"/>
      <c r="K48" s="31"/>
      <c r="L48" s="228"/>
      <c r="N48">
        <f t="array" ref="N48">((SUM(IFERROR((TEXT(IF(ISNUMBER(SEARCH("-", F48:L48)), MID(F48:L48, SEARCH("-", F48:L48) + 1, 4), ""), "00\:00") - TEXT(IF(ISNUMBER(SEARCH("-", F48:L48)), MID(F48:L48, SEARCH("-", F48:L48) - 4, 4), ""), "00\:00") + IF(TEXT(IF(ISNUMBER(SEARCH("-", F48:L48)), MID(F48:L48, SEARCH("-", F48:L48) + 1, 4), ""), "00\:00") &lt; TEXT(IF(ISNUMBER(SEARCH("-", F48:L48)), MID(F48:L48, SEARCH("-", F48:L48) - 4, 4), ""), "00\:00"), 1, 0))*24,""))))/9.5</f>
        <v>0</v>
      </c>
      <c r="O48"/>
      <c r="P48" s="178">
        <f t="shared" ref="P48" si="17">N48+O48</f>
        <v>0</v>
      </c>
      <c r="R48" s="3">
        <f t="shared" ref="R48" ca="1" si="18">IF($C$4=1,SUM(P48+INDIRECT("'Week "&amp;($B$3+1)&amp;"'!P"&amp;(ROW()))),IF($C$4=2,SUM(P48+INDIRECT("'Week "&amp;($B$3-1)&amp;"'!P"&amp;(ROW())))))</f>
        <v>0</v>
      </c>
      <c r="S48" s="2">
        <f>(IFERROR(VLOOKUP(D48,'Employee Numbers'!$A$3:$C$84,3,FALSE),"NOT FOUND"))*8</f>
        <v>0</v>
      </c>
      <c r="U48" s="142">
        <f t="shared" ref="U48" si="19">COUNTIF(E48:K48,"0800-1730")</f>
        <v>0</v>
      </c>
      <c r="V48" s="142">
        <f t="shared" ref="V48" si="20">COUNTIF(F48:L48,"1???-00?0")</f>
        <v>0</v>
      </c>
      <c r="W48" s="2">
        <f t="shared" ref="W48" si="21">COUNTIF(F48:L48,"*0800-1730*CS*")+COUNTIF(F48:L48,"*0800-1730*DEMT*")</f>
        <v>0</v>
      </c>
      <c r="Y48" s="2">
        <f t="shared" ref="Y48" si="22">COUNTIF(K48:L48,"???0-*")</f>
        <v>0</v>
      </c>
    </row>
    <row r="49" spans="1:21" s="2" customFormat="1" ht="15" customHeight="1" thickBot="1">
      <c r="A49" s="162" t="s">
        <v>39</v>
      </c>
      <c r="B49" s="163"/>
      <c r="C49" s="238"/>
      <c r="D49" s="243"/>
      <c r="E49" s="248" t="str">
        <f>IFERROR(VLOOKUP(D49,'Employee Numbers'!$A$3:$B$84,2,FALSE),"NOT FOUND")</f>
        <v>NOT FOUND</v>
      </c>
      <c r="F49" s="245"/>
      <c r="G49" s="246"/>
      <c r="H49" s="246"/>
      <c r="I49" s="246"/>
      <c r="J49" s="246"/>
      <c r="K49" s="246"/>
      <c r="L49" s="247"/>
    </row>
    <row r="50" spans="1:21" s="2" customFormat="1" ht="15" customHeight="1" thickBot="1">
      <c r="B50" s="46"/>
      <c r="C50" s="21"/>
      <c r="D50" s="16" t="s">
        <v>82</v>
      </c>
      <c r="E50" s="58"/>
      <c r="F50" s="28" t="s">
        <v>76</v>
      </c>
      <c r="G50" s="59" t="s">
        <v>64</v>
      </c>
      <c r="H50" s="59" t="s">
        <v>73</v>
      </c>
      <c r="I50" s="59" t="s">
        <v>53</v>
      </c>
      <c r="J50" s="59" t="s">
        <v>57</v>
      </c>
      <c r="K50" s="59" t="s">
        <v>40</v>
      </c>
      <c r="L50" s="60" t="s">
        <v>66</v>
      </c>
    </row>
    <row r="51" spans="1:21" s="2" customFormat="1" ht="15" customHeight="1">
      <c r="B51" s="46"/>
      <c r="C51" s="21"/>
      <c r="E51" s="21"/>
      <c r="R51" s="2">
        <f>(N54+P54)*9.5/38*5</f>
        <v>3.75</v>
      </c>
    </row>
    <row r="52" spans="1:21" s="2" customFormat="1" ht="15.75" customHeight="1">
      <c r="B52" s="46"/>
      <c r="C52" s="21"/>
      <c r="E52" s="21"/>
      <c r="F52" s="126">
        <f t="shared" ref="F52:L52" si="23">F2</f>
        <v>46181</v>
      </c>
      <c r="G52" s="126">
        <f t="shared" si="23"/>
        <v>46182</v>
      </c>
      <c r="H52" s="126">
        <f t="shared" si="23"/>
        <v>46183</v>
      </c>
      <c r="I52" s="126">
        <f t="shared" si="23"/>
        <v>46184</v>
      </c>
      <c r="J52" s="126">
        <f t="shared" si="23"/>
        <v>46185</v>
      </c>
      <c r="K52" s="126">
        <f t="shared" si="23"/>
        <v>46186</v>
      </c>
      <c r="L52" s="126">
        <f t="shared" si="23"/>
        <v>46187</v>
      </c>
      <c r="M52" s="34"/>
      <c r="N52" s="152" t="s">
        <v>27</v>
      </c>
      <c r="O52" s="152" t="s">
        <v>83</v>
      </c>
      <c r="P52" s="152" t="s">
        <v>84</v>
      </c>
      <c r="Q52" s="2" t="s">
        <v>29</v>
      </c>
      <c r="R52" s="152" t="s">
        <v>85</v>
      </c>
      <c r="S52" s="152" t="s">
        <v>30</v>
      </c>
      <c r="T52" s="152" t="s">
        <v>31</v>
      </c>
      <c r="U52" s="152"/>
    </row>
    <row r="53" spans="1:21" s="2" customFormat="1" ht="30" customHeight="1">
      <c r="A53" s="168" t="s">
        <v>86</v>
      </c>
      <c r="B53" s="169"/>
      <c r="C53" s="169"/>
      <c r="D53" s="169" t="s">
        <v>86</v>
      </c>
      <c r="E53" s="127" t="s">
        <v>4</v>
      </c>
      <c r="F53" s="266" t="s">
        <v>5</v>
      </c>
      <c r="G53" s="267" t="s">
        <v>6</v>
      </c>
      <c r="H53" s="268" t="s">
        <v>87</v>
      </c>
      <c r="I53" s="267" t="s">
        <v>8</v>
      </c>
      <c r="J53" s="267" t="s">
        <v>9</v>
      </c>
      <c r="K53" s="267" t="s">
        <v>10</v>
      </c>
      <c r="L53" s="269" t="s">
        <v>11</v>
      </c>
      <c r="M53" s="34"/>
      <c r="N53" s="147" t="s">
        <v>32</v>
      </c>
      <c r="O53" s="147" t="s">
        <v>88</v>
      </c>
      <c r="P53" s="147" t="s">
        <v>89</v>
      </c>
      <c r="R53" s="145" t="s">
        <v>90</v>
      </c>
      <c r="S53" s="147" t="s">
        <v>32</v>
      </c>
      <c r="T53" s="147" t="s">
        <v>32</v>
      </c>
      <c r="U53" s="147"/>
    </row>
    <row r="54" spans="1:21" s="2" customFormat="1" ht="15" customHeight="1">
      <c r="A54" s="44" t="s">
        <v>91</v>
      </c>
      <c r="B54" s="44"/>
      <c r="C54" s="45"/>
      <c r="D54" s="123" t="s">
        <v>92</v>
      </c>
      <c r="E54" s="284">
        <f>IFERROR(VLOOKUP(D54,'Employee Numbers'!$A$3:$B$84,2,FALSE),"NOT FOUND")</f>
        <v>634905</v>
      </c>
      <c r="F54" s="299" t="s">
        <v>145</v>
      </c>
      <c r="G54" s="300" t="s">
        <v>41</v>
      </c>
      <c r="H54" s="300" t="s">
        <v>42</v>
      </c>
      <c r="I54" s="300" t="s">
        <v>145</v>
      </c>
      <c r="J54" s="308" t="s">
        <v>145</v>
      </c>
      <c r="K54" s="300" t="s">
        <v>145</v>
      </c>
      <c r="L54" s="300" t="s">
        <v>42</v>
      </c>
      <c r="N54">
        <f t="array" ref="N54">((SUM(IFERROR((TEXT(IF(ISNUMBER(SEARCH("-", F54:L54)), MID(F54:L54, SEARCH("-", F54:L54) + 1, 4), ""), "00\:00") - TEXT(IF(ISNUMBER(SEARCH("-", F54:L54)), MID(F54:L54, SEARCH("-", F54:L54) - 4, 4), ""), "00\:00") + IF(TEXT(IF(ISNUMBER(SEARCH("-", F54:L54)), MID(F54:L54, SEARCH("-", F54:L54) + 1, 4), ""), "00\:00") &lt; TEXT(IF(ISNUMBER(SEARCH("-", F54:L54)), MID(F54:L54, SEARCH("-", F54:L54) - 4, 4), ""), "00\:00"), 1, 0))*24,""))))/9.5</f>
        <v>3</v>
      </c>
      <c r="O54"/>
      <c r="P54"/>
      <c r="Q54" s="2">
        <f>P54+O54+N54</f>
        <v>3</v>
      </c>
      <c r="R54" s="2">
        <f>IF(ISNUMBER(SEARCH("trg_5",H146)),5,IF(ISNUMBER(SEARCH("trg_3.75",H146)),3.75,IF(ISNUMBER(SEARCH("trg_2.5",H146)),2.5,IF(ISNUMBER(SEARCH("trg_1.75",H146)),1.75,0))))</f>
        <v>3.75</v>
      </c>
      <c r="S54">
        <f ca="1">IF($C$4=1,SUM(Q54+INDIRECT("'Week "&amp;($B$3+1)&amp;"'!Q"&amp;(ROW()))),IF($C$4=2,SUM(Q54+INDIRECT("'Week "&amp;($B$3-1)&amp;"'!Q"&amp;(ROW())))))</f>
        <v>6</v>
      </c>
      <c r="T54" s="2">
        <f>(IFERROR(VLOOKUP(D54,'Employee Numbers'!$A$3:$C$84,3,FALSE),"NOT FOUND"))*8</f>
        <v>8</v>
      </c>
    </row>
    <row r="55" spans="1:21" s="13" customFormat="1" ht="15" customHeight="1">
      <c r="A55" s="2" t="s">
        <v>91</v>
      </c>
      <c r="B55" s="2"/>
      <c r="C55" s="21"/>
      <c r="D55" s="86" t="s">
        <v>93</v>
      </c>
      <c r="E55" s="285">
        <f>IFERROR(VLOOKUP(D55,'Employee Numbers'!$A$3:$B$84,2,FALSE),"NOT FOUND")</f>
        <v>704751</v>
      </c>
      <c r="F55" s="301" t="s">
        <v>42</v>
      </c>
      <c r="G55" s="302" t="s">
        <v>145</v>
      </c>
      <c r="H55" s="352" t="s">
        <v>44</v>
      </c>
      <c r="I55" s="302" t="s">
        <v>42</v>
      </c>
      <c r="J55" s="302" t="s">
        <v>42</v>
      </c>
      <c r="K55" s="302" t="s">
        <v>145</v>
      </c>
      <c r="L55" s="302" t="s">
        <v>145</v>
      </c>
      <c r="N55">
        <f t="array" ref="N55">((SUM(IFERROR((TEXT(IF(ISNUMBER(SEARCH("-", F55:L55)), MID(F55:L55, SEARCH("-", F55:L55) + 1, 4), ""), "00\:00") - TEXT(IF(ISNUMBER(SEARCH("-", F55:L55)), MID(F55:L55, SEARCH("-", F55:L55) - 4, 4), ""), "00\:00") + IF(TEXT(IF(ISNUMBER(SEARCH("-", F55:L55)), MID(F55:L55, SEARCH("-", F55:L55) + 1, 4), ""), "00\:00") &lt; TEXT(IF(ISNUMBER(SEARCH("-", F55:L55)), MID(F55:L55, SEARCH("-", F55:L55) - 4, 4), ""), "00\:00"), 1, 0))*24,""))))/9.5</f>
        <v>4</v>
      </c>
      <c r="O55"/>
      <c r="P55"/>
      <c r="Q55" s="2">
        <f t="shared" ref="Q55:Q59" si="24">P55+O55+N55</f>
        <v>4</v>
      </c>
      <c r="R55" s="2">
        <f t="shared" ref="R55:R59" si="25">IF(ISNUMBER(SEARCH("trg_5",H147)),5,IF(ISNUMBER(SEARCH("trg_3.75",H147)),3.75,IF(ISNUMBER(SEARCH("trg_2.5",H147)),2.5,IF(ISNUMBER(SEARCH("trg_1.75",H147)),1.75,0))))</f>
        <v>5</v>
      </c>
      <c r="S55">
        <f t="shared" ref="S55:S59" ca="1" si="26">IF($C$4=1,SUM(Q55+INDIRECT("'Week "&amp;($B$3+1)&amp;"'!Q"&amp;(ROW()))),IF($C$4=2,SUM(Q55+INDIRECT("'Week "&amp;($B$3-1)&amp;"'!Q"&amp;(ROW())))))</f>
        <v>8</v>
      </c>
      <c r="T55" s="2">
        <f>(IFERROR(VLOOKUP(D55,'Employee Numbers'!$A$3:$C$84,3,FALSE),"NOT FOUND"))*8</f>
        <v>0</v>
      </c>
      <c r="U55" s="2"/>
    </row>
    <row r="56" spans="1:21" s="2" customFormat="1" ht="15" customHeight="1">
      <c r="A56" s="44" t="s">
        <v>91</v>
      </c>
      <c r="B56" s="44"/>
      <c r="C56" s="45"/>
      <c r="D56" s="85" t="s">
        <v>94</v>
      </c>
      <c r="E56" s="285">
        <f>IFERROR(VLOOKUP(D56,'Employee Numbers'!$A$3:$B$84,2,FALSE),"NOT FOUND")</f>
        <v>637219</v>
      </c>
      <c r="F56" s="301" t="s">
        <v>42</v>
      </c>
      <c r="G56" s="302" t="s">
        <v>41</v>
      </c>
      <c r="H56" s="302" t="s">
        <v>145</v>
      </c>
      <c r="I56" s="302" t="s">
        <v>145</v>
      </c>
      <c r="J56" s="302" t="s">
        <v>145</v>
      </c>
      <c r="K56" s="302" t="s">
        <v>42</v>
      </c>
      <c r="L56" s="302" t="s">
        <v>42</v>
      </c>
      <c r="N56">
        <f t="array" ref="N56">((SUM(IFERROR((TEXT(IF(ISNUMBER(SEARCH("-", F56:L56)), MID(F56:L56, SEARCH("-", F56:L56) + 1, 4), ""), "00\:00") - TEXT(IF(ISNUMBER(SEARCH("-", F56:L56)), MID(F56:L56, SEARCH("-", F56:L56) - 4, 4), ""), "00\:00") + IF(TEXT(IF(ISNUMBER(SEARCH("-", F56:L56)), MID(F56:L56, SEARCH("-", F56:L56) + 1, 4), ""), "00\:00") &lt; TEXT(IF(ISNUMBER(SEARCH("-", F56:L56)), MID(F56:L56, SEARCH("-", F56:L56) - 4, 4), ""), "00\:00"), 1, 0))*24,""))))/9.5</f>
        <v>4</v>
      </c>
      <c r="O56"/>
      <c r="P56"/>
      <c r="Q56" s="2">
        <f t="shared" si="24"/>
        <v>4</v>
      </c>
      <c r="R56" s="2">
        <f t="shared" si="25"/>
        <v>5</v>
      </c>
      <c r="S56">
        <f t="shared" ca="1" si="26"/>
        <v>8</v>
      </c>
      <c r="T56" s="2">
        <f>(IFERROR(VLOOKUP(D56,'Employee Numbers'!$A$3:$C$84,3,FALSE),"NOT FOUND"))*8</f>
        <v>0</v>
      </c>
    </row>
    <row r="57" spans="1:21" s="13" customFormat="1" ht="15" customHeight="1">
      <c r="A57" s="2" t="s">
        <v>91</v>
      </c>
      <c r="B57" s="2"/>
      <c r="C57" s="21"/>
      <c r="D57" s="86"/>
      <c r="E57" s="39" t="str">
        <f>IFERROR(VLOOKUP(D57,'Employee Numbers'!$A$3:$B$84,2,FALSE),"NOT FOUND")</f>
        <v>NOT FOUND</v>
      </c>
      <c r="F57" s="322" t="s">
        <v>145</v>
      </c>
      <c r="G57" s="319" t="s">
        <v>145</v>
      </c>
      <c r="H57" s="319" t="s">
        <v>145</v>
      </c>
      <c r="I57" s="319" t="s">
        <v>145</v>
      </c>
      <c r="J57" s="319" t="s">
        <v>145</v>
      </c>
      <c r="K57" s="319" t="s">
        <v>145</v>
      </c>
      <c r="L57" s="319" t="s">
        <v>145</v>
      </c>
      <c r="N57">
        <f t="array" ref="N57">((SUM(IFERROR((TEXT(IF(ISNUMBER(SEARCH("-", F57:L57)), MID(F57:L57, SEARCH("-", F57:L57) + 1, 4), ""), "00\:00") - TEXT(IF(ISNUMBER(SEARCH("-", F57:L57)), MID(F57:L57, SEARCH("-", F57:L57) - 4, 4), ""), "00\:00") + IF(TEXT(IF(ISNUMBER(SEARCH("-", F57:L57)), MID(F57:L57, SEARCH("-", F57:L57) + 1, 4), ""), "00\:00") &lt; TEXT(IF(ISNUMBER(SEARCH("-", F57:L57)), MID(F57:L57, SEARCH("-", F57:L57) - 4, 4), ""), "00\:00"), 1, 0))*24,""))))/9.5</f>
        <v>0</v>
      </c>
      <c r="O57"/>
      <c r="P57"/>
      <c r="Q57" s="2">
        <f t="shared" si="24"/>
        <v>0</v>
      </c>
      <c r="R57" s="2">
        <f t="shared" si="25"/>
        <v>2.5</v>
      </c>
      <c r="S57">
        <f t="shared" ca="1" si="26"/>
        <v>0</v>
      </c>
      <c r="T57" s="2" t="e">
        <f>(IFERROR(VLOOKUP(D57,'Employee Numbers'!$A$3:$C$84,3,FALSE),"NOT FOUND"))*8</f>
        <v>#VALUE!</v>
      </c>
      <c r="U57" s="2"/>
    </row>
    <row r="58" spans="1:21" s="2" customFormat="1" ht="15" customHeight="1">
      <c r="A58" s="44" t="s">
        <v>91</v>
      </c>
      <c r="B58" s="44"/>
      <c r="C58" s="45"/>
      <c r="D58" s="85"/>
      <c r="E58" s="39" t="str">
        <f>IFERROR(VLOOKUP(D58,'Employee Numbers'!$A$3:$B$84,2,FALSE),"NOT FOUND")</f>
        <v>NOT FOUND</v>
      </c>
      <c r="F58" s="320" t="s">
        <v>145</v>
      </c>
      <c r="G58" s="321" t="s">
        <v>145</v>
      </c>
      <c r="H58" s="321" t="s">
        <v>145</v>
      </c>
      <c r="I58" s="321" t="s">
        <v>145</v>
      </c>
      <c r="J58" s="321" t="s">
        <v>145</v>
      </c>
      <c r="K58" s="321" t="s">
        <v>145</v>
      </c>
      <c r="L58" s="321" t="s">
        <v>145</v>
      </c>
      <c r="N58">
        <f t="array" ref="N58">((SUM(IFERROR((TEXT(IF(ISNUMBER(SEARCH("-", F58:L58)), MID(F58:L58, SEARCH("-", F58:L58) + 1, 4), ""), "00\:00") - TEXT(IF(ISNUMBER(SEARCH("-", F58:L58)), MID(F58:L58, SEARCH("-", F58:L58) - 4, 4), ""), "00\:00") + IF(TEXT(IF(ISNUMBER(SEARCH("-", F58:L58)), MID(F58:L58, SEARCH("-", F58:L58) + 1, 4), ""), "00\:00") &lt; TEXT(IF(ISNUMBER(SEARCH("-", F58:L58)), MID(F58:L58, SEARCH("-", F58:L58) - 4, 4), ""), "00\:00"), 1, 0))*24,""))))/9.5</f>
        <v>0</v>
      </c>
      <c r="O58"/>
      <c r="P58"/>
      <c r="Q58" s="2">
        <f t="shared" si="24"/>
        <v>0</v>
      </c>
      <c r="R58" s="2">
        <f t="shared" si="25"/>
        <v>2.5</v>
      </c>
      <c r="S58">
        <f t="shared" ca="1" si="26"/>
        <v>0</v>
      </c>
      <c r="T58" s="2" t="e">
        <f>(IFERROR(VLOOKUP(D58,'Employee Numbers'!$A$3:$C$84,3,FALSE),"NOT FOUND"))*8</f>
        <v>#VALUE!</v>
      </c>
    </row>
    <row r="59" spans="1:21" s="13" customFormat="1" ht="15" customHeight="1">
      <c r="A59" s="2" t="s">
        <v>91</v>
      </c>
      <c r="B59" s="2"/>
      <c r="C59" s="21"/>
      <c r="D59" s="86"/>
      <c r="E59" s="39" t="str">
        <f>IFERROR(VLOOKUP(D59,'Employee Numbers'!$A$3:$B$84,2,FALSE),"NOT FOUND")</f>
        <v>NOT FOUND</v>
      </c>
      <c r="F59" s="322" t="s">
        <v>145</v>
      </c>
      <c r="G59" s="319" t="s">
        <v>145</v>
      </c>
      <c r="H59" s="319" t="s">
        <v>145</v>
      </c>
      <c r="I59" s="319" t="s">
        <v>145</v>
      </c>
      <c r="J59" s="319" t="s">
        <v>145</v>
      </c>
      <c r="K59" s="319" t="s">
        <v>145</v>
      </c>
      <c r="L59" s="319" t="s">
        <v>145</v>
      </c>
      <c r="N59">
        <f t="array" ref="N59">((SUM(IFERROR((TEXT(IF(ISNUMBER(SEARCH("-", F59:L59)), MID(F59:L59, SEARCH("-", F59:L59) + 1, 4), ""), "00\:00") - TEXT(IF(ISNUMBER(SEARCH("-", F59:L59)), MID(F59:L59, SEARCH("-", F59:L59) - 4, 4), ""), "00\:00") + IF(TEXT(IF(ISNUMBER(SEARCH("-", F59:L59)), MID(F59:L59, SEARCH("-", F59:L59) + 1, 4), ""), "00\:00") &lt; TEXT(IF(ISNUMBER(SEARCH("-", F59:L59)), MID(F59:L59, SEARCH("-", F59:L59) - 4, 4), ""), "00\:00"), 1, 0))*24,""))))/9.5</f>
        <v>0</v>
      </c>
      <c r="O59"/>
      <c r="P59"/>
      <c r="Q59" s="2">
        <f t="shared" si="24"/>
        <v>0</v>
      </c>
      <c r="R59" s="2">
        <f t="shared" si="25"/>
        <v>2.5</v>
      </c>
      <c r="S59">
        <f t="shared" ca="1" si="26"/>
        <v>0</v>
      </c>
      <c r="T59" s="2" t="e">
        <f>(IFERROR(VLOOKUP(D59,'Employee Numbers'!$A$3:$C$84,3,FALSE),"NOT FOUND"))*8</f>
        <v>#VALUE!</v>
      </c>
      <c r="U59" s="2"/>
    </row>
    <row r="60" spans="1:21" s="2" customFormat="1" ht="30" customHeight="1">
      <c r="A60" s="170" t="s">
        <v>96</v>
      </c>
      <c r="B60" s="131"/>
      <c r="C60" s="132"/>
      <c r="D60" s="171" t="s">
        <v>97</v>
      </c>
      <c r="E60" s="133" t="s">
        <v>4</v>
      </c>
      <c r="F60" s="323" t="s">
        <v>5</v>
      </c>
      <c r="G60" s="324" t="s">
        <v>6</v>
      </c>
      <c r="H60" s="325" t="s">
        <v>87</v>
      </c>
      <c r="I60" s="324" t="s">
        <v>8</v>
      </c>
      <c r="J60" s="324" t="s">
        <v>9</v>
      </c>
      <c r="K60" s="324" t="s">
        <v>10</v>
      </c>
      <c r="L60" s="326" t="s">
        <v>11</v>
      </c>
      <c r="N60"/>
      <c r="O60"/>
      <c r="P60"/>
    </row>
    <row r="61" spans="1:21" s="2" customFormat="1" ht="15" customHeight="1">
      <c r="A61" s="2" t="s">
        <v>98</v>
      </c>
      <c r="C61" s="47"/>
      <c r="D61" s="262" t="s">
        <v>99</v>
      </c>
      <c r="E61" s="284">
        <f>IFERROR(VLOOKUP(D61,'Employee Numbers'!$A$3:$B$84,2,FALSE),"NOT FOUND")</f>
        <v>638531</v>
      </c>
      <c r="F61" s="299" t="s">
        <v>42</v>
      </c>
      <c r="G61" s="300" t="s">
        <v>42</v>
      </c>
      <c r="H61" s="300" t="s">
        <v>145</v>
      </c>
      <c r="I61" s="300" t="s">
        <v>145</v>
      </c>
      <c r="J61" s="300" t="s">
        <v>145</v>
      </c>
      <c r="K61" s="300" t="s">
        <v>42</v>
      </c>
      <c r="L61" s="300" t="s">
        <v>42</v>
      </c>
      <c r="N61">
        <f t="array" ref="N61">((SUM(IFERROR((TEXT(IF(ISNUMBER(SEARCH("-", F61:L61)), MID(F61:L61, SEARCH("-", F61:L61) + 1, 4), ""), "00\:00") - TEXT(IF(ISNUMBER(SEARCH("-", F61:L61)), MID(F61:L61, SEARCH("-", F61:L61) - 4, 4), ""), "00\:00") + IF(TEXT(IF(ISNUMBER(SEARCH("-", F61:L61)), MID(F61:L61, SEARCH("-", F61:L61) + 1, 4), ""), "00\:00") &lt; TEXT(IF(ISNUMBER(SEARCH("-", F61:L61)), MID(F61:L61, SEARCH("-", F61:L61) - 4, 4), ""), "00\:00"), 1, 0))*24,""))))/9.5</f>
        <v>4</v>
      </c>
      <c r="O61"/>
      <c r="P61"/>
      <c r="Q61" s="2">
        <f>P61+O61+N61</f>
        <v>4</v>
      </c>
      <c r="R61" s="2">
        <f>IF(ISNUMBER(SEARCH("trg_5",H153)),5,IF(ISNUMBER(SEARCH("trg_3.75",H153)),3.75,IF(ISNUMBER(SEARCH("trg_2.5",H153)),2.5,IF(ISNUMBER(SEARCH("trg_1.75",H153)),1.75,0))))</f>
        <v>5</v>
      </c>
      <c r="S61">
        <f ca="1">IF($C$4=1,SUM(Q61+INDIRECT("'Week "&amp;($B$3+1)&amp;"'!Q"&amp;(ROW()))),IF($C$4=2,SUM(Q61+INDIRECT("'Week "&amp;($B$3-1)&amp;"'!Q"&amp;(ROW())))))</f>
        <v>8</v>
      </c>
      <c r="T61" s="2">
        <f>(IFERROR(VLOOKUP(D61,'Employee Numbers'!$A$3:$C$84,3,FALSE),"NOT FOUND"))*8</f>
        <v>0</v>
      </c>
    </row>
    <row r="62" spans="1:21" s="2" customFormat="1" ht="15" customHeight="1">
      <c r="A62" s="44" t="s">
        <v>98</v>
      </c>
      <c r="B62" s="44"/>
      <c r="C62" s="45"/>
      <c r="D62" s="262" t="s">
        <v>101</v>
      </c>
      <c r="E62" s="285">
        <f>IFERROR(VLOOKUP(D62,'Employee Numbers'!$A$3:$B$84,2,FALSE),"NOT FOUND")</f>
        <v>631715</v>
      </c>
      <c r="F62" s="301" t="s">
        <v>100</v>
      </c>
      <c r="G62" s="302" t="s">
        <v>100</v>
      </c>
      <c r="H62" s="302" t="s">
        <v>100</v>
      </c>
      <c r="I62" s="302" t="s">
        <v>100</v>
      </c>
      <c r="J62" s="302" t="s">
        <v>145</v>
      </c>
      <c r="K62" s="302" t="s">
        <v>145</v>
      </c>
      <c r="L62" s="302" t="s">
        <v>145</v>
      </c>
      <c r="N62">
        <f t="array" ref="N62">((SUM(IFERROR((TEXT(IF(ISNUMBER(SEARCH("-", F62:L62)), MID(F62:L62, SEARCH("-", F62:L62) + 1, 4), ""), "00\:00") - TEXT(IF(ISNUMBER(SEARCH("-", F62:L62)), MID(F62:L62, SEARCH("-", F62:L62) - 4, 4), ""), "00\:00") + IF(TEXT(IF(ISNUMBER(SEARCH("-", F62:L62)), MID(F62:L62, SEARCH("-", F62:L62) + 1, 4), ""), "00\:00") &lt; TEXT(IF(ISNUMBER(SEARCH("-", F62:L62)), MID(F62:L62, SEARCH("-", F62:L62) - 4, 4), ""), "00\:00"), 1, 0))*24,""))))/9.5</f>
        <v>3.9999999999999991</v>
      </c>
      <c r="O62"/>
      <c r="P62"/>
      <c r="Q62" s="2">
        <f t="shared" ref="Q62:Q80" si="27">P62+O62+N62</f>
        <v>3.9999999999999991</v>
      </c>
      <c r="R62" s="2">
        <f t="shared" ref="R62:R80" si="28">IF(ISNUMBER(SEARCH("trg_5",H154)),5,IF(ISNUMBER(SEARCH("trg_3.75",H154)),3.75,IF(ISNUMBER(SEARCH("trg_2.5",H154)),2.5,IF(ISNUMBER(SEARCH("trg_1.75",H154)),1.75,0))))</f>
        <v>5</v>
      </c>
      <c r="S62">
        <f t="shared" ref="S62:S84" ca="1" si="29">IF($C$4=1,SUM(Q62+INDIRECT("'Week "&amp;($B$3+1)&amp;"'!Q"&amp;(ROW()))),IF($C$4=2,SUM(Q62+INDIRECT("'Week "&amp;($B$3-1)&amp;"'!Q"&amp;(ROW())))))</f>
        <v>7.9999999999999991</v>
      </c>
      <c r="T62" s="2">
        <f>(IFERROR(VLOOKUP(D62,'Employee Numbers'!$A$3:$C$84,3,FALSE),"NOT FOUND"))*8</f>
        <v>0</v>
      </c>
    </row>
    <row r="63" spans="1:21" s="13" customFormat="1" ht="15" customHeight="1">
      <c r="A63" s="2" t="s">
        <v>98</v>
      </c>
      <c r="B63" s="2"/>
      <c r="C63" s="21"/>
      <c r="D63" s="262" t="s">
        <v>103</v>
      </c>
      <c r="E63" s="285">
        <f>IFERROR(VLOOKUP(D63,'Employee Numbers'!$A$3:$B$84,2,FALSE),"NOT FOUND")</f>
        <v>703719</v>
      </c>
      <c r="F63" s="301" t="s">
        <v>42</v>
      </c>
      <c r="G63" s="302" t="s">
        <v>42</v>
      </c>
      <c r="H63" s="302" t="s">
        <v>145</v>
      </c>
      <c r="I63" s="303" t="s">
        <v>145</v>
      </c>
      <c r="J63" s="352" t="s">
        <v>44</v>
      </c>
      <c r="K63" s="302" t="s">
        <v>145</v>
      </c>
      <c r="L63" s="302" t="s">
        <v>145</v>
      </c>
      <c r="N63">
        <f t="array" ref="N63">((SUM(IFERROR((TEXT(IF(ISNUMBER(SEARCH("-", F63:L63)), MID(F63:L63, SEARCH("-", F63:L63) + 1, 4), ""), "00\:00") - TEXT(IF(ISNUMBER(SEARCH("-", F63:L63)), MID(F63:L63, SEARCH("-", F63:L63) - 4, 4), ""), "00\:00") + IF(TEXT(IF(ISNUMBER(SEARCH("-", F63:L63)), MID(F63:L63, SEARCH("-", F63:L63) + 1, 4), ""), "00\:00") &lt; TEXT(IF(ISNUMBER(SEARCH("-", F63:L63)), MID(F63:L63, SEARCH("-", F63:L63) - 4, 4), ""), "00\:00"), 1, 0))*24,""))))/9.5</f>
        <v>3</v>
      </c>
      <c r="O63"/>
      <c r="P63"/>
      <c r="Q63" s="2">
        <f t="shared" si="27"/>
        <v>3</v>
      </c>
      <c r="R63" s="2">
        <f t="shared" si="28"/>
        <v>3.75</v>
      </c>
      <c r="S63">
        <f t="shared" ca="1" si="29"/>
        <v>5</v>
      </c>
      <c r="T63" s="2">
        <f>(IFERROR(VLOOKUP(D63,'Employee Numbers'!$A$3:$C$84,3,FALSE),"NOT FOUND"))*8</f>
        <v>0</v>
      </c>
      <c r="U63" s="2"/>
    </row>
    <row r="64" spans="1:21" s="2" customFormat="1" ht="15" customHeight="1">
      <c r="A64" s="44" t="s">
        <v>98</v>
      </c>
      <c r="B64" s="44"/>
      <c r="C64" s="45"/>
      <c r="D64" s="262" t="s">
        <v>104</v>
      </c>
      <c r="E64" s="285">
        <f>IFERROR(VLOOKUP(D64,'Employee Numbers'!$A$3:$B$84,2,FALSE),"NOT FOUND")</f>
        <v>637791</v>
      </c>
      <c r="F64" s="301" t="s">
        <v>145</v>
      </c>
      <c r="G64" s="302" t="s">
        <v>42</v>
      </c>
      <c r="H64" s="302" t="s">
        <v>145</v>
      </c>
      <c r="I64" s="302" t="s">
        <v>145</v>
      </c>
      <c r="J64" s="302" t="s">
        <v>145</v>
      </c>
      <c r="K64" s="352" t="s">
        <v>44</v>
      </c>
      <c r="L64" s="302" t="s">
        <v>44</v>
      </c>
      <c r="N64">
        <f t="array" ref="N64">((SUM(IFERROR((TEXT(IF(ISNUMBER(SEARCH("-", F64:L64)), MID(F64:L64, SEARCH("-", F64:L64) + 1, 4), ""), "00\:00") - TEXT(IF(ISNUMBER(SEARCH("-", F64:L64)), MID(F64:L64, SEARCH("-", F64:L64) - 4, 4), ""), "00\:00") + IF(TEXT(IF(ISNUMBER(SEARCH("-", F64:L64)), MID(F64:L64, SEARCH("-", F64:L64) + 1, 4), ""), "00\:00") &lt; TEXT(IF(ISNUMBER(SEARCH("-", F64:L64)), MID(F64:L64, SEARCH("-", F64:L64) - 4, 4), ""), "00\:00"), 1, 0))*24,""))))/9.5</f>
        <v>3</v>
      </c>
      <c r="O64"/>
      <c r="P64"/>
      <c r="Q64" s="2">
        <f t="shared" si="27"/>
        <v>3</v>
      </c>
      <c r="R64" s="2">
        <f t="shared" si="28"/>
        <v>3.75</v>
      </c>
      <c r="S64">
        <f t="shared" ca="1" si="29"/>
        <v>3</v>
      </c>
      <c r="T64" s="2">
        <f>(IFERROR(VLOOKUP(D64,'Employee Numbers'!$A$3:$C$84,3,FALSE),"NOT FOUND"))*8</f>
        <v>0</v>
      </c>
    </row>
    <row r="65" spans="1:20" s="2" customFormat="1" ht="15" customHeight="1">
      <c r="A65" s="2" t="s">
        <v>98</v>
      </c>
      <c r="C65" s="21"/>
      <c r="D65" s="262" t="s">
        <v>105</v>
      </c>
      <c r="E65" s="285">
        <f>IFERROR(VLOOKUP(D65,'Employee Numbers'!$A$3:$B$84,2,FALSE),"NOT FOUND")</f>
        <v>652867</v>
      </c>
      <c r="F65" s="313" t="s">
        <v>145</v>
      </c>
      <c r="G65" s="303" t="s">
        <v>145</v>
      </c>
      <c r="H65" s="302" t="s">
        <v>42</v>
      </c>
      <c r="I65" s="302" t="s">
        <v>174</v>
      </c>
      <c r="J65" s="302" t="s">
        <v>145</v>
      </c>
      <c r="K65" s="302" t="s">
        <v>44</v>
      </c>
      <c r="L65" s="352" t="s">
        <v>44</v>
      </c>
      <c r="N65">
        <f t="array" ref="N65">((SUM(IFERROR((TEXT(IF(ISNUMBER(SEARCH("-", F65:L65)), MID(F65:L65, SEARCH("-", F65:L65) + 1, 4), ""), "00\:00") - TEXT(IF(ISNUMBER(SEARCH("-", F65:L65)), MID(F65:L65, SEARCH("-", F65:L65) - 4, 4), ""), "00\:00") + IF(TEXT(IF(ISNUMBER(SEARCH("-", F65:L65)), MID(F65:L65, SEARCH("-", F65:L65) + 1, 4), ""), "00\:00") &lt; TEXT(IF(ISNUMBER(SEARCH("-", F65:L65)), MID(F65:L65, SEARCH("-", F65:L65) - 4, 4), ""), "00\:00"), 1, 0))*24,""))))/9.5</f>
        <v>4</v>
      </c>
      <c r="O65"/>
      <c r="P65"/>
      <c r="Q65" s="2">
        <f t="shared" si="27"/>
        <v>4</v>
      </c>
      <c r="R65" s="2">
        <f t="shared" si="28"/>
        <v>5</v>
      </c>
      <c r="S65">
        <f t="shared" ca="1" si="29"/>
        <v>4</v>
      </c>
      <c r="T65" s="2">
        <f>(IFERROR(VLOOKUP(D65,'Employee Numbers'!$A$3:$C$84,3,FALSE),"NOT FOUND"))*8</f>
        <v>0</v>
      </c>
    </row>
    <row r="66" spans="1:20" s="2" customFormat="1" ht="15" customHeight="1">
      <c r="A66" s="44" t="s">
        <v>98</v>
      </c>
      <c r="B66" s="44"/>
      <c r="C66" s="45"/>
      <c r="D66" s="262" t="s">
        <v>106</v>
      </c>
      <c r="E66" s="285">
        <f>IFERROR(VLOOKUP(D66,'Employee Numbers'!$A$3:$B$84,2,FALSE),"NOT FOUND")</f>
        <v>611551</v>
      </c>
      <c r="F66" s="301" t="s">
        <v>145</v>
      </c>
      <c r="G66" s="302" t="s">
        <v>145</v>
      </c>
      <c r="H66" s="302" t="s">
        <v>145</v>
      </c>
      <c r="I66" s="302" t="s">
        <v>145</v>
      </c>
      <c r="J66" s="302" t="s">
        <v>100</v>
      </c>
      <c r="K66" s="302" t="s">
        <v>100</v>
      </c>
      <c r="L66" s="302" t="s">
        <v>145</v>
      </c>
      <c r="N66">
        <f t="array" ref="N66">((SUM(IFERROR((TEXT(IF(ISNUMBER(SEARCH("-", F66:L66)), MID(F66:L66, SEARCH("-", F66:L66) + 1, 4), ""), "00\:00") - TEXT(IF(ISNUMBER(SEARCH("-", F66:L66)), MID(F66:L66, SEARCH("-", F66:L66) - 4, 4), ""), "00\:00") + IF(TEXT(IF(ISNUMBER(SEARCH("-", F66:L66)), MID(F66:L66, SEARCH("-", F66:L66) + 1, 4), ""), "00\:00") &lt; TEXT(IF(ISNUMBER(SEARCH("-", F66:L66)), MID(F66:L66, SEARCH("-", F66:L66) - 4, 4), ""), "00\:00"), 1, 0))*24,""))))/9.5</f>
        <v>1.9999999999999996</v>
      </c>
      <c r="O66"/>
      <c r="P66"/>
      <c r="Q66" s="2">
        <f t="shared" si="27"/>
        <v>1.9999999999999996</v>
      </c>
      <c r="R66" s="2">
        <f t="shared" si="28"/>
        <v>2.5</v>
      </c>
      <c r="S66">
        <f t="shared" ca="1" si="29"/>
        <v>3.9999999999999996</v>
      </c>
      <c r="T66" s="2">
        <f>(IFERROR(VLOOKUP(D66,'Employee Numbers'!$A$3:$C$84,3,FALSE),"NOT FOUND"))*8</f>
        <v>0</v>
      </c>
    </row>
    <row r="67" spans="1:20" s="2" customFormat="1" ht="15" customHeight="1">
      <c r="A67" s="2" t="s">
        <v>98</v>
      </c>
      <c r="C67" s="21"/>
      <c r="D67" s="262" t="s">
        <v>107</v>
      </c>
      <c r="E67" s="285">
        <f>IFERROR(VLOOKUP(D67,'Employee Numbers'!$A$3:$B$84,2,FALSE),"NOT FOUND")</f>
        <v>615820</v>
      </c>
      <c r="F67" s="301" t="s">
        <v>100</v>
      </c>
      <c r="G67" s="302" t="s">
        <v>100</v>
      </c>
      <c r="H67" s="302" t="s">
        <v>145</v>
      </c>
      <c r="I67" s="302" t="s">
        <v>145</v>
      </c>
      <c r="J67" s="302" t="s">
        <v>145</v>
      </c>
      <c r="K67" s="302" t="s">
        <v>145</v>
      </c>
      <c r="L67" s="302" t="s">
        <v>145</v>
      </c>
      <c r="N67">
        <f t="array" ref="N67">((SUM(IFERROR((TEXT(IF(ISNUMBER(SEARCH("-", F67:L67)), MID(F67:L67, SEARCH("-", F67:L67) + 1, 4), ""), "00\:00") - TEXT(IF(ISNUMBER(SEARCH("-", F67:L67)), MID(F67:L67, SEARCH("-", F67:L67) - 4, 4), ""), "00\:00") + IF(TEXT(IF(ISNUMBER(SEARCH("-", F67:L67)), MID(F67:L67, SEARCH("-", F67:L67) + 1, 4), ""), "00\:00") &lt; TEXT(IF(ISNUMBER(SEARCH("-", F67:L67)), MID(F67:L67, SEARCH("-", F67:L67) - 4, 4), ""), "00\:00"), 1, 0))*24,""))))/9.5</f>
        <v>1.9999999999999996</v>
      </c>
      <c r="O67"/>
      <c r="P67"/>
      <c r="Q67" s="2">
        <f t="shared" si="27"/>
        <v>1.9999999999999996</v>
      </c>
      <c r="R67" s="2">
        <f t="shared" si="28"/>
        <v>2.5</v>
      </c>
      <c r="S67">
        <f t="shared" ca="1" si="29"/>
        <v>3.9999999999999991</v>
      </c>
      <c r="T67" s="2">
        <f>(IFERROR(VLOOKUP(D67,'Employee Numbers'!$A$3:$C$84,3,FALSE),"NOT FOUND"))*8</f>
        <v>0</v>
      </c>
    </row>
    <row r="68" spans="1:20" s="2" customFormat="1" ht="15" customHeight="1">
      <c r="A68" s="44" t="s">
        <v>98</v>
      </c>
      <c r="B68" s="44"/>
      <c r="C68" s="45"/>
      <c r="D68" s="262" t="s">
        <v>108</v>
      </c>
      <c r="E68" s="285">
        <f>IFERROR(VLOOKUP(D68,'Employee Numbers'!$A$3:$B$84,2,FALSE),"NOT FOUND")</f>
        <v>654727</v>
      </c>
      <c r="F68" s="306" t="s">
        <v>100</v>
      </c>
      <c r="G68" s="307" t="s">
        <v>100</v>
      </c>
      <c r="H68" s="307" t="s">
        <v>100</v>
      </c>
      <c r="I68" s="307" t="s">
        <v>100</v>
      </c>
      <c r="J68" s="307" t="s">
        <v>145</v>
      </c>
      <c r="K68" s="307" t="s">
        <v>145</v>
      </c>
      <c r="L68" s="307" t="s">
        <v>145</v>
      </c>
      <c r="N68">
        <f t="array" ref="N68">((SUM(IFERROR((TEXT(IF(ISNUMBER(SEARCH("-", F68:L68)), MID(F68:L68, SEARCH("-", F68:L68) + 1, 4), ""), "00\:00") - TEXT(IF(ISNUMBER(SEARCH("-", F68:L68)), MID(F68:L68, SEARCH("-", F68:L68) - 4, 4), ""), "00\:00") + IF(TEXT(IF(ISNUMBER(SEARCH("-", F68:L68)), MID(F68:L68, SEARCH("-", F68:L68) + 1, 4), ""), "00\:00") &lt; TEXT(IF(ISNUMBER(SEARCH("-", F68:L68)), MID(F68:L68, SEARCH("-", F68:L68) - 4, 4), ""), "00\:00"), 1, 0))*24,""))))/9.5</f>
        <v>3.9999999999999991</v>
      </c>
      <c r="O68"/>
      <c r="P68"/>
      <c r="Q68" s="2">
        <f t="shared" si="27"/>
        <v>3.9999999999999991</v>
      </c>
      <c r="R68" s="2">
        <f t="shared" si="28"/>
        <v>5</v>
      </c>
      <c r="S68">
        <f t="shared" ca="1" si="29"/>
        <v>7.9999999999999991</v>
      </c>
      <c r="T68" s="2">
        <f>(IFERROR(VLOOKUP(D68,'Employee Numbers'!$A$3:$C$84,3,FALSE),"NOT FOUND"))*8</f>
        <v>0</v>
      </c>
    </row>
    <row r="69" spans="1:20" s="2" customFormat="1" ht="15" customHeight="1">
      <c r="A69" s="2" t="s">
        <v>98</v>
      </c>
      <c r="C69" s="47"/>
      <c r="D69" s="262" t="s">
        <v>109</v>
      </c>
      <c r="E69" s="285">
        <f>IFERROR(VLOOKUP(D69,'Employee Numbers'!$A$3:$B$84,2,FALSE),"NOT FOUND")</f>
        <v>702947</v>
      </c>
      <c r="F69" s="299" t="s">
        <v>145</v>
      </c>
      <c r="G69" s="300" t="s">
        <v>145</v>
      </c>
      <c r="H69" s="300" t="s">
        <v>42</v>
      </c>
      <c r="I69" s="300" t="s">
        <v>174</v>
      </c>
      <c r="J69" s="300" t="s">
        <v>145</v>
      </c>
      <c r="K69" s="300" t="s">
        <v>42</v>
      </c>
      <c r="L69" s="300" t="s">
        <v>42</v>
      </c>
      <c r="N69">
        <f t="array" ref="N69">((SUM(IFERROR((TEXT(IF(ISNUMBER(SEARCH("-", F69:L69)), MID(F69:L69, SEARCH("-", F69:L69) + 1, 4), ""), "00\:00") - TEXT(IF(ISNUMBER(SEARCH("-", F69:L69)), MID(F69:L69, SEARCH("-", F69:L69) - 4, 4), ""), "00\:00") + IF(TEXT(IF(ISNUMBER(SEARCH("-", F69:L69)), MID(F69:L69, SEARCH("-", F69:L69) + 1, 4), ""), "00\:00") &lt; TEXT(IF(ISNUMBER(SEARCH("-", F69:L69)), MID(F69:L69, SEARCH("-", F69:L69) - 4, 4), ""), "00\:00"), 1, 0))*24,""))))/9.5</f>
        <v>4</v>
      </c>
      <c r="O69"/>
      <c r="P69"/>
      <c r="Q69" s="2">
        <f t="shared" si="27"/>
        <v>4</v>
      </c>
      <c r="R69" s="2">
        <f t="shared" si="28"/>
        <v>5</v>
      </c>
      <c r="S69">
        <f t="shared" ca="1" si="29"/>
        <v>8</v>
      </c>
      <c r="T69" s="2">
        <f>(IFERROR(VLOOKUP(D69,'Employee Numbers'!$A$3:$C$84,3,FALSE),"NOT FOUND"))*8</f>
        <v>0</v>
      </c>
    </row>
    <row r="70" spans="1:20" s="2" customFormat="1" ht="15" customHeight="1">
      <c r="A70" s="44" t="s">
        <v>98</v>
      </c>
      <c r="B70" s="44"/>
      <c r="C70" s="45"/>
      <c r="D70" s="262" t="s">
        <v>110</v>
      </c>
      <c r="E70" s="285">
        <f>IFERROR(VLOOKUP(D70,'Employee Numbers'!$A$3:$B$84,2,FALSE),"NOT FOUND")</f>
        <v>654002</v>
      </c>
      <c r="F70" s="301" t="s">
        <v>145</v>
      </c>
      <c r="G70" s="302" t="s">
        <v>145</v>
      </c>
      <c r="H70" s="302" t="s">
        <v>145</v>
      </c>
      <c r="I70" s="302"/>
      <c r="J70" s="302" t="s">
        <v>42</v>
      </c>
      <c r="K70" s="302" t="s">
        <v>42</v>
      </c>
      <c r="L70" s="302" t="s">
        <v>42</v>
      </c>
      <c r="N70">
        <f t="array" ref="N70">((SUM(IFERROR((TEXT(IF(ISNUMBER(SEARCH("-", F70:L70)), MID(F70:L70, SEARCH("-", F70:L70) + 1, 4), ""), "00\:00") - TEXT(IF(ISNUMBER(SEARCH("-", F70:L70)), MID(F70:L70, SEARCH("-", F70:L70) - 4, 4), ""), "00\:00") + IF(TEXT(IF(ISNUMBER(SEARCH("-", F70:L70)), MID(F70:L70, SEARCH("-", F70:L70) + 1, 4), ""), "00\:00") &lt; TEXT(IF(ISNUMBER(SEARCH("-", F70:L70)), MID(F70:L70, SEARCH("-", F70:L70) - 4, 4), ""), "00\:00"), 1, 0))*24,""))))/9.5</f>
        <v>3</v>
      </c>
      <c r="O70"/>
      <c r="P70"/>
      <c r="Q70" s="2">
        <f t="shared" si="27"/>
        <v>3</v>
      </c>
      <c r="R70" s="2">
        <f t="shared" si="28"/>
        <v>5</v>
      </c>
      <c r="S70">
        <f t="shared" ca="1" si="29"/>
        <v>8</v>
      </c>
      <c r="T70" s="2">
        <f>(IFERROR(VLOOKUP(D70,'Employee Numbers'!$A$3:$C$84,3,FALSE),"NOT FOUND"))*8</f>
        <v>0</v>
      </c>
    </row>
    <row r="71" spans="1:20" s="2" customFormat="1" ht="15" customHeight="1">
      <c r="A71" s="2" t="s">
        <v>98</v>
      </c>
      <c r="C71" s="21"/>
      <c r="D71" s="262" t="s">
        <v>111</v>
      </c>
      <c r="E71" s="285">
        <f>IFERROR(VLOOKUP(D71,'Employee Numbers'!$A$3:$B$84,2,FALSE),"NOT FOUND")</f>
        <v>703068</v>
      </c>
      <c r="F71" s="301" t="s">
        <v>42</v>
      </c>
      <c r="G71" s="302" t="s">
        <v>145</v>
      </c>
      <c r="H71" s="302" t="s">
        <v>42</v>
      </c>
      <c r="I71" s="302" t="s">
        <v>42</v>
      </c>
      <c r="J71" s="302" t="s">
        <v>42</v>
      </c>
      <c r="K71" s="302" t="s">
        <v>145</v>
      </c>
      <c r="L71" s="302" t="s">
        <v>145</v>
      </c>
      <c r="N71">
        <f t="array" ref="N71">((SUM(IFERROR((TEXT(IF(ISNUMBER(SEARCH("-", F71:L71)), MID(F71:L71, SEARCH("-", F71:L71) + 1, 4), ""), "00\:00") - TEXT(IF(ISNUMBER(SEARCH("-", F71:L71)), MID(F71:L71, SEARCH("-", F71:L71) - 4, 4), ""), "00\:00") + IF(TEXT(IF(ISNUMBER(SEARCH("-", F71:L71)), MID(F71:L71, SEARCH("-", F71:L71) + 1, 4), ""), "00\:00") &lt; TEXT(IF(ISNUMBER(SEARCH("-", F71:L71)), MID(F71:L71, SEARCH("-", F71:L71) - 4, 4), ""), "00\:00"), 1, 0))*24,""))))/9.5</f>
        <v>4</v>
      </c>
      <c r="O71"/>
      <c r="P71"/>
      <c r="Q71" s="2">
        <f t="shared" si="27"/>
        <v>4</v>
      </c>
      <c r="R71" s="2">
        <f t="shared" si="28"/>
        <v>5</v>
      </c>
      <c r="S71">
        <f t="shared" ca="1" si="29"/>
        <v>8</v>
      </c>
      <c r="T71" s="2">
        <f>(IFERROR(VLOOKUP(D71,'Employee Numbers'!$A$3:$C$84,3,FALSE),"NOT FOUND"))*8</f>
        <v>0</v>
      </c>
    </row>
    <row r="72" spans="1:20" s="2" customFormat="1" ht="15" customHeight="1">
      <c r="A72" s="44" t="s">
        <v>98</v>
      </c>
      <c r="B72" s="44"/>
      <c r="C72" s="45"/>
      <c r="D72" s="262" t="s">
        <v>113</v>
      </c>
      <c r="E72" s="285">
        <f>IFERROR(VLOOKUP(D72,'Employee Numbers'!$A$3:$B$84,2,FALSE),"NOT FOUND")</f>
        <v>703911</v>
      </c>
      <c r="F72" s="301" t="s">
        <v>145</v>
      </c>
      <c r="G72" s="352" t="s">
        <v>44</v>
      </c>
      <c r="H72" s="302" t="s">
        <v>42</v>
      </c>
      <c r="I72" s="302" t="s">
        <v>42</v>
      </c>
      <c r="J72" s="302" t="s">
        <v>42</v>
      </c>
      <c r="K72" s="302" t="s">
        <v>145</v>
      </c>
      <c r="L72" s="302" t="s">
        <v>100</v>
      </c>
      <c r="N72">
        <f t="array" ref="N72">((SUM(IFERROR((TEXT(IF(ISNUMBER(SEARCH("-", F72:L72)), MID(F72:L72, SEARCH("-", F72:L72) + 1, 4), ""), "00\:00") - TEXT(IF(ISNUMBER(SEARCH("-", F72:L72)), MID(F72:L72, SEARCH("-", F72:L72) - 4, 4), ""), "00\:00") + IF(TEXT(IF(ISNUMBER(SEARCH("-", F72:L72)), MID(F72:L72, SEARCH("-", F72:L72) + 1, 4), ""), "00\:00") &lt; TEXT(IF(ISNUMBER(SEARCH("-", F72:L72)), MID(F72:L72, SEARCH("-", F72:L72) - 4, 4), ""), "00\:00"), 1, 0))*24,""))))/9.5</f>
        <v>5</v>
      </c>
      <c r="O72"/>
      <c r="P72"/>
      <c r="Q72" s="2">
        <f t="shared" si="27"/>
        <v>5</v>
      </c>
      <c r="R72" s="2">
        <f t="shared" si="28"/>
        <v>5</v>
      </c>
      <c r="S72">
        <f t="shared" ca="1" si="29"/>
        <v>8</v>
      </c>
      <c r="T72" s="2">
        <f>(IFERROR(VLOOKUP(D72,'Employee Numbers'!$A$3:$C$84,3,FALSE),"NOT FOUND"))*8</f>
        <v>0</v>
      </c>
    </row>
    <row r="73" spans="1:20" s="2" customFormat="1" ht="15" customHeight="1">
      <c r="A73" s="2" t="s">
        <v>98</v>
      </c>
      <c r="C73" s="21"/>
      <c r="D73" s="262" t="s">
        <v>114</v>
      </c>
      <c r="E73" s="285">
        <f>IFERROR(VLOOKUP(D73,'Employee Numbers'!$A$3:$B$84,2,FALSE),"NOT FOUND")</f>
        <v>633936</v>
      </c>
      <c r="F73" s="301" t="s">
        <v>145</v>
      </c>
      <c r="G73" s="302" t="s">
        <v>44</v>
      </c>
      <c r="H73" s="302" t="s">
        <v>42</v>
      </c>
      <c r="I73" s="302" t="s">
        <v>145</v>
      </c>
      <c r="J73" s="302" t="s">
        <v>44</v>
      </c>
      <c r="K73" s="302" t="s">
        <v>42</v>
      </c>
      <c r="L73" s="302"/>
      <c r="N73">
        <f t="array" ref="N73">((SUM(IFERROR((TEXT(IF(ISNUMBER(SEARCH("-", F73:L73)), MID(F73:L73, SEARCH("-", F73:L73) + 1, 4), ""), "00\:00") - TEXT(IF(ISNUMBER(SEARCH("-", F73:L73)), MID(F73:L73, SEARCH("-", F73:L73) - 4, 4), ""), "00\:00") + IF(TEXT(IF(ISNUMBER(SEARCH("-", F73:L73)), MID(F73:L73, SEARCH("-", F73:L73) + 1, 4), ""), "00\:00") &lt; TEXT(IF(ISNUMBER(SEARCH("-", F73:L73)), MID(F73:L73, SEARCH("-", F73:L73) - 4, 4), ""), "00\:00"), 1, 0))*24,""))))/9.5</f>
        <v>4</v>
      </c>
      <c r="O73"/>
      <c r="P73"/>
      <c r="Q73" s="2">
        <f t="shared" si="27"/>
        <v>4</v>
      </c>
      <c r="R73" s="2">
        <f t="shared" si="28"/>
        <v>5</v>
      </c>
      <c r="S73">
        <f t="shared" ca="1" si="29"/>
        <v>8</v>
      </c>
      <c r="T73" s="2">
        <f>(IFERROR(VLOOKUP(D73,'Employee Numbers'!$A$3:$C$84,3,FALSE),"NOT FOUND"))*8</f>
        <v>0</v>
      </c>
    </row>
    <row r="74" spans="1:20" s="2" customFormat="1" ht="15" customHeight="1">
      <c r="A74" s="44" t="s">
        <v>98</v>
      </c>
      <c r="B74" s="44"/>
      <c r="C74" s="45"/>
      <c r="D74" s="262" t="s">
        <v>115</v>
      </c>
      <c r="E74" s="285">
        <f>IFERROR(VLOOKUP(D74,'Employee Numbers'!$A$3:$B$84,2,FALSE),"NOT FOUND")</f>
        <v>700755</v>
      </c>
      <c r="F74" s="301" t="s">
        <v>42</v>
      </c>
      <c r="G74" s="302" t="s">
        <v>145</v>
      </c>
      <c r="H74" s="302" t="s">
        <v>42</v>
      </c>
      <c r="I74" s="302" t="s">
        <v>42</v>
      </c>
      <c r="J74" s="302" t="s">
        <v>42</v>
      </c>
      <c r="K74" s="303" t="s">
        <v>145</v>
      </c>
      <c r="L74" s="302" t="s">
        <v>145</v>
      </c>
      <c r="N74">
        <f t="array" ref="N74">((SUM(IFERROR((TEXT(IF(ISNUMBER(SEARCH("-", F74:L74)), MID(F74:L74, SEARCH("-", F74:L74) + 1, 4), ""), "00\:00") - TEXT(IF(ISNUMBER(SEARCH("-", F74:L74)), MID(F74:L74, SEARCH("-", F74:L74) - 4, 4), ""), "00\:00") + IF(TEXT(IF(ISNUMBER(SEARCH("-", F74:L74)), MID(F74:L74, SEARCH("-", F74:L74) + 1, 4), ""), "00\:00") &lt; TEXT(IF(ISNUMBER(SEARCH("-", F74:L74)), MID(F74:L74, SEARCH("-", F74:L74) - 4, 4), ""), "00\:00"), 1, 0))*24,""))))/9.5</f>
        <v>4</v>
      </c>
      <c r="O74"/>
      <c r="P74"/>
      <c r="Q74" s="2">
        <f t="shared" si="27"/>
        <v>4</v>
      </c>
      <c r="R74" s="2">
        <f t="shared" si="28"/>
        <v>5</v>
      </c>
      <c r="S74">
        <f t="shared" ca="1" si="29"/>
        <v>8</v>
      </c>
      <c r="T74" s="2">
        <f>(IFERROR(VLOOKUP(D74,'Employee Numbers'!$A$3:$C$84,3,FALSE),"NOT FOUND"))*8</f>
        <v>0</v>
      </c>
    </row>
    <row r="75" spans="1:20" s="2" customFormat="1" ht="15" customHeight="1">
      <c r="A75" s="2" t="s">
        <v>98</v>
      </c>
      <c r="C75" s="21"/>
      <c r="D75" s="262" t="s">
        <v>116</v>
      </c>
      <c r="E75" s="285">
        <f>IFERROR(VLOOKUP(D75,'Employee Numbers'!$A$3:$B$84,2,FALSE),"NOT FOUND")</f>
        <v>704872</v>
      </c>
      <c r="F75" s="306" t="s">
        <v>145</v>
      </c>
      <c r="G75" s="307" t="s">
        <v>44</v>
      </c>
      <c r="H75" s="336" t="s">
        <v>145</v>
      </c>
      <c r="I75" s="306" t="s">
        <v>42</v>
      </c>
      <c r="J75" s="307" t="s">
        <v>100</v>
      </c>
      <c r="K75" s="307" t="s">
        <v>145</v>
      </c>
      <c r="L75" s="337" t="s">
        <v>145</v>
      </c>
      <c r="N75">
        <f t="array" ref="N75">((SUM(IFERROR((TEXT(IF(ISNUMBER(SEARCH("-", F75:L75)), MID(F75:L75, SEARCH("-", F75:L75) + 1, 4), ""), "00\:00") - TEXT(IF(ISNUMBER(SEARCH("-", F75:L75)), MID(F75:L75, SEARCH("-", F75:L75) - 4, 4), ""), "00\:00") + IF(TEXT(IF(ISNUMBER(SEARCH("-", F75:L75)), MID(F75:L75, SEARCH("-", F75:L75) + 1, 4), ""), "00\:00") &lt; TEXT(IF(ISNUMBER(SEARCH("-", F75:L75)), MID(F75:L75, SEARCH("-", F75:L75) - 4, 4), ""), "00\:00"), 1, 0))*24,""))))/9.5</f>
        <v>3</v>
      </c>
      <c r="O75"/>
      <c r="P75"/>
      <c r="Q75" s="2">
        <f t="shared" si="27"/>
        <v>3</v>
      </c>
      <c r="R75" s="2">
        <f t="shared" si="28"/>
        <v>5</v>
      </c>
      <c r="S75">
        <f t="shared" ca="1" si="29"/>
        <v>8</v>
      </c>
      <c r="T75" s="2">
        <f>(IFERROR(VLOOKUP(D75,'Employee Numbers'!$A$3:$C$84,3,FALSE),"NOT FOUND"))*8</f>
        <v>0</v>
      </c>
    </row>
    <row r="76" spans="1:20" s="2" customFormat="1" ht="15" customHeight="1">
      <c r="A76" s="44" t="s">
        <v>98</v>
      </c>
      <c r="B76" s="44"/>
      <c r="C76" s="45"/>
      <c r="D76" s="262" t="s">
        <v>117</v>
      </c>
      <c r="E76" s="285">
        <f>IFERROR(VLOOKUP(D76,'Employee Numbers'!$A$3:$B$84,2,FALSE),"NOT FOUND")</f>
        <v>700712</v>
      </c>
      <c r="F76" s="299" t="s">
        <v>145</v>
      </c>
      <c r="G76" s="300" t="s">
        <v>145</v>
      </c>
      <c r="H76" s="336" t="s">
        <v>177</v>
      </c>
      <c r="I76" s="336" t="s">
        <v>177</v>
      </c>
      <c r="J76" s="336" t="s">
        <v>145</v>
      </c>
      <c r="K76" s="299" t="s">
        <v>42</v>
      </c>
      <c r="L76" s="300" t="s">
        <v>42</v>
      </c>
      <c r="N76">
        <f t="array" ref="N76">((SUM(IFERROR((TEXT(IF(ISNUMBER(SEARCH("-", F76:L76)), MID(F76:L76, SEARCH("-", F76:L76) + 1, 4), ""), "00\:00") - TEXT(IF(ISNUMBER(SEARCH("-", F76:L76)), MID(F76:L76, SEARCH("-", F76:L76) - 4, 4), ""), "00\:00") + IF(TEXT(IF(ISNUMBER(SEARCH("-", F76:L76)), MID(F76:L76, SEARCH("-", F76:L76) + 1, 4), ""), "00\:00") &lt; TEXT(IF(ISNUMBER(SEARCH("-", F76:L76)), MID(F76:L76, SEARCH("-", F76:L76) - 4, 4), ""), "00\:00"), 1, 0))*24,""))))/9.5</f>
        <v>2</v>
      </c>
      <c r="O76"/>
      <c r="P76"/>
      <c r="Q76" s="2">
        <f t="shared" si="27"/>
        <v>2</v>
      </c>
      <c r="R76" s="2">
        <f t="shared" si="28"/>
        <v>5</v>
      </c>
      <c r="S76">
        <f t="shared" ca="1" si="29"/>
        <v>6</v>
      </c>
      <c r="T76" s="2">
        <f>(IFERROR(VLOOKUP(D76,'Employee Numbers'!$A$3:$C$84,3,FALSE),"NOT FOUND"))*8</f>
        <v>0</v>
      </c>
    </row>
    <row r="77" spans="1:20" s="2" customFormat="1" ht="15" customHeight="1">
      <c r="A77" s="2" t="s">
        <v>98</v>
      </c>
      <c r="C77" s="47"/>
      <c r="D77" s="262" t="s">
        <v>119</v>
      </c>
      <c r="E77" s="285">
        <f>IFERROR(VLOOKUP(D77,'Employee Numbers'!$A$3:$B$84,2,FALSE),"NOT FOUND")</f>
        <v>700818</v>
      </c>
      <c r="F77" s="301" t="s">
        <v>145</v>
      </c>
      <c r="G77" s="302" t="s">
        <v>145</v>
      </c>
      <c r="H77" s="300" t="s">
        <v>145</v>
      </c>
      <c r="I77" s="354" t="s">
        <v>44</v>
      </c>
      <c r="J77" s="300" t="s">
        <v>100</v>
      </c>
      <c r="K77" s="302" t="s">
        <v>100</v>
      </c>
      <c r="L77" s="302" t="s">
        <v>100</v>
      </c>
      <c r="N77">
        <f t="array" ref="N77">((SUM(IFERROR((TEXT(IF(ISNUMBER(SEARCH("-", F77:L77)), MID(F77:L77, SEARCH("-", F77:L77) + 1, 4), ""), "00\:00") - TEXT(IF(ISNUMBER(SEARCH("-", F77:L77)), MID(F77:L77, SEARCH("-", F77:L77) - 4, 4), ""), "00\:00") + IF(TEXT(IF(ISNUMBER(SEARCH("-", F77:L77)), MID(F77:L77, SEARCH("-", F77:L77) + 1, 4), ""), "00\:00") &lt; TEXT(IF(ISNUMBER(SEARCH("-", F77:L77)), MID(F77:L77, SEARCH("-", F77:L77) - 4, 4), ""), "00\:00"), 1, 0))*24,""))))/9.5</f>
        <v>4</v>
      </c>
      <c r="O77"/>
      <c r="P77"/>
      <c r="Q77" s="2">
        <f t="shared" si="27"/>
        <v>4</v>
      </c>
      <c r="R77" s="2">
        <f t="shared" si="28"/>
        <v>5</v>
      </c>
      <c r="S77">
        <f t="shared" ca="1" si="29"/>
        <v>8</v>
      </c>
      <c r="T77" s="2">
        <f>(IFERROR(VLOOKUP(D77,'Employee Numbers'!$A$3:$C$84,3,FALSE),"NOT FOUND"))*8</f>
        <v>0</v>
      </c>
    </row>
    <row r="78" spans="1:20" s="2" customFormat="1" ht="15" customHeight="1">
      <c r="A78" s="44" t="s">
        <v>98</v>
      </c>
      <c r="B78" s="44"/>
      <c r="C78" s="45"/>
      <c r="D78" s="262" t="s">
        <v>120</v>
      </c>
      <c r="E78" s="285">
        <f>IFERROR(VLOOKUP(D78,'Employee Numbers'!$A$3:$B$84,2,FALSE),"NOT FOUND")</f>
        <v>650101</v>
      </c>
      <c r="F78" s="301" t="s">
        <v>145</v>
      </c>
      <c r="G78" s="302" t="s">
        <v>145</v>
      </c>
      <c r="H78" s="302" t="s">
        <v>145</v>
      </c>
      <c r="I78" s="302" t="s">
        <v>145</v>
      </c>
      <c r="J78" s="302" t="s">
        <v>145</v>
      </c>
      <c r="K78" s="302" t="s">
        <v>145</v>
      </c>
      <c r="L78" s="302" t="s">
        <v>145</v>
      </c>
      <c r="N78">
        <f t="array" ref="N78">((SUM(IFERROR((TEXT(IF(ISNUMBER(SEARCH("-", F78:L78)), MID(F78:L78, SEARCH("-", F78:L78) + 1, 4), ""), "00\:00") - TEXT(IF(ISNUMBER(SEARCH("-", F78:L78)), MID(F78:L78, SEARCH("-", F78:L78) - 4, 4), ""), "00\:00") + IF(TEXT(IF(ISNUMBER(SEARCH("-", F78:L78)), MID(F78:L78, SEARCH("-", F78:L78) + 1, 4), ""), "00\:00") &lt; TEXT(IF(ISNUMBER(SEARCH("-", F78:L78)), MID(F78:L78, SEARCH("-", F78:L78) - 4, 4), ""), "00\:00"), 1, 0))*24,""))))/9.5</f>
        <v>0</v>
      </c>
      <c r="O78"/>
      <c r="P78"/>
      <c r="Q78" s="2">
        <f t="shared" si="27"/>
        <v>0</v>
      </c>
      <c r="R78" s="2">
        <f t="shared" si="28"/>
        <v>2.5</v>
      </c>
      <c r="S78">
        <f t="shared" ca="1" si="29"/>
        <v>3.9999999999999991</v>
      </c>
      <c r="T78" s="2">
        <f>(IFERROR(VLOOKUP(D78,'Employee Numbers'!$A$3:$C$84,3,FALSE),"NOT FOUND"))*8</f>
        <v>0</v>
      </c>
    </row>
    <row r="79" spans="1:20" s="2" customFormat="1" ht="15" customHeight="1">
      <c r="A79" s="2" t="s">
        <v>98</v>
      </c>
      <c r="C79" s="21"/>
      <c r="D79" s="262" t="s">
        <v>122</v>
      </c>
      <c r="E79" s="285">
        <f>IFERROR(VLOOKUP(D79,'Employee Numbers'!$A$3:$B$84,2,FALSE),"NOT FOUND")</f>
        <v>654888</v>
      </c>
      <c r="F79" s="301" t="s">
        <v>145</v>
      </c>
      <c r="G79" s="302" t="s">
        <v>145</v>
      </c>
      <c r="H79" s="302" t="s">
        <v>145</v>
      </c>
      <c r="I79" s="302"/>
      <c r="J79" s="302" t="s">
        <v>44</v>
      </c>
      <c r="K79" s="302" t="s">
        <v>42</v>
      </c>
      <c r="L79" s="302" t="s">
        <v>42</v>
      </c>
      <c r="N79">
        <f t="array" ref="N79">((SUM(IFERROR((TEXT(IF(ISNUMBER(SEARCH("-", F79:L79)), MID(F79:L79, SEARCH("-", F79:L79) + 1, 4), ""), "00\:00") - TEXT(IF(ISNUMBER(SEARCH("-", F79:L79)), MID(F79:L79, SEARCH("-", F79:L79) - 4, 4), ""), "00\:00") + IF(TEXT(IF(ISNUMBER(SEARCH("-", F79:L79)), MID(F79:L79, SEARCH("-", F79:L79) + 1, 4), ""), "00\:00") &lt; TEXT(IF(ISNUMBER(SEARCH("-", F79:L79)), MID(F79:L79, SEARCH("-", F79:L79) - 4, 4), ""), "00\:00"), 1, 0))*24,""))))/9.5</f>
        <v>3</v>
      </c>
      <c r="O79"/>
      <c r="P79"/>
      <c r="Q79" s="2">
        <f t="shared" si="27"/>
        <v>3</v>
      </c>
      <c r="R79" s="2">
        <f t="shared" si="28"/>
        <v>5</v>
      </c>
      <c r="S79">
        <f t="shared" ca="1" si="29"/>
        <v>8</v>
      </c>
      <c r="T79" s="2">
        <f>(IFERROR(VLOOKUP(D79,'Employee Numbers'!$A$3:$C$84,3,FALSE),"NOT FOUND"))*8</f>
        <v>0</v>
      </c>
    </row>
    <row r="80" spans="1:20" s="2" customFormat="1" ht="15" customHeight="1">
      <c r="A80" s="44" t="s">
        <v>98</v>
      </c>
      <c r="B80" s="44"/>
      <c r="C80" s="45"/>
      <c r="D80" s="262" t="s">
        <v>123</v>
      </c>
      <c r="E80" s="285">
        <f>IFERROR(VLOOKUP(D80,'Employee Numbers'!$A$3:$B$84,2,FALSE),"NOT FOUND")</f>
        <v>703880</v>
      </c>
      <c r="F80" s="301" t="s">
        <v>42</v>
      </c>
      <c r="G80" s="302" t="s">
        <v>145</v>
      </c>
      <c r="H80" s="302" t="s">
        <v>42</v>
      </c>
      <c r="I80" s="302" t="s">
        <v>42</v>
      </c>
      <c r="J80" s="302" t="s">
        <v>42</v>
      </c>
      <c r="K80" s="302" t="s">
        <v>145</v>
      </c>
      <c r="L80" s="302" t="s">
        <v>145</v>
      </c>
      <c r="N80">
        <f t="array" ref="N80">((SUM(IFERROR((TEXT(IF(ISNUMBER(SEARCH("-", F80:L80)), MID(F80:L80, SEARCH("-", F80:L80) + 1, 4), ""), "00\:00") - TEXT(IF(ISNUMBER(SEARCH("-", F80:L80)), MID(F80:L80, SEARCH("-", F80:L80) - 4, 4), ""), "00\:00") + IF(TEXT(IF(ISNUMBER(SEARCH("-", F80:L80)), MID(F80:L80, SEARCH("-", F80:L80) + 1, 4), ""), "00\:00") &lt; TEXT(IF(ISNUMBER(SEARCH("-", F80:L80)), MID(F80:L80, SEARCH("-", F80:L80) - 4, 4), ""), "00\:00"), 1, 0))*24,""))))/9.5</f>
        <v>4</v>
      </c>
      <c r="O80"/>
      <c r="P80"/>
      <c r="Q80" s="2">
        <f t="shared" si="27"/>
        <v>4</v>
      </c>
      <c r="R80" s="2">
        <f t="shared" si="28"/>
        <v>5</v>
      </c>
      <c r="S80">
        <f t="shared" ca="1" si="29"/>
        <v>8</v>
      </c>
      <c r="T80" s="2">
        <f>(IFERROR(VLOOKUP(D80,'Employee Numbers'!$A$3:$C$84,3,FALSE),"NOT FOUND"))*8</f>
        <v>0</v>
      </c>
    </row>
    <row r="81" spans="1:21" s="13" customFormat="1" ht="15" customHeight="1">
      <c r="A81" s="2" t="s">
        <v>98</v>
      </c>
      <c r="B81" s="2"/>
      <c r="C81" s="21"/>
      <c r="D81" s="262" t="s">
        <v>124</v>
      </c>
      <c r="E81" s="285">
        <f>IFERROR(VLOOKUP(D81,'Employee Numbers'!$A$3:$B$84,2,FALSE),"NOT FOUND")</f>
        <v>703334</v>
      </c>
      <c r="F81" s="301" t="s">
        <v>42</v>
      </c>
      <c r="G81" s="302" t="s">
        <v>42</v>
      </c>
      <c r="H81" s="302" t="s">
        <v>145</v>
      </c>
      <c r="I81" s="302" t="s">
        <v>145</v>
      </c>
      <c r="J81" s="302" t="s">
        <v>145</v>
      </c>
      <c r="K81" s="302" t="s">
        <v>42</v>
      </c>
      <c r="L81" s="302" t="s">
        <v>42</v>
      </c>
      <c r="N81">
        <f t="array" ref="N81">((SUM(IFERROR((TEXT(IF(ISNUMBER(SEARCH("-", F81:L81)), MID(F81:L81, SEARCH("-", F81:L81) + 1, 4), ""), "00\:00") - TEXT(IF(ISNUMBER(SEARCH("-", F81:L81)), MID(F81:L81, SEARCH("-", F81:L81) - 4, 4), ""), "00\:00") + IF(TEXT(IF(ISNUMBER(SEARCH("-", F81:L81)), MID(F81:L81, SEARCH("-", F81:L81) + 1, 4), ""), "00\:00") &lt; TEXT(IF(ISNUMBER(SEARCH("-", F81:L81)), MID(F81:L81, SEARCH("-", F81:L81) - 4, 4), ""), "00\:00"), 1, 0))*24,""))))/9.5</f>
        <v>4</v>
      </c>
      <c r="O81"/>
      <c r="P81"/>
      <c r="Q81" s="2">
        <f>P81+O81+N81</f>
        <v>4</v>
      </c>
      <c r="R81" s="2">
        <f>IF(ISNUMBER(SEARCH("trg_5",H173)),5,IF(ISNUMBER(SEARCH("trg_3.75",H173)),3.75,IF(ISNUMBER(SEARCH("trg_2.5",H173)),2.5,IF(ISNUMBER(SEARCH("trg_1.75",H173)),1.75,0))))</f>
        <v>5</v>
      </c>
      <c r="S81">
        <f t="shared" ca="1" si="29"/>
        <v>8</v>
      </c>
      <c r="T81" s="2">
        <f>(IFERROR(VLOOKUP(D81,'Employee Numbers'!$A$3:$C$84,3,FALSE),"NOT FOUND"))*8</f>
        <v>0</v>
      </c>
      <c r="U81" s="2"/>
    </row>
    <row r="82" spans="1:21" s="2" customFormat="1" ht="15" customHeight="1">
      <c r="A82" s="44" t="s">
        <v>98</v>
      </c>
      <c r="B82" s="44"/>
      <c r="C82" s="45"/>
      <c r="D82" s="262" t="s">
        <v>125</v>
      </c>
      <c r="E82" s="285">
        <f>IFERROR(VLOOKUP(D82,'Employee Numbers'!$A$3:$B$84,2,FALSE),"NOT FOUND")</f>
        <v>700538</v>
      </c>
      <c r="F82" s="301" t="s">
        <v>100</v>
      </c>
      <c r="G82" s="302" t="s">
        <v>100</v>
      </c>
      <c r="H82" s="302" t="s">
        <v>100</v>
      </c>
      <c r="I82" s="302" t="s">
        <v>145</v>
      </c>
      <c r="J82" s="302" t="s">
        <v>145</v>
      </c>
      <c r="K82" s="302" t="s">
        <v>145</v>
      </c>
      <c r="L82" s="302" t="s">
        <v>145</v>
      </c>
      <c r="N82">
        <f t="array" ref="N82">((SUM(IFERROR((TEXT(IF(ISNUMBER(SEARCH("-", F82:L82)), MID(F82:L82, SEARCH("-", F82:L82) + 1, 4), ""), "00\:00") - TEXT(IF(ISNUMBER(SEARCH("-", F82:L82)), MID(F82:L82, SEARCH("-", F82:L82) - 4, 4), ""), "00\:00") + IF(TEXT(IF(ISNUMBER(SEARCH("-", F82:L82)), MID(F82:L82, SEARCH("-", F82:L82) + 1, 4), ""), "00\:00") &lt; TEXT(IF(ISNUMBER(SEARCH("-", F82:L82)), MID(F82:L82, SEARCH("-", F82:L82) - 4, 4), ""), "00\:00"), 1, 0))*24,""))))/9.5</f>
        <v>2.9999999999999991</v>
      </c>
      <c r="O82"/>
      <c r="P82"/>
      <c r="Q82" s="2">
        <f>P82+O82+N82</f>
        <v>2.9999999999999991</v>
      </c>
      <c r="R82" s="2">
        <f>IF(ISNUMBER(SEARCH("trg_5",H174)),5,IF(ISNUMBER(SEARCH("trg_3.75",H174)),3.75,IF(ISNUMBER(SEARCH("trg_2.5",H174)),2.5,IF(ISNUMBER(SEARCH("trg_1.75",H174)),1.75,0))))</f>
        <v>3.75</v>
      </c>
      <c r="S82">
        <f t="shared" ca="1" si="29"/>
        <v>5.9999999999999991</v>
      </c>
      <c r="T82" s="2">
        <f>(IFERROR(VLOOKUP(D82,'Employee Numbers'!$A$3:$C$84,3,FALSE),"NOT FOUND"))*8</f>
        <v>0</v>
      </c>
    </row>
    <row r="83" spans="1:21" s="2" customFormat="1" ht="15" customHeight="1">
      <c r="A83" s="2" t="s">
        <v>98</v>
      </c>
      <c r="C83" s="21"/>
      <c r="D83" s="262" t="s">
        <v>126</v>
      </c>
      <c r="E83" s="285">
        <f>IFERROR(VLOOKUP(D83,'Employee Numbers'!$A$3:$B$84,2,FALSE),"NOT FOUND")</f>
        <v>704862</v>
      </c>
      <c r="F83" s="301" t="s">
        <v>42</v>
      </c>
      <c r="G83" s="302" t="s">
        <v>42</v>
      </c>
      <c r="H83" s="302" t="s">
        <v>145</v>
      </c>
      <c r="I83" s="302" t="s">
        <v>145</v>
      </c>
      <c r="J83" s="302" t="s">
        <v>145</v>
      </c>
      <c r="K83" s="302" t="s">
        <v>44</v>
      </c>
      <c r="L83" s="302" t="s">
        <v>44</v>
      </c>
      <c r="N83">
        <f t="array" ref="N83">((SUM(IFERROR((TEXT(IF(ISNUMBER(SEARCH("-", F83:L83)), MID(F83:L83, SEARCH("-", F83:L83) + 1, 4), ""), "00\:00") - TEXT(IF(ISNUMBER(SEARCH("-", F83:L83)), MID(F83:L83, SEARCH("-", F83:L83) - 4, 4), ""), "00\:00") + IF(TEXT(IF(ISNUMBER(SEARCH("-", F83:L83)), MID(F83:L83, SEARCH("-", F83:L83) + 1, 4), ""), "00\:00") &lt; TEXT(IF(ISNUMBER(SEARCH("-", F83:L83)), MID(F83:L83, SEARCH("-", F83:L83) - 4, 4), ""), "00\:00"), 1, 0))*24,""))))/9.5</f>
        <v>4</v>
      </c>
      <c r="O83"/>
      <c r="P83"/>
      <c r="Q83" s="2">
        <f>P83+O83+N83</f>
        <v>4</v>
      </c>
      <c r="R83" s="2">
        <f>IF(ISNUMBER(SEARCH("trg_5",H175)),5,IF(ISNUMBER(SEARCH("trg_3.75",H175)),3.75,IF(ISNUMBER(SEARCH("trg_2.5",H175)),2.5,IF(ISNUMBER(SEARCH("trg_1.75",H175)),1.75,0))))</f>
        <v>2.5</v>
      </c>
      <c r="S83">
        <f t="shared" ca="1" si="29"/>
        <v>4</v>
      </c>
      <c r="T83" s="2">
        <f>(IFERROR(VLOOKUP(D83,'Employee Numbers'!$A$3:$C$84,3,FALSE),"NOT FOUND"))*8</f>
        <v>0</v>
      </c>
    </row>
    <row r="84" spans="1:21" s="2" customFormat="1" ht="15" customHeight="1">
      <c r="A84" s="44" t="s">
        <v>98</v>
      </c>
      <c r="B84" s="44"/>
      <c r="C84" s="45"/>
      <c r="D84" s="128"/>
      <c r="E84" s="129" t="str">
        <f>IFERROR(VLOOKUP(D84,'Employee Numbers'!$A$3:$B$84,2,FALSE),"NOT FOUND")</f>
        <v>NOT FOUND</v>
      </c>
      <c r="F84" s="331" t="s">
        <v>145</v>
      </c>
      <c r="G84" s="332" t="s">
        <v>145</v>
      </c>
      <c r="H84" s="332" t="s">
        <v>145</v>
      </c>
      <c r="I84" s="332" t="s">
        <v>145</v>
      </c>
      <c r="J84" s="332" t="s">
        <v>145</v>
      </c>
      <c r="K84" s="332" t="s">
        <v>145</v>
      </c>
      <c r="L84" s="332" t="s">
        <v>145</v>
      </c>
      <c r="N84">
        <f t="array" ref="N84">((SUM(IFERROR((TEXT(IF(ISNUMBER(SEARCH("-", F84:L84)), MID(F84:L84, SEARCH("-", F84:L84) + 1, 4), ""), "00\:00") - TEXT(IF(ISNUMBER(SEARCH("-", F84:L84)), MID(F84:L84, SEARCH("-", F84:L84) - 4, 4), ""), "00\:00") + IF(TEXT(IF(ISNUMBER(SEARCH("-", F84:L84)), MID(F84:L84, SEARCH("-", F84:L84) + 1, 4), ""), "00\:00") &lt; TEXT(IF(ISNUMBER(SEARCH("-", F84:L84)), MID(F84:L84, SEARCH("-", F84:L84) - 4, 4), ""), "00\:00"), 1, 0))*24,""))))/9.5</f>
        <v>0</v>
      </c>
      <c r="O84"/>
      <c r="P84"/>
      <c r="Q84" s="2">
        <f>P84+O84+N84</f>
        <v>0</v>
      </c>
      <c r="R84" s="2">
        <f>IF(ISNUMBER(SEARCH("trg_5",H176)),5,IF(ISNUMBER(SEARCH("trg_3.75",H176)),3.75,IF(ISNUMBER(SEARCH("trg_2.5",H176)),2.5,IF(ISNUMBER(SEARCH("trg_1.75",H176)),1.75,0))))</f>
        <v>5</v>
      </c>
      <c r="S84">
        <f t="shared" ca="1" si="29"/>
        <v>0</v>
      </c>
      <c r="T84" s="2" t="e">
        <f>(IFERROR(VLOOKUP(D84,'Employee Numbers'!$A$3:$C$84,3,FALSE),"NOT FOUND"))*8</f>
        <v>#VALUE!</v>
      </c>
    </row>
    <row r="85" spans="1:21" s="2" customFormat="1" ht="15" customHeight="1">
      <c r="A85" s="137" t="s">
        <v>128</v>
      </c>
      <c r="B85" s="138"/>
      <c r="C85" s="139"/>
      <c r="D85" s="140" t="s">
        <v>128</v>
      </c>
      <c r="E85" s="141" t="s">
        <v>4</v>
      </c>
      <c r="F85" s="333" t="s">
        <v>5</v>
      </c>
      <c r="G85" s="334" t="s">
        <v>6</v>
      </c>
      <c r="H85" s="334" t="s">
        <v>7</v>
      </c>
      <c r="I85" s="334" t="s">
        <v>8</v>
      </c>
      <c r="J85" s="334" t="s">
        <v>9</v>
      </c>
      <c r="K85" s="334" t="s">
        <v>10</v>
      </c>
      <c r="L85" s="335" t="s">
        <v>11</v>
      </c>
      <c r="M85" s="34"/>
      <c r="N85"/>
      <c r="O85"/>
      <c r="P85"/>
    </row>
    <row r="86" spans="1:21" s="2" customFormat="1" ht="15" customHeight="1">
      <c r="A86" s="44" t="s">
        <v>129</v>
      </c>
      <c r="B86" s="44"/>
      <c r="C86" s="45"/>
      <c r="D86" s="263" t="s">
        <v>130</v>
      </c>
      <c r="E86" s="284">
        <f>IFERROR(VLOOKUP(D86,'Employee Numbers'!$A$3:$B$84,2,FALSE),"NOT FOUND")</f>
        <v>703066</v>
      </c>
      <c r="F86" s="299" t="s">
        <v>145</v>
      </c>
      <c r="G86" s="300" t="s">
        <v>42</v>
      </c>
      <c r="H86" s="300" t="s">
        <v>174</v>
      </c>
      <c r="I86" s="300" t="s">
        <v>145</v>
      </c>
      <c r="J86" s="300" t="s">
        <v>145</v>
      </c>
      <c r="K86" s="300" t="s">
        <v>42</v>
      </c>
      <c r="L86" s="300" t="s">
        <v>42</v>
      </c>
      <c r="N86">
        <f t="array" ref="N86">((SUM(IFERROR((TEXT(IF(ISNUMBER(SEARCH("-", F86:L86)), MID(F86:L86, SEARCH("-", F86:L86) + 1, 4), ""), "00\:00") - TEXT(IF(ISNUMBER(SEARCH("-", F86:L86)), MID(F86:L86, SEARCH("-", F86:L86) - 4, 4), ""), "00\:00") + IF(TEXT(IF(ISNUMBER(SEARCH("-", F86:L86)), MID(F86:L86, SEARCH("-", F86:L86) + 1, 4), ""), "00\:00") &lt; TEXT(IF(ISNUMBER(SEARCH("-", F86:L86)), MID(F86:L86, SEARCH("-", F86:L86) - 4, 4), ""), "00\:00"), 1, 0))*24,""))))/9.5</f>
        <v>4</v>
      </c>
      <c r="O86"/>
      <c r="P86"/>
      <c r="Q86" s="2">
        <f>P86+O86+N86</f>
        <v>4</v>
      </c>
      <c r="S86">
        <f t="shared" ref="S86:S99" ca="1" si="30">IF($C$4=1,SUM(Q86+INDIRECT("'Week "&amp;($B$3+1)&amp;"'!Q"&amp;(ROW()))),IF($C$4=2,SUM(Q86+INDIRECT("'Week "&amp;($B$3-1)&amp;"'!Q"&amp;(ROW())))))</f>
        <v>8</v>
      </c>
      <c r="T86" s="2" t="e">
        <f>(IFERROR(VLOOKUP(D86,'Employee Numbers'!$A$3:$C$84,3,FALSE),"NOT FOUND"))*8</f>
        <v>#VALUE!</v>
      </c>
    </row>
    <row r="87" spans="1:21" s="2" customFormat="1" ht="15" customHeight="1">
      <c r="A87" s="2" t="s">
        <v>129</v>
      </c>
      <c r="C87" s="21"/>
      <c r="D87" s="263" t="s">
        <v>131</v>
      </c>
      <c r="E87" s="285">
        <f>IFERROR(VLOOKUP(D87,'Employee Numbers'!$A$3:$B$84,2,FALSE),"NOT FOUND")</f>
        <v>648637</v>
      </c>
      <c r="F87" s="301" t="s">
        <v>42</v>
      </c>
      <c r="G87" s="302" t="s">
        <v>100</v>
      </c>
      <c r="H87" s="302" t="s">
        <v>100</v>
      </c>
      <c r="I87" s="302" t="s">
        <v>100</v>
      </c>
      <c r="J87" s="302" t="s">
        <v>145</v>
      </c>
      <c r="K87" s="302" t="s">
        <v>145</v>
      </c>
      <c r="L87" s="302" t="s">
        <v>145</v>
      </c>
      <c r="N87">
        <f t="array" ref="N87">((SUM(IFERROR((TEXT(IF(ISNUMBER(SEARCH("-", F87:L87)), MID(F87:L87, SEARCH("-", F87:L87) + 1, 4), ""), "00\:00") - TEXT(IF(ISNUMBER(SEARCH("-", F87:L87)), MID(F87:L87, SEARCH("-", F87:L87) - 4, 4), ""), "00\:00") + IF(TEXT(IF(ISNUMBER(SEARCH("-", F87:L87)), MID(F87:L87, SEARCH("-", F87:L87) + 1, 4), ""), "00\:00") &lt; TEXT(IF(ISNUMBER(SEARCH("-", F87:L87)), MID(F87:L87, SEARCH("-", F87:L87) - 4, 4), ""), "00\:00"), 1, 0))*24,""))))/9.5</f>
        <v>4</v>
      </c>
      <c r="O87"/>
      <c r="P87"/>
      <c r="Q87" s="2">
        <f t="shared" ref="Q87:Q96" si="31">P87+O87+N87</f>
        <v>4</v>
      </c>
      <c r="S87">
        <f t="shared" ca="1" si="30"/>
        <v>4</v>
      </c>
      <c r="T87" s="2" t="e">
        <f>(IFERROR(VLOOKUP(D87,'Employee Numbers'!$A$3:$C$84,3,FALSE),"NOT FOUND"))*8</f>
        <v>#VALUE!</v>
      </c>
    </row>
    <row r="88" spans="1:21" s="13" customFormat="1" ht="15" customHeight="1">
      <c r="A88" s="44" t="s">
        <v>129</v>
      </c>
      <c r="B88" s="44"/>
      <c r="C88" s="45"/>
      <c r="D88" s="263" t="s">
        <v>132</v>
      </c>
      <c r="E88" s="285">
        <f>IFERROR(VLOOKUP(D88,'Employee Numbers'!$A$3:$B$84,2,FALSE),"NOT FOUND")</f>
        <v>703161</v>
      </c>
      <c r="F88" s="301" t="s">
        <v>42</v>
      </c>
      <c r="G88" s="302" t="s">
        <v>145</v>
      </c>
      <c r="H88" s="302" t="s">
        <v>145</v>
      </c>
      <c r="I88" s="302" t="s">
        <v>145</v>
      </c>
      <c r="J88" s="302" t="s">
        <v>100</v>
      </c>
      <c r="K88" s="302" t="s">
        <v>100</v>
      </c>
      <c r="L88" s="302" t="s">
        <v>100</v>
      </c>
      <c r="M88" s="2"/>
      <c r="N88">
        <f t="array" ref="N88">((SUM(IFERROR((TEXT(IF(ISNUMBER(SEARCH("-", F88:L88)), MID(F88:L88, SEARCH("-", F88:L88) + 1, 4), ""), "00\:00") - TEXT(IF(ISNUMBER(SEARCH("-", F88:L88)), MID(F88:L88, SEARCH("-", F88:L88) - 4, 4), ""), "00\:00") + IF(TEXT(IF(ISNUMBER(SEARCH("-", F88:L88)), MID(F88:L88, SEARCH("-", F88:L88) + 1, 4), ""), "00\:00") &lt; TEXT(IF(ISNUMBER(SEARCH("-", F88:L88)), MID(F88:L88, SEARCH("-", F88:L88) - 4, 4), ""), "00\:00"), 1, 0))*24,""))))/9.5</f>
        <v>4</v>
      </c>
      <c r="O88"/>
      <c r="P88"/>
      <c r="Q88" s="2">
        <f t="shared" si="31"/>
        <v>4</v>
      </c>
      <c r="R88" s="2"/>
      <c r="S88">
        <f t="shared" ca="1" si="30"/>
        <v>8</v>
      </c>
      <c r="T88" s="2" t="e">
        <f>(IFERROR(VLOOKUP(D88,'Employee Numbers'!$A$3:$C$84,3,FALSE),"NOT FOUND"))*8</f>
        <v>#VALUE!</v>
      </c>
      <c r="U88" s="2"/>
    </row>
    <row r="89" spans="1:21" s="2" customFormat="1" ht="15" customHeight="1">
      <c r="A89" s="2" t="s">
        <v>129</v>
      </c>
      <c r="C89" s="21"/>
      <c r="D89" s="263" t="s">
        <v>133</v>
      </c>
      <c r="E89" s="285">
        <f>IFERROR(VLOOKUP(D89,'Employee Numbers'!$A$3:$B$84,2,FALSE),"NOT FOUND")</f>
        <v>655179</v>
      </c>
      <c r="F89" s="304" t="s">
        <v>176</v>
      </c>
      <c r="G89" s="305" t="s">
        <v>145</v>
      </c>
      <c r="H89" s="305" t="s">
        <v>145</v>
      </c>
      <c r="I89" s="305" t="s">
        <v>145</v>
      </c>
      <c r="J89" s="305" t="s">
        <v>145</v>
      </c>
      <c r="K89" s="305" t="s">
        <v>145</v>
      </c>
      <c r="L89" s="305" t="s">
        <v>145</v>
      </c>
      <c r="N89">
        <f t="array" ref="N89">((SUM(IFERROR((TEXT(IF(ISNUMBER(SEARCH("-", F89:L89)), MID(F89:L89, SEARCH("-", F89:L89) + 1, 4), ""), "00\:00") - TEXT(IF(ISNUMBER(SEARCH("-", F89:L89)), MID(F89:L89, SEARCH("-", F89:L89) - 4, 4), ""), "00\:00") + IF(TEXT(IF(ISNUMBER(SEARCH("-", F89:L89)), MID(F89:L89, SEARCH("-", F89:L89) + 1, 4), ""), "00\:00") &lt; TEXT(IF(ISNUMBER(SEARCH("-", F89:L89)), MID(F89:L89, SEARCH("-", F89:L89) - 4, 4), ""), "00\:00"), 1, 0))*24,""))))/9.5</f>
        <v>0</v>
      </c>
      <c r="O89"/>
      <c r="P89"/>
      <c r="Q89" s="2">
        <f t="shared" si="31"/>
        <v>0</v>
      </c>
      <c r="S89">
        <f t="shared" ca="1" si="30"/>
        <v>0</v>
      </c>
      <c r="T89" s="2" t="e">
        <f>(IFERROR(VLOOKUP(D89,'Employee Numbers'!$A$3:$C$84,3,FALSE),"NOT FOUND"))*8</f>
        <v>#VALUE!</v>
      </c>
    </row>
    <row r="90" spans="1:21" s="2" customFormat="1" ht="15" customHeight="1">
      <c r="A90" s="44" t="s">
        <v>129</v>
      </c>
      <c r="B90" s="44"/>
      <c r="C90" s="45"/>
      <c r="D90" s="263" t="s">
        <v>134</v>
      </c>
      <c r="E90" s="285">
        <f>IFERROR(VLOOKUP(D90,'Employee Numbers'!$A$3:$B$84,2,FALSE),"NOT FOUND")</f>
        <v>700812</v>
      </c>
      <c r="F90" s="301" t="s">
        <v>100</v>
      </c>
      <c r="G90" s="302" t="s">
        <v>145</v>
      </c>
      <c r="H90" s="302" t="s">
        <v>145</v>
      </c>
      <c r="I90" s="302" t="s">
        <v>145</v>
      </c>
      <c r="J90" s="302" t="s">
        <v>44</v>
      </c>
      <c r="K90" s="302" t="s">
        <v>44</v>
      </c>
      <c r="L90" s="302" t="s">
        <v>44</v>
      </c>
      <c r="N90">
        <f t="array" ref="N90">((SUM(IFERROR((TEXT(IF(ISNUMBER(SEARCH("-", F90:L90)), MID(F90:L90, SEARCH("-", F90:L90) + 1, 4), ""), "00\:00") - TEXT(IF(ISNUMBER(SEARCH("-", F90:L90)), MID(F90:L90, SEARCH("-", F90:L90) - 4, 4), ""), "00\:00") + IF(TEXT(IF(ISNUMBER(SEARCH("-", F90:L90)), MID(F90:L90, SEARCH("-", F90:L90) + 1, 4), ""), "00\:00") &lt; TEXT(IF(ISNUMBER(SEARCH("-", F90:L90)), MID(F90:L90, SEARCH("-", F90:L90) - 4, 4), ""), "00\:00"), 1, 0))*24,""))))/9.5</f>
        <v>4</v>
      </c>
      <c r="O90"/>
      <c r="P90"/>
      <c r="Q90" s="2">
        <f t="shared" si="31"/>
        <v>4</v>
      </c>
      <c r="S90">
        <f t="shared" ca="1" si="30"/>
        <v>8</v>
      </c>
      <c r="T90" s="2" t="e">
        <f>(IFERROR(VLOOKUP(D90,'Employee Numbers'!$A$3:$C$84,3,FALSE),"NOT FOUND"))*8</f>
        <v>#VALUE!</v>
      </c>
    </row>
    <row r="91" spans="1:21" s="2" customFormat="1" ht="15" customHeight="1">
      <c r="A91" s="2" t="s">
        <v>129</v>
      </c>
      <c r="D91" s="263" t="s">
        <v>135</v>
      </c>
      <c r="E91" s="285">
        <f>IFERROR(VLOOKUP(D91,'Employee Numbers'!$A$3:$B$84,2,FALSE),"NOT FOUND")</f>
        <v>703157</v>
      </c>
      <c r="F91" s="301" t="s">
        <v>44</v>
      </c>
      <c r="G91" s="302" t="s">
        <v>145</v>
      </c>
      <c r="H91" s="302" t="s">
        <v>44</v>
      </c>
      <c r="I91" s="302" t="s">
        <v>44</v>
      </c>
      <c r="J91" s="302" t="s">
        <v>42</v>
      </c>
      <c r="K91" s="302" t="s">
        <v>145</v>
      </c>
      <c r="L91" s="302" t="s">
        <v>145</v>
      </c>
      <c r="N91">
        <f t="array" ref="N91">((SUM(IFERROR((TEXT(IF(ISNUMBER(SEARCH("-", F91:L91)), MID(F91:L91, SEARCH("-", F91:L91) + 1, 4), ""), "00\:00") - TEXT(IF(ISNUMBER(SEARCH("-", F91:L91)), MID(F91:L91, SEARCH("-", F91:L91) - 4, 4), ""), "00\:00") + IF(TEXT(IF(ISNUMBER(SEARCH("-", F91:L91)), MID(F91:L91, SEARCH("-", F91:L91) + 1, 4), ""), "00\:00") &lt; TEXT(IF(ISNUMBER(SEARCH("-", F91:L91)), MID(F91:L91, SEARCH("-", F91:L91) - 4, 4), ""), "00\:00"), 1, 0))*24,""))))/9.5</f>
        <v>4</v>
      </c>
      <c r="O91"/>
      <c r="P91"/>
      <c r="Q91" s="2">
        <f t="shared" si="31"/>
        <v>4</v>
      </c>
      <c r="S91">
        <f t="shared" ca="1" si="30"/>
        <v>8</v>
      </c>
      <c r="T91" s="2" t="e">
        <f>(IFERROR(VLOOKUP(D91,'Employee Numbers'!$A$3:$C$84,3,FALSE),"NOT FOUND"))*8</f>
        <v>#VALUE!</v>
      </c>
    </row>
    <row r="92" spans="1:21" s="2" customFormat="1" ht="15" customHeight="1">
      <c r="A92" s="44" t="s">
        <v>129</v>
      </c>
      <c r="B92" s="44"/>
      <c r="C92" s="44"/>
      <c r="D92" s="263" t="s">
        <v>136</v>
      </c>
      <c r="E92" s="285">
        <f>IFERROR(VLOOKUP(D92,'Employee Numbers'!$A$3:$B$84,2,FALSE),"NOT FOUND")</f>
        <v>655173</v>
      </c>
      <c r="F92" s="301" t="s">
        <v>44</v>
      </c>
      <c r="G92" s="302" t="s">
        <v>44</v>
      </c>
      <c r="H92" s="302" t="s">
        <v>44</v>
      </c>
      <c r="I92" s="302" t="s">
        <v>42</v>
      </c>
      <c r="J92" s="302" t="s">
        <v>145</v>
      </c>
      <c r="K92" s="302" t="s">
        <v>145</v>
      </c>
      <c r="L92" s="302" t="s">
        <v>145</v>
      </c>
      <c r="N92">
        <f t="array" ref="N92">((SUM(IFERROR((TEXT(IF(ISNUMBER(SEARCH("-", F92:L92)), MID(F92:L92, SEARCH("-", F92:L92) + 1, 4), ""), "00\:00") - TEXT(IF(ISNUMBER(SEARCH("-", F92:L92)), MID(F92:L92, SEARCH("-", F92:L92) - 4, 4), ""), "00\:00") + IF(TEXT(IF(ISNUMBER(SEARCH("-", F92:L92)), MID(F92:L92, SEARCH("-", F92:L92) + 1, 4), ""), "00\:00") &lt; TEXT(IF(ISNUMBER(SEARCH("-", F92:L92)), MID(F92:L92, SEARCH("-", F92:L92) - 4, 4), ""), "00\:00"), 1, 0))*24,""))))/9.5</f>
        <v>4</v>
      </c>
      <c r="O92"/>
      <c r="P92"/>
      <c r="Q92" s="2">
        <f t="shared" si="31"/>
        <v>4</v>
      </c>
      <c r="S92">
        <f t="shared" ca="1" si="30"/>
        <v>7.9999999999999991</v>
      </c>
      <c r="T92" s="2" t="e">
        <f>(IFERROR(VLOOKUP(D92,'Employee Numbers'!$A$3:$C$84,3,FALSE),"NOT FOUND"))*8</f>
        <v>#VALUE!</v>
      </c>
    </row>
    <row r="93" spans="1:21" s="2" customFormat="1" ht="15" customHeight="1">
      <c r="A93" s="44" t="s">
        <v>129</v>
      </c>
      <c r="B93" s="44"/>
      <c r="C93" s="45"/>
      <c r="D93" s="263" t="s">
        <v>137</v>
      </c>
      <c r="E93" s="285">
        <f>IFERROR(VLOOKUP(D93,'Employee Numbers'!$A$3:$B$84,2,FALSE),"NOT FOUND")</f>
        <v>705273</v>
      </c>
      <c r="F93" s="301" t="s">
        <v>44</v>
      </c>
      <c r="G93" s="302" t="s">
        <v>44</v>
      </c>
      <c r="H93" s="302" t="s">
        <v>100</v>
      </c>
      <c r="I93" s="302" t="s">
        <v>100</v>
      </c>
      <c r="J93" s="302" t="s">
        <v>145</v>
      </c>
      <c r="K93" s="302" t="s">
        <v>145</v>
      </c>
      <c r="L93" s="302" t="s">
        <v>145</v>
      </c>
      <c r="N93">
        <f t="array" ref="N93">((SUM(IFERROR((TEXT(IF(ISNUMBER(SEARCH("-", F93:L93)), MID(F93:L93, SEARCH("-", F93:L93) + 1, 4), ""), "00\:00") - TEXT(IF(ISNUMBER(SEARCH("-", F93:L93)), MID(F93:L93, SEARCH("-", F93:L93) - 4, 4), ""), "00\:00") + IF(TEXT(IF(ISNUMBER(SEARCH("-", F93:L93)), MID(F93:L93, SEARCH("-", F93:L93) + 1, 4), ""), "00\:00") &lt; TEXT(IF(ISNUMBER(SEARCH("-", F93:L93)), MID(F93:L93, SEARCH("-", F93:L93) - 4, 4), ""), "00\:00"), 1, 0))*24,""))))/9.5</f>
        <v>4</v>
      </c>
      <c r="O93"/>
      <c r="P93"/>
      <c r="Q93" s="2">
        <f t="shared" si="31"/>
        <v>4</v>
      </c>
      <c r="S93">
        <f t="shared" ca="1" si="30"/>
        <v>8</v>
      </c>
      <c r="T93" s="2" t="e">
        <f>(IFERROR(VLOOKUP(D93,'Employee Numbers'!$A$3:$C$84,3,FALSE),"NOT FOUND"))*8</f>
        <v>#VALUE!</v>
      </c>
    </row>
    <row r="94" spans="1:21" s="2" customFormat="1" ht="15" customHeight="1">
      <c r="A94" s="2" t="s">
        <v>129</v>
      </c>
      <c r="C94" s="21"/>
      <c r="D94" s="263" t="s">
        <v>138</v>
      </c>
      <c r="E94" s="285">
        <f>IFERROR(VLOOKUP(D94,'Employee Numbers'!$A$3:$B$84,2,FALSE),"NOT FOUND")</f>
        <v>703418</v>
      </c>
      <c r="F94" s="301" t="s">
        <v>145</v>
      </c>
      <c r="G94" s="302" t="s">
        <v>145</v>
      </c>
      <c r="H94" s="302" t="s">
        <v>145</v>
      </c>
      <c r="I94" s="302" t="s">
        <v>42</v>
      </c>
      <c r="J94" s="302" t="s">
        <v>42</v>
      </c>
      <c r="K94" s="302" t="s">
        <v>100</v>
      </c>
      <c r="L94" s="302" t="s">
        <v>100</v>
      </c>
      <c r="N94">
        <f t="array" ref="N94">((SUM(IFERROR((TEXT(IF(ISNUMBER(SEARCH("-", F94:L94)), MID(F94:L94, SEARCH("-", F94:L94) + 1, 4), ""), "00\:00") - TEXT(IF(ISNUMBER(SEARCH("-", F94:L94)), MID(F94:L94, SEARCH("-", F94:L94) - 4, 4), ""), "00\:00") + IF(TEXT(IF(ISNUMBER(SEARCH("-", F94:L94)), MID(F94:L94, SEARCH("-", F94:L94) + 1, 4), ""), "00\:00") &lt; TEXT(IF(ISNUMBER(SEARCH("-", F94:L94)), MID(F94:L94, SEARCH("-", F94:L94) - 4, 4), ""), "00\:00"), 1, 0))*24,""))))/9.5</f>
        <v>4</v>
      </c>
      <c r="O94"/>
      <c r="P94"/>
      <c r="Q94" s="2">
        <f t="shared" si="31"/>
        <v>4</v>
      </c>
      <c r="S94">
        <f t="shared" ca="1" si="30"/>
        <v>8</v>
      </c>
      <c r="T94" s="2" t="e">
        <f>(IFERROR(VLOOKUP(D94,'Employee Numbers'!$A$3:$C$84,3,FALSE),"NOT FOUND"))*8</f>
        <v>#VALUE!</v>
      </c>
    </row>
    <row r="95" spans="1:21" s="13" customFormat="1" ht="15" customHeight="1">
      <c r="A95" s="44" t="s">
        <v>129</v>
      </c>
      <c r="B95" s="44"/>
      <c r="C95" s="45"/>
      <c r="D95" s="263" t="s">
        <v>139</v>
      </c>
      <c r="E95" s="285">
        <f>IFERROR(VLOOKUP(D95,'Employee Numbers'!$A$3:$B$84,2,FALSE),"NOT FOUND")</f>
        <v>704108</v>
      </c>
      <c r="F95" s="301" t="s">
        <v>44</v>
      </c>
      <c r="G95" s="302" t="s">
        <v>42</v>
      </c>
      <c r="H95" s="302" t="s">
        <v>145</v>
      </c>
      <c r="I95" s="302" t="s">
        <v>44</v>
      </c>
      <c r="J95" s="302" t="s">
        <v>42</v>
      </c>
      <c r="K95" s="302" t="s">
        <v>145</v>
      </c>
      <c r="L95" s="302" t="s">
        <v>145</v>
      </c>
      <c r="M95" s="2"/>
      <c r="N95">
        <f t="array" ref="N95">((SUM(IFERROR((TEXT(IF(ISNUMBER(SEARCH("-", F95:L95)), MID(F95:L95, SEARCH("-", F95:L95) + 1, 4), ""), "00\:00") - TEXT(IF(ISNUMBER(SEARCH("-", F95:L95)), MID(F95:L95, SEARCH("-", F95:L95) - 4, 4), ""), "00\:00") + IF(TEXT(IF(ISNUMBER(SEARCH("-", F95:L95)), MID(F95:L95, SEARCH("-", F95:L95) + 1, 4), ""), "00\:00") &lt; TEXT(IF(ISNUMBER(SEARCH("-", F95:L95)), MID(F95:L95, SEARCH("-", F95:L95) - 4, 4), ""), "00\:00"), 1, 0))*24,""))))/9.5</f>
        <v>4</v>
      </c>
      <c r="O95"/>
      <c r="P95"/>
      <c r="Q95" s="2">
        <f t="shared" si="31"/>
        <v>4</v>
      </c>
      <c r="R95" s="2"/>
      <c r="S95">
        <f t="shared" ca="1" si="30"/>
        <v>8</v>
      </c>
      <c r="T95" s="2" t="e">
        <f>(IFERROR(VLOOKUP(D95,'Employee Numbers'!$A$3:$C$84,3,FALSE),"NOT FOUND"))*8</f>
        <v>#VALUE!</v>
      </c>
      <c r="U95" s="2"/>
    </row>
    <row r="96" spans="1:21" s="2" customFormat="1" ht="15" customHeight="1">
      <c r="A96" s="2" t="s">
        <v>129</v>
      </c>
      <c r="C96" s="21"/>
      <c r="D96" s="263" t="s">
        <v>140</v>
      </c>
      <c r="E96" s="39">
        <f>IFERROR(VLOOKUP(D96,'Employee Numbers'!$A$3:$B$84,2,FALSE),"NOT FOUND")</f>
        <v>651515</v>
      </c>
      <c r="F96" s="317" t="s">
        <v>145</v>
      </c>
      <c r="G96" s="318" t="s">
        <v>145</v>
      </c>
      <c r="H96" s="318" t="s">
        <v>145</v>
      </c>
      <c r="I96" s="318" t="s">
        <v>145</v>
      </c>
      <c r="J96" s="318" t="s">
        <v>145</v>
      </c>
      <c r="K96" s="318" t="s">
        <v>145</v>
      </c>
      <c r="L96" s="318" t="s">
        <v>145</v>
      </c>
      <c r="N96">
        <f t="array" ref="N96">((SUM(IFERROR((TEXT(IF(ISNUMBER(SEARCH("-", F96:L96)), MID(F96:L96, SEARCH("-", F96:L96) + 1, 4), ""), "00\:00") - TEXT(IF(ISNUMBER(SEARCH("-", F96:L96)), MID(F96:L96, SEARCH("-", F96:L96) - 4, 4), ""), "00\:00") + IF(TEXT(IF(ISNUMBER(SEARCH("-", F96:L96)), MID(F96:L96, SEARCH("-", F96:L96) + 1, 4), ""), "00\:00") &lt; TEXT(IF(ISNUMBER(SEARCH("-", F96:L96)), MID(F96:L96, SEARCH("-", F96:L96) - 4, 4), ""), "00\:00"), 1, 0))*24,""))))/9.5</f>
        <v>0</v>
      </c>
      <c r="O96"/>
      <c r="P96"/>
      <c r="Q96" s="2">
        <f t="shared" si="31"/>
        <v>0</v>
      </c>
      <c r="S96">
        <f t="shared" ca="1" si="30"/>
        <v>0</v>
      </c>
      <c r="T96" s="2" t="e">
        <f>(IFERROR(VLOOKUP(D96,'Employee Numbers'!$A$3:$C$84,3,FALSE),"NOT FOUND"))*8</f>
        <v>#VALUE!</v>
      </c>
    </row>
    <row r="97" spans="1:20" s="2" customFormat="1" ht="15" customHeight="1">
      <c r="A97" s="44" t="s">
        <v>129</v>
      </c>
      <c r="B97" s="44"/>
      <c r="C97" s="45"/>
      <c r="D97" s="263" t="s">
        <v>141</v>
      </c>
      <c r="E97" s="285">
        <f>IFERROR(VLOOKUP(D97,'Employee Numbers'!$A$3:$B$84,2,FALSE),"NOT FOUND")</f>
        <v>705199</v>
      </c>
      <c r="F97" s="299" t="s">
        <v>145</v>
      </c>
      <c r="G97" s="300" t="s">
        <v>145</v>
      </c>
      <c r="H97" s="300" t="s">
        <v>145</v>
      </c>
      <c r="I97" s="300" t="s">
        <v>44</v>
      </c>
      <c r="J97" s="300" t="s">
        <v>44</v>
      </c>
      <c r="K97" s="300" t="s">
        <v>44</v>
      </c>
      <c r="L97" s="300" t="s">
        <v>44</v>
      </c>
      <c r="N97">
        <f t="array" ref="N97">((SUM(IFERROR((TEXT(IF(ISNUMBER(SEARCH("-", F97:L97)), MID(F97:L97, SEARCH("-", F97:L97) + 1, 4), ""), "00\:00") - TEXT(IF(ISNUMBER(SEARCH("-", F97:L97)), MID(F97:L97, SEARCH("-", F97:L97) - 4, 4), ""), "00\:00") + IF(TEXT(IF(ISNUMBER(SEARCH("-", F97:L97)), MID(F97:L97, SEARCH("-", F97:L97) + 1, 4), ""), "00\:00") &lt; TEXT(IF(ISNUMBER(SEARCH("-", F97:L97)), MID(F97:L97, SEARCH("-", F97:L97) - 4, 4), ""), "00\:00"), 1, 0))*24,""))))/9.5</f>
        <v>4</v>
      </c>
      <c r="O97"/>
      <c r="P97"/>
      <c r="Q97" s="2">
        <f>P97+O97+N97</f>
        <v>4</v>
      </c>
      <c r="S97">
        <f t="shared" ca="1" si="30"/>
        <v>8</v>
      </c>
      <c r="T97" s="2" t="e">
        <f>(IFERROR(VLOOKUP(D97,'Employee Numbers'!$A$3:$C$84,3,FALSE),"NOT FOUND"))*8</f>
        <v>#VALUE!</v>
      </c>
    </row>
    <row r="98" spans="1:20" s="2" customFormat="1" ht="15" customHeight="1">
      <c r="A98" s="2" t="s">
        <v>129</v>
      </c>
      <c r="D98" s="31"/>
      <c r="E98" s="39" t="str">
        <f>IFERROR(VLOOKUP(D98,'Employee Numbers'!$A$3:$B$84,2,FALSE),"NOT FOUND")</f>
        <v>NOT FOUND</v>
      </c>
      <c r="F98" s="130"/>
      <c r="G98" s="130"/>
      <c r="H98" s="130"/>
      <c r="I98" s="130"/>
      <c r="J98" s="130"/>
      <c r="K98" s="130"/>
      <c r="L98" s="130"/>
      <c r="N98">
        <f t="array" ref="N98">((SUM(IFERROR((TEXT(IF(ISNUMBER(SEARCH("-", F98:L98)), MID(F98:L98, SEARCH("-", F98:L98) + 1, 4), ""), "00\:00") - TEXT(IF(ISNUMBER(SEARCH("-", F98:L98)), MID(F98:L98, SEARCH("-", F98:L98) - 4, 4), ""), "00\:00") + IF(TEXT(IF(ISNUMBER(SEARCH("-", F98:L98)), MID(F98:L98, SEARCH("-", F98:L98) + 1, 4), ""), "00\:00") &lt; TEXT(IF(ISNUMBER(SEARCH("-", F98:L98)), MID(F98:L98, SEARCH("-", F98:L98) - 4, 4), ""), "00\:00"), 1, 0))*24,""))))/9.5</f>
        <v>0</v>
      </c>
      <c r="O98"/>
      <c r="P98"/>
      <c r="Q98" s="2">
        <f>P98+O98+N98</f>
        <v>0</v>
      </c>
      <c r="S98">
        <f t="shared" ca="1" si="30"/>
        <v>0</v>
      </c>
      <c r="T98" s="2" t="e">
        <f>(IFERROR(VLOOKUP(D98,'Employee Numbers'!$A$3:$C$84,3,FALSE),"NOT FOUND"))*8</f>
        <v>#VALUE!</v>
      </c>
    </row>
    <row r="99" spans="1:20" s="2" customFormat="1" ht="15" customHeight="1">
      <c r="A99" s="44" t="s">
        <v>129</v>
      </c>
      <c r="B99" s="44"/>
      <c r="C99" s="44"/>
      <c r="D99" s="30"/>
      <c r="E99" s="39" t="str">
        <f>IFERROR(VLOOKUP(D99,'Employee Numbers'!$A$3:$B$84,2,FALSE),"NOT FOUND")</f>
        <v>NOT FOUND</v>
      </c>
      <c r="F99" s="37"/>
      <c r="G99" s="37"/>
      <c r="H99" s="37"/>
      <c r="I99" s="37"/>
      <c r="J99" s="37"/>
      <c r="K99" s="37"/>
      <c r="L99" s="37"/>
      <c r="N99">
        <f t="array" ref="N99">((SUM(IFERROR((TEXT(IF(ISNUMBER(SEARCH("-", F99:L99)), MID(F99:L99, SEARCH("-", F99:L99) + 1, 4), ""), "00\:00") - TEXT(IF(ISNUMBER(SEARCH("-", F99:L99)), MID(F99:L99, SEARCH("-", F99:L99) - 4, 4), ""), "00\:00") + IF(TEXT(IF(ISNUMBER(SEARCH("-", F99:L99)), MID(F99:L99, SEARCH("-", F99:L99) + 1, 4), ""), "00\:00") &lt; TEXT(IF(ISNUMBER(SEARCH("-", F99:L99)), MID(F99:L99, SEARCH("-", F99:L99) - 4, 4), ""), "00\:00"), 1, 0))*24,""))))/9.5</f>
        <v>0</v>
      </c>
      <c r="O99"/>
      <c r="P99"/>
      <c r="Q99" s="2">
        <f>P99+O99+N99</f>
        <v>0</v>
      </c>
      <c r="S99">
        <f t="shared" ca="1" si="30"/>
        <v>0</v>
      </c>
      <c r="T99" s="2" t="e">
        <f>(IFERROR(VLOOKUP(D99,'Employee Numbers'!$A$3:$C$84,3,FALSE),"NOT FOUND"))*8</f>
        <v>#VALUE!</v>
      </c>
    </row>
    <row r="100" spans="1:20" s="2" customFormat="1" ht="15" customHeight="1">
      <c r="A100" s="56" t="s">
        <v>142</v>
      </c>
      <c r="B100" s="52"/>
      <c r="C100" s="53"/>
      <c r="D100" s="56" t="s">
        <v>142</v>
      </c>
      <c r="E100" s="41" t="s">
        <v>4</v>
      </c>
      <c r="F100" s="40" t="s">
        <v>5</v>
      </c>
      <c r="G100" s="40" t="s">
        <v>6</v>
      </c>
      <c r="H100" s="40" t="s">
        <v>7</v>
      </c>
      <c r="I100" s="40" t="s">
        <v>8</v>
      </c>
      <c r="J100" s="40" t="s">
        <v>9</v>
      </c>
      <c r="K100" s="40" t="s">
        <v>10</v>
      </c>
      <c r="L100" s="40" t="s">
        <v>11</v>
      </c>
      <c r="M100" s="5"/>
    </row>
    <row r="101" spans="1:20" s="2" customFormat="1" ht="15" customHeight="1">
      <c r="A101" s="2" t="s">
        <v>143</v>
      </c>
      <c r="B101" s="5"/>
      <c r="C101" s="8"/>
      <c r="D101" s="31"/>
      <c r="E101" s="39" t="str">
        <f>IFERROR(VLOOKUP(D101,'Employee Numbers'!$A$3:$B$84,2,FALSE),"NOT FOUND")</f>
        <v>NOT FOUND</v>
      </c>
      <c r="F101" s="31"/>
      <c r="G101" s="31"/>
      <c r="H101" s="31"/>
      <c r="I101" s="31"/>
      <c r="J101" s="31"/>
      <c r="K101" s="31"/>
      <c r="L101" s="31"/>
      <c r="M101" s="5"/>
      <c r="N101">
        <f t="array" ref="N101">((SUM(IFERROR((TEXT(IF(ISNUMBER(SEARCH("-", F101:L101)), MID(F101:L101, SEARCH("-", F101:L101) + 1, 4), ""), "00\:00") - TEXT(IF(ISNUMBER(SEARCH("-", F101:L101)), MID(F101:L101, SEARCH("-", F101:L101) - 4, 4), ""), "00\:00") + IF(TEXT(IF(ISNUMBER(SEARCH("-", F101:L101)), MID(F101:L101, SEARCH("-", F101:L101) + 1, 4), ""), "00\:00") &lt; TEXT(IF(ISNUMBER(SEARCH("-", F101:L101)), MID(F101:L101, SEARCH("-", F101:L101) - 4, 4), ""), "00\:00"), 1, 0))*24,""))))/9.5</f>
        <v>0</v>
      </c>
      <c r="O101"/>
      <c r="P101"/>
      <c r="Q101" s="2">
        <f>P101+O101+N101</f>
        <v>0</v>
      </c>
      <c r="S101">
        <f t="shared" ref="S101:S102" ca="1" si="32">IF($C$4=1,SUM(Q101+INDIRECT("'Week "&amp;($B$3+1)&amp;"'!Q"&amp;(ROW()))),IF($C$4=2,SUM(Q101+INDIRECT("'Week "&amp;($B$3-1)&amp;"'!Q"&amp;(ROW())))))</f>
        <v>0</v>
      </c>
      <c r="T101" s="2" t="e">
        <f>(IFERROR(VLOOKUP(D101,'Employee Numbers'!$A$3:$C$84,3,FALSE),"NOT FOUND"))*8</f>
        <v>#VALUE!</v>
      </c>
    </row>
    <row r="102" spans="1:20" s="2" customFormat="1" ht="15" customHeight="1">
      <c r="A102" s="44" t="s">
        <v>143</v>
      </c>
      <c r="B102" s="5"/>
      <c r="C102" s="8"/>
      <c r="D102" s="31"/>
      <c r="E102" s="39" t="str">
        <f>IFERROR(VLOOKUP(D102,'Employee Numbers'!$A$3:$B$84,2,FALSE),"NOT FOUND")</f>
        <v>NOT FOUND</v>
      </c>
      <c r="F102" s="31"/>
      <c r="G102" s="31"/>
      <c r="H102" s="31"/>
      <c r="I102" s="31"/>
      <c r="J102" s="31"/>
      <c r="K102" s="31"/>
      <c r="L102" s="31"/>
      <c r="M102" s="5"/>
      <c r="N102">
        <f t="array" ref="N102">((SUM(IFERROR((TEXT(IF(ISNUMBER(SEARCH("-", F102:L102)), MID(F102:L102, SEARCH("-", F102:L102) + 1, 4), ""), "00\:00") - TEXT(IF(ISNUMBER(SEARCH("-", F102:L102)), MID(F102:L102, SEARCH("-", F102:L102) - 4, 4), ""), "00\:00") + IF(TEXT(IF(ISNUMBER(SEARCH("-", F102:L102)), MID(F102:L102, SEARCH("-", F102:L102) + 1, 4), ""), "00\:00") &lt; TEXT(IF(ISNUMBER(SEARCH("-", F102:L102)), MID(F102:L102, SEARCH("-", F102:L102) - 4, 4), ""), "00\:00"), 1, 0))*24,""))))/9.5</f>
        <v>0</v>
      </c>
      <c r="O102"/>
      <c r="P102"/>
      <c r="Q102" s="2">
        <f>P102+O102+N102</f>
        <v>0</v>
      </c>
      <c r="S102">
        <f t="shared" ca="1" si="32"/>
        <v>0</v>
      </c>
      <c r="T102" s="2" t="e">
        <f>(IFERROR(VLOOKUP(D102,'Employee Numbers'!$A$3:$C$84,3,FALSE),"NOT FOUND"))*8</f>
        <v>#VALUE!</v>
      </c>
    </row>
    <row r="103" spans="1:20" s="2" customFormat="1" ht="15" customHeight="1">
      <c r="A103" s="54" t="s">
        <v>148</v>
      </c>
      <c r="B103" s="54"/>
      <c r="C103" s="54"/>
      <c r="D103" s="57" t="s">
        <v>148</v>
      </c>
      <c r="E103" s="107"/>
      <c r="F103" s="57"/>
      <c r="G103" s="57"/>
      <c r="H103" s="57"/>
      <c r="I103" s="57"/>
      <c r="J103" s="57"/>
      <c r="K103" s="57"/>
      <c r="L103" s="57"/>
      <c r="M103" s="5"/>
      <c r="N103"/>
      <c r="O103"/>
      <c r="Q103"/>
    </row>
    <row r="104" spans="1:20" ht="15" customHeight="1">
      <c r="B104" s="2"/>
      <c r="C104" s="21"/>
      <c r="D104" s="31"/>
      <c r="E104" s="154" t="s">
        <v>149</v>
      </c>
      <c r="F104" s="31"/>
      <c r="G104" s="31"/>
      <c r="H104" s="31"/>
      <c r="I104" s="31"/>
      <c r="J104" s="31"/>
      <c r="K104" s="31"/>
      <c r="L104" s="31"/>
      <c r="N104"/>
      <c r="O104"/>
      <c r="P104" s="2"/>
      <c r="Q104"/>
      <c r="R104" s="2"/>
    </row>
    <row r="105" spans="1:20" ht="15" customHeight="1" thickBot="1">
      <c r="L105" s="6"/>
      <c r="N105"/>
      <c r="O105"/>
      <c r="P105" s="2"/>
      <c r="Q105"/>
      <c r="R105" s="2"/>
    </row>
    <row r="106" spans="1:20" ht="15" customHeight="1">
      <c r="D106" s="77" t="s">
        <v>150</v>
      </c>
      <c r="F106" s="88" t="s">
        <v>151</v>
      </c>
      <c r="G106" s="89"/>
      <c r="H106" s="89"/>
      <c r="I106" s="89"/>
      <c r="J106" s="89"/>
      <c r="K106" s="89"/>
      <c r="L106" s="90"/>
      <c r="N106"/>
      <c r="O106"/>
      <c r="P106" s="2"/>
      <c r="Q106"/>
      <c r="R106" s="2"/>
    </row>
    <row r="107" spans="1:20" ht="15" customHeight="1">
      <c r="D107" s="78" t="s">
        <v>152</v>
      </c>
      <c r="F107" s="24" t="s">
        <v>153</v>
      </c>
      <c r="G107"/>
      <c r="L107" s="6"/>
      <c r="N107" s="2"/>
      <c r="O107" s="2"/>
      <c r="P107" s="2"/>
      <c r="Q107" s="2"/>
      <c r="R107" s="2"/>
    </row>
    <row r="108" spans="1:20" ht="15" customHeight="1">
      <c r="D108" s="79" t="s">
        <v>154</v>
      </c>
      <c r="F108" s="24" t="s">
        <v>155</v>
      </c>
      <c r="G108"/>
      <c r="L108" s="6"/>
      <c r="N108"/>
      <c r="O108"/>
      <c r="P108" s="2"/>
      <c r="Q108"/>
      <c r="R108" s="2"/>
    </row>
    <row r="109" spans="1:20" ht="15" customHeight="1">
      <c r="D109" s="80" t="s">
        <v>156</v>
      </c>
      <c r="F109" s="24" t="s">
        <v>157</v>
      </c>
      <c r="G109"/>
      <c r="L109" s="6"/>
      <c r="N109"/>
      <c r="O109"/>
      <c r="P109" s="2"/>
      <c r="Q109"/>
      <c r="R109" s="2"/>
    </row>
    <row r="110" spans="1:20" ht="15" customHeight="1">
      <c r="D110" s="81" t="s">
        <v>158</v>
      </c>
      <c r="F110" s="24" t="s">
        <v>159</v>
      </c>
      <c r="G110"/>
      <c r="L110" s="6"/>
      <c r="N110" s="2"/>
      <c r="O110" s="2"/>
      <c r="P110" s="2"/>
      <c r="Q110" s="2"/>
      <c r="R110" s="2"/>
    </row>
    <row r="111" spans="1:20" ht="15" customHeight="1" thickBot="1">
      <c r="A111" s="2"/>
      <c r="F111" s="25" t="s">
        <v>160</v>
      </c>
      <c r="G111" s="17"/>
      <c r="H111" s="7"/>
      <c r="I111" s="7"/>
      <c r="J111" s="7"/>
      <c r="K111" s="7"/>
      <c r="L111" s="18"/>
      <c r="N111" s="2"/>
      <c r="O111" s="2"/>
      <c r="P111" s="2"/>
      <c r="Q111" s="2"/>
      <c r="R111" s="2"/>
    </row>
    <row r="112" spans="1:20" ht="15" customHeight="1">
      <c r="G112" s="14"/>
    </row>
    <row r="113" spans="1:18" s="2" customFormat="1" ht="15" customHeight="1">
      <c r="A113" s="42" t="s">
        <v>38</v>
      </c>
      <c r="B113" s="33"/>
      <c r="C113" s="43"/>
      <c r="D113" s="82" t="s">
        <v>38</v>
      </c>
      <c r="E113" s="19"/>
      <c r="F113" s="10"/>
      <c r="G113" s="11"/>
      <c r="H113" s="11"/>
      <c r="I113" s="11"/>
      <c r="J113" s="11"/>
      <c r="K113" s="11"/>
      <c r="L113" s="15"/>
      <c r="M113" s="5"/>
      <c r="N113" s="5"/>
      <c r="O113" s="5"/>
      <c r="P113" s="5"/>
      <c r="Q113" s="5"/>
      <c r="R113" s="5"/>
    </row>
    <row r="114" spans="1:18" ht="15" customHeight="1" thickBot="1"/>
    <row r="115" spans="1:18" ht="15" customHeight="1" thickBot="1">
      <c r="A115" s="2" t="s">
        <v>161</v>
      </c>
      <c r="B115" s="55" t="s">
        <v>162</v>
      </c>
      <c r="C115" s="21"/>
      <c r="D115" s="27" t="str">
        <f t="shared" ref="D115:D143" si="33">D21</f>
        <v>Dr Adam West</v>
      </c>
      <c r="E115" s="22">
        <f>IFERROR(VLOOKUP(D115,'Employee Numbers'!$A$3:$B$84,2,FALSE),"NOT FOUND")</f>
        <v>287628</v>
      </c>
      <c r="F115" s="9" t="str">
        <f t="shared" ref="F115:L130" si="34">IF(F$50=$D115,"Con_8_0000","")</f>
        <v/>
      </c>
      <c r="G115" s="9" t="str">
        <f t="shared" si="34"/>
        <v/>
      </c>
      <c r="H115" s="9" t="str">
        <f t="shared" si="34"/>
        <v/>
      </c>
      <c r="I115" s="9" t="str">
        <f t="shared" si="34"/>
        <v/>
      </c>
      <c r="J115" s="9" t="str">
        <f t="shared" si="34"/>
        <v/>
      </c>
      <c r="K115" s="9" t="str">
        <f t="shared" si="34"/>
        <v>Con_8_0000</v>
      </c>
      <c r="L115" s="9" t="str">
        <f t="shared" si="34"/>
        <v/>
      </c>
    </row>
    <row r="116" spans="1:18" ht="15" customHeight="1" thickBot="1">
      <c r="A116" s="2" t="s">
        <v>161</v>
      </c>
      <c r="B116" s="55" t="s">
        <v>162</v>
      </c>
      <c r="C116" s="21"/>
      <c r="D116" s="27" t="str">
        <f t="shared" si="33"/>
        <v>Dr Toby VanHest</v>
      </c>
      <c r="E116" s="22">
        <f>IFERROR(VLOOKUP(D116,'Employee Numbers'!$A$3:$B$84,2,FALSE),"NOT FOUND")</f>
        <v>609660</v>
      </c>
      <c r="F116" s="9" t="str">
        <f t="shared" si="34"/>
        <v/>
      </c>
      <c r="G116" s="9" t="str">
        <f t="shared" si="34"/>
        <v/>
      </c>
      <c r="H116" s="9" t="str">
        <f t="shared" si="34"/>
        <v/>
      </c>
      <c r="I116" s="9" t="str">
        <f t="shared" si="34"/>
        <v/>
      </c>
      <c r="J116" s="9" t="str">
        <f t="shared" si="34"/>
        <v/>
      </c>
      <c r="K116" s="9" t="str">
        <f t="shared" si="34"/>
        <v/>
      </c>
      <c r="L116" s="9" t="str">
        <f t="shared" si="34"/>
        <v/>
      </c>
    </row>
    <row r="117" spans="1:18" ht="15" customHeight="1" thickBot="1">
      <c r="A117" s="2" t="s">
        <v>161</v>
      </c>
      <c r="B117" s="55" t="s">
        <v>162</v>
      </c>
      <c r="C117" s="21"/>
      <c r="D117" s="27" t="str">
        <f t="shared" si="33"/>
        <v>Dr Bob Seith</v>
      </c>
      <c r="E117" s="22">
        <f>IFERROR(VLOOKUP(D117,'Employee Numbers'!$A$3:$B$84,2,FALSE),"NOT FOUND")</f>
        <v>610036</v>
      </c>
      <c r="F117" s="9" t="str">
        <f t="shared" si="34"/>
        <v/>
      </c>
      <c r="G117" s="9" t="str">
        <f t="shared" si="34"/>
        <v/>
      </c>
      <c r="H117" s="9" t="str">
        <f t="shared" si="34"/>
        <v/>
      </c>
      <c r="I117" s="9" t="str">
        <f t="shared" si="34"/>
        <v/>
      </c>
      <c r="J117" s="9" t="str">
        <f t="shared" si="34"/>
        <v/>
      </c>
      <c r="K117" s="9" t="str">
        <f t="shared" si="34"/>
        <v/>
      </c>
      <c r="L117" s="9" t="str">
        <f t="shared" si="34"/>
        <v/>
      </c>
    </row>
    <row r="118" spans="1:18" ht="15" customHeight="1" thickBot="1">
      <c r="A118" s="2" t="s">
        <v>161</v>
      </c>
      <c r="B118" s="55" t="s">
        <v>162</v>
      </c>
      <c r="C118" s="21"/>
      <c r="D118" s="27" t="str">
        <f t="shared" si="33"/>
        <v>Dr Simon Craig</v>
      </c>
      <c r="E118" s="22">
        <f>IFERROR(VLOOKUP(D118,'Employee Numbers'!$A$3:$B$84,2,FALSE),"NOT FOUND")</f>
        <v>533509</v>
      </c>
      <c r="F118" s="9" t="str">
        <f t="shared" si="34"/>
        <v/>
      </c>
      <c r="G118" s="9" t="str">
        <f t="shared" si="34"/>
        <v/>
      </c>
      <c r="H118" s="9" t="str">
        <f t="shared" si="34"/>
        <v/>
      </c>
      <c r="I118" s="9" t="str">
        <f t="shared" si="34"/>
        <v/>
      </c>
      <c r="J118" s="9" t="str">
        <f t="shared" si="34"/>
        <v/>
      </c>
      <c r="K118" s="9" t="str">
        <f t="shared" si="34"/>
        <v/>
      </c>
      <c r="L118" s="9" t="str">
        <f t="shared" si="34"/>
        <v/>
      </c>
    </row>
    <row r="119" spans="1:18" ht="15" customHeight="1" thickBot="1">
      <c r="A119" s="2" t="s">
        <v>161</v>
      </c>
      <c r="B119" s="55" t="s">
        <v>162</v>
      </c>
      <c r="C119" s="21"/>
      <c r="D119" s="27" t="str">
        <f t="shared" si="33"/>
        <v>Dr Celia Bagshaw</v>
      </c>
      <c r="E119" s="22">
        <f>IFERROR(VLOOKUP(D119,'Employee Numbers'!$A$3:$B$84,2,FALSE),"NOT FOUND")</f>
        <v>625985</v>
      </c>
      <c r="F119" s="9" t="str">
        <f t="shared" si="34"/>
        <v/>
      </c>
      <c r="G119" s="9" t="str">
        <f t="shared" si="34"/>
        <v/>
      </c>
      <c r="H119" s="9" t="str">
        <f t="shared" si="34"/>
        <v/>
      </c>
      <c r="I119" s="9" t="str">
        <f t="shared" si="34"/>
        <v/>
      </c>
      <c r="J119" s="9" t="str">
        <f t="shared" si="34"/>
        <v/>
      </c>
      <c r="K119" s="9" t="str">
        <f t="shared" si="34"/>
        <v/>
      </c>
      <c r="L119" s="9" t="str">
        <f t="shared" si="34"/>
        <v/>
      </c>
    </row>
    <row r="120" spans="1:18" ht="15" customHeight="1" thickBot="1">
      <c r="A120" s="2" t="s">
        <v>161</v>
      </c>
      <c r="B120" s="55" t="s">
        <v>162</v>
      </c>
      <c r="C120" s="21"/>
      <c r="D120" s="27" t="str">
        <f t="shared" si="33"/>
        <v>Dr Adnan Bilgrami</v>
      </c>
      <c r="E120" s="22">
        <f>IFERROR(VLOOKUP(D120,'Employee Numbers'!$A$3:$B$84,2,FALSE),"NOT FOUND")</f>
        <v>632301</v>
      </c>
      <c r="F120" s="9" t="str">
        <f t="shared" si="34"/>
        <v/>
      </c>
      <c r="G120" s="9" t="str">
        <f t="shared" si="34"/>
        <v/>
      </c>
      <c r="H120" s="9" t="str">
        <f t="shared" si="34"/>
        <v/>
      </c>
      <c r="I120" s="9" t="str">
        <f t="shared" si="34"/>
        <v/>
      </c>
      <c r="J120" s="9" t="str">
        <f t="shared" si="34"/>
        <v/>
      </c>
      <c r="K120" s="9" t="str">
        <f t="shared" si="34"/>
        <v/>
      </c>
      <c r="L120" s="9" t="str">
        <f t="shared" si="34"/>
        <v/>
      </c>
    </row>
    <row r="121" spans="1:18" ht="15" customHeight="1" thickBot="1">
      <c r="A121" s="2" t="s">
        <v>161</v>
      </c>
      <c r="B121" s="55" t="s">
        <v>162</v>
      </c>
      <c r="C121" s="21"/>
      <c r="D121" s="27" t="str">
        <f t="shared" si="33"/>
        <v>Dr Preeti Ramaswamy</v>
      </c>
      <c r="E121" s="22">
        <f>IFERROR(VLOOKUP(D121,'Employee Numbers'!$A$3:$B$84,2,FALSE),"NOT FOUND")</f>
        <v>613891</v>
      </c>
      <c r="F121" s="9" t="str">
        <f t="shared" si="34"/>
        <v/>
      </c>
      <c r="G121" s="9" t="str">
        <f t="shared" si="34"/>
        <v/>
      </c>
      <c r="H121" s="9" t="str">
        <f t="shared" si="34"/>
        <v/>
      </c>
      <c r="I121" s="9" t="str">
        <f t="shared" si="34"/>
        <v>Con_8_0000</v>
      </c>
      <c r="J121" s="9" t="str">
        <f t="shared" si="34"/>
        <v/>
      </c>
      <c r="K121" s="9" t="str">
        <f t="shared" si="34"/>
        <v/>
      </c>
      <c r="L121" s="9" t="str">
        <f t="shared" si="34"/>
        <v/>
      </c>
      <c r="N121" s="2"/>
      <c r="O121" s="2"/>
      <c r="P121" s="2"/>
      <c r="Q121" s="2"/>
      <c r="R121" s="2"/>
    </row>
    <row r="122" spans="1:18" ht="15" customHeight="1" thickBot="1">
      <c r="A122" s="2" t="s">
        <v>161</v>
      </c>
      <c r="B122" s="55" t="s">
        <v>162</v>
      </c>
      <c r="C122" s="21"/>
      <c r="D122" s="27" t="str">
        <f t="shared" si="33"/>
        <v>Dr Erin Mills</v>
      </c>
      <c r="E122" s="22">
        <f>IFERROR(VLOOKUP(D122,'Employee Numbers'!$A$3:$B$84,2,FALSE),"NOT FOUND")</f>
        <v>623657</v>
      </c>
      <c r="F122" s="9" t="str">
        <f t="shared" si="34"/>
        <v/>
      </c>
      <c r="G122" s="9" t="str">
        <f t="shared" si="34"/>
        <v/>
      </c>
      <c r="H122" s="9" t="str">
        <f t="shared" si="34"/>
        <v/>
      </c>
      <c r="I122" s="9" t="str">
        <f t="shared" si="34"/>
        <v/>
      </c>
      <c r="J122" s="9" t="str">
        <f t="shared" si="34"/>
        <v/>
      </c>
      <c r="K122" s="9" t="str">
        <f t="shared" si="34"/>
        <v/>
      </c>
      <c r="L122" s="9" t="str">
        <f t="shared" si="34"/>
        <v/>
      </c>
    </row>
    <row r="123" spans="1:18" ht="15" customHeight="1" thickBot="1">
      <c r="A123" s="2" t="s">
        <v>161</v>
      </c>
      <c r="B123" s="55" t="s">
        <v>162</v>
      </c>
      <c r="C123" s="21"/>
      <c r="D123" s="27" t="str">
        <f t="shared" si="33"/>
        <v>Dr Stella Robinson</v>
      </c>
      <c r="E123" s="22">
        <f>IFERROR(VLOOKUP(D123,'Employee Numbers'!$A$3:$B$84,2,FALSE),"NOT FOUND")</f>
        <v>623708</v>
      </c>
      <c r="F123" s="9" t="str">
        <f t="shared" si="34"/>
        <v/>
      </c>
      <c r="G123" s="9" t="str">
        <f t="shared" si="34"/>
        <v/>
      </c>
      <c r="H123" s="9" t="str">
        <f t="shared" si="34"/>
        <v/>
      </c>
      <c r="I123" s="9" t="str">
        <f t="shared" si="34"/>
        <v/>
      </c>
      <c r="J123" s="9" t="str">
        <f t="shared" si="34"/>
        <v/>
      </c>
      <c r="K123" s="9" t="str">
        <f t="shared" si="34"/>
        <v/>
      </c>
      <c r="L123" s="9" t="str">
        <f t="shared" si="34"/>
        <v/>
      </c>
    </row>
    <row r="124" spans="1:18" ht="15" customHeight="1" thickBot="1">
      <c r="A124" s="2" t="s">
        <v>161</v>
      </c>
      <c r="B124" s="55" t="s">
        <v>162</v>
      </c>
      <c r="C124" s="21"/>
      <c r="D124" s="27" t="str">
        <f t="shared" si="33"/>
        <v>Dr Bev Thompson</v>
      </c>
      <c r="E124" s="22">
        <f>IFERROR(VLOOKUP(D124,'Employee Numbers'!$A$3:$B$84,2,FALSE),"NOT FOUND")</f>
        <v>627680</v>
      </c>
      <c r="F124" s="9" t="str">
        <f t="shared" si="34"/>
        <v/>
      </c>
      <c r="G124" s="9" t="str">
        <f t="shared" si="34"/>
        <v/>
      </c>
      <c r="H124" s="9" t="str">
        <f t="shared" si="34"/>
        <v/>
      </c>
      <c r="I124" s="9" t="str">
        <f t="shared" si="34"/>
        <v/>
      </c>
      <c r="J124" s="9" t="str">
        <f t="shared" si="34"/>
        <v>Con_8_0000</v>
      </c>
      <c r="K124" s="9" t="str">
        <f t="shared" si="34"/>
        <v/>
      </c>
      <c r="L124" s="9" t="str">
        <f t="shared" si="34"/>
        <v/>
      </c>
    </row>
    <row r="125" spans="1:18" ht="15" customHeight="1" thickBot="1">
      <c r="A125" s="2" t="s">
        <v>161</v>
      </c>
      <c r="B125" s="55" t="s">
        <v>162</v>
      </c>
      <c r="C125" s="21"/>
      <c r="D125" s="27" t="str">
        <f t="shared" si="33"/>
        <v>Dr John Unwin</v>
      </c>
      <c r="E125" s="22">
        <f>IFERROR(VLOOKUP(D125,'Employee Numbers'!$A$3:$B$84,2,FALSE),"NOT FOUND")</f>
        <v>633210</v>
      </c>
      <c r="F125" s="9" t="str">
        <f t="shared" si="34"/>
        <v/>
      </c>
      <c r="G125" s="9" t="str">
        <f t="shared" si="34"/>
        <v/>
      </c>
      <c r="H125" s="9" t="str">
        <f t="shared" si="34"/>
        <v/>
      </c>
      <c r="I125" s="9" t="str">
        <f t="shared" si="34"/>
        <v/>
      </c>
      <c r="J125" s="9" t="str">
        <f t="shared" si="34"/>
        <v/>
      </c>
      <c r="K125" s="9" t="str">
        <f t="shared" si="34"/>
        <v/>
      </c>
      <c r="L125" s="9" t="str">
        <f t="shared" si="34"/>
        <v/>
      </c>
    </row>
    <row r="126" spans="1:18" ht="15" customHeight="1" thickBot="1">
      <c r="A126" s="2" t="s">
        <v>161</v>
      </c>
      <c r="B126" s="55" t="s">
        <v>162</v>
      </c>
      <c r="C126" s="21"/>
      <c r="D126" s="27" t="str">
        <f t="shared" si="33"/>
        <v>Dr Siri Samudrala</v>
      </c>
      <c r="E126" s="22">
        <f>IFERROR(VLOOKUP(D126,'Employee Numbers'!$A$3:$B$84,2,FALSE),"NOT FOUND")</f>
        <v>618952</v>
      </c>
      <c r="F126" s="9" t="str">
        <f t="shared" si="34"/>
        <v/>
      </c>
      <c r="G126" s="9" t="str">
        <f t="shared" si="34"/>
        <v/>
      </c>
      <c r="H126" s="9" t="str">
        <f t="shared" si="34"/>
        <v/>
      </c>
      <c r="I126" s="9" t="str">
        <f t="shared" si="34"/>
        <v/>
      </c>
      <c r="J126" s="9" t="str">
        <f t="shared" si="34"/>
        <v/>
      </c>
      <c r="K126" s="9" t="str">
        <f t="shared" si="34"/>
        <v/>
      </c>
      <c r="L126" s="9" t="str">
        <f t="shared" si="34"/>
        <v/>
      </c>
    </row>
    <row r="127" spans="1:18" ht="15" customHeight="1" thickBot="1">
      <c r="A127" s="2" t="s">
        <v>161</v>
      </c>
      <c r="B127" s="55" t="s">
        <v>162</v>
      </c>
      <c r="C127" s="21"/>
      <c r="D127" s="27" t="str">
        <f t="shared" si="33"/>
        <v>Dr Tessa Smith</v>
      </c>
      <c r="E127" s="22">
        <f>IFERROR(VLOOKUP(D127,'Employee Numbers'!$A$3:$B$84,2,FALSE),"NOT FOUND")</f>
        <v>649039</v>
      </c>
      <c r="F127" s="9" t="str">
        <f t="shared" si="34"/>
        <v/>
      </c>
      <c r="G127" s="9" t="str">
        <f t="shared" si="34"/>
        <v/>
      </c>
      <c r="H127" s="9" t="str">
        <f t="shared" si="34"/>
        <v/>
      </c>
      <c r="I127" s="9" t="str">
        <f t="shared" si="34"/>
        <v/>
      </c>
      <c r="J127" s="9" t="str">
        <f t="shared" si="34"/>
        <v/>
      </c>
      <c r="K127" s="9" t="str">
        <f t="shared" si="34"/>
        <v/>
      </c>
      <c r="L127" s="9" t="str">
        <f t="shared" si="34"/>
        <v/>
      </c>
    </row>
    <row r="128" spans="1:18" ht="15" customHeight="1" thickBot="1">
      <c r="A128" s="2" t="s">
        <v>161</v>
      </c>
      <c r="B128" s="55" t="s">
        <v>162</v>
      </c>
      <c r="C128" s="21"/>
      <c r="D128" s="27" t="str">
        <f t="shared" si="33"/>
        <v>Dr Brad Dent</v>
      </c>
      <c r="E128" s="22">
        <f>IFERROR(VLOOKUP(D128,'Employee Numbers'!$A$3:$B$84,2,FALSE),"NOT FOUND")</f>
        <v>649671</v>
      </c>
      <c r="F128" s="9" t="str">
        <f t="shared" si="34"/>
        <v/>
      </c>
      <c r="G128" s="9" t="str">
        <f t="shared" si="34"/>
        <v/>
      </c>
      <c r="H128" s="9" t="str">
        <f t="shared" si="34"/>
        <v/>
      </c>
      <c r="I128" s="9" t="str">
        <f t="shared" si="34"/>
        <v/>
      </c>
      <c r="J128" s="9" t="str">
        <f t="shared" si="34"/>
        <v/>
      </c>
      <c r="K128" s="9" t="str">
        <f t="shared" si="34"/>
        <v/>
      </c>
      <c r="L128" s="9" t="str">
        <f t="shared" si="34"/>
        <v/>
      </c>
    </row>
    <row r="129" spans="1:18" ht="15" customHeight="1" thickBot="1">
      <c r="A129" s="2" t="s">
        <v>161</v>
      </c>
      <c r="B129" s="55" t="s">
        <v>162</v>
      </c>
      <c r="C129" s="21"/>
      <c r="D129" s="27" t="str">
        <f t="shared" si="33"/>
        <v>Dr Marjolein Slaa</v>
      </c>
      <c r="E129" s="22">
        <f>IFERROR(VLOOKUP(D129,'Employee Numbers'!$A$3:$B$84,2,FALSE),"NOT FOUND")</f>
        <v>646047</v>
      </c>
      <c r="F129" s="9" t="str">
        <f t="shared" si="34"/>
        <v/>
      </c>
      <c r="G129" s="9" t="str">
        <f t="shared" si="34"/>
        <v>Con_8_0000</v>
      </c>
      <c r="H129" s="9" t="str">
        <f t="shared" si="34"/>
        <v/>
      </c>
      <c r="I129" s="9" t="str">
        <f t="shared" si="34"/>
        <v/>
      </c>
      <c r="J129" s="9" t="str">
        <f t="shared" si="34"/>
        <v/>
      </c>
      <c r="K129" s="9" t="str">
        <f t="shared" si="34"/>
        <v/>
      </c>
      <c r="L129" s="9" t="str">
        <f t="shared" si="34"/>
        <v/>
      </c>
    </row>
    <row r="130" spans="1:18" ht="15" customHeight="1" thickBot="1">
      <c r="A130" s="2" t="s">
        <v>161</v>
      </c>
      <c r="B130" s="55" t="s">
        <v>162</v>
      </c>
      <c r="C130" s="21"/>
      <c r="D130" s="27" t="str">
        <f t="shared" si="33"/>
        <v>Dr Natalie Hood</v>
      </c>
      <c r="E130" s="22">
        <f>IFERROR(VLOOKUP(D130,'Employee Numbers'!$A$3:$B$84,2,FALSE),"NOT FOUND")</f>
        <v>164003</v>
      </c>
      <c r="F130" s="9" t="str">
        <f t="shared" si="34"/>
        <v/>
      </c>
      <c r="G130" s="9" t="str">
        <f t="shared" si="34"/>
        <v/>
      </c>
      <c r="H130" s="9" t="str">
        <f t="shared" si="34"/>
        <v/>
      </c>
      <c r="I130" s="9" t="str">
        <f t="shared" si="34"/>
        <v/>
      </c>
      <c r="J130" s="9" t="str">
        <f t="shared" si="34"/>
        <v/>
      </c>
      <c r="K130" s="9" t="str">
        <f t="shared" si="34"/>
        <v/>
      </c>
      <c r="L130" s="9" t="str">
        <f t="shared" si="34"/>
        <v>Con_8_0000</v>
      </c>
    </row>
    <row r="131" spans="1:18" ht="15" customHeight="1" thickBot="1">
      <c r="A131" s="2" t="s">
        <v>161</v>
      </c>
      <c r="B131" s="55" t="s">
        <v>162</v>
      </c>
      <c r="C131" s="21"/>
      <c r="D131" s="27" t="str">
        <f t="shared" si="33"/>
        <v>Dr Michael Coman</v>
      </c>
      <c r="E131" s="22">
        <f>IFERROR(VLOOKUP(D131,'Employee Numbers'!$A$3:$B$84,2,FALSE),"NOT FOUND")</f>
        <v>609408</v>
      </c>
      <c r="F131" s="9" t="str">
        <f t="shared" ref="F131:L143" si="35">IF(F$50=$D131,"Con_8_0000","")</f>
        <v/>
      </c>
      <c r="G131" s="9" t="str">
        <f t="shared" si="35"/>
        <v/>
      </c>
      <c r="H131" s="9" t="str">
        <f t="shared" si="35"/>
        <v/>
      </c>
      <c r="I131" s="9" t="str">
        <f t="shared" si="35"/>
        <v/>
      </c>
      <c r="J131" s="9" t="str">
        <f t="shared" si="35"/>
        <v/>
      </c>
      <c r="K131" s="9" t="str">
        <f t="shared" si="35"/>
        <v/>
      </c>
      <c r="L131" s="9" t="str">
        <f t="shared" si="35"/>
        <v/>
      </c>
    </row>
    <row r="132" spans="1:18" ht="15" customHeight="1" thickBot="1">
      <c r="A132" s="2" t="s">
        <v>161</v>
      </c>
      <c r="B132" s="55" t="s">
        <v>162</v>
      </c>
      <c r="C132" s="21"/>
      <c r="D132" s="27" t="str">
        <f t="shared" si="33"/>
        <v>Dr Andrew Hardy</v>
      </c>
      <c r="E132" s="22">
        <f>IFERROR(VLOOKUP(D132,'Employee Numbers'!$A$3:$B$84,2,FALSE),"NOT FOUND")</f>
        <v>627619</v>
      </c>
      <c r="F132" s="9" t="str">
        <f t="shared" si="35"/>
        <v/>
      </c>
      <c r="G132" s="9" t="str">
        <f t="shared" si="35"/>
        <v/>
      </c>
      <c r="H132" s="9" t="str">
        <f t="shared" si="35"/>
        <v/>
      </c>
      <c r="I132" s="9" t="str">
        <f t="shared" si="35"/>
        <v/>
      </c>
      <c r="J132" s="9" t="str">
        <f t="shared" si="35"/>
        <v/>
      </c>
      <c r="K132" s="9" t="str">
        <f t="shared" si="35"/>
        <v/>
      </c>
      <c r="L132" s="9" t="str">
        <f t="shared" si="35"/>
        <v/>
      </c>
    </row>
    <row r="133" spans="1:18" ht="15" customHeight="1" thickBot="1">
      <c r="A133" s="2" t="s">
        <v>161</v>
      </c>
      <c r="B133" s="55" t="s">
        <v>162</v>
      </c>
      <c r="C133" s="21"/>
      <c r="D133" s="27" t="str">
        <f t="shared" si="33"/>
        <v>Dr Gargi Kanabar</v>
      </c>
      <c r="E133" s="22">
        <f>IFERROR(VLOOKUP(D133,'Employee Numbers'!$A$3:$B$84,2,FALSE),"NOT FOUND")</f>
        <v>632646</v>
      </c>
      <c r="F133" s="9" t="str">
        <f t="shared" si="35"/>
        <v/>
      </c>
      <c r="G133" s="9" t="str">
        <f t="shared" si="35"/>
        <v/>
      </c>
      <c r="H133" s="9" t="str">
        <f t="shared" si="35"/>
        <v/>
      </c>
      <c r="I133" s="9" t="str">
        <f t="shared" si="35"/>
        <v/>
      </c>
      <c r="J133" s="9" t="str">
        <f t="shared" si="35"/>
        <v/>
      </c>
      <c r="K133" s="9" t="str">
        <f t="shared" si="35"/>
        <v/>
      </c>
      <c r="L133" s="9" t="str">
        <f t="shared" si="35"/>
        <v/>
      </c>
    </row>
    <row r="134" spans="1:18" ht="15" customHeight="1" thickBot="1">
      <c r="A134" s="2" t="s">
        <v>161</v>
      </c>
      <c r="B134" s="55" t="s">
        <v>162</v>
      </c>
      <c r="C134" s="21"/>
      <c r="D134" s="27" t="str">
        <f t="shared" si="33"/>
        <v>Dr Mandy Parr</v>
      </c>
      <c r="E134" s="22">
        <f>IFERROR(VLOOKUP(D134,'Employee Numbers'!$A$3:$B$84,2,FALSE),"NOT FOUND")</f>
        <v>652844</v>
      </c>
      <c r="F134" s="9" t="str">
        <f t="shared" si="35"/>
        <v/>
      </c>
      <c r="G134" s="9" t="str">
        <f t="shared" si="35"/>
        <v/>
      </c>
      <c r="H134" s="9" t="str">
        <f t="shared" si="35"/>
        <v/>
      </c>
      <c r="I134" s="9" t="str">
        <f t="shared" si="35"/>
        <v/>
      </c>
      <c r="J134" s="9" t="str">
        <f t="shared" si="35"/>
        <v/>
      </c>
      <c r="K134" s="9" t="str">
        <f t="shared" si="35"/>
        <v/>
      </c>
      <c r="L134" s="9" t="str">
        <f t="shared" si="35"/>
        <v/>
      </c>
    </row>
    <row r="135" spans="1:18" ht="15" customHeight="1" thickBot="1">
      <c r="A135" s="2" t="s">
        <v>161</v>
      </c>
      <c r="B135" s="55" t="s">
        <v>162</v>
      </c>
      <c r="C135" s="21"/>
      <c r="D135" s="27" t="str">
        <f t="shared" si="33"/>
        <v>Dr Tecwyn Davies</v>
      </c>
      <c r="E135" s="22">
        <f>IFERROR(VLOOKUP(D135,'Employee Numbers'!$A$3:$B$84,2,FALSE),"NOT FOUND")</f>
        <v>634491</v>
      </c>
      <c r="F135" s="9" t="str">
        <f t="shared" si="35"/>
        <v/>
      </c>
      <c r="G135" s="9" t="str">
        <f t="shared" si="35"/>
        <v/>
      </c>
      <c r="H135" s="9" t="str">
        <f t="shared" si="35"/>
        <v>Con_8_0000</v>
      </c>
      <c r="I135" s="9" t="str">
        <f t="shared" si="35"/>
        <v/>
      </c>
      <c r="J135" s="9" t="str">
        <f t="shared" si="35"/>
        <v/>
      </c>
      <c r="K135" s="9" t="str">
        <f t="shared" si="35"/>
        <v/>
      </c>
      <c r="L135" s="9" t="str">
        <f t="shared" si="35"/>
        <v/>
      </c>
    </row>
    <row r="136" spans="1:18" ht="15" customHeight="1" thickBot="1">
      <c r="A136" s="2" t="s">
        <v>161</v>
      </c>
      <c r="B136" s="55" t="s">
        <v>162</v>
      </c>
      <c r="C136" s="21"/>
      <c r="D136" s="27" t="str">
        <f t="shared" si="33"/>
        <v>Dr Patrick Finn</v>
      </c>
      <c r="E136" s="22">
        <f>IFERROR(VLOOKUP(D136,'Employee Numbers'!$A$3:$B$84,2,FALSE),"NOT FOUND")</f>
        <v>621988</v>
      </c>
      <c r="F136" s="9" t="str">
        <f t="shared" si="35"/>
        <v/>
      </c>
      <c r="G136" s="9" t="str">
        <f t="shared" si="35"/>
        <v/>
      </c>
      <c r="H136" s="9" t="str">
        <f t="shared" si="35"/>
        <v/>
      </c>
      <c r="I136" s="9" t="str">
        <f t="shared" si="35"/>
        <v/>
      </c>
      <c r="J136" s="9" t="str">
        <f t="shared" si="35"/>
        <v/>
      </c>
      <c r="K136" s="9" t="str">
        <f t="shared" si="35"/>
        <v/>
      </c>
      <c r="L136" s="9" t="str">
        <f t="shared" si="35"/>
        <v/>
      </c>
    </row>
    <row r="137" spans="1:18" ht="15" customHeight="1" thickBot="1">
      <c r="A137" s="2" t="s">
        <v>161</v>
      </c>
      <c r="B137" s="55" t="s">
        <v>162</v>
      </c>
      <c r="C137" s="21"/>
      <c r="D137" s="27" t="str">
        <f t="shared" si="33"/>
        <v>Dr Chris Fong</v>
      </c>
      <c r="E137" s="22">
        <f>IFERROR(VLOOKUP(D137,'Employee Numbers'!$A$3:$B$84,2,FALSE),"NOT FOUND")</f>
        <v>409677</v>
      </c>
      <c r="F137" s="9" t="str">
        <f t="shared" si="35"/>
        <v>Con_8_0000</v>
      </c>
      <c r="G137" s="9" t="str">
        <f t="shared" si="35"/>
        <v/>
      </c>
      <c r="H137" s="9" t="str">
        <f t="shared" si="35"/>
        <v/>
      </c>
      <c r="I137" s="9" t="str">
        <f t="shared" si="35"/>
        <v/>
      </c>
      <c r="J137" s="9" t="str">
        <f t="shared" si="35"/>
        <v/>
      </c>
      <c r="K137" s="9" t="str">
        <f t="shared" si="35"/>
        <v/>
      </c>
      <c r="L137" s="9" t="str">
        <f t="shared" si="35"/>
        <v/>
      </c>
    </row>
    <row r="138" spans="1:18" s="13" customFormat="1" ht="15" customHeight="1" thickBot="1">
      <c r="A138" s="2" t="s">
        <v>161</v>
      </c>
      <c r="B138" s="55" t="s">
        <v>162</v>
      </c>
      <c r="C138" s="21"/>
      <c r="D138" s="27" t="str">
        <f t="shared" si="33"/>
        <v>Dr Matthew Tang</v>
      </c>
      <c r="E138" s="22">
        <f>IFERROR(VLOOKUP(D138,'Employee Numbers'!$A$3:$B$84,2,FALSE),"NOT FOUND")</f>
        <v>632590</v>
      </c>
      <c r="F138" s="9" t="str">
        <f t="shared" si="35"/>
        <v/>
      </c>
      <c r="G138" s="9" t="str">
        <f t="shared" si="35"/>
        <v/>
      </c>
      <c r="H138" s="9" t="str">
        <f t="shared" si="35"/>
        <v/>
      </c>
      <c r="I138" s="9" t="str">
        <f t="shared" si="35"/>
        <v/>
      </c>
      <c r="J138" s="9" t="str">
        <f t="shared" si="35"/>
        <v/>
      </c>
      <c r="K138" s="9" t="str">
        <f t="shared" si="35"/>
        <v/>
      </c>
      <c r="L138" s="9" t="str">
        <f t="shared" si="35"/>
        <v/>
      </c>
      <c r="M138" s="5"/>
      <c r="N138" s="5"/>
      <c r="O138" s="5"/>
      <c r="P138" s="5"/>
      <c r="Q138" s="5"/>
      <c r="R138" s="5"/>
    </row>
    <row r="139" spans="1:18" s="13" customFormat="1" ht="15" customHeight="1" thickBot="1">
      <c r="A139" s="2" t="s">
        <v>161</v>
      </c>
      <c r="B139" s="55" t="s">
        <v>162</v>
      </c>
      <c r="C139" s="21"/>
      <c r="D139" s="27" t="str">
        <f t="shared" si="33"/>
        <v>Dr Niki Talic</v>
      </c>
      <c r="E139" s="22">
        <f>IFERROR(VLOOKUP(D139,'Employee Numbers'!$A$3:$B$84,2,FALSE),"NOT FOUND")</f>
        <v>619537</v>
      </c>
      <c r="F139" s="9" t="str">
        <f t="shared" si="35"/>
        <v/>
      </c>
      <c r="G139" s="9" t="str">
        <f t="shared" si="35"/>
        <v/>
      </c>
      <c r="H139" s="9" t="str">
        <f t="shared" si="35"/>
        <v/>
      </c>
      <c r="I139" s="9" t="str">
        <f t="shared" si="35"/>
        <v/>
      </c>
      <c r="J139" s="9" t="str">
        <f t="shared" si="35"/>
        <v/>
      </c>
      <c r="K139" s="9" t="str">
        <f t="shared" si="35"/>
        <v/>
      </c>
      <c r="L139" s="9" t="str">
        <f t="shared" si="35"/>
        <v/>
      </c>
      <c r="M139" s="5"/>
      <c r="N139" s="5"/>
      <c r="O139" s="5"/>
      <c r="P139" s="5"/>
      <c r="Q139" s="5"/>
      <c r="R139" s="5"/>
    </row>
    <row r="140" spans="1:18" s="13" customFormat="1" ht="15" customHeight="1" thickBot="1">
      <c r="A140" s="2" t="s">
        <v>161</v>
      </c>
      <c r="B140" s="55" t="s">
        <v>162</v>
      </c>
      <c r="C140" s="21"/>
      <c r="D140" s="27" t="str">
        <f t="shared" si="33"/>
        <v>Dr Deb Morawetz</v>
      </c>
      <c r="E140" s="22">
        <f>IFERROR(VLOOKUP(D140,'Employee Numbers'!$A$3:$B$84,2,FALSE),"NOT FOUND")</f>
        <v>621953</v>
      </c>
      <c r="F140" s="9" t="str">
        <f t="shared" si="35"/>
        <v/>
      </c>
      <c r="G140" s="9" t="str">
        <f t="shared" si="35"/>
        <v/>
      </c>
      <c r="H140" s="9" t="str">
        <f t="shared" si="35"/>
        <v/>
      </c>
      <c r="I140" s="9" t="str">
        <f t="shared" si="35"/>
        <v/>
      </c>
      <c r="J140" s="9" t="str">
        <f t="shared" si="35"/>
        <v/>
      </c>
      <c r="K140" s="9" t="str">
        <f t="shared" si="35"/>
        <v/>
      </c>
      <c r="L140" s="9" t="str">
        <f t="shared" si="35"/>
        <v/>
      </c>
      <c r="M140" s="5"/>
      <c r="N140" s="5"/>
      <c r="O140" s="5"/>
      <c r="P140" s="5"/>
      <c r="Q140" s="5"/>
      <c r="R140" s="5"/>
    </row>
    <row r="141" spans="1:18" s="13" customFormat="1" ht="15" customHeight="1" thickBot="1">
      <c r="A141" s="2" t="s">
        <v>161</v>
      </c>
      <c r="B141" s="55" t="s">
        <v>162</v>
      </c>
      <c r="C141" s="21"/>
      <c r="D141" s="27" t="str">
        <f t="shared" si="33"/>
        <v>Dr Priya Jeyaveerasingam</v>
      </c>
      <c r="E141" s="22">
        <f>IFERROR(VLOOKUP(D141,'Employee Numbers'!$A$3:$B$84,2,FALSE),"NOT FOUND")</f>
        <v>614504</v>
      </c>
      <c r="F141" s="9" t="str">
        <f t="shared" si="35"/>
        <v/>
      </c>
      <c r="G141" s="9" t="str">
        <f t="shared" si="35"/>
        <v/>
      </c>
      <c r="H141" s="9" t="str">
        <f t="shared" si="35"/>
        <v/>
      </c>
      <c r="I141" s="9" t="str">
        <f t="shared" si="35"/>
        <v/>
      </c>
      <c r="J141" s="9" t="str">
        <f t="shared" si="35"/>
        <v/>
      </c>
      <c r="K141" s="9" t="str">
        <f t="shared" si="35"/>
        <v/>
      </c>
      <c r="L141" s="9" t="str">
        <f t="shared" si="35"/>
        <v/>
      </c>
      <c r="M141" s="5"/>
      <c r="N141" s="5"/>
      <c r="O141" s="5"/>
      <c r="P141" s="5"/>
      <c r="Q141" s="5"/>
      <c r="R141" s="5"/>
    </row>
    <row r="142" spans="1:18" s="13" customFormat="1" ht="15" customHeight="1" thickBot="1">
      <c r="A142" s="2" t="s">
        <v>161</v>
      </c>
      <c r="B142" s="55" t="s">
        <v>162</v>
      </c>
      <c r="C142" s="21"/>
      <c r="D142" s="27" t="str">
        <f t="shared" si="33"/>
        <v>Locum</v>
      </c>
      <c r="E142" s="22" t="str">
        <f>IFERROR(VLOOKUP(D142,'Employee Numbers'!$A$3:$B$84,2,FALSE),"NOT FOUND")</f>
        <v>N/A</v>
      </c>
      <c r="F142" s="9" t="str">
        <f t="shared" si="35"/>
        <v/>
      </c>
      <c r="G142" s="9" t="str">
        <f t="shared" si="35"/>
        <v/>
      </c>
      <c r="H142" s="9" t="str">
        <f t="shared" si="35"/>
        <v/>
      </c>
      <c r="I142" s="9" t="str">
        <f t="shared" si="35"/>
        <v/>
      </c>
      <c r="J142" s="9" t="str">
        <f t="shared" si="35"/>
        <v/>
      </c>
      <c r="K142" s="9" t="str">
        <f t="shared" si="35"/>
        <v/>
      </c>
      <c r="L142" s="9" t="str">
        <f t="shared" si="35"/>
        <v/>
      </c>
      <c r="M142" s="5"/>
      <c r="N142" s="5"/>
      <c r="O142" s="5"/>
      <c r="P142" s="5"/>
      <c r="Q142" s="5"/>
      <c r="R142" s="5"/>
    </row>
    <row r="143" spans="1:18" s="13" customFormat="1" ht="15" customHeight="1">
      <c r="A143" s="2" t="s">
        <v>161</v>
      </c>
      <c r="B143" s="55" t="s">
        <v>162</v>
      </c>
      <c r="C143" s="21"/>
      <c r="D143" s="27">
        <f t="shared" si="33"/>
        <v>0</v>
      </c>
      <c r="E143" s="22" t="str">
        <f>IFERROR(VLOOKUP(D143,'Employee Numbers'!$A$3:$B$84,2,FALSE),"NOT FOUND")</f>
        <v>NOT FOUND</v>
      </c>
      <c r="F143" s="9" t="str">
        <f t="shared" si="35"/>
        <v/>
      </c>
      <c r="G143" s="9" t="str">
        <f t="shared" si="35"/>
        <v/>
      </c>
      <c r="H143" s="9" t="str">
        <f t="shared" si="35"/>
        <v/>
      </c>
      <c r="I143" s="9" t="str">
        <f t="shared" si="35"/>
        <v/>
      </c>
      <c r="J143" s="9" t="str">
        <f t="shared" si="35"/>
        <v/>
      </c>
      <c r="K143" s="9" t="str">
        <f t="shared" si="35"/>
        <v/>
      </c>
      <c r="L143" s="9" t="str">
        <f t="shared" si="35"/>
        <v/>
      </c>
      <c r="M143" s="5"/>
      <c r="N143" s="5"/>
      <c r="O143" s="5"/>
      <c r="P143" s="5"/>
      <c r="Q143" s="5"/>
      <c r="R143" s="5"/>
    </row>
    <row r="144" spans="1:18" ht="15" customHeight="1" thickBot="1"/>
    <row r="145" spans="1:18" s="2" customFormat="1" ht="15" customHeight="1" thickBot="1">
      <c r="A145" s="172" t="s">
        <v>86</v>
      </c>
      <c r="B145" s="48" t="s">
        <v>163</v>
      </c>
      <c r="C145" s="49" t="s">
        <v>164</v>
      </c>
      <c r="D145" s="173" t="str">
        <f>D53</f>
        <v xml:space="preserve">Fellow </v>
      </c>
      <c r="E145" s="20" t="s">
        <v>4</v>
      </c>
      <c r="F145" s="12" t="s">
        <v>5</v>
      </c>
      <c r="G145" s="83" t="s">
        <v>6</v>
      </c>
      <c r="H145" s="83" t="s">
        <v>7</v>
      </c>
      <c r="I145" s="83" t="s">
        <v>8</v>
      </c>
      <c r="J145" s="83" t="s">
        <v>9</v>
      </c>
      <c r="K145" s="83" t="s">
        <v>10</v>
      </c>
      <c r="L145" s="23" t="s">
        <v>11</v>
      </c>
      <c r="M145" s="23" t="s">
        <v>165</v>
      </c>
      <c r="N145" s="5"/>
      <c r="O145" s="5"/>
      <c r="P145" s="5"/>
      <c r="Q145" s="5"/>
      <c r="R145" s="5"/>
    </row>
    <row r="146" spans="1:18" ht="15" customHeight="1" thickBot="1">
      <c r="A146" s="2" t="s">
        <v>166</v>
      </c>
      <c r="B146" s="2"/>
      <c r="C146" s="21"/>
      <c r="D146" s="84" t="str">
        <f>D54</f>
        <v>Ellen Scott (0.75)</v>
      </c>
      <c r="E146" s="22">
        <f>IFERROR(VLOOKUP(D146,'Employee Numbers'!$A$3:$B$84,2,FALSE),"NOT FOUND")</f>
        <v>634905</v>
      </c>
      <c r="F146" s="38"/>
      <c r="G146" s="31"/>
      <c r="H146" s="31" t="s">
        <v>167</v>
      </c>
      <c r="I146" s="38"/>
      <c r="J146" s="38"/>
      <c r="K146" s="38"/>
      <c r="L146" s="38"/>
      <c r="M146" s="35" t="s">
        <v>168</v>
      </c>
    </row>
    <row r="147" spans="1:18" ht="15" customHeight="1" thickBot="1">
      <c r="A147" s="2" t="s">
        <v>166</v>
      </c>
      <c r="B147" s="2"/>
      <c r="C147" s="21"/>
      <c r="D147" s="84" t="str">
        <f t="shared" ref="D147:D151" si="36">D55</f>
        <v>Seamus Harrington</v>
      </c>
      <c r="E147" s="22">
        <f>IFERROR(VLOOKUP(D147,'Employee Numbers'!$A$3:$B$84,2,FALSE),"NOT FOUND")</f>
        <v>704751</v>
      </c>
      <c r="F147" s="38"/>
      <c r="G147" s="31"/>
      <c r="H147" s="31" t="str">
        <f t="shared" ref="H147:H148" si="37">IF(COUNTIF(H55,"0800-1730*"),"trg_5_1730","trg_5_0900")</f>
        <v>trg_5_1730</v>
      </c>
      <c r="I147" s="38"/>
      <c r="J147" s="38"/>
      <c r="K147" s="38"/>
      <c r="L147" s="38"/>
      <c r="M147" s="35" t="s">
        <v>168</v>
      </c>
    </row>
    <row r="148" spans="1:18" ht="15" customHeight="1" thickBot="1">
      <c r="A148" s="2" t="s">
        <v>166</v>
      </c>
      <c r="B148" s="2"/>
      <c r="C148" s="21"/>
      <c r="D148" s="84" t="str">
        <f t="shared" si="36"/>
        <v>Antra Ansons</v>
      </c>
      <c r="E148" s="22">
        <f>IFERROR(VLOOKUP(D148,'Employee Numbers'!$A$3:$B$84,2,FALSE),"NOT FOUND")</f>
        <v>637219</v>
      </c>
      <c r="F148" s="38"/>
      <c r="G148" s="31"/>
      <c r="H148" s="31" t="str">
        <f t="shared" si="37"/>
        <v>trg_5_0900</v>
      </c>
      <c r="I148" s="38"/>
      <c r="J148" s="38"/>
      <c r="K148" s="38"/>
      <c r="L148" s="38"/>
      <c r="M148" s="35" t="s">
        <v>168</v>
      </c>
    </row>
    <row r="149" spans="1:18" ht="15" customHeight="1" thickBot="1">
      <c r="A149" s="2" t="s">
        <v>166</v>
      </c>
      <c r="B149" s="2"/>
      <c r="C149" s="21"/>
      <c r="D149" s="84">
        <f t="shared" si="36"/>
        <v>0</v>
      </c>
      <c r="E149" s="22" t="str">
        <f>IFERROR(VLOOKUP(D149,'Employee Numbers'!$A$3:$B$84,2,FALSE),"NOT FOUND")</f>
        <v>NOT FOUND</v>
      </c>
      <c r="F149" s="38"/>
      <c r="G149" s="31"/>
      <c r="H149" s="31" t="str">
        <f t="shared" ref="H149:H151" si="38">IF(COUNTIF(H57,"0800-1730*"),"trg_2.5_1730","trg_2.5_0900")</f>
        <v>trg_2.5_0900</v>
      </c>
      <c r="I149" s="38"/>
      <c r="J149" s="38"/>
      <c r="K149" s="38"/>
      <c r="L149" s="38"/>
      <c r="M149" s="35" t="s">
        <v>168</v>
      </c>
    </row>
    <row r="150" spans="1:18" ht="15" customHeight="1" thickBot="1">
      <c r="A150" s="2" t="s">
        <v>166</v>
      </c>
      <c r="B150" s="2"/>
      <c r="C150" s="21"/>
      <c r="D150" s="84">
        <f t="shared" si="36"/>
        <v>0</v>
      </c>
      <c r="E150" s="22" t="str">
        <f>IFERROR(VLOOKUP(D150,'Employee Numbers'!$A$3:$B$84,2,FALSE),"NOT FOUND")</f>
        <v>NOT FOUND</v>
      </c>
      <c r="F150" s="38"/>
      <c r="G150" s="31"/>
      <c r="H150" s="31" t="str">
        <f t="shared" si="38"/>
        <v>trg_2.5_0900</v>
      </c>
      <c r="I150" s="38"/>
      <c r="J150" s="38"/>
      <c r="K150" s="38"/>
      <c r="L150" s="38"/>
      <c r="M150" s="35" t="s">
        <v>168</v>
      </c>
    </row>
    <row r="151" spans="1:18" ht="15" customHeight="1">
      <c r="A151" s="2" t="s">
        <v>166</v>
      </c>
      <c r="B151" s="2"/>
      <c r="C151" s="21"/>
      <c r="D151" s="84">
        <f t="shared" si="36"/>
        <v>0</v>
      </c>
      <c r="E151" s="22" t="str">
        <f>IFERROR(VLOOKUP(D151,'Employee Numbers'!$A$3:$B$84,2,FALSE),"NOT FOUND")</f>
        <v>NOT FOUND</v>
      </c>
      <c r="F151" s="38"/>
      <c r="G151" s="31"/>
      <c r="H151" s="31" t="str">
        <f t="shared" si="38"/>
        <v>trg_2.5_0900</v>
      </c>
      <c r="I151" s="38"/>
      <c r="J151" s="38"/>
      <c r="K151" s="38"/>
      <c r="L151" s="38"/>
      <c r="M151" s="35" t="s">
        <v>168</v>
      </c>
    </row>
    <row r="152" spans="1:18" s="2" customFormat="1" ht="13.5" customHeight="1" thickBot="1">
      <c r="A152" s="174" t="s">
        <v>96</v>
      </c>
      <c r="B152" s="50"/>
      <c r="C152" s="51"/>
      <c r="D152" s="175" t="s">
        <v>97</v>
      </c>
      <c r="E152" s="105" t="s">
        <v>4</v>
      </c>
      <c r="F152" s="105" t="s">
        <v>5</v>
      </c>
      <c r="G152" s="105" t="s">
        <v>6</v>
      </c>
      <c r="H152" s="106" t="s">
        <v>7</v>
      </c>
      <c r="I152" s="105" t="s">
        <v>8</v>
      </c>
      <c r="J152" s="105" t="s">
        <v>9</v>
      </c>
      <c r="K152" s="105" t="s">
        <v>10</v>
      </c>
      <c r="L152" s="105" t="s">
        <v>11</v>
      </c>
      <c r="N152"/>
      <c r="O152"/>
      <c r="Q152"/>
    </row>
    <row r="153" spans="1:18" s="2" customFormat="1" ht="15" customHeight="1" thickBot="1">
      <c r="A153" s="2" t="s">
        <v>169</v>
      </c>
      <c r="B153" s="5"/>
      <c r="C153" s="8"/>
      <c r="D153" s="84" t="str">
        <f>D61</f>
        <v>Mark Lim</v>
      </c>
      <c r="E153" s="22">
        <f>IFERROR(VLOOKUP(D153,'Employee Numbers'!$A$3:$B$84,2,FALSE),"NOT FOUND")</f>
        <v>638531</v>
      </c>
      <c r="F153" s="31" t="str">
        <f t="shared" ref="F153:G168" si="39">IF(COUNTIF(F61,"*on*call*"),"oncall 2300-0830","")</f>
        <v/>
      </c>
      <c r="G153" s="31" t="str">
        <f t="shared" si="39"/>
        <v/>
      </c>
      <c r="H153" s="37" t="s">
        <v>170</v>
      </c>
      <c r="I153" s="31" t="str">
        <f t="shared" ref="I153:L168" si="40">IF(COUNTIF(I61,"*on*call*"),"oncall 2300-0830","")</f>
        <v/>
      </c>
      <c r="J153" s="31" t="str">
        <f t="shared" si="40"/>
        <v/>
      </c>
      <c r="K153" s="31" t="str">
        <f t="shared" si="40"/>
        <v/>
      </c>
      <c r="L153" s="31" t="str">
        <f t="shared" si="40"/>
        <v/>
      </c>
      <c r="M153" s="35" t="s">
        <v>168</v>
      </c>
      <c r="N153" s="5"/>
      <c r="O153" s="5"/>
      <c r="P153" s="5"/>
      <c r="Q153" s="5"/>
      <c r="R153" s="5"/>
    </row>
    <row r="154" spans="1:18" ht="15" customHeight="1" thickBot="1">
      <c r="A154" s="2" t="s">
        <v>169</v>
      </c>
      <c r="B154" s="2"/>
      <c r="C154" s="47"/>
      <c r="D154" s="84" t="str">
        <f t="shared" ref="D154:D176" si="41">D62</f>
        <v xml:space="preserve">Melanie Engel </v>
      </c>
      <c r="E154" s="22">
        <f>IFERROR(VLOOKUP(D154,'Employee Numbers'!$A$3:$B$84,2,FALSE),"NOT FOUND")</f>
        <v>631715</v>
      </c>
      <c r="F154" s="31" t="str">
        <f t="shared" si="39"/>
        <v/>
      </c>
      <c r="G154" s="31" t="str">
        <f t="shared" si="39"/>
        <v/>
      </c>
      <c r="H154" s="37" t="s">
        <v>170</v>
      </c>
      <c r="I154" s="31" t="str">
        <f t="shared" si="40"/>
        <v/>
      </c>
      <c r="J154" s="31" t="str">
        <f t="shared" si="40"/>
        <v/>
      </c>
      <c r="K154" s="31" t="str">
        <f t="shared" si="40"/>
        <v/>
      </c>
      <c r="L154" s="31" t="str">
        <f t="shared" si="40"/>
        <v/>
      </c>
      <c r="M154" s="35" t="s">
        <v>168</v>
      </c>
      <c r="N154" s="2"/>
      <c r="O154" s="2"/>
      <c r="P154" s="2"/>
      <c r="Q154" s="2"/>
      <c r="R154" s="2"/>
    </row>
    <row r="155" spans="1:18" ht="15" customHeight="1" thickBot="1">
      <c r="A155" s="2" t="s">
        <v>169</v>
      </c>
      <c r="B155" s="2"/>
      <c r="C155" s="47"/>
      <c r="D155" s="84" t="str">
        <f t="shared" si="41"/>
        <v>Marian Isaac  (0.75)</v>
      </c>
      <c r="E155" s="22">
        <f>IFERROR(VLOOKUP(D155,'Employee Numbers'!$A$3:$B$84,2,FALSE),"NOT FOUND")</f>
        <v>703719</v>
      </c>
      <c r="F155" s="31" t="str">
        <f t="shared" si="39"/>
        <v/>
      </c>
      <c r="G155" s="31" t="str">
        <f t="shared" si="39"/>
        <v/>
      </c>
      <c r="H155" s="31" t="s">
        <v>167</v>
      </c>
      <c r="I155" s="31" t="str">
        <f t="shared" si="40"/>
        <v/>
      </c>
      <c r="J155" s="31" t="str">
        <f t="shared" si="40"/>
        <v/>
      </c>
      <c r="K155" s="31" t="str">
        <f t="shared" si="40"/>
        <v/>
      </c>
      <c r="L155" s="31" t="str">
        <f t="shared" si="40"/>
        <v/>
      </c>
      <c r="M155" s="35" t="s">
        <v>168</v>
      </c>
    </row>
    <row r="156" spans="1:18" ht="15" customHeight="1" thickBot="1">
      <c r="A156" s="2" t="s">
        <v>169</v>
      </c>
      <c r="B156" s="2"/>
      <c r="C156" s="47"/>
      <c r="D156" s="84" t="str">
        <f t="shared" si="41"/>
        <v xml:space="preserve">Jonathan Wong (0.75) </v>
      </c>
      <c r="E156" s="22">
        <f>IFERROR(VLOOKUP(D156,'Employee Numbers'!$A$3:$B$84,2,FALSE),"NOT FOUND")</f>
        <v>637791</v>
      </c>
      <c r="F156" s="31" t="str">
        <f t="shared" si="39"/>
        <v/>
      </c>
      <c r="G156" s="31" t="str">
        <f t="shared" si="39"/>
        <v/>
      </c>
      <c r="H156" s="31" t="s">
        <v>167</v>
      </c>
      <c r="I156" s="31" t="str">
        <f t="shared" si="40"/>
        <v/>
      </c>
      <c r="J156" s="31" t="str">
        <f t="shared" si="40"/>
        <v/>
      </c>
      <c r="K156" s="31" t="str">
        <f t="shared" si="40"/>
        <v/>
      </c>
      <c r="L156" s="31" t="str">
        <f t="shared" si="40"/>
        <v/>
      </c>
      <c r="M156" s="35" t="s">
        <v>168</v>
      </c>
    </row>
    <row r="157" spans="1:18" ht="15" customHeight="1" thickBot="1">
      <c r="A157" s="2" t="s">
        <v>169</v>
      </c>
      <c r="B157" s="2"/>
      <c r="C157" s="47"/>
      <c r="D157" s="84" t="str">
        <f t="shared" si="41"/>
        <v xml:space="preserve">Joshua Feek </v>
      </c>
      <c r="E157" s="22">
        <f>IFERROR(VLOOKUP(D157,'Employee Numbers'!$A$3:$B$84,2,FALSE),"NOT FOUND")</f>
        <v>652867</v>
      </c>
      <c r="F157" s="31" t="str">
        <f t="shared" si="39"/>
        <v/>
      </c>
      <c r="G157" s="31" t="str">
        <f t="shared" si="39"/>
        <v/>
      </c>
      <c r="H157" s="37" t="s">
        <v>170</v>
      </c>
      <c r="I157" s="31" t="str">
        <f t="shared" si="40"/>
        <v/>
      </c>
      <c r="J157" s="31" t="str">
        <f t="shared" si="40"/>
        <v/>
      </c>
      <c r="K157" s="31" t="str">
        <f t="shared" si="40"/>
        <v/>
      </c>
      <c r="L157" s="31" t="str">
        <f t="shared" si="40"/>
        <v/>
      </c>
      <c r="M157" s="35" t="s">
        <v>168</v>
      </c>
    </row>
    <row r="158" spans="1:18" ht="15" customHeight="1" thickBot="1">
      <c r="A158" s="2" t="s">
        <v>169</v>
      </c>
      <c r="B158" s="2"/>
      <c r="C158" s="47"/>
      <c r="D158" s="84" t="str">
        <f t="shared" si="41"/>
        <v xml:space="preserve">Andrea Lim (0.5) </v>
      </c>
      <c r="E158" s="22">
        <f>IFERROR(VLOOKUP(D158,'Employee Numbers'!$A$3:$B$84,2,FALSE),"NOT FOUND")</f>
        <v>611551</v>
      </c>
      <c r="F158" s="31" t="str">
        <f t="shared" si="39"/>
        <v/>
      </c>
      <c r="G158" s="31" t="str">
        <f t="shared" si="39"/>
        <v/>
      </c>
      <c r="H158" s="31" t="str">
        <f t="shared" ref="H158:H159" si="42">IF(COUNTIF(H66,"0800-1730*"),"trg_2.5_1730","trg_2.5_0900")</f>
        <v>trg_2.5_0900</v>
      </c>
      <c r="I158" s="31" t="str">
        <f t="shared" si="40"/>
        <v/>
      </c>
      <c r="J158" s="31" t="str">
        <f t="shared" si="40"/>
        <v/>
      </c>
      <c r="K158" s="31" t="str">
        <f t="shared" si="40"/>
        <v/>
      </c>
      <c r="L158" s="31" t="str">
        <f t="shared" si="40"/>
        <v/>
      </c>
      <c r="M158" s="35" t="s">
        <v>168</v>
      </c>
      <c r="N158" s="13"/>
      <c r="O158" s="13"/>
      <c r="P158" s="13"/>
      <c r="Q158" s="13"/>
      <c r="R158" s="13"/>
    </row>
    <row r="159" spans="1:18" ht="15" customHeight="1" thickBot="1">
      <c r="A159" s="2" t="s">
        <v>169</v>
      </c>
      <c r="B159" s="2"/>
      <c r="C159" s="47"/>
      <c r="D159" s="84" t="str">
        <f t="shared" si="41"/>
        <v>Jessica Burgess (0.5)</v>
      </c>
      <c r="E159" s="22">
        <f>IFERROR(VLOOKUP(D159,'Employee Numbers'!$A$3:$B$84,2,FALSE),"NOT FOUND")</f>
        <v>615820</v>
      </c>
      <c r="F159" s="31" t="str">
        <f t="shared" si="39"/>
        <v/>
      </c>
      <c r="G159" s="31" t="str">
        <f t="shared" si="39"/>
        <v/>
      </c>
      <c r="H159" s="31" t="str">
        <f t="shared" si="42"/>
        <v>trg_2.5_0900</v>
      </c>
      <c r="I159" s="31" t="str">
        <f t="shared" si="40"/>
        <v/>
      </c>
      <c r="J159" s="31" t="str">
        <f t="shared" si="40"/>
        <v/>
      </c>
      <c r="K159" s="31" t="str">
        <f t="shared" si="40"/>
        <v/>
      </c>
      <c r="L159" s="31" t="str">
        <f t="shared" si="40"/>
        <v/>
      </c>
      <c r="M159" s="35" t="s">
        <v>168</v>
      </c>
      <c r="N159" s="13"/>
      <c r="O159" s="13"/>
      <c r="P159" s="13"/>
      <c r="Q159" s="13"/>
      <c r="R159" s="13"/>
    </row>
    <row r="160" spans="1:18" ht="15" customHeight="1" thickBot="1">
      <c r="A160" s="2" t="s">
        <v>169</v>
      </c>
      <c r="B160" s="2"/>
      <c r="C160" s="47"/>
      <c r="D160" s="84" t="str">
        <f t="shared" si="41"/>
        <v>Elisha Gallivan</v>
      </c>
      <c r="E160" s="22">
        <f>IFERROR(VLOOKUP(D160,'Employee Numbers'!$A$3:$B$84,2,FALSE),"NOT FOUND")</f>
        <v>654727</v>
      </c>
      <c r="F160" s="31" t="str">
        <f t="shared" si="39"/>
        <v/>
      </c>
      <c r="G160" s="31" t="str">
        <f t="shared" si="39"/>
        <v/>
      </c>
      <c r="H160" s="37" t="s">
        <v>170</v>
      </c>
      <c r="I160" s="31" t="str">
        <f t="shared" si="40"/>
        <v/>
      </c>
      <c r="J160" s="31" t="str">
        <f t="shared" si="40"/>
        <v/>
      </c>
      <c r="K160" s="31" t="str">
        <f t="shared" si="40"/>
        <v/>
      </c>
      <c r="L160" s="31" t="str">
        <f t="shared" si="40"/>
        <v/>
      </c>
      <c r="M160" s="35" t="s">
        <v>168</v>
      </c>
    </row>
    <row r="161" spans="1:18" ht="15" customHeight="1" thickBot="1">
      <c r="A161" s="2" t="s">
        <v>169</v>
      </c>
      <c r="B161" s="2"/>
      <c r="C161" s="47"/>
      <c r="D161" s="84" t="str">
        <f t="shared" si="41"/>
        <v>Leila Dosso</v>
      </c>
      <c r="E161" s="22">
        <f>IFERROR(VLOOKUP(D161,'Employee Numbers'!$A$3:$B$84,2,FALSE),"NOT FOUND")</f>
        <v>702947</v>
      </c>
      <c r="F161" s="31" t="str">
        <f t="shared" si="39"/>
        <v/>
      </c>
      <c r="G161" s="31" t="str">
        <f t="shared" si="39"/>
        <v/>
      </c>
      <c r="H161" s="37" t="s">
        <v>170</v>
      </c>
      <c r="I161" s="31" t="str">
        <f t="shared" si="40"/>
        <v/>
      </c>
      <c r="J161" s="31" t="str">
        <f t="shared" si="40"/>
        <v/>
      </c>
      <c r="K161" s="31" t="str">
        <f t="shared" si="40"/>
        <v/>
      </c>
      <c r="L161" s="31" t="str">
        <f t="shared" si="40"/>
        <v/>
      </c>
      <c r="M161" s="35" t="s">
        <v>168</v>
      </c>
    </row>
    <row r="162" spans="1:18" s="13" customFormat="1" ht="15" customHeight="1" thickBot="1">
      <c r="A162" s="2" t="s">
        <v>169</v>
      </c>
      <c r="B162" s="2"/>
      <c r="C162" s="21"/>
      <c r="D162" s="84" t="str">
        <f t="shared" si="41"/>
        <v xml:space="preserve">Efi Tsampou </v>
      </c>
      <c r="E162" s="22">
        <f>IFERROR(VLOOKUP(D162,'Employee Numbers'!$A$3:$B$84,2,FALSE),"NOT FOUND")</f>
        <v>654002</v>
      </c>
      <c r="F162" s="31" t="str">
        <f t="shared" si="39"/>
        <v/>
      </c>
      <c r="G162" s="31" t="str">
        <f t="shared" si="39"/>
        <v/>
      </c>
      <c r="H162" s="37" t="s">
        <v>170</v>
      </c>
      <c r="I162" s="31" t="str">
        <f t="shared" si="40"/>
        <v/>
      </c>
      <c r="J162" s="31" t="str">
        <f t="shared" si="40"/>
        <v/>
      </c>
      <c r="K162" s="31" t="str">
        <f t="shared" si="40"/>
        <v/>
      </c>
      <c r="L162" s="31" t="str">
        <f t="shared" si="40"/>
        <v/>
      </c>
      <c r="M162" s="35" t="s">
        <v>168</v>
      </c>
      <c r="N162" s="5"/>
      <c r="O162" s="5"/>
      <c r="P162" s="5"/>
      <c r="Q162" s="5"/>
      <c r="R162" s="5"/>
    </row>
    <row r="163" spans="1:18" ht="15" customHeight="1" thickBot="1">
      <c r="A163" s="2" t="s">
        <v>169</v>
      </c>
      <c r="B163" s="2"/>
      <c r="C163" s="21"/>
      <c r="D163" s="84" t="str">
        <f t="shared" si="41"/>
        <v>Marian Panlilio</v>
      </c>
      <c r="E163" s="22">
        <f>IFERROR(VLOOKUP(D163,'Employee Numbers'!$A$3:$B$84,2,FALSE),"NOT FOUND")</f>
        <v>703068</v>
      </c>
      <c r="F163" s="31" t="str">
        <f t="shared" si="39"/>
        <v/>
      </c>
      <c r="G163" s="31" t="str">
        <f t="shared" si="39"/>
        <v/>
      </c>
      <c r="H163" s="37" t="s">
        <v>170</v>
      </c>
      <c r="I163" s="31" t="str">
        <f t="shared" si="40"/>
        <v/>
      </c>
      <c r="J163" s="31" t="str">
        <f t="shared" si="40"/>
        <v/>
      </c>
      <c r="K163" s="31" t="str">
        <f t="shared" si="40"/>
        <v/>
      </c>
      <c r="L163" s="31" t="str">
        <f t="shared" si="40"/>
        <v/>
      </c>
      <c r="M163" s="35" t="s">
        <v>168</v>
      </c>
    </row>
    <row r="164" spans="1:18" ht="15" customHeight="1" thickBot="1">
      <c r="A164" s="2" t="s">
        <v>169</v>
      </c>
      <c r="B164" s="2"/>
      <c r="C164" s="21"/>
      <c r="D164" s="84" t="str">
        <f t="shared" si="41"/>
        <v>Takhfif Othman</v>
      </c>
      <c r="E164" s="22">
        <f>IFERROR(VLOOKUP(D164,'Employee Numbers'!$A$3:$B$84,2,FALSE),"NOT FOUND")</f>
        <v>703911</v>
      </c>
      <c r="F164" s="31" t="str">
        <f t="shared" si="39"/>
        <v/>
      </c>
      <c r="G164" s="31" t="str">
        <f t="shared" si="39"/>
        <v/>
      </c>
      <c r="H164" s="37" t="s">
        <v>170</v>
      </c>
      <c r="I164" s="31" t="str">
        <f t="shared" si="40"/>
        <v/>
      </c>
      <c r="J164" s="31" t="str">
        <f t="shared" si="40"/>
        <v/>
      </c>
      <c r="K164" s="31" t="str">
        <f t="shared" si="40"/>
        <v/>
      </c>
      <c r="L164" s="31" t="str">
        <f t="shared" si="40"/>
        <v/>
      </c>
      <c r="M164" s="35" t="s">
        <v>168</v>
      </c>
    </row>
    <row r="165" spans="1:18" ht="15" customHeight="1" thickBot="1">
      <c r="A165" s="2" t="s">
        <v>169</v>
      </c>
      <c r="B165" s="2"/>
      <c r="C165" s="21"/>
      <c r="D165" s="84" t="str">
        <f t="shared" si="41"/>
        <v xml:space="preserve">Toby Obrien </v>
      </c>
      <c r="E165" s="22">
        <f>IFERROR(VLOOKUP(D165,'Employee Numbers'!$A$3:$B$84,2,FALSE),"NOT FOUND")</f>
        <v>633936</v>
      </c>
      <c r="F165" s="31" t="str">
        <f t="shared" si="39"/>
        <v/>
      </c>
      <c r="G165" s="31" t="str">
        <f t="shared" si="39"/>
        <v/>
      </c>
      <c r="H165" s="37" t="s">
        <v>170</v>
      </c>
      <c r="I165" s="31" t="str">
        <f t="shared" si="40"/>
        <v/>
      </c>
      <c r="J165" s="31" t="str">
        <f t="shared" si="40"/>
        <v/>
      </c>
      <c r="K165" s="31" t="str">
        <f t="shared" si="40"/>
        <v/>
      </c>
      <c r="L165" s="31" t="str">
        <f t="shared" si="40"/>
        <v/>
      </c>
      <c r="M165" s="35" t="s">
        <v>168</v>
      </c>
    </row>
    <row r="166" spans="1:18" ht="15" customHeight="1" thickBot="1">
      <c r="A166" s="2" t="s">
        <v>169</v>
      </c>
      <c r="B166" s="2"/>
      <c r="C166" s="21"/>
      <c r="D166" s="84" t="str">
        <f t="shared" si="41"/>
        <v>William Jiang</v>
      </c>
      <c r="E166" s="22">
        <f>IFERROR(VLOOKUP(D166,'Employee Numbers'!$A$3:$B$84,2,FALSE),"NOT FOUND")</f>
        <v>700755</v>
      </c>
      <c r="F166" s="31" t="str">
        <f t="shared" si="39"/>
        <v/>
      </c>
      <c r="G166" s="31" t="str">
        <f t="shared" si="39"/>
        <v/>
      </c>
      <c r="H166" s="37" t="s">
        <v>170</v>
      </c>
      <c r="I166" s="31" t="str">
        <f t="shared" si="40"/>
        <v/>
      </c>
      <c r="J166" s="31" t="str">
        <f t="shared" si="40"/>
        <v/>
      </c>
      <c r="K166" s="31" t="str">
        <f t="shared" si="40"/>
        <v/>
      </c>
      <c r="L166" s="31" t="str">
        <f t="shared" si="40"/>
        <v/>
      </c>
      <c r="M166" s="35" t="s">
        <v>168</v>
      </c>
    </row>
    <row r="167" spans="1:18" ht="15" customHeight="1" thickBot="1">
      <c r="A167" s="2" t="s">
        <v>169</v>
      </c>
      <c r="B167" s="2"/>
      <c r="C167" s="21"/>
      <c r="D167" s="84" t="str">
        <f t="shared" si="41"/>
        <v>Pam Nelson</v>
      </c>
      <c r="E167" s="22">
        <f>IFERROR(VLOOKUP(D167,'Employee Numbers'!$A$3:$B$84,2,FALSE),"NOT FOUND")</f>
        <v>704872</v>
      </c>
      <c r="F167" s="31" t="str">
        <f t="shared" si="39"/>
        <v/>
      </c>
      <c r="G167" s="31" t="str">
        <f t="shared" si="39"/>
        <v/>
      </c>
      <c r="H167" s="37" t="s">
        <v>170</v>
      </c>
      <c r="I167" s="31" t="str">
        <f t="shared" si="40"/>
        <v/>
      </c>
      <c r="J167" s="31" t="str">
        <f t="shared" si="40"/>
        <v/>
      </c>
      <c r="K167" s="31" t="str">
        <f t="shared" si="40"/>
        <v/>
      </c>
      <c r="L167" s="31" t="str">
        <f t="shared" si="40"/>
        <v/>
      </c>
      <c r="M167" s="35" t="s">
        <v>168</v>
      </c>
    </row>
    <row r="168" spans="1:18" ht="15" customHeight="1" thickBot="1">
      <c r="A168" s="2" t="s">
        <v>169</v>
      </c>
      <c r="B168" s="2"/>
      <c r="C168" s="21"/>
      <c r="D168" s="84" t="str">
        <f t="shared" si="41"/>
        <v xml:space="preserve">Phoebe Franich </v>
      </c>
      <c r="E168" s="22">
        <f>IFERROR(VLOOKUP(D168,'Employee Numbers'!$A$3:$B$84,2,FALSE),"NOT FOUND")</f>
        <v>700712</v>
      </c>
      <c r="F168" s="31" t="str">
        <f t="shared" si="39"/>
        <v/>
      </c>
      <c r="G168" s="31" t="str">
        <f t="shared" si="39"/>
        <v/>
      </c>
      <c r="H168" s="37" t="s">
        <v>170</v>
      </c>
      <c r="I168" s="31" t="str">
        <f t="shared" si="40"/>
        <v/>
      </c>
      <c r="J168" s="31" t="str">
        <f t="shared" si="40"/>
        <v/>
      </c>
      <c r="K168" s="31" t="str">
        <f t="shared" si="40"/>
        <v/>
      </c>
      <c r="L168" s="31" t="str">
        <f t="shared" si="40"/>
        <v/>
      </c>
      <c r="M168" s="35" t="s">
        <v>168</v>
      </c>
    </row>
    <row r="169" spans="1:18" ht="15" customHeight="1" thickBot="1">
      <c r="A169" s="2" t="s">
        <v>169</v>
      </c>
      <c r="B169" s="2"/>
      <c r="C169" s="21"/>
      <c r="D169" s="84" t="str">
        <f t="shared" si="41"/>
        <v xml:space="preserve">Marie Papadopulos </v>
      </c>
      <c r="E169" s="22">
        <f>IFERROR(VLOOKUP(D169,'Employee Numbers'!$A$3:$B$84,2,FALSE),"NOT FOUND")</f>
        <v>700818</v>
      </c>
      <c r="F169" s="31" t="str">
        <f t="shared" ref="F169:G176" si="43">IF(COUNTIF(F77,"*on*call*"),"oncall 2300-0830","")</f>
        <v/>
      </c>
      <c r="G169" s="31" t="str">
        <f t="shared" si="43"/>
        <v/>
      </c>
      <c r="H169" s="37" t="s">
        <v>170</v>
      </c>
      <c r="I169" s="31" t="str">
        <f t="shared" ref="I169:L176" si="44">IF(COUNTIF(I77,"*on*call*"),"oncall 2300-0830","")</f>
        <v/>
      </c>
      <c r="J169" s="31" t="str">
        <f t="shared" si="44"/>
        <v/>
      </c>
      <c r="K169" s="31" t="str">
        <f t="shared" si="44"/>
        <v/>
      </c>
      <c r="L169" s="31" t="str">
        <f t="shared" si="44"/>
        <v/>
      </c>
      <c r="M169" s="35" t="s">
        <v>168</v>
      </c>
    </row>
    <row r="170" spans="1:18" ht="15" customHeight="1" thickBot="1">
      <c r="A170" s="2" t="s">
        <v>169</v>
      </c>
      <c r="B170" s="2"/>
      <c r="C170" s="21"/>
      <c r="D170" s="84" t="str">
        <f t="shared" si="41"/>
        <v>Stormie de Groot (0.5)</v>
      </c>
      <c r="E170" s="22">
        <f>IFERROR(VLOOKUP(D170,'Employee Numbers'!$A$3:$B$84,2,FALSE),"NOT FOUND")</f>
        <v>650101</v>
      </c>
      <c r="F170" s="31" t="str">
        <f t="shared" si="43"/>
        <v/>
      </c>
      <c r="G170" s="31" t="str">
        <f t="shared" si="43"/>
        <v/>
      </c>
      <c r="H170" s="31" t="str">
        <f t="shared" ref="H170" si="45">IF(COUNTIF(H78,"0800-1730*"),"trg_2.5_1730","trg_2.5_0900")</f>
        <v>trg_2.5_0900</v>
      </c>
      <c r="I170" s="31" t="str">
        <f t="shared" si="44"/>
        <v/>
      </c>
      <c r="J170" s="31" t="str">
        <f t="shared" si="44"/>
        <v/>
      </c>
      <c r="K170" s="31" t="str">
        <f t="shared" si="44"/>
        <v/>
      </c>
      <c r="L170" s="31" t="str">
        <f t="shared" si="44"/>
        <v/>
      </c>
      <c r="M170" s="35" t="s">
        <v>168</v>
      </c>
    </row>
    <row r="171" spans="1:18" ht="15" customHeight="1" thickBot="1">
      <c r="A171" s="2" t="s">
        <v>169</v>
      </c>
      <c r="B171" s="2"/>
      <c r="C171" s="21"/>
      <c r="D171" s="84" t="str">
        <f t="shared" si="41"/>
        <v xml:space="preserve">Joanne Eaton </v>
      </c>
      <c r="E171" s="22">
        <f>IFERROR(VLOOKUP(D171,'Employee Numbers'!$A$3:$B$84,2,FALSE),"NOT FOUND")</f>
        <v>654888</v>
      </c>
      <c r="F171" s="31" t="str">
        <f t="shared" si="43"/>
        <v/>
      </c>
      <c r="G171" s="31" t="str">
        <f t="shared" si="43"/>
        <v/>
      </c>
      <c r="H171" s="37" t="s">
        <v>170</v>
      </c>
      <c r="I171" s="31" t="str">
        <f t="shared" si="44"/>
        <v/>
      </c>
      <c r="J171" s="31" t="str">
        <f t="shared" si="44"/>
        <v/>
      </c>
      <c r="K171" s="31" t="str">
        <f t="shared" si="44"/>
        <v/>
      </c>
      <c r="L171" s="31" t="str">
        <f t="shared" si="44"/>
        <v/>
      </c>
      <c r="M171" s="35" t="s">
        <v>168</v>
      </c>
    </row>
    <row r="172" spans="1:18" ht="15" customHeight="1" thickBot="1">
      <c r="A172" s="2" t="s">
        <v>169</v>
      </c>
      <c r="B172" s="2"/>
      <c r="C172" s="21"/>
      <c r="D172" s="84" t="str">
        <f t="shared" si="41"/>
        <v xml:space="preserve">Helena Li </v>
      </c>
      <c r="E172" s="22">
        <f>IFERROR(VLOOKUP(D172,'Employee Numbers'!$A$3:$B$84,2,FALSE),"NOT FOUND")</f>
        <v>703880</v>
      </c>
      <c r="F172" s="31" t="str">
        <f t="shared" si="43"/>
        <v/>
      </c>
      <c r="G172" s="31" t="str">
        <f t="shared" si="43"/>
        <v/>
      </c>
      <c r="H172" s="37" t="s">
        <v>170</v>
      </c>
      <c r="I172" s="31" t="str">
        <f t="shared" si="44"/>
        <v/>
      </c>
      <c r="J172" s="31" t="str">
        <f t="shared" si="44"/>
        <v/>
      </c>
      <c r="K172" s="31" t="str">
        <f t="shared" si="44"/>
        <v/>
      </c>
      <c r="L172" s="31" t="str">
        <f t="shared" si="44"/>
        <v/>
      </c>
      <c r="M172" s="35" t="s">
        <v>168</v>
      </c>
    </row>
    <row r="173" spans="1:18" ht="15" customHeight="1" thickBot="1">
      <c r="A173" s="2" t="s">
        <v>169</v>
      </c>
      <c r="B173" s="2"/>
      <c r="C173" s="21"/>
      <c r="D173" s="84" t="str">
        <f t="shared" si="41"/>
        <v xml:space="preserve">Mustafa Ozkul </v>
      </c>
      <c r="E173" s="22">
        <f>IFERROR(VLOOKUP(D173,'Employee Numbers'!$A$3:$B$84,2,FALSE),"NOT FOUND")</f>
        <v>703334</v>
      </c>
      <c r="F173" s="31" t="str">
        <f t="shared" si="43"/>
        <v/>
      </c>
      <c r="G173" s="31" t="str">
        <f t="shared" si="43"/>
        <v/>
      </c>
      <c r="H173" s="37" t="s">
        <v>170</v>
      </c>
      <c r="I173" s="31" t="str">
        <f t="shared" si="44"/>
        <v/>
      </c>
      <c r="J173" s="31" t="str">
        <f t="shared" si="44"/>
        <v/>
      </c>
      <c r="K173" s="31" t="str">
        <f t="shared" si="44"/>
        <v/>
      </c>
      <c r="L173" s="31" t="str">
        <f t="shared" si="44"/>
        <v/>
      </c>
      <c r="M173" s="35" t="s">
        <v>168</v>
      </c>
    </row>
    <row r="174" spans="1:18" ht="15" customHeight="1" thickBot="1">
      <c r="A174" s="2" t="s">
        <v>169</v>
      </c>
      <c r="B174" s="2"/>
      <c r="C174" s="21"/>
      <c r="D174" s="84" t="str">
        <f t="shared" si="41"/>
        <v>Ritu Chaurasia (0.75)</v>
      </c>
      <c r="E174" s="22">
        <f>IFERROR(VLOOKUP(D174,'Employee Numbers'!$A$3:$B$84,2,FALSE),"NOT FOUND")</f>
        <v>700538</v>
      </c>
      <c r="F174" s="31" t="str">
        <f t="shared" si="43"/>
        <v/>
      </c>
      <c r="G174" s="31" t="str">
        <f t="shared" si="43"/>
        <v/>
      </c>
      <c r="H174" s="31" t="s">
        <v>167</v>
      </c>
      <c r="I174" s="31" t="str">
        <f t="shared" si="44"/>
        <v/>
      </c>
      <c r="J174" s="31" t="str">
        <f t="shared" si="44"/>
        <v/>
      </c>
      <c r="K174" s="31" t="str">
        <f t="shared" si="44"/>
        <v/>
      </c>
      <c r="L174" s="31" t="str">
        <f t="shared" si="44"/>
        <v/>
      </c>
      <c r="M174" s="35" t="s">
        <v>168</v>
      </c>
    </row>
    <row r="175" spans="1:18" ht="15" customHeight="1" thickBot="1">
      <c r="A175" s="2" t="s">
        <v>169</v>
      </c>
      <c r="B175" s="2"/>
      <c r="C175" s="21"/>
      <c r="D175" s="84" t="str">
        <f t="shared" si="41"/>
        <v>Jamie Nicholls (0.5)</v>
      </c>
      <c r="E175" s="22">
        <f>IFERROR(VLOOKUP(D175,'Employee Numbers'!$A$3:$B$84,2,FALSE),"NOT FOUND")</f>
        <v>704862</v>
      </c>
      <c r="F175" s="31" t="str">
        <f t="shared" si="43"/>
        <v/>
      </c>
      <c r="G175" s="31" t="str">
        <f t="shared" si="43"/>
        <v/>
      </c>
      <c r="H175" s="31" t="str">
        <f t="shared" ref="H175" si="46">IF(COUNTIF(H83,"0800-1730*"),"trg_2.5_1730","trg_2.5_0900")</f>
        <v>trg_2.5_0900</v>
      </c>
      <c r="I175" s="31" t="str">
        <f t="shared" si="44"/>
        <v/>
      </c>
      <c r="J175" s="31" t="str">
        <f t="shared" si="44"/>
        <v/>
      </c>
      <c r="K175" s="31" t="str">
        <f t="shared" si="44"/>
        <v/>
      </c>
      <c r="L175" s="31" t="str">
        <f t="shared" si="44"/>
        <v/>
      </c>
      <c r="M175" s="35" t="s">
        <v>168</v>
      </c>
    </row>
    <row r="176" spans="1:18" ht="15" customHeight="1">
      <c r="A176" s="2" t="s">
        <v>169</v>
      </c>
      <c r="B176" s="2"/>
      <c r="C176" s="21"/>
      <c r="D176" s="84">
        <f t="shared" si="41"/>
        <v>0</v>
      </c>
      <c r="E176" s="22" t="str">
        <f>IFERROR(VLOOKUP(D176,'Employee Numbers'!$A$3:$B$84,2,FALSE),"NOT FOUND")</f>
        <v>NOT FOUND</v>
      </c>
      <c r="F176" s="31" t="str">
        <f t="shared" si="43"/>
        <v/>
      </c>
      <c r="G176" s="31" t="str">
        <f t="shared" si="43"/>
        <v/>
      </c>
      <c r="H176" s="37" t="s">
        <v>170</v>
      </c>
      <c r="I176" s="31" t="str">
        <f t="shared" si="44"/>
        <v/>
      </c>
      <c r="J176" s="31" t="str">
        <f t="shared" si="44"/>
        <v/>
      </c>
      <c r="K176" s="31" t="str">
        <f t="shared" si="44"/>
        <v/>
      </c>
      <c r="L176" s="31" t="str">
        <f t="shared" si="44"/>
        <v/>
      </c>
      <c r="M176" s="35" t="s">
        <v>168</v>
      </c>
    </row>
  </sheetData>
  <mergeCells count="1">
    <mergeCell ref="D4:L4"/>
  </mergeCells>
  <phoneticPr fontId="18" type="noConversion"/>
  <conditionalFormatting sqref="E21:E49">
    <cfRule type="containsText" dxfId="670" priority="1" operator="containsText" text="NOT FOUND">
      <formula>NOT(ISERROR(SEARCH("NOT FOUND",E21)))</formula>
    </cfRule>
    <cfRule type="cellIs" dxfId="669" priority="2" operator="equal">
      <formula>0</formula>
    </cfRule>
  </conditionalFormatting>
  <conditionalFormatting sqref="E54:E59">
    <cfRule type="cellIs" dxfId="668" priority="49" operator="equal">
      <formula>0</formula>
    </cfRule>
    <cfRule type="containsText" dxfId="667" priority="48" operator="containsText" text="NOT FOUND">
      <formula>NOT(ISERROR(SEARCH("NOT FOUND",E54)))</formula>
    </cfRule>
  </conditionalFormatting>
  <conditionalFormatting sqref="E61:E84">
    <cfRule type="cellIs" dxfId="666" priority="43" operator="equal">
      <formula>0</formula>
    </cfRule>
    <cfRule type="containsText" dxfId="665" priority="42" operator="containsText" text="NOT FOUND">
      <formula>NOT(ISERROR(SEARCH("NOT FOUND",E61)))</formula>
    </cfRule>
  </conditionalFormatting>
  <conditionalFormatting sqref="E86:E99">
    <cfRule type="cellIs" dxfId="664" priority="41" operator="equal">
      <formula>0</formula>
    </cfRule>
    <cfRule type="containsText" dxfId="663" priority="40" operator="containsText" text="NOT FOUND">
      <formula>NOT(ISERROR(SEARCH("NOT FOUND",E86)))</formula>
    </cfRule>
  </conditionalFormatting>
  <conditionalFormatting sqref="E101:E102">
    <cfRule type="containsText" dxfId="662" priority="46" operator="containsText" text="NOT FOUND">
      <formula>NOT(ISERROR(SEARCH("NOT FOUND",E101)))</formula>
    </cfRule>
    <cfRule type="cellIs" dxfId="661" priority="47" operator="equal">
      <formula>0</formula>
    </cfRule>
  </conditionalFormatting>
  <conditionalFormatting sqref="E115:E143">
    <cfRule type="containsText" dxfId="660" priority="44" operator="containsText" text="NOT FOUND">
      <formula>NOT(ISERROR(SEARCH("NOT FOUND",E115)))</formula>
    </cfRule>
    <cfRule type="cellIs" dxfId="659" priority="45" operator="equal">
      <formula>0</formula>
    </cfRule>
  </conditionalFormatting>
  <conditionalFormatting sqref="E146:E151">
    <cfRule type="containsText" dxfId="658" priority="5" operator="containsText" text="NOT FOUND">
      <formula>NOT(ISERROR(SEARCH("NOT FOUND",E146)))</formula>
    </cfRule>
    <cfRule type="cellIs" dxfId="657" priority="6" operator="equal">
      <formula>0</formula>
    </cfRule>
  </conditionalFormatting>
  <conditionalFormatting sqref="E153:E176">
    <cfRule type="containsText" dxfId="656" priority="3" operator="containsText" text="NOT FOUND">
      <formula>NOT(ISERROR(SEARCH("NOT FOUND",E153)))</formula>
    </cfRule>
    <cfRule type="cellIs" dxfId="655" priority="4" operator="equal">
      <formula>0</formula>
    </cfRule>
  </conditionalFormatting>
  <conditionalFormatting sqref="F6:L6">
    <cfRule type="cellIs" dxfId="654" priority="33" operator="lessThan">
      <formula>2</formula>
    </cfRule>
    <cfRule type="cellIs" dxfId="653" priority="20" operator="greaterThan">
      <formula>3</formula>
    </cfRule>
  </conditionalFormatting>
  <conditionalFormatting sqref="F7:L7">
    <cfRule type="cellIs" dxfId="652" priority="32" operator="lessThan">
      <formula>2</formula>
    </cfRule>
  </conditionalFormatting>
  <conditionalFormatting sqref="F8:L8">
    <cfRule type="cellIs" dxfId="651" priority="39" operator="between">
      <formula>6</formula>
      <formula>8</formula>
    </cfRule>
    <cfRule type="cellIs" dxfId="650" priority="38" operator="lessThan">
      <formula>5</formula>
    </cfRule>
    <cfRule type="cellIs" dxfId="649" priority="19" operator="greaterThan">
      <formula>8</formula>
    </cfRule>
    <cfRule type="cellIs" dxfId="648" priority="24" operator="equal">
      <formula>5</formula>
    </cfRule>
  </conditionalFormatting>
  <conditionalFormatting sqref="F10:L11">
    <cfRule type="cellIs" dxfId="647" priority="35" operator="greaterThan">
      <formula>1</formula>
    </cfRule>
    <cfRule type="cellIs" dxfId="646" priority="23" operator="equal">
      <formula>1</formula>
    </cfRule>
  </conditionalFormatting>
  <conditionalFormatting sqref="F12:L12 F6:L7">
    <cfRule type="cellIs" dxfId="645" priority="34" operator="between">
      <formula>2</formula>
      <formula>3</formula>
    </cfRule>
  </conditionalFormatting>
  <conditionalFormatting sqref="F12:L12">
    <cfRule type="cellIs" dxfId="644" priority="21" operator="greaterThan">
      <formula>2</formula>
    </cfRule>
    <cfRule type="cellIs" dxfId="643" priority="27" operator="lessThan">
      <formula>2</formula>
    </cfRule>
  </conditionalFormatting>
  <conditionalFormatting sqref="F13:L13">
    <cfRule type="cellIs" dxfId="642" priority="31" operator="lessThan">
      <formula>6</formula>
    </cfRule>
    <cfRule type="cellIs" dxfId="641" priority="28" operator="greaterThanOrEqual">
      <formula>6</formula>
    </cfRule>
  </conditionalFormatting>
  <conditionalFormatting sqref="F14:L14">
    <cfRule type="cellIs" dxfId="640" priority="25" operator="lessThan">
      <formula>9</formula>
    </cfRule>
    <cfRule type="cellIs" dxfId="639" priority="36" operator="between">
      <formula>10</formula>
      <formula>11</formula>
    </cfRule>
    <cfRule type="cellIs" dxfId="638" priority="26" operator="equal">
      <formula>9</formula>
    </cfRule>
    <cfRule type="cellIs" dxfId="637" priority="37" operator="greaterThan">
      <formula>11</formula>
    </cfRule>
  </conditionalFormatting>
  <conditionalFormatting sqref="F16:L16">
    <cfRule type="cellIs" dxfId="636" priority="22" operator="greaterThan">
      <formula>4</formula>
    </cfRule>
    <cfRule type="cellIs" dxfId="635" priority="29" operator="equal">
      <formula>4</formula>
    </cfRule>
    <cfRule type="cellIs" dxfId="634" priority="30" operator="lessThan">
      <formula>4</formula>
    </cfRule>
  </conditionalFormatting>
  <conditionalFormatting sqref="R21:R48">
    <cfRule type="cellIs" dxfId="633" priority="16" operator="equal">
      <formula>S21</formula>
    </cfRule>
    <cfRule type="cellIs" dxfId="632" priority="15" operator="notEqual">
      <formula>S21</formula>
    </cfRule>
  </conditionalFormatting>
  <conditionalFormatting sqref="R54:R59 R61:R84">
    <cfRule type="cellIs" dxfId="631" priority="18" operator="equal">
      <formula>(N54+P54)*9.5/38*5</formula>
    </cfRule>
    <cfRule type="cellIs" dxfId="630" priority="17" operator="notEqual">
      <formula>(N54+P54)*9.5/38*5</formula>
    </cfRule>
  </conditionalFormatting>
  <conditionalFormatting sqref="S54:S59">
    <cfRule type="cellIs" dxfId="629" priority="14" operator="equal">
      <formula>T54</formula>
    </cfRule>
    <cfRule type="cellIs" dxfId="628" priority="13" operator="notEqual">
      <formula>T54</formula>
    </cfRule>
  </conditionalFormatting>
  <conditionalFormatting sqref="S61:S84">
    <cfRule type="cellIs" dxfId="627" priority="12" operator="equal">
      <formula>T61</formula>
    </cfRule>
    <cfRule type="cellIs" dxfId="626" priority="11" operator="notEqual">
      <formula>T61</formula>
    </cfRule>
  </conditionalFormatting>
  <conditionalFormatting sqref="S86:S99">
    <cfRule type="cellIs" dxfId="625" priority="10" operator="equal">
      <formula>T86</formula>
    </cfRule>
    <cfRule type="cellIs" dxfId="624" priority="9" operator="notEqual">
      <formula>T86</formula>
    </cfRule>
  </conditionalFormatting>
  <conditionalFormatting sqref="S101:S102">
    <cfRule type="cellIs" dxfId="623" priority="7" operator="notEqual">
      <formula>T101</formula>
    </cfRule>
    <cfRule type="cellIs" dxfId="622" priority="8" operator="equal">
      <formula>T101</formula>
    </cfRule>
  </conditionalFormatting>
  <pageMargins left="0.70866141732283472" right="0.70866141732283472" top="0.15748031496062992" bottom="0.15748031496062992" header="0" footer="0"/>
  <pageSetup paperSize="9" scale="49" fitToWidth="0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Y176"/>
  <sheetViews>
    <sheetView topLeftCell="A84" workbookViewId="0">
      <selection activeCell="D97" sqref="D97"/>
    </sheetView>
  </sheetViews>
  <sheetFormatPr defaultColWidth="31.28515625" defaultRowHeight="15" customHeight="1"/>
  <cols>
    <col min="1" max="1" width="15.140625" style="5" customWidth="1"/>
    <col min="2" max="2" width="10.42578125" style="5" customWidth="1"/>
    <col min="3" max="3" width="6" style="8" customWidth="1"/>
    <col min="4" max="4" width="26.7109375" style="5" bestFit="1" customWidth="1"/>
    <col min="5" max="5" width="8.42578125" style="8" customWidth="1"/>
    <col min="6" max="7" width="15.85546875" style="5" customWidth="1"/>
    <col min="8" max="8" width="20" style="5" customWidth="1"/>
    <col min="9" max="12" width="15.85546875" style="5" customWidth="1"/>
    <col min="13" max="13" width="31.28515625" style="5"/>
    <col min="14" max="14" width="7.85546875" style="5" customWidth="1"/>
    <col min="15" max="15" width="14.42578125" style="5" customWidth="1"/>
    <col min="16" max="16" width="8.42578125" style="5" customWidth="1"/>
    <col min="17" max="17" width="8.7109375" style="5" customWidth="1"/>
    <col min="18" max="18" width="12.7109375" style="5" customWidth="1"/>
    <col min="19" max="19" width="14.7109375" style="5" bestFit="1" customWidth="1"/>
    <col min="20" max="20" width="14.140625" style="5" bestFit="1" customWidth="1"/>
    <col min="21" max="25" width="7.140625" style="5" customWidth="1"/>
    <col min="26" max="16384" width="31.28515625" style="5"/>
  </cols>
  <sheetData>
    <row r="1" spans="1:13" s="2" customFormat="1" ht="15" customHeight="1">
      <c r="A1" s="34" t="s">
        <v>0</v>
      </c>
      <c r="B1" s="103" t="s">
        <v>1</v>
      </c>
      <c r="C1" s="104" t="s">
        <v>2</v>
      </c>
      <c r="D1" s="104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 t="s">
        <v>8</v>
      </c>
      <c r="J1" s="47" t="s">
        <v>9</v>
      </c>
      <c r="K1" s="47" t="s">
        <v>10</v>
      </c>
      <c r="L1" s="47" t="s">
        <v>11</v>
      </c>
      <c r="M1" s="103" t="s">
        <v>12</v>
      </c>
    </row>
    <row r="2" spans="1:13" s="2" customFormat="1" ht="15" customHeight="1">
      <c r="A2" s="13" t="s">
        <v>13</v>
      </c>
      <c r="B2" s="112"/>
      <c r="C2" s="21"/>
      <c r="E2" s="21"/>
      <c r="F2" s="94">
        <f>'Week 6'!F2+7</f>
        <v>46188</v>
      </c>
      <c r="G2" s="95">
        <f>F2+1</f>
        <v>46189</v>
      </c>
      <c r="H2" s="95">
        <f t="shared" ref="H2:L2" si="0">G2+1</f>
        <v>46190</v>
      </c>
      <c r="I2" s="95">
        <f t="shared" si="0"/>
        <v>46191</v>
      </c>
      <c r="J2" s="95">
        <f t="shared" si="0"/>
        <v>46192</v>
      </c>
      <c r="K2" s="95">
        <f t="shared" si="0"/>
        <v>46193</v>
      </c>
      <c r="L2" s="95">
        <f t="shared" si="0"/>
        <v>46194</v>
      </c>
    </row>
    <row r="3" spans="1:13" s="2" customFormat="1" ht="15" customHeight="1">
      <c r="A3" s="13" t="s">
        <v>14</v>
      </c>
      <c r="B3" s="112">
        <f>1+(F2-'Week 1'!F2)/7</f>
        <v>7</v>
      </c>
      <c r="E3" s="21"/>
      <c r="F3" s="94"/>
      <c r="G3" s="95"/>
      <c r="H3" s="95"/>
      <c r="I3" s="95"/>
      <c r="J3" s="95"/>
      <c r="K3" s="95"/>
      <c r="L3" s="95"/>
    </row>
    <row r="4" spans="1:13" ht="22.5" customHeight="1">
      <c r="A4" s="13" t="s">
        <v>15</v>
      </c>
      <c r="B4" s="2"/>
      <c r="C4" s="21">
        <f ca="1">IF(INDIRECT("'Week "&amp;(B3-1)&amp;"'!C4")=1,2,IF(INDIRECT("'Week "&amp;(B3-1)&amp;"'!C4")=2,1,_xludf.NA))</f>
        <v>1</v>
      </c>
      <c r="D4" s="359" t="str">
        <f>'Week 1'!D4:L4</f>
        <v>PAEDIATRIC EMERGENCY DEPARTMENT ROSTER - Term 2 2026</v>
      </c>
      <c r="E4" s="360"/>
      <c r="F4" s="360"/>
      <c r="G4" s="360"/>
      <c r="H4" s="360"/>
      <c r="I4" s="360"/>
      <c r="J4" s="360"/>
      <c r="K4" s="360"/>
      <c r="L4" s="360"/>
    </row>
    <row r="5" spans="1:13" s="2" customFormat="1" ht="15" customHeight="1" thickBot="1">
      <c r="A5" s="13"/>
      <c r="C5" s="21"/>
      <c r="E5" s="21"/>
      <c r="F5" s="94"/>
      <c r="G5" s="95"/>
      <c r="H5" s="95"/>
      <c r="I5" s="95"/>
      <c r="J5" s="95"/>
      <c r="K5" s="95"/>
      <c r="L5" s="95"/>
    </row>
    <row r="6" spans="1:13" s="2" customFormat="1" ht="15" customHeight="1">
      <c r="A6" s="13"/>
      <c r="C6" s="21"/>
      <c r="D6" s="96" t="s">
        <v>17</v>
      </c>
      <c r="E6" s="97"/>
      <c r="F6" s="101">
        <f>COUNTIF(F$21:F$49,"0800-1???")-COUNTIFS(F$48,"0800-1???",$D$48,"Locum")-COUNTIFS(F$49,"0800-1???",$D$49,"Locum")</f>
        <v>3</v>
      </c>
      <c r="G6" s="101">
        <f t="shared" ref="G6:L6" si="1">COUNTIF(G$21:G$49,"0800-1???")-COUNTIFS(G$48,"0800-1???",$D$48,"Locum")-COUNTIFS(G$49,"0800-1???",$D$49,"Locum")</f>
        <v>3</v>
      </c>
      <c r="H6" s="101">
        <f t="shared" si="1"/>
        <v>3</v>
      </c>
      <c r="I6" s="101">
        <f t="shared" si="1"/>
        <v>3</v>
      </c>
      <c r="J6" s="101">
        <f t="shared" si="1"/>
        <v>3</v>
      </c>
      <c r="K6" s="101">
        <f t="shared" si="1"/>
        <v>2</v>
      </c>
      <c r="L6" s="101">
        <f t="shared" si="1"/>
        <v>2</v>
      </c>
    </row>
    <row r="7" spans="1:13" s="2" customFormat="1" ht="15" customHeight="1" thickBot="1">
      <c r="A7" s="13"/>
      <c r="C7" s="21"/>
      <c r="D7" s="68" t="s">
        <v>18</v>
      </c>
      <c r="E7" s="67"/>
      <c r="F7" s="109">
        <f t="shared" ref="F7:L7" si="2">COUNTIF(F$54:F$102,"0800-1???")</f>
        <v>4</v>
      </c>
      <c r="G7" s="109">
        <f t="shared" si="2"/>
        <v>5</v>
      </c>
      <c r="H7" s="109">
        <f t="shared" si="2"/>
        <v>4</v>
      </c>
      <c r="I7" s="109">
        <f t="shared" si="2"/>
        <v>7</v>
      </c>
      <c r="J7" s="109">
        <f t="shared" si="2"/>
        <v>5</v>
      </c>
      <c r="K7" s="109">
        <f t="shared" si="2"/>
        <v>5</v>
      </c>
      <c r="L7" s="157">
        <f t="shared" si="2"/>
        <v>4</v>
      </c>
    </row>
    <row r="8" spans="1:13" s="2" customFormat="1" ht="15" customHeight="1" thickBot="1">
      <c r="A8" s="13"/>
      <c r="C8" s="21"/>
      <c r="D8" s="98" t="s">
        <v>19</v>
      </c>
      <c r="E8" s="99"/>
      <c r="F8" s="108">
        <f>F6+F7</f>
        <v>7</v>
      </c>
      <c r="G8" s="108">
        <f t="shared" ref="G8:L8" si="3">G6+G7</f>
        <v>8</v>
      </c>
      <c r="H8" s="108">
        <f t="shared" si="3"/>
        <v>7</v>
      </c>
      <c r="I8" s="108">
        <f t="shared" si="3"/>
        <v>10</v>
      </c>
      <c r="J8" s="108">
        <f t="shared" si="3"/>
        <v>8</v>
      </c>
      <c r="K8" s="108">
        <f t="shared" si="3"/>
        <v>7</v>
      </c>
      <c r="L8" s="158">
        <f t="shared" si="3"/>
        <v>6</v>
      </c>
    </row>
    <row r="9" spans="1:13" s="2" customFormat="1" ht="15" customHeight="1" thickBot="1">
      <c r="A9" s="13"/>
      <c r="C9" s="21"/>
      <c r="E9" s="21"/>
      <c r="F9" s="21"/>
      <c r="G9" s="21"/>
      <c r="H9" s="21"/>
      <c r="I9" s="21"/>
      <c r="J9" s="21"/>
      <c r="K9" s="21"/>
      <c r="L9" s="21"/>
    </row>
    <row r="10" spans="1:13" s="2" customFormat="1" ht="15" customHeight="1">
      <c r="A10" s="13"/>
      <c r="C10" s="21"/>
      <c r="D10" s="96" t="s">
        <v>20</v>
      </c>
      <c r="E10" s="97"/>
      <c r="F10" s="101">
        <f>COUNTIF(F$21:F$49,"1100-????")-COUNTIFS(F$48,"1100-????",$D$48,"Locum")-COUNTIFS(F$49,"1100-????",$D$49,"Locum")</f>
        <v>0</v>
      </c>
      <c r="G10" s="101">
        <f t="shared" ref="G10:L10" si="4">COUNTIF(G$21:G$49,"1100-????")-COUNTIFS(G$48,"1100-????",$D$48,"Locum")-COUNTIFS(G$49,"1100-????",$D$49,"Locum")</f>
        <v>0</v>
      </c>
      <c r="H10" s="101">
        <f t="shared" si="4"/>
        <v>0</v>
      </c>
      <c r="I10" s="101">
        <f t="shared" si="4"/>
        <v>0</v>
      </c>
      <c r="J10" s="101">
        <f t="shared" si="4"/>
        <v>0</v>
      </c>
      <c r="K10" s="101">
        <f t="shared" si="4"/>
        <v>0</v>
      </c>
      <c r="L10" s="101">
        <f t="shared" si="4"/>
        <v>0</v>
      </c>
    </row>
    <row r="11" spans="1:13" s="2" customFormat="1" ht="15" customHeight="1">
      <c r="A11" s="13"/>
      <c r="C11" s="21"/>
      <c r="D11" s="68" t="s">
        <v>21</v>
      </c>
      <c r="E11" s="67"/>
      <c r="F11" s="161">
        <f>COUNTIF(F$54:F$102,"1100-????")</f>
        <v>0</v>
      </c>
      <c r="G11" s="161">
        <f t="shared" ref="G11:L11" si="5">COUNTIF(G$54:G$102,"1100-????")</f>
        <v>0</v>
      </c>
      <c r="H11" s="161">
        <f t="shared" si="5"/>
        <v>1</v>
      </c>
      <c r="I11" s="161">
        <f t="shared" si="5"/>
        <v>0</v>
      </c>
      <c r="J11" s="161">
        <f t="shared" si="5"/>
        <v>0</v>
      </c>
      <c r="K11" s="161">
        <f t="shared" si="5"/>
        <v>0</v>
      </c>
      <c r="L11" s="161">
        <f t="shared" si="5"/>
        <v>0</v>
      </c>
    </row>
    <row r="12" spans="1:13" s="2" customFormat="1" ht="15" customHeight="1">
      <c r="A12" s="13"/>
      <c r="C12" s="21"/>
      <c r="D12" s="68" t="s">
        <v>22</v>
      </c>
      <c r="E12" s="67"/>
      <c r="F12" s="102">
        <f>COUNTIF(F$21:F$49,"1???-00?0")-COUNTIFS(F$48,"1???-00?0",$D$48,"Locum")-COUNTIFS(F$49,"1???-00?0",$D$49,"Locum")</f>
        <v>2</v>
      </c>
      <c r="G12" s="102">
        <f t="shared" ref="G12:L12" si="6">COUNTIF(G$21:G$49,"1???-00?0")-COUNTIFS(G$48,"1???-00?0",$D$48,"Locum")-COUNTIFS(G$49,"1???-00?0",$D$49,"Locum")</f>
        <v>2</v>
      </c>
      <c r="H12" s="102">
        <f t="shared" si="6"/>
        <v>2</v>
      </c>
      <c r="I12" s="102">
        <f t="shared" si="6"/>
        <v>2</v>
      </c>
      <c r="J12" s="102">
        <f t="shared" si="6"/>
        <v>2</v>
      </c>
      <c r="K12" s="102">
        <f t="shared" si="6"/>
        <v>2</v>
      </c>
      <c r="L12" s="102">
        <f t="shared" si="6"/>
        <v>2</v>
      </c>
    </row>
    <row r="13" spans="1:13" s="2" customFormat="1" ht="15" customHeight="1" thickBot="1">
      <c r="A13" s="13"/>
      <c r="C13" s="21"/>
      <c r="D13" s="68" t="s">
        <v>23</v>
      </c>
      <c r="E13" s="67"/>
      <c r="F13" s="109">
        <f>COUNTIF(F$54:F$102,"1???-0000*")</f>
        <v>8</v>
      </c>
      <c r="G13" s="109">
        <f t="shared" ref="G13:L13" si="7">COUNTIF(G$54:G$102,"1???-0000*")</f>
        <v>8</v>
      </c>
      <c r="H13" s="109">
        <f t="shared" si="7"/>
        <v>8</v>
      </c>
      <c r="I13" s="109">
        <f t="shared" si="7"/>
        <v>8</v>
      </c>
      <c r="J13" s="109">
        <f t="shared" si="7"/>
        <v>8</v>
      </c>
      <c r="K13" s="109">
        <f t="shared" si="7"/>
        <v>8</v>
      </c>
      <c r="L13" s="157">
        <f t="shared" si="7"/>
        <v>8</v>
      </c>
    </row>
    <row r="14" spans="1:13" s="2" customFormat="1" ht="15" customHeight="1" thickBot="1">
      <c r="A14" s="13"/>
      <c r="C14" s="21"/>
      <c r="D14" s="98" t="s">
        <v>24</v>
      </c>
      <c r="E14" s="99"/>
      <c r="F14" s="108">
        <f>F12+F13</f>
        <v>10</v>
      </c>
      <c r="G14" s="108">
        <f t="shared" ref="G14:L14" si="8">G12+G13</f>
        <v>10</v>
      </c>
      <c r="H14" s="108">
        <f t="shared" si="8"/>
        <v>10</v>
      </c>
      <c r="I14" s="108">
        <f t="shared" si="8"/>
        <v>10</v>
      </c>
      <c r="J14" s="108">
        <f t="shared" si="8"/>
        <v>10</v>
      </c>
      <c r="K14" s="108">
        <f t="shared" si="8"/>
        <v>10</v>
      </c>
      <c r="L14" s="158">
        <f t="shared" si="8"/>
        <v>10</v>
      </c>
    </row>
    <row r="15" spans="1:13" s="2" customFormat="1" ht="15" customHeight="1" thickBot="1">
      <c r="A15" s="13"/>
      <c r="C15" s="21"/>
      <c r="E15" s="21"/>
      <c r="F15" s="21"/>
      <c r="G15" s="21"/>
      <c r="H15" s="21"/>
      <c r="I15" s="21"/>
      <c r="J15" s="21"/>
      <c r="K15" s="21"/>
      <c r="L15" s="21"/>
    </row>
    <row r="16" spans="1:13" s="2" customFormat="1" ht="15" customHeight="1" thickBot="1">
      <c r="A16" s="13"/>
      <c r="C16" s="21"/>
      <c r="D16" s="100" t="s">
        <v>25</v>
      </c>
      <c r="E16" s="72"/>
      <c r="F16" s="66">
        <f t="shared" ref="F16:L16" si="9">COUNTIF(F$54:F$99,"2300-0830")</f>
        <v>4</v>
      </c>
      <c r="G16" s="66">
        <f t="shared" si="9"/>
        <v>5</v>
      </c>
      <c r="H16" s="66">
        <f t="shared" si="9"/>
        <v>5</v>
      </c>
      <c r="I16" s="66">
        <f t="shared" si="9"/>
        <v>5</v>
      </c>
      <c r="J16" s="66">
        <f t="shared" si="9"/>
        <v>4</v>
      </c>
      <c r="K16" s="66">
        <f t="shared" si="9"/>
        <v>4</v>
      </c>
      <c r="L16" s="159">
        <f t="shared" si="9"/>
        <v>4</v>
      </c>
    </row>
    <row r="17" spans="1:25" s="2" customFormat="1" ht="15" customHeight="1" thickBot="1">
      <c r="A17" s="13"/>
      <c r="C17" s="21"/>
      <c r="E17" s="21"/>
      <c r="F17" s="21"/>
      <c r="G17" s="21"/>
      <c r="H17" s="21"/>
      <c r="I17" s="21"/>
      <c r="J17" s="21"/>
      <c r="K17" s="21"/>
      <c r="L17" s="21"/>
    </row>
    <row r="18" spans="1:25" s="2" customFormat="1" ht="15" customHeight="1" thickBot="1">
      <c r="A18" s="13"/>
      <c r="C18" s="21"/>
      <c r="D18" s="61" t="s">
        <v>26</v>
      </c>
      <c r="E18" s="62" t="s">
        <v>4</v>
      </c>
      <c r="F18" s="62" t="s">
        <v>5</v>
      </c>
      <c r="G18" s="62" t="s">
        <v>6</v>
      </c>
      <c r="H18" s="62" t="s">
        <v>7</v>
      </c>
      <c r="I18" s="62" t="s">
        <v>8</v>
      </c>
      <c r="J18" s="62" t="s">
        <v>9</v>
      </c>
      <c r="K18" s="62" t="s">
        <v>10</v>
      </c>
      <c r="L18" s="63" t="s">
        <v>11</v>
      </c>
      <c r="N18" s="145" t="s">
        <v>27</v>
      </c>
      <c r="O18" s="145" t="s">
        <v>28</v>
      </c>
      <c r="P18" s="136" t="s">
        <v>29</v>
      </c>
      <c r="R18" s="146" t="s">
        <v>30</v>
      </c>
      <c r="S18" s="145" t="s">
        <v>31</v>
      </c>
    </row>
    <row r="19" spans="1:25" s="2" customFormat="1" ht="15" customHeight="1" thickBot="1">
      <c r="A19" s="13"/>
      <c r="C19" s="21"/>
      <c r="D19" s="93"/>
      <c r="E19" s="91"/>
      <c r="F19" s="92">
        <f>F2</f>
        <v>46188</v>
      </c>
      <c r="G19" s="64">
        <f t="shared" ref="G19:L19" si="10">F19+1</f>
        <v>46189</v>
      </c>
      <c r="H19" s="64">
        <f t="shared" si="10"/>
        <v>46190</v>
      </c>
      <c r="I19" s="64">
        <f t="shared" si="10"/>
        <v>46191</v>
      </c>
      <c r="J19" s="64">
        <f t="shared" si="10"/>
        <v>46192</v>
      </c>
      <c r="K19" s="64">
        <f t="shared" si="10"/>
        <v>46193</v>
      </c>
      <c r="L19" s="65">
        <f t="shared" si="10"/>
        <v>46194</v>
      </c>
      <c r="N19" s="147" t="s">
        <v>32</v>
      </c>
      <c r="O19" s="21" t="s">
        <v>32</v>
      </c>
      <c r="P19" s="148"/>
      <c r="R19" s="149" t="s">
        <v>32</v>
      </c>
      <c r="S19" s="147" t="s">
        <v>32</v>
      </c>
      <c r="U19" s="2" t="s">
        <v>33</v>
      </c>
      <c r="V19" s="142" t="s">
        <v>34</v>
      </c>
      <c r="W19" s="2" t="s">
        <v>35</v>
      </c>
      <c r="X19" s="2" t="s">
        <v>36</v>
      </c>
      <c r="Y19" s="2" t="s">
        <v>37</v>
      </c>
    </row>
    <row r="20" spans="1:25" s="2" customFormat="1" ht="15.75" customHeight="1" thickBot="1">
      <c r="A20" s="114" t="s">
        <v>38</v>
      </c>
      <c r="B20" s="115"/>
      <c r="C20" s="116"/>
      <c r="D20" s="117" t="s">
        <v>38</v>
      </c>
      <c r="E20" s="155"/>
      <c r="F20" s="118"/>
      <c r="G20" s="119"/>
      <c r="H20" s="119"/>
      <c r="I20" s="119"/>
      <c r="J20" s="119"/>
      <c r="K20" s="119"/>
      <c r="L20" s="120"/>
      <c r="N20" s="160"/>
      <c r="O20" s="160"/>
      <c r="P20" s="150"/>
      <c r="R20" s="151"/>
      <c r="S20" s="160"/>
      <c r="T20" s="160"/>
      <c r="U20" s="160"/>
      <c r="V20" s="142"/>
    </row>
    <row r="21" spans="1:25" s="2" customFormat="1" ht="15" customHeight="1">
      <c r="A21" s="162" t="s">
        <v>39</v>
      </c>
      <c r="B21" s="162"/>
      <c r="C21" s="164"/>
      <c r="D21" s="234" t="s">
        <v>40</v>
      </c>
      <c r="E21" s="165">
        <f>IFERROR(VLOOKUP(D21,'Employee Numbers'!$A$3:$B$84,2,FALSE),"NOT FOUND")</f>
        <v>287628</v>
      </c>
      <c r="F21" s="235" t="s">
        <v>41</v>
      </c>
      <c r="G21" s="236" t="s">
        <v>41</v>
      </c>
      <c r="H21" s="236" t="s">
        <v>41</v>
      </c>
      <c r="I21" s="236"/>
      <c r="J21" s="236" t="s">
        <v>42</v>
      </c>
      <c r="K21" s="236"/>
      <c r="L21" s="237"/>
      <c r="N21">
        <f t="array" ref="N21">((SUM(IFERROR((TEXT(IF(ISNUMBER(SEARCH("-", F21:L21)), MID(F21:L21, SEARCH("-", F21:L21) + 1, 4), ""), "00\:00") - TEXT(IF(ISNUMBER(SEARCH("-", F21:L21)), MID(F21:L21, SEARCH("-", F21:L21) - 4, 4), ""), "00\:00") + IF(TEXT(IF(ISNUMBER(SEARCH("-", F21:L21)), MID(F21:L21, SEARCH("-", F21:L21) + 1, 4), ""), "00\:00") &lt; TEXT(IF(ISNUMBER(SEARCH("-", F21:L21)), MID(F21:L21, SEARCH("-", F21:L21) - 4, 4), ""), "00\:00"), 1, 0))*24,""))))/9.5</f>
        <v>4</v>
      </c>
      <c r="O21"/>
      <c r="P21" s="151">
        <f>N21+O21</f>
        <v>4</v>
      </c>
      <c r="R21" s="4">
        <f ca="1">IF($C$4=1,SUM(P21+INDIRECT("'Week "&amp;($B$3+1)&amp;"'!P"&amp;(ROW()))),IF($C$4=2,SUM(P21+INDIRECT("'Week "&amp;($B$3-1)&amp;"'!P"&amp;(ROW())))))</f>
        <v>9</v>
      </c>
      <c r="S21" s="2">
        <f>(IFERROR(VLOOKUP(D21,'Employee Numbers'!$A$3:$C$84,3,FALSE),"NOT FOUND"))*8</f>
        <v>8</v>
      </c>
      <c r="U21" s="142">
        <f>COUNTIF(E21:K21,"0800-1730")</f>
        <v>0</v>
      </c>
      <c r="V21" s="142">
        <f>COUNTIF(F21:L21,"1???-00?0")</f>
        <v>1</v>
      </c>
      <c r="W21" s="2">
        <f>COUNTIF(F21:L21,"*0800-1730*CS*")+COUNTIF(F21:L21,"*0800-1730*DEMT*")</f>
        <v>3</v>
      </c>
      <c r="Y21" s="2">
        <f>COUNTIF(K21:L21,"???0-*")</f>
        <v>0</v>
      </c>
    </row>
    <row r="22" spans="1:25" s="2" customFormat="1" ht="15" customHeight="1">
      <c r="A22" s="2" t="s">
        <v>39</v>
      </c>
      <c r="B22" s="46"/>
      <c r="C22" s="21"/>
      <c r="D22" s="227" t="s">
        <v>43</v>
      </c>
      <c r="E22" s="226">
        <f>IFERROR(VLOOKUP(D22,'Employee Numbers'!$A$3:$B$84,2,FALSE),"NOT FOUND")</f>
        <v>609660</v>
      </c>
      <c r="F22" s="250" t="s">
        <v>176</v>
      </c>
      <c r="G22" s="251" t="s">
        <v>176</v>
      </c>
      <c r="H22" s="251" t="s">
        <v>176</v>
      </c>
      <c r="I22" s="251" t="s">
        <v>176</v>
      </c>
      <c r="J22" s="251" t="s">
        <v>176</v>
      </c>
      <c r="K22" s="251" t="s">
        <v>176</v>
      </c>
      <c r="L22" s="252" t="s">
        <v>176</v>
      </c>
      <c r="N22">
        <f t="array" ref="N22">((SUM(IFERROR((TEXT(IF(ISNUMBER(SEARCH("-", F22:L22)), MID(F22:L22, SEARCH("-", F22:L22) + 1, 4), ""), "00\:00") - TEXT(IF(ISNUMBER(SEARCH("-", F22:L22)), MID(F22:L22, SEARCH("-", F22:L22) - 4, 4), ""), "00\:00") + IF(TEXT(IF(ISNUMBER(SEARCH("-", F22:L22)), MID(F22:L22, SEARCH("-", F22:L22) + 1, 4), ""), "00\:00") &lt; TEXT(IF(ISNUMBER(SEARCH("-", F22:L22)), MID(F22:L22, SEARCH("-", F22:L22) - 4, 4), ""), "00\:00"), 1, 0))*24,""))))/9.5</f>
        <v>0</v>
      </c>
      <c r="O22">
        <v>4</v>
      </c>
      <c r="P22" s="151">
        <f t="shared" ref="P22:P47" si="11">N22+O22</f>
        <v>4</v>
      </c>
      <c r="R22" s="4">
        <f t="shared" ref="R22:R47" ca="1" si="12">IF($C$4=1,SUM(P22+INDIRECT("'Week "&amp;($B$3+1)&amp;"'!P"&amp;(ROW()))),IF($C$4=2,SUM(P22+INDIRECT("'Week "&amp;($B$3-1)&amp;"'!P"&amp;(ROW())))))</f>
        <v>8</v>
      </c>
      <c r="S22" s="2">
        <f>(IFERROR(VLOOKUP(D22,'Employee Numbers'!$A$3:$C$84,3,FALSE),"NOT FOUND"))*8</f>
        <v>8</v>
      </c>
      <c r="U22" s="142">
        <f t="shared" ref="U22:U47" si="13">COUNTIF(E22:K22,"0800-1730")</f>
        <v>0</v>
      </c>
      <c r="V22" s="142">
        <f t="shared" ref="V22:V47" si="14">COUNTIF(F22:L22,"1???-00?0")</f>
        <v>0</v>
      </c>
      <c r="W22" s="2">
        <f t="shared" ref="W22:W47" si="15">COUNTIF(F22:L22,"*0800-1730*CS*")+COUNTIF(F22:L22,"*0800-1730*DEMT*")</f>
        <v>0</v>
      </c>
      <c r="Y22" s="2">
        <f t="shared" ref="Y22:Y47" si="16">COUNTIF(K22:L22,"???0-*")</f>
        <v>0</v>
      </c>
    </row>
    <row r="23" spans="1:25" s="2" customFormat="1" ht="15" customHeight="1">
      <c r="A23" s="162" t="s">
        <v>39</v>
      </c>
      <c r="B23" s="163"/>
      <c r="C23" s="238"/>
      <c r="D23" s="239" t="s">
        <v>45</v>
      </c>
      <c r="E23" s="165">
        <f>IFERROR(VLOOKUP(D23,'Employee Numbers'!$A$3:$B$84,2,FALSE),"NOT FOUND")</f>
        <v>610036</v>
      </c>
      <c r="F23" s="176"/>
      <c r="G23" s="166"/>
      <c r="H23" s="166" t="s">
        <v>41</v>
      </c>
      <c r="I23" s="166"/>
      <c r="J23" s="166" t="s">
        <v>44</v>
      </c>
      <c r="K23" s="166" t="s">
        <v>54</v>
      </c>
      <c r="L23" s="167" t="s">
        <v>54</v>
      </c>
      <c r="N23">
        <f t="array" ref="N23">((SUM(IFERROR((TEXT(IF(ISNUMBER(SEARCH("-", F23:L23)), MID(F23:L23, SEARCH("-", F23:L23) + 1, 4), ""), "00\:00") - TEXT(IF(ISNUMBER(SEARCH("-", F23:L23)), MID(F23:L23, SEARCH("-", F23:L23) - 4, 4), ""), "00\:00") + IF(TEXT(IF(ISNUMBER(SEARCH("-", F23:L23)), MID(F23:L23, SEARCH("-", F23:L23) + 1, 4), ""), "00\:00") &lt; TEXT(IF(ISNUMBER(SEARCH("-", F23:L23)), MID(F23:L23, SEARCH("-", F23:L23) - 4, 4), ""), "00\:00"), 1, 0))*24,""))))/9.5</f>
        <v>4</v>
      </c>
      <c r="O23"/>
      <c r="P23" s="151">
        <f t="shared" si="11"/>
        <v>4</v>
      </c>
      <c r="R23" s="4">
        <f t="shared" ca="1" si="12"/>
        <v>8</v>
      </c>
      <c r="S23" s="2">
        <f>(IFERROR(VLOOKUP(D23,'Employee Numbers'!$A$3:$C$84,3,FALSE),"NOT FOUND"))*8</f>
        <v>8</v>
      </c>
      <c r="U23" s="142">
        <f t="shared" si="13"/>
        <v>1</v>
      </c>
      <c r="V23" s="142">
        <f t="shared" si="14"/>
        <v>2</v>
      </c>
      <c r="W23" s="2">
        <f t="shared" si="15"/>
        <v>1</v>
      </c>
      <c r="Y23" s="2">
        <f t="shared" si="16"/>
        <v>2</v>
      </c>
    </row>
    <row r="24" spans="1:25" s="2" customFormat="1" ht="15" customHeight="1">
      <c r="A24" s="2" t="s">
        <v>39</v>
      </c>
      <c r="B24" s="46"/>
      <c r="C24" s="47"/>
      <c r="D24" s="227" t="s">
        <v>49</v>
      </c>
      <c r="E24" s="226">
        <f>IFERROR(VLOOKUP(D24,'Employee Numbers'!$A$3:$B$84,2,FALSE),"NOT FOUND")</f>
        <v>533509</v>
      </c>
      <c r="F24" s="250" t="s">
        <v>50</v>
      </c>
      <c r="G24" s="251" t="s">
        <v>50</v>
      </c>
      <c r="H24" s="251" t="s">
        <v>50</v>
      </c>
      <c r="I24" s="251" t="s">
        <v>50</v>
      </c>
      <c r="J24" s="251" t="s">
        <v>50</v>
      </c>
      <c r="K24" s="251" t="s">
        <v>50</v>
      </c>
      <c r="L24" s="252" t="s">
        <v>50</v>
      </c>
      <c r="N24">
        <f t="array" ref="N24">((SUM(IFERROR((TEXT(IF(ISNUMBER(SEARCH("-", F24:L24)), MID(F24:L24, SEARCH("-", F24:L24) + 1, 4), ""), "00\:00") - TEXT(IF(ISNUMBER(SEARCH("-", F24:L24)), MID(F24:L24, SEARCH("-", F24:L24) - 4, 4), ""), "00\:00") + IF(TEXT(IF(ISNUMBER(SEARCH("-", F24:L24)), MID(F24:L24, SEARCH("-", F24:L24) + 1, 4), ""), "00\:00") &lt; TEXT(IF(ISNUMBER(SEARCH("-", F24:L24)), MID(F24:L24, SEARCH("-", F24:L24) - 4, 4), ""), "00\:00"), 1, 0))*24,""))))/9.5</f>
        <v>0</v>
      </c>
      <c r="O24"/>
      <c r="P24" s="151">
        <f t="shared" si="11"/>
        <v>0</v>
      </c>
      <c r="R24" s="4">
        <f t="shared" ca="1" si="12"/>
        <v>0</v>
      </c>
      <c r="S24" s="2">
        <f>(IFERROR(VLOOKUP(D24,'Employee Numbers'!$A$3:$C$84,3,FALSE),"NOT FOUND"))*8</f>
        <v>0</v>
      </c>
      <c r="U24" s="142">
        <f t="shared" si="13"/>
        <v>0</v>
      </c>
      <c r="V24" s="142">
        <f t="shared" si="14"/>
        <v>0</v>
      </c>
      <c r="W24" s="2">
        <f t="shared" si="15"/>
        <v>0</v>
      </c>
      <c r="Y24" s="2">
        <f t="shared" si="16"/>
        <v>0</v>
      </c>
    </row>
    <row r="25" spans="1:25" s="2" customFormat="1" ht="15" customHeight="1">
      <c r="A25" s="162" t="s">
        <v>39</v>
      </c>
      <c r="B25" s="163"/>
      <c r="C25" s="238"/>
      <c r="D25" s="240" t="s">
        <v>51</v>
      </c>
      <c r="E25" s="165">
        <f>IFERROR(VLOOKUP(D25,'Employee Numbers'!$A$3:$B$84,2,FALSE),"NOT FOUND")</f>
        <v>625985</v>
      </c>
      <c r="F25" s="253" t="s">
        <v>69</v>
      </c>
      <c r="G25" s="254" t="s">
        <v>69</v>
      </c>
      <c r="H25" s="254" t="s">
        <v>69</v>
      </c>
      <c r="I25" s="254" t="s">
        <v>69</v>
      </c>
      <c r="J25" s="254" t="s">
        <v>69</v>
      </c>
      <c r="K25" s="254" t="s">
        <v>69</v>
      </c>
      <c r="L25" s="255" t="s">
        <v>69</v>
      </c>
      <c r="N25">
        <f t="array" ref="N25">((SUM(IFERROR((TEXT(IF(ISNUMBER(SEARCH("-", F25:L25)), MID(F25:L25, SEARCH("-", F25:L25) + 1, 4), ""), "00\:00") - TEXT(IF(ISNUMBER(SEARCH("-", F25:L25)), MID(F25:L25, SEARCH("-", F25:L25) - 4, 4), ""), "00\:00") + IF(TEXT(IF(ISNUMBER(SEARCH("-", F25:L25)), MID(F25:L25, SEARCH("-", F25:L25) + 1, 4), ""), "00\:00") &lt; TEXT(IF(ISNUMBER(SEARCH("-", F25:L25)), MID(F25:L25, SEARCH("-", F25:L25) - 4, 4), ""), "00\:00"), 1, 0))*24,""))))/9.5</f>
        <v>0</v>
      </c>
      <c r="O25">
        <v>4</v>
      </c>
      <c r="P25" s="151">
        <f t="shared" si="11"/>
        <v>4</v>
      </c>
      <c r="R25" s="4">
        <f t="shared" ca="1" si="12"/>
        <v>8</v>
      </c>
      <c r="S25" s="2">
        <f>(IFERROR(VLOOKUP(D25,'Employee Numbers'!$A$3:$C$84,3,FALSE),"NOT FOUND"))*8</f>
        <v>8</v>
      </c>
      <c r="U25" s="142">
        <f t="shared" si="13"/>
        <v>0</v>
      </c>
      <c r="V25" s="142">
        <f t="shared" si="14"/>
        <v>0</v>
      </c>
      <c r="W25" s="2">
        <f t="shared" si="15"/>
        <v>0</v>
      </c>
      <c r="Y25" s="2">
        <f t="shared" si="16"/>
        <v>0</v>
      </c>
    </row>
    <row r="26" spans="1:25" s="2" customFormat="1" ht="15" customHeight="1">
      <c r="A26" s="2" t="s">
        <v>39</v>
      </c>
      <c r="B26" s="46"/>
      <c r="C26" s="47"/>
      <c r="D26" s="227" t="s">
        <v>52</v>
      </c>
      <c r="E26" s="226">
        <f>IFERROR(VLOOKUP(D26,'Employee Numbers'!$A$3:$B$84,2,FALSE),"NOT FOUND")</f>
        <v>632301</v>
      </c>
      <c r="F26" s="29" t="s">
        <v>44</v>
      </c>
      <c r="G26" s="31" t="s">
        <v>44</v>
      </c>
      <c r="H26" s="31" t="s">
        <v>41</v>
      </c>
      <c r="I26" s="31" t="s">
        <v>42</v>
      </c>
      <c r="J26" s="31"/>
      <c r="K26" s="31"/>
      <c r="L26" s="228"/>
      <c r="M26" s="13"/>
      <c r="N26">
        <f t="array" ref="N26">((SUM(IFERROR((TEXT(IF(ISNUMBER(SEARCH("-", F26:L26)), MID(F26:L26, SEARCH("-", F26:L26) + 1, 4), ""), "00\:00") - TEXT(IF(ISNUMBER(SEARCH("-", F26:L26)), MID(F26:L26, SEARCH("-", F26:L26) - 4, 4), ""), "00\:00") + IF(TEXT(IF(ISNUMBER(SEARCH("-", F26:L26)), MID(F26:L26, SEARCH("-", F26:L26) + 1, 4), ""), "00\:00") &lt; TEXT(IF(ISNUMBER(SEARCH("-", F26:L26)), MID(F26:L26, SEARCH("-", F26:L26) - 4, 4), ""), "00\:00"), 1, 0))*24,""))))/9.5</f>
        <v>4</v>
      </c>
      <c r="O26"/>
      <c r="P26" s="151">
        <f t="shared" si="11"/>
        <v>4</v>
      </c>
      <c r="R26" s="4">
        <f t="shared" ca="1" si="12"/>
        <v>8</v>
      </c>
      <c r="S26" s="2">
        <f>(IFERROR(VLOOKUP(D26,'Employee Numbers'!$A$3:$C$84,3,FALSE),"NOT FOUND"))*8</f>
        <v>8</v>
      </c>
      <c r="U26" s="142">
        <f t="shared" si="13"/>
        <v>2</v>
      </c>
      <c r="V26" s="142">
        <f t="shared" si="14"/>
        <v>1</v>
      </c>
      <c r="W26" s="2">
        <f t="shared" si="15"/>
        <v>1</v>
      </c>
      <c r="Y26" s="2">
        <f t="shared" si="16"/>
        <v>0</v>
      </c>
    </row>
    <row r="27" spans="1:25" s="2" customFormat="1" ht="15" customHeight="1">
      <c r="A27" s="162" t="s">
        <v>39</v>
      </c>
      <c r="B27" s="163"/>
      <c r="C27" s="238"/>
      <c r="D27" s="240" t="s">
        <v>53</v>
      </c>
      <c r="E27" s="165">
        <f>IFERROR(VLOOKUP(D27,'Employee Numbers'!$A$3:$B$84,2,FALSE),"NOT FOUND")</f>
        <v>613891</v>
      </c>
      <c r="F27" s="176" t="s">
        <v>42</v>
      </c>
      <c r="G27" s="166"/>
      <c r="H27" s="166" t="s">
        <v>41</v>
      </c>
      <c r="I27" s="166" t="s">
        <v>44</v>
      </c>
      <c r="J27" s="166"/>
      <c r="K27" s="166"/>
      <c r="L27" s="167"/>
      <c r="M27" s="13"/>
      <c r="N27">
        <f t="array" ref="N27">((SUM(IFERROR((TEXT(IF(ISNUMBER(SEARCH("-", F27:L27)), MID(F27:L27, SEARCH("-", F27:L27) + 1, 4), ""), "00\:00") - TEXT(IF(ISNUMBER(SEARCH("-", F27:L27)), MID(F27:L27, SEARCH("-", F27:L27) - 4, 4), ""), "00\:00") + IF(TEXT(IF(ISNUMBER(SEARCH("-", F27:L27)), MID(F27:L27, SEARCH("-", F27:L27) + 1, 4), ""), "00\:00") &lt; TEXT(IF(ISNUMBER(SEARCH("-", F27:L27)), MID(F27:L27, SEARCH("-", F27:L27) - 4, 4), ""), "00\:00"), 1, 0))*24,""))))/9.5</f>
        <v>3</v>
      </c>
      <c r="O27"/>
      <c r="P27" s="151">
        <f t="shared" si="11"/>
        <v>3</v>
      </c>
      <c r="R27" s="4">
        <f t="shared" ca="1" si="12"/>
        <v>6</v>
      </c>
      <c r="S27" s="2">
        <f>(IFERROR(VLOOKUP(D27,'Employee Numbers'!$A$3:$C$84,3,FALSE),"NOT FOUND"))*8</f>
        <v>6</v>
      </c>
      <c r="U27" s="142">
        <f t="shared" si="13"/>
        <v>1</v>
      </c>
      <c r="V27" s="142">
        <f t="shared" si="14"/>
        <v>1</v>
      </c>
      <c r="W27" s="2">
        <f t="shared" si="15"/>
        <v>1</v>
      </c>
      <c r="Y27" s="2">
        <f t="shared" si="16"/>
        <v>0</v>
      </c>
    </row>
    <row r="28" spans="1:25" s="2" customFormat="1" ht="15" customHeight="1">
      <c r="A28" s="2" t="s">
        <v>39</v>
      </c>
      <c r="B28" s="46"/>
      <c r="C28" s="21"/>
      <c r="D28" s="227" t="s">
        <v>55</v>
      </c>
      <c r="E28" s="226">
        <f>IFERROR(VLOOKUP(D28,'Employee Numbers'!$A$3:$B$84,2,FALSE),"NOT FOUND")</f>
        <v>623657</v>
      </c>
      <c r="F28" s="29"/>
      <c r="G28" s="31"/>
      <c r="H28" s="31"/>
      <c r="I28" s="31"/>
      <c r="J28" s="31"/>
      <c r="K28" s="31" t="s">
        <v>44</v>
      </c>
      <c r="L28" s="228" t="s">
        <v>44</v>
      </c>
      <c r="N28">
        <f t="array" ref="N28">((SUM(IFERROR((TEXT(IF(ISNUMBER(SEARCH("-", F28:L28)), MID(F28:L28, SEARCH("-", F28:L28) + 1, 4), ""), "00\:00") - TEXT(IF(ISNUMBER(SEARCH("-", F28:L28)), MID(F28:L28, SEARCH("-", F28:L28) - 4, 4), ""), "00\:00") + IF(TEXT(IF(ISNUMBER(SEARCH("-", F28:L28)), MID(F28:L28, SEARCH("-", F28:L28) + 1, 4), ""), "00\:00") &lt; TEXT(IF(ISNUMBER(SEARCH("-", F28:L28)), MID(F28:L28, SEARCH("-", F28:L28) - 4, 4), ""), "00\:00"), 1, 0))*24,""))))/9.5</f>
        <v>2</v>
      </c>
      <c r="O28"/>
      <c r="P28" s="151">
        <f t="shared" si="11"/>
        <v>2</v>
      </c>
      <c r="R28" s="4">
        <f t="shared" ca="1" si="12"/>
        <v>2</v>
      </c>
      <c r="S28" s="2">
        <f>(IFERROR(VLOOKUP(D28,'Employee Numbers'!$A$3:$C$84,3,FALSE),"NOT FOUND"))*8</f>
        <v>2</v>
      </c>
      <c r="U28" s="142">
        <f t="shared" si="13"/>
        <v>1</v>
      </c>
      <c r="V28" s="142">
        <f t="shared" si="14"/>
        <v>0</v>
      </c>
      <c r="W28" s="2">
        <f t="shared" si="15"/>
        <v>0</v>
      </c>
      <c r="Y28" s="2">
        <f t="shared" si="16"/>
        <v>2</v>
      </c>
    </row>
    <row r="29" spans="1:25" s="2" customFormat="1" ht="15" customHeight="1">
      <c r="A29" s="162" t="s">
        <v>39</v>
      </c>
      <c r="B29" s="163"/>
      <c r="C29" s="164"/>
      <c r="D29" s="240" t="s">
        <v>56</v>
      </c>
      <c r="E29" s="165">
        <f>IFERROR(VLOOKUP(D29,'Employee Numbers'!$A$3:$B$84,2,FALSE),"NOT FOUND")</f>
        <v>623708</v>
      </c>
      <c r="F29" s="253" t="s">
        <v>176</v>
      </c>
      <c r="G29" s="254" t="s">
        <v>176</v>
      </c>
      <c r="H29" s="254" t="s">
        <v>176</v>
      </c>
      <c r="I29" s="254" t="s">
        <v>176</v>
      </c>
      <c r="J29" s="254" t="s">
        <v>176</v>
      </c>
      <c r="K29" s="254" t="s">
        <v>176</v>
      </c>
      <c r="L29" s="255" t="s">
        <v>176</v>
      </c>
      <c r="N29">
        <f t="array" ref="N29">((SUM(IFERROR((TEXT(IF(ISNUMBER(SEARCH("-", F29:L29)), MID(F29:L29, SEARCH("-", F29:L29) + 1, 4), ""), "00\:00") - TEXT(IF(ISNUMBER(SEARCH("-", F29:L29)), MID(F29:L29, SEARCH("-", F29:L29) - 4, 4), ""), "00\:00") + IF(TEXT(IF(ISNUMBER(SEARCH("-", F29:L29)), MID(F29:L29, SEARCH("-", F29:L29) + 1, 4), ""), "00\:00") &lt; TEXT(IF(ISNUMBER(SEARCH("-", F29:L29)), MID(F29:L29, SEARCH("-", F29:L29) - 4, 4), ""), "00\:00"), 1, 0))*24,""))))/9.5</f>
        <v>0</v>
      </c>
      <c r="O29">
        <v>3</v>
      </c>
      <c r="P29" s="151">
        <f t="shared" si="11"/>
        <v>3</v>
      </c>
      <c r="R29" s="4">
        <f t="shared" ca="1" si="12"/>
        <v>6</v>
      </c>
      <c r="S29" s="2">
        <f>(IFERROR(VLOOKUP(D29,'Employee Numbers'!$A$3:$C$84,3,FALSE),"NOT FOUND"))*8</f>
        <v>6</v>
      </c>
      <c r="U29" s="142">
        <f t="shared" si="13"/>
        <v>0</v>
      </c>
      <c r="V29" s="142">
        <f t="shared" si="14"/>
        <v>0</v>
      </c>
      <c r="W29" s="2">
        <f t="shared" si="15"/>
        <v>0</v>
      </c>
      <c r="Y29" s="2">
        <f t="shared" si="16"/>
        <v>0</v>
      </c>
    </row>
    <row r="30" spans="1:25" s="2" customFormat="1" ht="15" customHeight="1">
      <c r="A30" s="2" t="s">
        <v>39</v>
      </c>
      <c r="B30" s="46"/>
      <c r="C30" s="21"/>
      <c r="D30" s="227" t="s">
        <v>57</v>
      </c>
      <c r="E30" s="226">
        <f>IFERROR(VLOOKUP(D30,'Employee Numbers'!$A$3:$B$84,2,FALSE),"NOT FOUND")</f>
        <v>627680</v>
      </c>
      <c r="F30" s="250" t="s">
        <v>176</v>
      </c>
      <c r="G30" s="251" t="s">
        <v>176</v>
      </c>
      <c r="H30" s="251" t="s">
        <v>176</v>
      </c>
      <c r="I30" s="251" t="s">
        <v>176</v>
      </c>
      <c r="J30" s="251" t="s">
        <v>176</v>
      </c>
      <c r="K30" s="251" t="s">
        <v>176</v>
      </c>
      <c r="L30" s="252" t="s">
        <v>176</v>
      </c>
      <c r="N30">
        <f t="array" ref="N30">((SUM(IFERROR((TEXT(IF(ISNUMBER(SEARCH("-", F30:L30)), MID(F30:L30, SEARCH("-", F30:L30) + 1, 4), ""), "00\:00") - TEXT(IF(ISNUMBER(SEARCH("-", F30:L30)), MID(F30:L30, SEARCH("-", F30:L30) - 4, 4), ""), "00\:00") + IF(TEXT(IF(ISNUMBER(SEARCH("-", F30:L30)), MID(F30:L30, SEARCH("-", F30:L30) + 1, 4), ""), "00\:00") &lt; TEXT(IF(ISNUMBER(SEARCH("-", F30:L30)), MID(F30:L30, SEARCH("-", F30:L30) - 4, 4), ""), "00\:00"), 1, 0))*24,""))))/9.5</f>
        <v>0</v>
      </c>
      <c r="O30">
        <v>3</v>
      </c>
      <c r="P30" s="151">
        <f t="shared" si="11"/>
        <v>3</v>
      </c>
      <c r="R30" s="4">
        <f t="shared" ca="1" si="12"/>
        <v>6</v>
      </c>
      <c r="S30" s="2">
        <f>(IFERROR(VLOOKUP(D30,'Employee Numbers'!$A$3:$C$84,3,FALSE),"NOT FOUND"))*8</f>
        <v>6</v>
      </c>
      <c r="U30" s="142">
        <f t="shared" si="13"/>
        <v>0</v>
      </c>
      <c r="V30" s="142">
        <f t="shared" si="14"/>
        <v>0</v>
      </c>
      <c r="W30" s="2">
        <f t="shared" si="15"/>
        <v>0</v>
      </c>
      <c r="Y30" s="2">
        <f t="shared" si="16"/>
        <v>0</v>
      </c>
    </row>
    <row r="31" spans="1:25" s="2" customFormat="1" ht="15" customHeight="1">
      <c r="A31" s="162" t="s">
        <v>39</v>
      </c>
      <c r="B31" s="163"/>
      <c r="C31" s="164"/>
      <c r="D31" s="240" t="s">
        <v>58</v>
      </c>
      <c r="E31" s="165">
        <f>IFERROR(VLOOKUP(D31,'Employee Numbers'!$A$3:$B$84,2,FALSE),"NOT FOUND")</f>
        <v>633210</v>
      </c>
      <c r="F31" s="176" t="s">
        <v>42</v>
      </c>
      <c r="G31" s="166" t="s">
        <v>41</v>
      </c>
      <c r="H31" s="166"/>
      <c r="I31" s="166" t="s">
        <v>44</v>
      </c>
      <c r="J31" s="166"/>
      <c r="K31" s="166"/>
      <c r="L31" s="167"/>
      <c r="N31">
        <f t="array" ref="N31">((SUM(IFERROR((TEXT(IF(ISNUMBER(SEARCH("-", F31:L31)), MID(F31:L31, SEARCH("-", F31:L31) + 1, 4), ""), "00\:00") - TEXT(IF(ISNUMBER(SEARCH("-", F31:L31)), MID(F31:L31, SEARCH("-", F31:L31) - 4, 4), ""), "00\:00") + IF(TEXT(IF(ISNUMBER(SEARCH("-", F31:L31)), MID(F31:L31, SEARCH("-", F31:L31) + 1, 4), ""), "00\:00") &lt; TEXT(IF(ISNUMBER(SEARCH("-", F31:L31)), MID(F31:L31, SEARCH("-", F31:L31) - 4, 4), ""), "00\:00"), 1, 0))*24,""))))/9.5</f>
        <v>3</v>
      </c>
      <c r="O31"/>
      <c r="P31" s="151">
        <f t="shared" si="11"/>
        <v>3</v>
      </c>
      <c r="R31" s="4">
        <f t="shared" ca="1" si="12"/>
        <v>6</v>
      </c>
      <c r="S31" s="2">
        <f>(IFERROR(VLOOKUP(D31,'Employee Numbers'!$A$3:$C$84,3,FALSE),"NOT FOUND"))*8</f>
        <v>6</v>
      </c>
      <c r="U31" s="142">
        <f t="shared" si="13"/>
        <v>1</v>
      </c>
      <c r="V31" s="142">
        <f t="shared" si="14"/>
        <v>1</v>
      </c>
      <c r="W31" s="2">
        <f t="shared" si="15"/>
        <v>1</v>
      </c>
      <c r="Y31" s="2">
        <f t="shared" si="16"/>
        <v>0</v>
      </c>
    </row>
    <row r="32" spans="1:25" s="2" customFormat="1" ht="15" customHeight="1">
      <c r="A32" s="2" t="s">
        <v>39</v>
      </c>
      <c r="B32" s="46"/>
      <c r="C32" s="21"/>
      <c r="D32" s="230" t="s">
        <v>59</v>
      </c>
      <c r="E32" s="226">
        <f>IFERROR(VLOOKUP(D32,'Employee Numbers'!$A$3:$B$84,2,FALSE),"NOT FOUND")</f>
        <v>618952</v>
      </c>
      <c r="F32" s="29"/>
      <c r="G32" s="31" t="s">
        <v>44</v>
      </c>
      <c r="H32" s="31"/>
      <c r="I32" s="31"/>
      <c r="J32" s="31"/>
      <c r="K32" s="31" t="s">
        <v>44</v>
      </c>
      <c r="L32" s="228" t="s">
        <v>44</v>
      </c>
      <c r="N32">
        <f t="array" ref="N32">((SUM(IFERROR((TEXT(IF(ISNUMBER(SEARCH("-", F32:L32)), MID(F32:L32, SEARCH("-", F32:L32) + 1, 4), ""), "00\:00") - TEXT(IF(ISNUMBER(SEARCH("-", F32:L32)), MID(F32:L32, SEARCH("-", F32:L32) - 4, 4), ""), "00\:00") + IF(TEXT(IF(ISNUMBER(SEARCH("-", F32:L32)), MID(F32:L32, SEARCH("-", F32:L32) + 1, 4), ""), "00\:00") &lt; TEXT(IF(ISNUMBER(SEARCH("-", F32:L32)), MID(F32:L32, SEARCH("-", F32:L32) - 4, 4), ""), "00\:00"), 1, 0))*24,""))))/9.5</f>
        <v>3</v>
      </c>
      <c r="O32"/>
      <c r="P32" s="151">
        <f t="shared" si="11"/>
        <v>3</v>
      </c>
      <c r="R32" s="4">
        <f t="shared" ca="1" si="12"/>
        <v>6</v>
      </c>
      <c r="S32" s="2">
        <f>(IFERROR(VLOOKUP(D32,'Employee Numbers'!$A$3:$C$84,3,FALSE),"NOT FOUND"))*8</f>
        <v>6</v>
      </c>
      <c r="U32" s="142">
        <f t="shared" si="13"/>
        <v>2</v>
      </c>
      <c r="V32" s="142">
        <f t="shared" si="14"/>
        <v>0</v>
      </c>
      <c r="W32" s="2">
        <f t="shared" si="15"/>
        <v>0</v>
      </c>
      <c r="Y32" s="2">
        <f t="shared" si="16"/>
        <v>2</v>
      </c>
    </row>
    <row r="33" spans="1:25" s="2" customFormat="1" ht="15" customHeight="1">
      <c r="A33" s="162" t="s">
        <v>39</v>
      </c>
      <c r="B33" s="163"/>
      <c r="C33" s="164"/>
      <c r="D33" s="241" t="s">
        <v>61</v>
      </c>
      <c r="E33" s="165">
        <f>IFERROR(VLOOKUP(D33,'Employee Numbers'!$A$3:$B$84,2,FALSE),"NOT FOUND")</f>
        <v>649039</v>
      </c>
      <c r="F33" s="253" t="s">
        <v>176</v>
      </c>
      <c r="G33" s="254" t="s">
        <v>176</v>
      </c>
      <c r="H33" s="254" t="s">
        <v>176</v>
      </c>
      <c r="I33" s="254" t="s">
        <v>176</v>
      </c>
      <c r="J33" s="254" t="s">
        <v>176</v>
      </c>
      <c r="K33" s="254" t="s">
        <v>176</v>
      </c>
      <c r="L33" s="255" t="s">
        <v>176</v>
      </c>
      <c r="N33">
        <f t="array" ref="N33">((SUM(IFERROR((TEXT(IF(ISNUMBER(SEARCH("-", F33:L33)), MID(F33:L33, SEARCH("-", F33:L33) + 1, 4), ""), "00\:00") - TEXT(IF(ISNUMBER(SEARCH("-", F33:L33)), MID(F33:L33, SEARCH("-", F33:L33) - 4, 4), ""), "00\:00") + IF(TEXT(IF(ISNUMBER(SEARCH("-", F33:L33)), MID(F33:L33, SEARCH("-", F33:L33) + 1, 4), ""), "00\:00") &lt; TEXT(IF(ISNUMBER(SEARCH("-", F33:L33)), MID(F33:L33, SEARCH("-", F33:L33) - 4, 4), ""), "00\:00"), 1, 0))*24,""))))/9.5</f>
        <v>0</v>
      </c>
      <c r="O33">
        <v>2</v>
      </c>
      <c r="P33" s="151">
        <f t="shared" si="11"/>
        <v>2</v>
      </c>
      <c r="R33" s="4">
        <f t="shared" ca="1" si="12"/>
        <v>5</v>
      </c>
      <c r="S33" s="2">
        <f>(IFERROR(VLOOKUP(D33,'Employee Numbers'!$A$3:$C$84,3,FALSE),"NOT FOUND"))*8</f>
        <v>5</v>
      </c>
      <c r="U33" s="142">
        <f t="shared" si="13"/>
        <v>0</v>
      </c>
      <c r="V33" s="142">
        <f t="shared" si="14"/>
        <v>0</v>
      </c>
      <c r="W33" s="2">
        <f t="shared" si="15"/>
        <v>0</v>
      </c>
      <c r="Y33" s="2">
        <f t="shared" si="16"/>
        <v>0</v>
      </c>
    </row>
    <row r="34" spans="1:25" s="2" customFormat="1" ht="15" customHeight="1">
      <c r="A34" s="2" t="s">
        <v>39</v>
      </c>
      <c r="B34" s="46"/>
      <c r="C34" s="21"/>
      <c r="D34" s="227" t="s">
        <v>62</v>
      </c>
      <c r="E34" s="226">
        <f>IFERROR(VLOOKUP(D34,'Employee Numbers'!$A$3:$B$84,2,FALSE),"NOT FOUND")</f>
        <v>649671</v>
      </c>
      <c r="F34" s="29"/>
      <c r="G34" s="31" t="s">
        <v>44</v>
      </c>
      <c r="H34" s="31" t="s">
        <v>42</v>
      </c>
      <c r="I34" s="29" t="s">
        <v>63</v>
      </c>
      <c r="J34" s="31"/>
      <c r="K34" s="31"/>
      <c r="L34" s="228"/>
      <c r="N34">
        <f t="array" ref="N34">((SUM(IFERROR((TEXT(IF(ISNUMBER(SEARCH("-", F34:L34)), MID(F34:L34, SEARCH("-", F34:L34) + 1, 4), ""), "00\:00") - TEXT(IF(ISNUMBER(SEARCH("-", F34:L34)), MID(F34:L34, SEARCH("-", F34:L34) - 4, 4), ""), "00\:00") + IF(TEXT(IF(ISNUMBER(SEARCH("-", F34:L34)), MID(F34:L34, SEARCH("-", F34:L34) + 1, 4), ""), "00\:00") &lt; TEXT(IF(ISNUMBER(SEARCH("-", F34:L34)), MID(F34:L34, SEARCH("-", F34:L34) - 4, 4), ""), "00\:00"), 1, 0))*24,""))))/9.5</f>
        <v>3</v>
      </c>
      <c r="O34"/>
      <c r="P34" s="151">
        <f t="shared" si="11"/>
        <v>3</v>
      </c>
      <c r="R34" s="4">
        <f t="shared" ca="1" si="12"/>
        <v>6</v>
      </c>
      <c r="S34" s="2">
        <f>(IFERROR(VLOOKUP(D34,'Employee Numbers'!$A$3:$C$84,3,FALSE),"NOT FOUND"))*8</f>
        <v>6</v>
      </c>
      <c r="U34" s="142">
        <f t="shared" si="13"/>
        <v>1</v>
      </c>
      <c r="V34" s="142">
        <f t="shared" si="14"/>
        <v>1</v>
      </c>
      <c r="W34" s="2">
        <f t="shared" si="15"/>
        <v>1</v>
      </c>
      <c r="Y34" s="2">
        <f t="shared" si="16"/>
        <v>0</v>
      </c>
    </row>
    <row r="35" spans="1:25" s="2" customFormat="1" ht="15" customHeight="1">
      <c r="A35" s="162" t="s">
        <v>39</v>
      </c>
      <c r="B35" s="163"/>
      <c r="C35" s="164"/>
      <c r="D35" s="240" t="s">
        <v>64</v>
      </c>
      <c r="E35" s="165">
        <f>IFERROR(VLOOKUP(D35,'Employee Numbers'!$A$3:$B$84,2,FALSE),"NOT FOUND")</f>
        <v>646047</v>
      </c>
      <c r="F35" s="176"/>
      <c r="G35" s="166"/>
      <c r="H35" s="166" t="s">
        <v>44</v>
      </c>
      <c r="I35" s="166" t="s">
        <v>42</v>
      </c>
      <c r="J35" s="166"/>
      <c r="K35" s="166" t="s">
        <v>54</v>
      </c>
      <c r="L35" s="167"/>
      <c r="N35">
        <f t="array" ref="N35">((SUM(IFERROR((TEXT(IF(ISNUMBER(SEARCH("-", F35:L35)), MID(F35:L35, SEARCH("-", F35:L35) + 1, 4), ""), "00\:00") - TEXT(IF(ISNUMBER(SEARCH("-", F35:L35)), MID(F35:L35, SEARCH("-", F35:L35) - 4, 4), ""), "00\:00") + IF(TEXT(IF(ISNUMBER(SEARCH("-", F35:L35)), MID(F35:L35, SEARCH("-", F35:L35) + 1, 4), ""), "00\:00") &lt; TEXT(IF(ISNUMBER(SEARCH("-", F35:L35)), MID(F35:L35, SEARCH("-", F35:L35) - 4, 4), ""), "00\:00"), 1, 0))*24,""))))/9.5</f>
        <v>3</v>
      </c>
      <c r="O35"/>
      <c r="P35" s="151">
        <f t="shared" si="11"/>
        <v>3</v>
      </c>
      <c r="R35" s="4">
        <f t="shared" ca="1" si="12"/>
        <v>6</v>
      </c>
      <c r="S35" s="2">
        <f>(IFERROR(VLOOKUP(D35,'Employee Numbers'!$A$3:$C$84,3,FALSE),"NOT FOUND"))*8</f>
        <v>5</v>
      </c>
      <c r="U35" s="142">
        <f t="shared" si="13"/>
        <v>1</v>
      </c>
      <c r="V35" s="142">
        <f t="shared" si="14"/>
        <v>2</v>
      </c>
      <c r="W35" s="2">
        <f t="shared" si="15"/>
        <v>0</v>
      </c>
      <c r="Y35" s="2">
        <f t="shared" si="16"/>
        <v>1</v>
      </c>
    </row>
    <row r="36" spans="1:25" s="2" customFormat="1" ht="15" customHeight="1">
      <c r="A36" s="2" t="s">
        <v>39</v>
      </c>
      <c r="B36" s="46"/>
      <c r="C36" s="21"/>
      <c r="D36" s="229" t="s">
        <v>66</v>
      </c>
      <c r="E36" s="226">
        <f>IFERROR(VLOOKUP(D36,'Employee Numbers'!$A$3:$B$84,2,FALSE),"NOT FOUND")</f>
        <v>164003</v>
      </c>
      <c r="F36" s="29"/>
      <c r="G36" s="31" t="s">
        <v>42</v>
      </c>
      <c r="H36" s="31"/>
      <c r="I36" s="31"/>
      <c r="J36" s="31" t="s">
        <v>44</v>
      </c>
      <c r="K36" s="31"/>
      <c r="L36" s="228"/>
      <c r="N36">
        <f t="array" ref="N36">((SUM(IFERROR((TEXT(IF(ISNUMBER(SEARCH("-", F36:L36)), MID(F36:L36, SEARCH("-", F36:L36) + 1, 4), ""), "00\:00") - TEXT(IF(ISNUMBER(SEARCH("-", F36:L36)), MID(F36:L36, SEARCH("-", F36:L36) - 4, 4), ""), "00\:00") + IF(TEXT(IF(ISNUMBER(SEARCH("-", F36:L36)), MID(F36:L36, SEARCH("-", F36:L36) + 1, 4), ""), "00\:00") &lt; TEXT(IF(ISNUMBER(SEARCH("-", F36:L36)), MID(F36:L36, SEARCH("-", F36:L36) - 4, 4), ""), "00\:00"), 1, 0))*24,""))))/9.5</f>
        <v>2</v>
      </c>
      <c r="O36"/>
      <c r="P36" s="151">
        <f t="shared" si="11"/>
        <v>2</v>
      </c>
      <c r="R36" s="4">
        <f t="shared" ca="1" si="12"/>
        <v>4</v>
      </c>
      <c r="S36" s="2">
        <f>(IFERROR(VLOOKUP(D36,'Employee Numbers'!$A$3:$C$84,3,FALSE),"NOT FOUND"))*8</f>
        <v>4</v>
      </c>
      <c r="U36" s="142">
        <f t="shared" si="13"/>
        <v>1</v>
      </c>
      <c r="V36" s="142">
        <f t="shared" si="14"/>
        <v>1</v>
      </c>
      <c r="W36" s="2">
        <f t="shared" si="15"/>
        <v>0</v>
      </c>
      <c r="Y36" s="2">
        <f t="shared" si="16"/>
        <v>0</v>
      </c>
    </row>
    <row r="37" spans="1:25" s="2" customFormat="1" ht="15" customHeight="1">
      <c r="A37" s="162" t="s">
        <v>39</v>
      </c>
      <c r="B37" s="163"/>
      <c r="C37" s="164"/>
      <c r="D37" s="240" t="s">
        <v>67</v>
      </c>
      <c r="E37" s="165">
        <f>IFERROR(VLOOKUP(D37,'Employee Numbers'!$A$3:$B$84,2,FALSE),"NOT FOUND")</f>
        <v>609408</v>
      </c>
      <c r="F37" s="176"/>
      <c r="G37" s="166"/>
      <c r="H37" s="166"/>
      <c r="I37" s="166"/>
      <c r="J37" s="166"/>
      <c r="K37" s="166"/>
      <c r="L37" s="167"/>
      <c r="N37">
        <f t="array" ref="N37">((SUM(IFERROR((TEXT(IF(ISNUMBER(SEARCH("-", F37:L37)), MID(F37:L37, SEARCH("-", F37:L37) + 1, 4), ""), "00\:00") - TEXT(IF(ISNUMBER(SEARCH("-", F37:L37)), MID(F37:L37, SEARCH("-", F37:L37) - 4, 4), ""), "00\:00") + IF(TEXT(IF(ISNUMBER(SEARCH("-", F37:L37)), MID(F37:L37, SEARCH("-", F37:L37) + 1, 4), ""), "00\:00") &lt; TEXT(IF(ISNUMBER(SEARCH("-", F37:L37)), MID(F37:L37, SEARCH("-", F37:L37) - 4, 4), ""), "00\:00"), 1, 0))*24,""))))/9.5</f>
        <v>0</v>
      </c>
      <c r="O37"/>
      <c r="P37" s="151">
        <f t="shared" si="11"/>
        <v>0</v>
      </c>
      <c r="R37" s="4">
        <f t="shared" ca="1" si="12"/>
        <v>4</v>
      </c>
      <c r="S37" s="2">
        <f>(IFERROR(VLOOKUP(D37,'Employee Numbers'!$A$3:$C$84,3,FALSE),"NOT FOUND"))*8</f>
        <v>4</v>
      </c>
      <c r="U37" s="142">
        <f t="shared" si="13"/>
        <v>0</v>
      </c>
      <c r="V37" s="142">
        <f t="shared" si="14"/>
        <v>0</v>
      </c>
      <c r="W37" s="2">
        <f t="shared" si="15"/>
        <v>0</v>
      </c>
      <c r="Y37" s="2">
        <f t="shared" si="16"/>
        <v>0</v>
      </c>
    </row>
    <row r="38" spans="1:25" s="2" customFormat="1" ht="15" customHeight="1">
      <c r="A38" s="2" t="s">
        <v>39</v>
      </c>
      <c r="B38" s="46"/>
      <c r="C38" s="21"/>
      <c r="D38" s="227" t="s">
        <v>68</v>
      </c>
      <c r="E38" s="226">
        <f>IFERROR(VLOOKUP(D38,'Employee Numbers'!$A$3:$B$84,2,FALSE),"NOT FOUND")</f>
        <v>627619</v>
      </c>
      <c r="F38" s="29"/>
      <c r="G38" s="31"/>
      <c r="H38" s="31" t="s">
        <v>42</v>
      </c>
      <c r="I38" s="31" t="s">
        <v>41</v>
      </c>
      <c r="J38" s="31"/>
      <c r="K38" s="31"/>
      <c r="L38" s="228"/>
      <c r="N38">
        <f t="array" ref="N38">((SUM(IFERROR((TEXT(IF(ISNUMBER(SEARCH("-", F38:L38)), MID(F38:L38, SEARCH("-", F38:L38) + 1, 4), ""), "00\:00") - TEXT(IF(ISNUMBER(SEARCH("-", F38:L38)), MID(F38:L38, SEARCH("-", F38:L38) - 4, 4), ""), "00\:00") + IF(TEXT(IF(ISNUMBER(SEARCH("-", F38:L38)), MID(F38:L38, SEARCH("-", F38:L38) + 1, 4), ""), "00\:00") &lt; TEXT(IF(ISNUMBER(SEARCH("-", F38:L38)), MID(F38:L38, SEARCH("-", F38:L38) - 4, 4), ""), "00\:00"), 1, 0))*24,""))))/9.5</f>
        <v>2</v>
      </c>
      <c r="O38"/>
      <c r="P38" s="151">
        <f t="shared" si="11"/>
        <v>2</v>
      </c>
      <c r="R38" s="4">
        <f t="shared" ca="1" si="12"/>
        <v>4</v>
      </c>
      <c r="S38" s="2">
        <f>(IFERROR(VLOOKUP(D38,'Employee Numbers'!$A$3:$C$84,3,FALSE),"NOT FOUND"))*8</f>
        <v>4</v>
      </c>
      <c r="U38" s="142">
        <f t="shared" si="13"/>
        <v>0</v>
      </c>
      <c r="V38" s="142">
        <f t="shared" si="14"/>
        <v>1</v>
      </c>
      <c r="W38" s="2">
        <f t="shared" si="15"/>
        <v>1</v>
      </c>
      <c r="Y38" s="2">
        <f t="shared" si="16"/>
        <v>0</v>
      </c>
    </row>
    <row r="39" spans="1:25" s="2" customFormat="1" ht="15" customHeight="1">
      <c r="A39" s="162" t="s">
        <v>39</v>
      </c>
      <c r="B39" s="163"/>
      <c r="C39" s="164"/>
      <c r="D39" s="240" t="s">
        <v>71</v>
      </c>
      <c r="E39" s="165">
        <f>IFERROR(VLOOKUP(D39,'Employee Numbers'!$A$3:$B$84,2,FALSE),"NOT FOUND")</f>
        <v>632646</v>
      </c>
      <c r="F39" s="176" t="s">
        <v>63</v>
      </c>
      <c r="G39" s="166"/>
      <c r="H39" s="166" t="s">
        <v>44</v>
      </c>
      <c r="I39" s="166"/>
      <c r="J39" s="166" t="s">
        <v>44</v>
      </c>
      <c r="K39" s="166"/>
      <c r="L39" s="167" t="s">
        <v>54</v>
      </c>
      <c r="N39">
        <f t="array" ref="N39">((SUM(IFERROR((TEXT(IF(ISNUMBER(SEARCH("-", F39:L39)), MID(F39:L39, SEARCH("-", F39:L39) + 1, 4), ""), "00\:00") - TEXT(IF(ISNUMBER(SEARCH("-", F39:L39)), MID(F39:L39, SEARCH("-", F39:L39) - 4, 4), ""), "00\:00") + IF(TEXT(IF(ISNUMBER(SEARCH("-", F39:L39)), MID(F39:L39, SEARCH("-", F39:L39) + 1, 4), ""), "00\:00") &lt; TEXT(IF(ISNUMBER(SEARCH("-", F39:L39)), MID(F39:L39, SEARCH("-", F39:L39) - 4, 4), ""), "00\:00"), 1, 0))*24,""))))/9.5</f>
        <v>4</v>
      </c>
      <c r="O39"/>
      <c r="P39" s="151">
        <f t="shared" si="11"/>
        <v>4</v>
      </c>
      <c r="R39" s="4">
        <f t="shared" ca="1" si="12"/>
        <v>4</v>
      </c>
      <c r="S39" s="2">
        <f>(IFERROR(VLOOKUP(D39,'Employee Numbers'!$A$3:$C$84,3,FALSE),"NOT FOUND"))*8</f>
        <v>4</v>
      </c>
      <c r="U39" s="142">
        <f t="shared" si="13"/>
        <v>2</v>
      </c>
      <c r="V39" s="142">
        <f t="shared" si="14"/>
        <v>1</v>
      </c>
      <c r="W39" s="2">
        <f t="shared" si="15"/>
        <v>1</v>
      </c>
      <c r="Y39" s="2">
        <f t="shared" si="16"/>
        <v>1</v>
      </c>
    </row>
    <row r="40" spans="1:25" s="2" customFormat="1" ht="15" customHeight="1">
      <c r="A40" s="2" t="s">
        <v>39</v>
      </c>
      <c r="B40" s="46"/>
      <c r="C40" s="21"/>
      <c r="D40" s="229" t="s">
        <v>72</v>
      </c>
      <c r="E40" s="226">
        <f>IFERROR(VLOOKUP(D40,'Employee Numbers'!$A$3:$B$84,2,FALSE),"NOT FOUND")</f>
        <v>652844</v>
      </c>
      <c r="F40" s="250" t="s">
        <v>69</v>
      </c>
      <c r="G40" s="251" t="s">
        <v>69</v>
      </c>
      <c r="H40" s="251" t="s">
        <v>69</v>
      </c>
      <c r="I40" s="251" t="s">
        <v>69</v>
      </c>
      <c r="J40" s="251" t="s">
        <v>69</v>
      </c>
      <c r="K40" s="251" t="s">
        <v>69</v>
      </c>
      <c r="L40" s="252" t="s">
        <v>69</v>
      </c>
      <c r="N40">
        <f t="array" ref="N40">((SUM(IFERROR((TEXT(IF(ISNUMBER(SEARCH("-", F40:L40)), MID(F40:L40, SEARCH("-", F40:L40) + 1, 4), ""), "00\:00") - TEXT(IF(ISNUMBER(SEARCH("-", F40:L40)), MID(F40:L40, SEARCH("-", F40:L40) - 4, 4), ""), "00\:00") + IF(TEXT(IF(ISNUMBER(SEARCH("-", F40:L40)), MID(F40:L40, SEARCH("-", F40:L40) + 1, 4), ""), "00\:00") &lt; TEXT(IF(ISNUMBER(SEARCH("-", F40:L40)), MID(F40:L40, SEARCH("-", F40:L40) - 4, 4), ""), "00\:00"), 1, 0))*24,""))))/9.5</f>
        <v>0</v>
      </c>
      <c r="O40">
        <v>0</v>
      </c>
      <c r="P40" s="151">
        <f t="shared" si="11"/>
        <v>0</v>
      </c>
      <c r="R40" s="4">
        <f t="shared" ca="1" si="12"/>
        <v>4</v>
      </c>
      <c r="S40" s="2">
        <f>(IFERROR(VLOOKUP(D40,'Employee Numbers'!$A$3:$C$84,3,FALSE),"NOT FOUND"))*8</f>
        <v>4</v>
      </c>
      <c r="U40" s="142">
        <f t="shared" si="13"/>
        <v>0</v>
      </c>
      <c r="V40" s="142">
        <f t="shared" si="14"/>
        <v>0</v>
      </c>
      <c r="W40" s="2">
        <f t="shared" si="15"/>
        <v>0</v>
      </c>
      <c r="Y40" s="2">
        <f t="shared" si="16"/>
        <v>0</v>
      </c>
    </row>
    <row r="41" spans="1:25" s="2" customFormat="1" ht="15" customHeight="1">
      <c r="A41" s="162" t="s">
        <v>39</v>
      </c>
      <c r="B41" s="163"/>
      <c r="C41" s="164"/>
      <c r="D41" s="241" t="s">
        <v>73</v>
      </c>
      <c r="E41" s="165">
        <f>IFERROR(VLOOKUP(D41,'Employee Numbers'!$A$3:$B$84,2,FALSE),"NOT FOUND")</f>
        <v>634491</v>
      </c>
      <c r="F41" s="253"/>
      <c r="G41" s="254"/>
      <c r="H41" s="254"/>
      <c r="I41" s="254"/>
      <c r="J41" s="254"/>
      <c r="K41" s="254"/>
      <c r="L41" s="255"/>
      <c r="N41">
        <f t="array" ref="N41">((SUM(IFERROR((TEXT(IF(ISNUMBER(SEARCH("-", F41:L41)), MID(F41:L41, SEARCH("-", F41:L41) + 1, 4), ""), "00\:00") - TEXT(IF(ISNUMBER(SEARCH("-", F41:L41)), MID(F41:L41, SEARCH("-", F41:L41) - 4, 4), ""), "00\:00") + IF(TEXT(IF(ISNUMBER(SEARCH("-", F41:L41)), MID(F41:L41, SEARCH("-", F41:L41) + 1, 4), ""), "00\:00") &lt; TEXT(IF(ISNUMBER(SEARCH("-", F41:L41)), MID(F41:L41, SEARCH("-", F41:L41) - 4, 4), ""), "00\:00"), 1, 0))*24,""))))/9.5</f>
        <v>0</v>
      </c>
      <c r="O41"/>
      <c r="P41" s="151">
        <f t="shared" si="11"/>
        <v>0</v>
      </c>
      <c r="R41" s="4">
        <f t="shared" ca="1" si="12"/>
        <v>4</v>
      </c>
      <c r="S41" s="2">
        <f>(IFERROR(VLOOKUP(D41,'Employee Numbers'!$A$3:$C$84,3,FALSE),"NOT FOUND"))*8</f>
        <v>4</v>
      </c>
      <c r="U41" s="142">
        <f t="shared" si="13"/>
        <v>0</v>
      </c>
      <c r="V41" s="142">
        <f t="shared" si="14"/>
        <v>0</v>
      </c>
      <c r="W41" s="2">
        <f t="shared" si="15"/>
        <v>0</v>
      </c>
      <c r="Y41" s="2">
        <f t="shared" si="16"/>
        <v>0</v>
      </c>
    </row>
    <row r="42" spans="1:25" s="2" customFormat="1" ht="15" customHeight="1">
      <c r="A42" s="2" t="s">
        <v>39</v>
      </c>
      <c r="B42" s="46"/>
      <c r="C42" s="47"/>
      <c r="D42" s="227" t="s">
        <v>74</v>
      </c>
      <c r="E42" s="226">
        <f>IFERROR(VLOOKUP(D42,'Employee Numbers'!$A$3:$B$84,2,FALSE),"NOT FOUND")</f>
        <v>621988</v>
      </c>
      <c r="F42" s="250" t="s">
        <v>75</v>
      </c>
      <c r="G42" s="251" t="s">
        <v>75</v>
      </c>
      <c r="H42" s="251" t="s">
        <v>75</v>
      </c>
      <c r="I42" s="251" t="s">
        <v>75</v>
      </c>
      <c r="J42" s="251" t="s">
        <v>75</v>
      </c>
      <c r="K42" s="251" t="s">
        <v>75</v>
      </c>
      <c r="L42" s="252" t="s">
        <v>75</v>
      </c>
      <c r="N42">
        <f t="array" ref="N42">((SUM(IFERROR((TEXT(IF(ISNUMBER(SEARCH("-", F42:L42)), MID(F42:L42, SEARCH("-", F42:L42) + 1, 4), ""), "00\:00") - TEXT(IF(ISNUMBER(SEARCH("-", F42:L42)), MID(F42:L42, SEARCH("-", F42:L42) - 4, 4), ""), "00\:00") + IF(TEXT(IF(ISNUMBER(SEARCH("-", F42:L42)), MID(F42:L42, SEARCH("-", F42:L42) + 1, 4), ""), "00\:00") &lt; TEXT(IF(ISNUMBER(SEARCH("-", F42:L42)), MID(F42:L42, SEARCH("-", F42:L42) - 4, 4), ""), "00\:00"), 1, 0))*24,""))))/9.5</f>
        <v>0</v>
      </c>
      <c r="O42"/>
      <c r="P42" s="151">
        <f t="shared" si="11"/>
        <v>0</v>
      </c>
      <c r="R42" s="4">
        <f t="shared" ca="1" si="12"/>
        <v>4</v>
      </c>
      <c r="S42" s="2">
        <f>(IFERROR(VLOOKUP(D42,'Employee Numbers'!$A$3:$C$84,3,FALSE),"NOT FOUND"))*8</f>
        <v>4</v>
      </c>
      <c r="U42" s="142">
        <f t="shared" si="13"/>
        <v>0</v>
      </c>
      <c r="V42" s="142">
        <f t="shared" si="14"/>
        <v>0</v>
      </c>
      <c r="W42" s="2">
        <f t="shared" si="15"/>
        <v>0</v>
      </c>
      <c r="Y42" s="2">
        <f t="shared" si="16"/>
        <v>0</v>
      </c>
    </row>
    <row r="43" spans="1:25" s="2" customFormat="1" ht="15" customHeight="1">
      <c r="A43" s="162" t="s">
        <v>39</v>
      </c>
      <c r="B43" s="163"/>
      <c r="C43" s="238"/>
      <c r="D43" s="239" t="s">
        <v>76</v>
      </c>
      <c r="E43" s="165">
        <f>IFERROR(VLOOKUP(D43,'Employee Numbers'!$A$3:$B$84,2,FALSE),"NOT FOUND")</f>
        <v>409677</v>
      </c>
      <c r="F43" s="176" t="s">
        <v>44</v>
      </c>
      <c r="G43" s="166"/>
      <c r="H43" s="166"/>
      <c r="I43" s="166"/>
      <c r="J43" s="166"/>
      <c r="K43" s="166"/>
      <c r="L43" s="167"/>
      <c r="N43">
        <f t="array" ref="N43">((SUM(IFERROR((TEXT(IF(ISNUMBER(SEARCH("-", F43:L43)), MID(F43:L43, SEARCH("-", F43:L43) + 1, 4), ""), "00\:00") - TEXT(IF(ISNUMBER(SEARCH("-", F43:L43)), MID(F43:L43, SEARCH("-", F43:L43) - 4, 4), ""), "00\:00") + IF(TEXT(IF(ISNUMBER(SEARCH("-", F43:L43)), MID(F43:L43, SEARCH("-", F43:L43) + 1, 4), ""), "00\:00") &lt; TEXT(IF(ISNUMBER(SEARCH("-", F43:L43)), MID(F43:L43, SEARCH("-", F43:L43) - 4, 4), ""), "00\:00"), 1, 0))*24,""))))/9.5</f>
        <v>1</v>
      </c>
      <c r="O43"/>
      <c r="P43" s="151">
        <f t="shared" si="11"/>
        <v>1</v>
      </c>
      <c r="R43" s="4">
        <f t="shared" ca="1" si="12"/>
        <v>3</v>
      </c>
      <c r="S43" s="2">
        <f>(IFERROR(VLOOKUP(D43,'Employee Numbers'!$A$3:$C$84,3,FALSE),"NOT FOUND"))*8</f>
        <v>3</v>
      </c>
      <c r="U43" s="142">
        <f t="shared" si="13"/>
        <v>1</v>
      </c>
      <c r="V43" s="142">
        <f t="shared" si="14"/>
        <v>0</v>
      </c>
      <c r="W43" s="2">
        <f t="shared" si="15"/>
        <v>0</v>
      </c>
      <c r="Y43" s="2">
        <f t="shared" si="16"/>
        <v>0</v>
      </c>
    </row>
    <row r="44" spans="1:25" s="2" customFormat="1" ht="15" customHeight="1">
      <c r="A44" s="2" t="s">
        <v>39</v>
      </c>
      <c r="B44" s="46"/>
      <c r="C44" s="47"/>
      <c r="D44" s="249" t="s">
        <v>77</v>
      </c>
      <c r="E44" s="226">
        <f>IFERROR(VLOOKUP(D44,'Employee Numbers'!$A$3:$B$84,2,FALSE),"NOT FOUND")</f>
        <v>632590</v>
      </c>
      <c r="F44" s="29"/>
      <c r="G44" s="31" t="s">
        <v>41</v>
      </c>
      <c r="H44" s="31" t="s">
        <v>44</v>
      </c>
      <c r="I44" s="31" t="s">
        <v>44</v>
      </c>
      <c r="J44" s="31" t="s">
        <v>42</v>
      </c>
      <c r="K44" s="31"/>
      <c r="L44" s="228"/>
      <c r="N44">
        <f t="array" ref="N44">((SUM(IFERROR((TEXT(IF(ISNUMBER(SEARCH("-", F44:L44)), MID(F44:L44, SEARCH("-", F44:L44) + 1, 4), ""), "00\:00") - TEXT(IF(ISNUMBER(SEARCH("-", F44:L44)), MID(F44:L44, SEARCH("-", F44:L44) - 4, 4), ""), "00\:00") + IF(TEXT(IF(ISNUMBER(SEARCH("-", F44:L44)), MID(F44:L44, SEARCH("-", F44:L44) + 1, 4), ""), "00\:00") &lt; TEXT(IF(ISNUMBER(SEARCH("-", F44:L44)), MID(F44:L44, SEARCH("-", F44:L44) - 4, 4), ""), "00\:00"), 1, 0))*24,""))))/9.5</f>
        <v>4</v>
      </c>
      <c r="O44"/>
      <c r="P44" s="151">
        <f t="shared" si="11"/>
        <v>4</v>
      </c>
      <c r="R44" s="4">
        <f t="shared" ca="1" si="12"/>
        <v>4</v>
      </c>
      <c r="S44" s="2">
        <f>(IFERROR(VLOOKUP(D44,'Employee Numbers'!$A$3:$C$84,3,FALSE),"NOT FOUND"))*8</f>
        <v>4</v>
      </c>
      <c r="U44" s="142">
        <f t="shared" si="13"/>
        <v>2</v>
      </c>
      <c r="V44" s="142">
        <f t="shared" si="14"/>
        <v>1</v>
      </c>
      <c r="W44" s="2">
        <f t="shared" si="15"/>
        <v>1</v>
      </c>
      <c r="Y44" s="2">
        <f t="shared" si="16"/>
        <v>0</v>
      </c>
    </row>
    <row r="45" spans="1:25" s="2" customFormat="1" ht="15" customHeight="1">
      <c r="A45" s="162" t="s">
        <v>39</v>
      </c>
      <c r="B45" s="163"/>
      <c r="C45" s="238"/>
      <c r="D45" s="240" t="s">
        <v>78</v>
      </c>
      <c r="E45" s="165">
        <f>IFERROR(VLOOKUP(D45,'Employee Numbers'!$A$3:$B$84,2,FALSE),"NOT FOUND")</f>
        <v>619537</v>
      </c>
      <c r="F45" s="176" t="s">
        <v>44</v>
      </c>
      <c r="G45" s="166"/>
      <c r="H45" s="166"/>
      <c r="I45" s="166"/>
      <c r="J45" s="166"/>
      <c r="K45" s="166"/>
      <c r="L45" s="167"/>
      <c r="N45">
        <f t="array" ref="N45">((SUM(IFERROR((TEXT(IF(ISNUMBER(SEARCH("-", F45:L45)), MID(F45:L45, SEARCH("-", F45:L45) + 1, 4), ""), "00\:00") - TEXT(IF(ISNUMBER(SEARCH("-", F45:L45)), MID(F45:L45, SEARCH("-", F45:L45) - 4, 4), ""), "00\:00") + IF(TEXT(IF(ISNUMBER(SEARCH("-", F45:L45)), MID(F45:L45, SEARCH("-", F45:L45) + 1, 4), ""), "00\:00") &lt; TEXT(IF(ISNUMBER(SEARCH("-", F45:L45)), MID(F45:L45, SEARCH("-", F45:L45) - 4, 4), ""), "00\:00"), 1, 0))*24,""))))/9.5</f>
        <v>1</v>
      </c>
      <c r="O45"/>
      <c r="P45" s="151">
        <f t="shared" si="11"/>
        <v>1</v>
      </c>
      <c r="R45" s="4">
        <f t="shared" ca="1" si="12"/>
        <v>1</v>
      </c>
      <c r="S45" s="2">
        <f>(IFERROR(VLOOKUP(D45,'Employee Numbers'!$A$3:$C$84,3,FALSE),"NOT FOUND"))*8</f>
        <v>1</v>
      </c>
      <c r="U45" s="142">
        <f t="shared" si="13"/>
        <v>1</v>
      </c>
      <c r="V45" s="142">
        <f t="shared" si="14"/>
        <v>0</v>
      </c>
      <c r="W45" s="2">
        <f t="shared" si="15"/>
        <v>0</v>
      </c>
      <c r="Y45" s="2">
        <f t="shared" si="16"/>
        <v>0</v>
      </c>
    </row>
    <row r="46" spans="1:25" s="2" customFormat="1" ht="15" customHeight="1">
      <c r="A46" s="2" t="s">
        <v>39</v>
      </c>
      <c r="B46" s="46"/>
      <c r="C46" s="47"/>
      <c r="D46" s="229" t="s">
        <v>79</v>
      </c>
      <c r="E46" s="226">
        <f>IFERROR(VLOOKUP(D46,'Employee Numbers'!$A$3:$B$84,2,FALSE),"NOT FOUND")</f>
        <v>621953</v>
      </c>
      <c r="F46" s="231"/>
      <c r="G46" s="31"/>
      <c r="H46" s="136"/>
      <c r="I46" s="31"/>
      <c r="J46" s="136"/>
      <c r="K46" s="136"/>
      <c r="L46" s="232"/>
      <c r="N46">
        <f t="array" ref="N46">((SUM(IFERROR((TEXT(IF(ISNUMBER(SEARCH("-", F46:L46)), MID(F46:L46, SEARCH("-", F46:L46) + 1, 4), ""), "00\:00") - TEXT(IF(ISNUMBER(SEARCH("-", F46:L46)), MID(F46:L46, SEARCH("-", F46:L46) - 4, 4), ""), "00\:00") + IF(TEXT(IF(ISNUMBER(SEARCH("-", F46:L46)), MID(F46:L46, SEARCH("-", F46:L46) + 1, 4), ""), "00\:00") &lt; TEXT(IF(ISNUMBER(SEARCH("-", F46:L46)), MID(F46:L46, SEARCH("-", F46:L46) - 4, 4), ""), "00\:00"), 1, 0))*24,""))))/9.5</f>
        <v>0</v>
      </c>
      <c r="O46"/>
      <c r="P46" s="151">
        <f t="shared" si="11"/>
        <v>0</v>
      </c>
      <c r="R46" s="4">
        <f t="shared" ca="1" si="12"/>
        <v>1</v>
      </c>
      <c r="S46" s="2">
        <f>(IFERROR(VLOOKUP(D46,'Employee Numbers'!$A$3:$C$84,3,FALSE),"NOT FOUND"))*8</f>
        <v>1</v>
      </c>
      <c r="U46" s="142">
        <f t="shared" si="13"/>
        <v>0</v>
      </c>
      <c r="V46" s="142">
        <f t="shared" si="14"/>
        <v>0</v>
      </c>
      <c r="W46" s="2">
        <f t="shared" si="15"/>
        <v>0</v>
      </c>
      <c r="Y46" s="2">
        <f t="shared" si="16"/>
        <v>0</v>
      </c>
    </row>
    <row r="47" spans="1:25" s="2" customFormat="1" ht="15" customHeight="1">
      <c r="A47" s="162" t="s">
        <v>39</v>
      </c>
      <c r="B47" s="163"/>
      <c r="C47" s="164"/>
      <c r="D47" s="242" t="s">
        <v>80</v>
      </c>
      <c r="E47" s="165">
        <f>IFERROR(VLOOKUP(D47,'Employee Numbers'!$A$3:$B$84,2,FALSE),"NOT FOUND")</f>
        <v>614504</v>
      </c>
      <c r="F47" s="176"/>
      <c r="G47" s="166" t="s">
        <v>42</v>
      </c>
      <c r="H47" s="166"/>
      <c r="I47" s="166"/>
      <c r="J47" s="166"/>
      <c r="K47" s="166"/>
      <c r="L47" s="167"/>
      <c r="N47">
        <f t="array" ref="N47">((SUM(IFERROR((TEXT(IF(ISNUMBER(SEARCH("-", F47:L47)), MID(F47:L47, SEARCH("-", F47:L47) + 1, 4), ""), "00\:00") - TEXT(IF(ISNUMBER(SEARCH("-", F47:L47)), MID(F47:L47, SEARCH("-", F47:L47) - 4, 4), ""), "00\:00") + IF(TEXT(IF(ISNUMBER(SEARCH("-", F47:L47)), MID(F47:L47, SEARCH("-", F47:L47) + 1, 4), ""), "00\:00") &lt; TEXT(IF(ISNUMBER(SEARCH("-", F47:L47)), MID(F47:L47, SEARCH("-", F47:L47) - 4, 4), ""), "00\:00"), 1, 0))*24,""))))/9.5</f>
        <v>1</v>
      </c>
      <c r="O47"/>
      <c r="P47" s="178">
        <f t="shared" si="11"/>
        <v>1</v>
      </c>
      <c r="R47" s="3">
        <f t="shared" ca="1" si="12"/>
        <v>1</v>
      </c>
      <c r="S47" s="2">
        <f>(IFERROR(VLOOKUP(D47,'Employee Numbers'!$A$3:$C$84,3,FALSE),"NOT FOUND"))*8</f>
        <v>1</v>
      </c>
      <c r="U47" s="142">
        <f t="shared" si="13"/>
        <v>0</v>
      </c>
      <c r="V47" s="142">
        <f t="shared" si="14"/>
        <v>1</v>
      </c>
      <c r="W47" s="2">
        <f t="shared" si="15"/>
        <v>0</v>
      </c>
      <c r="Y47" s="2">
        <f t="shared" si="16"/>
        <v>0</v>
      </c>
    </row>
    <row r="48" spans="1:25" s="2" customFormat="1" ht="15" customHeight="1">
      <c r="A48" s="2" t="s">
        <v>39</v>
      </c>
      <c r="B48" s="46"/>
      <c r="C48" s="21"/>
      <c r="D48" s="230" t="s">
        <v>81</v>
      </c>
      <c r="E48" s="226" t="str">
        <f>IFERROR(VLOOKUP(D48,'Employee Numbers'!$A$3:$B$84,2,FALSE),"NOT FOUND")</f>
        <v>N/A</v>
      </c>
      <c r="F48" s="31"/>
      <c r="G48" s="31"/>
      <c r="H48" s="31"/>
      <c r="I48" s="31"/>
      <c r="J48" s="31"/>
      <c r="K48" s="31"/>
      <c r="L48" s="228"/>
      <c r="N48">
        <f t="array" ref="N48">((SUM(IFERROR((TEXT(IF(ISNUMBER(SEARCH("-", F48:L48)), MID(F48:L48, SEARCH("-", F48:L48) + 1, 4), ""), "00\:00") - TEXT(IF(ISNUMBER(SEARCH("-", F48:L48)), MID(F48:L48, SEARCH("-", F48:L48) - 4, 4), ""), "00\:00") + IF(TEXT(IF(ISNUMBER(SEARCH("-", F48:L48)), MID(F48:L48, SEARCH("-", F48:L48) + 1, 4), ""), "00\:00") &lt; TEXT(IF(ISNUMBER(SEARCH("-", F48:L48)), MID(F48:L48, SEARCH("-", F48:L48) - 4, 4), ""), "00\:00"), 1, 0))*24,""))))/9.5</f>
        <v>0</v>
      </c>
      <c r="O48"/>
      <c r="P48" s="178">
        <f t="shared" ref="P48" si="17">N48+O48</f>
        <v>0</v>
      </c>
      <c r="R48" s="3">
        <f t="shared" ref="R48" ca="1" si="18">IF($C$4=1,SUM(P48+INDIRECT("'Week "&amp;($B$3+1)&amp;"'!P"&amp;(ROW()))),IF($C$4=2,SUM(P48+INDIRECT("'Week "&amp;($B$3-1)&amp;"'!P"&amp;(ROW())))))</f>
        <v>0</v>
      </c>
      <c r="S48" s="2">
        <f>(IFERROR(VLOOKUP(D48,'Employee Numbers'!$A$3:$C$84,3,FALSE),"NOT FOUND"))*8</f>
        <v>0</v>
      </c>
      <c r="U48" s="142">
        <f t="shared" ref="U48" si="19">COUNTIF(E48:K48,"0800-1730")</f>
        <v>0</v>
      </c>
      <c r="V48" s="142">
        <f t="shared" ref="V48" si="20">COUNTIF(F48:L48,"1???-00?0")</f>
        <v>0</v>
      </c>
      <c r="W48" s="2">
        <f t="shared" ref="W48" si="21">COUNTIF(F48:L48,"*0800-1730*CS*")+COUNTIF(F48:L48,"*0800-1730*DEMT*")</f>
        <v>0</v>
      </c>
      <c r="Y48" s="2">
        <f t="shared" ref="Y48" si="22">COUNTIF(K48:L48,"???0-*")</f>
        <v>0</v>
      </c>
    </row>
    <row r="49" spans="1:21" s="2" customFormat="1" ht="15" customHeight="1" thickBot="1">
      <c r="A49" s="162" t="s">
        <v>39</v>
      </c>
      <c r="B49" s="163"/>
      <c r="C49" s="238"/>
      <c r="D49" s="243"/>
      <c r="E49" s="248" t="str">
        <f>IFERROR(VLOOKUP(D49,'Employee Numbers'!$A$3:$B$84,2,FALSE),"NOT FOUND")</f>
        <v>NOT FOUND</v>
      </c>
      <c r="F49" s="245"/>
      <c r="G49" s="246"/>
      <c r="H49" s="246"/>
      <c r="I49" s="246"/>
      <c r="J49" s="246"/>
      <c r="K49" s="246"/>
      <c r="L49" s="247"/>
    </row>
    <row r="50" spans="1:21" s="2" customFormat="1" ht="15" customHeight="1" thickBot="1">
      <c r="B50" s="46"/>
      <c r="C50" s="21"/>
      <c r="D50" s="16" t="s">
        <v>82</v>
      </c>
      <c r="E50" s="58"/>
      <c r="F50" s="28" t="s">
        <v>52</v>
      </c>
      <c r="G50" s="59" t="s">
        <v>62</v>
      </c>
      <c r="H50" s="59" t="s">
        <v>77</v>
      </c>
      <c r="I50" s="59" t="s">
        <v>53</v>
      </c>
      <c r="J50" s="59" t="s">
        <v>45</v>
      </c>
      <c r="K50" s="59" t="s">
        <v>59</v>
      </c>
      <c r="L50" s="60" t="s">
        <v>55</v>
      </c>
    </row>
    <row r="51" spans="1:21" s="2" customFormat="1" ht="15" customHeight="1">
      <c r="B51" s="46"/>
      <c r="C51" s="21"/>
      <c r="E51" s="21"/>
      <c r="R51" s="2">
        <f>(N54+P54)*9.5/38*5</f>
        <v>3.75</v>
      </c>
    </row>
    <row r="52" spans="1:21" s="2" customFormat="1" ht="15.75" customHeight="1">
      <c r="B52" s="46"/>
      <c r="C52" s="21"/>
      <c r="E52" s="21"/>
      <c r="F52" s="126">
        <f t="shared" ref="F52:L52" si="23">F2</f>
        <v>46188</v>
      </c>
      <c r="G52" s="126">
        <f t="shared" si="23"/>
        <v>46189</v>
      </c>
      <c r="H52" s="126">
        <f t="shared" si="23"/>
        <v>46190</v>
      </c>
      <c r="I52" s="126">
        <f t="shared" si="23"/>
        <v>46191</v>
      </c>
      <c r="J52" s="126">
        <f t="shared" si="23"/>
        <v>46192</v>
      </c>
      <c r="K52" s="126">
        <f t="shared" si="23"/>
        <v>46193</v>
      </c>
      <c r="L52" s="126">
        <f t="shared" si="23"/>
        <v>46194</v>
      </c>
      <c r="M52" s="34"/>
      <c r="N52" s="152" t="s">
        <v>27</v>
      </c>
      <c r="O52" s="152" t="s">
        <v>83</v>
      </c>
      <c r="P52" s="152" t="s">
        <v>84</v>
      </c>
      <c r="Q52" s="2" t="s">
        <v>29</v>
      </c>
      <c r="R52" s="152" t="s">
        <v>85</v>
      </c>
      <c r="S52" s="152" t="s">
        <v>30</v>
      </c>
      <c r="T52" s="152" t="s">
        <v>31</v>
      </c>
      <c r="U52" s="152"/>
    </row>
    <row r="53" spans="1:21" s="2" customFormat="1" ht="30" customHeight="1">
      <c r="A53" s="168" t="s">
        <v>86</v>
      </c>
      <c r="B53" s="169"/>
      <c r="C53" s="169"/>
      <c r="D53" s="169" t="s">
        <v>86</v>
      </c>
      <c r="E53" s="127" t="s">
        <v>4</v>
      </c>
      <c r="F53" s="266" t="s">
        <v>5</v>
      </c>
      <c r="G53" s="267" t="s">
        <v>6</v>
      </c>
      <c r="H53" s="268" t="s">
        <v>87</v>
      </c>
      <c r="I53" s="267" t="s">
        <v>8</v>
      </c>
      <c r="J53" s="267" t="s">
        <v>9</v>
      </c>
      <c r="K53" s="267" t="s">
        <v>10</v>
      </c>
      <c r="L53" s="269" t="s">
        <v>11</v>
      </c>
      <c r="M53" s="34"/>
      <c r="N53" s="147" t="s">
        <v>32</v>
      </c>
      <c r="O53" s="147" t="s">
        <v>88</v>
      </c>
      <c r="P53" s="147" t="s">
        <v>89</v>
      </c>
      <c r="R53" s="145" t="s">
        <v>90</v>
      </c>
      <c r="S53" s="147" t="s">
        <v>32</v>
      </c>
      <c r="T53" s="147" t="s">
        <v>32</v>
      </c>
      <c r="U53" s="147"/>
    </row>
    <row r="54" spans="1:21" s="2" customFormat="1" ht="15" customHeight="1">
      <c r="A54" s="44" t="s">
        <v>91</v>
      </c>
      <c r="B54" s="44"/>
      <c r="C54" s="45"/>
      <c r="D54" s="123" t="s">
        <v>92</v>
      </c>
      <c r="E54" s="284">
        <f>IFERROR(VLOOKUP(D54,'Employee Numbers'!$A$3:$B$84,2,FALSE),"NOT FOUND")</f>
        <v>634905</v>
      </c>
      <c r="F54" s="264"/>
      <c r="G54" s="264" t="s">
        <v>41</v>
      </c>
      <c r="H54" s="355" t="s">
        <v>44</v>
      </c>
      <c r="I54" s="264" t="s">
        <v>42</v>
      </c>
      <c r="J54" s="264"/>
      <c r="K54" s="264"/>
      <c r="L54" s="264"/>
      <c r="N54">
        <f t="array" ref="N54">((SUM(IFERROR((TEXT(IF(ISNUMBER(SEARCH("-", F54:L54)), MID(F54:L54, SEARCH("-", F54:L54) + 1, 4), ""), "00\:00") - TEXT(IF(ISNUMBER(SEARCH("-", F54:L54)), MID(F54:L54, SEARCH("-", F54:L54) - 4, 4), ""), "00\:00") + IF(TEXT(IF(ISNUMBER(SEARCH("-", F54:L54)), MID(F54:L54, SEARCH("-", F54:L54) + 1, 4), ""), "00\:00") &lt; TEXT(IF(ISNUMBER(SEARCH("-", F54:L54)), MID(F54:L54, SEARCH("-", F54:L54) - 4, 4), ""), "00\:00"), 1, 0))*24,""))))/9.5</f>
        <v>3</v>
      </c>
      <c r="O54"/>
      <c r="P54"/>
      <c r="Q54" s="2">
        <f>P54+O54+N54</f>
        <v>3</v>
      </c>
      <c r="R54" s="2">
        <f>IF(ISNUMBER(SEARCH("trg_5",H146)),5,IF(ISNUMBER(SEARCH("trg_3.75",H146)),3.75,IF(ISNUMBER(SEARCH("trg_2.5",H146)),2.5,IF(ISNUMBER(SEARCH("trg_1.75",H146)),1.75,0))))</f>
        <v>3.75</v>
      </c>
      <c r="S54">
        <f ca="1">IF($C$4=1,SUM(Q54+INDIRECT("'Week "&amp;($B$3+1)&amp;"'!Q"&amp;(ROW()))),IF($C$4=2,SUM(Q54+INDIRECT("'Week "&amp;($B$3-1)&amp;"'!Q"&amp;(ROW())))))</f>
        <v>6</v>
      </c>
      <c r="T54" s="2">
        <f>(IFERROR(VLOOKUP(D54,'Employee Numbers'!$A$3:$C$84,3,FALSE),"NOT FOUND"))*8</f>
        <v>8</v>
      </c>
    </row>
    <row r="55" spans="1:21" s="13" customFormat="1" ht="15" customHeight="1">
      <c r="A55" s="2" t="s">
        <v>91</v>
      </c>
      <c r="B55" s="2"/>
      <c r="C55" s="21"/>
      <c r="D55" s="86" t="s">
        <v>93</v>
      </c>
      <c r="E55" s="285">
        <f>IFERROR(VLOOKUP(D55,'Employee Numbers'!$A$3:$B$84,2,FALSE),"NOT FOUND")</f>
        <v>704751</v>
      </c>
      <c r="F55" s="80" t="s">
        <v>180</v>
      </c>
      <c r="G55" s="80" t="s">
        <v>180</v>
      </c>
      <c r="H55" s="264"/>
      <c r="I55" s="264"/>
      <c r="J55" s="264"/>
      <c r="K55" s="264" t="s">
        <v>42</v>
      </c>
      <c r="L55" s="264" t="s">
        <v>42</v>
      </c>
      <c r="N55">
        <f t="array" ref="N55">((SUM(IFERROR((TEXT(IF(ISNUMBER(SEARCH("-", F55:L55)), MID(F55:L55, SEARCH("-", F55:L55) + 1, 4), ""), "00\:00") - TEXT(IF(ISNUMBER(SEARCH("-", F55:L55)), MID(F55:L55, SEARCH("-", F55:L55) - 4, 4), ""), "00\:00") + IF(TEXT(IF(ISNUMBER(SEARCH("-", F55:L55)), MID(F55:L55, SEARCH("-", F55:L55) + 1, 4), ""), "00\:00") &lt; TEXT(IF(ISNUMBER(SEARCH("-", F55:L55)), MID(F55:L55, SEARCH("-", F55:L55) - 4, 4), ""), "00\:00"), 1, 0))*24,""))))/9.5</f>
        <v>2</v>
      </c>
      <c r="O55"/>
      <c r="P55"/>
      <c r="Q55" s="2">
        <f t="shared" ref="Q55:Q59" si="24">P55+O55+N55</f>
        <v>2</v>
      </c>
      <c r="R55" s="2">
        <f t="shared" ref="R55:R59" si="25">IF(ISNUMBER(SEARCH("trg_5",H147)),5,IF(ISNUMBER(SEARCH("trg_3.75",H147)),3.75,IF(ISNUMBER(SEARCH("trg_2.5",H147)),2.5,IF(ISNUMBER(SEARCH("trg_1.75",H147)),1.75,0))))</f>
        <v>5</v>
      </c>
      <c r="S55">
        <f t="shared" ref="S55:S59" ca="1" si="26">IF($C$4=1,SUM(Q55+INDIRECT("'Week "&amp;($B$3+1)&amp;"'!Q"&amp;(ROW()))),IF($C$4=2,SUM(Q55+INDIRECT("'Week "&amp;($B$3-1)&amp;"'!Q"&amp;(ROW())))))</f>
        <v>5</v>
      </c>
      <c r="T55" s="2">
        <f>(IFERROR(VLOOKUP(D55,'Employee Numbers'!$A$3:$C$84,3,FALSE),"NOT FOUND"))*8</f>
        <v>0</v>
      </c>
      <c r="U55" s="2"/>
    </row>
    <row r="56" spans="1:21" s="2" customFormat="1" ht="15" customHeight="1">
      <c r="A56" s="44" t="s">
        <v>91</v>
      </c>
      <c r="B56" s="44"/>
      <c r="C56" s="45"/>
      <c r="D56" s="85" t="s">
        <v>94</v>
      </c>
      <c r="E56" s="285">
        <f>IFERROR(VLOOKUP(D56,'Employee Numbers'!$A$3:$B$84,2,FALSE),"NOT FOUND")</f>
        <v>637219</v>
      </c>
      <c r="F56" s="264" t="s">
        <v>42</v>
      </c>
      <c r="G56" s="264"/>
      <c r="H56" s="264" t="s">
        <v>41</v>
      </c>
      <c r="I56" s="264" t="s">
        <v>42</v>
      </c>
      <c r="J56" s="264" t="s">
        <v>42</v>
      </c>
      <c r="K56" s="264"/>
      <c r="L56" s="264"/>
      <c r="N56">
        <f t="array" ref="N56">((SUM(IFERROR((TEXT(IF(ISNUMBER(SEARCH("-", F56:L56)), MID(F56:L56, SEARCH("-", F56:L56) + 1, 4), ""), "00\:00") - TEXT(IF(ISNUMBER(SEARCH("-", F56:L56)), MID(F56:L56, SEARCH("-", F56:L56) - 4, 4), ""), "00\:00") + IF(TEXT(IF(ISNUMBER(SEARCH("-", F56:L56)), MID(F56:L56, SEARCH("-", F56:L56) + 1, 4), ""), "00\:00") &lt; TEXT(IF(ISNUMBER(SEARCH("-", F56:L56)), MID(F56:L56, SEARCH("-", F56:L56) - 4, 4), ""), "00\:00"), 1, 0))*24,""))))/9.5</f>
        <v>4</v>
      </c>
      <c r="O56"/>
      <c r="P56"/>
      <c r="Q56" s="2">
        <f t="shared" si="24"/>
        <v>4</v>
      </c>
      <c r="R56" s="2">
        <f t="shared" si="25"/>
        <v>5</v>
      </c>
      <c r="S56">
        <f t="shared" ca="1" si="26"/>
        <v>4</v>
      </c>
      <c r="T56" s="2">
        <f>(IFERROR(VLOOKUP(D56,'Employee Numbers'!$A$3:$C$84,3,FALSE),"NOT FOUND"))*8</f>
        <v>0</v>
      </c>
    </row>
    <row r="57" spans="1:21" s="13" customFormat="1" ht="15" customHeight="1">
      <c r="A57" s="2" t="s">
        <v>91</v>
      </c>
      <c r="B57" s="2"/>
      <c r="C57" s="21"/>
      <c r="D57" s="86"/>
      <c r="E57" s="285" t="str">
        <f>IFERROR(VLOOKUP(D57,'Employee Numbers'!$A$3:$B$84,2,FALSE),"NOT FOUND")</f>
        <v>NOT FOUND</v>
      </c>
      <c r="F57" s="264"/>
      <c r="G57" s="264"/>
      <c r="H57" s="264"/>
      <c r="I57" s="264"/>
      <c r="J57" s="264"/>
      <c r="K57" s="264"/>
      <c r="L57" s="264"/>
      <c r="N57">
        <f t="array" ref="N57">((SUM(IFERROR((TEXT(IF(ISNUMBER(SEARCH("-", F57:L57)), MID(F57:L57, SEARCH("-", F57:L57) + 1, 4), ""), "00\:00") - TEXT(IF(ISNUMBER(SEARCH("-", F57:L57)), MID(F57:L57, SEARCH("-", F57:L57) - 4, 4), ""), "00\:00") + IF(TEXT(IF(ISNUMBER(SEARCH("-", F57:L57)), MID(F57:L57, SEARCH("-", F57:L57) + 1, 4), ""), "00\:00") &lt; TEXT(IF(ISNUMBER(SEARCH("-", F57:L57)), MID(F57:L57, SEARCH("-", F57:L57) - 4, 4), ""), "00\:00"), 1, 0))*24,""))))/9.5</f>
        <v>0</v>
      </c>
      <c r="O57"/>
      <c r="P57"/>
      <c r="Q57" s="2">
        <f t="shared" si="24"/>
        <v>0</v>
      </c>
      <c r="R57" s="2">
        <f t="shared" si="25"/>
        <v>2.5</v>
      </c>
      <c r="S57">
        <f t="shared" ca="1" si="26"/>
        <v>0</v>
      </c>
      <c r="T57" s="2" t="e">
        <f>(IFERROR(VLOOKUP(D57,'Employee Numbers'!$A$3:$C$84,3,FALSE),"NOT FOUND"))*8</f>
        <v>#VALUE!</v>
      </c>
      <c r="U57" s="2"/>
    </row>
    <row r="58" spans="1:21" s="2" customFormat="1" ht="15" customHeight="1">
      <c r="A58" s="44" t="s">
        <v>91</v>
      </c>
      <c r="B58" s="44"/>
      <c r="C58" s="45"/>
      <c r="D58" s="85"/>
      <c r="E58" s="39" t="str">
        <f>IFERROR(VLOOKUP(D58,'Employee Numbers'!$A$3:$B$84,2,FALSE),"NOT FOUND")</f>
        <v>NOT FOUND</v>
      </c>
      <c r="F58" s="125"/>
      <c r="G58" s="125"/>
      <c r="H58" s="125"/>
      <c r="I58" s="125"/>
      <c r="J58" s="125"/>
      <c r="K58" s="125"/>
      <c r="L58" s="125"/>
      <c r="N58">
        <f t="array" ref="N58">((SUM(IFERROR((TEXT(IF(ISNUMBER(SEARCH("-", F58:L58)), MID(F58:L58, SEARCH("-", F58:L58) + 1, 4), ""), "00\:00") - TEXT(IF(ISNUMBER(SEARCH("-", F58:L58)), MID(F58:L58, SEARCH("-", F58:L58) - 4, 4), ""), "00\:00") + IF(TEXT(IF(ISNUMBER(SEARCH("-", F58:L58)), MID(F58:L58, SEARCH("-", F58:L58) + 1, 4), ""), "00\:00") &lt; TEXT(IF(ISNUMBER(SEARCH("-", F58:L58)), MID(F58:L58, SEARCH("-", F58:L58) - 4, 4), ""), "00\:00"), 1, 0))*24,""))))/9.5</f>
        <v>0</v>
      </c>
      <c r="O58"/>
      <c r="P58"/>
      <c r="Q58" s="2">
        <f t="shared" si="24"/>
        <v>0</v>
      </c>
      <c r="R58" s="2">
        <f t="shared" si="25"/>
        <v>2.5</v>
      </c>
      <c r="S58">
        <f t="shared" ca="1" si="26"/>
        <v>0</v>
      </c>
      <c r="T58" s="2" t="e">
        <f>(IFERROR(VLOOKUP(D58,'Employee Numbers'!$A$3:$C$84,3,FALSE),"NOT FOUND"))*8</f>
        <v>#VALUE!</v>
      </c>
    </row>
    <row r="59" spans="1:21" s="13" customFormat="1" ht="15" customHeight="1" thickBot="1">
      <c r="A59" s="2" t="s">
        <v>91</v>
      </c>
      <c r="B59" s="2"/>
      <c r="C59" s="21"/>
      <c r="D59" s="86"/>
      <c r="E59" s="39" t="str">
        <f>IFERROR(VLOOKUP(D59,'Employee Numbers'!$A$3:$B$84,2,FALSE),"NOT FOUND")</f>
        <v>NOT FOUND</v>
      </c>
      <c r="F59" s="110"/>
      <c r="G59" s="110"/>
      <c r="H59" s="110"/>
      <c r="I59" s="110"/>
      <c r="J59" s="110"/>
      <c r="K59" s="110"/>
      <c r="L59" s="110"/>
      <c r="N59">
        <f t="array" ref="N59">((SUM(IFERROR((TEXT(IF(ISNUMBER(SEARCH("-", F59:L59)), MID(F59:L59, SEARCH("-", F59:L59) + 1, 4), ""), "00\:00") - TEXT(IF(ISNUMBER(SEARCH("-", F59:L59)), MID(F59:L59, SEARCH("-", F59:L59) - 4, 4), ""), "00\:00") + IF(TEXT(IF(ISNUMBER(SEARCH("-", F59:L59)), MID(F59:L59, SEARCH("-", F59:L59) + 1, 4), ""), "00\:00") &lt; TEXT(IF(ISNUMBER(SEARCH("-", F59:L59)), MID(F59:L59, SEARCH("-", F59:L59) - 4, 4), ""), "00\:00"), 1, 0))*24,""))))/9.5</f>
        <v>0</v>
      </c>
      <c r="O59"/>
      <c r="P59"/>
      <c r="Q59" s="2">
        <f t="shared" si="24"/>
        <v>0</v>
      </c>
      <c r="R59" s="2">
        <f t="shared" si="25"/>
        <v>2.5</v>
      </c>
      <c r="S59">
        <f t="shared" ca="1" si="26"/>
        <v>0</v>
      </c>
      <c r="T59" s="2" t="e">
        <f>(IFERROR(VLOOKUP(D59,'Employee Numbers'!$A$3:$C$84,3,FALSE),"NOT FOUND"))*8</f>
        <v>#VALUE!</v>
      </c>
      <c r="U59" s="2"/>
    </row>
    <row r="60" spans="1:21" s="2" customFormat="1" ht="30" customHeight="1" thickBot="1">
      <c r="A60" s="170" t="s">
        <v>96</v>
      </c>
      <c r="B60" s="131"/>
      <c r="C60" s="132"/>
      <c r="D60" s="171" t="s">
        <v>97</v>
      </c>
      <c r="E60" s="133" t="s">
        <v>4</v>
      </c>
      <c r="F60" s="133" t="s">
        <v>5</v>
      </c>
      <c r="G60" s="133" t="s">
        <v>6</v>
      </c>
      <c r="H60" s="134" t="s">
        <v>87</v>
      </c>
      <c r="I60" s="133" t="s">
        <v>8</v>
      </c>
      <c r="J60" s="133" t="s">
        <v>9</v>
      </c>
      <c r="K60" s="133" t="s">
        <v>10</v>
      </c>
      <c r="L60" s="135" t="s">
        <v>11</v>
      </c>
      <c r="N60"/>
      <c r="O60"/>
      <c r="P60"/>
    </row>
    <row r="61" spans="1:21" s="2" customFormat="1" ht="15" customHeight="1">
      <c r="A61" s="2" t="s">
        <v>98</v>
      </c>
      <c r="C61" s="47"/>
      <c r="D61" s="262" t="s">
        <v>99</v>
      </c>
      <c r="E61" s="124">
        <f>IFERROR(VLOOKUP(D61,'Employee Numbers'!$A$3:$B$84,2,FALSE),"NOT FOUND")</f>
        <v>638531</v>
      </c>
      <c r="F61" s="264" t="s">
        <v>42</v>
      </c>
      <c r="G61" s="264"/>
      <c r="H61" s="264" t="s">
        <v>42</v>
      </c>
      <c r="I61" s="264"/>
      <c r="J61" s="264"/>
      <c r="K61" s="264" t="s">
        <v>44</v>
      </c>
      <c r="L61" s="264" t="s">
        <v>44</v>
      </c>
      <c r="N61">
        <f t="array" ref="N61">((SUM(IFERROR((TEXT(IF(ISNUMBER(SEARCH("-", F61:L61)), MID(F61:L61, SEARCH("-", F61:L61) + 1, 4), ""), "00\:00") - TEXT(IF(ISNUMBER(SEARCH("-", F61:L61)), MID(F61:L61, SEARCH("-", F61:L61) - 4, 4), ""), "00\:00") + IF(TEXT(IF(ISNUMBER(SEARCH("-", F61:L61)), MID(F61:L61, SEARCH("-", F61:L61) + 1, 4), ""), "00\:00") &lt; TEXT(IF(ISNUMBER(SEARCH("-", F61:L61)), MID(F61:L61, SEARCH("-", F61:L61) - 4, 4), ""), "00\:00"), 1, 0))*24,""))))/9.5</f>
        <v>4</v>
      </c>
      <c r="O61"/>
      <c r="P61"/>
      <c r="Q61" s="2">
        <f>P61+O61+N61</f>
        <v>4</v>
      </c>
      <c r="R61" s="2">
        <f>IF(ISNUMBER(SEARCH("trg_5",H153)),5,IF(ISNUMBER(SEARCH("trg_3.75",H153)),3.75,IF(ISNUMBER(SEARCH("trg_2.5",H153)),2.5,IF(ISNUMBER(SEARCH("trg_1.75",H153)),1.75,0))))</f>
        <v>5</v>
      </c>
      <c r="S61">
        <f ca="1">IF($C$4=1,SUM(Q61+INDIRECT("'Week "&amp;($B$3+1)&amp;"'!Q"&amp;(ROW()))),IF($C$4=2,SUM(Q61+INDIRECT("'Week "&amp;($B$3-1)&amp;"'!Q"&amp;(ROW())))))</f>
        <v>8</v>
      </c>
      <c r="T61" s="2">
        <f>(IFERROR(VLOOKUP(D61,'Employee Numbers'!$A$3:$C$84,3,FALSE),"NOT FOUND"))*8</f>
        <v>0</v>
      </c>
    </row>
    <row r="62" spans="1:21" s="2" customFormat="1" ht="15" customHeight="1">
      <c r="A62" s="44" t="s">
        <v>98</v>
      </c>
      <c r="B62" s="44"/>
      <c r="C62" s="45"/>
      <c r="D62" s="262" t="s">
        <v>101</v>
      </c>
      <c r="E62" s="39">
        <f>IFERROR(VLOOKUP(D62,'Employee Numbers'!$A$3:$B$84,2,FALSE),"NOT FOUND")</f>
        <v>631715</v>
      </c>
      <c r="F62" s="264" t="s">
        <v>42</v>
      </c>
      <c r="G62" s="264" t="s">
        <v>42</v>
      </c>
      <c r="H62" s="264"/>
      <c r="I62" s="264" t="s">
        <v>42</v>
      </c>
      <c r="J62" s="264" t="s">
        <v>42</v>
      </c>
      <c r="K62" s="275"/>
      <c r="L62" s="275"/>
      <c r="N62">
        <f t="array" ref="N62">((SUM(IFERROR((TEXT(IF(ISNUMBER(SEARCH("-", F62:L62)), MID(F62:L62, SEARCH("-", F62:L62) + 1, 4), ""), "00\:00") - TEXT(IF(ISNUMBER(SEARCH("-", F62:L62)), MID(F62:L62, SEARCH("-", F62:L62) - 4, 4), ""), "00\:00") + IF(TEXT(IF(ISNUMBER(SEARCH("-", F62:L62)), MID(F62:L62, SEARCH("-", F62:L62) + 1, 4), ""), "00\:00") &lt; TEXT(IF(ISNUMBER(SEARCH("-", F62:L62)), MID(F62:L62, SEARCH("-", F62:L62) - 4, 4), ""), "00\:00"), 1, 0))*24,""))))/9.5</f>
        <v>4</v>
      </c>
      <c r="O62"/>
      <c r="P62"/>
      <c r="Q62" s="2">
        <f t="shared" ref="Q62:Q80" si="27">P62+O62+N62</f>
        <v>4</v>
      </c>
      <c r="R62" s="2">
        <f t="shared" ref="R62:R80" si="28">IF(ISNUMBER(SEARCH("trg_5",H154)),5,IF(ISNUMBER(SEARCH("trg_3.75",H154)),3.75,IF(ISNUMBER(SEARCH("trg_2.5",H154)),2.5,IF(ISNUMBER(SEARCH("trg_1.75",H154)),1.75,0))))</f>
        <v>5</v>
      </c>
      <c r="S62">
        <f t="shared" ref="S62:S84" ca="1" si="29">IF($C$4=1,SUM(Q62+INDIRECT("'Week "&amp;($B$3+1)&amp;"'!Q"&amp;(ROW()))),IF($C$4=2,SUM(Q62+INDIRECT("'Week "&amp;($B$3-1)&amp;"'!Q"&amp;(ROW())))))</f>
        <v>4</v>
      </c>
      <c r="T62" s="2">
        <f>(IFERROR(VLOOKUP(D62,'Employee Numbers'!$A$3:$C$84,3,FALSE),"NOT FOUND"))*8</f>
        <v>0</v>
      </c>
    </row>
    <row r="63" spans="1:21" s="13" customFormat="1" ht="15" customHeight="1">
      <c r="A63" s="2" t="s">
        <v>98</v>
      </c>
      <c r="B63" s="2"/>
      <c r="C63" s="21"/>
      <c r="D63" s="262" t="s">
        <v>103</v>
      </c>
      <c r="E63" s="39">
        <f>IFERROR(VLOOKUP(D63,'Employee Numbers'!$A$3:$B$84,2,FALSE),"NOT FOUND")</f>
        <v>703719</v>
      </c>
      <c r="F63" s="264"/>
      <c r="G63" s="264"/>
      <c r="H63" s="264"/>
      <c r="I63" s="275"/>
      <c r="J63" s="264" t="s">
        <v>44</v>
      </c>
      <c r="K63" s="264" t="s">
        <v>42</v>
      </c>
      <c r="L63" s="264" t="s">
        <v>100</v>
      </c>
      <c r="N63">
        <f t="array" ref="N63">((SUM(IFERROR((TEXT(IF(ISNUMBER(SEARCH("-", F63:L63)), MID(F63:L63, SEARCH("-", F63:L63) + 1, 4), ""), "00\:00") - TEXT(IF(ISNUMBER(SEARCH("-", F63:L63)), MID(F63:L63, SEARCH("-", F63:L63) - 4, 4), ""), "00\:00") + IF(TEXT(IF(ISNUMBER(SEARCH("-", F63:L63)), MID(F63:L63, SEARCH("-", F63:L63) + 1, 4), ""), "00\:00") &lt; TEXT(IF(ISNUMBER(SEARCH("-", F63:L63)), MID(F63:L63, SEARCH("-", F63:L63) - 4, 4), ""), "00\:00"), 1, 0))*24,""))))/9.5</f>
        <v>3</v>
      </c>
      <c r="O63"/>
      <c r="P63"/>
      <c r="Q63" s="2">
        <f t="shared" si="27"/>
        <v>3</v>
      </c>
      <c r="R63" s="2">
        <f t="shared" si="28"/>
        <v>3.75</v>
      </c>
      <c r="S63">
        <f t="shared" ca="1" si="29"/>
        <v>6</v>
      </c>
      <c r="T63" s="2">
        <f>(IFERROR(VLOOKUP(D63,'Employee Numbers'!$A$3:$C$84,3,FALSE),"NOT FOUND"))*8</f>
        <v>0</v>
      </c>
      <c r="U63" s="2"/>
    </row>
    <row r="64" spans="1:21" s="2" customFormat="1" ht="15" customHeight="1">
      <c r="A64" s="44" t="s">
        <v>98</v>
      </c>
      <c r="B64" s="44"/>
      <c r="C64" s="45"/>
      <c r="D64" s="262" t="s">
        <v>104</v>
      </c>
      <c r="E64" s="39">
        <f>IFERROR(VLOOKUP(D64,'Employee Numbers'!$A$3:$B$84,2,FALSE),"NOT FOUND")</f>
        <v>637791</v>
      </c>
      <c r="F64" s="264"/>
      <c r="G64" s="264"/>
      <c r="H64" s="264" t="s">
        <v>42</v>
      </c>
      <c r="I64" s="264"/>
      <c r="J64" s="264"/>
      <c r="K64" s="264" t="s">
        <v>42</v>
      </c>
      <c r="L64" s="264" t="s">
        <v>42</v>
      </c>
      <c r="N64">
        <f t="array" ref="N64">((SUM(IFERROR((TEXT(IF(ISNUMBER(SEARCH("-", F64:L64)), MID(F64:L64, SEARCH("-", F64:L64) + 1, 4), ""), "00\:00") - TEXT(IF(ISNUMBER(SEARCH("-", F64:L64)), MID(F64:L64, SEARCH("-", F64:L64) - 4, 4), ""), "00\:00") + IF(TEXT(IF(ISNUMBER(SEARCH("-", F64:L64)), MID(F64:L64, SEARCH("-", F64:L64) + 1, 4), ""), "00\:00") &lt; TEXT(IF(ISNUMBER(SEARCH("-", F64:L64)), MID(F64:L64, SEARCH("-", F64:L64) - 4, 4), ""), "00\:00"), 1, 0))*24,""))))/9.5</f>
        <v>3</v>
      </c>
      <c r="O64"/>
      <c r="P64"/>
      <c r="Q64" s="2">
        <f t="shared" si="27"/>
        <v>3</v>
      </c>
      <c r="R64" s="2">
        <f t="shared" si="28"/>
        <v>3.75</v>
      </c>
      <c r="S64">
        <f t="shared" ca="1" si="29"/>
        <v>5.9999999999999991</v>
      </c>
      <c r="T64" s="2">
        <f>(IFERROR(VLOOKUP(D64,'Employee Numbers'!$A$3:$C$84,3,FALSE),"NOT FOUND"))*8</f>
        <v>0</v>
      </c>
    </row>
    <row r="65" spans="1:20" s="2" customFormat="1" ht="15" customHeight="1">
      <c r="A65" s="2" t="s">
        <v>98</v>
      </c>
      <c r="C65" s="21"/>
      <c r="D65" s="262" t="s">
        <v>105</v>
      </c>
      <c r="E65" s="39">
        <f>IFERROR(VLOOKUP(D65,'Employee Numbers'!$A$3:$B$84,2,FALSE),"NOT FOUND")</f>
        <v>652867</v>
      </c>
      <c r="F65" s="264"/>
      <c r="G65" s="264"/>
      <c r="H65" s="264"/>
      <c r="I65" s="264" t="s">
        <v>42</v>
      </c>
      <c r="J65" s="264" t="s">
        <v>100</v>
      </c>
      <c r="K65" s="264" t="s">
        <v>100</v>
      </c>
      <c r="L65" s="264" t="s">
        <v>100</v>
      </c>
      <c r="N65">
        <f t="array" ref="N65">((SUM(IFERROR((TEXT(IF(ISNUMBER(SEARCH("-", F65:L65)), MID(F65:L65, SEARCH("-", F65:L65) + 1, 4), ""), "00\:00") - TEXT(IF(ISNUMBER(SEARCH("-", F65:L65)), MID(F65:L65, SEARCH("-", F65:L65) - 4, 4), ""), "00\:00") + IF(TEXT(IF(ISNUMBER(SEARCH("-", F65:L65)), MID(F65:L65, SEARCH("-", F65:L65) + 1, 4), ""), "00\:00") &lt; TEXT(IF(ISNUMBER(SEARCH("-", F65:L65)), MID(F65:L65, SEARCH("-", F65:L65) - 4, 4), ""), "00\:00"), 1, 0))*24,""))))/9.5</f>
        <v>4</v>
      </c>
      <c r="O65"/>
      <c r="P65"/>
      <c r="Q65" s="2">
        <f t="shared" si="27"/>
        <v>4</v>
      </c>
      <c r="R65" s="2">
        <f t="shared" si="28"/>
        <v>5</v>
      </c>
      <c r="S65">
        <f t="shared" ca="1" si="29"/>
        <v>8</v>
      </c>
      <c r="T65" s="2">
        <f>(IFERROR(VLOOKUP(D65,'Employee Numbers'!$A$3:$C$84,3,FALSE),"NOT FOUND"))*8</f>
        <v>0</v>
      </c>
    </row>
    <row r="66" spans="1:20" s="2" customFormat="1" ht="15" customHeight="1">
      <c r="A66" s="44" t="s">
        <v>98</v>
      </c>
      <c r="B66" s="44"/>
      <c r="C66" s="45"/>
      <c r="D66" s="262" t="s">
        <v>106</v>
      </c>
      <c r="E66" s="39">
        <f>IFERROR(VLOOKUP(D66,'Employee Numbers'!$A$3:$B$84,2,FALSE),"NOT FOUND")</f>
        <v>611551</v>
      </c>
      <c r="F66" s="264"/>
      <c r="G66" s="264"/>
      <c r="H66" s="264"/>
      <c r="I66" s="264"/>
      <c r="J66" s="264" t="s">
        <v>100</v>
      </c>
      <c r="K66" s="264" t="s">
        <v>100</v>
      </c>
      <c r="L66" s="264"/>
      <c r="N66">
        <f t="array" ref="N66">((SUM(IFERROR((TEXT(IF(ISNUMBER(SEARCH("-", F66:L66)), MID(F66:L66, SEARCH("-", F66:L66) + 1, 4), ""), "00\:00") - TEXT(IF(ISNUMBER(SEARCH("-", F66:L66)), MID(F66:L66, SEARCH("-", F66:L66) - 4, 4), ""), "00\:00") + IF(TEXT(IF(ISNUMBER(SEARCH("-", F66:L66)), MID(F66:L66, SEARCH("-", F66:L66) + 1, 4), ""), "00\:00") &lt; TEXT(IF(ISNUMBER(SEARCH("-", F66:L66)), MID(F66:L66, SEARCH("-", F66:L66) - 4, 4), ""), "00\:00"), 1, 0))*24,""))))/9.5</f>
        <v>1.9999999999999996</v>
      </c>
      <c r="O66"/>
      <c r="P66"/>
      <c r="Q66" s="2">
        <f t="shared" si="27"/>
        <v>1.9999999999999996</v>
      </c>
      <c r="R66" s="2">
        <f t="shared" si="28"/>
        <v>2.5</v>
      </c>
      <c r="S66">
        <f t="shared" ca="1" si="29"/>
        <v>3.9999999999999996</v>
      </c>
      <c r="T66" s="2">
        <f>(IFERROR(VLOOKUP(D66,'Employee Numbers'!$A$3:$C$84,3,FALSE),"NOT FOUND"))*8</f>
        <v>0</v>
      </c>
    </row>
    <row r="67" spans="1:20" s="2" customFormat="1" ht="15" customHeight="1">
      <c r="A67" s="2" t="s">
        <v>98</v>
      </c>
      <c r="C67" s="21"/>
      <c r="D67" s="262" t="s">
        <v>107</v>
      </c>
      <c r="E67" s="39">
        <f>IFERROR(VLOOKUP(D67,'Employee Numbers'!$A$3:$B$84,2,FALSE),"NOT FOUND")</f>
        <v>615820</v>
      </c>
      <c r="F67" s="274" t="s">
        <v>176</v>
      </c>
      <c r="G67" s="274"/>
      <c r="H67" s="274"/>
      <c r="I67" s="274"/>
      <c r="J67" s="274"/>
      <c r="K67" s="274"/>
      <c r="L67" s="274"/>
      <c r="N67">
        <f t="array" ref="N67">((SUM(IFERROR((TEXT(IF(ISNUMBER(SEARCH("-", F67:L67)), MID(F67:L67, SEARCH("-", F67:L67) + 1, 4), ""), "00\:00") - TEXT(IF(ISNUMBER(SEARCH("-", F67:L67)), MID(F67:L67, SEARCH("-", F67:L67) - 4, 4), ""), "00\:00") + IF(TEXT(IF(ISNUMBER(SEARCH("-", F67:L67)), MID(F67:L67, SEARCH("-", F67:L67) + 1, 4), ""), "00\:00") &lt; TEXT(IF(ISNUMBER(SEARCH("-", F67:L67)), MID(F67:L67, SEARCH("-", F67:L67) - 4, 4), ""), "00\:00"), 1, 0))*24,""))))/9.5</f>
        <v>0</v>
      </c>
      <c r="O67"/>
      <c r="P67"/>
      <c r="Q67" s="2">
        <f t="shared" si="27"/>
        <v>0</v>
      </c>
      <c r="R67" s="2">
        <f t="shared" si="28"/>
        <v>0</v>
      </c>
      <c r="S67">
        <f t="shared" ca="1" si="29"/>
        <v>0</v>
      </c>
      <c r="T67" s="2">
        <f>(IFERROR(VLOOKUP(D67,'Employee Numbers'!$A$3:$C$84,3,FALSE),"NOT FOUND"))*8</f>
        <v>0</v>
      </c>
    </row>
    <row r="68" spans="1:20" s="2" customFormat="1" ht="15" customHeight="1">
      <c r="A68" s="44" t="s">
        <v>98</v>
      </c>
      <c r="B68" s="44"/>
      <c r="C68" s="45"/>
      <c r="D68" s="262" t="s">
        <v>108</v>
      </c>
      <c r="E68" s="39">
        <f>IFERROR(VLOOKUP(D68,'Employee Numbers'!$A$3:$B$84,2,FALSE),"NOT FOUND")</f>
        <v>654727</v>
      </c>
      <c r="F68" s="277" t="s">
        <v>176</v>
      </c>
      <c r="G68" s="277"/>
      <c r="H68" s="277"/>
      <c r="I68" s="277"/>
      <c r="J68" s="277"/>
      <c r="K68" s="277"/>
      <c r="L68" s="277"/>
      <c r="N68">
        <f t="array" ref="N68">((SUM(IFERROR((TEXT(IF(ISNUMBER(SEARCH("-", F68:L68)), MID(F68:L68, SEARCH("-", F68:L68) + 1, 4), ""), "00\:00") - TEXT(IF(ISNUMBER(SEARCH("-", F68:L68)), MID(F68:L68, SEARCH("-", F68:L68) - 4, 4), ""), "00\:00") + IF(TEXT(IF(ISNUMBER(SEARCH("-", F68:L68)), MID(F68:L68, SEARCH("-", F68:L68) + 1, 4), ""), "00\:00") &lt; TEXT(IF(ISNUMBER(SEARCH("-", F68:L68)), MID(F68:L68, SEARCH("-", F68:L68) - 4, 4), ""), "00\:00"), 1, 0))*24,""))))/9.5</f>
        <v>0</v>
      </c>
      <c r="O68"/>
      <c r="P68"/>
      <c r="Q68" s="2">
        <f t="shared" si="27"/>
        <v>0</v>
      </c>
      <c r="R68" s="2">
        <f t="shared" si="28"/>
        <v>0</v>
      </c>
      <c r="S68">
        <f t="shared" ca="1" si="29"/>
        <v>4</v>
      </c>
      <c r="T68" s="2">
        <f>(IFERROR(VLOOKUP(D68,'Employee Numbers'!$A$3:$C$84,3,FALSE),"NOT FOUND"))*8</f>
        <v>0</v>
      </c>
    </row>
    <row r="69" spans="1:20" s="2" customFormat="1" ht="15" customHeight="1">
      <c r="A69" s="2" t="s">
        <v>98</v>
      </c>
      <c r="C69" s="47"/>
      <c r="D69" s="262" t="s">
        <v>109</v>
      </c>
      <c r="E69" s="39">
        <f>IFERROR(VLOOKUP(D69,'Employee Numbers'!$A$3:$B$84,2,FALSE),"NOT FOUND")</f>
        <v>702947</v>
      </c>
      <c r="F69" s="264" t="s">
        <v>100</v>
      </c>
      <c r="G69" s="264" t="s">
        <v>100</v>
      </c>
      <c r="H69" s="264"/>
      <c r="I69" s="264"/>
      <c r="J69" s="264"/>
      <c r="K69" s="264" t="s">
        <v>42</v>
      </c>
      <c r="L69" s="264" t="s">
        <v>42</v>
      </c>
      <c r="N69">
        <f t="array" ref="N69">((SUM(IFERROR((TEXT(IF(ISNUMBER(SEARCH("-", F69:L69)), MID(F69:L69, SEARCH("-", F69:L69) + 1, 4), ""), "00\:00") - TEXT(IF(ISNUMBER(SEARCH("-", F69:L69)), MID(F69:L69, SEARCH("-", F69:L69) - 4, 4), ""), "00\:00") + IF(TEXT(IF(ISNUMBER(SEARCH("-", F69:L69)), MID(F69:L69, SEARCH("-", F69:L69) + 1, 4), ""), "00\:00") &lt; TEXT(IF(ISNUMBER(SEARCH("-", F69:L69)), MID(F69:L69, SEARCH("-", F69:L69) - 4, 4), ""), "00\:00"), 1, 0))*24,""))))/9.5</f>
        <v>4</v>
      </c>
      <c r="O69"/>
      <c r="P69"/>
      <c r="Q69" s="2">
        <f t="shared" si="27"/>
        <v>4</v>
      </c>
      <c r="R69" s="2">
        <f t="shared" si="28"/>
        <v>5</v>
      </c>
      <c r="S69">
        <f t="shared" ca="1" si="29"/>
        <v>7</v>
      </c>
      <c r="T69" s="2">
        <f>(IFERROR(VLOOKUP(D69,'Employee Numbers'!$A$3:$C$84,3,FALSE),"NOT FOUND"))*8</f>
        <v>0</v>
      </c>
    </row>
    <row r="70" spans="1:20" s="2" customFormat="1" ht="15" customHeight="1">
      <c r="A70" s="44" t="s">
        <v>98</v>
      </c>
      <c r="B70" s="44"/>
      <c r="C70" s="45"/>
      <c r="D70" s="262" t="s">
        <v>110</v>
      </c>
      <c r="E70" s="39">
        <f>IFERROR(VLOOKUP(D70,'Employee Numbers'!$A$3:$B$84,2,FALSE),"NOT FOUND")</f>
        <v>654002</v>
      </c>
      <c r="F70" s="264"/>
      <c r="G70" s="264" t="s">
        <v>44</v>
      </c>
      <c r="H70" s="264" t="s">
        <v>42</v>
      </c>
      <c r="I70" s="264" t="s">
        <v>42</v>
      </c>
      <c r="J70" s="264"/>
      <c r="K70" s="264"/>
      <c r="L70" s="264" t="s">
        <v>42</v>
      </c>
      <c r="N70">
        <f t="array" ref="N70">((SUM(IFERROR((TEXT(IF(ISNUMBER(SEARCH("-", F70:L70)), MID(F70:L70, SEARCH("-", F70:L70) + 1, 4), ""), "00\:00") - TEXT(IF(ISNUMBER(SEARCH("-", F70:L70)), MID(F70:L70, SEARCH("-", F70:L70) - 4, 4), ""), "00\:00") + IF(TEXT(IF(ISNUMBER(SEARCH("-", F70:L70)), MID(F70:L70, SEARCH("-", F70:L70) + 1, 4), ""), "00\:00") &lt; TEXT(IF(ISNUMBER(SEARCH("-", F70:L70)), MID(F70:L70, SEARCH("-", F70:L70) - 4, 4), ""), "00\:00"), 1, 0))*24,""))))/9.5</f>
        <v>4</v>
      </c>
      <c r="O70"/>
      <c r="P70"/>
      <c r="Q70" s="2">
        <f t="shared" si="27"/>
        <v>4</v>
      </c>
      <c r="R70" s="2">
        <f t="shared" si="28"/>
        <v>5</v>
      </c>
      <c r="S70">
        <f t="shared" ca="1" si="29"/>
        <v>8</v>
      </c>
      <c r="T70" s="2">
        <f>(IFERROR(VLOOKUP(D70,'Employee Numbers'!$A$3:$C$84,3,FALSE),"NOT FOUND"))*8</f>
        <v>0</v>
      </c>
    </row>
    <row r="71" spans="1:20" s="2" customFormat="1" ht="15" customHeight="1">
      <c r="A71" s="2" t="s">
        <v>98</v>
      </c>
      <c r="C71" s="21"/>
      <c r="D71" s="262" t="s">
        <v>111</v>
      </c>
      <c r="E71" s="39">
        <f>IFERROR(VLOOKUP(D71,'Employee Numbers'!$A$3:$B$84,2,FALSE),"NOT FOUND")</f>
        <v>703068</v>
      </c>
      <c r="F71" s="264" t="s">
        <v>44</v>
      </c>
      <c r="G71" s="264" t="s">
        <v>42</v>
      </c>
      <c r="H71" s="264"/>
      <c r="I71" s="264"/>
      <c r="J71" s="264"/>
      <c r="K71" s="264" t="s">
        <v>44</v>
      </c>
      <c r="L71" s="264" t="s">
        <v>44</v>
      </c>
      <c r="N71">
        <f t="array" ref="N71">((SUM(IFERROR((TEXT(IF(ISNUMBER(SEARCH("-", F71:L71)), MID(F71:L71, SEARCH("-", F71:L71) + 1, 4), ""), "00\:00") - TEXT(IF(ISNUMBER(SEARCH("-", F71:L71)), MID(F71:L71, SEARCH("-", F71:L71) - 4, 4), ""), "00\:00") + IF(TEXT(IF(ISNUMBER(SEARCH("-", F71:L71)), MID(F71:L71, SEARCH("-", F71:L71) + 1, 4), ""), "00\:00") &lt; TEXT(IF(ISNUMBER(SEARCH("-", F71:L71)), MID(F71:L71, SEARCH("-", F71:L71) - 4, 4), ""), "00\:00"), 1, 0))*24,""))))/9.5</f>
        <v>4</v>
      </c>
      <c r="O71"/>
      <c r="P71"/>
      <c r="Q71" s="2">
        <f t="shared" si="27"/>
        <v>4</v>
      </c>
      <c r="R71" s="2">
        <f t="shared" si="28"/>
        <v>5</v>
      </c>
      <c r="S71">
        <f t="shared" ca="1" si="29"/>
        <v>8</v>
      </c>
      <c r="T71" s="2">
        <f>(IFERROR(VLOOKUP(D71,'Employee Numbers'!$A$3:$C$84,3,FALSE),"NOT FOUND"))*8</f>
        <v>0</v>
      </c>
    </row>
    <row r="72" spans="1:20" s="2" customFormat="1" ht="15" customHeight="1">
      <c r="A72" s="44" t="s">
        <v>98</v>
      </c>
      <c r="B72" s="44"/>
      <c r="C72" s="45"/>
      <c r="D72" s="262" t="s">
        <v>113</v>
      </c>
      <c r="E72" s="39">
        <f>IFERROR(VLOOKUP(D72,'Employee Numbers'!$A$3:$B$84,2,FALSE),"NOT FOUND")</f>
        <v>703911</v>
      </c>
      <c r="F72" s="264" t="s">
        <v>100</v>
      </c>
      <c r="G72" s="264" t="s">
        <v>100</v>
      </c>
      <c r="H72" s="264" t="s">
        <v>100</v>
      </c>
      <c r="I72" s="264" t="s">
        <v>100</v>
      </c>
      <c r="J72" s="264"/>
      <c r="K72" s="264"/>
      <c r="L72" s="264"/>
      <c r="N72">
        <f t="array" ref="N72">((SUM(IFERROR((TEXT(IF(ISNUMBER(SEARCH("-", F72:L72)), MID(F72:L72, SEARCH("-", F72:L72) + 1, 4), ""), "00\:00") - TEXT(IF(ISNUMBER(SEARCH("-", F72:L72)), MID(F72:L72, SEARCH("-", F72:L72) - 4, 4), ""), "00\:00") + IF(TEXT(IF(ISNUMBER(SEARCH("-", F72:L72)), MID(F72:L72, SEARCH("-", F72:L72) + 1, 4), ""), "00\:00") &lt; TEXT(IF(ISNUMBER(SEARCH("-", F72:L72)), MID(F72:L72, SEARCH("-", F72:L72) - 4, 4), ""), "00\:00"), 1, 0))*24,""))))/9.5</f>
        <v>3.9999999999999991</v>
      </c>
      <c r="O72"/>
      <c r="P72"/>
      <c r="Q72" s="2">
        <f t="shared" si="27"/>
        <v>3.9999999999999991</v>
      </c>
      <c r="R72" s="2">
        <f t="shared" si="28"/>
        <v>5</v>
      </c>
      <c r="S72">
        <f t="shared" ca="1" si="29"/>
        <v>7.9999999999999991</v>
      </c>
      <c r="T72" s="2">
        <f>(IFERROR(VLOOKUP(D72,'Employee Numbers'!$A$3:$C$84,3,FALSE),"NOT FOUND"))*8</f>
        <v>0</v>
      </c>
    </row>
    <row r="73" spans="1:20" s="2" customFormat="1" ht="15" customHeight="1">
      <c r="A73" s="2" t="s">
        <v>98</v>
      </c>
      <c r="C73" s="21"/>
      <c r="D73" s="262" t="s">
        <v>114</v>
      </c>
      <c r="E73" s="39">
        <f>IFERROR(VLOOKUP(D73,'Employee Numbers'!$A$3:$B$84,2,FALSE),"NOT FOUND")</f>
        <v>633936</v>
      </c>
      <c r="F73" s="264" t="s">
        <v>42</v>
      </c>
      <c r="G73" s="264" t="s">
        <v>42</v>
      </c>
      <c r="H73" s="264"/>
      <c r="I73" s="264" t="s">
        <v>44</v>
      </c>
      <c r="J73" s="264" t="s">
        <v>42</v>
      </c>
      <c r="K73" s="264"/>
      <c r="L73" s="264"/>
      <c r="N73">
        <f t="array" ref="N73">((SUM(IFERROR((TEXT(IF(ISNUMBER(SEARCH("-", F73:L73)), MID(F73:L73, SEARCH("-", F73:L73) + 1, 4), ""), "00\:00") - TEXT(IF(ISNUMBER(SEARCH("-", F73:L73)), MID(F73:L73, SEARCH("-", F73:L73) - 4, 4), ""), "00\:00") + IF(TEXT(IF(ISNUMBER(SEARCH("-", F73:L73)), MID(F73:L73, SEARCH("-", F73:L73) + 1, 4), ""), "00\:00") &lt; TEXT(IF(ISNUMBER(SEARCH("-", F73:L73)), MID(F73:L73, SEARCH("-", F73:L73) - 4, 4), ""), "00\:00"), 1, 0))*24,""))))/9.5</f>
        <v>4</v>
      </c>
      <c r="O73"/>
      <c r="P73"/>
      <c r="Q73" s="2">
        <f t="shared" si="27"/>
        <v>4</v>
      </c>
      <c r="R73" s="2">
        <f t="shared" si="28"/>
        <v>5</v>
      </c>
      <c r="S73">
        <f t="shared" ca="1" si="29"/>
        <v>7.9999999999999991</v>
      </c>
      <c r="T73" s="2">
        <f>(IFERROR(VLOOKUP(D73,'Employee Numbers'!$A$3:$C$84,3,FALSE),"NOT FOUND"))*8</f>
        <v>0</v>
      </c>
    </row>
    <row r="74" spans="1:20" s="2" customFormat="1" ht="15" customHeight="1">
      <c r="A74" s="44" t="s">
        <v>98</v>
      </c>
      <c r="B74" s="44"/>
      <c r="C74" s="45"/>
      <c r="D74" s="262" t="s">
        <v>115</v>
      </c>
      <c r="E74" s="39">
        <f>IFERROR(VLOOKUP(D74,'Employee Numbers'!$A$3:$B$84,2,FALSE),"NOT FOUND")</f>
        <v>700755</v>
      </c>
      <c r="F74" s="264"/>
      <c r="G74" s="80" t="s">
        <v>180</v>
      </c>
      <c r="H74" s="80" t="s">
        <v>180</v>
      </c>
      <c r="I74" s="264"/>
      <c r="J74" s="264"/>
      <c r="K74" s="264" t="s">
        <v>42</v>
      </c>
      <c r="L74" s="264" t="s">
        <v>42</v>
      </c>
      <c r="N74">
        <f t="array" ref="N74">((SUM(IFERROR((TEXT(IF(ISNUMBER(SEARCH("-", F74:L74)), MID(F74:L74, SEARCH("-", F74:L74) + 1, 4), ""), "00\:00") - TEXT(IF(ISNUMBER(SEARCH("-", F74:L74)), MID(F74:L74, SEARCH("-", F74:L74) - 4, 4), ""), "00\:00") + IF(TEXT(IF(ISNUMBER(SEARCH("-", F74:L74)), MID(F74:L74, SEARCH("-", F74:L74) + 1, 4), ""), "00\:00") &lt; TEXT(IF(ISNUMBER(SEARCH("-", F74:L74)), MID(F74:L74, SEARCH("-", F74:L74) - 4, 4), ""), "00\:00"), 1, 0))*24,""))))/9.5</f>
        <v>2</v>
      </c>
      <c r="O74"/>
      <c r="P74"/>
      <c r="Q74" s="2">
        <f t="shared" si="27"/>
        <v>2</v>
      </c>
      <c r="R74" s="2">
        <f t="shared" si="28"/>
        <v>5</v>
      </c>
      <c r="S74">
        <f t="shared" ca="1" si="29"/>
        <v>6</v>
      </c>
      <c r="T74" s="2">
        <f>(IFERROR(VLOOKUP(D74,'Employee Numbers'!$A$3:$C$84,3,FALSE),"NOT FOUND"))*8</f>
        <v>0</v>
      </c>
    </row>
    <row r="75" spans="1:20" s="2" customFormat="1" ht="15" customHeight="1">
      <c r="A75" s="2" t="s">
        <v>98</v>
      </c>
      <c r="C75" s="21"/>
      <c r="D75" s="262" t="s">
        <v>116</v>
      </c>
      <c r="E75" s="39">
        <f>IFERROR(VLOOKUP(D75,'Employee Numbers'!$A$3:$B$84,2,FALSE),"NOT FOUND")</f>
        <v>704872</v>
      </c>
      <c r="F75" s="286"/>
      <c r="G75" s="286"/>
      <c r="H75" s="286"/>
      <c r="I75" s="279" t="s">
        <v>44</v>
      </c>
      <c r="J75" s="356" t="s">
        <v>44</v>
      </c>
      <c r="K75" s="279" t="s">
        <v>42</v>
      </c>
      <c r="L75" s="279" t="s">
        <v>42</v>
      </c>
      <c r="N75">
        <f t="array" ref="N75">((SUM(IFERROR((TEXT(IF(ISNUMBER(SEARCH("-", F75:L75)), MID(F75:L75, SEARCH("-", F75:L75) + 1, 4), ""), "00\:00") - TEXT(IF(ISNUMBER(SEARCH("-", F75:L75)), MID(F75:L75, SEARCH("-", F75:L75) - 4, 4), ""), "00\:00") + IF(TEXT(IF(ISNUMBER(SEARCH("-", F75:L75)), MID(F75:L75, SEARCH("-", F75:L75) + 1, 4), ""), "00\:00") &lt; TEXT(IF(ISNUMBER(SEARCH("-", F75:L75)), MID(F75:L75, SEARCH("-", F75:L75) - 4, 4), ""), "00\:00"), 1, 0))*24,""))))/9.5</f>
        <v>4</v>
      </c>
      <c r="O75"/>
      <c r="P75"/>
      <c r="Q75" s="2">
        <f t="shared" si="27"/>
        <v>4</v>
      </c>
      <c r="R75" s="2">
        <f t="shared" si="28"/>
        <v>5</v>
      </c>
      <c r="S75">
        <f t="shared" ca="1" si="29"/>
        <v>8</v>
      </c>
      <c r="T75" s="2">
        <f>(IFERROR(VLOOKUP(D75,'Employee Numbers'!$A$3:$C$84,3,FALSE),"NOT FOUND"))*8</f>
        <v>0</v>
      </c>
    </row>
    <row r="76" spans="1:20" s="2" customFormat="1" ht="15" customHeight="1">
      <c r="A76" s="44" t="s">
        <v>98</v>
      </c>
      <c r="B76" s="44"/>
      <c r="C76" s="45"/>
      <c r="D76" s="262" t="s">
        <v>117</v>
      </c>
      <c r="E76" s="285">
        <f>IFERROR(VLOOKUP(D76,'Employee Numbers'!$A$3:$B$84,2,FALSE),"NOT FOUND")</f>
        <v>700712</v>
      </c>
      <c r="F76" s="264"/>
      <c r="G76" s="355" t="s">
        <v>44</v>
      </c>
      <c r="H76" s="264" t="s">
        <v>42</v>
      </c>
      <c r="I76" s="264" t="s">
        <v>42</v>
      </c>
      <c r="J76" s="264" t="s">
        <v>42</v>
      </c>
      <c r="K76" s="264"/>
      <c r="L76" s="264"/>
      <c r="N76">
        <f t="array" ref="N76">((SUM(IFERROR((TEXT(IF(ISNUMBER(SEARCH("-", F76:L76)), MID(F76:L76, SEARCH("-", F76:L76) + 1, 4), ""), "00\:00") - TEXT(IF(ISNUMBER(SEARCH("-", F76:L76)), MID(F76:L76, SEARCH("-", F76:L76) - 4, 4), ""), "00\:00") + IF(TEXT(IF(ISNUMBER(SEARCH("-", F76:L76)), MID(F76:L76, SEARCH("-", F76:L76) + 1, 4), ""), "00\:00") &lt; TEXT(IF(ISNUMBER(SEARCH("-", F76:L76)), MID(F76:L76, SEARCH("-", F76:L76) - 4, 4), ""), "00\:00"), 1, 0))*24,""))))/9.5</f>
        <v>4</v>
      </c>
      <c r="O76"/>
      <c r="P76"/>
      <c r="Q76" s="2">
        <f t="shared" si="27"/>
        <v>4</v>
      </c>
      <c r="R76" s="2">
        <f t="shared" si="28"/>
        <v>5</v>
      </c>
      <c r="S76">
        <f t="shared" ca="1" si="29"/>
        <v>7.9999999999999991</v>
      </c>
      <c r="T76" s="2">
        <f>(IFERROR(VLOOKUP(D76,'Employee Numbers'!$A$3:$C$84,3,FALSE),"NOT FOUND"))*8</f>
        <v>0</v>
      </c>
    </row>
    <row r="77" spans="1:20" s="2" customFormat="1" ht="15" customHeight="1">
      <c r="A77" s="2" t="s">
        <v>98</v>
      </c>
      <c r="C77" s="47"/>
      <c r="D77" s="262" t="s">
        <v>119</v>
      </c>
      <c r="E77" s="285">
        <f>IFERROR(VLOOKUP(D77,'Employee Numbers'!$A$3:$B$84,2,FALSE),"NOT FOUND")</f>
        <v>700818</v>
      </c>
      <c r="F77" s="264"/>
      <c r="G77" s="264"/>
      <c r="H77" s="264"/>
      <c r="I77" s="355" t="s">
        <v>44</v>
      </c>
      <c r="J77" s="264" t="s">
        <v>42</v>
      </c>
      <c r="K77" s="264" t="s">
        <v>42</v>
      </c>
      <c r="L77" s="264" t="s">
        <v>42</v>
      </c>
      <c r="N77">
        <f t="array" ref="N77">((SUM(IFERROR((TEXT(IF(ISNUMBER(SEARCH("-", F77:L77)), MID(F77:L77, SEARCH("-", F77:L77) + 1, 4), ""), "00\:00") - TEXT(IF(ISNUMBER(SEARCH("-", F77:L77)), MID(F77:L77, SEARCH("-", F77:L77) - 4, 4), ""), "00\:00") + IF(TEXT(IF(ISNUMBER(SEARCH("-", F77:L77)), MID(F77:L77, SEARCH("-", F77:L77) + 1, 4), ""), "00\:00") &lt; TEXT(IF(ISNUMBER(SEARCH("-", F77:L77)), MID(F77:L77, SEARCH("-", F77:L77) - 4, 4), ""), "00\:00"), 1, 0))*24,""))))/9.5</f>
        <v>4</v>
      </c>
      <c r="O77"/>
      <c r="P77"/>
      <c r="Q77" s="2">
        <f t="shared" si="27"/>
        <v>4</v>
      </c>
      <c r="R77" s="2">
        <f t="shared" si="28"/>
        <v>5</v>
      </c>
      <c r="S77">
        <f t="shared" ca="1" si="29"/>
        <v>8</v>
      </c>
      <c r="T77" s="2">
        <f>(IFERROR(VLOOKUP(D77,'Employee Numbers'!$A$3:$C$84,3,FALSE),"NOT FOUND"))*8</f>
        <v>0</v>
      </c>
    </row>
    <row r="78" spans="1:20" s="2" customFormat="1" ht="15" customHeight="1">
      <c r="A78" s="44" t="s">
        <v>98</v>
      </c>
      <c r="B78" s="44"/>
      <c r="C78" s="45"/>
      <c r="D78" s="262" t="s">
        <v>120</v>
      </c>
      <c r="E78" s="285">
        <f>IFERROR(VLOOKUP(D78,'Employee Numbers'!$A$3:$B$84,2,FALSE),"NOT FOUND")</f>
        <v>650101</v>
      </c>
      <c r="F78" s="264" t="s">
        <v>42</v>
      </c>
      <c r="G78" s="264" t="s">
        <v>42</v>
      </c>
      <c r="H78" s="264" t="s">
        <v>100</v>
      </c>
      <c r="I78" s="264" t="s">
        <v>100</v>
      </c>
      <c r="J78" s="264"/>
      <c r="K78" s="264"/>
      <c r="L78" s="264"/>
      <c r="N78">
        <f t="array" ref="N78">((SUM(IFERROR((TEXT(IF(ISNUMBER(SEARCH("-", F78:L78)), MID(F78:L78, SEARCH("-", F78:L78) + 1, 4), ""), "00\:00") - TEXT(IF(ISNUMBER(SEARCH("-", F78:L78)), MID(F78:L78, SEARCH("-", F78:L78) - 4, 4), ""), "00\:00") + IF(TEXT(IF(ISNUMBER(SEARCH("-", F78:L78)), MID(F78:L78, SEARCH("-", F78:L78) + 1, 4), ""), "00\:00") &lt; TEXT(IF(ISNUMBER(SEARCH("-", F78:L78)), MID(F78:L78, SEARCH("-", F78:L78) - 4, 4), ""), "00\:00"), 1, 0))*24,""))))/9.5</f>
        <v>4</v>
      </c>
      <c r="O78"/>
      <c r="P78"/>
      <c r="Q78" s="2">
        <f t="shared" si="27"/>
        <v>4</v>
      </c>
      <c r="R78" s="2">
        <f t="shared" si="28"/>
        <v>2.5</v>
      </c>
      <c r="S78">
        <f t="shared" ca="1" si="29"/>
        <v>4</v>
      </c>
      <c r="T78" s="2">
        <f>(IFERROR(VLOOKUP(D78,'Employee Numbers'!$A$3:$C$84,3,FALSE),"NOT FOUND"))*8</f>
        <v>0</v>
      </c>
    </row>
    <row r="79" spans="1:20" s="2" customFormat="1" ht="15" customHeight="1">
      <c r="A79" s="2" t="s">
        <v>98</v>
      </c>
      <c r="C79" s="21"/>
      <c r="D79" s="262" t="s">
        <v>122</v>
      </c>
      <c r="E79" s="285">
        <f>IFERROR(VLOOKUP(D79,'Employee Numbers'!$A$3:$B$84,2,FALSE),"NOT FOUND")</f>
        <v>654888</v>
      </c>
      <c r="F79" s="264"/>
      <c r="G79" s="264" t="s">
        <v>44</v>
      </c>
      <c r="H79" s="264" t="s">
        <v>42</v>
      </c>
      <c r="I79" s="264" t="s">
        <v>42</v>
      </c>
      <c r="J79" s="264" t="s">
        <v>42</v>
      </c>
      <c r="K79" s="264"/>
      <c r="L79" s="264"/>
      <c r="N79">
        <f t="array" ref="N79">((SUM(IFERROR((TEXT(IF(ISNUMBER(SEARCH("-", F79:L79)), MID(F79:L79, SEARCH("-", F79:L79) + 1, 4), ""), "00\:00") - TEXT(IF(ISNUMBER(SEARCH("-", F79:L79)), MID(F79:L79, SEARCH("-", F79:L79) - 4, 4), ""), "00\:00") + IF(TEXT(IF(ISNUMBER(SEARCH("-", F79:L79)), MID(F79:L79, SEARCH("-", F79:L79) + 1, 4), ""), "00\:00") &lt; TEXT(IF(ISNUMBER(SEARCH("-", F79:L79)), MID(F79:L79, SEARCH("-", F79:L79) - 4, 4), ""), "00\:00"), 1, 0))*24,""))))/9.5</f>
        <v>4</v>
      </c>
      <c r="O79"/>
      <c r="P79"/>
      <c r="Q79" s="2">
        <f t="shared" si="27"/>
        <v>4</v>
      </c>
      <c r="R79" s="2">
        <f t="shared" si="28"/>
        <v>5</v>
      </c>
      <c r="S79">
        <f t="shared" ca="1" si="29"/>
        <v>7.9999999999999991</v>
      </c>
      <c r="T79" s="2">
        <f>(IFERROR(VLOOKUP(D79,'Employee Numbers'!$A$3:$C$84,3,FALSE),"NOT FOUND"))*8</f>
        <v>0</v>
      </c>
    </row>
    <row r="80" spans="1:20" s="2" customFormat="1" ht="15" customHeight="1">
      <c r="A80" s="44" t="s">
        <v>98</v>
      </c>
      <c r="B80" s="44"/>
      <c r="C80" s="45"/>
      <c r="D80" s="262" t="s">
        <v>123</v>
      </c>
      <c r="E80" s="285">
        <f>IFERROR(VLOOKUP(D80,'Employee Numbers'!$A$3:$B$84,2,FALSE),"NOT FOUND")</f>
        <v>703880</v>
      </c>
      <c r="F80" s="264"/>
      <c r="G80" s="264" t="s">
        <v>42</v>
      </c>
      <c r="H80" s="264" t="s">
        <v>42</v>
      </c>
      <c r="I80" s="264"/>
      <c r="J80" s="264" t="s">
        <v>100</v>
      </c>
      <c r="K80" s="264" t="s">
        <v>100</v>
      </c>
      <c r="L80" s="264" t="s">
        <v>100</v>
      </c>
      <c r="N80">
        <f t="array" ref="N80">((SUM(IFERROR((TEXT(IF(ISNUMBER(SEARCH("-", F80:L80)), MID(F80:L80, SEARCH("-", F80:L80) + 1, 4), ""), "00\:00") - TEXT(IF(ISNUMBER(SEARCH("-", F80:L80)), MID(F80:L80, SEARCH("-", F80:L80) - 4, 4), ""), "00\:00") + IF(TEXT(IF(ISNUMBER(SEARCH("-", F80:L80)), MID(F80:L80, SEARCH("-", F80:L80) + 1, 4), ""), "00\:00") &lt; TEXT(IF(ISNUMBER(SEARCH("-", F80:L80)), MID(F80:L80, SEARCH("-", F80:L80) - 4, 4), ""), "00\:00"), 1, 0))*24,""))))/9.5</f>
        <v>5</v>
      </c>
      <c r="O80"/>
      <c r="P80"/>
      <c r="Q80" s="2">
        <f t="shared" si="27"/>
        <v>5</v>
      </c>
      <c r="R80" s="2">
        <f t="shared" si="28"/>
        <v>5</v>
      </c>
      <c r="S80">
        <f t="shared" ca="1" si="29"/>
        <v>8</v>
      </c>
      <c r="T80" s="2">
        <f>(IFERROR(VLOOKUP(D80,'Employee Numbers'!$A$3:$C$84,3,FALSE),"NOT FOUND"))*8</f>
        <v>0</v>
      </c>
    </row>
    <row r="81" spans="1:21" s="13" customFormat="1" ht="15" customHeight="1">
      <c r="A81" s="2" t="s">
        <v>98</v>
      </c>
      <c r="B81" s="2"/>
      <c r="C81" s="21"/>
      <c r="D81" s="262" t="s">
        <v>124</v>
      </c>
      <c r="E81" s="285">
        <f>IFERROR(VLOOKUP(D81,'Employee Numbers'!$A$3:$B$84,2,FALSE),"NOT FOUND")</f>
        <v>703334</v>
      </c>
      <c r="F81" s="264" t="s">
        <v>42</v>
      </c>
      <c r="G81" s="264" t="s">
        <v>42</v>
      </c>
      <c r="H81" s="264" t="s">
        <v>42</v>
      </c>
      <c r="I81" s="264"/>
      <c r="J81" s="264" t="s">
        <v>44</v>
      </c>
      <c r="K81" s="275"/>
      <c r="L81" s="275"/>
      <c r="N81">
        <f t="array" ref="N81">((SUM(IFERROR((TEXT(IF(ISNUMBER(SEARCH("-", F81:L81)), MID(F81:L81, SEARCH("-", F81:L81) + 1, 4), ""), "00\:00") - TEXT(IF(ISNUMBER(SEARCH("-", F81:L81)), MID(F81:L81, SEARCH("-", F81:L81) - 4, 4), ""), "00\:00") + IF(TEXT(IF(ISNUMBER(SEARCH("-", F81:L81)), MID(F81:L81, SEARCH("-", F81:L81) + 1, 4), ""), "00\:00") &lt; TEXT(IF(ISNUMBER(SEARCH("-", F81:L81)), MID(F81:L81, SEARCH("-", F81:L81) - 4, 4), ""), "00\:00"), 1, 0))*24,""))))/9.5</f>
        <v>4</v>
      </c>
      <c r="O81"/>
      <c r="P81"/>
      <c r="Q81" s="2">
        <f>P81+O81+N81</f>
        <v>4</v>
      </c>
      <c r="R81" s="2">
        <f>IF(ISNUMBER(SEARCH("trg_5",H173)),5,IF(ISNUMBER(SEARCH("trg_3.75",H173)),3.75,IF(ISNUMBER(SEARCH("trg_2.5",H173)),2.5,IF(ISNUMBER(SEARCH("trg_1.75",H173)),1.75,0))))</f>
        <v>5</v>
      </c>
      <c r="S81">
        <f t="shared" ca="1" si="29"/>
        <v>4</v>
      </c>
      <c r="T81" s="2">
        <f>(IFERROR(VLOOKUP(D81,'Employee Numbers'!$A$3:$C$84,3,FALSE),"NOT FOUND"))*8</f>
        <v>0</v>
      </c>
      <c r="U81" s="2"/>
    </row>
    <row r="82" spans="1:21" s="2" customFormat="1" ht="15" customHeight="1">
      <c r="A82" s="44" t="s">
        <v>98</v>
      </c>
      <c r="B82" s="44"/>
      <c r="C82" s="45"/>
      <c r="D82" s="262" t="s">
        <v>125</v>
      </c>
      <c r="E82" s="285">
        <f>IFERROR(VLOOKUP(D82,'Employee Numbers'!$A$3:$B$84,2,FALSE),"NOT FOUND")</f>
        <v>700538</v>
      </c>
      <c r="F82" s="264" t="s">
        <v>42</v>
      </c>
      <c r="G82" s="264"/>
      <c r="H82" s="264"/>
      <c r="I82" s="264"/>
      <c r="J82" s="264"/>
      <c r="K82" s="355" t="s">
        <v>44</v>
      </c>
      <c r="L82" s="264" t="s">
        <v>44</v>
      </c>
      <c r="N82">
        <f t="array" ref="N82">((SUM(IFERROR((TEXT(IF(ISNUMBER(SEARCH("-", F82:L82)), MID(F82:L82, SEARCH("-", F82:L82) + 1, 4), ""), "00\:00") - TEXT(IF(ISNUMBER(SEARCH("-", F82:L82)), MID(F82:L82, SEARCH("-", F82:L82) - 4, 4), ""), "00\:00") + IF(TEXT(IF(ISNUMBER(SEARCH("-", F82:L82)), MID(F82:L82, SEARCH("-", F82:L82) + 1, 4), ""), "00\:00") &lt; TEXT(IF(ISNUMBER(SEARCH("-", F82:L82)), MID(F82:L82, SEARCH("-", F82:L82) - 4, 4), ""), "00\:00"), 1, 0))*24,""))))/9.5</f>
        <v>3</v>
      </c>
      <c r="O82"/>
      <c r="P82"/>
      <c r="Q82" s="2">
        <f>P82+O82+N82</f>
        <v>3</v>
      </c>
      <c r="R82" s="2">
        <f>IF(ISNUMBER(SEARCH("trg_5",H174)),5,IF(ISNUMBER(SEARCH("trg_3.75",H174)),3.75,IF(ISNUMBER(SEARCH("trg_2.5",H174)),2.5,IF(ISNUMBER(SEARCH("trg_1.75",H174)),1.75,0))))</f>
        <v>3.75</v>
      </c>
      <c r="S82">
        <f t="shared" ca="1" si="29"/>
        <v>6</v>
      </c>
      <c r="T82" s="2">
        <f>(IFERROR(VLOOKUP(D82,'Employee Numbers'!$A$3:$C$84,3,FALSE),"NOT FOUND"))*8</f>
        <v>0</v>
      </c>
    </row>
    <row r="83" spans="1:21" s="2" customFormat="1" ht="15" customHeight="1">
      <c r="A83" s="2" t="s">
        <v>98</v>
      </c>
      <c r="C83" s="21"/>
      <c r="D83" s="262" t="s">
        <v>126</v>
      </c>
      <c r="E83" s="39">
        <f>IFERROR(VLOOKUP(D83,'Employee Numbers'!$A$3:$B$84,2,FALSE),"NOT FOUND")</f>
        <v>704862</v>
      </c>
      <c r="F83" s="178"/>
      <c r="G83" s="178"/>
      <c r="H83" s="178"/>
      <c r="I83" s="178"/>
      <c r="J83" s="178"/>
      <c r="K83" s="178"/>
      <c r="L83" s="178"/>
      <c r="N83">
        <f t="array" ref="N83">((SUM(IFERROR((TEXT(IF(ISNUMBER(SEARCH("-", F83:L83)), MID(F83:L83, SEARCH("-", F83:L83) + 1, 4), ""), "00\:00") - TEXT(IF(ISNUMBER(SEARCH("-", F83:L83)), MID(F83:L83, SEARCH("-", F83:L83) - 4, 4), ""), "00\:00") + IF(TEXT(IF(ISNUMBER(SEARCH("-", F83:L83)), MID(F83:L83, SEARCH("-", F83:L83) + 1, 4), ""), "00\:00") &lt; TEXT(IF(ISNUMBER(SEARCH("-", F83:L83)), MID(F83:L83, SEARCH("-", F83:L83) - 4, 4), ""), "00\:00"), 1, 0))*24,""))))/9.5</f>
        <v>0</v>
      </c>
      <c r="O83"/>
      <c r="P83"/>
      <c r="Q83" s="2">
        <f>P83+O83+N83</f>
        <v>0</v>
      </c>
      <c r="R83" s="2">
        <f>IF(ISNUMBER(SEARCH("trg_5",H175)),5,IF(ISNUMBER(SEARCH("trg_3.75",H175)),3.75,IF(ISNUMBER(SEARCH("trg_2.5",H175)),2.5,IF(ISNUMBER(SEARCH("trg_1.75",H175)),1.75,0))))</f>
        <v>2.5</v>
      </c>
      <c r="S83">
        <f t="shared" ca="1" si="29"/>
        <v>4</v>
      </c>
      <c r="T83" s="2">
        <f>(IFERROR(VLOOKUP(D83,'Employee Numbers'!$A$3:$C$84,3,FALSE),"NOT FOUND"))*8</f>
        <v>0</v>
      </c>
    </row>
    <row r="84" spans="1:21" s="2" customFormat="1" ht="15" customHeight="1">
      <c r="A84" s="44" t="s">
        <v>98</v>
      </c>
      <c r="B84" s="44"/>
      <c r="C84" s="45"/>
      <c r="D84" s="128"/>
      <c r="E84" s="129" t="str">
        <f>IFERROR(VLOOKUP(D84,'Employee Numbers'!$A$3:$B$84,2,FALSE),"NOT FOUND")</f>
        <v>NOT FOUND</v>
      </c>
      <c r="F84" s="136"/>
      <c r="G84" s="136"/>
      <c r="H84" s="136"/>
      <c r="I84" s="136"/>
      <c r="J84" s="136"/>
      <c r="K84" s="136"/>
      <c r="L84" s="136"/>
      <c r="N84">
        <f t="array" ref="N84">((SUM(IFERROR((TEXT(IF(ISNUMBER(SEARCH("-", F84:L84)), MID(F84:L84, SEARCH("-", F84:L84) + 1, 4), ""), "00\:00") - TEXT(IF(ISNUMBER(SEARCH("-", F84:L84)), MID(F84:L84, SEARCH("-", F84:L84) - 4, 4), ""), "00\:00") + IF(TEXT(IF(ISNUMBER(SEARCH("-", F84:L84)), MID(F84:L84, SEARCH("-", F84:L84) + 1, 4), ""), "00\:00") &lt; TEXT(IF(ISNUMBER(SEARCH("-", F84:L84)), MID(F84:L84, SEARCH("-", F84:L84) - 4, 4), ""), "00\:00"), 1, 0))*24,""))))/9.5</f>
        <v>0</v>
      </c>
      <c r="O84"/>
      <c r="P84"/>
      <c r="Q84" s="2">
        <f>P84+O84+N84</f>
        <v>0</v>
      </c>
      <c r="R84" s="2">
        <f>IF(ISNUMBER(SEARCH("trg_5",H176)),5,IF(ISNUMBER(SEARCH("trg_3.75",H176)),3.75,IF(ISNUMBER(SEARCH("trg_2.5",H176)),2.5,IF(ISNUMBER(SEARCH("trg_1.75",H176)),1.75,0))))</f>
        <v>5</v>
      </c>
      <c r="S84">
        <f t="shared" ca="1" si="29"/>
        <v>0</v>
      </c>
      <c r="T84" s="2" t="e">
        <f>(IFERROR(VLOOKUP(D84,'Employee Numbers'!$A$3:$C$84,3,FALSE),"NOT FOUND"))*8</f>
        <v>#VALUE!</v>
      </c>
    </row>
    <row r="85" spans="1:21" s="2" customFormat="1" ht="15" customHeight="1">
      <c r="A85" s="137" t="s">
        <v>128</v>
      </c>
      <c r="B85" s="138"/>
      <c r="C85" s="139"/>
      <c r="D85" s="140" t="s">
        <v>128</v>
      </c>
      <c r="E85" s="141" t="s">
        <v>4</v>
      </c>
      <c r="F85" s="281" t="s">
        <v>5</v>
      </c>
      <c r="G85" s="281" t="s">
        <v>6</v>
      </c>
      <c r="H85" s="281" t="s">
        <v>7</v>
      </c>
      <c r="I85" s="281" t="s">
        <v>8</v>
      </c>
      <c r="J85" s="281" t="s">
        <v>9</v>
      </c>
      <c r="K85" s="281" t="s">
        <v>10</v>
      </c>
      <c r="L85" s="282" t="s">
        <v>11</v>
      </c>
      <c r="M85" s="34"/>
      <c r="N85"/>
      <c r="O85"/>
      <c r="P85"/>
    </row>
    <row r="86" spans="1:21" s="2" customFormat="1" ht="15" customHeight="1">
      <c r="A86" s="44" t="s">
        <v>129</v>
      </c>
      <c r="B86" s="44"/>
      <c r="C86" s="45"/>
      <c r="D86" s="263" t="s">
        <v>130</v>
      </c>
      <c r="E86" s="284">
        <f>IFERROR(VLOOKUP(D86,'Employee Numbers'!$A$3:$B$84,2,FALSE),"NOT FOUND")</f>
        <v>703066</v>
      </c>
      <c r="F86" s="264" t="s">
        <v>100</v>
      </c>
      <c r="G86" s="264" t="s">
        <v>100</v>
      </c>
      <c r="H86" s="264" t="s">
        <v>100</v>
      </c>
      <c r="I86" s="264" t="s">
        <v>100</v>
      </c>
      <c r="J86" s="264"/>
      <c r="K86" s="264"/>
      <c r="L86" s="264"/>
      <c r="N86">
        <f t="array" ref="N86">((SUM(IFERROR((TEXT(IF(ISNUMBER(SEARCH("-", F86:L86)), MID(F86:L86, SEARCH("-", F86:L86) + 1, 4), ""), "00\:00") - TEXT(IF(ISNUMBER(SEARCH("-", F86:L86)), MID(F86:L86, SEARCH("-", F86:L86) - 4, 4), ""), "00\:00") + IF(TEXT(IF(ISNUMBER(SEARCH("-", F86:L86)), MID(F86:L86, SEARCH("-", F86:L86) + 1, 4), ""), "00\:00") &lt; TEXT(IF(ISNUMBER(SEARCH("-", F86:L86)), MID(F86:L86, SEARCH("-", F86:L86) - 4, 4), ""), "00\:00"), 1, 0))*24,""))))/9.5</f>
        <v>3.9999999999999991</v>
      </c>
      <c r="O86"/>
      <c r="P86"/>
      <c r="Q86" s="2">
        <f>P86+O86+N86</f>
        <v>3.9999999999999991</v>
      </c>
      <c r="S86">
        <f t="shared" ref="S86:S99" ca="1" si="30">IF($C$4=1,SUM(Q86+INDIRECT("'Week "&amp;($B$3+1)&amp;"'!Q"&amp;(ROW()))),IF($C$4=2,SUM(Q86+INDIRECT("'Week "&amp;($B$3-1)&amp;"'!Q"&amp;(ROW())))))</f>
        <v>7.9999999999999991</v>
      </c>
      <c r="T86" s="2" t="e">
        <f>(IFERROR(VLOOKUP(D86,'Employee Numbers'!$A$3:$C$84,3,FALSE),"NOT FOUND"))*8</f>
        <v>#VALUE!</v>
      </c>
    </row>
    <row r="87" spans="1:21" s="2" customFormat="1" ht="15" customHeight="1">
      <c r="A87" s="2" t="s">
        <v>129</v>
      </c>
      <c r="C87" s="21"/>
      <c r="D87" s="263" t="s">
        <v>131</v>
      </c>
      <c r="E87" s="285">
        <f>IFERROR(VLOOKUP(D87,'Employee Numbers'!$A$3:$B$84,2,FALSE),"NOT FOUND")</f>
        <v>648637</v>
      </c>
      <c r="F87" s="264"/>
      <c r="G87" s="264" t="s">
        <v>42</v>
      </c>
      <c r="H87" s="264" t="s">
        <v>42</v>
      </c>
      <c r="I87" s="264"/>
      <c r="J87" s="264"/>
      <c r="K87" s="264" t="s">
        <v>42</v>
      </c>
      <c r="L87" s="264" t="s">
        <v>42</v>
      </c>
      <c r="N87">
        <f t="array" ref="N87">((SUM(IFERROR((TEXT(IF(ISNUMBER(SEARCH("-", F87:L87)), MID(F87:L87, SEARCH("-", F87:L87) + 1, 4), ""), "00\:00") - TEXT(IF(ISNUMBER(SEARCH("-", F87:L87)), MID(F87:L87, SEARCH("-", F87:L87) - 4, 4), ""), "00\:00") + IF(TEXT(IF(ISNUMBER(SEARCH("-", F87:L87)), MID(F87:L87, SEARCH("-", F87:L87) + 1, 4), ""), "00\:00") &lt; TEXT(IF(ISNUMBER(SEARCH("-", F87:L87)), MID(F87:L87, SEARCH("-", F87:L87) - 4, 4), ""), "00\:00"), 1, 0))*24,""))))/9.5</f>
        <v>4</v>
      </c>
      <c r="O87"/>
      <c r="P87"/>
      <c r="Q87" s="2">
        <f t="shared" ref="Q87:Q96" si="31">P87+O87+N87</f>
        <v>4</v>
      </c>
      <c r="S87">
        <f t="shared" ca="1" si="30"/>
        <v>8</v>
      </c>
      <c r="T87" s="2" t="e">
        <f>(IFERROR(VLOOKUP(D87,'Employee Numbers'!$A$3:$C$84,3,FALSE),"NOT FOUND"))*8</f>
        <v>#VALUE!</v>
      </c>
    </row>
    <row r="88" spans="1:21" s="13" customFormat="1" ht="15" customHeight="1">
      <c r="A88" s="44" t="s">
        <v>129</v>
      </c>
      <c r="B88" s="44"/>
      <c r="C88" s="45"/>
      <c r="D88" s="263" t="s">
        <v>132</v>
      </c>
      <c r="E88" s="285">
        <f>IFERROR(VLOOKUP(D88,'Employee Numbers'!$A$3:$B$84,2,FALSE),"NOT FOUND")</f>
        <v>703161</v>
      </c>
      <c r="F88" s="264" t="s">
        <v>100</v>
      </c>
      <c r="G88" s="264" t="s">
        <v>100</v>
      </c>
      <c r="H88" s="264" t="s">
        <v>100</v>
      </c>
      <c r="I88" s="264" t="s">
        <v>100</v>
      </c>
      <c r="J88" s="264"/>
      <c r="K88" s="264"/>
      <c r="L88" s="275"/>
      <c r="M88" s="2"/>
      <c r="N88">
        <f t="array" ref="N88">((SUM(IFERROR((TEXT(IF(ISNUMBER(SEARCH("-", F88:L88)), MID(F88:L88, SEARCH("-", F88:L88) + 1, 4), ""), "00\:00") - TEXT(IF(ISNUMBER(SEARCH("-", F88:L88)), MID(F88:L88, SEARCH("-", F88:L88) - 4, 4), ""), "00\:00") + IF(TEXT(IF(ISNUMBER(SEARCH("-", F88:L88)), MID(F88:L88, SEARCH("-", F88:L88) + 1, 4), ""), "00\:00") &lt; TEXT(IF(ISNUMBER(SEARCH("-", F88:L88)), MID(F88:L88, SEARCH("-", F88:L88) - 4, 4), ""), "00\:00"), 1, 0))*24,""))))/9.5</f>
        <v>3.9999999999999991</v>
      </c>
      <c r="O88"/>
      <c r="P88"/>
      <c r="Q88" s="2">
        <f t="shared" si="31"/>
        <v>3.9999999999999991</v>
      </c>
      <c r="R88" s="2"/>
      <c r="S88">
        <f t="shared" ca="1" si="30"/>
        <v>3.9999999999999991</v>
      </c>
      <c r="T88" s="2" t="e">
        <f>(IFERROR(VLOOKUP(D88,'Employee Numbers'!$A$3:$C$84,3,FALSE),"NOT FOUND"))*8</f>
        <v>#VALUE!</v>
      </c>
      <c r="U88" s="2"/>
    </row>
    <row r="89" spans="1:21" s="2" customFormat="1" ht="15" customHeight="1">
      <c r="A89" s="2" t="s">
        <v>129</v>
      </c>
      <c r="C89" s="21"/>
      <c r="D89" s="263" t="s">
        <v>133</v>
      </c>
      <c r="E89" s="285">
        <f>IFERROR(VLOOKUP(D89,'Employee Numbers'!$A$3:$B$84,2,FALSE),"NOT FOUND")</f>
        <v>655179</v>
      </c>
      <c r="F89" s="264"/>
      <c r="G89" s="264"/>
      <c r="H89" s="264"/>
      <c r="I89" s="264"/>
      <c r="J89" s="264"/>
      <c r="K89" s="264"/>
      <c r="L89" s="264"/>
      <c r="N89">
        <f t="array" ref="N89">((SUM(IFERROR((TEXT(IF(ISNUMBER(SEARCH("-", F89:L89)), MID(F89:L89, SEARCH("-", F89:L89) + 1, 4), ""), "00\:00") - TEXT(IF(ISNUMBER(SEARCH("-", F89:L89)), MID(F89:L89, SEARCH("-", F89:L89) - 4, 4), ""), "00\:00") + IF(TEXT(IF(ISNUMBER(SEARCH("-", F89:L89)), MID(F89:L89, SEARCH("-", F89:L89) + 1, 4), ""), "00\:00") &lt; TEXT(IF(ISNUMBER(SEARCH("-", F89:L89)), MID(F89:L89, SEARCH("-", F89:L89) - 4, 4), ""), "00\:00"), 1, 0))*24,""))))/9.5</f>
        <v>0</v>
      </c>
      <c r="O89"/>
      <c r="P89"/>
      <c r="Q89" s="2">
        <f t="shared" si="31"/>
        <v>0</v>
      </c>
      <c r="S89">
        <f t="shared" ca="1" si="30"/>
        <v>0</v>
      </c>
      <c r="T89" s="2" t="e">
        <f>(IFERROR(VLOOKUP(D89,'Employee Numbers'!$A$3:$C$84,3,FALSE),"NOT FOUND"))*8</f>
        <v>#VALUE!</v>
      </c>
    </row>
    <row r="90" spans="1:21" s="2" customFormat="1" ht="15" customHeight="1">
      <c r="A90" s="44" t="s">
        <v>129</v>
      </c>
      <c r="B90" s="44"/>
      <c r="C90" s="45"/>
      <c r="D90" s="263" t="s">
        <v>134</v>
      </c>
      <c r="E90" s="285">
        <f>IFERROR(VLOOKUP(D90,'Employee Numbers'!$A$3:$B$84,2,FALSE),"NOT FOUND")</f>
        <v>700812</v>
      </c>
      <c r="F90" s="264" t="s">
        <v>44</v>
      </c>
      <c r="G90" s="264" t="s">
        <v>42</v>
      </c>
      <c r="H90" s="264"/>
      <c r="I90" s="264" t="s">
        <v>44</v>
      </c>
      <c r="J90" s="264" t="s">
        <v>42</v>
      </c>
      <c r="K90" s="264"/>
      <c r="L90" s="264"/>
      <c r="N90">
        <f t="array" ref="N90">((SUM(IFERROR((TEXT(IF(ISNUMBER(SEARCH("-", F90:L90)), MID(F90:L90, SEARCH("-", F90:L90) + 1, 4), ""), "00\:00") - TEXT(IF(ISNUMBER(SEARCH("-", F90:L90)), MID(F90:L90, SEARCH("-", F90:L90) - 4, 4), ""), "00\:00") + IF(TEXT(IF(ISNUMBER(SEARCH("-", F90:L90)), MID(F90:L90, SEARCH("-", F90:L90) + 1, 4), ""), "00\:00") &lt; TEXT(IF(ISNUMBER(SEARCH("-", F90:L90)), MID(F90:L90, SEARCH("-", F90:L90) - 4, 4), ""), "00\:00"), 1, 0))*24,""))))/9.5</f>
        <v>4</v>
      </c>
      <c r="O90"/>
      <c r="P90"/>
      <c r="Q90" s="2">
        <f t="shared" si="31"/>
        <v>4</v>
      </c>
      <c r="S90">
        <f t="shared" ca="1" si="30"/>
        <v>8</v>
      </c>
      <c r="T90" s="2" t="e">
        <f>(IFERROR(VLOOKUP(D90,'Employee Numbers'!$A$3:$C$84,3,FALSE),"NOT FOUND"))*8</f>
        <v>#VALUE!</v>
      </c>
    </row>
    <row r="91" spans="1:21" s="2" customFormat="1" ht="15" customHeight="1">
      <c r="A91" s="2" t="s">
        <v>129</v>
      </c>
      <c r="D91" s="263" t="s">
        <v>135</v>
      </c>
      <c r="E91" s="285">
        <f>IFERROR(VLOOKUP(D91,'Employee Numbers'!$A$3:$B$84,2,FALSE),"NOT FOUND")</f>
        <v>703157</v>
      </c>
      <c r="F91" s="264" t="s">
        <v>42</v>
      </c>
      <c r="G91" s="264" t="s">
        <v>100</v>
      </c>
      <c r="H91" s="264" t="s">
        <v>100</v>
      </c>
      <c r="I91" s="264" t="s">
        <v>100</v>
      </c>
      <c r="J91" s="264"/>
      <c r="K91" s="264"/>
      <c r="L91" s="264"/>
      <c r="N91">
        <f t="array" ref="N91">((SUM(IFERROR((TEXT(IF(ISNUMBER(SEARCH("-", F91:L91)), MID(F91:L91, SEARCH("-", F91:L91) + 1, 4), ""), "00\:00") - TEXT(IF(ISNUMBER(SEARCH("-", F91:L91)), MID(F91:L91, SEARCH("-", F91:L91) - 4, 4), ""), "00\:00") + IF(TEXT(IF(ISNUMBER(SEARCH("-", F91:L91)), MID(F91:L91, SEARCH("-", F91:L91) + 1, 4), ""), "00\:00") &lt; TEXT(IF(ISNUMBER(SEARCH("-", F91:L91)), MID(F91:L91, SEARCH("-", F91:L91) - 4, 4), ""), "00\:00"), 1, 0))*24,""))))/9.5</f>
        <v>4</v>
      </c>
      <c r="O91"/>
      <c r="P91"/>
      <c r="Q91" s="2">
        <f t="shared" si="31"/>
        <v>4</v>
      </c>
      <c r="S91">
        <f t="shared" ca="1" si="30"/>
        <v>8</v>
      </c>
      <c r="T91" s="2" t="e">
        <f>(IFERROR(VLOOKUP(D91,'Employee Numbers'!$A$3:$C$84,3,FALSE),"NOT FOUND"))*8</f>
        <v>#VALUE!</v>
      </c>
    </row>
    <row r="92" spans="1:21" s="2" customFormat="1" ht="15" customHeight="1">
      <c r="A92" s="44" t="s">
        <v>129</v>
      </c>
      <c r="B92" s="44"/>
      <c r="C92" s="44"/>
      <c r="D92" s="263" t="s">
        <v>136</v>
      </c>
      <c r="E92" s="285">
        <f>IFERROR(VLOOKUP(D92,'Employee Numbers'!$A$3:$B$84,2,FALSE),"NOT FOUND")</f>
        <v>655173</v>
      </c>
      <c r="F92" s="264"/>
      <c r="G92" s="264" t="s">
        <v>44</v>
      </c>
      <c r="H92" s="264" t="s">
        <v>44</v>
      </c>
      <c r="I92" s="264"/>
      <c r="J92" s="264" t="s">
        <v>100</v>
      </c>
      <c r="K92" s="264" t="s">
        <v>100</v>
      </c>
      <c r="L92" s="264" t="s">
        <v>100</v>
      </c>
      <c r="N92">
        <f t="array" ref="N92">((SUM(IFERROR((TEXT(IF(ISNUMBER(SEARCH("-", F92:L92)), MID(F92:L92, SEARCH("-", F92:L92) + 1, 4), ""), "00\:00") - TEXT(IF(ISNUMBER(SEARCH("-", F92:L92)), MID(F92:L92, SEARCH("-", F92:L92) - 4, 4), ""), "00\:00") + IF(TEXT(IF(ISNUMBER(SEARCH("-", F92:L92)), MID(F92:L92, SEARCH("-", F92:L92) + 1, 4), ""), "00\:00") &lt; TEXT(IF(ISNUMBER(SEARCH("-", F92:L92)), MID(F92:L92, SEARCH("-", F92:L92) - 4, 4), ""), "00\:00"), 1, 0))*24,""))))/9.5</f>
        <v>5</v>
      </c>
      <c r="O92"/>
      <c r="P92"/>
      <c r="Q92" s="2">
        <f t="shared" si="31"/>
        <v>5</v>
      </c>
      <c r="S92">
        <f t="shared" ca="1" si="30"/>
        <v>8</v>
      </c>
      <c r="T92" s="2" t="e">
        <f>(IFERROR(VLOOKUP(D92,'Employee Numbers'!$A$3:$C$84,3,FALSE),"NOT FOUND"))*8</f>
        <v>#VALUE!</v>
      </c>
    </row>
    <row r="93" spans="1:21" s="2" customFormat="1" ht="15" customHeight="1">
      <c r="A93" s="44" t="s">
        <v>129</v>
      </c>
      <c r="B93" s="44"/>
      <c r="C93" s="45"/>
      <c r="D93" s="263" t="s">
        <v>137</v>
      </c>
      <c r="E93" s="285">
        <f>IFERROR(VLOOKUP(D93,'Employee Numbers'!$A$3:$B$84,2,FALSE),"NOT FOUND")</f>
        <v>705273</v>
      </c>
      <c r="F93" s="264" t="s">
        <v>44</v>
      </c>
      <c r="G93" s="264" t="s">
        <v>44</v>
      </c>
      <c r="H93" s="264" t="s">
        <v>44</v>
      </c>
      <c r="I93" s="264" t="s">
        <v>42</v>
      </c>
      <c r="J93" s="264"/>
      <c r="K93" s="264"/>
      <c r="L93" s="264"/>
      <c r="N93">
        <f t="array" ref="N93">((SUM(IFERROR((TEXT(IF(ISNUMBER(SEARCH("-", F93:L93)), MID(F93:L93, SEARCH("-", F93:L93) + 1, 4), ""), "00\:00") - TEXT(IF(ISNUMBER(SEARCH("-", F93:L93)), MID(F93:L93, SEARCH("-", F93:L93) - 4, 4), ""), "00\:00") + IF(TEXT(IF(ISNUMBER(SEARCH("-", F93:L93)), MID(F93:L93, SEARCH("-", F93:L93) + 1, 4), ""), "00\:00") &lt; TEXT(IF(ISNUMBER(SEARCH("-", F93:L93)), MID(F93:L93, SEARCH("-", F93:L93) - 4, 4), ""), "00\:00"), 1, 0))*24,""))))/9.5</f>
        <v>4</v>
      </c>
      <c r="O93"/>
      <c r="P93"/>
      <c r="Q93" s="2">
        <f t="shared" si="31"/>
        <v>4</v>
      </c>
      <c r="S93">
        <f t="shared" ca="1" si="30"/>
        <v>8</v>
      </c>
      <c r="T93" s="2" t="e">
        <f>(IFERROR(VLOOKUP(D93,'Employee Numbers'!$A$3:$C$84,3,FALSE),"NOT FOUND"))*8</f>
        <v>#VALUE!</v>
      </c>
    </row>
    <row r="94" spans="1:21" s="2" customFormat="1" ht="15" customHeight="1">
      <c r="A94" s="2" t="s">
        <v>129</v>
      </c>
      <c r="C94" s="21"/>
      <c r="D94" s="263" t="s">
        <v>138</v>
      </c>
      <c r="E94" s="285">
        <f>IFERROR(VLOOKUP(D94,'Employee Numbers'!$A$3:$B$84,2,FALSE),"NOT FOUND")</f>
        <v>703418</v>
      </c>
      <c r="F94" s="264"/>
      <c r="G94" s="264"/>
      <c r="H94" s="264"/>
      <c r="I94" s="264" t="s">
        <v>44</v>
      </c>
      <c r="J94" s="264" t="s">
        <v>44</v>
      </c>
      <c r="K94" s="264" t="s">
        <v>44</v>
      </c>
      <c r="L94" s="264" t="s">
        <v>44</v>
      </c>
      <c r="N94">
        <f t="array" ref="N94">((SUM(IFERROR((TEXT(IF(ISNUMBER(SEARCH("-", F94:L94)), MID(F94:L94, SEARCH("-", F94:L94) + 1, 4), ""), "00\:00") - TEXT(IF(ISNUMBER(SEARCH("-", F94:L94)), MID(F94:L94, SEARCH("-", F94:L94) - 4, 4), ""), "00\:00") + IF(TEXT(IF(ISNUMBER(SEARCH("-", F94:L94)), MID(F94:L94, SEARCH("-", F94:L94) + 1, 4), ""), "00\:00") &lt; TEXT(IF(ISNUMBER(SEARCH("-", F94:L94)), MID(F94:L94, SEARCH("-", F94:L94) - 4, 4), ""), "00\:00"), 1, 0))*24,""))))/9.5</f>
        <v>4</v>
      </c>
      <c r="O94"/>
      <c r="P94"/>
      <c r="Q94" s="2">
        <f t="shared" si="31"/>
        <v>4</v>
      </c>
      <c r="S94">
        <f t="shared" ca="1" si="30"/>
        <v>8</v>
      </c>
      <c r="T94" s="2" t="e">
        <f>(IFERROR(VLOOKUP(D94,'Employee Numbers'!$A$3:$C$84,3,FALSE),"NOT FOUND"))*8</f>
        <v>#VALUE!</v>
      </c>
    </row>
    <row r="95" spans="1:21" s="13" customFormat="1" ht="15" customHeight="1">
      <c r="A95" s="44" t="s">
        <v>129</v>
      </c>
      <c r="B95" s="44"/>
      <c r="C95" s="45"/>
      <c r="D95" s="263" t="s">
        <v>139</v>
      </c>
      <c r="E95" s="285">
        <f>IFERROR(VLOOKUP(D95,'Employee Numbers'!$A$3:$B$84,2,FALSE),"NOT FOUND")</f>
        <v>704108</v>
      </c>
      <c r="F95" s="264"/>
      <c r="G95" s="264"/>
      <c r="H95" s="264" t="s">
        <v>174</v>
      </c>
      <c r="I95" s="264" t="s">
        <v>44</v>
      </c>
      <c r="J95" s="264" t="s">
        <v>44</v>
      </c>
      <c r="K95" s="264" t="s">
        <v>44</v>
      </c>
      <c r="L95" s="264"/>
      <c r="M95" s="2"/>
      <c r="N95">
        <f t="array" ref="N95">((SUM(IFERROR((TEXT(IF(ISNUMBER(SEARCH("-", F95:L95)), MID(F95:L95, SEARCH("-", F95:L95) + 1, 4), ""), "00\:00") - TEXT(IF(ISNUMBER(SEARCH("-", F95:L95)), MID(F95:L95, SEARCH("-", F95:L95) - 4, 4), ""), "00\:00") + IF(TEXT(IF(ISNUMBER(SEARCH("-", F95:L95)), MID(F95:L95, SEARCH("-", F95:L95) + 1, 4), ""), "00\:00") &lt; TEXT(IF(ISNUMBER(SEARCH("-", F95:L95)), MID(F95:L95, SEARCH("-", F95:L95) - 4, 4), ""), "00\:00"), 1, 0))*24,""))))/9.5</f>
        <v>4</v>
      </c>
      <c r="O95"/>
      <c r="P95"/>
      <c r="Q95" s="2">
        <f t="shared" si="31"/>
        <v>4</v>
      </c>
      <c r="R95" s="2"/>
      <c r="S95">
        <f t="shared" ca="1" si="30"/>
        <v>8</v>
      </c>
      <c r="T95" s="2" t="e">
        <f>(IFERROR(VLOOKUP(D95,'Employee Numbers'!$A$3:$C$84,3,FALSE),"NOT FOUND"))*8</f>
        <v>#VALUE!</v>
      </c>
      <c r="U95" s="2"/>
    </row>
    <row r="96" spans="1:21" s="2" customFormat="1" ht="15" customHeight="1">
      <c r="A96" s="2" t="s">
        <v>129</v>
      </c>
      <c r="C96" s="21"/>
      <c r="D96" s="263" t="s">
        <v>140</v>
      </c>
      <c r="E96" s="39">
        <f>IFERROR(VLOOKUP(D96,'Employee Numbers'!$A$3:$B$84,2,FALSE),"NOT FOUND")</f>
        <v>651515</v>
      </c>
      <c r="F96" s="290"/>
      <c r="G96" s="290"/>
      <c r="H96" s="290"/>
      <c r="I96" s="290"/>
      <c r="J96" s="290"/>
      <c r="K96" s="130"/>
      <c r="L96" s="130"/>
      <c r="N96">
        <f t="array" ref="N96">((SUM(IFERROR((TEXT(IF(ISNUMBER(SEARCH("-", F96:L96)), MID(F96:L96, SEARCH("-", F96:L96) + 1, 4), ""), "00\:00") - TEXT(IF(ISNUMBER(SEARCH("-", F96:L96)), MID(F96:L96, SEARCH("-", F96:L96) - 4, 4), ""), "00\:00") + IF(TEXT(IF(ISNUMBER(SEARCH("-", F96:L96)), MID(F96:L96, SEARCH("-", F96:L96) + 1, 4), ""), "00\:00") &lt; TEXT(IF(ISNUMBER(SEARCH("-", F96:L96)), MID(F96:L96, SEARCH("-", F96:L96) - 4, 4), ""), "00\:00"), 1, 0))*24,""))))/9.5</f>
        <v>0</v>
      </c>
      <c r="O96"/>
      <c r="P96"/>
      <c r="Q96" s="2">
        <f t="shared" si="31"/>
        <v>0</v>
      </c>
      <c r="S96">
        <f t="shared" ca="1" si="30"/>
        <v>4</v>
      </c>
      <c r="T96" s="2" t="e">
        <f>(IFERROR(VLOOKUP(D96,'Employee Numbers'!$A$3:$C$84,3,FALSE),"NOT FOUND"))*8</f>
        <v>#VALUE!</v>
      </c>
    </row>
    <row r="97" spans="1:20" s="2" customFormat="1" ht="15" customHeight="1">
      <c r="A97" s="44" t="s">
        <v>129</v>
      </c>
      <c r="B97" s="44"/>
      <c r="C97" s="45"/>
      <c r="D97" s="263" t="s">
        <v>141</v>
      </c>
      <c r="E97" s="285">
        <f>IFERROR(VLOOKUP(D97,'Employee Numbers'!$A$3:$B$84,2,FALSE),"NOT FOUND")</f>
        <v>705199</v>
      </c>
      <c r="F97" s="264" t="s">
        <v>44</v>
      </c>
      <c r="G97" s="264"/>
      <c r="H97" s="264" t="s">
        <v>44</v>
      </c>
      <c r="I97" s="264" t="s">
        <v>44</v>
      </c>
      <c r="J97" s="264" t="s">
        <v>42</v>
      </c>
      <c r="K97" s="287"/>
      <c r="L97" s="37"/>
      <c r="N97">
        <f t="array" ref="N97">((SUM(IFERROR((TEXT(IF(ISNUMBER(SEARCH("-", F97:L97)), MID(F97:L97, SEARCH("-", F97:L97) + 1, 4), ""), "00\:00") - TEXT(IF(ISNUMBER(SEARCH("-", F97:L97)), MID(F97:L97, SEARCH("-", F97:L97) - 4, 4), ""), "00\:00") + IF(TEXT(IF(ISNUMBER(SEARCH("-", F97:L97)), MID(F97:L97, SEARCH("-", F97:L97) + 1, 4), ""), "00\:00") &lt; TEXT(IF(ISNUMBER(SEARCH("-", F97:L97)), MID(F97:L97, SEARCH("-", F97:L97) - 4, 4), ""), "00\:00"), 1, 0))*24,""))))/9.5</f>
        <v>4</v>
      </c>
      <c r="O97"/>
      <c r="P97"/>
      <c r="Q97" s="2">
        <f>P97+O97+N97</f>
        <v>4</v>
      </c>
      <c r="S97">
        <f t="shared" ca="1" si="30"/>
        <v>8</v>
      </c>
      <c r="T97" s="2" t="e">
        <f>(IFERROR(VLOOKUP(D97,'Employee Numbers'!$A$3:$C$84,3,FALSE),"NOT FOUND"))*8</f>
        <v>#VALUE!</v>
      </c>
    </row>
    <row r="98" spans="1:20" s="2" customFormat="1" ht="15" customHeight="1">
      <c r="A98" s="2" t="s">
        <v>129</v>
      </c>
      <c r="D98" s="31"/>
      <c r="E98" s="39" t="str">
        <f>IFERROR(VLOOKUP(D98,'Employee Numbers'!$A$3:$B$84,2,FALSE),"NOT FOUND")</f>
        <v>NOT FOUND</v>
      </c>
      <c r="F98" s="130"/>
      <c r="G98" s="130"/>
      <c r="H98" s="130"/>
      <c r="I98" s="130"/>
      <c r="J98" s="130"/>
      <c r="K98" s="37"/>
      <c r="L98" s="37"/>
      <c r="N98">
        <f t="array" ref="N98">((SUM(IFERROR((TEXT(IF(ISNUMBER(SEARCH("-", F98:L98)), MID(F98:L98, SEARCH("-", F98:L98) + 1, 4), ""), "00\:00") - TEXT(IF(ISNUMBER(SEARCH("-", F98:L98)), MID(F98:L98, SEARCH("-", F98:L98) - 4, 4), ""), "00\:00") + IF(TEXT(IF(ISNUMBER(SEARCH("-", F98:L98)), MID(F98:L98, SEARCH("-", F98:L98) + 1, 4), ""), "00\:00") &lt; TEXT(IF(ISNUMBER(SEARCH("-", F98:L98)), MID(F98:L98, SEARCH("-", F98:L98) - 4, 4), ""), "00\:00"), 1, 0))*24,""))))/9.5</f>
        <v>0</v>
      </c>
      <c r="O98"/>
      <c r="P98"/>
      <c r="Q98" s="2">
        <f>P98+O98+N98</f>
        <v>0</v>
      </c>
      <c r="S98">
        <f t="shared" ca="1" si="30"/>
        <v>0</v>
      </c>
      <c r="T98" s="2" t="e">
        <f>(IFERROR(VLOOKUP(D98,'Employee Numbers'!$A$3:$C$84,3,FALSE),"NOT FOUND"))*8</f>
        <v>#VALUE!</v>
      </c>
    </row>
    <row r="99" spans="1:20" s="2" customFormat="1" ht="15" customHeight="1">
      <c r="A99" s="44" t="s">
        <v>129</v>
      </c>
      <c r="B99" s="44"/>
      <c r="C99" s="44"/>
      <c r="D99" s="30"/>
      <c r="E99" s="39" t="str">
        <f>IFERROR(VLOOKUP(D99,'Employee Numbers'!$A$3:$B$84,2,FALSE),"NOT FOUND")</f>
        <v>NOT FOUND</v>
      </c>
      <c r="F99" s="37"/>
      <c r="G99" s="37"/>
      <c r="H99" s="37"/>
      <c r="I99" s="37"/>
      <c r="J99" s="37"/>
      <c r="K99" s="37"/>
      <c r="L99" s="37"/>
      <c r="N99">
        <f t="array" ref="N99">((SUM(IFERROR((TEXT(IF(ISNUMBER(SEARCH("-", F99:L99)), MID(F99:L99, SEARCH("-", F99:L99) + 1, 4), ""), "00\:00") - TEXT(IF(ISNUMBER(SEARCH("-", F99:L99)), MID(F99:L99, SEARCH("-", F99:L99) - 4, 4), ""), "00\:00") + IF(TEXT(IF(ISNUMBER(SEARCH("-", F99:L99)), MID(F99:L99, SEARCH("-", F99:L99) + 1, 4), ""), "00\:00") &lt; TEXT(IF(ISNUMBER(SEARCH("-", F99:L99)), MID(F99:L99, SEARCH("-", F99:L99) - 4, 4), ""), "00\:00"), 1, 0))*24,""))))/9.5</f>
        <v>0</v>
      </c>
      <c r="O99"/>
      <c r="P99"/>
      <c r="Q99" s="2">
        <f>P99+O99+N99</f>
        <v>0</v>
      </c>
      <c r="S99">
        <f t="shared" ca="1" si="30"/>
        <v>0</v>
      </c>
      <c r="T99" s="2" t="e">
        <f>(IFERROR(VLOOKUP(D99,'Employee Numbers'!$A$3:$C$84,3,FALSE),"NOT FOUND"))*8</f>
        <v>#VALUE!</v>
      </c>
    </row>
    <row r="100" spans="1:20" s="2" customFormat="1" ht="15" customHeight="1">
      <c r="A100" s="56" t="s">
        <v>142</v>
      </c>
      <c r="B100" s="52"/>
      <c r="C100" s="53"/>
      <c r="D100" s="56" t="s">
        <v>142</v>
      </c>
      <c r="E100" s="41" t="s">
        <v>4</v>
      </c>
      <c r="F100" s="40" t="s">
        <v>5</v>
      </c>
      <c r="G100" s="40" t="s">
        <v>6</v>
      </c>
      <c r="H100" s="40" t="s">
        <v>7</v>
      </c>
      <c r="I100" s="40" t="s">
        <v>8</v>
      </c>
      <c r="J100" s="40" t="s">
        <v>9</v>
      </c>
      <c r="K100" s="40" t="s">
        <v>10</v>
      </c>
      <c r="L100" s="40" t="s">
        <v>11</v>
      </c>
      <c r="M100" s="5"/>
    </row>
    <row r="101" spans="1:20" s="2" customFormat="1" ht="15" customHeight="1">
      <c r="A101" s="2" t="s">
        <v>143</v>
      </c>
      <c r="B101" s="5"/>
      <c r="C101" s="8"/>
      <c r="D101" s="31"/>
      <c r="E101" s="39" t="str">
        <f>IFERROR(VLOOKUP(D101,'Employee Numbers'!$A$3:$B$84,2,FALSE),"NOT FOUND")</f>
        <v>NOT FOUND</v>
      </c>
      <c r="F101" s="31"/>
      <c r="G101" s="31"/>
      <c r="H101" s="31"/>
      <c r="I101" s="31"/>
      <c r="J101" s="31"/>
      <c r="K101" s="31"/>
      <c r="L101" s="31"/>
      <c r="M101" s="5"/>
      <c r="N101">
        <f t="array" ref="N101">((SUM(IFERROR((TEXT(IF(ISNUMBER(SEARCH("-", F101:L101)), MID(F101:L101, SEARCH("-", F101:L101) + 1, 4), ""), "00\:00") - TEXT(IF(ISNUMBER(SEARCH("-", F101:L101)), MID(F101:L101, SEARCH("-", F101:L101) - 4, 4), ""), "00\:00") + IF(TEXT(IF(ISNUMBER(SEARCH("-", F101:L101)), MID(F101:L101, SEARCH("-", F101:L101) + 1, 4), ""), "00\:00") &lt; TEXT(IF(ISNUMBER(SEARCH("-", F101:L101)), MID(F101:L101, SEARCH("-", F101:L101) - 4, 4), ""), "00\:00"), 1, 0))*24,""))))/9.5</f>
        <v>0</v>
      </c>
      <c r="O101"/>
      <c r="P101"/>
      <c r="Q101" s="2">
        <f>P101+O101+N101</f>
        <v>0</v>
      </c>
      <c r="S101">
        <f t="shared" ref="S101:S102" ca="1" si="32">IF($C$4=1,SUM(Q101+INDIRECT("'Week "&amp;($B$3+1)&amp;"'!Q"&amp;(ROW()))),IF($C$4=2,SUM(Q101+INDIRECT("'Week "&amp;($B$3-1)&amp;"'!Q"&amp;(ROW())))))</f>
        <v>0</v>
      </c>
      <c r="T101" s="2" t="e">
        <f>(IFERROR(VLOOKUP(D101,'Employee Numbers'!$A$3:$C$84,3,FALSE),"NOT FOUND"))*8</f>
        <v>#VALUE!</v>
      </c>
    </row>
    <row r="102" spans="1:20" s="2" customFormat="1" ht="15" customHeight="1">
      <c r="A102" s="44" t="s">
        <v>143</v>
      </c>
      <c r="B102" s="5"/>
      <c r="C102" s="8"/>
      <c r="D102" s="31"/>
      <c r="E102" s="39" t="str">
        <f>IFERROR(VLOOKUP(D102,'Employee Numbers'!$A$3:$B$84,2,FALSE),"NOT FOUND")</f>
        <v>NOT FOUND</v>
      </c>
      <c r="F102" s="31"/>
      <c r="G102" s="31"/>
      <c r="H102" s="31"/>
      <c r="I102" s="31"/>
      <c r="J102" s="31"/>
      <c r="K102" s="31"/>
      <c r="L102" s="31"/>
      <c r="M102" s="5"/>
      <c r="N102">
        <f t="array" ref="N102">((SUM(IFERROR((TEXT(IF(ISNUMBER(SEARCH("-", F102:L102)), MID(F102:L102, SEARCH("-", F102:L102) + 1, 4), ""), "00\:00") - TEXT(IF(ISNUMBER(SEARCH("-", F102:L102)), MID(F102:L102, SEARCH("-", F102:L102) - 4, 4), ""), "00\:00") + IF(TEXT(IF(ISNUMBER(SEARCH("-", F102:L102)), MID(F102:L102, SEARCH("-", F102:L102) + 1, 4), ""), "00\:00") &lt; TEXT(IF(ISNUMBER(SEARCH("-", F102:L102)), MID(F102:L102, SEARCH("-", F102:L102) - 4, 4), ""), "00\:00"), 1, 0))*24,""))))/9.5</f>
        <v>0</v>
      </c>
      <c r="O102"/>
      <c r="P102"/>
      <c r="Q102" s="2">
        <f>P102+O102+N102</f>
        <v>0</v>
      </c>
      <c r="S102">
        <f t="shared" ca="1" si="32"/>
        <v>0</v>
      </c>
      <c r="T102" s="2" t="e">
        <f>(IFERROR(VLOOKUP(D102,'Employee Numbers'!$A$3:$C$84,3,FALSE),"NOT FOUND"))*8</f>
        <v>#VALUE!</v>
      </c>
    </row>
    <row r="103" spans="1:20" s="2" customFormat="1" ht="15" customHeight="1">
      <c r="A103" s="54" t="s">
        <v>148</v>
      </c>
      <c r="B103" s="54"/>
      <c r="C103" s="54"/>
      <c r="D103" s="57" t="s">
        <v>148</v>
      </c>
      <c r="E103" s="107"/>
      <c r="F103" s="57"/>
      <c r="G103" s="57"/>
      <c r="H103" s="57"/>
      <c r="I103" s="57"/>
      <c r="J103" s="57"/>
      <c r="K103" s="57"/>
      <c r="L103" s="57"/>
      <c r="M103" s="5"/>
      <c r="N103"/>
      <c r="O103"/>
      <c r="Q103"/>
    </row>
    <row r="104" spans="1:20" ht="15" customHeight="1">
      <c r="B104" s="2"/>
      <c r="C104" s="21"/>
      <c r="D104" s="31"/>
      <c r="E104" s="154" t="s">
        <v>149</v>
      </c>
      <c r="F104" s="31"/>
      <c r="G104" s="31"/>
      <c r="H104" s="31"/>
      <c r="I104" s="31"/>
      <c r="J104" s="31"/>
      <c r="K104" s="31"/>
      <c r="L104" s="31"/>
      <c r="N104"/>
      <c r="O104"/>
      <c r="P104" s="2"/>
      <c r="Q104"/>
      <c r="R104" s="2"/>
    </row>
    <row r="105" spans="1:20" ht="15" customHeight="1" thickBot="1">
      <c r="L105" s="6"/>
      <c r="N105"/>
      <c r="O105"/>
      <c r="P105" s="2"/>
      <c r="Q105"/>
      <c r="R105" s="2"/>
    </row>
    <row r="106" spans="1:20" ht="15" customHeight="1">
      <c r="D106" s="77" t="s">
        <v>150</v>
      </c>
      <c r="F106" s="88" t="s">
        <v>151</v>
      </c>
      <c r="G106" s="89"/>
      <c r="H106" s="89"/>
      <c r="I106" s="89"/>
      <c r="J106" s="89"/>
      <c r="K106" s="89"/>
      <c r="L106" s="90"/>
      <c r="N106"/>
      <c r="O106"/>
      <c r="P106" s="2"/>
      <c r="Q106"/>
      <c r="R106" s="2"/>
    </row>
    <row r="107" spans="1:20" ht="15" customHeight="1">
      <c r="D107" s="78" t="s">
        <v>152</v>
      </c>
      <c r="F107" s="24" t="s">
        <v>153</v>
      </c>
      <c r="G107"/>
      <c r="L107" s="6"/>
      <c r="N107" s="2"/>
      <c r="O107" s="2"/>
      <c r="P107" s="2"/>
      <c r="Q107" s="2"/>
      <c r="R107" s="2"/>
    </row>
    <row r="108" spans="1:20" ht="15" customHeight="1">
      <c r="D108" s="79" t="s">
        <v>154</v>
      </c>
      <c r="F108" s="24" t="s">
        <v>155</v>
      </c>
      <c r="G108"/>
      <c r="L108" s="6"/>
      <c r="N108"/>
      <c r="O108"/>
      <c r="P108" s="2"/>
      <c r="Q108"/>
      <c r="R108" s="2"/>
    </row>
    <row r="109" spans="1:20" ht="15" customHeight="1">
      <c r="D109" s="80" t="s">
        <v>156</v>
      </c>
      <c r="F109" s="24" t="s">
        <v>157</v>
      </c>
      <c r="G109"/>
      <c r="L109" s="6"/>
      <c r="N109"/>
      <c r="O109"/>
      <c r="P109" s="2"/>
      <c r="Q109"/>
      <c r="R109" s="2"/>
    </row>
    <row r="110" spans="1:20" ht="15" customHeight="1">
      <c r="D110" s="81" t="s">
        <v>158</v>
      </c>
      <c r="F110" s="24" t="s">
        <v>159</v>
      </c>
      <c r="G110"/>
      <c r="L110" s="6"/>
      <c r="N110" s="2"/>
      <c r="O110" s="2"/>
      <c r="P110" s="2"/>
      <c r="Q110" s="2"/>
      <c r="R110" s="2"/>
    </row>
    <row r="111" spans="1:20" ht="15" customHeight="1" thickBot="1">
      <c r="A111" s="2"/>
      <c r="F111" s="25" t="s">
        <v>160</v>
      </c>
      <c r="G111" s="17"/>
      <c r="H111" s="7"/>
      <c r="I111" s="7"/>
      <c r="J111" s="7"/>
      <c r="K111" s="7"/>
      <c r="L111" s="18"/>
      <c r="N111" s="2"/>
      <c r="O111" s="2"/>
      <c r="P111" s="2"/>
      <c r="Q111" s="2"/>
      <c r="R111" s="2"/>
    </row>
    <row r="112" spans="1:20" ht="15" customHeight="1">
      <c r="G112" s="14"/>
    </row>
    <row r="113" spans="1:18" s="2" customFormat="1" ht="15" customHeight="1">
      <c r="A113" s="42" t="s">
        <v>38</v>
      </c>
      <c r="B113" s="33"/>
      <c r="C113" s="43"/>
      <c r="D113" s="82" t="s">
        <v>38</v>
      </c>
      <c r="E113" s="19"/>
      <c r="F113" s="10"/>
      <c r="G113" s="11"/>
      <c r="H113" s="11"/>
      <c r="I113" s="11"/>
      <c r="J113" s="11"/>
      <c r="K113" s="11"/>
      <c r="L113" s="15"/>
      <c r="M113" s="5"/>
      <c r="N113" s="5"/>
      <c r="O113" s="5"/>
      <c r="P113" s="5"/>
      <c r="Q113" s="5"/>
      <c r="R113" s="5"/>
    </row>
    <row r="114" spans="1:18" ht="15" customHeight="1" thickBot="1"/>
    <row r="115" spans="1:18" ht="15" customHeight="1" thickBot="1">
      <c r="A115" s="2" t="s">
        <v>161</v>
      </c>
      <c r="B115" s="55" t="s">
        <v>162</v>
      </c>
      <c r="C115" s="21"/>
      <c r="D115" s="27" t="str">
        <f t="shared" ref="D115:D143" si="33">D21</f>
        <v>Dr Adam West</v>
      </c>
      <c r="E115" s="22">
        <f>IFERROR(VLOOKUP(D115,'Employee Numbers'!$A$3:$B$84,2,FALSE),"NOT FOUND")</f>
        <v>287628</v>
      </c>
      <c r="F115" s="9" t="str">
        <f t="shared" ref="F115:L130" si="34">IF(F$50=$D115,"Con_8_0000","")</f>
        <v/>
      </c>
      <c r="G115" s="9" t="str">
        <f t="shared" si="34"/>
        <v/>
      </c>
      <c r="H115" s="9" t="str">
        <f t="shared" si="34"/>
        <v/>
      </c>
      <c r="I115" s="9" t="str">
        <f t="shared" si="34"/>
        <v/>
      </c>
      <c r="J115" s="9" t="str">
        <f t="shared" si="34"/>
        <v/>
      </c>
      <c r="K115" s="9" t="str">
        <f t="shared" si="34"/>
        <v/>
      </c>
      <c r="L115" s="9" t="str">
        <f t="shared" si="34"/>
        <v/>
      </c>
    </row>
    <row r="116" spans="1:18" ht="15" customHeight="1" thickBot="1">
      <c r="A116" s="2" t="s">
        <v>161</v>
      </c>
      <c r="B116" s="55" t="s">
        <v>162</v>
      </c>
      <c r="C116" s="21"/>
      <c r="D116" s="27" t="str">
        <f t="shared" si="33"/>
        <v>Dr Toby VanHest</v>
      </c>
      <c r="E116" s="22">
        <f>IFERROR(VLOOKUP(D116,'Employee Numbers'!$A$3:$B$84,2,FALSE),"NOT FOUND")</f>
        <v>609660</v>
      </c>
      <c r="F116" s="9" t="str">
        <f t="shared" si="34"/>
        <v/>
      </c>
      <c r="G116" s="9" t="str">
        <f t="shared" si="34"/>
        <v/>
      </c>
      <c r="H116" s="9" t="str">
        <f t="shared" si="34"/>
        <v/>
      </c>
      <c r="I116" s="9" t="str">
        <f t="shared" si="34"/>
        <v/>
      </c>
      <c r="J116" s="9" t="str">
        <f t="shared" si="34"/>
        <v/>
      </c>
      <c r="K116" s="9" t="str">
        <f t="shared" si="34"/>
        <v/>
      </c>
      <c r="L116" s="9" t="str">
        <f t="shared" si="34"/>
        <v/>
      </c>
    </row>
    <row r="117" spans="1:18" ht="15" customHeight="1" thickBot="1">
      <c r="A117" s="2" t="s">
        <v>161</v>
      </c>
      <c r="B117" s="55" t="s">
        <v>162</v>
      </c>
      <c r="C117" s="21"/>
      <c r="D117" s="27" t="str">
        <f t="shared" si="33"/>
        <v>Dr Bob Seith</v>
      </c>
      <c r="E117" s="22">
        <f>IFERROR(VLOOKUP(D117,'Employee Numbers'!$A$3:$B$84,2,FALSE),"NOT FOUND")</f>
        <v>610036</v>
      </c>
      <c r="F117" s="9" t="str">
        <f t="shared" si="34"/>
        <v/>
      </c>
      <c r="G117" s="9" t="str">
        <f t="shared" si="34"/>
        <v/>
      </c>
      <c r="H117" s="9" t="str">
        <f t="shared" si="34"/>
        <v/>
      </c>
      <c r="I117" s="9" t="str">
        <f t="shared" si="34"/>
        <v/>
      </c>
      <c r="J117" s="9" t="str">
        <f t="shared" si="34"/>
        <v>Con_8_0000</v>
      </c>
      <c r="K117" s="9" t="str">
        <f t="shared" si="34"/>
        <v/>
      </c>
      <c r="L117" s="9" t="str">
        <f t="shared" si="34"/>
        <v/>
      </c>
    </row>
    <row r="118" spans="1:18" ht="15" customHeight="1" thickBot="1">
      <c r="A118" s="2" t="s">
        <v>161</v>
      </c>
      <c r="B118" s="55" t="s">
        <v>162</v>
      </c>
      <c r="C118" s="21"/>
      <c r="D118" s="27" t="str">
        <f t="shared" si="33"/>
        <v>Dr Simon Craig</v>
      </c>
      <c r="E118" s="22">
        <f>IFERROR(VLOOKUP(D118,'Employee Numbers'!$A$3:$B$84,2,FALSE),"NOT FOUND")</f>
        <v>533509</v>
      </c>
      <c r="F118" s="9" t="str">
        <f t="shared" si="34"/>
        <v/>
      </c>
      <c r="G118" s="9" t="str">
        <f t="shared" si="34"/>
        <v/>
      </c>
      <c r="H118" s="9" t="str">
        <f t="shared" si="34"/>
        <v/>
      </c>
      <c r="I118" s="9" t="str">
        <f t="shared" si="34"/>
        <v/>
      </c>
      <c r="J118" s="9" t="str">
        <f t="shared" si="34"/>
        <v/>
      </c>
      <c r="K118" s="9" t="str">
        <f t="shared" si="34"/>
        <v/>
      </c>
      <c r="L118" s="9" t="str">
        <f t="shared" si="34"/>
        <v/>
      </c>
    </row>
    <row r="119" spans="1:18" ht="15" customHeight="1" thickBot="1">
      <c r="A119" s="2" t="s">
        <v>161</v>
      </c>
      <c r="B119" s="55" t="s">
        <v>162</v>
      </c>
      <c r="C119" s="21"/>
      <c r="D119" s="27" t="str">
        <f t="shared" si="33"/>
        <v>Dr Celia Bagshaw</v>
      </c>
      <c r="E119" s="22">
        <f>IFERROR(VLOOKUP(D119,'Employee Numbers'!$A$3:$B$84,2,FALSE),"NOT FOUND")</f>
        <v>625985</v>
      </c>
      <c r="F119" s="9" t="str">
        <f t="shared" si="34"/>
        <v/>
      </c>
      <c r="G119" s="9" t="str">
        <f t="shared" si="34"/>
        <v/>
      </c>
      <c r="H119" s="9" t="str">
        <f t="shared" si="34"/>
        <v/>
      </c>
      <c r="I119" s="9" t="str">
        <f t="shared" si="34"/>
        <v/>
      </c>
      <c r="J119" s="9" t="str">
        <f t="shared" si="34"/>
        <v/>
      </c>
      <c r="K119" s="9" t="str">
        <f t="shared" si="34"/>
        <v/>
      </c>
      <c r="L119" s="9" t="str">
        <f t="shared" si="34"/>
        <v/>
      </c>
    </row>
    <row r="120" spans="1:18" ht="15" customHeight="1" thickBot="1">
      <c r="A120" s="2" t="s">
        <v>161</v>
      </c>
      <c r="B120" s="55" t="s">
        <v>162</v>
      </c>
      <c r="C120" s="21"/>
      <c r="D120" s="27" t="str">
        <f t="shared" si="33"/>
        <v>Dr Adnan Bilgrami</v>
      </c>
      <c r="E120" s="22">
        <f>IFERROR(VLOOKUP(D120,'Employee Numbers'!$A$3:$B$84,2,FALSE),"NOT FOUND")</f>
        <v>632301</v>
      </c>
      <c r="F120" s="9" t="str">
        <f t="shared" si="34"/>
        <v>Con_8_0000</v>
      </c>
      <c r="G120" s="9" t="str">
        <f t="shared" si="34"/>
        <v/>
      </c>
      <c r="H120" s="9" t="str">
        <f t="shared" si="34"/>
        <v/>
      </c>
      <c r="I120" s="9" t="str">
        <f t="shared" si="34"/>
        <v/>
      </c>
      <c r="J120" s="9" t="str">
        <f t="shared" si="34"/>
        <v/>
      </c>
      <c r="K120" s="9" t="str">
        <f t="shared" si="34"/>
        <v/>
      </c>
      <c r="L120" s="9" t="str">
        <f t="shared" si="34"/>
        <v/>
      </c>
    </row>
    <row r="121" spans="1:18" ht="15" customHeight="1" thickBot="1">
      <c r="A121" s="2" t="s">
        <v>161</v>
      </c>
      <c r="B121" s="55" t="s">
        <v>162</v>
      </c>
      <c r="C121" s="21"/>
      <c r="D121" s="27" t="str">
        <f t="shared" si="33"/>
        <v>Dr Preeti Ramaswamy</v>
      </c>
      <c r="E121" s="22">
        <f>IFERROR(VLOOKUP(D121,'Employee Numbers'!$A$3:$B$84,2,FALSE),"NOT FOUND")</f>
        <v>613891</v>
      </c>
      <c r="F121" s="9" t="str">
        <f t="shared" si="34"/>
        <v/>
      </c>
      <c r="G121" s="9" t="str">
        <f t="shared" si="34"/>
        <v/>
      </c>
      <c r="H121" s="9" t="str">
        <f t="shared" si="34"/>
        <v/>
      </c>
      <c r="I121" s="9" t="str">
        <f t="shared" si="34"/>
        <v>Con_8_0000</v>
      </c>
      <c r="J121" s="9" t="str">
        <f t="shared" si="34"/>
        <v/>
      </c>
      <c r="K121" s="9" t="str">
        <f t="shared" si="34"/>
        <v/>
      </c>
      <c r="L121" s="9" t="str">
        <f t="shared" si="34"/>
        <v/>
      </c>
      <c r="N121" s="2"/>
      <c r="O121" s="2"/>
      <c r="P121" s="2"/>
      <c r="Q121" s="2"/>
      <c r="R121" s="2"/>
    </row>
    <row r="122" spans="1:18" ht="15" customHeight="1" thickBot="1">
      <c r="A122" s="2" t="s">
        <v>161</v>
      </c>
      <c r="B122" s="55" t="s">
        <v>162</v>
      </c>
      <c r="C122" s="21"/>
      <c r="D122" s="27" t="str">
        <f t="shared" si="33"/>
        <v>Dr Erin Mills</v>
      </c>
      <c r="E122" s="22">
        <f>IFERROR(VLOOKUP(D122,'Employee Numbers'!$A$3:$B$84,2,FALSE),"NOT FOUND")</f>
        <v>623657</v>
      </c>
      <c r="F122" s="9" t="str">
        <f t="shared" si="34"/>
        <v/>
      </c>
      <c r="G122" s="9" t="str">
        <f t="shared" si="34"/>
        <v/>
      </c>
      <c r="H122" s="9" t="str">
        <f t="shared" si="34"/>
        <v/>
      </c>
      <c r="I122" s="9" t="str">
        <f t="shared" si="34"/>
        <v/>
      </c>
      <c r="J122" s="9" t="str">
        <f t="shared" si="34"/>
        <v/>
      </c>
      <c r="K122" s="9" t="str">
        <f t="shared" si="34"/>
        <v/>
      </c>
      <c r="L122" s="9" t="str">
        <f t="shared" si="34"/>
        <v>Con_8_0000</v>
      </c>
    </row>
    <row r="123" spans="1:18" ht="15" customHeight="1" thickBot="1">
      <c r="A123" s="2" t="s">
        <v>161</v>
      </c>
      <c r="B123" s="55" t="s">
        <v>162</v>
      </c>
      <c r="C123" s="21"/>
      <c r="D123" s="27" t="str">
        <f t="shared" si="33"/>
        <v>Dr Stella Robinson</v>
      </c>
      <c r="E123" s="22">
        <f>IFERROR(VLOOKUP(D123,'Employee Numbers'!$A$3:$B$84,2,FALSE),"NOT FOUND")</f>
        <v>623708</v>
      </c>
      <c r="F123" s="9" t="str">
        <f t="shared" si="34"/>
        <v/>
      </c>
      <c r="G123" s="9" t="str">
        <f t="shared" si="34"/>
        <v/>
      </c>
      <c r="H123" s="9" t="str">
        <f t="shared" si="34"/>
        <v/>
      </c>
      <c r="I123" s="9" t="str">
        <f t="shared" si="34"/>
        <v/>
      </c>
      <c r="J123" s="9" t="str">
        <f t="shared" si="34"/>
        <v/>
      </c>
      <c r="K123" s="9" t="str">
        <f t="shared" si="34"/>
        <v/>
      </c>
      <c r="L123" s="9" t="str">
        <f t="shared" si="34"/>
        <v/>
      </c>
    </row>
    <row r="124" spans="1:18" ht="15" customHeight="1" thickBot="1">
      <c r="A124" s="2" t="s">
        <v>161</v>
      </c>
      <c r="B124" s="55" t="s">
        <v>162</v>
      </c>
      <c r="C124" s="21"/>
      <c r="D124" s="27" t="str">
        <f t="shared" si="33"/>
        <v>Dr Bev Thompson</v>
      </c>
      <c r="E124" s="22">
        <f>IFERROR(VLOOKUP(D124,'Employee Numbers'!$A$3:$B$84,2,FALSE),"NOT FOUND")</f>
        <v>627680</v>
      </c>
      <c r="F124" s="9" t="str">
        <f t="shared" si="34"/>
        <v/>
      </c>
      <c r="G124" s="9" t="str">
        <f t="shared" si="34"/>
        <v/>
      </c>
      <c r="H124" s="9" t="str">
        <f t="shared" si="34"/>
        <v/>
      </c>
      <c r="I124" s="9" t="str">
        <f t="shared" si="34"/>
        <v/>
      </c>
      <c r="J124" s="9" t="str">
        <f t="shared" si="34"/>
        <v/>
      </c>
      <c r="K124" s="9" t="str">
        <f t="shared" si="34"/>
        <v/>
      </c>
      <c r="L124" s="9" t="str">
        <f t="shared" si="34"/>
        <v/>
      </c>
    </row>
    <row r="125" spans="1:18" ht="15" customHeight="1" thickBot="1">
      <c r="A125" s="2" t="s">
        <v>161</v>
      </c>
      <c r="B125" s="55" t="s">
        <v>162</v>
      </c>
      <c r="C125" s="21"/>
      <c r="D125" s="27" t="str">
        <f t="shared" si="33"/>
        <v>Dr John Unwin</v>
      </c>
      <c r="E125" s="22">
        <f>IFERROR(VLOOKUP(D125,'Employee Numbers'!$A$3:$B$84,2,FALSE),"NOT FOUND")</f>
        <v>633210</v>
      </c>
      <c r="F125" s="9" t="str">
        <f t="shared" si="34"/>
        <v/>
      </c>
      <c r="G125" s="9" t="str">
        <f t="shared" si="34"/>
        <v/>
      </c>
      <c r="H125" s="9" t="str">
        <f t="shared" si="34"/>
        <v/>
      </c>
      <c r="I125" s="9" t="str">
        <f t="shared" si="34"/>
        <v/>
      </c>
      <c r="J125" s="9" t="str">
        <f t="shared" si="34"/>
        <v/>
      </c>
      <c r="K125" s="9" t="str">
        <f t="shared" si="34"/>
        <v/>
      </c>
      <c r="L125" s="9" t="str">
        <f t="shared" si="34"/>
        <v/>
      </c>
    </row>
    <row r="126" spans="1:18" ht="15" customHeight="1" thickBot="1">
      <c r="A126" s="2" t="s">
        <v>161</v>
      </c>
      <c r="B126" s="55" t="s">
        <v>162</v>
      </c>
      <c r="C126" s="21"/>
      <c r="D126" s="27" t="str">
        <f t="shared" si="33"/>
        <v>Dr Siri Samudrala</v>
      </c>
      <c r="E126" s="22">
        <f>IFERROR(VLOOKUP(D126,'Employee Numbers'!$A$3:$B$84,2,FALSE),"NOT FOUND")</f>
        <v>618952</v>
      </c>
      <c r="F126" s="9" t="str">
        <f t="shared" si="34"/>
        <v/>
      </c>
      <c r="G126" s="9" t="str">
        <f t="shared" si="34"/>
        <v/>
      </c>
      <c r="H126" s="9" t="str">
        <f t="shared" si="34"/>
        <v/>
      </c>
      <c r="I126" s="9" t="str">
        <f t="shared" si="34"/>
        <v/>
      </c>
      <c r="J126" s="9" t="str">
        <f t="shared" si="34"/>
        <v/>
      </c>
      <c r="K126" s="9" t="str">
        <f t="shared" si="34"/>
        <v>Con_8_0000</v>
      </c>
      <c r="L126" s="9" t="str">
        <f t="shared" si="34"/>
        <v/>
      </c>
    </row>
    <row r="127" spans="1:18" ht="15" customHeight="1" thickBot="1">
      <c r="A127" s="2" t="s">
        <v>161</v>
      </c>
      <c r="B127" s="55" t="s">
        <v>162</v>
      </c>
      <c r="C127" s="21"/>
      <c r="D127" s="27" t="str">
        <f t="shared" si="33"/>
        <v>Dr Tessa Smith</v>
      </c>
      <c r="E127" s="22">
        <f>IFERROR(VLOOKUP(D127,'Employee Numbers'!$A$3:$B$84,2,FALSE),"NOT FOUND")</f>
        <v>649039</v>
      </c>
      <c r="F127" s="9" t="str">
        <f t="shared" si="34"/>
        <v/>
      </c>
      <c r="G127" s="9" t="str">
        <f t="shared" si="34"/>
        <v/>
      </c>
      <c r="H127" s="9" t="str">
        <f t="shared" si="34"/>
        <v/>
      </c>
      <c r="I127" s="9" t="str">
        <f t="shared" si="34"/>
        <v/>
      </c>
      <c r="J127" s="9" t="str">
        <f t="shared" si="34"/>
        <v/>
      </c>
      <c r="K127" s="9" t="str">
        <f t="shared" si="34"/>
        <v/>
      </c>
      <c r="L127" s="9" t="str">
        <f t="shared" si="34"/>
        <v/>
      </c>
    </row>
    <row r="128" spans="1:18" ht="15" customHeight="1" thickBot="1">
      <c r="A128" s="2" t="s">
        <v>161</v>
      </c>
      <c r="B128" s="55" t="s">
        <v>162</v>
      </c>
      <c r="C128" s="21"/>
      <c r="D128" s="27" t="str">
        <f t="shared" si="33"/>
        <v>Dr Brad Dent</v>
      </c>
      <c r="E128" s="22">
        <f>IFERROR(VLOOKUP(D128,'Employee Numbers'!$A$3:$B$84,2,FALSE),"NOT FOUND")</f>
        <v>649671</v>
      </c>
      <c r="F128" s="9" t="str">
        <f t="shared" si="34"/>
        <v/>
      </c>
      <c r="G128" s="9" t="str">
        <f t="shared" si="34"/>
        <v>Con_8_0000</v>
      </c>
      <c r="H128" s="9" t="str">
        <f t="shared" si="34"/>
        <v/>
      </c>
      <c r="I128" s="9" t="str">
        <f t="shared" si="34"/>
        <v/>
      </c>
      <c r="J128" s="9" t="str">
        <f t="shared" si="34"/>
        <v/>
      </c>
      <c r="K128" s="9" t="str">
        <f t="shared" si="34"/>
        <v/>
      </c>
      <c r="L128" s="9" t="str">
        <f t="shared" si="34"/>
        <v/>
      </c>
    </row>
    <row r="129" spans="1:18" ht="15" customHeight="1" thickBot="1">
      <c r="A129" s="2" t="s">
        <v>161</v>
      </c>
      <c r="B129" s="55" t="s">
        <v>162</v>
      </c>
      <c r="C129" s="21"/>
      <c r="D129" s="27" t="str">
        <f t="shared" si="33"/>
        <v>Dr Marjolein Slaa</v>
      </c>
      <c r="E129" s="22">
        <f>IFERROR(VLOOKUP(D129,'Employee Numbers'!$A$3:$B$84,2,FALSE),"NOT FOUND")</f>
        <v>646047</v>
      </c>
      <c r="F129" s="9" t="str">
        <f t="shared" si="34"/>
        <v/>
      </c>
      <c r="G129" s="9" t="str">
        <f t="shared" si="34"/>
        <v/>
      </c>
      <c r="H129" s="9" t="str">
        <f t="shared" si="34"/>
        <v/>
      </c>
      <c r="I129" s="9" t="str">
        <f t="shared" si="34"/>
        <v/>
      </c>
      <c r="J129" s="9" t="str">
        <f t="shared" si="34"/>
        <v/>
      </c>
      <c r="K129" s="9" t="str">
        <f t="shared" si="34"/>
        <v/>
      </c>
      <c r="L129" s="9" t="str">
        <f t="shared" si="34"/>
        <v/>
      </c>
    </row>
    <row r="130" spans="1:18" ht="15" customHeight="1" thickBot="1">
      <c r="A130" s="2" t="s">
        <v>161</v>
      </c>
      <c r="B130" s="55" t="s">
        <v>162</v>
      </c>
      <c r="C130" s="21"/>
      <c r="D130" s="27" t="str">
        <f t="shared" si="33"/>
        <v>Dr Natalie Hood</v>
      </c>
      <c r="E130" s="22">
        <f>IFERROR(VLOOKUP(D130,'Employee Numbers'!$A$3:$B$84,2,FALSE),"NOT FOUND")</f>
        <v>164003</v>
      </c>
      <c r="F130" s="9" t="str">
        <f t="shared" si="34"/>
        <v/>
      </c>
      <c r="G130" s="9" t="str">
        <f t="shared" si="34"/>
        <v/>
      </c>
      <c r="H130" s="9" t="str">
        <f t="shared" si="34"/>
        <v/>
      </c>
      <c r="I130" s="9" t="str">
        <f t="shared" si="34"/>
        <v/>
      </c>
      <c r="J130" s="9" t="str">
        <f t="shared" si="34"/>
        <v/>
      </c>
      <c r="K130" s="9" t="str">
        <f t="shared" si="34"/>
        <v/>
      </c>
      <c r="L130" s="9" t="str">
        <f t="shared" si="34"/>
        <v/>
      </c>
    </row>
    <row r="131" spans="1:18" ht="15" customHeight="1" thickBot="1">
      <c r="A131" s="2" t="s">
        <v>161</v>
      </c>
      <c r="B131" s="55" t="s">
        <v>162</v>
      </c>
      <c r="C131" s="21"/>
      <c r="D131" s="27" t="str">
        <f t="shared" si="33"/>
        <v>Dr Michael Coman</v>
      </c>
      <c r="E131" s="22">
        <f>IFERROR(VLOOKUP(D131,'Employee Numbers'!$A$3:$B$84,2,FALSE),"NOT FOUND")</f>
        <v>609408</v>
      </c>
      <c r="F131" s="9" t="str">
        <f t="shared" ref="F131:L143" si="35">IF(F$50=$D131,"Con_8_0000","")</f>
        <v/>
      </c>
      <c r="G131" s="9" t="str">
        <f t="shared" si="35"/>
        <v/>
      </c>
      <c r="H131" s="9" t="str">
        <f t="shared" si="35"/>
        <v/>
      </c>
      <c r="I131" s="9" t="str">
        <f t="shared" si="35"/>
        <v/>
      </c>
      <c r="J131" s="9" t="str">
        <f t="shared" si="35"/>
        <v/>
      </c>
      <c r="K131" s="9" t="str">
        <f t="shared" si="35"/>
        <v/>
      </c>
      <c r="L131" s="9" t="str">
        <f t="shared" si="35"/>
        <v/>
      </c>
    </row>
    <row r="132" spans="1:18" ht="15" customHeight="1" thickBot="1">
      <c r="A132" s="2" t="s">
        <v>161</v>
      </c>
      <c r="B132" s="55" t="s">
        <v>162</v>
      </c>
      <c r="C132" s="21"/>
      <c r="D132" s="27" t="str">
        <f t="shared" si="33"/>
        <v>Dr Andrew Hardy</v>
      </c>
      <c r="E132" s="22">
        <f>IFERROR(VLOOKUP(D132,'Employee Numbers'!$A$3:$B$84,2,FALSE),"NOT FOUND")</f>
        <v>627619</v>
      </c>
      <c r="F132" s="9" t="str">
        <f t="shared" si="35"/>
        <v/>
      </c>
      <c r="G132" s="9" t="str">
        <f t="shared" si="35"/>
        <v/>
      </c>
      <c r="H132" s="9" t="str">
        <f t="shared" si="35"/>
        <v/>
      </c>
      <c r="I132" s="9" t="str">
        <f t="shared" si="35"/>
        <v/>
      </c>
      <c r="J132" s="9" t="str">
        <f t="shared" si="35"/>
        <v/>
      </c>
      <c r="K132" s="9" t="str">
        <f t="shared" si="35"/>
        <v/>
      </c>
      <c r="L132" s="9" t="str">
        <f t="shared" si="35"/>
        <v/>
      </c>
    </row>
    <row r="133" spans="1:18" ht="15" customHeight="1" thickBot="1">
      <c r="A133" s="2" t="s">
        <v>161</v>
      </c>
      <c r="B133" s="55" t="s">
        <v>162</v>
      </c>
      <c r="C133" s="21"/>
      <c r="D133" s="27" t="str">
        <f t="shared" si="33"/>
        <v>Dr Gargi Kanabar</v>
      </c>
      <c r="E133" s="22">
        <f>IFERROR(VLOOKUP(D133,'Employee Numbers'!$A$3:$B$84,2,FALSE),"NOT FOUND")</f>
        <v>632646</v>
      </c>
      <c r="F133" s="9" t="str">
        <f t="shared" si="35"/>
        <v/>
      </c>
      <c r="G133" s="9" t="str">
        <f t="shared" si="35"/>
        <v/>
      </c>
      <c r="H133" s="9" t="str">
        <f t="shared" si="35"/>
        <v/>
      </c>
      <c r="I133" s="9" t="str">
        <f t="shared" si="35"/>
        <v/>
      </c>
      <c r="J133" s="9" t="str">
        <f t="shared" si="35"/>
        <v/>
      </c>
      <c r="K133" s="9" t="str">
        <f t="shared" si="35"/>
        <v/>
      </c>
      <c r="L133" s="9" t="str">
        <f t="shared" si="35"/>
        <v/>
      </c>
    </row>
    <row r="134" spans="1:18" ht="15" customHeight="1" thickBot="1">
      <c r="A134" s="2" t="s">
        <v>161</v>
      </c>
      <c r="B134" s="55" t="s">
        <v>162</v>
      </c>
      <c r="C134" s="21"/>
      <c r="D134" s="27" t="str">
        <f t="shared" si="33"/>
        <v>Dr Mandy Parr</v>
      </c>
      <c r="E134" s="22">
        <f>IFERROR(VLOOKUP(D134,'Employee Numbers'!$A$3:$B$84,2,FALSE),"NOT FOUND")</f>
        <v>652844</v>
      </c>
      <c r="F134" s="9" t="str">
        <f t="shared" si="35"/>
        <v/>
      </c>
      <c r="G134" s="9" t="str">
        <f t="shared" si="35"/>
        <v/>
      </c>
      <c r="H134" s="9" t="str">
        <f t="shared" si="35"/>
        <v/>
      </c>
      <c r="I134" s="9" t="str">
        <f t="shared" si="35"/>
        <v/>
      </c>
      <c r="J134" s="9" t="str">
        <f t="shared" si="35"/>
        <v/>
      </c>
      <c r="K134" s="9" t="str">
        <f t="shared" si="35"/>
        <v/>
      </c>
      <c r="L134" s="9" t="str">
        <f t="shared" si="35"/>
        <v/>
      </c>
    </row>
    <row r="135" spans="1:18" ht="15" customHeight="1" thickBot="1">
      <c r="A135" s="2" t="s">
        <v>161</v>
      </c>
      <c r="B135" s="55" t="s">
        <v>162</v>
      </c>
      <c r="C135" s="21"/>
      <c r="D135" s="27" t="str">
        <f t="shared" si="33"/>
        <v>Dr Tecwyn Davies</v>
      </c>
      <c r="E135" s="22">
        <f>IFERROR(VLOOKUP(D135,'Employee Numbers'!$A$3:$B$84,2,FALSE),"NOT FOUND")</f>
        <v>634491</v>
      </c>
      <c r="F135" s="9" t="str">
        <f t="shared" si="35"/>
        <v/>
      </c>
      <c r="G135" s="9" t="str">
        <f t="shared" si="35"/>
        <v/>
      </c>
      <c r="H135" s="9" t="str">
        <f t="shared" si="35"/>
        <v/>
      </c>
      <c r="I135" s="9" t="str">
        <f t="shared" si="35"/>
        <v/>
      </c>
      <c r="J135" s="9" t="str">
        <f t="shared" si="35"/>
        <v/>
      </c>
      <c r="K135" s="9" t="str">
        <f t="shared" si="35"/>
        <v/>
      </c>
      <c r="L135" s="9" t="str">
        <f t="shared" si="35"/>
        <v/>
      </c>
    </row>
    <row r="136" spans="1:18" ht="15" customHeight="1" thickBot="1">
      <c r="A136" s="2" t="s">
        <v>161</v>
      </c>
      <c r="B136" s="55" t="s">
        <v>162</v>
      </c>
      <c r="C136" s="21"/>
      <c r="D136" s="27" t="str">
        <f t="shared" si="33"/>
        <v>Dr Patrick Finn</v>
      </c>
      <c r="E136" s="22">
        <f>IFERROR(VLOOKUP(D136,'Employee Numbers'!$A$3:$B$84,2,FALSE),"NOT FOUND")</f>
        <v>621988</v>
      </c>
      <c r="F136" s="9" t="str">
        <f t="shared" si="35"/>
        <v/>
      </c>
      <c r="G136" s="9" t="str">
        <f t="shared" si="35"/>
        <v/>
      </c>
      <c r="H136" s="9" t="str">
        <f t="shared" si="35"/>
        <v/>
      </c>
      <c r="I136" s="9" t="str">
        <f t="shared" si="35"/>
        <v/>
      </c>
      <c r="J136" s="9" t="str">
        <f t="shared" si="35"/>
        <v/>
      </c>
      <c r="K136" s="9" t="str">
        <f t="shared" si="35"/>
        <v/>
      </c>
      <c r="L136" s="9" t="str">
        <f t="shared" si="35"/>
        <v/>
      </c>
    </row>
    <row r="137" spans="1:18" ht="15" customHeight="1" thickBot="1">
      <c r="A137" s="2" t="s">
        <v>161</v>
      </c>
      <c r="B137" s="55" t="s">
        <v>162</v>
      </c>
      <c r="C137" s="21"/>
      <c r="D137" s="27" t="str">
        <f t="shared" si="33"/>
        <v>Dr Chris Fong</v>
      </c>
      <c r="E137" s="22">
        <f>IFERROR(VLOOKUP(D137,'Employee Numbers'!$A$3:$B$84,2,FALSE),"NOT FOUND")</f>
        <v>409677</v>
      </c>
      <c r="F137" s="9" t="str">
        <f t="shared" si="35"/>
        <v/>
      </c>
      <c r="G137" s="9" t="str">
        <f t="shared" si="35"/>
        <v/>
      </c>
      <c r="H137" s="9" t="str">
        <f t="shared" si="35"/>
        <v/>
      </c>
      <c r="I137" s="9" t="str">
        <f t="shared" si="35"/>
        <v/>
      </c>
      <c r="J137" s="9" t="str">
        <f t="shared" si="35"/>
        <v/>
      </c>
      <c r="K137" s="9" t="str">
        <f t="shared" si="35"/>
        <v/>
      </c>
      <c r="L137" s="9" t="str">
        <f t="shared" si="35"/>
        <v/>
      </c>
    </row>
    <row r="138" spans="1:18" s="13" customFormat="1" ht="15" customHeight="1" thickBot="1">
      <c r="A138" s="2" t="s">
        <v>161</v>
      </c>
      <c r="B138" s="55" t="s">
        <v>162</v>
      </c>
      <c r="C138" s="21"/>
      <c r="D138" s="27" t="str">
        <f t="shared" si="33"/>
        <v>Dr Matthew Tang</v>
      </c>
      <c r="E138" s="22">
        <f>IFERROR(VLOOKUP(D138,'Employee Numbers'!$A$3:$B$84,2,FALSE),"NOT FOUND")</f>
        <v>632590</v>
      </c>
      <c r="F138" s="9" t="str">
        <f t="shared" si="35"/>
        <v/>
      </c>
      <c r="G138" s="9" t="str">
        <f t="shared" si="35"/>
        <v/>
      </c>
      <c r="H138" s="9" t="str">
        <f t="shared" si="35"/>
        <v>Con_8_0000</v>
      </c>
      <c r="I138" s="9" t="str">
        <f t="shared" si="35"/>
        <v/>
      </c>
      <c r="J138" s="9" t="str">
        <f t="shared" si="35"/>
        <v/>
      </c>
      <c r="K138" s="9" t="str">
        <f t="shared" si="35"/>
        <v/>
      </c>
      <c r="L138" s="9" t="str">
        <f t="shared" si="35"/>
        <v/>
      </c>
      <c r="M138" s="5"/>
      <c r="N138" s="5"/>
      <c r="O138" s="5"/>
      <c r="P138" s="5"/>
      <c r="Q138" s="5"/>
      <c r="R138" s="5"/>
    </row>
    <row r="139" spans="1:18" s="13" customFormat="1" ht="15" customHeight="1" thickBot="1">
      <c r="A139" s="2" t="s">
        <v>161</v>
      </c>
      <c r="B139" s="55" t="s">
        <v>162</v>
      </c>
      <c r="C139" s="21"/>
      <c r="D139" s="27" t="str">
        <f t="shared" si="33"/>
        <v>Dr Niki Talic</v>
      </c>
      <c r="E139" s="22">
        <f>IFERROR(VLOOKUP(D139,'Employee Numbers'!$A$3:$B$84,2,FALSE),"NOT FOUND")</f>
        <v>619537</v>
      </c>
      <c r="F139" s="9" t="str">
        <f t="shared" si="35"/>
        <v/>
      </c>
      <c r="G139" s="9" t="str">
        <f t="shared" si="35"/>
        <v/>
      </c>
      <c r="H139" s="9" t="str">
        <f t="shared" si="35"/>
        <v/>
      </c>
      <c r="I139" s="9" t="str">
        <f t="shared" si="35"/>
        <v/>
      </c>
      <c r="J139" s="9" t="str">
        <f t="shared" si="35"/>
        <v/>
      </c>
      <c r="K139" s="9" t="str">
        <f t="shared" si="35"/>
        <v/>
      </c>
      <c r="L139" s="9" t="str">
        <f t="shared" si="35"/>
        <v/>
      </c>
      <c r="M139" s="5"/>
      <c r="N139" s="5"/>
      <c r="O139" s="5"/>
      <c r="P139" s="5"/>
      <c r="Q139" s="5"/>
      <c r="R139" s="5"/>
    </row>
    <row r="140" spans="1:18" s="13" customFormat="1" ht="15" customHeight="1" thickBot="1">
      <c r="A140" s="2" t="s">
        <v>161</v>
      </c>
      <c r="B140" s="55" t="s">
        <v>162</v>
      </c>
      <c r="C140" s="21"/>
      <c r="D140" s="27" t="str">
        <f t="shared" si="33"/>
        <v>Dr Deb Morawetz</v>
      </c>
      <c r="E140" s="22">
        <f>IFERROR(VLOOKUP(D140,'Employee Numbers'!$A$3:$B$84,2,FALSE),"NOT FOUND")</f>
        <v>621953</v>
      </c>
      <c r="F140" s="9" t="str">
        <f t="shared" si="35"/>
        <v/>
      </c>
      <c r="G140" s="9" t="str">
        <f t="shared" si="35"/>
        <v/>
      </c>
      <c r="H140" s="9" t="str">
        <f t="shared" si="35"/>
        <v/>
      </c>
      <c r="I140" s="9" t="str">
        <f t="shared" si="35"/>
        <v/>
      </c>
      <c r="J140" s="9" t="str">
        <f t="shared" si="35"/>
        <v/>
      </c>
      <c r="K140" s="9" t="str">
        <f t="shared" si="35"/>
        <v/>
      </c>
      <c r="L140" s="9" t="str">
        <f t="shared" si="35"/>
        <v/>
      </c>
      <c r="M140" s="5"/>
      <c r="N140" s="5"/>
      <c r="O140" s="5"/>
      <c r="P140" s="5"/>
      <c r="Q140" s="5"/>
      <c r="R140" s="5"/>
    </row>
    <row r="141" spans="1:18" s="13" customFormat="1" ht="15" customHeight="1" thickBot="1">
      <c r="A141" s="2" t="s">
        <v>161</v>
      </c>
      <c r="B141" s="55" t="s">
        <v>162</v>
      </c>
      <c r="C141" s="21"/>
      <c r="D141" s="27" t="str">
        <f t="shared" si="33"/>
        <v>Dr Priya Jeyaveerasingam</v>
      </c>
      <c r="E141" s="22">
        <f>IFERROR(VLOOKUP(D141,'Employee Numbers'!$A$3:$B$84,2,FALSE),"NOT FOUND")</f>
        <v>614504</v>
      </c>
      <c r="F141" s="9" t="str">
        <f t="shared" si="35"/>
        <v/>
      </c>
      <c r="G141" s="9" t="str">
        <f t="shared" si="35"/>
        <v/>
      </c>
      <c r="H141" s="9" t="str">
        <f t="shared" si="35"/>
        <v/>
      </c>
      <c r="I141" s="9" t="str">
        <f t="shared" si="35"/>
        <v/>
      </c>
      <c r="J141" s="9" t="str">
        <f t="shared" si="35"/>
        <v/>
      </c>
      <c r="K141" s="9" t="str">
        <f t="shared" si="35"/>
        <v/>
      </c>
      <c r="L141" s="9" t="str">
        <f t="shared" si="35"/>
        <v/>
      </c>
      <c r="M141" s="5"/>
      <c r="N141" s="5"/>
      <c r="O141" s="5"/>
      <c r="P141" s="5"/>
      <c r="Q141" s="5"/>
      <c r="R141" s="5"/>
    </row>
    <row r="142" spans="1:18" s="13" customFormat="1" ht="15" customHeight="1" thickBot="1">
      <c r="A142" s="2" t="s">
        <v>161</v>
      </c>
      <c r="B142" s="55" t="s">
        <v>162</v>
      </c>
      <c r="C142" s="21"/>
      <c r="D142" s="27" t="str">
        <f t="shared" si="33"/>
        <v>Locum</v>
      </c>
      <c r="E142" s="22" t="str">
        <f>IFERROR(VLOOKUP(D142,'Employee Numbers'!$A$3:$B$84,2,FALSE),"NOT FOUND")</f>
        <v>N/A</v>
      </c>
      <c r="F142" s="9" t="str">
        <f t="shared" si="35"/>
        <v/>
      </c>
      <c r="G142" s="9" t="str">
        <f t="shared" si="35"/>
        <v/>
      </c>
      <c r="H142" s="9" t="str">
        <f t="shared" si="35"/>
        <v/>
      </c>
      <c r="I142" s="9" t="str">
        <f t="shared" si="35"/>
        <v/>
      </c>
      <c r="J142" s="9" t="str">
        <f t="shared" si="35"/>
        <v/>
      </c>
      <c r="K142" s="9" t="str">
        <f t="shared" si="35"/>
        <v/>
      </c>
      <c r="L142" s="9" t="str">
        <f t="shared" si="35"/>
        <v/>
      </c>
      <c r="M142" s="5"/>
      <c r="N142" s="5"/>
      <c r="O142" s="5"/>
      <c r="P142" s="5"/>
      <c r="Q142" s="5"/>
      <c r="R142" s="5"/>
    </row>
    <row r="143" spans="1:18" s="13" customFormat="1" ht="15" customHeight="1">
      <c r="A143" s="2" t="s">
        <v>161</v>
      </c>
      <c r="B143" s="55" t="s">
        <v>162</v>
      </c>
      <c r="C143" s="21"/>
      <c r="D143" s="27">
        <f t="shared" si="33"/>
        <v>0</v>
      </c>
      <c r="E143" s="22" t="str">
        <f>IFERROR(VLOOKUP(D143,'Employee Numbers'!$A$3:$B$84,2,FALSE),"NOT FOUND")</f>
        <v>NOT FOUND</v>
      </c>
      <c r="F143" s="9" t="str">
        <f t="shared" si="35"/>
        <v/>
      </c>
      <c r="G143" s="9" t="str">
        <f t="shared" si="35"/>
        <v/>
      </c>
      <c r="H143" s="9" t="str">
        <f t="shared" si="35"/>
        <v/>
      </c>
      <c r="I143" s="9" t="str">
        <f t="shared" si="35"/>
        <v/>
      </c>
      <c r="J143" s="9" t="str">
        <f t="shared" si="35"/>
        <v/>
      </c>
      <c r="K143" s="9" t="str">
        <f t="shared" si="35"/>
        <v/>
      </c>
      <c r="L143" s="9" t="str">
        <f t="shared" si="35"/>
        <v/>
      </c>
      <c r="M143" s="5"/>
      <c r="N143" s="5"/>
      <c r="O143" s="5"/>
      <c r="P143" s="5"/>
      <c r="Q143" s="5"/>
      <c r="R143" s="5"/>
    </row>
    <row r="144" spans="1:18" ht="15" customHeight="1" thickBot="1"/>
    <row r="145" spans="1:18" s="2" customFormat="1" ht="15" customHeight="1" thickBot="1">
      <c r="A145" s="172" t="s">
        <v>86</v>
      </c>
      <c r="B145" s="48" t="s">
        <v>163</v>
      </c>
      <c r="C145" s="49" t="s">
        <v>164</v>
      </c>
      <c r="D145" s="173" t="str">
        <f>D53</f>
        <v xml:space="preserve">Fellow </v>
      </c>
      <c r="E145" s="20" t="s">
        <v>4</v>
      </c>
      <c r="F145" s="12" t="s">
        <v>5</v>
      </c>
      <c r="G145" s="83" t="s">
        <v>6</v>
      </c>
      <c r="H145" s="83" t="s">
        <v>7</v>
      </c>
      <c r="I145" s="83" t="s">
        <v>8</v>
      </c>
      <c r="J145" s="83" t="s">
        <v>9</v>
      </c>
      <c r="K145" s="83" t="s">
        <v>10</v>
      </c>
      <c r="L145" s="23" t="s">
        <v>11</v>
      </c>
      <c r="M145" s="23" t="s">
        <v>165</v>
      </c>
      <c r="N145" s="5"/>
      <c r="O145" s="5"/>
      <c r="P145" s="5"/>
      <c r="Q145" s="5"/>
      <c r="R145" s="5"/>
    </row>
    <row r="146" spans="1:18" ht="15" customHeight="1" thickBot="1">
      <c r="A146" s="2" t="s">
        <v>166</v>
      </c>
      <c r="B146" s="2"/>
      <c r="C146" s="21"/>
      <c r="D146" s="84" t="str">
        <f>D54</f>
        <v>Ellen Scott (0.75)</v>
      </c>
      <c r="E146" s="22">
        <f>IFERROR(VLOOKUP(D146,'Employee Numbers'!$A$3:$B$84,2,FALSE),"NOT FOUND")</f>
        <v>634905</v>
      </c>
      <c r="F146" s="38"/>
      <c r="G146" s="31"/>
      <c r="H146" s="31" t="s">
        <v>167</v>
      </c>
      <c r="I146" s="38"/>
      <c r="J146" s="38"/>
      <c r="K146" s="38"/>
      <c r="L146" s="38"/>
      <c r="M146" s="35" t="s">
        <v>168</v>
      </c>
    </row>
    <row r="147" spans="1:18" ht="15" customHeight="1" thickBot="1">
      <c r="A147" s="2" t="s">
        <v>166</v>
      </c>
      <c r="B147" s="2"/>
      <c r="C147" s="21"/>
      <c r="D147" s="84" t="str">
        <f t="shared" ref="D147:D151" si="36">D55</f>
        <v>Seamus Harrington</v>
      </c>
      <c r="E147" s="22">
        <f>IFERROR(VLOOKUP(D147,'Employee Numbers'!$A$3:$B$84,2,FALSE),"NOT FOUND")</f>
        <v>704751</v>
      </c>
      <c r="F147" s="38"/>
      <c r="G147" s="31"/>
      <c r="H147" s="31" t="str">
        <f t="shared" ref="H147:H148" si="37">IF(COUNTIF(H55,"0800-1730*"),"trg_5_1730","trg_5_0900")</f>
        <v>trg_5_0900</v>
      </c>
      <c r="I147" s="38"/>
      <c r="J147" s="38"/>
      <c r="K147" s="38"/>
      <c r="L147" s="38"/>
      <c r="M147" s="35" t="s">
        <v>168</v>
      </c>
    </row>
    <row r="148" spans="1:18" ht="15" customHeight="1" thickBot="1">
      <c r="A148" s="2" t="s">
        <v>166</v>
      </c>
      <c r="B148" s="2"/>
      <c r="C148" s="21"/>
      <c r="D148" s="84" t="str">
        <f t="shared" si="36"/>
        <v>Antra Ansons</v>
      </c>
      <c r="E148" s="22">
        <f>IFERROR(VLOOKUP(D148,'Employee Numbers'!$A$3:$B$84,2,FALSE),"NOT FOUND")</f>
        <v>637219</v>
      </c>
      <c r="F148" s="38"/>
      <c r="G148" s="31"/>
      <c r="H148" s="31" t="str">
        <f t="shared" si="37"/>
        <v>trg_5_1730</v>
      </c>
      <c r="I148" s="38"/>
      <c r="J148" s="38"/>
      <c r="K148" s="38"/>
      <c r="L148" s="38"/>
      <c r="M148" s="35" t="s">
        <v>168</v>
      </c>
    </row>
    <row r="149" spans="1:18" ht="15" customHeight="1" thickBot="1">
      <c r="A149" s="2" t="s">
        <v>166</v>
      </c>
      <c r="B149" s="2"/>
      <c r="C149" s="21"/>
      <c r="D149" s="84">
        <f t="shared" si="36"/>
        <v>0</v>
      </c>
      <c r="E149" s="22" t="str">
        <f>IFERROR(VLOOKUP(D149,'Employee Numbers'!$A$3:$B$84,2,FALSE),"NOT FOUND")</f>
        <v>NOT FOUND</v>
      </c>
      <c r="F149" s="38"/>
      <c r="G149" s="31"/>
      <c r="H149" s="31" t="str">
        <f t="shared" ref="H149:H151" si="38">IF(COUNTIF(H57,"0800-1730*"),"trg_2.5_1730","trg_2.5_0900")</f>
        <v>trg_2.5_0900</v>
      </c>
      <c r="I149" s="38"/>
      <c r="J149" s="38"/>
      <c r="K149" s="38"/>
      <c r="L149" s="38"/>
      <c r="M149" s="35" t="s">
        <v>168</v>
      </c>
    </row>
    <row r="150" spans="1:18" ht="15" customHeight="1" thickBot="1">
      <c r="A150" s="2" t="s">
        <v>166</v>
      </c>
      <c r="B150" s="2"/>
      <c r="C150" s="21"/>
      <c r="D150" s="84">
        <f t="shared" si="36"/>
        <v>0</v>
      </c>
      <c r="E150" s="22" t="str">
        <f>IFERROR(VLOOKUP(D150,'Employee Numbers'!$A$3:$B$84,2,FALSE),"NOT FOUND")</f>
        <v>NOT FOUND</v>
      </c>
      <c r="F150" s="38"/>
      <c r="G150" s="31"/>
      <c r="H150" s="31" t="str">
        <f t="shared" si="38"/>
        <v>trg_2.5_0900</v>
      </c>
      <c r="I150" s="38"/>
      <c r="J150" s="38"/>
      <c r="K150" s="38"/>
      <c r="L150" s="38"/>
      <c r="M150" s="35" t="s">
        <v>168</v>
      </c>
    </row>
    <row r="151" spans="1:18" ht="15" customHeight="1">
      <c r="A151" s="2" t="s">
        <v>166</v>
      </c>
      <c r="B151" s="2"/>
      <c r="C151" s="21"/>
      <c r="D151" s="84">
        <f t="shared" si="36"/>
        <v>0</v>
      </c>
      <c r="E151" s="22" t="str">
        <f>IFERROR(VLOOKUP(D151,'Employee Numbers'!$A$3:$B$84,2,FALSE),"NOT FOUND")</f>
        <v>NOT FOUND</v>
      </c>
      <c r="F151" s="38"/>
      <c r="G151" s="31"/>
      <c r="H151" s="31" t="str">
        <f t="shared" si="38"/>
        <v>trg_2.5_0900</v>
      </c>
      <c r="I151" s="38"/>
      <c r="J151" s="38"/>
      <c r="K151" s="38"/>
      <c r="L151" s="38"/>
      <c r="M151" s="35" t="s">
        <v>168</v>
      </c>
    </row>
    <row r="152" spans="1:18" s="2" customFormat="1" ht="13.5" customHeight="1" thickBot="1">
      <c r="A152" s="174" t="s">
        <v>96</v>
      </c>
      <c r="B152" s="50"/>
      <c r="C152" s="51"/>
      <c r="D152" s="175" t="s">
        <v>97</v>
      </c>
      <c r="E152" s="105" t="s">
        <v>4</v>
      </c>
      <c r="F152" s="105" t="s">
        <v>5</v>
      </c>
      <c r="G152" s="105" t="s">
        <v>6</v>
      </c>
      <c r="H152" s="106" t="s">
        <v>7</v>
      </c>
      <c r="I152" s="105" t="s">
        <v>8</v>
      </c>
      <c r="J152" s="105" t="s">
        <v>9</v>
      </c>
      <c r="K152" s="105" t="s">
        <v>10</v>
      </c>
      <c r="L152" s="105" t="s">
        <v>11</v>
      </c>
      <c r="N152"/>
      <c r="O152"/>
      <c r="Q152"/>
    </row>
    <row r="153" spans="1:18" s="2" customFormat="1" ht="15" customHeight="1" thickBot="1">
      <c r="A153" s="2" t="s">
        <v>169</v>
      </c>
      <c r="B153" s="5"/>
      <c r="C153" s="8"/>
      <c r="D153" s="84" t="str">
        <f>D61</f>
        <v>Mark Lim</v>
      </c>
      <c r="E153" s="22">
        <f>IFERROR(VLOOKUP(D153,'Employee Numbers'!$A$3:$B$84,2,FALSE),"NOT FOUND")</f>
        <v>638531</v>
      </c>
      <c r="F153" s="31" t="str">
        <f t="shared" ref="F153:G168" si="39">IF(COUNTIF(F61,"*on*call*"),"oncall 2300-0830","")</f>
        <v/>
      </c>
      <c r="G153" s="31" t="str">
        <f t="shared" si="39"/>
        <v/>
      </c>
      <c r="H153" s="37" t="s">
        <v>170</v>
      </c>
      <c r="I153" s="31" t="str">
        <f t="shared" ref="I153:L168" si="40">IF(COUNTIF(I61,"*on*call*"),"oncall 2300-0830","")</f>
        <v/>
      </c>
      <c r="J153" s="31" t="str">
        <f t="shared" si="40"/>
        <v/>
      </c>
      <c r="K153" s="31" t="str">
        <f t="shared" si="40"/>
        <v/>
      </c>
      <c r="L153" s="31" t="str">
        <f t="shared" si="40"/>
        <v/>
      </c>
      <c r="M153" s="35" t="s">
        <v>168</v>
      </c>
      <c r="N153" s="5"/>
      <c r="O153" s="5"/>
      <c r="P153" s="5"/>
      <c r="Q153" s="5"/>
      <c r="R153" s="5"/>
    </row>
    <row r="154" spans="1:18" ht="15" customHeight="1" thickBot="1">
      <c r="A154" s="2" t="s">
        <v>169</v>
      </c>
      <c r="B154" s="2"/>
      <c r="C154" s="47"/>
      <c r="D154" s="84" t="str">
        <f t="shared" ref="D154:D176" si="41">D62</f>
        <v xml:space="preserve">Melanie Engel </v>
      </c>
      <c r="E154" s="22">
        <f>IFERROR(VLOOKUP(D154,'Employee Numbers'!$A$3:$B$84,2,FALSE),"NOT FOUND")</f>
        <v>631715</v>
      </c>
      <c r="F154" s="31" t="str">
        <f t="shared" si="39"/>
        <v/>
      </c>
      <c r="G154" s="31" t="str">
        <f t="shared" si="39"/>
        <v/>
      </c>
      <c r="H154" s="37" t="s">
        <v>170</v>
      </c>
      <c r="I154" s="31" t="str">
        <f t="shared" si="40"/>
        <v/>
      </c>
      <c r="J154" s="31" t="str">
        <f t="shared" si="40"/>
        <v/>
      </c>
      <c r="K154" s="31" t="str">
        <f t="shared" si="40"/>
        <v/>
      </c>
      <c r="L154" s="31" t="str">
        <f t="shared" si="40"/>
        <v/>
      </c>
      <c r="M154" s="35" t="s">
        <v>168</v>
      </c>
      <c r="N154" s="2"/>
      <c r="O154" s="2"/>
      <c r="P154" s="2"/>
      <c r="Q154" s="2"/>
      <c r="R154" s="2"/>
    </row>
    <row r="155" spans="1:18" ht="15" customHeight="1" thickBot="1">
      <c r="A155" s="2" t="s">
        <v>169</v>
      </c>
      <c r="B155" s="2"/>
      <c r="C155" s="47"/>
      <c r="D155" s="84" t="str">
        <f t="shared" si="41"/>
        <v>Marian Isaac  (0.75)</v>
      </c>
      <c r="E155" s="22">
        <f>IFERROR(VLOOKUP(D155,'Employee Numbers'!$A$3:$B$84,2,FALSE),"NOT FOUND")</f>
        <v>703719</v>
      </c>
      <c r="F155" s="31" t="str">
        <f t="shared" si="39"/>
        <v/>
      </c>
      <c r="G155" s="31" t="str">
        <f t="shared" si="39"/>
        <v/>
      </c>
      <c r="H155" s="31" t="s">
        <v>167</v>
      </c>
      <c r="I155" s="31" t="str">
        <f t="shared" si="40"/>
        <v/>
      </c>
      <c r="J155" s="31" t="str">
        <f t="shared" si="40"/>
        <v/>
      </c>
      <c r="K155" s="31" t="str">
        <f t="shared" si="40"/>
        <v/>
      </c>
      <c r="L155" s="31" t="str">
        <f t="shared" si="40"/>
        <v/>
      </c>
      <c r="M155" s="35" t="s">
        <v>168</v>
      </c>
    </row>
    <row r="156" spans="1:18" ht="15" customHeight="1" thickBot="1">
      <c r="A156" s="2" t="s">
        <v>169</v>
      </c>
      <c r="B156" s="2"/>
      <c r="C156" s="47"/>
      <c r="D156" s="84" t="str">
        <f t="shared" si="41"/>
        <v xml:space="preserve">Jonathan Wong (0.75) </v>
      </c>
      <c r="E156" s="22">
        <f>IFERROR(VLOOKUP(D156,'Employee Numbers'!$A$3:$B$84,2,FALSE),"NOT FOUND")</f>
        <v>637791</v>
      </c>
      <c r="F156" s="31" t="str">
        <f t="shared" si="39"/>
        <v/>
      </c>
      <c r="G156" s="31" t="str">
        <f t="shared" si="39"/>
        <v/>
      </c>
      <c r="H156" s="31" t="s">
        <v>167</v>
      </c>
      <c r="I156" s="31" t="str">
        <f t="shared" si="40"/>
        <v/>
      </c>
      <c r="J156" s="31" t="str">
        <f t="shared" si="40"/>
        <v/>
      </c>
      <c r="K156" s="31" t="str">
        <f t="shared" si="40"/>
        <v/>
      </c>
      <c r="L156" s="31" t="str">
        <f t="shared" si="40"/>
        <v/>
      </c>
      <c r="M156" s="35" t="s">
        <v>168</v>
      </c>
    </row>
    <row r="157" spans="1:18" ht="15" customHeight="1" thickBot="1">
      <c r="A157" s="2" t="s">
        <v>169</v>
      </c>
      <c r="B157" s="2"/>
      <c r="C157" s="47"/>
      <c r="D157" s="84" t="str">
        <f t="shared" si="41"/>
        <v xml:space="preserve">Joshua Feek </v>
      </c>
      <c r="E157" s="22">
        <f>IFERROR(VLOOKUP(D157,'Employee Numbers'!$A$3:$B$84,2,FALSE),"NOT FOUND")</f>
        <v>652867</v>
      </c>
      <c r="F157" s="31" t="str">
        <f t="shared" si="39"/>
        <v/>
      </c>
      <c r="G157" s="31" t="str">
        <f t="shared" si="39"/>
        <v/>
      </c>
      <c r="H157" s="37" t="s">
        <v>170</v>
      </c>
      <c r="I157" s="31" t="str">
        <f t="shared" si="40"/>
        <v/>
      </c>
      <c r="J157" s="31" t="str">
        <f t="shared" si="40"/>
        <v/>
      </c>
      <c r="K157" s="31" t="str">
        <f t="shared" si="40"/>
        <v/>
      </c>
      <c r="L157" s="31" t="str">
        <f t="shared" si="40"/>
        <v/>
      </c>
      <c r="M157" s="35" t="s">
        <v>168</v>
      </c>
    </row>
    <row r="158" spans="1:18" ht="15" customHeight="1" thickBot="1">
      <c r="A158" s="2" t="s">
        <v>169</v>
      </c>
      <c r="B158" s="2"/>
      <c r="C158" s="47"/>
      <c r="D158" s="84" t="str">
        <f t="shared" si="41"/>
        <v xml:space="preserve">Andrea Lim (0.5) </v>
      </c>
      <c r="E158" s="22">
        <f>IFERROR(VLOOKUP(D158,'Employee Numbers'!$A$3:$B$84,2,FALSE),"NOT FOUND")</f>
        <v>611551</v>
      </c>
      <c r="F158" s="31" t="str">
        <f t="shared" si="39"/>
        <v/>
      </c>
      <c r="G158" s="31" t="str">
        <f t="shared" si="39"/>
        <v/>
      </c>
      <c r="H158" s="31" t="str">
        <f t="shared" ref="H158" si="42">IF(COUNTIF(H66,"0800-1730*"),"trg_2.5_1730","trg_2.5_0900")</f>
        <v>trg_2.5_0900</v>
      </c>
      <c r="I158" s="31" t="str">
        <f t="shared" si="40"/>
        <v/>
      </c>
      <c r="J158" s="31" t="str">
        <f t="shared" si="40"/>
        <v/>
      </c>
      <c r="K158" s="31" t="str">
        <f t="shared" si="40"/>
        <v/>
      </c>
      <c r="L158" s="31" t="str">
        <f t="shared" si="40"/>
        <v/>
      </c>
      <c r="M158" s="35" t="s">
        <v>168</v>
      </c>
      <c r="N158" s="13"/>
      <c r="O158" s="13"/>
      <c r="P158" s="13"/>
      <c r="Q158" s="13"/>
      <c r="R158" s="13"/>
    </row>
    <row r="159" spans="1:18" ht="15" customHeight="1" thickBot="1">
      <c r="A159" s="2" t="s">
        <v>169</v>
      </c>
      <c r="B159" s="2"/>
      <c r="C159" s="47"/>
      <c r="D159" s="84" t="str">
        <f t="shared" si="41"/>
        <v>Jessica Burgess (0.5)</v>
      </c>
      <c r="E159" s="22">
        <f>IFERROR(VLOOKUP(D159,'Employee Numbers'!$A$3:$B$84,2,FALSE),"NOT FOUND")</f>
        <v>615820</v>
      </c>
      <c r="F159" s="31" t="str">
        <f t="shared" si="39"/>
        <v/>
      </c>
      <c r="G159" s="31" t="str">
        <f t="shared" si="39"/>
        <v/>
      </c>
      <c r="H159" s="31"/>
      <c r="I159" s="31" t="str">
        <f t="shared" si="40"/>
        <v/>
      </c>
      <c r="J159" s="31" t="str">
        <f t="shared" si="40"/>
        <v/>
      </c>
      <c r="K159" s="31" t="str">
        <f t="shared" si="40"/>
        <v/>
      </c>
      <c r="L159" s="31" t="str">
        <f t="shared" si="40"/>
        <v/>
      </c>
      <c r="M159" s="35" t="s">
        <v>168</v>
      </c>
      <c r="N159" s="13"/>
      <c r="O159" s="13"/>
      <c r="P159" s="13"/>
      <c r="Q159" s="13"/>
      <c r="R159" s="13"/>
    </row>
    <row r="160" spans="1:18" ht="15" customHeight="1" thickBot="1">
      <c r="A160" s="2" t="s">
        <v>169</v>
      </c>
      <c r="B160" s="2"/>
      <c r="C160" s="47"/>
      <c r="D160" s="84" t="str">
        <f t="shared" si="41"/>
        <v>Elisha Gallivan</v>
      </c>
      <c r="E160" s="22">
        <f>IFERROR(VLOOKUP(D160,'Employee Numbers'!$A$3:$B$84,2,FALSE),"NOT FOUND")</f>
        <v>654727</v>
      </c>
      <c r="F160" s="31" t="str">
        <f t="shared" si="39"/>
        <v/>
      </c>
      <c r="G160" s="31" t="str">
        <f t="shared" si="39"/>
        <v/>
      </c>
      <c r="H160" s="37"/>
      <c r="I160" s="31" t="str">
        <f t="shared" si="40"/>
        <v/>
      </c>
      <c r="J160" s="31" t="str">
        <f t="shared" si="40"/>
        <v/>
      </c>
      <c r="K160" s="31" t="str">
        <f t="shared" si="40"/>
        <v/>
      </c>
      <c r="L160" s="31" t="str">
        <f t="shared" si="40"/>
        <v/>
      </c>
      <c r="M160" s="35" t="s">
        <v>168</v>
      </c>
    </row>
    <row r="161" spans="1:18" ht="15" customHeight="1" thickBot="1">
      <c r="A161" s="2" t="s">
        <v>169</v>
      </c>
      <c r="B161" s="2"/>
      <c r="C161" s="47"/>
      <c r="D161" s="84" t="str">
        <f t="shared" si="41"/>
        <v>Leila Dosso</v>
      </c>
      <c r="E161" s="22">
        <f>IFERROR(VLOOKUP(D161,'Employee Numbers'!$A$3:$B$84,2,FALSE),"NOT FOUND")</f>
        <v>702947</v>
      </c>
      <c r="F161" s="31" t="str">
        <f t="shared" si="39"/>
        <v/>
      </c>
      <c r="G161" s="31" t="str">
        <f t="shared" si="39"/>
        <v/>
      </c>
      <c r="H161" s="37" t="s">
        <v>170</v>
      </c>
      <c r="I161" s="31" t="str">
        <f t="shared" si="40"/>
        <v/>
      </c>
      <c r="J161" s="31" t="str">
        <f t="shared" si="40"/>
        <v/>
      </c>
      <c r="K161" s="31" t="str">
        <f t="shared" si="40"/>
        <v/>
      </c>
      <c r="L161" s="31" t="str">
        <f t="shared" si="40"/>
        <v/>
      </c>
      <c r="M161" s="35" t="s">
        <v>168</v>
      </c>
    </row>
    <row r="162" spans="1:18" s="13" customFormat="1" ht="15" customHeight="1" thickBot="1">
      <c r="A162" s="2" t="s">
        <v>169</v>
      </c>
      <c r="B162" s="2"/>
      <c r="C162" s="21"/>
      <c r="D162" s="84" t="str">
        <f t="shared" si="41"/>
        <v xml:space="preserve">Efi Tsampou </v>
      </c>
      <c r="E162" s="22">
        <f>IFERROR(VLOOKUP(D162,'Employee Numbers'!$A$3:$B$84,2,FALSE),"NOT FOUND")</f>
        <v>654002</v>
      </c>
      <c r="F162" s="31" t="str">
        <f t="shared" si="39"/>
        <v/>
      </c>
      <c r="G162" s="31" t="str">
        <f t="shared" si="39"/>
        <v/>
      </c>
      <c r="H162" s="37" t="s">
        <v>170</v>
      </c>
      <c r="I162" s="31" t="str">
        <f t="shared" si="40"/>
        <v/>
      </c>
      <c r="J162" s="31" t="str">
        <f t="shared" si="40"/>
        <v/>
      </c>
      <c r="K162" s="31" t="str">
        <f t="shared" si="40"/>
        <v/>
      </c>
      <c r="L162" s="31" t="str">
        <f t="shared" si="40"/>
        <v/>
      </c>
      <c r="M162" s="35" t="s">
        <v>168</v>
      </c>
      <c r="N162" s="5"/>
      <c r="O162" s="5"/>
      <c r="P162" s="5"/>
      <c r="Q162" s="5"/>
      <c r="R162" s="5"/>
    </row>
    <row r="163" spans="1:18" ht="15" customHeight="1" thickBot="1">
      <c r="A163" s="2" t="s">
        <v>169</v>
      </c>
      <c r="B163" s="2"/>
      <c r="C163" s="21"/>
      <c r="D163" s="84" t="str">
        <f t="shared" si="41"/>
        <v>Marian Panlilio</v>
      </c>
      <c r="E163" s="22">
        <f>IFERROR(VLOOKUP(D163,'Employee Numbers'!$A$3:$B$84,2,FALSE),"NOT FOUND")</f>
        <v>703068</v>
      </c>
      <c r="F163" s="31" t="str">
        <f t="shared" si="39"/>
        <v/>
      </c>
      <c r="G163" s="31" t="str">
        <f t="shared" si="39"/>
        <v/>
      </c>
      <c r="H163" s="37" t="s">
        <v>170</v>
      </c>
      <c r="I163" s="31" t="str">
        <f t="shared" si="40"/>
        <v/>
      </c>
      <c r="J163" s="31" t="str">
        <f t="shared" si="40"/>
        <v/>
      </c>
      <c r="K163" s="31" t="str">
        <f t="shared" si="40"/>
        <v/>
      </c>
      <c r="L163" s="31" t="str">
        <f t="shared" si="40"/>
        <v/>
      </c>
      <c r="M163" s="35" t="s">
        <v>168</v>
      </c>
    </row>
    <row r="164" spans="1:18" ht="15" customHeight="1" thickBot="1">
      <c r="A164" s="2" t="s">
        <v>169</v>
      </c>
      <c r="B164" s="2"/>
      <c r="C164" s="21"/>
      <c r="D164" s="84" t="str">
        <f t="shared" si="41"/>
        <v>Takhfif Othman</v>
      </c>
      <c r="E164" s="22">
        <f>IFERROR(VLOOKUP(D164,'Employee Numbers'!$A$3:$B$84,2,FALSE),"NOT FOUND")</f>
        <v>703911</v>
      </c>
      <c r="F164" s="31" t="str">
        <f t="shared" si="39"/>
        <v/>
      </c>
      <c r="G164" s="31" t="str">
        <f t="shared" si="39"/>
        <v/>
      </c>
      <c r="H164" s="37" t="s">
        <v>170</v>
      </c>
      <c r="I164" s="31" t="str">
        <f t="shared" si="40"/>
        <v/>
      </c>
      <c r="J164" s="31" t="str">
        <f t="shared" si="40"/>
        <v/>
      </c>
      <c r="K164" s="31" t="str">
        <f t="shared" si="40"/>
        <v/>
      </c>
      <c r="L164" s="31" t="str">
        <f t="shared" si="40"/>
        <v/>
      </c>
      <c r="M164" s="35" t="s">
        <v>168</v>
      </c>
    </row>
    <row r="165" spans="1:18" ht="15" customHeight="1" thickBot="1">
      <c r="A165" s="2" t="s">
        <v>169</v>
      </c>
      <c r="B165" s="2"/>
      <c r="C165" s="21"/>
      <c r="D165" s="84" t="str">
        <f t="shared" si="41"/>
        <v xml:space="preserve">Toby Obrien </v>
      </c>
      <c r="E165" s="22">
        <f>IFERROR(VLOOKUP(D165,'Employee Numbers'!$A$3:$B$84,2,FALSE),"NOT FOUND")</f>
        <v>633936</v>
      </c>
      <c r="F165" s="31" t="str">
        <f t="shared" si="39"/>
        <v/>
      </c>
      <c r="G165" s="31" t="str">
        <f t="shared" si="39"/>
        <v/>
      </c>
      <c r="H165" s="37" t="s">
        <v>170</v>
      </c>
      <c r="I165" s="31" t="str">
        <f t="shared" si="40"/>
        <v/>
      </c>
      <c r="J165" s="31" t="str">
        <f t="shared" si="40"/>
        <v/>
      </c>
      <c r="K165" s="31" t="str">
        <f t="shared" si="40"/>
        <v/>
      </c>
      <c r="L165" s="31" t="str">
        <f t="shared" si="40"/>
        <v/>
      </c>
      <c r="M165" s="35" t="s">
        <v>168</v>
      </c>
    </row>
    <row r="166" spans="1:18" ht="15" customHeight="1" thickBot="1">
      <c r="A166" s="2" t="s">
        <v>169</v>
      </c>
      <c r="B166" s="2"/>
      <c r="C166" s="21"/>
      <c r="D166" s="84" t="str">
        <f t="shared" si="41"/>
        <v>William Jiang</v>
      </c>
      <c r="E166" s="22">
        <f>IFERROR(VLOOKUP(D166,'Employee Numbers'!$A$3:$B$84,2,FALSE),"NOT FOUND")</f>
        <v>700755</v>
      </c>
      <c r="F166" s="31" t="str">
        <f t="shared" si="39"/>
        <v/>
      </c>
      <c r="G166" s="31" t="str">
        <f t="shared" si="39"/>
        <v/>
      </c>
      <c r="H166" s="37" t="s">
        <v>170</v>
      </c>
      <c r="I166" s="31" t="str">
        <f t="shared" si="40"/>
        <v/>
      </c>
      <c r="J166" s="31" t="str">
        <f t="shared" si="40"/>
        <v/>
      </c>
      <c r="K166" s="31" t="str">
        <f t="shared" si="40"/>
        <v/>
      </c>
      <c r="L166" s="31" t="str">
        <f t="shared" si="40"/>
        <v/>
      </c>
      <c r="M166" s="35" t="s">
        <v>168</v>
      </c>
    </row>
    <row r="167" spans="1:18" ht="15" customHeight="1" thickBot="1">
      <c r="A167" s="2" t="s">
        <v>169</v>
      </c>
      <c r="B167" s="2"/>
      <c r="C167" s="21"/>
      <c r="D167" s="84" t="str">
        <f t="shared" si="41"/>
        <v>Pam Nelson</v>
      </c>
      <c r="E167" s="22">
        <f>IFERROR(VLOOKUP(D167,'Employee Numbers'!$A$3:$B$84,2,FALSE),"NOT FOUND")</f>
        <v>704872</v>
      </c>
      <c r="F167" s="31" t="str">
        <f t="shared" si="39"/>
        <v/>
      </c>
      <c r="G167" s="31" t="str">
        <f t="shared" si="39"/>
        <v/>
      </c>
      <c r="H167" s="37" t="s">
        <v>170</v>
      </c>
      <c r="I167" s="31" t="str">
        <f t="shared" si="40"/>
        <v/>
      </c>
      <c r="J167" s="31" t="str">
        <f t="shared" si="40"/>
        <v/>
      </c>
      <c r="K167" s="31" t="str">
        <f t="shared" si="40"/>
        <v/>
      </c>
      <c r="L167" s="31" t="str">
        <f t="shared" si="40"/>
        <v/>
      </c>
      <c r="M167" s="35" t="s">
        <v>168</v>
      </c>
    </row>
    <row r="168" spans="1:18" ht="15" customHeight="1" thickBot="1">
      <c r="A168" s="2" t="s">
        <v>169</v>
      </c>
      <c r="B168" s="2"/>
      <c r="C168" s="21"/>
      <c r="D168" s="84" t="str">
        <f t="shared" si="41"/>
        <v xml:space="preserve">Phoebe Franich </v>
      </c>
      <c r="E168" s="22">
        <f>IFERROR(VLOOKUP(D168,'Employee Numbers'!$A$3:$B$84,2,FALSE),"NOT FOUND")</f>
        <v>700712</v>
      </c>
      <c r="F168" s="31" t="str">
        <f t="shared" si="39"/>
        <v/>
      </c>
      <c r="G168" s="31" t="str">
        <f t="shared" si="39"/>
        <v/>
      </c>
      <c r="H168" s="37" t="s">
        <v>170</v>
      </c>
      <c r="I168" s="31" t="str">
        <f t="shared" si="40"/>
        <v/>
      </c>
      <c r="J168" s="31" t="str">
        <f t="shared" si="40"/>
        <v/>
      </c>
      <c r="K168" s="31" t="str">
        <f t="shared" si="40"/>
        <v/>
      </c>
      <c r="L168" s="31" t="str">
        <f t="shared" si="40"/>
        <v/>
      </c>
      <c r="M168" s="35" t="s">
        <v>168</v>
      </c>
    </row>
    <row r="169" spans="1:18" ht="15" customHeight="1" thickBot="1">
      <c r="A169" s="2" t="s">
        <v>169</v>
      </c>
      <c r="B169" s="2"/>
      <c r="C169" s="21"/>
      <c r="D169" s="84" t="str">
        <f t="shared" si="41"/>
        <v xml:space="preserve">Marie Papadopulos </v>
      </c>
      <c r="E169" s="22">
        <f>IFERROR(VLOOKUP(D169,'Employee Numbers'!$A$3:$B$84,2,FALSE),"NOT FOUND")</f>
        <v>700818</v>
      </c>
      <c r="F169" s="31" t="str">
        <f t="shared" ref="F169:G176" si="43">IF(COUNTIF(F77,"*on*call*"),"oncall 2300-0830","")</f>
        <v/>
      </c>
      <c r="G169" s="31" t="str">
        <f t="shared" si="43"/>
        <v/>
      </c>
      <c r="H169" s="37" t="s">
        <v>170</v>
      </c>
      <c r="I169" s="31" t="str">
        <f t="shared" ref="I169:L176" si="44">IF(COUNTIF(I77,"*on*call*"),"oncall 2300-0830","")</f>
        <v/>
      </c>
      <c r="J169" s="31" t="str">
        <f t="shared" si="44"/>
        <v/>
      </c>
      <c r="K169" s="31" t="str">
        <f t="shared" si="44"/>
        <v/>
      </c>
      <c r="L169" s="31" t="str">
        <f t="shared" si="44"/>
        <v/>
      </c>
      <c r="M169" s="35" t="s">
        <v>168</v>
      </c>
    </row>
    <row r="170" spans="1:18" ht="15" customHeight="1" thickBot="1">
      <c r="A170" s="2" t="s">
        <v>169</v>
      </c>
      <c r="B170" s="2"/>
      <c r="C170" s="21"/>
      <c r="D170" s="84" t="str">
        <f t="shared" si="41"/>
        <v>Stormie de Groot (0.5)</v>
      </c>
      <c r="E170" s="22">
        <f>IFERROR(VLOOKUP(D170,'Employee Numbers'!$A$3:$B$84,2,FALSE),"NOT FOUND")</f>
        <v>650101</v>
      </c>
      <c r="F170" s="31" t="str">
        <f t="shared" si="43"/>
        <v/>
      </c>
      <c r="G170" s="31" t="str">
        <f t="shared" si="43"/>
        <v/>
      </c>
      <c r="H170" s="31" t="str">
        <f t="shared" ref="H170" si="45">IF(COUNTIF(H78,"0800-1730*"),"trg_2.5_1730","trg_2.5_0900")</f>
        <v>trg_2.5_0900</v>
      </c>
      <c r="I170" s="31" t="str">
        <f t="shared" si="44"/>
        <v/>
      </c>
      <c r="J170" s="31" t="str">
        <f t="shared" si="44"/>
        <v/>
      </c>
      <c r="K170" s="31" t="str">
        <f t="shared" si="44"/>
        <v/>
      </c>
      <c r="L170" s="31" t="str">
        <f t="shared" si="44"/>
        <v/>
      </c>
      <c r="M170" s="35" t="s">
        <v>168</v>
      </c>
    </row>
    <row r="171" spans="1:18" ht="15" customHeight="1" thickBot="1">
      <c r="A171" s="2" t="s">
        <v>169</v>
      </c>
      <c r="B171" s="2"/>
      <c r="C171" s="21"/>
      <c r="D171" s="84" t="str">
        <f t="shared" si="41"/>
        <v xml:space="preserve">Joanne Eaton </v>
      </c>
      <c r="E171" s="22">
        <f>IFERROR(VLOOKUP(D171,'Employee Numbers'!$A$3:$B$84,2,FALSE),"NOT FOUND")</f>
        <v>654888</v>
      </c>
      <c r="F171" s="31" t="str">
        <f t="shared" si="43"/>
        <v/>
      </c>
      <c r="G171" s="31" t="str">
        <f t="shared" si="43"/>
        <v/>
      </c>
      <c r="H171" s="37" t="s">
        <v>170</v>
      </c>
      <c r="I171" s="31" t="str">
        <f t="shared" si="44"/>
        <v/>
      </c>
      <c r="J171" s="31" t="str">
        <f t="shared" si="44"/>
        <v/>
      </c>
      <c r="K171" s="31" t="str">
        <f t="shared" si="44"/>
        <v/>
      </c>
      <c r="L171" s="31" t="str">
        <f t="shared" si="44"/>
        <v/>
      </c>
      <c r="M171" s="35" t="s">
        <v>168</v>
      </c>
    </row>
    <row r="172" spans="1:18" ht="15" customHeight="1" thickBot="1">
      <c r="A172" s="2" t="s">
        <v>169</v>
      </c>
      <c r="B172" s="2"/>
      <c r="C172" s="21"/>
      <c r="D172" s="84" t="str">
        <f t="shared" si="41"/>
        <v xml:space="preserve">Helena Li </v>
      </c>
      <c r="E172" s="22">
        <f>IFERROR(VLOOKUP(D172,'Employee Numbers'!$A$3:$B$84,2,FALSE),"NOT FOUND")</f>
        <v>703880</v>
      </c>
      <c r="F172" s="31" t="str">
        <f t="shared" si="43"/>
        <v/>
      </c>
      <c r="G172" s="31" t="str">
        <f t="shared" si="43"/>
        <v/>
      </c>
      <c r="H172" s="37" t="s">
        <v>170</v>
      </c>
      <c r="I172" s="31" t="str">
        <f t="shared" si="44"/>
        <v/>
      </c>
      <c r="J172" s="31" t="str">
        <f t="shared" si="44"/>
        <v/>
      </c>
      <c r="K172" s="31" t="str">
        <f t="shared" si="44"/>
        <v/>
      </c>
      <c r="L172" s="31" t="str">
        <f t="shared" si="44"/>
        <v/>
      </c>
      <c r="M172" s="35" t="s">
        <v>168</v>
      </c>
    </row>
    <row r="173" spans="1:18" ht="15" customHeight="1" thickBot="1">
      <c r="A173" s="2" t="s">
        <v>169</v>
      </c>
      <c r="B173" s="2"/>
      <c r="C173" s="21"/>
      <c r="D173" s="84" t="str">
        <f t="shared" si="41"/>
        <v xml:space="preserve">Mustafa Ozkul </v>
      </c>
      <c r="E173" s="22">
        <f>IFERROR(VLOOKUP(D173,'Employee Numbers'!$A$3:$B$84,2,FALSE),"NOT FOUND")</f>
        <v>703334</v>
      </c>
      <c r="F173" s="31" t="str">
        <f t="shared" si="43"/>
        <v/>
      </c>
      <c r="G173" s="31" t="str">
        <f t="shared" si="43"/>
        <v/>
      </c>
      <c r="H173" s="37" t="s">
        <v>170</v>
      </c>
      <c r="I173" s="31" t="str">
        <f t="shared" si="44"/>
        <v/>
      </c>
      <c r="J173" s="31" t="str">
        <f t="shared" si="44"/>
        <v/>
      </c>
      <c r="K173" s="31" t="str">
        <f t="shared" si="44"/>
        <v/>
      </c>
      <c r="L173" s="31" t="str">
        <f t="shared" si="44"/>
        <v/>
      </c>
      <c r="M173" s="35" t="s">
        <v>168</v>
      </c>
    </row>
    <row r="174" spans="1:18" ht="15" customHeight="1" thickBot="1">
      <c r="A174" s="2" t="s">
        <v>169</v>
      </c>
      <c r="B174" s="2"/>
      <c r="C174" s="21"/>
      <c r="D174" s="84" t="str">
        <f t="shared" si="41"/>
        <v>Ritu Chaurasia (0.75)</v>
      </c>
      <c r="E174" s="22">
        <f>IFERROR(VLOOKUP(D174,'Employee Numbers'!$A$3:$B$84,2,FALSE),"NOT FOUND")</f>
        <v>700538</v>
      </c>
      <c r="F174" s="31" t="str">
        <f t="shared" si="43"/>
        <v/>
      </c>
      <c r="G174" s="31" t="str">
        <f t="shared" si="43"/>
        <v/>
      </c>
      <c r="H174" s="31" t="s">
        <v>167</v>
      </c>
      <c r="I174" s="31" t="str">
        <f t="shared" si="44"/>
        <v/>
      </c>
      <c r="J174" s="31" t="str">
        <f t="shared" si="44"/>
        <v/>
      </c>
      <c r="K174" s="31" t="str">
        <f t="shared" si="44"/>
        <v/>
      </c>
      <c r="L174" s="31" t="str">
        <f t="shared" si="44"/>
        <v/>
      </c>
      <c r="M174" s="35" t="s">
        <v>168</v>
      </c>
    </row>
    <row r="175" spans="1:18" ht="15" customHeight="1" thickBot="1">
      <c r="A175" s="2" t="s">
        <v>169</v>
      </c>
      <c r="B175" s="2"/>
      <c r="C175" s="21"/>
      <c r="D175" s="84" t="str">
        <f t="shared" si="41"/>
        <v>Jamie Nicholls (0.5)</v>
      </c>
      <c r="E175" s="22">
        <f>IFERROR(VLOOKUP(D175,'Employee Numbers'!$A$3:$B$84,2,FALSE),"NOT FOUND")</f>
        <v>704862</v>
      </c>
      <c r="F175" s="31" t="str">
        <f t="shared" si="43"/>
        <v/>
      </c>
      <c r="G175" s="31" t="str">
        <f t="shared" si="43"/>
        <v/>
      </c>
      <c r="H175" s="31" t="str">
        <f t="shared" ref="H175" si="46">IF(COUNTIF(H83,"0800-1730*"),"trg_2.5_1730","trg_2.5_0900")</f>
        <v>trg_2.5_0900</v>
      </c>
      <c r="I175" s="31" t="str">
        <f t="shared" si="44"/>
        <v/>
      </c>
      <c r="J175" s="31" t="str">
        <f t="shared" si="44"/>
        <v/>
      </c>
      <c r="K175" s="31" t="str">
        <f t="shared" si="44"/>
        <v/>
      </c>
      <c r="L175" s="31" t="str">
        <f t="shared" si="44"/>
        <v/>
      </c>
      <c r="M175" s="35" t="s">
        <v>168</v>
      </c>
    </row>
    <row r="176" spans="1:18" ht="15" customHeight="1">
      <c r="A176" s="2" t="s">
        <v>169</v>
      </c>
      <c r="B176" s="2"/>
      <c r="C176" s="21"/>
      <c r="D176" s="84">
        <f t="shared" si="41"/>
        <v>0</v>
      </c>
      <c r="E176" s="22" t="str">
        <f>IFERROR(VLOOKUP(D176,'Employee Numbers'!$A$3:$B$84,2,FALSE),"NOT FOUND")</f>
        <v>NOT FOUND</v>
      </c>
      <c r="F176" s="31" t="str">
        <f t="shared" si="43"/>
        <v/>
      </c>
      <c r="G176" s="31" t="str">
        <f t="shared" si="43"/>
        <v/>
      </c>
      <c r="H176" s="37" t="s">
        <v>170</v>
      </c>
      <c r="I176" s="31" t="str">
        <f t="shared" si="44"/>
        <v/>
      </c>
      <c r="J176" s="31" t="str">
        <f t="shared" si="44"/>
        <v/>
      </c>
      <c r="K176" s="31" t="str">
        <f t="shared" si="44"/>
        <v/>
      </c>
      <c r="L176" s="31" t="str">
        <f t="shared" si="44"/>
        <v/>
      </c>
      <c r="M176" s="35" t="s">
        <v>168</v>
      </c>
    </row>
  </sheetData>
  <mergeCells count="1">
    <mergeCell ref="D4:L4"/>
  </mergeCells>
  <phoneticPr fontId="18" type="noConversion"/>
  <conditionalFormatting sqref="E21:E49 E115:E143">
    <cfRule type="cellIs" dxfId="621" priority="43" operator="equal">
      <formula>0</formula>
    </cfRule>
    <cfRule type="containsText" dxfId="620" priority="42" operator="containsText" text="NOT FOUND">
      <formula>NOT(ISERROR(SEARCH("NOT FOUND",E21)))</formula>
    </cfRule>
  </conditionalFormatting>
  <conditionalFormatting sqref="E54:E59">
    <cfRule type="cellIs" dxfId="619" priority="47" operator="equal">
      <formula>0</formula>
    </cfRule>
    <cfRule type="containsText" dxfId="618" priority="46" operator="containsText" text="NOT FOUND">
      <formula>NOT(ISERROR(SEARCH("NOT FOUND",E54)))</formula>
    </cfRule>
  </conditionalFormatting>
  <conditionalFormatting sqref="E61:E84">
    <cfRule type="cellIs" dxfId="617" priority="41" operator="equal">
      <formula>0</formula>
    </cfRule>
    <cfRule type="containsText" dxfId="616" priority="40" operator="containsText" text="NOT FOUND">
      <formula>NOT(ISERROR(SEARCH("NOT FOUND",E61)))</formula>
    </cfRule>
  </conditionalFormatting>
  <conditionalFormatting sqref="E86:E99">
    <cfRule type="cellIs" dxfId="615" priority="39" operator="equal">
      <formula>0</formula>
    </cfRule>
    <cfRule type="containsText" dxfId="614" priority="38" operator="containsText" text="NOT FOUND">
      <formula>NOT(ISERROR(SEARCH("NOT FOUND",E86)))</formula>
    </cfRule>
  </conditionalFormatting>
  <conditionalFormatting sqref="E101:E102">
    <cfRule type="containsText" dxfId="613" priority="44" operator="containsText" text="NOT FOUND">
      <formula>NOT(ISERROR(SEARCH("NOT FOUND",E101)))</formula>
    </cfRule>
    <cfRule type="cellIs" dxfId="612" priority="45" operator="equal">
      <formula>0</formula>
    </cfRule>
  </conditionalFormatting>
  <conditionalFormatting sqref="E146:E151">
    <cfRule type="containsText" dxfId="611" priority="3" operator="containsText" text="NOT FOUND">
      <formula>NOT(ISERROR(SEARCH("NOT FOUND",E146)))</formula>
    </cfRule>
    <cfRule type="cellIs" dxfId="610" priority="4" operator="equal">
      <formula>0</formula>
    </cfRule>
  </conditionalFormatting>
  <conditionalFormatting sqref="E153:E176">
    <cfRule type="containsText" dxfId="609" priority="1" operator="containsText" text="NOT FOUND">
      <formula>NOT(ISERROR(SEARCH("NOT FOUND",E153)))</formula>
    </cfRule>
    <cfRule type="cellIs" dxfId="608" priority="2" operator="equal">
      <formula>0</formula>
    </cfRule>
  </conditionalFormatting>
  <conditionalFormatting sqref="F6:L6">
    <cfRule type="cellIs" dxfId="607" priority="31" operator="lessThan">
      <formula>2</formula>
    </cfRule>
    <cfRule type="cellIs" dxfId="606" priority="18" operator="greaterThan">
      <formula>3</formula>
    </cfRule>
  </conditionalFormatting>
  <conditionalFormatting sqref="F7:L7">
    <cfRule type="cellIs" dxfId="605" priority="30" operator="lessThan">
      <formula>2</formula>
    </cfRule>
  </conditionalFormatting>
  <conditionalFormatting sqref="F8:L8">
    <cfRule type="cellIs" dxfId="604" priority="36" operator="lessThan">
      <formula>5</formula>
    </cfRule>
    <cfRule type="cellIs" dxfId="603" priority="17" operator="greaterThan">
      <formula>8</formula>
    </cfRule>
    <cfRule type="cellIs" dxfId="602" priority="22" operator="equal">
      <formula>5</formula>
    </cfRule>
    <cfRule type="cellIs" dxfId="601" priority="37" operator="between">
      <formula>6</formula>
      <formula>8</formula>
    </cfRule>
  </conditionalFormatting>
  <conditionalFormatting sqref="F10:L11">
    <cfRule type="cellIs" dxfId="600" priority="33" operator="greaterThan">
      <formula>1</formula>
    </cfRule>
    <cfRule type="cellIs" dxfId="599" priority="21" operator="equal">
      <formula>1</formula>
    </cfRule>
  </conditionalFormatting>
  <conditionalFormatting sqref="F12:L12 F6:L7">
    <cfRule type="cellIs" dxfId="598" priority="32" operator="between">
      <formula>2</formula>
      <formula>3</formula>
    </cfRule>
  </conditionalFormatting>
  <conditionalFormatting sqref="F12:L12">
    <cfRule type="cellIs" dxfId="597" priority="19" operator="greaterThan">
      <formula>2</formula>
    </cfRule>
    <cfRule type="cellIs" dxfId="596" priority="25" operator="lessThan">
      <formula>2</formula>
    </cfRule>
  </conditionalFormatting>
  <conditionalFormatting sqref="F13:L13">
    <cfRule type="cellIs" dxfId="595" priority="26" operator="greaterThanOrEqual">
      <formula>6</formula>
    </cfRule>
    <cfRule type="cellIs" dxfId="594" priority="29" operator="lessThan">
      <formula>6</formula>
    </cfRule>
  </conditionalFormatting>
  <conditionalFormatting sqref="F14:L14">
    <cfRule type="cellIs" dxfId="593" priority="24" operator="equal">
      <formula>9</formula>
    </cfRule>
    <cfRule type="cellIs" dxfId="592" priority="34" operator="between">
      <formula>10</formula>
      <formula>11</formula>
    </cfRule>
    <cfRule type="cellIs" dxfId="591" priority="35" operator="greaterThan">
      <formula>11</formula>
    </cfRule>
    <cfRule type="cellIs" dxfId="590" priority="23" operator="lessThan">
      <formula>9</formula>
    </cfRule>
  </conditionalFormatting>
  <conditionalFormatting sqref="F16:L16">
    <cfRule type="cellIs" dxfId="589" priority="20" operator="greaterThan">
      <formula>4</formula>
    </cfRule>
    <cfRule type="cellIs" dxfId="588" priority="27" operator="equal">
      <formula>4</formula>
    </cfRule>
    <cfRule type="cellIs" dxfId="587" priority="28" operator="lessThan">
      <formula>4</formula>
    </cfRule>
  </conditionalFormatting>
  <conditionalFormatting sqref="R21:R48">
    <cfRule type="cellIs" dxfId="586" priority="14" operator="equal">
      <formula>S21</formula>
    </cfRule>
    <cfRule type="cellIs" dxfId="585" priority="13" operator="notEqual">
      <formula>S21</formula>
    </cfRule>
  </conditionalFormatting>
  <conditionalFormatting sqref="R54:R59 R61:R84">
    <cfRule type="cellIs" dxfId="584" priority="16" operator="equal">
      <formula>(N54+P54)*9.5/38*5</formula>
    </cfRule>
    <cfRule type="cellIs" dxfId="583" priority="15" operator="notEqual">
      <formula>(N54+P54)*9.5/38*5</formula>
    </cfRule>
  </conditionalFormatting>
  <conditionalFormatting sqref="S54:S59">
    <cfRule type="cellIs" dxfId="582" priority="12" operator="equal">
      <formula>T54</formula>
    </cfRule>
    <cfRule type="cellIs" dxfId="581" priority="11" operator="notEqual">
      <formula>T54</formula>
    </cfRule>
  </conditionalFormatting>
  <conditionalFormatting sqref="S61:S84">
    <cfRule type="cellIs" dxfId="580" priority="10" operator="equal">
      <formula>T61</formula>
    </cfRule>
    <cfRule type="cellIs" dxfId="579" priority="9" operator="notEqual">
      <formula>T61</formula>
    </cfRule>
  </conditionalFormatting>
  <conditionalFormatting sqref="S86:S99">
    <cfRule type="cellIs" dxfId="578" priority="8" operator="equal">
      <formula>T86</formula>
    </cfRule>
    <cfRule type="cellIs" dxfId="577" priority="7" operator="notEqual">
      <formula>T86</formula>
    </cfRule>
  </conditionalFormatting>
  <conditionalFormatting sqref="S101:S102">
    <cfRule type="cellIs" dxfId="576" priority="6" operator="equal">
      <formula>T101</formula>
    </cfRule>
    <cfRule type="cellIs" dxfId="575" priority="5" operator="notEqual">
      <formula>T101</formula>
    </cfRule>
  </conditionalFormatting>
  <pageMargins left="0.70866141732283472" right="0.70866141732283472" top="0.15748031496062992" bottom="0.15748031496062992" header="0" footer="0"/>
  <pageSetup paperSize="9" scale="49" fitToWidth="0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Y176"/>
  <sheetViews>
    <sheetView topLeftCell="B76" workbookViewId="0">
      <selection activeCell="D97" sqref="D97"/>
    </sheetView>
  </sheetViews>
  <sheetFormatPr defaultColWidth="31.28515625" defaultRowHeight="15" customHeight="1"/>
  <cols>
    <col min="1" max="1" width="15.140625" style="5" customWidth="1"/>
    <col min="2" max="2" width="10.42578125" style="5" customWidth="1"/>
    <col min="3" max="3" width="6" style="8" customWidth="1"/>
    <col min="4" max="4" width="26.7109375" style="5" bestFit="1" customWidth="1"/>
    <col min="5" max="5" width="8.42578125" style="8" customWidth="1"/>
    <col min="6" max="7" width="15.85546875" style="5" customWidth="1"/>
    <col min="8" max="8" width="20" style="5" customWidth="1"/>
    <col min="9" max="12" width="15.85546875" style="5" customWidth="1"/>
    <col min="13" max="13" width="31.28515625" style="5"/>
    <col min="14" max="14" width="7.85546875" style="5" customWidth="1"/>
    <col min="15" max="15" width="14.42578125" style="5" customWidth="1"/>
    <col min="16" max="16" width="8.42578125" style="5" customWidth="1"/>
    <col min="17" max="17" width="8.7109375" style="5" customWidth="1"/>
    <col min="18" max="18" width="12.7109375" style="5" customWidth="1"/>
    <col min="19" max="19" width="14.7109375" style="5" bestFit="1" customWidth="1"/>
    <col min="20" max="20" width="14.140625" style="5" bestFit="1" customWidth="1"/>
    <col min="21" max="25" width="7.140625" style="5" customWidth="1"/>
    <col min="26" max="16384" width="31.28515625" style="5"/>
  </cols>
  <sheetData>
    <row r="1" spans="1:13" s="2" customFormat="1" ht="15" customHeight="1">
      <c r="A1" s="34" t="s">
        <v>0</v>
      </c>
      <c r="B1" s="103" t="s">
        <v>1</v>
      </c>
      <c r="C1" s="104" t="s">
        <v>2</v>
      </c>
      <c r="D1" s="104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 t="s">
        <v>8</v>
      </c>
      <c r="J1" s="47" t="s">
        <v>9</v>
      </c>
      <c r="K1" s="47" t="s">
        <v>10</v>
      </c>
      <c r="L1" s="47" t="s">
        <v>11</v>
      </c>
      <c r="M1" s="103" t="s">
        <v>12</v>
      </c>
    </row>
    <row r="2" spans="1:13" s="2" customFormat="1" ht="15" customHeight="1">
      <c r="A2" s="13" t="s">
        <v>13</v>
      </c>
      <c r="B2" s="112"/>
      <c r="C2" s="21"/>
      <c r="E2" s="21"/>
      <c r="F2" s="94">
        <f>'Week 7'!F2+7</f>
        <v>46195</v>
      </c>
      <c r="G2" s="95">
        <f>F2+1</f>
        <v>46196</v>
      </c>
      <c r="H2" s="95">
        <f t="shared" ref="H2:L2" si="0">G2+1</f>
        <v>46197</v>
      </c>
      <c r="I2" s="95">
        <f t="shared" si="0"/>
        <v>46198</v>
      </c>
      <c r="J2" s="95">
        <f t="shared" si="0"/>
        <v>46199</v>
      </c>
      <c r="K2" s="95">
        <f t="shared" si="0"/>
        <v>46200</v>
      </c>
      <c r="L2" s="95">
        <f t="shared" si="0"/>
        <v>46201</v>
      </c>
    </row>
    <row r="3" spans="1:13" s="2" customFormat="1" ht="15" customHeight="1">
      <c r="A3" s="13" t="s">
        <v>14</v>
      </c>
      <c r="B3" s="112">
        <f>1+(F2-'Week 1'!F2)/7</f>
        <v>8</v>
      </c>
      <c r="E3" s="21"/>
      <c r="F3" s="94"/>
      <c r="G3" s="95"/>
      <c r="H3" s="95"/>
      <c r="I3" s="95"/>
      <c r="J3" s="95"/>
      <c r="K3" s="95"/>
      <c r="L3" s="95"/>
    </row>
    <row r="4" spans="1:13" ht="22.5" customHeight="1">
      <c r="A4" s="13" t="s">
        <v>15</v>
      </c>
      <c r="B4" s="2"/>
      <c r="C4" s="21">
        <f ca="1">IF(INDIRECT("'Week "&amp;(B3-1)&amp;"'!C4")=1,2,IF(INDIRECT("'Week "&amp;(B3-1)&amp;"'!C4")=2,1,_xludf.NA))</f>
        <v>2</v>
      </c>
      <c r="D4" s="359" t="str">
        <f>'Week 1'!D4:L4</f>
        <v>PAEDIATRIC EMERGENCY DEPARTMENT ROSTER - Term 2 2026</v>
      </c>
      <c r="E4" s="360"/>
      <c r="F4" s="360"/>
      <c r="G4" s="360"/>
      <c r="H4" s="360"/>
      <c r="I4" s="360"/>
      <c r="J4" s="360"/>
      <c r="K4" s="360"/>
      <c r="L4" s="360"/>
    </row>
    <row r="5" spans="1:13" s="2" customFormat="1" ht="15" customHeight="1" thickBot="1">
      <c r="A5" s="13"/>
      <c r="C5" s="21"/>
      <c r="E5" s="21"/>
      <c r="F5" s="94"/>
      <c r="G5" s="95"/>
      <c r="H5" s="95"/>
      <c r="I5" s="95"/>
      <c r="J5" s="95"/>
      <c r="K5" s="95"/>
      <c r="L5" s="95"/>
    </row>
    <row r="6" spans="1:13" s="2" customFormat="1" ht="15" customHeight="1">
      <c r="A6" s="13"/>
      <c r="C6" s="21"/>
      <c r="D6" s="96" t="s">
        <v>17</v>
      </c>
      <c r="E6" s="97"/>
      <c r="F6" s="101">
        <f>COUNTIF(F$21:F$49,"0800-1???")-COUNTIFS(F$48,"0800-1???",$D$48,"Locum")-COUNTIFS(F$49,"0800-1???",$D$49,"Locum")</f>
        <v>3</v>
      </c>
      <c r="G6" s="101">
        <f t="shared" ref="G6:L6" si="1">COUNTIF(G$21:G$49,"0800-1???")-COUNTIFS(G$48,"0800-1???",$D$48,"Locum")-COUNTIFS(G$49,"0800-1???",$D$49,"Locum")</f>
        <v>3</v>
      </c>
      <c r="H6" s="101">
        <f t="shared" si="1"/>
        <v>3</v>
      </c>
      <c r="I6" s="101">
        <f t="shared" si="1"/>
        <v>2</v>
      </c>
      <c r="J6" s="101">
        <f t="shared" si="1"/>
        <v>3</v>
      </c>
      <c r="K6" s="101">
        <f t="shared" si="1"/>
        <v>2</v>
      </c>
      <c r="L6" s="101">
        <f t="shared" si="1"/>
        <v>2</v>
      </c>
    </row>
    <row r="7" spans="1:13" s="2" customFormat="1" ht="15" customHeight="1" thickBot="1">
      <c r="A7" s="13"/>
      <c r="C7" s="21"/>
      <c r="D7" s="68" t="s">
        <v>18</v>
      </c>
      <c r="E7" s="67"/>
      <c r="F7" s="109">
        <f t="shared" ref="F7:L7" si="2">COUNTIF(F$54:F$102,"0800-1???")</f>
        <v>4</v>
      </c>
      <c r="G7" s="109">
        <f t="shared" si="2"/>
        <v>3</v>
      </c>
      <c r="H7" s="109">
        <f t="shared" si="2"/>
        <v>3</v>
      </c>
      <c r="I7" s="109">
        <f t="shared" si="2"/>
        <v>5</v>
      </c>
      <c r="J7" s="109">
        <f t="shared" si="2"/>
        <v>3</v>
      </c>
      <c r="K7" s="109">
        <f t="shared" si="2"/>
        <v>3</v>
      </c>
      <c r="L7" s="157">
        <f t="shared" si="2"/>
        <v>4</v>
      </c>
    </row>
    <row r="8" spans="1:13" s="2" customFormat="1" ht="15" customHeight="1" thickBot="1">
      <c r="A8" s="13"/>
      <c r="C8" s="21"/>
      <c r="D8" s="98" t="s">
        <v>19</v>
      </c>
      <c r="E8" s="99"/>
      <c r="F8" s="108">
        <f>F6+F7</f>
        <v>7</v>
      </c>
      <c r="G8" s="108">
        <f t="shared" ref="G8:L8" si="3">G6+G7</f>
        <v>6</v>
      </c>
      <c r="H8" s="108">
        <f t="shared" si="3"/>
        <v>6</v>
      </c>
      <c r="I8" s="108">
        <f t="shared" si="3"/>
        <v>7</v>
      </c>
      <c r="J8" s="108">
        <f t="shared" si="3"/>
        <v>6</v>
      </c>
      <c r="K8" s="108">
        <f t="shared" si="3"/>
        <v>5</v>
      </c>
      <c r="L8" s="158">
        <f t="shared" si="3"/>
        <v>6</v>
      </c>
    </row>
    <row r="9" spans="1:13" s="2" customFormat="1" ht="15" customHeight="1" thickBot="1">
      <c r="A9" s="13"/>
      <c r="C9" s="21"/>
      <c r="E9" s="21"/>
      <c r="F9" s="21"/>
      <c r="G9" s="21"/>
      <c r="H9" s="21"/>
      <c r="I9" s="21"/>
      <c r="J9" s="21"/>
      <c r="K9" s="21"/>
      <c r="L9" s="21"/>
    </row>
    <row r="10" spans="1:13" s="2" customFormat="1" ht="15" customHeight="1">
      <c r="A10" s="13"/>
      <c r="C10" s="21"/>
      <c r="D10" s="96" t="s">
        <v>20</v>
      </c>
      <c r="E10" s="97"/>
      <c r="F10" s="101">
        <f>COUNTIF(F$21:F$49,"1100-????")-COUNTIFS(F$48,"1100-????",$D$48,"Locum")-COUNTIFS(F$49,"1100-????",$D$49,"Locum")</f>
        <v>0</v>
      </c>
      <c r="G10" s="101">
        <f t="shared" ref="G10:L10" si="4">COUNTIF(G$21:G$49,"1100-????")-COUNTIFS(G$48,"1100-????",$D$48,"Locum")-COUNTIFS(G$49,"1100-????",$D$49,"Locum")</f>
        <v>0</v>
      </c>
      <c r="H10" s="101">
        <f t="shared" si="4"/>
        <v>0</v>
      </c>
      <c r="I10" s="101">
        <f t="shared" si="4"/>
        <v>0</v>
      </c>
      <c r="J10" s="101">
        <f t="shared" si="4"/>
        <v>0</v>
      </c>
      <c r="K10" s="101">
        <f t="shared" si="4"/>
        <v>0</v>
      </c>
      <c r="L10" s="101">
        <f t="shared" si="4"/>
        <v>0</v>
      </c>
    </row>
    <row r="11" spans="1:13" s="2" customFormat="1" ht="15" customHeight="1">
      <c r="A11" s="13"/>
      <c r="C11" s="21"/>
      <c r="D11" s="68" t="s">
        <v>21</v>
      </c>
      <c r="E11" s="67"/>
      <c r="F11" s="161">
        <f>COUNTIF(F$54:F$102,"1100-????")</f>
        <v>0</v>
      </c>
      <c r="G11" s="161">
        <f t="shared" ref="G11:L11" si="5">COUNTIF(G$54:G$102,"1100-????")</f>
        <v>1</v>
      </c>
      <c r="H11" s="161">
        <f t="shared" si="5"/>
        <v>0</v>
      </c>
      <c r="I11" s="161">
        <f t="shared" si="5"/>
        <v>0</v>
      </c>
      <c r="J11" s="161">
        <f t="shared" si="5"/>
        <v>0</v>
      </c>
      <c r="K11" s="161">
        <f t="shared" si="5"/>
        <v>0</v>
      </c>
      <c r="L11" s="161">
        <f t="shared" si="5"/>
        <v>0</v>
      </c>
    </row>
    <row r="12" spans="1:13" s="2" customFormat="1" ht="15" customHeight="1">
      <c r="A12" s="13"/>
      <c r="C12" s="21"/>
      <c r="D12" s="68" t="s">
        <v>22</v>
      </c>
      <c r="E12" s="67"/>
      <c r="F12" s="102">
        <f>COUNTIF(F$21:F$49,"1???-00?0")-COUNTIFS(F$48,"1???-00?0",$D$48,"Locum")-COUNTIFS(F$49,"1???-00?0",$D$49,"Locum")</f>
        <v>2</v>
      </c>
      <c r="G12" s="102">
        <f t="shared" ref="G12:L12" si="6">COUNTIF(G$21:G$49,"1???-00?0")-COUNTIFS(G$48,"1???-00?0",$D$48,"Locum")-COUNTIFS(G$49,"1???-00?0",$D$49,"Locum")</f>
        <v>2</v>
      </c>
      <c r="H12" s="102">
        <f t="shared" si="6"/>
        <v>2</v>
      </c>
      <c r="I12" s="102">
        <f t="shared" si="6"/>
        <v>2</v>
      </c>
      <c r="J12" s="102">
        <f t="shared" si="6"/>
        <v>2</v>
      </c>
      <c r="K12" s="102">
        <f t="shared" si="6"/>
        <v>2</v>
      </c>
      <c r="L12" s="102">
        <f t="shared" si="6"/>
        <v>2</v>
      </c>
    </row>
    <row r="13" spans="1:13" s="2" customFormat="1" ht="15" customHeight="1" thickBot="1">
      <c r="A13" s="13"/>
      <c r="C13" s="21"/>
      <c r="D13" s="68" t="s">
        <v>23</v>
      </c>
      <c r="E13" s="67"/>
      <c r="F13" s="109">
        <f>COUNTIF(F$54:F$102,"1???-0000*")</f>
        <v>9</v>
      </c>
      <c r="G13" s="109">
        <f t="shared" ref="G13:L13" si="7">COUNTIF(G$54:G$102,"1???-0000*")</f>
        <v>8</v>
      </c>
      <c r="H13" s="109">
        <f t="shared" si="7"/>
        <v>8</v>
      </c>
      <c r="I13" s="109">
        <f t="shared" si="7"/>
        <v>9</v>
      </c>
      <c r="J13" s="109">
        <f t="shared" si="7"/>
        <v>8</v>
      </c>
      <c r="K13" s="109">
        <f t="shared" si="7"/>
        <v>8</v>
      </c>
      <c r="L13" s="157">
        <f t="shared" si="7"/>
        <v>8</v>
      </c>
    </row>
    <row r="14" spans="1:13" s="2" customFormat="1" ht="15" customHeight="1" thickBot="1">
      <c r="A14" s="13"/>
      <c r="C14" s="21"/>
      <c r="D14" s="98" t="s">
        <v>24</v>
      </c>
      <c r="E14" s="99"/>
      <c r="F14" s="108">
        <f>F12+F13</f>
        <v>11</v>
      </c>
      <c r="G14" s="108">
        <f t="shared" ref="G14:L14" si="8">G12+G13</f>
        <v>10</v>
      </c>
      <c r="H14" s="108">
        <f t="shared" si="8"/>
        <v>10</v>
      </c>
      <c r="I14" s="108">
        <f t="shared" si="8"/>
        <v>11</v>
      </c>
      <c r="J14" s="108">
        <f t="shared" si="8"/>
        <v>10</v>
      </c>
      <c r="K14" s="108">
        <f t="shared" si="8"/>
        <v>10</v>
      </c>
      <c r="L14" s="158">
        <f t="shared" si="8"/>
        <v>10</v>
      </c>
    </row>
    <row r="15" spans="1:13" s="2" customFormat="1" ht="15" customHeight="1" thickBot="1">
      <c r="A15" s="13"/>
      <c r="C15" s="21"/>
      <c r="E15" s="21"/>
      <c r="F15" s="21"/>
      <c r="G15" s="21"/>
      <c r="H15" s="21"/>
      <c r="I15" s="21"/>
      <c r="J15" s="21"/>
      <c r="K15" s="21"/>
      <c r="L15" s="21"/>
    </row>
    <row r="16" spans="1:13" s="2" customFormat="1" ht="15" customHeight="1" thickBot="1">
      <c r="A16" s="13"/>
      <c r="C16" s="21"/>
      <c r="D16" s="100" t="s">
        <v>25</v>
      </c>
      <c r="E16" s="72"/>
      <c r="F16" s="66">
        <f t="shared" ref="F16:L16" si="9">COUNTIF(F$54:F$99,"2300-0830")</f>
        <v>4</v>
      </c>
      <c r="G16" s="66">
        <f t="shared" si="9"/>
        <v>4</v>
      </c>
      <c r="H16" s="66">
        <f t="shared" si="9"/>
        <v>4</v>
      </c>
      <c r="I16" s="66">
        <f t="shared" si="9"/>
        <v>4</v>
      </c>
      <c r="J16" s="66">
        <f t="shared" si="9"/>
        <v>4</v>
      </c>
      <c r="K16" s="66">
        <f t="shared" si="9"/>
        <v>4</v>
      </c>
      <c r="L16" s="159">
        <f t="shared" si="9"/>
        <v>4</v>
      </c>
    </row>
    <row r="17" spans="1:25" s="2" customFormat="1" ht="15" customHeight="1" thickBot="1">
      <c r="A17" s="13"/>
      <c r="C17" s="21"/>
      <c r="E17" s="21"/>
      <c r="F17" s="21"/>
      <c r="G17" s="21"/>
      <c r="H17" s="21"/>
      <c r="I17" s="21"/>
      <c r="J17" s="21"/>
      <c r="K17" s="21"/>
      <c r="L17" s="21"/>
    </row>
    <row r="18" spans="1:25" s="2" customFormat="1" ht="15" customHeight="1" thickBot="1">
      <c r="A18" s="13"/>
      <c r="C18" s="21"/>
      <c r="D18" s="61" t="s">
        <v>26</v>
      </c>
      <c r="E18" s="62" t="s">
        <v>4</v>
      </c>
      <c r="F18" s="62" t="s">
        <v>5</v>
      </c>
      <c r="G18" s="62" t="s">
        <v>6</v>
      </c>
      <c r="H18" s="62" t="s">
        <v>7</v>
      </c>
      <c r="I18" s="62" t="s">
        <v>8</v>
      </c>
      <c r="J18" s="62" t="s">
        <v>9</v>
      </c>
      <c r="K18" s="62" t="s">
        <v>10</v>
      </c>
      <c r="L18" s="63" t="s">
        <v>11</v>
      </c>
      <c r="N18" s="145" t="s">
        <v>27</v>
      </c>
      <c r="O18" s="145" t="s">
        <v>28</v>
      </c>
      <c r="P18" s="136" t="s">
        <v>29</v>
      </c>
      <c r="R18" s="146" t="s">
        <v>30</v>
      </c>
      <c r="S18" s="145" t="s">
        <v>31</v>
      </c>
    </row>
    <row r="19" spans="1:25" s="2" customFormat="1" ht="15" customHeight="1" thickBot="1">
      <c r="A19" s="13"/>
      <c r="C19" s="21"/>
      <c r="D19" s="93"/>
      <c r="E19" s="91"/>
      <c r="F19" s="92">
        <f>F2</f>
        <v>46195</v>
      </c>
      <c r="G19" s="64">
        <f t="shared" ref="G19:L19" si="10">F19+1</f>
        <v>46196</v>
      </c>
      <c r="H19" s="64">
        <f t="shared" si="10"/>
        <v>46197</v>
      </c>
      <c r="I19" s="64">
        <f t="shared" si="10"/>
        <v>46198</v>
      </c>
      <c r="J19" s="64">
        <f t="shared" si="10"/>
        <v>46199</v>
      </c>
      <c r="K19" s="64">
        <f t="shared" si="10"/>
        <v>46200</v>
      </c>
      <c r="L19" s="65">
        <f t="shared" si="10"/>
        <v>46201</v>
      </c>
      <c r="N19" s="147" t="s">
        <v>32</v>
      </c>
      <c r="O19" s="21" t="s">
        <v>32</v>
      </c>
      <c r="P19" s="148"/>
      <c r="R19" s="149" t="s">
        <v>32</v>
      </c>
      <c r="S19" s="147" t="s">
        <v>32</v>
      </c>
      <c r="U19" s="2" t="s">
        <v>33</v>
      </c>
      <c r="V19" s="142" t="s">
        <v>34</v>
      </c>
      <c r="W19" s="2" t="s">
        <v>35</v>
      </c>
      <c r="X19" s="2" t="s">
        <v>36</v>
      </c>
      <c r="Y19" s="2" t="s">
        <v>37</v>
      </c>
    </row>
    <row r="20" spans="1:25" s="2" customFormat="1" ht="15.75" customHeight="1" thickBot="1">
      <c r="A20" s="114" t="s">
        <v>38</v>
      </c>
      <c r="B20" s="115"/>
      <c r="C20" s="116"/>
      <c r="D20" s="117" t="s">
        <v>38</v>
      </c>
      <c r="E20" s="155"/>
      <c r="F20" s="118"/>
      <c r="G20" s="119"/>
      <c r="H20" s="119"/>
      <c r="I20" s="119"/>
      <c r="J20" s="119"/>
      <c r="K20" s="119"/>
      <c r="L20" s="120"/>
      <c r="N20" s="160"/>
      <c r="O20" s="160"/>
      <c r="P20" s="150"/>
      <c r="R20" s="151"/>
      <c r="S20" s="160"/>
      <c r="T20" s="160"/>
      <c r="U20" s="160"/>
      <c r="V20" s="142"/>
    </row>
    <row r="21" spans="1:25" s="2" customFormat="1" ht="15" customHeight="1">
      <c r="A21" s="162" t="s">
        <v>39</v>
      </c>
      <c r="B21" s="162"/>
      <c r="C21" s="164"/>
      <c r="D21" s="234" t="s">
        <v>40</v>
      </c>
      <c r="E21" s="165">
        <f>IFERROR(VLOOKUP(D21,'Employee Numbers'!$A$3:$B$84,2,FALSE),"NOT FOUND")</f>
        <v>287628</v>
      </c>
      <c r="F21" s="235" t="s">
        <v>41</v>
      </c>
      <c r="G21" s="236" t="s">
        <v>41</v>
      </c>
      <c r="H21" s="236" t="s">
        <v>41</v>
      </c>
      <c r="I21" s="236" t="s">
        <v>41</v>
      </c>
      <c r="J21" s="236"/>
      <c r="K21" s="236" t="s">
        <v>54</v>
      </c>
      <c r="L21" s="237"/>
      <c r="N21">
        <f t="array" ref="N21">((SUM(IFERROR((TEXT(IF(ISNUMBER(SEARCH("-", F21:L21)), MID(F21:L21, SEARCH("-", F21:L21) + 1, 4), ""), "00\:00") - TEXT(IF(ISNUMBER(SEARCH("-", F21:L21)), MID(F21:L21, SEARCH("-", F21:L21) - 4, 4), ""), "00\:00") + IF(TEXT(IF(ISNUMBER(SEARCH("-", F21:L21)), MID(F21:L21, SEARCH("-", F21:L21) + 1, 4), ""), "00\:00") &lt; TEXT(IF(ISNUMBER(SEARCH("-", F21:L21)), MID(F21:L21, SEARCH("-", F21:L21) - 4, 4), ""), "00\:00"), 1, 0))*24,""))))/9.5</f>
        <v>5</v>
      </c>
      <c r="O21"/>
      <c r="P21" s="151">
        <f>N21+O21</f>
        <v>5</v>
      </c>
      <c r="R21" s="4">
        <f ca="1">IF($C$4=1,SUM(P21+INDIRECT("'Week "&amp;($B$3+1)&amp;"'!P"&amp;(ROW()))),IF($C$4=2,SUM(P21+INDIRECT("'Week "&amp;($B$3-1)&amp;"'!P"&amp;(ROW())))))</f>
        <v>9</v>
      </c>
      <c r="S21" s="2">
        <f>(IFERROR(VLOOKUP(D21,'Employee Numbers'!$A$3:$C$84,3,FALSE),"NOT FOUND"))*8</f>
        <v>8</v>
      </c>
      <c r="U21" s="142">
        <f>COUNTIF(E21:K21,"0800-1730")</f>
        <v>0</v>
      </c>
      <c r="V21" s="142">
        <f>COUNTIF(F21:L21,"1???-00?0")</f>
        <v>1</v>
      </c>
      <c r="W21" s="2">
        <f>COUNTIF(F21:L21,"*0800-1730*CS*")+COUNTIF(F21:L21,"*0800-1730*DEMT*")</f>
        <v>4</v>
      </c>
      <c r="Y21" s="2">
        <f>COUNTIF(K21:L21,"???0-*")</f>
        <v>1</v>
      </c>
    </row>
    <row r="22" spans="1:25" s="2" customFormat="1" ht="15" customHeight="1">
      <c r="A22" s="2" t="s">
        <v>39</v>
      </c>
      <c r="B22" s="46"/>
      <c r="C22" s="21"/>
      <c r="D22" s="227" t="s">
        <v>43</v>
      </c>
      <c r="E22" s="226">
        <f>IFERROR(VLOOKUP(D22,'Employee Numbers'!$A$3:$B$84,2,FALSE),"NOT FOUND")</f>
        <v>609660</v>
      </c>
      <c r="F22" s="29" t="s">
        <v>41</v>
      </c>
      <c r="G22" s="31"/>
      <c r="H22" s="31" t="s">
        <v>42</v>
      </c>
      <c r="I22" s="31" t="s">
        <v>41</v>
      </c>
      <c r="J22" s="31" t="s">
        <v>42</v>
      </c>
      <c r="K22" s="31"/>
      <c r="L22" s="228"/>
      <c r="N22">
        <f t="array" ref="N22">((SUM(IFERROR((TEXT(IF(ISNUMBER(SEARCH("-", F22:L22)), MID(F22:L22, SEARCH("-", F22:L22) + 1, 4), ""), "00\:00") - TEXT(IF(ISNUMBER(SEARCH("-", F22:L22)), MID(F22:L22, SEARCH("-", F22:L22) - 4, 4), ""), "00\:00") + IF(TEXT(IF(ISNUMBER(SEARCH("-", F22:L22)), MID(F22:L22, SEARCH("-", F22:L22) + 1, 4), ""), "00\:00") &lt; TEXT(IF(ISNUMBER(SEARCH("-", F22:L22)), MID(F22:L22, SEARCH("-", F22:L22) - 4, 4), ""), "00\:00"), 1, 0))*24,""))))/9.5</f>
        <v>4</v>
      </c>
      <c r="O22"/>
      <c r="P22" s="151">
        <f t="shared" ref="P22:P47" si="11">N22+O22</f>
        <v>4</v>
      </c>
      <c r="R22" s="4">
        <f t="shared" ref="R22:R47" ca="1" si="12">IF($C$4=1,SUM(P22+INDIRECT("'Week "&amp;($B$3+1)&amp;"'!P"&amp;(ROW()))),IF($C$4=2,SUM(P22+INDIRECT("'Week "&amp;($B$3-1)&amp;"'!P"&amp;(ROW())))))</f>
        <v>8</v>
      </c>
      <c r="S22" s="2">
        <f>(IFERROR(VLOOKUP(D22,'Employee Numbers'!$A$3:$C$84,3,FALSE),"NOT FOUND"))*8</f>
        <v>8</v>
      </c>
      <c r="U22" s="142">
        <f t="shared" ref="U22:U47" si="13">COUNTIF(E22:K22,"0800-1730")</f>
        <v>0</v>
      </c>
      <c r="V22" s="142">
        <f t="shared" ref="V22:V47" si="14">COUNTIF(F22:L22,"1???-00?0")</f>
        <v>2</v>
      </c>
      <c r="W22" s="2">
        <f t="shared" ref="W22:W47" si="15">COUNTIF(F22:L22,"*0800-1730*CS*")+COUNTIF(F22:L22,"*0800-1730*DEMT*")</f>
        <v>2</v>
      </c>
      <c r="Y22" s="2">
        <f t="shared" ref="Y22:Y47" si="16">COUNTIF(K22:L22,"???0-*")</f>
        <v>0</v>
      </c>
    </row>
    <row r="23" spans="1:25" s="2" customFormat="1" ht="15" customHeight="1">
      <c r="A23" s="162" t="s">
        <v>39</v>
      </c>
      <c r="B23" s="163"/>
      <c r="C23" s="238"/>
      <c r="D23" s="239" t="s">
        <v>45</v>
      </c>
      <c r="E23" s="165">
        <f>IFERROR(VLOOKUP(D23,'Employee Numbers'!$A$3:$B$84,2,FALSE),"NOT FOUND")</f>
        <v>610036</v>
      </c>
      <c r="F23" s="176" t="s">
        <v>41</v>
      </c>
      <c r="G23" s="166" t="s">
        <v>44</v>
      </c>
      <c r="H23" s="166" t="s">
        <v>44</v>
      </c>
      <c r="I23" s="166"/>
      <c r="J23" s="166" t="s">
        <v>44</v>
      </c>
      <c r="K23" s="166"/>
      <c r="L23" s="167"/>
      <c r="N23">
        <f t="array" ref="N23">((SUM(IFERROR((TEXT(IF(ISNUMBER(SEARCH("-", F23:L23)), MID(F23:L23, SEARCH("-", F23:L23) + 1, 4), ""), "00\:00") - TEXT(IF(ISNUMBER(SEARCH("-", F23:L23)), MID(F23:L23, SEARCH("-", F23:L23) - 4, 4), ""), "00\:00") + IF(TEXT(IF(ISNUMBER(SEARCH("-", F23:L23)), MID(F23:L23, SEARCH("-", F23:L23) + 1, 4), ""), "00\:00") &lt; TEXT(IF(ISNUMBER(SEARCH("-", F23:L23)), MID(F23:L23, SEARCH("-", F23:L23) - 4, 4), ""), "00\:00"), 1, 0))*24,""))))/9.5</f>
        <v>4</v>
      </c>
      <c r="O23"/>
      <c r="P23" s="151">
        <f t="shared" si="11"/>
        <v>4</v>
      </c>
      <c r="R23" s="4">
        <f t="shared" ca="1" si="12"/>
        <v>8</v>
      </c>
      <c r="S23" s="2">
        <f>(IFERROR(VLOOKUP(D23,'Employee Numbers'!$A$3:$C$84,3,FALSE),"NOT FOUND"))*8</f>
        <v>8</v>
      </c>
      <c r="U23" s="142">
        <f t="shared" si="13"/>
        <v>3</v>
      </c>
      <c r="V23" s="142">
        <f t="shared" si="14"/>
        <v>0</v>
      </c>
      <c r="W23" s="2">
        <f t="shared" si="15"/>
        <v>1</v>
      </c>
      <c r="Y23" s="2">
        <f t="shared" si="16"/>
        <v>0</v>
      </c>
    </row>
    <row r="24" spans="1:25" s="2" customFormat="1" ht="15" customHeight="1">
      <c r="A24" s="2" t="s">
        <v>39</v>
      </c>
      <c r="B24" s="46"/>
      <c r="C24" s="47"/>
      <c r="D24" s="227" t="s">
        <v>49</v>
      </c>
      <c r="E24" s="226">
        <f>IFERROR(VLOOKUP(D24,'Employee Numbers'!$A$3:$B$84,2,FALSE),"NOT FOUND")</f>
        <v>533509</v>
      </c>
      <c r="F24" s="250" t="s">
        <v>50</v>
      </c>
      <c r="G24" s="251" t="s">
        <v>50</v>
      </c>
      <c r="H24" s="251" t="s">
        <v>50</v>
      </c>
      <c r="I24" s="251" t="s">
        <v>50</v>
      </c>
      <c r="J24" s="251" t="s">
        <v>50</v>
      </c>
      <c r="K24" s="251" t="s">
        <v>50</v>
      </c>
      <c r="L24" s="252" t="s">
        <v>50</v>
      </c>
      <c r="N24">
        <f t="array" ref="N24">((SUM(IFERROR((TEXT(IF(ISNUMBER(SEARCH("-", F24:L24)), MID(F24:L24, SEARCH("-", F24:L24) + 1, 4), ""), "00\:00") - TEXT(IF(ISNUMBER(SEARCH("-", F24:L24)), MID(F24:L24, SEARCH("-", F24:L24) - 4, 4), ""), "00\:00") + IF(TEXT(IF(ISNUMBER(SEARCH("-", F24:L24)), MID(F24:L24, SEARCH("-", F24:L24) + 1, 4), ""), "00\:00") &lt; TEXT(IF(ISNUMBER(SEARCH("-", F24:L24)), MID(F24:L24, SEARCH("-", F24:L24) - 4, 4), ""), "00\:00"), 1, 0))*24,""))))/9.5</f>
        <v>0</v>
      </c>
      <c r="O24"/>
      <c r="P24" s="151">
        <f t="shared" si="11"/>
        <v>0</v>
      </c>
      <c r="R24" s="4">
        <f t="shared" ca="1" si="12"/>
        <v>0</v>
      </c>
      <c r="S24" s="2">
        <f>(IFERROR(VLOOKUP(D24,'Employee Numbers'!$A$3:$C$84,3,FALSE),"NOT FOUND"))*8</f>
        <v>0</v>
      </c>
      <c r="U24" s="142">
        <f t="shared" si="13"/>
        <v>0</v>
      </c>
      <c r="V24" s="142">
        <f t="shared" si="14"/>
        <v>0</v>
      </c>
      <c r="W24" s="2">
        <f t="shared" si="15"/>
        <v>0</v>
      </c>
      <c r="Y24" s="2">
        <f t="shared" si="16"/>
        <v>0</v>
      </c>
    </row>
    <row r="25" spans="1:25" s="2" customFormat="1" ht="15" customHeight="1">
      <c r="A25" s="162" t="s">
        <v>39</v>
      </c>
      <c r="B25" s="163"/>
      <c r="C25" s="238"/>
      <c r="D25" s="240" t="s">
        <v>51</v>
      </c>
      <c r="E25" s="165">
        <f>IFERROR(VLOOKUP(D25,'Employee Numbers'!$A$3:$B$84,2,FALSE),"NOT FOUND")</f>
        <v>625985</v>
      </c>
      <c r="F25" s="253" t="s">
        <v>181</v>
      </c>
      <c r="G25" s="254" t="s">
        <v>181</v>
      </c>
      <c r="H25" s="254" t="s">
        <v>181</v>
      </c>
      <c r="I25" s="254" t="s">
        <v>181</v>
      </c>
      <c r="J25" s="254" t="s">
        <v>181</v>
      </c>
      <c r="K25" s="254" t="s">
        <v>181</v>
      </c>
      <c r="L25" s="255" t="s">
        <v>181</v>
      </c>
      <c r="N25">
        <f t="array" ref="N25">((SUM(IFERROR((TEXT(IF(ISNUMBER(SEARCH("-", F25:L25)), MID(F25:L25, SEARCH("-", F25:L25) + 1, 4), ""), "00\:00") - TEXT(IF(ISNUMBER(SEARCH("-", F25:L25)), MID(F25:L25, SEARCH("-", F25:L25) - 4, 4), ""), "00\:00") + IF(TEXT(IF(ISNUMBER(SEARCH("-", F25:L25)), MID(F25:L25, SEARCH("-", F25:L25) + 1, 4), ""), "00\:00") &lt; TEXT(IF(ISNUMBER(SEARCH("-", F25:L25)), MID(F25:L25, SEARCH("-", F25:L25) - 4, 4), ""), "00\:00"), 1, 0))*24,""))))/9.5</f>
        <v>0</v>
      </c>
      <c r="O25">
        <v>4</v>
      </c>
      <c r="P25" s="151">
        <f t="shared" si="11"/>
        <v>4</v>
      </c>
      <c r="R25" s="4">
        <f t="shared" ca="1" si="12"/>
        <v>8</v>
      </c>
      <c r="S25" s="2">
        <f>(IFERROR(VLOOKUP(D25,'Employee Numbers'!$A$3:$C$84,3,FALSE),"NOT FOUND"))*8</f>
        <v>8</v>
      </c>
      <c r="U25" s="142">
        <f t="shared" si="13"/>
        <v>0</v>
      </c>
      <c r="V25" s="142">
        <f t="shared" si="14"/>
        <v>0</v>
      </c>
      <c r="W25" s="2">
        <f t="shared" si="15"/>
        <v>0</v>
      </c>
      <c r="Y25" s="2">
        <f t="shared" si="16"/>
        <v>0</v>
      </c>
    </row>
    <row r="26" spans="1:25" s="2" customFormat="1" ht="15" customHeight="1">
      <c r="A26" s="2" t="s">
        <v>39</v>
      </c>
      <c r="B26" s="46"/>
      <c r="C26" s="47"/>
      <c r="D26" s="227" t="s">
        <v>52</v>
      </c>
      <c r="E26" s="226">
        <f>IFERROR(VLOOKUP(D26,'Employee Numbers'!$A$3:$B$84,2,FALSE),"NOT FOUND")</f>
        <v>632301</v>
      </c>
      <c r="F26" s="250" t="s">
        <v>176</v>
      </c>
      <c r="G26" s="251" t="s">
        <v>176</v>
      </c>
      <c r="H26" s="251" t="s">
        <v>176</v>
      </c>
      <c r="I26" s="251" t="s">
        <v>176</v>
      </c>
      <c r="J26" s="251" t="s">
        <v>176</v>
      </c>
      <c r="K26" s="251" t="s">
        <v>176</v>
      </c>
      <c r="L26" s="252" t="s">
        <v>176</v>
      </c>
      <c r="M26" s="13"/>
      <c r="N26">
        <f t="array" ref="N26">((SUM(IFERROR((TEXT(IF(ISNUMBER(SEARCH("-", F26:L26)), MID(F26:L26, SEARCH("-", F26:L26) + 1, 4), ""), "00\:00") - TEXT(IF(ISNUMBER(SEARCH("-", F26:L26)), MID(F26:L26, SEARCH("-", F26:L26) - 4, 4), ""), "00\:00") + IF(TEXT(IF(ISNUMBER(SEARCH("-", F26:L26)), MID(F26:L26, SEARCH("-", F26:L26) + 1, 4), ""), "00\:00") &lt; TEXT(IF(ISNUMBER(SEARCH("-", F26:L26)), MID(F26:L26, SEARCH("-", F26:L26) - 4, 4), ""), "00\:00"), 1, 0))*24,""))))/9.5</f>
        <v>0</v>
      </c>
      <c r="O26">
        <v>4</v>
      </c>
      <c r="P26" s="151">
        <f t="shared" si="11"/>
        <v>4</v>
      </c>
      <c r="R26" s="4">
        <f t="shared" ca="1" si="12"/>
        <v>8</v>
      </c>
      <c r="S26" s="2">
        <f>(IFERROR(VLOOKUP(D26,'Employee Numbers'!$A$3:$C$84,3,FALSE),"NOT FOUND"))*8</f>
        <v>8</v>
      </c>
      <c r="U26" s="142">
        <f t="shared" si="13"/>
        <v>0</v>
      </c>
      <c r="V26" s="142">
        <f t="shared" si="14"/>
        <v>0</v>
      </c>
      <c r="W26" s="2">
        <f t="shared" si="15"/>
        <v>0</v>
      </c>
      <c r="Y26" s="2">
        <f t="shared" si="16"/>
        <v>0</v>
      </c>
    </row>
    <row r="27" spans="1:25" s="2" customFormat="1" ht="15" customHeight="1">
      <c r="A27" s="162" t="s">
        <v>39</v>
      </c>
      <c r="B27" s="163"/>
      <c r="C27" s="238"/>
      <c r="D27" s="240" t="s">
        <v>53</v>
      </c>
      <c r="E27" s="165">
        <f>IFERROR(VLOOKUP(D27,'Employee Numbers'!$A$3:$B$84,2,FALSE),"NOT FOUND")</f>
        <v>613891</v>
      </c>
      <c r="F27" s="253" t="s">
        <v>69</v>
      </c>
      <c r="G27" s="254" t="s">
        <v>69</v>
      </c>
      <c r="H27" s="254" t="s">
        <v>69</v>
      </c>
      <c r="I27" s="254" t="s">
        <v>69</v>
      </c>
      <c r="J27" s="254" t="s">
        <v>69</v>
      </c>
      <c r="K27" s="254" t="s">
        <v>69</v>
      </c>
      <c r="L27" s="255" t="s">
        <v>69</v>
      </c>
      <c r="M27" s="13"/>
      <c r="N27">
        <f t="array" ref="N27">((SUM(IFERROR((TEXT(IF(ISNUMBER(SEARCH("-", F27:L27)), MID(F27:L27, SEARCH("-", F27:L27) + 1, 4), ""), "00\:00") - TEXT(IF(ISNUMBER(SEARCH("-", F27:L27)), MID(F27:L27, SEARCH("-", F27:L27) - 4, 4), ""), "00\:00") + IF(TEXT(IF(ISNUMBER(SEARCH("-", F27:L27)), MID(F27:L27, SEARCH("-", F27:L27) + 1, 4), ""), "00\:00") &lt; TEXT(IF(ISNUMBER(SEARCH("-", F27:L27)), MID(F27:L27, SEARCH("-", F27:L27) - 4, 4), ""), "00\:00"), 1, 0))*24,""))))/9.5</f>
        <v>0</v>
      </c>
      <c r="O27">
        <v>3</v>
      </c>
      <c r="P27" s="151">
        <f t="shared" si="11"/>
        <v>3</v>
      </c>
      <c r="R27" s="4">
        <f t="shared" ca="1" si="12"/>
        <v>6</v>
      </c>
      <c r="S27" s="2">
        <f>(IFERROR(VLOOKUP(D27,'Employee Numbers'!$A$3:$C$84,3,FALSE),"NOT FOUND"))*8</f>
        <v>6</v>
      </c>
      <c r="U27" s="142">
        <f t="shared" si="13"/>
        <v>0</v>
      </c>
      <c r="V27" s="142">
        <f t="shared" si="14"/>
        <v>0</v>
      </c>
      <c r="W27" s="2">
        <f t="shared" si="15"/>
        <v>0</v>
      </c>
      <c r="Y27" s="2">
        <f t="shared" si="16"/>
        <v>0</v>
      </c>
    </row>
    <row r="28" spans="1:25" s="2" customFormat="1" ht="15" customHeight="1">
      <c r="A28" s="2" t="s">
        <v>39</v>
      </c>
      <c r="B28" s="46"/>
      <c r="C28" s="21"/>
      <c r="D28" s="227" t="s">
        <v>55</v>
      </c>
      <c r="E28" s="226">
        <f>IFERROR(VLOOKUP(D28,'Employee Numbers'!$A$3:$B$84,2,FALSE),"NOT FOUND")</f>
        <v>623657</v>
      </c>
      <c r="F28" s="29"/>
      <c r="G28" s="31"/>
      <c r="H28" s="31"/>
      <c r="I28" s="31"/>
      <c r="J28" s="31"/>
      <c r="K28" s="31"/>
      <c r="L28" s="228"/>
      <c r="N28">
        <f t="array" ref="N28">((SUM(IFERROR((TEXT(IF(ISNUMBER(SEARCH("-", F28:L28)), MID(F28:L28, SEARCH("-", F28:L28) + 1, 4), ""), "00\:00") - TEXT(IF(ISNUMBER(SEARCH("-", F28:L28)), MID(F28:L28, SEARCH("-", F28:L28) - 4, 4), ""), "00\:00") + IF(TEXT(IF(ISNUMBER(SEARCH("-", F28:L28)), MID(F28:L28, SEARCH("-", F28:L28) + 1, 4), ""), "00\:00") &lt; TEXT(IF(ISNUMBER(SEARCH("-", F28:L28)), MID(F28:L28, SEARCH("-", F28:L28) - 4, 4), ""), "00\:00"), 1, 0))*24,""))))/9.5</f>
        <v>0</v>
      </c>
      <c r="O28"/>
      <c r="P28" s="151">
        <f t="shared" si="11"/>
        <v>0</v>
      </c>
      <c r="R28" s="4">
        <f t="shared" ca="1" si="12"/>
        <v>2</v>
      </c>
      <c r="S28" s="2">
        <f>(IFERROR(VLOOKUP(D28,'Employee Numbers'!$A$3:$C$84,3,FALSE),"NOT FOUND"))*8</f>
        <v>2</v>
      </c>
      <c r="U28" s="142">
        <f t="shared" si="13"/>
        <v>0</v>
      </c>
      <c r="V28" s="142">
        <f t="shared" si="14"/>
        <v>0</v>
      </c>
      <c r="W28" s="2">
        <f t="shared" si="15"/>
        <v>0</v>
      </c>
      <c r="Y28" s="2">
        <f t="shared" si="16"/>
        <v>0</v>
      </c>
    </row>
    <row r="29" spans="1:25" s="2" customFormat="1" ht="15" customHeight="1">
      <c r="A29" s="162" t="s">
        <v>39</v>
      </c>
      <c r="B29" s="163"/>
      <c r="C29" s="164"/>
      <c r="D29" s="240" t="s">
        <v>56</v>
      </c>
      <c r="E29" s="165">
        <f>IFERROR(VLOOKUP(D29,'Employee Numbers'!$A$3:$B$84,2,FALSE),"NOT FOUND")</f>
        <v>623708</v>
      </c>
      <c r="F29" s="176"/>
      <c r="G29" s="166" t="s">
        <v>44</v>
      </c>
      <c r="H29" s="166" t="s">
        <v>42</v>
      </c>
      <c r="I29" s="166"/>
      <c r="J29" s="166" t="s">
        <v>63</v>
      </c>
      <c r="K29" s="166"/>
      <c r="L29" s="167"/>
      <c r="N29">
        <f t="array" ref="N29">((SUM(IFERROR((TEXT(IF(ISNUMBER(SEARCH("-", F29:L29)), MID(F29:L29, SEARCH("-", F29:L29) + 1, 4), ""), "00\:00") - TEXT(IF(ISNUMBER(SEARCH("-", F29:L29)), MID(F29:L29, SEARCH("-", F29:L29) - 4, 4), ""), "00\:00") + IF(TEXT(IF(ISNUMBER(SEARCH("-", F29:L29)), MID(F29:L29, SEARCH("-", F29:L29) + 1, 4), ""), "00\:00") &lt; TEXT(IF(ISNUMBER(SEARCH("-", F29:L29)), MID(F29:L29, SEARCH("-", F29:L29) - 4, 4), ""), "00\:00"), 1, 0))*24,""))))/9.5</f>
        <v>3</v>
      </c>
      <c r="O29"/>
      <c r="P29" s="151">
        <f t="shared" si="11"/>
        <v>3</v>
      </c>
      <c r="R29" s="4">
        <f t="shared" ca="1" si="12"/>
        <v>6</v>
      </c>
      <c r="S29" s="2">
        <f>(IFERROR(VLOOKUP(D29,'Employee Numbers'!$A$3:$C$84,3,FALSE),"NOT FOUND"))*8</f>
        <v>6</v>
      </c>
      <c r="U29" s="142">
        <f t="shared" si="13"/>
        <v>1</v>
      </c>
      <c r="V29" s="142">
        <f t="shared" si="14"/>
        <v>1</v>
      </c>
      <c r="W29" s="2">
        <f t="shared" si="15"/>
        <v>1</v>
      </c>
      <c r="Y29" s="2">
        <f t="shared" si="16"/>
        <v>0</v>
      </c>
    </row>
    <row r="30" spans="1:25" s="2" customFormat="1" ht="15" customHeight="1">
      <c r="A30" s="2" t="s">
        <v>39</v>
      </c>
      <c r="B30" s="46"/>
      <c r="C30" s="21"/>
      <c r="D30" s="227" t="s">
        <v>57</v>
      </c>
      <c r="E30" s="226">
        <f>IFERROR(VLOOKUP(D30,'Employee Numbers'!$A$3:$B$84,2,FALSE),"NOT FOUND")</f>
        <v>627680</v>
      </c>
      <c r="F30" s="250" t="s">
        <v>69</v>
      </c>
      <c r="G30" s="21" t="s">
        <v>69</v>
      </c>
      <c r="H30" s="251" t="s">
        <v>69</v>
      </c>
      <c r="I30" s="251" t="s">
        <v>69</v>
      </c>
      <c r="J30" s="251" t="s">
        <v>69</v>
      </c>
      <c r="K30" s="251" t="s">
        <v>69</v>
      </c>
      <c r="L30" s="252" t="s">
        <v>69</v>
      </c>
      <c r="N30">
        <f t="array" ref="N30">((SUM(IFERROR((TEXT(IF(ISNUMBER(SEARCH("-", F30:L30)), MID(F30:L30, SEARCH("-", F30:L30) + 1, 4), ""), "00\:00") - TEXT(IF(ISNUMBER(SEARCH("-", F30:L30)), MID(F30:L30, SEARCH("-", F30:L30) - 4, 4), ""), "00\:00") + IF(TEXT(IF(ISNUMBER(SEARCH("-", F30:L30)), MID(F30:L30, SEARCH("-", F30:L30) + 1, 4), ""), "00\:00") &lt; TEXT(IF(ISNUMBER(SEARCH("-", F30:L30)), MID(F30:L30, SEARCH("-", F30:L30) - 4, 4), ""), "00\:00"), 1, 0))*24,""))))/9.5</f>
        <v>0</v>
      </c>
      <c r="O30">
        <v>3</v>
      </c>
      <c r="P30" s="151">
        <f t="shared" si="11"/>
        <v>3</v>
      </c>
      <c r="R30" s="4">
        <f t="shared" ca="1" si="12"/>
        <v>6</v>
      </c>
      <c r="S30" s="2">
        <f>(IFERROR(VLOOKUP(D30,'Employee Numbers'!$A$3:$C$84,3,FALSE),"NOT FOUND"))*8</f>
        <v>6</v>
      </c>
      <c r="U30" s="142">
        <f t="shared" si="13"/>
        <v>0</v>
      </c>
      <c r="V30" s="142">
        <f t="shared" si="14"/>
        <v>0</v>
      </c>
      <c r="W30" s="2">
        <f t="shared" si="15"/>
        <v>0</v>
      </c>
      <c r="Y30" s="2">
        <f t="shared" si="16"/>
        <v>0</v>
      </c>
    </row>
    <row r="31" spans="1:25" s="2" customFormat="1" ht="15" customHeight="1">
      <c r="A31" s="162" t="s">
        <v>39</v>
      </c>
      <c r="B31" s="163"/>
      <c r="C31" s="164"/>
      <c r="D31" s="240" t="s">
        <v>58</v>
      </c>
      <c r="E31" s="165">
        <f>IFERROR(VLOOKUP(D31,'Employee Numbers'!$A$3:$B$84,2,FALSE),"NOT FOUND")</f>
        <v>633210</v>
      </c>
      <c r="F31" s="176"/>
      <c r="G31" s="166" t="s">
        <v>42</v>
      </c>
      <c r="H31" s="166"/>
      <c r="I31" s="166" t="s">
        <v>41</v>
      </c>
      <c r="J31" s="166"/>
      <c r="K31" s="166"/>
      <c r="L31" s="167" t="s">
        <v>54</v>
      </c>
      <c r="N31">
        <f t="array" ref="N31">((SUM(IFERROR((TEXT(IF(ISNUMBER(SEARCH("-", F31:L31)), MID(F31:L31, SEARCH("-", F31:L31) + 1, 4), ""), "00\:00") - TEXT(IF(ISNUMBER(SEARCH("-", F31:L31)), MID(F31:L31, SEARCH("-", F31:L31) - 4, 4), ""), "00\:00") + IF(TEXT(IF(ISNUMBER(SEARCH("-", F31:L31)), MID(F31:L31, SEARCH("-", F31:L31) + 1, 4), ""), "00\:00") &lt; TEXT(IF(ISNUMBER(SEARCH("-", F31:L31)), MID(F31:L31, SEARCH("-", F31:L31) - 4, 4), ""), "00\:00"), 1, 0))*24,""))))/9.5</f>
        <v>3</v>
      </c>
      <c r="O31"/>
      <c r="P31" s="151">
        <f t="shared" si="11"/>
        <v>3</v>
      </c>
      <c r="R31" s="4">
        <f t="shared" ca="1" si="12"/>
        <v>6</v>
      </c>
      <c r="S31" s="2">
        <f>(IFERROR(VLOOKUP(D31,'Employee Numbers'!$A$3:$C$84,3,FALSE),"NOT FOUND"))*8</f>
        <v>6</v>
      </c>
      <c r="U31" s="142">
        <f t="shared" si="13"/>
        <v>0</v>
      </c>
      <c r="V31" s="142">
        <f t="shared" si="14"/>
        <v>2</v>
      </c>
      <c r="W31" s="2">
        <f t="shared" si="15"/>
        <v>1</v>
      </c>
      <c r="Y31" s="2">
        <f t="shared" si="16"/>
        <v>1</v>
      </c>
    </row>
    <row r="32" spans="1:25" s="2" customFormat="1" ht="15" customHeight="1">
      <c r="A32" s="2" t="s">
        <v>39</v>
      </c>
      <c r="B32" s="46"/>
      <c r="C32" s="21"/>
      <c r="D32" s="230" t="s">
        <v>59</v>
      </c>
      <c r="E32" s="226">
        <f>IFERROR(VLOOKUP(D32,'Employee Numbers'!$A$3:$B$84,2,FALSE),"NOT FOUND")</f>
        <v>618952</v>
      </c>
      <c r="F32" s="29" t="s">
        <v>44</v>
      </c>
      <c r="G32" s="31" t="s">
        <v>42</v>
      </c>
      <c r="H32" s="31"/>
      <c r="I32" s="31" t="s">
        <v>41</v>
      </c>
      <c r="J32" s="31"/>
      <c r="K32" s="31"/>
      <c r="L32" s="228"/>
      <c r="N32">
        <f t="array" ref="N32">((SUM(IFERROR((TEXT(IF(ISNUMBER(SEARCH("-", F32:L32)), MID(F32:L32, SEARCH("-", F32:L32) + 1, 4), ""), "00\:00") - TEXT(IF(ISNUMBER(SEARCH("-", F32:L32)), MID(F32:L32, SEARCH("-", F32:L32) - 4, 4), ""), "00\:00") + IF(TEXT(IF(ISNUMBER(SEARCH("-", F32:L32)), MID(F32:L32, SEARCH("-", F32:L32) + 1, 4), ""), "00\:00") &lt; TEXT(IF(ISNUMBER(SEARCH("-", F32:L32)), MID(F32:L32, SEARCH("-", F32:L32) - 4, 4), ""), "00\:00"), 1, 0))*24,""))))/9.5</f>
        <v>3</v>
      </c>
      <c r="O32"/>
      <c r="P32" s="151">
        <f t="shared" si="11"/>
        <v>3</v>
      </c>
      <c r="R32" s="4">
        <f t="shared" ca="1" si="12"/>
        <v>6</v>
      </c>
      <c r="S32" s="2">
        <f>(IFERROR(VLOOKUP(D32,'Employee Numbers'!$A$3:$C$84,3,FALSE),"NOT FOUND"))*8</f>
        <v>6</v>
      </c>
      <c r="U32" s="142">
        <f t="shared" si="13"/>
        <v>1</v>
      </c>
      <c r="V32" s="142">
        <f t="shared" si="14"/>
        <v>1</v>
      </c>
      <c r="W32" s="2">
        <f t="shared" si="15"/>
        <v>1</v>
      </c>
      <c r="Y32" s="2">
        <f t="shared" si="16"/>
        <v>0</v>
      </c>
    </row>
    <row r="33" spans="1:25" s="2" customFormat="1" ht="15" customHeight="1">
      <c r="A33" s="162" t="s">
        <v>39</v>
      </c>
      <c r="B33" s="163"/>
      <c r="C33" s="164"/>
      <c r="D33" s="241" t="s">
        <v>61</v>
      </c>
      <c r="E33" s="165">
        <f>IFERROR(VLOOKUP(D33,'Employee Numbers'!$A$3:$B$84,2,FALSE),"NOT FOUND")</f>
        <v>649039</v>
      </c>
      <c r="F33" s="253" t="s">
        <v>69</v>
      </c>
      <c r="G33" s="254" t="s">
        <v>69</v>
      </c>
      <c r="H33" s="254" t="s">
        <v>69</v>
      </c>
      <c r="I33" s="254" t="s">
        <v>69</v>
      </c>
      <c r="J33" s="254" t="s">
        <v>69</v>
      </c>
      <c r="K33" s="254" t="s">
        <v>69</v>
      </c>
      <c r="L33" s="255" t="s">
        <v>69</v>
      </c>
      <c r="N33">
        <f t="array" ref="N33">((SUM(IFERROR((TEXT(IF(ISNUMBER(SEARCH("-", F33:L33)), MID(F33:L33, SEARCH("-", F33:L33) + 1, 4), ""), "00\:00") - TEXT(IF(ISNUMBER(SEARCH("-", F33:L33)), MID(F33:L33, SEARCH("-", F33:L33) - 4, 4), ""), "00\:00") + IF(TEXT(IF(ISNUMBER(SEARCH("-", F33:L33)), MID(F33:L33, SEARCH("-", F33:L33) + 1, 4), ""), "00\:00") &lt; TEXT(IF(ISNUMBER(SEARCH("-", F33:L33)), MID(F33:L33, SEARCH("-", F33:L33) - 4, 4), ""), "00\:00"), 1, 0))*24,""))))/9.5</f>
        <v>0</v>
      </c>
      <c r="O33">
        <v>3</v>
      </c>
      <c r="P33" s="151">
        <f t="shared" si="11"/>
        <v>3</v>
      </c>
      <c r="R33" s="4">
        <f t="shared" ca="1" si="12"/>
        <v>5</v>
      </c>
      <c r="S33" s="2">
        <f>(IFERROR(VLOOKUP(D33,'Employee Numbers'!$A$3:$C$84,3,FALSE),"NOT FOUND"))*8</f>
        <v>5</v>
      </c>
      <c r="U33" s="142">
        <f t="shared" si="13"/>
        <v>0</v>
      </c>
      <c r="V33" s="142">
        <f t="shared" si="14"/>
        <v>0</v>
      </c>
      <c r="W33" s="2">
        <f t="shared" si="15"/>
        <v>0</v>
      </c>
      <c r="Y33" s="2">
        <f t="shared" si="16"/>
        <v>0</v>
      </c>
    </row>
    <row r="34" spans="1:25" s="2" customFormat="1" ht="15" customHeight="1">
      <c r="A34" s="2" t="s">
        <v>39</v>
      </c>
      <c r="B34" s="46"/>
      <c r="C34" s="21"/>
      <c r="D34" s="227" t="s">
        <v>62</v>
      </c>
      <c r="E34" s="226">
        <f>IFERROR(VLOOKUP(D34,'Employee Numbers'!$A$3:$B$84,2,FALSE),"NOT FOUND")</f>
        <v>649671</v>
      </c>
      <c r="F34" s="29" t="s">
        <v>41</v>
      </c>
      <c r="G34" s="31"/>
      <c r="H34" s="31" t="s">
        <v>44</v>
      </c>
      <c r="I34" s="31" t="s">
        <v>42</v>
      </c>
      <c r="J34" s="31"/>
      <c r="K34" s="31"/>
      <c r="L34" s="228"/>
      <c r="N34">
        <f t="array" ref="N34">((SUM(IFERROR((TEXT(IF(ISNUMBER(SEARCH("-", F34:L34)), MID(F34:L34, SEARCH("-", F34:L34) + 1, 4), ""), "00\:00") - TEXT(IF(ISNUMBER(SEARCH("-", F34:L34)), MID(F34:L34, SEARCH("-", F34:L34) - 4, 4), ""), "00\:00") + IF(TEXT(IF(ISNUMBER(SEARCH("-", F34:L34)), MID(F34:L34, SEARCH("-", F34:L34) + 1, 4), ""), "00\:00") &lt; TEXT(IF(ISNUMBER(SEARCH("-", F34:L34)), MID(F34:L34, SEARCH("-", F34:L34) - 4, 4), ""), "00\:00"), 1, 0))*24,""))))/9.5</f>
        <v>3</v>
      </c>
      <c r="O34"/>
      <c r="P34" s="151">
        <f t="shared" si="11"/>
        <v>3</v>
      </c>
      <c r="R34" s="4">
        <f t="shared" ca="1" si="12"/>
        <v>6</v>
      </c>
      <c r="S34" s="2">
        <f>(IFERROR(VLOOKUP(D34,'Employee Numbers'!$A$3:$C$84,3,FALSE),"NOT FOUND"))*8</f>
        <v>6</v>
      </c>
      <c r="U34" s="142">
        <f t="shared" si="13"/>
        <v>1</v>
      </c>
      <c r="V34" s="142">
        <f t="shared" si="14"/>
        <v>1</v>
      </c>
      <c r="W34" s="2">
        <f t="shared" si="15"/>
        <v>1</v>
      </c>
      <c r="Y34" s="2">
        <f t="shared" si="16"/>
        <v>0</v>
      </c>
    </row>
    <row r="35" spans="1:25" s="2" customFormat="1" ht="15" customHeight="1">
      <c r="A35" s="162" t="s">
        <v>39</v>
      </c>
      <c r="B35" s="163"/>
      <c r="C35" s="164"/>
      <c r="D35" s="240" t="s">
        <v>64</v>
      </c>
      <c r="E35" s="165">
        <f>IFERROR(VLOOKUP(D35,'Employee Numbers'!$A$3:$B$84,2,FALSE),"NOT FOUND")</f>
        <v>646047</v>
      </c>
      <c r="F35" s="176"/>
      <c r="G35" s="166"/>
      <c r="H35" s="166"/>
      <c r="I35" s="166" t="s">
        <v>42</v>
      </c>
      <c r="J35" s="166"/>
      <c r="K35" s="166" t="s">
        <v>44</v>
      </c>
      <c r="L35" s="167" t="s">
        <v>44</v>
      </c>
      <c r="N35">
        <f t="array" ref="N35">((SUM(IFERROR((TEXT(IF(ISNUMBER(SEARCH("-", F35:L35)), MID(F35:L35, SEARCH("-", F35:L35) + 1, 4), ""), "00\:00") - TEXT(IF(ISNUMBER(SEARCH("-", F35:L35)), MID(F35:L35, SEARCH("-", F35:L35) - 4, 4), ""), "00\:00") + IF(TEXT(IF(ISNUMBER(SEARCH("-", F35:L35)), MID(F35:L35, SEARCH("-", F35:L35) + 1, 4), ""), "00\:00") &lt; TEXT(IF(ISNUMBER(SEARCH("-", F35:L35)), MID(F35:L35, SEARCH("-", F35:L35) - 4, 4), ""), "00\:00"), 1, 0))*24,""))))/9.5</f>
        <v>3</v>
      </c>
      <c r="O35"/>
      <c r="P35" s="151">
        <f t="shared" si="11"/>
        <v>3</v>
      </c>
      <c r="R35" s="4">
        <f t="shared" ca="1" si="12"/>
        <v>6</v>
      </c>
      <c r="S35" s="2">
        <f>(IFERROR(VLOOKUP(D35,'Employee Numbers'!$A$3:$C$84,3,FALSE),"NOT FOUND"))*8</f>
        <v>5</v>
      </c>
      <c r="U35" s="142">
        <f t="shared" si="13"/>
        <v>1</v>
      </c>
      <c r="V35" s="142">
        <f t="shared" si="14"/>
        <v>1</v>
      </c>
      <c r="W35" s="2">
        <f t="shared" si="15"/>
        <v>0</v>
      </c>
      <c r="Y35" s="2">
        <f t="shared" si="16"/>
        <v>2</v>
      </c>
    </row>
    <row r="36" spans="1:25" s="2" customFormat="1" ht="15" customHeight="1">
      <c r="A36" s="2" t="s">
        <v>39</v>
      </c>
      <c r="B36" s="46"/>
      <c r="C36" s="21"/>
      <c r="D36" s="229" t="s">
        <v>66</v>
      </c>
      <c r="E36" s="226">
        <f>IFERROR(VLOOKUP(D36,'Employee Numbers'!$A$3:$B$84,2,FALSE),"NOT FOUND")</f>
        <v>164003</v>
      </c>
      <c r="F36" s="29" t="s">
        <v>42</v>
      </c>
      <c r="G36" s="31"/>
      <c r="H36" s="31"/>
      <c r="I36" s="31" t="s">
        <v>44</v>
      </c>
      <c r="J36" s="31"/>
      <c r="K36" s="31"/>
      <c r="L36" s="228"/>
      <c r="N36">
        <f t="array" ref="N36">((SUM(IFERROR((TEXT(IF(ISNUMBER(SEARCH("-", F36:L36)), MID(F36:L36, SEARCH("-", F36:L36) + 1, 4), ""), "00\:00") - TEXT(IF(ISNUMBER(SEARCH("-", F36:L36)), MID(F36:L36, SEARCH("-", F36:L36) - 4, 4), ""), "00\:00") + IF(TEXT(IF(ISNUMBER(SEARCH("-", F36:L36)), MID(F36:L36, SEARCH("-", F36:L36) + 1, 4), ""), "00\:00") &lt; TEXT(IF(ISNUMBER(SEARCH("-", F36:L36)), MID(F36:L36, SEARCH("-", F36:L36) - 4, 4), ""), "00\:00"), 1, 0))*24,""))))/9.5</f>
        <v>2</v>
      </c>
      <c r="O36"/>
      <c r="P36" s="151">
        <f t="shared" si="11"/>
        <v>2</v>
      </c>
      <c r="R36" s="4">
        <f t="shared" ca="1" si="12"/>
        <v>4</v>
      </c>
      <c r="S36" s="2">
        <f>(IFERROR(VLOOKUP(D36,'Employee Numbers'!$A$3:$C$84,3,FALSE),"NOT FOUND"))*8</f>
        <v>4</v>
      </c>
      <c r="U36" s="142">
        <f t="shared" si="13"/>
        <v>1</v>
      </c>
      <c r="V36" s="142">
        <f t="shared" si="14"/>
        <v>1</v>
      </c>
      <c r="W36" s="2">
        <f t="shared" si="15"/>
        <v>0</v>
      </c>
      <c r="Y36" s="2">
        <f t="shared" si="16"/>
        <v>0</v>
      </c>
    </row>
    <row r="37" spans="1:25" s="2" customFormat="1" ht="15" customHeight="1">
      <c r="A37" s="162" t="s">
        <v>39</v>
      </c>
      <c r="B37" s="163"/>
      <c r="C37" s="164"/>
      <c r="D37" s="240" t="s">
        <v>67</v>
      </c>
      <c r="E37" s="165">
        <f>IFERROR(VLOOKUP(D37,'Employee Numbers'!$A$3:$B$84,2,FALSE),"NOT FOUND")</f>
        <v>609408</v>
      </c>
      <c r="F37" s="176" t="s">
        <v>42</v>
      </c>
      <c r="G37" s="166"/>
      <c r="H37" s="166" t="s">
        <v>41</v>
      </c>
      <c r="I37" s="166" t="s">
        <v>44</v>
      </c>
      <c r="J37" s="166" t="s">
        <v>44</v>
      </c>
      <c r="K37" s="166"/>
      <c r="L37" s="167"/>
      <c r="N37">
        <f t="array" ref="N37">((SUM(IFERROR((TEXT(IF(ISNUMBER(SEARCH("-", F37:L37)), MID(F37:L37, SEARCH("-", F37:L37) + 1, 4), ""), "00\:00") - TEXT(IF(ISNUMBER(SEARCH("-", F37:L37)), MID(F37:L37, SEARCH("-", F37:L37) - 4, 4), ""), "00\:00") + IF(TEXT(IF(ISNUMBER(SEARCH("-", F37:L37)), MID(F37:L37, SEARCH("-", F37:L37) + 1, 4), ""), "00\:00") &lt; TEXT(IF(ISNUMBER(SEARCH("-", F37:L37)), MID(F37:L37, SEARCH("-", F37:L37) - 4, 4), ""), "00\:00"), 1, 0))*24,""))))/9.5</f>
        <v>4</v>
      </c>
      <c r="O37"/>
      <c r="P37" s="151">
        <f t="shared" si="11"/>
        <v>4</v>
      </c>
      <c r="R37" s="4">
        <f t="shared" ca="1" si="12"/>
        <v>4</v>
      </c>
      <c r="S37" s="2">
        <f>(IFERROR(VLOOKUP(D37,'Employee Numbers'!$A$3:$C$84,3,FALSE),"NOT FOUND"))*8</f>
        <v>4</v>
      </c>
      <c r="U37" s="142">
        <f t="shared" si="13"/>
        <v>2</v>
      </c>
      <c r="V37" s="142">
        <f t="shared" si="14"/>
        <v>1</v>
      </c>
      <c r="W37" s="2">
        <f t="shared" si="15"/>
        <v>1</v>
      </c>
      <c r="Y37" s="2">
        <f t="shared" si="16"/>
        <v>0</v>
      </c>
    </row>
    <row r="38" spans="1:25" s="2" customFormat="1" ht="15" customHeight="1">
      <c r="A38" s="2" t="s">
        <v>39</v>
      </c>
      <c r="B38" s="46"/>
      <c r="C38" s="21"/>
      <c r="D38" s="227" t="s">
        <v>68</v>
      </c>
      <c r="E38" s="226">
        <f>IFERROR(VLOOKUP(D38,'Employee Numbers'!$A$3:$B$84,2,FALSE),"NOT FOUND")</f>
        <v>627619</v>
      </c>
      <c r="F38" s="29"/>
      <c r="G38" s="31"/>
      <c r="H38" s="31"/>
      <c r="I38" s="31" t="s">
        <v>63</v>
      </c>
      <c r="J38" s="31"/>
      <c r="K38" s="31"/>
      <c r="L38" s="228" t="s">
        <v>44</v>
      </c>
      <c r="N38">
        <f t="array" ref="N38">((SUM(IFERROR((TEXT(IF(ISNUMBER(SEARCH("-", F38:L38)), MID(F38:L38, SEARCH("-", F38:L38) + 1, 4), ""), "00\:00") - TEXT(IF(ISNUMBER(SEARCH("-", F38:L38)), MID(F38:L38, SEARCH("-", F38:L38) - 4, 4), ""), "00\:00") + IF(TEXT(IF(ISNUMBER(SEARCH("-", F38:L38)), MID(F38:L38, SEARCH("-", F38:L38) + 1, 4), ""), "00\:00") &lt; TEXT(IF(ISNUMBER(SEARCH("-", F38:L38)), MID(F38:L38, SEARCH("-", F38:L38) - 4, 4), ""), "00\:00"), 1, 0))*24,""))))/9.5</f>
        <v>2</v>
      </c>
      <c r="O38"/>
      <c r="P38" s="151">
        <f t="shared" si="11"/>
        <v>2</v>
      </c>
      <c r="R38" s="4">
        <f t="shared" ca="1" si="12"/>
        <v>4</v>
      </c>
      <c r="S38" s="2">
        <f>(IFERROR(VLOOKUP(D38,'Employee Numbers'!$A$3:$C$84,3,FALSE),"NOT FOUND"))*8</f>
        <v>4</v>
      </c>
      <c r="U38" s="142">
        <f t="shared" si="13"/>
        <v>0</v>
      </c>
      <c r="V38" s="142">
        <f t="shared" si="14"/>
        <v>0</v>
      </c>
      <c r="W38" s="2">
        <f t="shared" si="15"/>
        <v>1</v>
      </c>
      <c r="Y38" s="2">
        <f t="shared" si="16"/>
        <v>1</v>
      </c>
    </row>
    <row r="39" spans="1:25" s="2" customFormat="1" ht="15" customHeight="1">
      <c r="A39" s="162" t="s">
        <v>39</v>
      </c>
      <c r="B39" s="163"/>
      <c r="C39" s="164"/>
      <c r="D39" s="240" t="s">
        <v>71</v>
      </c>
      <c r="E39" s="165">
        <f>IFERROR(VLOOKUP(D39,'Employee Numbers'!$A$3:$B$84,2,FALSE),"NOT FOUND")</f>
        <v>632646</v>
      </c>
      <c r="F39" s="176"/>
      <c r="G39" s="166"/>
      <c r="H39" s="166"/>
      <c r="I39" s="166"/>
      <c r="J39" s="166"/>
      <c r="K39" s="166"/>
      <c r="L39" s="167"/>
      <c r="N39">
        <f t="array" ref="N39">((SUM(IFERROR((TEXT(IF(ISNUMBER(SEARCH("-", F39:L39)), MID(F39:L39, SEARCH("-", F39:L39) + 1, 4), ""), "00\:00") - TEXT(IF(ISNUMBER(SEARCH("-", F39:L39)), MID(F39:L39, SEARCH("-", F39:L39) - 4, 4), ""), "00\:00") + IF(TEXT(IF(ISNUMBER(SEARCH("-", F39:L39)), MID(F39:L39, SEARCH("-", F39:L39) + 1, 4), ""), "00\:00") &lt; TEXT(IF(ISNUMBER(SEARCH("-", F39:L39)), MID(F39:L39, SEARCH("-", F39:L39) - 4, 4), ""), "00\:00"), 1, 0))*24,""))))/9.5</f>
        <v>0</v>
      </c>
      <c r="O39"/>
      <c r="P39" s="151">
        <f t="shared" si="11"/>
        <v>0</v>
      </c>
      <c r="R39" s="4">
        <f t="shared" ca="1" si="12"/>
        <v>4</v>
      </c>
      <c r="S39" s="2">
        <f>(IFERROR(VLOOKUP(D39,'Employee Numbers'!$A$3:$C$84,3,FALSE),"NOT FOUND"))*8</f>
        <v>4</v>
      </c>
      <c r="U39" s="142">
        <f t="shared" si="13"/>
        <v>0</v>
      </c>
      <c r="V39" s="142">
        <f t="shared" si="14"/>
        <v>0</v>
      </c>
      <c r="W39" s="2">
        <f t="shared" si="15"/>
        <v>0</v>
      </c>
      <c r="Y39" s="2">
        <f t="shared" si="16"/>
        <v>0</v>
      </c>
    </row>
    <row r="40" spans="1:25" s="2" customFormat="1" ht="15" customHeight="1">
      <c r="A40" s="2" t="s">
        <v>39</v>
      </c>
      <c r="B40" s="46"/>
      <c r="C40" s="21"/>
      <c r="D40" s="229" t="s">
        <v>72</v>
      </c>
      <c r="E40" s="226">
        <f>IFERROR(VLOOKUP(D40,'Employee Numbers'!$A$3:$B$84,2,FALSE),"NOT FOUND")</f>
        <v>652844</v>
      </c>
      <c r="F40" s="250" t="s">
        <v>176</v>
      </c>
      <c r="G40" s="251" t="s">
        <v>176</v>
      </c>
      <c r="H40" s="251" t="s">
        <v>176</v>
      </c>
      <c r="I40" s="251" t="s">
        <v>176</v>
      </c>
      <c r="J40" s="251" t="s">
        <v>176</v>
      </c>
      <c r="K40" s="251" t="s">
        <v>176</v>
      </c>
      <c r="L40" s="252" t="s">
        <v>176</v>
      </c>
      <c r="N40">
        <f t="array" ref="N40">((SUM(IFERROR((TEXT(IF(ISNUMBER(SEARCH("-", F40:L40)), MID(F40:L40, SEARCH("-", F40:L40) + 1, 4), ""), "00\:00") - TEXT(IF(ISNUMBER(SEARCH("-", F40:L40)), MID(F40:L40, SEARCH("-", F40:L40) - 4, 4), ""), "00\:00") + IF(TEXT(IF(ISNUMBER(SEARCH("-", F40:L40)), MID(F40:L40, SEARCH("-", F40:L40) + 1, 4), ""), "00\:00") &lt; TEXT(IF(ISNUMBER(SEARCH("-", F40:L40)), MID(F40:L40, SEARCH("-", F40:L40) - 4, 4), ""), "00\:00"), 1, 0))*24,""))))/9.5</f>
        <v>0</v>
      </c>
      <c r="O40">
        <v>4</v>
      </c>
      <c r="P40" s="151">
        <f t="shared" si="11"/>
        <v>4</v>
      </c>
      <c r="R40" s="4">
        <f t="shared" ca="1" si="12"/>
        <v>4</v>
      </c>
      <c r="S40" s="2">
        <f>(IFERROR(VLOOKUP(D40,'Employee Numbers'!$A$3:$C$84,3,FALSE),"NOT FOUND"))*8</f>
        <v>4</v>
      </c>
      <c r="U40" s="142">
        <f t="shared" si="13"/>
        <v>0</v>
      </c>
      <c r="V40" s="142">
        <f t="shared" si="14"/>
        <v>0</v>
      </c>
      <c r="W40" s="2">
        <f t="shared" si="15"/>
        <v>0</v>
      </c>
      <c r="Y40" s="2">
        <f t="shared" si="16"/>
        <v>0</v>
      </c>
    </row>
    <row r="41" spans="1:25" s="2" customFormat="1" ht="15" customHeight="1">
      <c r="A41" s="162" t="s">
        <v>39</v>
      </c>
      <c r="B41" s="163"/>
      <c r="C41" s="164"/>
      <c r="D41" s="241" t="s">
        <v>73</v>
      </c>
      <c r="E41" s="165">
        <f>IFERROR(VLOOKUP(D41,'Employee Numbers'!$A$3:$B$84,2,FALSE),"NOT FOUND")</f>
        <v>634491</v>
      </c>
      <c r="F41" s="176" t="s">
        <v>63</v>
      </c>
      <c r="G41" s="166"/>
      <c r="H41" s="166" t="s">
        <v>44</v>
      </c>
      <c r="I41" s="166"/>
      <c r="J41" s="166" t="s">
        <v>44</v>
      </c>
      <c r="K41" s="166"/>
      <c r="L41" s="167" t="s">
        <v>54</v>
      </c>
      <c r="N41">
        <f t="array" ref="N41">((SUM(IFERROR((TEXT(IF(ISNUMBER(SEARCH("-", F41:L41)), MID(F41:L41, SEARCH("-", F41:L41) + 1, 4), ""), "00\:00") - TEXT(IF(ISNUMBER(SEARCH("-", F41:L41)), MID(F41:L41, SEARCH("-", F41:L41) - 4, 4), ""), "00\:00") + IF(TEXT(IF(ISNUMBER(SEARCH("-", F41:L41)), MID(F41:L41, SEARCH("-", F41:L41) + 1, 4), ""), "00\:00") &lt; TEXT(IF(ISNUMBER(SEARCH("-", F41:L41)), MID(F41:L41, SEARCH("-", F41:L41) - 4, 4), ""), "00\:00"), 1, 0))*24,""))))/9.5</f>
        <v>4</v>
      </c>
      <c r="O41"/>
      <c r="P41" s="151">
        <f t="shared" si="11"/>
        <v>4</v>
      </c>
      <c r="R41" s="4">
        <f t="shared" ca="1" si="12"/>
        <v>4</v>
      </c>
      <c r="S41" s="2">
        <f>(IFERROR(VLOOKUP(D41,'Employee Numbers'!$A$3:$C$84,3,FALSE),"NOT FOUND"))*8</f>
        <v>4</v>
      </c>
      <c r="U41" s="142">
        <f t="shared" si="13"/>
        <v>2</v>
      </c>
      <c r="V41" s="142">
        <f t="shared" si="14"/>
        <v>1</v>
      </c>
      <c r="W41" s="2">
        <f t="shared" si="15"/>
        <v>1</v>
      </c>
      <c r="Y41" s="2">
        <f t="shared" si="16"/>
        <v>1</v>
      </c>
    </row>
    <row r="42" spans="1:25" s="2" customFormat="1" ht="15" customHeight="1">
      <c r="A42" s="2" t="s">
        <v>39</v>
      </c>
      <c r="B42" s="46"/>
      <c r="C42" s="47"/>
      <c r="D42" s="227" t="s">
        <v>74</v>
      </c>
      <c r="E42" s="226">
        <f>IFERROR(VLOOKUP(D42,'Employee Numbers'!$A$3:$B$84,2,FALSE),"NOT FOUND")</f>
        <v>621988</v>
      </c>
      <c r="F42" s="29" t="s">
        <v>44</v>
      </c>
      <c r="G42" s="31" t="s">
        <v>44</v>
      </c>
      <c r="H42" s="31" t="s">
        <v>41</v>
      </c>
      <c r="I42" s="31"/>
      <c r="J42" s="31"/>
      <c r="K42" s="31" t="s">
        <v>54</v>
      </c>
      <c r="L42" s="228"/>
      <c r="N42">
        <f t="array" ref="N42">((SUM(IFERROR((TEXT(IF(ISNUMBER(SEARCH("-", F42:L42)), MID(F42:L42, SEARCH("-", F42:L42) + 1, 4), ""), "00\:00") - TEXT(IF(ISNUMBER(SEARCH("-", F42:L42)), MID(F42:L42, SEARCH("-", F42:L42) - 4, 4), ""), "00\:00") + IF(TEXT(IF(ISNUMBER(SEARCH("-", F42:L42)), MID(F42:L42, SEARCH("-", F42:L42) + 1, 4), ""), "00\:00") &lt; TEXT(IF(ISNUMBER(SEARCH("-", F42:L42)), MID(F42:L42, SEARCH("-", F42:L42) - 4, 4), ""), "00\:00"), 1, 0))*24,""))))/9.5</f>
        <v>4</v>
      </c>
      <c r="O42"/>
      <c r="P42" s="151">
        <f t="shared" si="11"/>
        <v>4</v>
      </c>
      <c r="R42" s="4">
        <f t="shared" ca="1" si="12"/>
        <v>4</v>
      </c>
      <c r="S42" s="2">
        <f>(IFERROR(VLOOKUP(D42,'Employee Numbers'!$A$3:$C$84,3,FALSE),"NOT FOUND"))*8</f>
        <v>4</v>
      </c>
      <c r="U42" s="142">
        <f t="shared" si="13"/>
        <v>2</v>
      </c>
      <c r="V42" s="142">
        <f t="shared" si="14"/>
        <v>1</v>
      </c>
      <c r="W42" s="2">
        <f t="shared" si="15"/>
        <v>1</v>
      </c>
      <c r="Y42" s="2">
        <f t="shared" si="16"/>
        <v>1</v>
      </c>
    </row>
    <row r="43" spans="1:25" s="2" customFormat="1" ht="15" customHeight="1">
      <c r="A43" s="162" t="s">
        <v>39</v>
      </c>
      <c r="B43" s="163"/>
      <c r="C43" s="238"/>
      <c r="D43" s="239" t="s">
        <v>76</v>
      </c>
      <c r="E43" s="165">
        <f>IFERROR(VLOOKUP(D43,'Employee Numbers'!$A$3:$B$84,2,FALSE),"NOT FOUND")</f>
        <v>409677</v>
      </c>
      <c r="F43" s="176" t="s">
        <v>44</v>
      </c>
      <c r="G43" s="166"/>
      <c r="H43" s="166"/>
      <c r="I43" s="166"/>
      <c r="J43" s="166" t="s">
        <v>42</v>
      </c>
      <c r="K43" s="166"/>
      <c r="L43" s="167"/>
      <c r="N43">
        <f t="array" ref="N43">((SUM(IFERROR((TEXT(IF(ISNUMBER(SEARCH("-", F43:L43)), MID(F43:L43, SEARCH("-", F43:L43) + 1, 4), ""), "00\:00") - TEXT(IF(ISNUMBER(SEARCH("-", F43:L43)), MID(F43:L43, SEARCH("-", F43:L43) - 4, 4), ""), "00\:00") + IF(TEXT(IF(ISNUMBER(SEARCH("-", F43:L43)), MID(F43:L43, SEARCH("-", F43:L43) + 1, 4), ""), "00\:00") &lt; TEXT(IF(ISNUMBER(SEARCH("-", F43:L43)), MID(F43:L43, SEARCH("-", F43:L43) - 4, 4), ""), "00\:00"), 1, 0))*24,""))))/9.5</f>
        <v>2</v>
      </c>
      <c r="O43"/>
      <c r="P43" s="151">
        <f t="shared" si="11"/>
        <v>2</v>
      </c>
      <c r="R43" s="4">
        <f t="shared" ca="1" si="12"/>
        <v>3</v>
      </c>
      <c r="S43" s="2">
        <f>(IFERROR(VLOOKUP(D43,'Employee Numbers'!$A$3:$C$84,3,FALSE),"NOT FOUND"))*8</f>
        <v>3</v>
      </c>
      <c r="U43" s="142">
        <f t="shared" si="13"/>
        <v>1</v>
      </c>
      <c r="V43" s="142">
        <f t="shared" si="14"/>
        <v>1</v>
      </c>
      <c r="W43" s="2">
        <f t="shared" si="15"/>
        <v>0</v>
      </c>
      <c r="Y43" s="2">
        <f t="shared" si="16"/>
        <v>0</v>
      </c>
    </row>
    <row r="44" spans="1:25" s="2" customFormat="1" ht="15" customHeight="1">
      <c r="A44" s="2" t="s">
        <v>39</v>
      </c>
      <c r="B44" s="46"/>
      <c r="C44" s="47"/>
      <c r="D44" s="249" t="s">
        <v>77</v>
      </c>
      <c r="E44" s="226">
        <f>IFERROR(VLOOKUP(D44,'Employee Numbers'!$A$3:$B$84,2,FALSE),"NOT FOUND")</f>
        <v>632590</v>
      </c>
      <c r="F44" s="29"/>
      <c r="G44" s="31"/>
      <c r="H44" s="31"/>
      <c r="I44" s="31"/>
      <c r="J44" s="31"/>
      <c r="K44" s="31"/>
      <c r="L44" s="228"/>
      <c r="N44">
        <f t="array" ref="N44">((SUM(IFERROR((TEXT(IF(ISNUMBER(SEARCH("-", F44:L44)), MID(F44:L44, SEARCH("-", F44:L44) + 1, 4), ""), "00\:00") - TEXT(IF(ISNUMBER(SEARCH("-", F44:L44)), MID(F44:L44, SEARCH("-", F44:L44) - 4, 4), ""), "00\:00") + IF(TEXT(IF(ISNUMBER(SEARCH("-", F44:L44)), MID(F44:L44, SEARCH("-", F44:L44) + 1, 4), ""), "00\:00") &lt; TEXT(IF(ISNUMBER(SEARCH("-", F44:L44)), MID(F44:L44, SEARCH("-", F44:L44) - 4, 4), ""), "00\:00"), 1, 0))*24,""))))/9.5</f>
        <v>0</v>
      </c>
      <c r="O44"/>
      <c r="P44" s="151">
        <f t="shared" si="11"/>
        <v>0</v>
      </c>
      <c r="R44" s="4">
        <f t="shared" ca="1" si="12"/>
        <v>4</v>
      </c>
      <c r="S44" s="2">
        <f>(IFERROR(VLOOKUP(D44,'Employee Numbers'!$A$3:$C$84,3,FALSE),"NOT FOUND"))*8</f>
        <v>4</v>
      </c>
      <c r="U44" s="142">
        <f t="shared" si="13"/>
        <v>0</v>
      </c>
      <c r="V44" s="142">
        <f t="shared" si="14"/>
        <v>0</v>
      </c>
      <c r="W44" s="2">
        <f t="shared" si="15"/>
        <v>0</v>
      </c>
      <c r="Y44" s="2">
        <f t="shared" si="16"/>
        <v>0</v>
      </c>
    </row>
    <row r="45" spans="1:25" s="2" customFormat="1" ht="15" customHeight="1">
      <c r="A45" s="162" t="s">
        <v>39</v>
      </c>
      <c r="B45" s="163"/>
      <c r="C45" s="238"/>
      <c r="D45" s="240" t="s">
        <v>78</v>
      </c>
      <c r="E45" s="165">
        <f>IFERROR(VLOOKUP(D45,'Employee Numbers'!$A$3:$B$84,2,FALSE),"NOT FOUND")</f>
        <v>619537</v>
      </c>
      <c r="F45" s="176"/>
      <c r="G45" s="166"/>
      <c r="H45" s="166"/>
      <c r="I45" s="166"/>
      <c r="J45" s="166"/>
      <c r="K45" s="166"/>
      <c r="L45" s="167"/>
      <c r="N45">
        <f t="array" ref="N45">((SUM(IFERROR((TEXT(IF(ISNUMBER(SEARCH("-", F45:L45)), MID(F45:L45, SEARCH("-", F45:L45) + 1, 4), ""), "00\:00") - TEXT(IF(ISNUMBER(SEARCH("-", F45:L45)), MID(F45:L45, SEARCH("-", F45:L45) - 4, 4), ""), "00\:00") + IF(TEXT(IF(ISNUMBER(SEARCH("-", F45:L45)), MID(F45:L45, SEARCH("-", F45:L45) + 1, 4), ""), "00\:00") &lt; TEXT(IF(ISNUMBER(SEARCH("-", F45:L45)), MID(F45:L45, SEARCH("-", F45:L45) - 4, 4), ""), "00\:00"), 1, 0))*24,""))))/9.5</f>
        <v>0</v>
      </c>
      <c r="O45"/>
      <c r="P45" s="151">
        <f t="shared" si="11"/>
        <v>0</v>
      </c>
      <c r="R45" s="4">
        <f t="shared" ca="1" si="12"/>
        <v>1</v>
      </c>
      <c r="S45" s="2">
        <f>(IFERROR(VLOOKUP(D45,'Employee Numbers'!$A$3:$C$84,3,FALSE),"NOT FOUND"))*8</f>
        <v>1</v>
      </c>
      <c r="U45" s="142">
        <f t="shared" si="13"/>
        <v>0</v>
      </c>
      <c r="V45" s="142">
        <f t="shared" si="14"/>
        <v>0</v>
      </c>
      <c r="W45" s="2">
        <f t="shared" si="15"/>
        <v>0</v>
      </c>
      <c r="Y45" s="2">
        <f t="shared" si="16"/>
        <v>0</v>
      </c>
    </row>
    <row r="46" spans="1:25" s="2" customFormat="1" ht="15" customHeight="1">
      <c r="A46" s="2" t="s">
        <v>39</v>
      </c>
      <c r="B46" s="46"/>
      <c r="C46" s="47"/>
      <c r="D46" s="229" t="s">
        <v>79</v>
      </c>
      <c r="E46" s="226">
        <f>IFERROR(VLOOKUP(D46,'Employee Numbers'!$A$3:$B$84,2,FALSE),"NOT FOUND")</f>
        <v>621953</v>
      </c>
      <c r="F46" s="29"/>
      <c r="G46" s="136"/>
      <c r="H46" s="136"/>
      <c r="I46" s="136"/>
      <c r="J46" s="136"/>
      <c r="K46" s="136" t="s">
        <v>44</v>
      </c>
      <c r="L46" s="232"/>
      <c r="N46">
        <f t="array" ref="N46">((SUM(IFERROR((TEXT(IF(ISNUMBER(SEARCH("-", F46:L46)), MID(F46:L46, SEARCH("-", F46:L46) + 1, 4), ""), "00\:00") - TEXT(IF(ISNUMBER(SEARCH("-", F46:L46)), MID(F46:L46, SEARCH("-", F46:L46) - 4, 4), ""), "00\:00") + IF(TEXT(IF(ISNUMBER(SEARCH("-", F46:L46)), MID(F46:L46, SEARCH("-", F46:L46) + 1, 4), ""), "00\:00") &lt; TEXT(IF(ISNUMBER(SEARCH("-", F46:L46)), MID(F46:L46, SEARCH("-", F46:L46) - 4, 4), ""), "00\:00"), 1, 0))*24,""))))/9.5</f>
        <v>1</v>
      </c>
      <c r="O46"/>
      <c r="P46" s="151">
        <f t="shared" si="11"/>
        <v>1</v>
      </c>
      <c r="R46" s="4">
        <f t="shared" ca="1" si="12"/>
        <v>1</v>
      </c>
      <c r="S46" s="2">
        <f>(IFERROR(VLOOKUP(D46,'Employee Numbers'!$A$3:$C$84,3,FALSE),"NOT FOUND"))*8</f>
        <v>1</v>
      </c>
      <c r="U46" s="142">
        <f t="shared" si="13"/>
        <v>1</v>
      </c>
      <c r="V46" s="142">
        <f t="shared" si="14"/>
        <v>0</v>
      </c>
      <c r="W46" s="2">
        <f t="shared" si="15"/>
        <v>0</v>
      </c>
      <c r="Y46" s="2">
        <f t="shared" si="16"/>
        <v>1</v>
      </c>
    </row>
    <row r="47" spans="1:25" s="2" customFormat="1" ht="15" customHeight="1">
      <c r="A47" s="162" t="s">
        <v>39</v>
      </c>
      <c r="B47" s="163"/>
      <c r="C47" s="164"/>
      <c r="D47" s="242" t="s">
        <v>80</v>
      </c>
      <c r="E47" s="165">
        <f>IFERROR(VLOOKUP(D47,'Employee Numbers'!$A$3:$B$84,2,FALSE),"NOT FOUND")</f>
        <v>614504</v>
      </c>
      <c r="F47" s="253" t="s">
        <v>176</v>
      </c>
      <c r="G47" s="254" t="s">
        <v>176</v>
      </c>
      <c r="H47" s="254" t="s">
        <v>176</v>
      </c>
      <c r="I47" s="254" t="s">
        <v>176</v>
      </c>
      <c r="J47" s="254" t="s">
        <v>176</v>
      </c>
      <c r="K47" s="254" t="s">
        <v>176</v>
      </c>
      <c r="L47" s="255" t="s">
        <v>176</v>
      </c>
      <c r="N47">
        <f t="array" ref="N47">((SUM(IFERROR((TEXT(IF(ISNUMBER(SEARCH("-", F47:L47)), MID(F47:L47, SEARCH("-", F47:L47) + 1, 4), ""), "00\:00") - TEXT(IF(ISNUMBER(SEARCH("-", F47:L47)), MID(F47:L47, SEARCH("-", F47:L47) - 4, 4), ""), "00\:00") + IF(TEXT(IF(ISNUMBER(SEARCH("-", F47:L47)), MID(F47:L47, SEARCH("-", F47:L47) + 1, 4), ""), "00\:00") &lt; TEXT(IF(ISNUMBER(SEARCH("-", F47:L47)), MID(F47:L47, SEARCH("-", F47:L47) - 4, 4), ""), "00\:00"), 1, 0))*24,""))))/9.5</f>
        <v>0</v>
      </c>
      <c r="O47"/>
      <c r="P47" s="178">
        <f t="shared" si="11"/>
        <v>0</v>
      </c>
      <c r="R47" s="3">
        <f t="shared" ca="1" si="12"/>
        <v>1</v>
      </c>
      <c r="S47" s="2">
        <f>(IFERROR(VLOOKUP(D47,'Employee Numbers'!$A$3:$C$84,3,FALSE),"NOT FOUND"))*8</f>
        <v>1</v>
      </c>
      <c r="U47" s="142">
        <f t="shared" si="13"/>
        <v>0</v>
      </c>
      <c r="V47" s="142">
        <f t="shared" si="14"/>
        <v>0</v>
      </c>
      <c r="W47" s="2">
        <f t="shared" si="15"/>
        <v>0</v>
      </c>
      <c r="Y47" s="2">
        <f t="shared" si="16"/>
        <v>0</v>
      </c>
    </row>
    <row r="48" spans="1:25" s="2" customFormat="1" ht="15" customHeight="1">
      <c r="A48" s="2" t="s">
        <v>39</v>
      </c>
      <c r="B48" s="46"/>
      <c r="C48" s="21"/>
      <c r="D48" s="230" t="s">
        <v>81</v>
      </c>
      <c r="E48" s="226" t="str">
        <f>IFERROR(VLOOKUP(D48,'Employee Numbers'!$A$3:$B$84,2,FALSE),"NOT FOUND")</f>
        <v>N/A</v>
      </c>
      <c r="F48" s="31"/>
      <c r="G48" s="31"/>
      <c r="H48" s="31"/>
      <c r="I48" s="31"/>
      <c r="J48" s="31"/>
      <c r="K48" s="31"/>
      <c r="L48" s="228"/>
    </row>
    <row r="49" spans="1:21" s="2" customFormat="1" ht="15" customHeight="1" thickBot="1">
      <c r="A49" s="162" t="s">
        <v>39</v>
      </c>
      <c r="B49" s="163"/>
      <c r="C49" s="238"/>
      <c r="D49" s="243" t="s">
        <v>81</v>
      </c>
      <c r="E49" s="248" t="str">
        <f>IFERROR(VLOOKUP(D49,'Employee Numbers'!$A$3:$B$84,2,FALSE),"NOT FOUND")</f>
        <v>N/A</v>
      </c>
      <c r="F49" s="245"/>
      <c r="G49" s="246"/>
      <c r="H49" s="246"/>
      <c r="I49" s="246"/>
      <c r="J49" s="246"/>
      <c r="K49" s="246"/>
      <c r="L49" s="247"/>
    </row>
    <row r="50" spans="1:21" s="2" customFormat="1" ht="15" customHeight="1" thickBot="1">
      <c r="B50" s="46"/>
      <c r="C50" s="21"/>
      <c r="D50" s="16" t="s">
        <v>82</v>
      </c>
      <c r="E50" s="58"/>
      <c r="F50" s="28" t="s">
        <v>76</v>
      </c>
      <c r="G50" s="59" t="s">
        <v>74</v>
      </c>
      <c r="H50" s="59" t="s">
        <v>73</v>
      </c>
      <c r="I50" s="59" t="s">
        <v>66</v>
      </c>
      <c r="J50" s="59" t="s">
        <v>67</v>
      </c>
      <c r="K50" s="59" t="s">
        <v>64</v>
      </c>
      <c r="L50" s="60" t="s">
        <v>68</v>
      </c>
    </row>
    <row r="51" spans="1:21" s="2" customFormat="1" ht="15" customHeight="1">
      <c r="B51" s="46"/>
      <c r="C51" s="21"/>
      <c r="E51" s="21"/>
      <c r="R51" s="2">
        <f>(N54+P54)*9.5/38*5</f>
        <v>3.75</v>
      </c>
    </row>
    <row r="52" spans="1:21" s="2" customFormat="1" ht="15.75" customHeight="1">
      <c r="B52" s="46"/>
      <c r="C52" s="21"/>
      <c r="E52" s="21"/>
      <c r="F52" s="126">
        <f t="shared" ref="F52:L52" si="17">F2</f>
        <v>46195</v>
      </c>
      <c r="G52" s="126">
        <f t="shared" si="17"/>
        <v>46196</v>
      </c>
      <c r="H52" s="126">
        <f t="shared" si="17"/>
        <v>46197</v>
      </c>
      <c r="I52" s="126">
        <f t="shared" si="17"/>
        <v>46198</v>
      </c>
      <c r="J52" s="126">
        <f t="shared" si="17"/>
        <v>46199</v>
      </c>
      <c r="K52" s="126">
        <f t="shared" si="17"/>
        <v>46200</v>
      </c>
      <c r="L52" s="126">
        <f t="shared" si="17"/>
        <v>46201</v>
      </c>
      <c r="M52" s="34"/>
      <c r="N52" s="152" t="s">
        <v>27</v>
      </c>
      <c r="O52" s="152" t="s">
        <v>83</v>
      </c>
      <c r="P52" s="152" t="s">
        <v>84</v>
      </c>
      <c r="Q52" s="2" t="s">
        <v>29</v>
      </c>
      <c r="R52" s="152" t="s">
        <v>85</v>
      </c>
      <c r="S52" s="152" t="s">
        <v>30</v>
      </c>
      <c r="T52" s="152" t="s">
        <v>31</v>
      </c>
      <c r="U52" s="152"/>
    </row>
    <row r="53" spans="1:21" s="2" customFormat="1" ht="30" customHeight="1">
      <c r="A53" s="168" t="s">
        <v>86</v>
      </c>
      <c r="B53" s="169"/>
      <c r="C53" s="169"/>
      <c r="D53" s="169" t="s">
        <v>86</v>
      </c>
      <c r="E53" s="127" t="s">
        <v>4</v>
      </c>
      <c r="F53" s="266" t="s">
        <v>5</v>
      </c>
      <c r="G53" s="267" t="s">
        <v>6</v>
      </c>
      <c r="H53" s="268" t="s">
        <v>87</v>
      </c>
      <c r="I53" s="267" t="s">
        <v>8</v>
      </c>
      <c r="J53" s="267" t="s">
        <v>9</v>
      </c>
      <c r="K53" s="267" t="s">
        <v>10</v>
      </c>
      <c r="L53" s="269" t="s">
        <v>11</v>
      </c>
      <c r="M53" s="34"/>
      <c r="N53" s="147" t="s">
        <v>32</v>
      </c>
      <c r="O53" s="147" t="s">
        <v>88</v>
      </c>
      <c r="P53" s="147" t="s">
        <v>89</v>
      </c>
      <c r="R53" s="145" t="s">
        <v>90</v>
      </c>
      <c r="S53" s="147" t="s">
        <v>32</v>
      </c>
      <c r="T53" s="147" t="s">
        <v>32</v>
      </c>
      <c r="U53" s="147"/>
    </row>
    <row r="54" spans="1:21" s="2" customFormat="1" ht="15" customHeight="1">
      <c r="A54" s="44" t="s">
        <v>91</v>
      </c>
      <c r="B54" s="44"/>
      <c r="C54" s="45"/>
      <c r="D54" s="123" t="s">
        <v>92</v>
      </c>
      <c r="E54" s="284">
        <f>IFERROR(VLOOKUP(D54,'Employee Numbers'!$A$3:$B$84,2,FALSE),"NOT FOUND")</f>
        <v>634905</v>
      </c>
      <c r="F54" s="264" t="s">
        <v>42</v>
      </c>
      <c r="G54" s="264" t="s">
        <v>42</v>
      </c>
      <c r="H54" s="264"/>
      <c r="I54" s="264"/>
      <c r="J54" s="264"/>
      <c r="K54" s="264"/>
      <c r="L54" s="264" t="s">
        <v>42</v>
      </c>
      <c r="N54">
        <f t="array" ref="N54">((SUM(IFERROR((TEXT(IF(ISNUMBER(SEARCH("-", F54:L54)), MID(F54:L54, SEARCH("-", F54:L54) + 1, 4), ""), "00\:00") - TEXT(IF(ISNUMBER(SEARCH("-", F54:L54)), MID(F54:L54, SEARCH("-", F54:L54) - 4, 4), ""), "00\:00") + IF(TEXT(IF(ISNUMBER(SEARCH("-", F54:L54)), MID(F54:L54, SEARCH("-", F54:L54) + 1, 4), ""), "00\:00") &lt; TEXT(IF(ISNUMBER(SEARCH("-", F54:L54)), MID(F54:L54, SEARCH("-", F54:L54) - 4, 4), ""), "00\:00"), 1, 0))*24,""))))/9.5</f>
        <v>3</v>
      </c>
      <c r="O54"/>
      <c r="P54"/>
      <c r="Q54" s="2">
        <f>P54+O54+N54</f>
        <v>3</v>
      </c>
      <c r="R54" s="2">
        <f>IF(ISNUMBER(SEARCH("trg_5",H146)),5,IF(ISNUMBER(SEARCH("trg_3.75",H146)),3.75,IF(ISNUMBER(SEARCH("trg_2.5",H146)),2.5,IF(ISNUMBER(SEARCH("trg_1.75",H146)),1.75,0))))</f>
        <v>3.75</v>
      </c>
      <c r="S54">
        <f ca="1">IF($C$4=1,SUM(Q54+INDIRECT("'Week "&amp;($B$3+1)&amp;"'!Q"&amp;(ROW()))),IF($C$4=2,SUM(Q54+INDIRECT("'Week "&amp;($B$3-1)&amp;"'!Q"&amp;(ROW())))))</f>
        <v>6</v>
      </c>
      <c r="T54" s="2">
        <f>(IFERROR(VLOOKUP(D54,'Employee Numbers'!$A$3:$C$84,3,FALSE),"NOT FOUND"))*8</f>
        <v>8</v>
      </c>
    </row>
    <row r="55" spans="1:21" s="13" customFormat="1" ht="15" customHeight="1">
      <c r="A55" s="2" t="s">
        <v>91</v>
      </c>
      <c r="B55" s="2"/>
      <c r="C55" s="21"/>
      <c r="D55" s="86" t="s">
        <v>93</v>
      </c>
      <c r="E55" s="285">
        <f>IFERROR(VLOOKUP(D55,'Employee Numbers'!$A$3:$B$84,2,FALSE),"NOT FOUND")</f>
        <v>704751</v>
      </c>
      <c r="F55" s="264" t="s">
        <v>42</v>
      </c>
      <c r="G55" s="264"/>
      <c r="H55" s="264" t="s">
        <v>41</v>
      </c>
      <c r="I55" s="264" t="s">
        <v>42</v>
      </c>
      <c r="J55" s="80" t="s">
        <v>180</v>
      </c>
      <c r="K55" s="264"/>
      <c r="L55" s="264"/>
      <c r="N55">
        <f t="array" ref="N55">((SUM(IFERROR((TEXT(IF(ISNUMBER(SEARCH("-", F55:L55)), MID(F55:L55, SEARCH("-", F55:L55) + 1, 4), ""), "00\:00") - TEXT(IF(ISNUMBER(SEARCH("-", F55:L55)), MID(F55:L55, SEARCH("-", F55:L55) - 4, 4), ""), "00\:00") + IF(TEXT(IF(ISNUMBER(SEARCH("-", F55:L55)), MID(F55:L55, SEARCH("-", F55:L55) + 1, 4), ""), "00\:00") &lt; TEXT(IF(ISNUMBER(SEARCH("-", F55:L55)), MID(F55:L55, SEARCH("-", F55:L55) - 4, 4), ""), "00\:00"), 1, 0))*24,""))))/9.5</f>
        <v>3</v>
      </c>
      <c r="O55"/>
      <c r="P55"/>
      <c r="Q55" s="2">
        <f t="shared" ref="Q55:Q59" si="18">P55+O55+N55</f>
        <v>3</v>
      </c>
      <c r="R55" s="2">
        <f t="shared" ref="R55:R59" si="19">IF(ISNUMBER(SEARCH("trg_5",H147)),5,IF(ISNUMBER(SEARCH("trg_3.75",H147)),3.75,IF(ISNUMBER(SEARCH("trg_2.5",H147)),2.5,IF(ISNUMBER(SEARCH("trg_1.75",H147)),1.75,0))))</f>
        <v>5</v>
      </c>
      <c r="S55">
        <f t="shared" ref="S55:S59" ca="1" si="20">IF($C$4=1,SUM(Q55+INDIRECT("'Week "&amp;($B$3+1)&amp;"'!Q"&amp;(ROW()))),IF($C$4=2,SUM(Q55+INDIRECT("'Week "&amp;($B$3-1)&amp;"'!Q"&amp;(ROW())))))</f>
        <v>5</v>
      </c>
      <c r="T55" s="2">
        <f>(IFERROR(VLOOKUP(D55,'Employee Numbers'!$A$3:$C$84,3,FALSE),"NOT FOUND"))*8</f>
        <v>0</v>
      </c>
      <c r="U55" s="2"/>
    </row>
    <row r="56" spans="1:21" s="2" customFormat="1" ht="15" customHeight="1">
      <c r="A56" s="44" t="s">
        <v>91</v>
      </c>
      <c r="B56" s="44"/>
      <c r="C56" s="45"/>
      <c r="D56" s="85" t="s">
        <v>94</v>
      </c>
      <c r="E56" s="285">
        <f>IFERROR(VLOOKUP(D56,'Employee Numbers'!$A$3:$B$84,2,FALSE),"NOT FOUND")</f>
        <v>637219</v>
      </c>
      <c r="F56" s="274" t="s">
        <v>60</v>
      </c>
      <c r="G56" s="274"/>
      <c r="H56" s="274"/>
      <c r="I56" s="274"/>
      <c r="J56" s="274"/>
      <c r="K56" s="274"/>
      <c r="L56" s="274"/>
      <c r="N56">
        <f t="array" ref="N56">((SUM(IFERROR((TEXT(IF(ISNUMBER(SEARCH("-", F56:L56)), MID(F56:L56, SEARCH("-", F56:L56) + 1, 4), ""), "00\:00") - TEXT(IF(ISNUMBER(SEARCH("-", F56:L56)), MID(F56:L56, SEARCH("-", F56:L56) - 4, 4), ""), "00\:00") + IF(TEXT(IF(ISNUMBER(SEARCH("-", F56:L56)), MID(F56:L56, SEARCH("-", F56:L56) + 1, 4), ""), "00\:00") &lt; TEXT(IF(ISNUMBER(SEARCH("-", F56:L56)), MID(F56:L56, SEARCH("-", F56:L56) - 4, 4), ""), "00\:00"), 1, 0))*24,""))))/9.5</f>
        <v>0</v>
      </c>
      <c r="O56"/>
      <c r="P56"/>
      <c r="Q56" s="2">
        <f t="shared" si="18"/>
        <v>0</v>
      </c>
      <c r="R56" s="2">
        <f t="shared" si="19"/>
        <v>0</v>
      </c>
      <c r="S56">
        <f t="shared" ca="1" si="20"/>
        <v>4</v>
      </c>
      <c r="T56" s="2">
        <f>(IFERROR(VLOOKUP(D56,'Employee Numbers'!$A$3:$C$84,3,FALSE),"NOT FOUND"))*8</f>
        <v>0</v>
      </c>
    </row>
    <row r="57" spans="1:21" s="13" customFormat="1" ht="15" customHeight="1">
      <c r="A57" s="2" t="s">
        <v>91</v>
      </c>
      <c r="B57" s="2"/>
      <c r="C57" s="21"/>
      <c r="D57" s="86"/>
      <c r="E57" s="39" t="str">
        <f>IFERROR(VLOOKUP(D57,'Employee Numbers'!$A$3:$B$84,2,FALSE),"NOT FOUND")</f>
        <v>NOT FOUND</v>
      </c>
      <c r="F57" s="125"/>
      <c r="G57" s="125"/>
      <c r="H57" s="125"/>
      <c r="I57" s="125"/>
      <c r="J57" s="125"/>
      <c r="K57" s="125"/>
      <c r="L57" s="125"/>
      <c r="N57">
        <f t="array" ref="N57">((SUM(IFERROR((TEXT(IF(ISNUMBER(SEARCH("-", F57:L57)), MID(F57:L57, SEARCH("-", F57:L57) + 1, 4), ""), "00\:00") - TEXT(IF(ISNUMBER(SEARCH("-", F57:L57)), MID(F57:L57, SEARCH("-", F57:L57) - 4, 4), ""), "00\:00") + IF(TEXT(IF(ISNUMBER(SEARCH("-", F57:L57)), MID(F57:L57, SEARCH("-", F57:L57) + 1, 4), ""), "00\:00") &lt; TEXT(IF(ISNUMBER(SEARCH("-", F57:L57)), MID(F57:L57, SEARCH("-", F57:L57) - 4, 4), ""), "00\:00"), 1, 0))*24,""))))/9.5</f>
        <v>0</v>
      </c>
      <c r="O57"/>
      <c r="P57"/>
      <c r="Q57" s="2">
        <f t="shared" si="18"/>
        <v>0</v>
      </c>
      <c r="R57" s="2">
        <f t="shared" si="19"/>
        <v>2.5</v>
      </c>
      <c r="S57">
        <f t="shared" ca="1" si="20"/>
        <v>0</v>
      </c>
      <c r="T57" s="2" t="e">
        <f>(IFERROR(VLOOKUP(D57,'Employee Numbers'!$A$3:$C$84,3,FALSE),"NOT FOUND"))*8</f>
        <v>#VALUE!</v>
      </c>
      <c r="U57" s="2"/>
    </row>
    <row r="58" spans="1:21" s="2" customFormat="1" ht="15" customHeight="1">
      <c r="A58" s="44" t="s">
        <v>91</v>
      </c>
      <c r="B58" s="44"/>
      <c r="C58" s="45"/>
      <c r="D58" s="85"/>
      <c r="E58" s="39" t="str">
        <f>IFERROR(VLOOKUP(D58,'Employee Numbers'!$A$3:$B$84,2,FALSE),"NOT FOUND")</f>
        <v>NOT FOUND</v>
      </c>
      <c r="F58" s="110"/>
      <c r="G58" s="110"/>
      <c r="H58" s="110"/>
      <c r="I58" s="110"/>
      <c r="J58" s="110"/>
      <c r="K58" s="110"/>
      <c r="L58" s="110"/>
      <c r="N58">
        <f t="array" ref="N58">((SUM(IFERROR((TEXT(IF(ISNUMBER(SEARCH("-", F58:L58)), MID(F58:L58, SEARCH("-", F58:L58) + 1, 4), ""), "00\:00") - TEXT(IF(ISNUMBER(SEARCH("-", F58:L58)), MID(F58:L58, SEARCH("-", F58:L58) - 4, 4), ""), "00\:00") + IF(TEXT(IF(ISNUMBER(SEARCH("-", F58:L58)), MID(F58:L58, SEARCH("-", F58:L58) + 1, 4), ""), "00\:00") &lt; TEXT(IF(ISNUMBER(SEARCH("-", F58:L58)), MID(F58:L58, SEARCH("-", F58:L58) - 4, 4), ""), "00\:00"), 1, 0))*24,""))))/9.5</f>
        <v>0</v>
      </c>
      <c r="O58"/>
      <c r="P58"/>
      <c r="Q58" s="2">
        <f t="shared" si="18"/>
        <v>0</v>
      </c>
      <c r="R58" s="2">
        <f t="shared" si="19"/>
        <v>2.5</v>
      </c>
      <c r="S58">
        <f t="shared" ca="1" si="20"/>
        <v>0</v>
      </c>
      <c r="T58" s="2" t="e">
        <f>(IFERROR(VLOOKUP(D58,'Employee Numbers'!$A$3:$C$84,3,FALSE),"NOT FOUND"))*8</f>
        <v>#VALUE!</v>
      </c>
    </row>
    <row r="59" spans="1:21" s="13" customFormat="1" ht="15" customHeight="1">
      <c r="A59" s="2" t="s">
        <v>91</v>
      </c>
      <c r="B59" s="2"/>
      <c r="C59" s="21"/>
      <c r="D59" s="86"/>
      <c r="E59" s="39" t="str">
        <f>IFERROR(VLOOKUP(D59,'Employee Numbers'!$A$3:$B$84,2,FALSE),"NOT FOUND")</f>
        <v>NOT FOUND</v>
      </c>
      <c r="F59" s="110"/>
      <c r="G59" s="110"/>
      <c r="H59" s="110"/>
      <c r="I59" s="110"/>
      <c r="J59" s="110"/>
      <c r="K59" s="110"/>
      <c r="L59" s="110"/>
      <c r="N59">
        <f t="array" ref="N59">((SUM(IFERROR((TEXT(IF(ISNUMBER(SEARCH("-", F59:L59)), MID(F59:L59, SEARCH("-", F59:L59) + 1, 4), ""), "00\:00") - TEXT(IF(ISNUMBER(SEARCH("-", F59:L59)), MID(F59:L59, SEARCH("-", F59:L59) - 4, 4), ""), "00\:00") + IF(TEXT(IF(ISNUMBER(SEARCH("-", F59:L59)), MID(F59:L59, SEARCH("-", F59:L59) + 1, 4), ""), "00\:00") &lt; TEXT(IF(ISNUMBER(SEARCH("-", F59:L59)), MID(F59:L59, SEARCH("-", F59:L59) - 4, 4), ""), "00\:00"), 1, 0))*24,""))))/9.5</f>
        <v>0</v>
      </c>
      <c r="O59"/>
      <c r="P59"/>
      <c r="Q59" s="2">
        <f t="shared" si="18"/>
        <v>0</v>
      </c>
      <c r="R59" s="2">
        <f t="shared" si="19"/>
        <v>2.5</v>
      </c>
      <c r="S59">
        <f t="shared" ca="1" si="20"/>
        <v>0</v>
      </c>
      <c r="T59" s="2" t="e">
        <f>(IFERROR(VLOOKUP(D59,'Employee Numbers'!$A$3:$C$84,3,FALSE),"NOT FOUND"))*8</f>
        <v>#VALUE!</v>
      </c>
      <c r="U59" s="2"/>
    </row>
    <row r="60" spans="1:21" s="2" customFormat="1" ht="30" customHeight="1">
      <c r="A60" s="170" t="s">
        <v>96</v>
      </c>
      <c r="B60" s="131"/>
      <c r="C60" s="132"/>
      <c r="D60" s="171" t="s">
        <v>97</v>
      </c>
      <c r="E60" s="133" t="s">
        <v>4</v>
      </c>
      <c r="F60" s="270" t="s">
        <v>5</v>
      </c>
      <c r="G60" s="270" t="s">
        <v>6</v>
      </c>
      <c r="H60" s="271" t="s">
        <v>87</v>
      </c>
      <c r="I60" s="270" t="s">
        <v>8</v>
      </c>
      <c r="J60" s="270" t="s">
        <v>9</v>
      </c>
      <c r="K60" s="270" t="s">
        <v>10</v>
      </c>
      <c r="L60" s="272" t="s">
        <v>11</v>
      </c>
      <c r="N60"/>
      <c r="O60"/>
      <c r="P60"/>
    </row>
    <row r="61" spans="1:21" s="2" customFormat="1" ht="15" customHeight="1">
      <c r="A61" s="2" t="s">
        <v>98</v>
      </c>
      <c r="C61" s="47"/>
      <c r="D61" s="262" t="s">
        <v>99</v>
      </c>
      <c r="E61" s="284">
        <f>IFERROR(VLOOKUP(D61,'Employee Numbers'!$A$3:$B$84,2,FALSE),"NOT FOUND")</f>
        <v>638531</v>
      </c>
      <c r="F61" s="264" t="s">
        <v>44</v>
      </c>
      <c r="G61" s="264" t="s">
        <v>42</v>
      </c>
      <c r="H61" s="264" t="s">
        <v>42</v>
      </c>
      <c r="I61" s="264" t="s">
        <v>42</v>
      </c>
      <c r="J61" s="264"/>
      <c r="K61" s="264"/>
      <c r="L61" s="264"/>
      <c r="N61">
        <f t="array" ref="N61">((SUM(IFERROR((TEXT(IF(ISNUMBER(SEARCH("-", F61:L61)), MID(F61:L61, SEARCH("-", F61:L61) + 1, 4), ""), "00\:00") - TEXT(IF(ISNUMBER(SEARCH("-", F61:L61)), MID(F61:L61, SEARCH("-", F61:L61) - 4, 4), ""), "00\:00") + IF(TEXT(IF(ISNUMBER(SEARCH("-", F61:L61)), MID(F61:L61, SEARCH("-", F61:L61) + 1, 4), ""), "00\:00") &lt; TEXT(IF(ISNUMBER(SEARCH("-", F61:L61)), MID(F61:L61, SEARCH("-", F61:L61) - 4, 4), ""), "00\:00"), 1, 0))*24,""))))/9.5</f>
        <v>4</v>
      </c>
      <c r="O61"/>
      <c r="P61"/>
      <c r="Q61" s="2">
        <f>P61+O61+N61</f>
        <v>4</v>
      </c>
      <c r="R61" s="2">
        <f>IF(ISNUMBER(SEARCH("trg_5",H153)),5,IF(ISNUMBER(SEARCH("trg_3.75",H153)),3.75,IF(ISNUMBER(SEARCH("trg_2.5",H153)),2.5,IF(ISNUMBER(SEARCH("trg_1.75",H153)),1.75,0))))</f>
        <v>5</v>
      </c>
      <c r="S61">
        <f ca="1">IF($C$4=1,SUM(Q61+INDIRECT("'Week "&amp;($B$3+1)&amp;"'!Q"&amp;(ROW()))),IF($C$4=2,SUM(Q61+INDIRECT("'Week "&amp;($B$3-1)&amp;"'!Q"&amp;(ROW())))))</f>
        <v>8</v>
      </c>
      <c r="T61" s="2">
        <f>(IFERROR(VLOOKUP(D61,'Employee Numbers'!$A$3:$C$84,3,FALSE),"NOT FOUND"))*8</f>
        <v>0</v>
      </c>
    </row>
    <row r="62" spans="1:21" s="2" customFormat="1" ht="15" customHeight="1">
      <c r="A62" s="44" t="s">
        <v>98</v>
      </c>
      <c r="B62" s="44"/>
      <c r="C62" s="45"/>
      <c r="D62" s="262" t="s">
        <v>101</v>
      </c>
      <c r="E62" s="285">
        <f>IFERROR(VLOOKUP(D62,'Employee Numbers'!$A$3:$B$84,2,FALSE),"NOT FOUND")</f>
        <v>631715</v>
      </c>
      <c r="F62" s="274" t="s">
        <v>176</v>
      </c>
      <c r="G62" s="274"/>
      <c r="H62" s="274"/>
      <c r="I62" s="274"/>
      <c r="J62" s="274"/>
      <c r="K62" s="274"/>
      <c r="L62" s="274"/>
      <c r="N62">
        <f t="array" ref="N62">((SUM(IFERROR((TEXT(IF(ISNUMBER(SEARCH("-", F62:L62)), MID(F62:L62, SEARCH("-", F62:L62) + 1, 4), ""), "00\:00") - TEXT(IF(ISNUMBER(SEARCH("-", F62:L62)), MID(F62:L62, SEARCH("-", F62:L62) - 4, 4), ""), "00\:00") + IF(TEXT(IF(ISNUMBER(SEARCH("-", F62:L62)), MID(F62:L62, SEARCH("-", F62:L62) + 1, 4), ""), "00\:00") &lt; TEXT(IF(ISNUMBER(SEARCH("-", F62:L62)), MID(F62:L62, SEARCH("-", F62:L62) - 4, 4), ""), "00\:00"), 1, 0))*24,""))))/9.5</f>
        <v>0</v>
      </c>
      <c r="O62"/>
      <c r="P62"/>
      <c r="Q62" s="2">
        <f t="shared" ref="Q62:Q80" si="21">P62+O62+N62</f>
        <v>0</v>
      </c>
      <c r="R62" s="2">
        <f t="shared" ref="R62:R80" si="22">IF(ISNUMBER(SEARCH("trg_5",H154)),5,IF(ISNUMBER(SEARCH("trg_3.75",H154)),3.75,IF(ISNUMBER(SEARCH("trg_2.5",H154)),2.5,IF(ISNUMBER(SEARCH("trg_1.75",H154)),1.75,0))))</f>
        <v>0</v>
      </c>
      <c r="S62">
        <f t="shared" ref="S62:S84" ca="1" si="23">IF($C$4=1,SUM(Q62+INDIRECT("'Week "&amp;($B$3+1)&amp;"'!Q"&amp;(ROW()))),IF($C$4=2,SUM(Q62+INDIRECT("'Week "&amp;($B$3-1)&amp;"'!Q"&amp;(ROW())))))</f>
        <v>4</v>
      </c>
      <c r="T62" s="2">
        <f>(IFERROR(VLOOKUP(D62,'Employee Numbers'!$A$3:$C$84,3,FALSE),"NOT FOUND"))*8</f>
        <v>0</v>
      </c>
    </row>
    <row r="63" spans="1:21" s="13" customFormat="1" ht="15" customHeight="1">
      <c r="A63" s="2" t="s">
        <v>98</v>
      </c>
      <c r="B63" s="2"/>
      <c r="C63" s="21"/>
      <c r="D63" s="262" t="s">
        <v>103</v>
      </c>
      <c r="E63" s="285">
        <f>IFERROR(VLOOKUP(D63,'Employee Numbers'!$A$3:$B$84,2,FALSE),"NOT FOUND")</f>
        <v>703719</v>
      </c>
      <c r="F63" s="264"/>
      <c r="G63" s="264"/>
      <c r="H63" s="264"/>
      <c r="I63" s="275"/>
      <c r="J63" s="264" t="s">
        <v>42</v>
      </c>
      <c r="K63" s="264" t="s">
        <v>42</v>
      </c>
      <c r="L63" s="264" t="s">
        <v>42</v>
      </c>
      <c r="N63">
        <f t="array" ref="N63">((SUM(IFERROR((TEXT(IF(ISNUMBER(SEARCH("-", F63:L63)), MID(F63:L63, SEARCH("-", F63:L63) + 1, 4), ""), "00\:00") - TEXT(IF(ISNUMBER(SEARCH("-", F63:L63)), MID(F63:L63, SEARCH("-", F63:L63) - 4, 4), ""), "00\:00") + IF(TEXT(IF(ISNUMBER(SEARCH("-", F63:L63)), MID(F63:L63, SEARCH("-", F63:L63) + 1, 4), ""), "00\:00") &lt; TEXT(IF(ISNUMBER(SEARCH("-", F63:L63)), MID(F63:L63, SEARCH("-", F63:L63) - 4, 4), ""), "00\:00"), 1, 0))*24,""))))/9.5</f>
        <v>3</v>
      </c>
      <c r="O63"/>
      <c r="P63"/>
      <c r="Q63" s="2">
        <f t="shared" si="21"/>
        <v>3</v>
      </c>
      <c r="R63" s="2">
        <f t="shared" si="22"/>
        <v>3.75</v>
      </c>
      <c r="S63">
        <f t="shared" ca="1" si="23"/>
        <v>6</v>
      </c>
      <c r="T63" s="2">
        <f>(IFERROR(VLOOKUP(D63,'Employee Numbers'!$A$3:$C$84,3,FALSE),"NOT FOUND"))*8</f>
        <v>0</v>
      </c>
      <c r="U63" s="2"/>
    </row>
    <row r="64" spans="1:21" s="2" customFormat="1" ht="15" customHeight="1">
      <c r="A64" s="44" t="s">
        <v>98</v>
      </c>
      <c r="B64" s="44"/>
      <c r="C64" s="45"/>
      <c r="D64" s="262" t="s">
        <v>104</v>
      </c>
      <c r="E64" s="285">
        <f>IFERROR(VLOOKUP(D64,'Employee Numbers'!$A$3:$B$84,2,FALSE),"NOT FOUND")</f>
        <v>637791</v>
      </c>
      <c r="F64" s="264" t="s">
        <v>100</v>
      </c>
      <c r="G64" s="264" t="s">
        <v>100</v>
      </c>
      <c r="H64" s="264" t="s">
        <v>100</v>
      </c>
      <c r="I64" s="264"/>
      <c r="J64" s="264"/>
      <c r="K64" s="264"/>
      <c r="L64" s="264"/>
      <c r="N64">
        <f t="array" ref="N64">((SUM(IFERROR((TEXT(IF(ISNUMBER(SEARCH("-", F64:L64)), MID(F64:L64, SEARCH("-", F64:L64) + 1, 4), ""), "00\:00") - TEXT(IF(ISNUMBER(SEARCH("-", F64:L64)), MID(F64:L64, SEARCH("-", F64:L64) - 4, 4), ""), "00\:00") + IF(TEXT(IF(ISNUMBER(SEARCH("-", F64:L64)), MID(F64:L64, SEARCH("-", F64:L64) + 1, 4), ""), "00\:00") &lt; TEXT(IF(ISNUMBER(SEARCH("-", F64:L64)), MID(F64:L64, SEARCH("-", F64:L64) - 4, 4), ""), "00\:00"), 1, 0))*24,""))))/9.5</f>
        <v>2.9999999999999991</v>
      </c>
      <c r="O64"/>
      <c r="P64"/>
      <c r="Q64" s="2">
        <f t="shared" si="21"/>
        <v>2.9999999999999991</v>
      </c>
      <c r="R64" s="2">
        <f t="shared" si="22"/>
        <v>3.75</v>
      </c>
      <c r="S64">
        <f t="shared" ca="1" si="23"/>
        <v>5.9999999999999991</v>
      </c>
      <c r="T64" s="2">
        <f>(IFERROR(VLOOKUP(D64,'Employee Numbers'!$A$3:$C$84,3,FALSE),"NOT FOUND"))*8</f>
        <v>0</v>
      </c>
    </row>
    <row r="65" spans="1:20" s="2" customFormat="1" ht="15" customHeight="1">
      <c r="A65" s="2" t="s">
        <v>98</v>
      </c>
      <c r="C65" s="21"/>
      <c r="D65" s="262" t="s">
        <v>105</v>
      </c>
      <c r="E65" s="285">
        <f>IFERROR(VLOOKUP(D65,'Employee Numbers'!$A$3:$B$84,2,FALSE),"NOT FOUND")</f>
        <v>652867</v>
      </c>
      <c r="F65" s="264"/>
      <c r="G65" s="264"/>
      <c r="H65" s="264"/>
      <c r="I65" s="264" t="s">
        <v>44</v>
      </c>
      <c r="J65" s="264" t="s">
        <v>44</v>
      </c>
      <c r="K65" s="264" t="s">
        <v>42</v>
      </c>
      <c r="L65" s="264" t="s">
        <v>42</v>
      </c>
      <c r="N65">
        <f t="array" ref="N65">((SUM(IFERROR((TEXT(IF(ISNUMBER(SEARCH("-", F65:L65)), MID(F65:L65, SEARCH("-", F65:L65) + 1, 4), ""), "00\:00") - TEXT(IF(ISNUMBER(SEARCH("-", F65:L65)), MID(F65:L65, SEARCH("-", F65:L65) - 4, 4), ""), "00\:00") + IF(TEXT(IF(ISNUMBER(SEARCH("-", F65:L65)), MID(F65:L65, SEARCH("-", F65:L65) + 1, 4), ""), "00\:00") &lt; TEXT(IF(ISNUMBER(SEARCH("-", F65:L65)), MID(F65:L65, SEARCH("-", F65:L65) - 4, 4), ""), "00\:00"), 1, 0))*24,""))))/9.5</f>
        <v>4</v>
      </c>
      <c r="O65"/>
      <c r="P65"/>
      <c r="Q65" s="2">
        <f t="shared" si="21"/>
        <v>4</v>
      </c>
      <c r="R65" s="2">
        <f t="shared" si="22"/>
        <v>5</v>
      </c>
      <c r="S65">
        <f t="shared" ca="1" si="23"/>
        <v>8</v>
      </c>
      <c r="T65" s="2">
        <f>(IFERROR(VLOOKUP(D65,'Employee Numbers'!$A$3:$C$84,3,FALSE),"NOT FOUND"))*8</f>
        <v>0</v>
      </c>
    </row>
    <row r="66" spans="1:20" s="2" customFormat="1" ht="15" customHeight="1">
      <c r="A66" s="44" t="s">
        <v>98</v>
      </c>
      <c r="B66" s="44"/>
      <c r="C66" s="45"/>
      <c r="D66" s="262" t="s">
        <v>106</v>
      </c>
      <c r="E66" s="285">
        <f>IFERROR(VLOOKUP(D66,'Employee Numbers'!$A$3:$B$84,2,FALSE),"NOT FOUND")</f>
        <v>611551</v>
      </c>
      <c r="F66" s="264"/>
      <c r="G66" s="264"/>
      <c r="H66" s="264"/>
      <c r="I66" s="264"/>
      <c r="J66" s="264" t="s">
        <v>42</v>
      </c>
      <c r="K66" s="264" t="s">
        <v>42</v>
      </c>
      <c r="L66" s="264"/>
      <c r="N66">
        <f t="array" ref="N66">((SUM(IFERROR((TEXT(IF(ISNUMBER(SEARCH("-", F66:L66)), MID(F66:L66, SEARCH("-", F66:L66) + 1, 4), ""), "00\:00") - TEXT(IF(ISNUMBER(SEARCH("-", F66:L66)), MID(F66:L66, SEARCH("-", F66:L66) - 4, 4), ""), "00\:00") + IF(TEXT(IF(ISNUMBER(SEARCH("-", F66:L66)), MID(F66:L66, SEARCH("-", F66:L66) + 1, 4), ""), "00\:00") &lt; TEXT(IF(ISNUMBER(SEARCH("-", F66:L66)), MID(F66:L66, SEARCH("-", F66:L66) - 4, 4), ""), "00\:00"), 1, 0))*24,""))))/9.5</f>
        <v>2</v>
      </c>
      <c r="O66"/>
      <c r="P66"/>
      <c r="Q66" s="2">
        <f t="shared" si="21"/>
        <v>2</v>
      </c>
      <c r="R66" s="2">
        <f t="shared" si="22"/>
        <v>2.5</v>
      </c>
      <c r="S66">
        <f t="shared" ca="1" si="23"/>
        <v>3.9999999999999996</v>
      </c>
      <c r="T66" s="2">
        <f>(IFERROR(VLOOKUP(D66,'Employee Numbers'!$A$3:$C$84,3,FALSE),"NOT FOUND"))*8</f>
        <v>0</v>
      </c>
    </row>
    <row r="67" spans="1:20" s="2" customFormat="1" ht="15" customHeight="1">
      <c r="A67" s="2" t="s">
        <v>98</v>
      </c>
      <c r="C67" s="21"/>
      <c r="D67" s="262" t="s">
        <v>107</v>
      </c>
      <c r="E67" s="285">
        <f>IFERROR(VLOOKUP(D67,'Employee Numbers'!$A$3:$B$84,2,FALSE),"NOT FOUND")</f>
        <v>615820</v>
      </c>
      <c r="F67" s="274" t="s">
        <v>182</v>
      </c>
      <c r="G67" s="274"/>
      <c r="H67" s="274"/>
      <c r="I67" s="274"/>
      <c r="J67" s="274"/>
      <c r="K67" s="274"/>
      <c r="L67" s="274"/>
      <c r="N67">
        <f t="array" ref="N67">((SUM(IFERROR((TEXT(IF(ISNUMBER(SEARCH("-", F67:L67)), MID(F67:L67, SEARCH("-", F67:L67) + 1, 4), ""), "00\:00") - TEXT(IF(ISNUMBER(SEARCH("-", F67:L67)), MID(F67:L67, SEARCH("-", F67:L67) - 4, 4), ""), "00\:00") + IF(TEXT(IF(ISNUMBER(SEARCH("-", F67:L67)), MID(F67:L67, SEARCH("-", F67:L67) + 1, 4), ""), "00\:00") &lt; TEXT(IF(ISNUMBER(SEARCH("-", F67:L67)), MID(F67:L67, SEARCH("-", F67:L67) - 4, 4), ""), "00\:00"), 1, 0))*24,""))))/9.5</f>
        <v>0</v>
      </c>
      <c r="O67"/>
      <c r="P67"/>
      <c r="Q67" s="2">
        <f t="shared" si="21"/>
        <v>0</v>
      </c>
      <c r="R67" s="2">
        <f t="shared" si="22"/>
        <v>0</v>
      </c>
      <c r="S67">
        <f t="shared" ca="1" si="23"/>
        <v>0</v>
      </c>
      <c r="T67" s="2">
        <f>(IFERROR(VLOOKUP(D67,'Employee Numbers'!$A$3:$C$84,3,FALSE),"NOT FOUND"))*8</f>
        <v>0</v>
      </c>
    </row>
    <row r="68" spans="1:20" s="2" customFormat="1" ht="15" customHeight="1">
      <c r="A68" s="44" t="s">
        <v>98</v>
      </c>
      <c r="B68" s="44"/>
      <c r="C68" s="45"/>
      <c r="D68" s="262" t="s">
        <v>108</v>
      </c>
      <c r="E68" s="285">
        <f>IFERROR(VLOOKUP(D68,'Employee Numbers'!$A$3:$B$84,2,FALSE),"NOT FOUND")</f>
        <v>654727</v>
      </c>
      <c r="F68" s="286"/>
      <c r="G68" s="286"/>
      <c r="H68" s="279"/>
      <c r="I68" s="279" t="s">
        <v>42</v>
      </c>
      <c r="J68" s="279" t="s">
        <v>42</v>
      </c>
      <c r="K68" s="279" t="s">
        <v>42</v>
      </c>
      <c r="L68" s="279" t="s">
        <v>42</v>
      </c>
      <c r="N68">
        <f t="array" ref="N68">((SUM(IFERROR((TEXT(IF(ISNUMBER(SEARCH("-", F68:L68)), MID(F68:L68, SEARCH("-", F68:L68) + 1, 4), ""), "00\:00") - TEXT(IF(ISNUMBER(SEARCH("-", F68:L68)), MID(F68:L68, SEARCH("-", F68:L68) - 4, 4), ""), "00\:00") + IF(TEXT(IF(ISNUMBER(SEARCH("-", F68:L68)), MID(F68:L68, SEARCH("-", F68:L68) + 1, 4), ""), "00\:00") &lt; TEXT(IF(ISNUMBER(SEARCH("-", F68:L68)), MID(F68:L68, SEARCH("-", F68:L68) - 4, 4), ""), "00\:00"), 1, 0))*24,""))))/9.5</f>
        <v>4</v>
      </c>
      <c r="O68"/>
      <c r="P68"/>
      <c r="Q68" s="2">
        <f t="shared" si="21"/>
        <v>4</v>
      </c>
      <c r="R68" s="2">
        <f t="shared" si="22"/>
        <v>5</v>
      </c>
      <c r="S68">
        <f t="shared" ca="1" si="23"/>
        <v>4</v>
      </c>
      <c r="T68" s="2">
        <f>(IFERROR(VLOOKUP(D68,'Employee Numbers'!$A$3:$C$84,3,FALSE),"NOT FOUND"))*8</f>
        <v>0</v>
      </c>
    </row>
    <row r="69" spans="1:20" s="2" customFormat="1" ht="15" customHeight="1">
      <c r="A69" s="2" t="s">
        <v>98</v>
      </c>
      <c r="C69" s="47"/>
      <c r="D69" s="262" t="s">
        <v>109</v>
      </c>
      <c r="E69" s="285">
        <f>IFERROR(VLOOKUP(D69,'Employee Numbers'!$A$3:$B$84,2,FALSE),"NOT FOUND")</f>
        <v>702947</v>
      </c>
      <c r="F69" s="264" t="s">
        <v>42</v>
      </c>
      <c r="G69" s="264" t="s">
        <v>42</v>
      </c>
      <c r="H69" s="264"/>
      <c r="I69" s="355" t="s">
        <v>44</v>
      </c>
      <c r="J69" s="80" t="s">
        <v>180</v>
      </c>
      <c r="K69" s="80" t="s">
        <v>180</v>
      </c>
      <c r="L69" s="80" t="s">
        <v>180</v>
      </c>
      <c r="N69">
        <f t="array" ref="N69">((SUM(IFERROR((TEXT(IF(ISNUMBER(SEARCH("-", F69:L69)), MID(F69:L69, SEARCH("-", F69:L69) + 1, 4), ""), "00\:00") - TEXT(IF(ISNUMBER(SEARCH("-", F69:L69)), MID(F69:L69, SEARCH("-", F69:L69) - 4, 4), ""), "00\:00") + IF(TEXT(IF(ISNUMBER(SEARCH("-", F69:L69)), MID(F69:L69, SEARCH("-", F69:L69) + 1, 4), ""), "00\:00") &lt; TEXT(IF(ISNUMBER(SEARCH("-", F69:L69)), MID(F69:L69, SEARCH("-", F69:L69) - 4, 4), ""), "00\:00"), 1, 0))*24,""))))/9.5</f>
        <v>3</v>
      </c>
      <c r="O69"/>
      <c r="P69"/>
      <c r="Q69" s="2">
        <f t="shared" si="21"/>
        <v>3</v>
      </c>
      <c r="R69" s="2">
        <f t="shared" si="22"/>
        <v>5</v>
      </c>
      <c r="S69">
        <f t="shared" ca="1" si="23"/>
        <v>7</v>
      </c>
      <c r="T69" s="2">
        <f>(IFERROR(VLOOKUP(D69,'Employee Numbers'!$A$3:$C$84,3,FALSE),"NOT FOUND"))*8</f>
        <v>0</v>
      </c>
    </row>
    <row r="70" spans="1:20" s="2" customFormat="1" ht="15" customHeight="1">
      <c r="A70" s="44" t="s">
        <v>98</v>
      </c>
      <c r="B70" s="44"/>
      <c r="C70" s="45"/>
      <c r="D70" s="262" t="s">
        <v>110</v>
      </c>
      <c r="E70" s="285">
        <f>IFERROR(VLOOKUP(D70,'Employee Numbers'!$A$3:$B$84,2,FALSE),"NOT FOUND")</f>
        <v>654002</v>
      </c>
      <c r="F70" s="264"/>
      <c r="G70" s="264" t="s">
        <v>42</v>
      </c>
      <c r="H70" s="264" t="s">
        <v>42</v>
      </c>
      <c r="I70" s="264"/>
      <c r="J70" s="264"/>
      <c r="K70" s="264" t="s">
        <v>44</v>
      </c>
      <c r="L70" s="355" t="s">
        <v>44</v>
      </c>
      <c r="N70">
        <f t="array" ref="N70">((SUM(IFERROR((TEXT(IF(ISNUMBER(SEARCH("-", F70:L70)), MID(F70:L70, SEARCH("-", F70:L70) + 1, 4), ""), "00\:00") - TEXT(IF(ISNUMBER(SEARCH("-", F70:L70)), MID(F70:L70, SEARCH("-", F70:L70) - 4, 4), ""), "00\:00") + IF(TEXT(IF(ISNUMBER(SEARCH("-", F70:L70)), MID(F70:L70, SEARCH("-", F70:L70) + 1, 4), ""), "00\:00") &lt; TEXT(IF(ISNUMBER(SEARCH("-", F70:L70)), MID(F70:L70, SEARCH("-", F70:L70) - 4, 4), ""), "00\:00"), 1, 0))*24,""))))/9.5</f>
        <v>4</v>
      </c>
      <c r="O70"/>
      <c r="P70"/>
      <c r="Q70" s="2">
        <f t="shared" si="21"/>
        <v>4</v>
      </c>
      <c r="R70" s="2">
        <f t="shared" si="22"/>
        <v>5</v>
      </c>
      <c r="S70">
        <f t="shared" ca="1" si="23"/>
        <v>8</v>
      </c>
      <c r="T70" s="2">
        <f>(IFERROR(VLOOKUP(D70,'Employee Numbers'!$A$3:$C$84,3,FALSE),"NOT FOUND"))*8</f>
        <v>0</v>
      </c>
    </row>
    <row r="71" spans="1:20" s="2" customFormat="1" ht="15" customHeight="1">
      <c r="A71" s="2" t="s">
        <v>98</v>
      </c>
      <c r="C71" s="21"/>
      <c r="D71" s="262" t="s">
        <v>111</v>
      </c>
      <c r="E71" s="285">
        <f>IFERROR(VLOOKUP(D71,'Employee Numbers'!$A$3:$B$84,2,FALSE),"NOT FOUND")</f>
        <v>703068</v>
      </c>
      <c r="F71" s="264"/>
      <c r="G71" s="264"/>
      <c r="H71" s="264"/>
      <c r="I71" s="264" t="s">
        <v>42</v>
      </c>
      <c r="J71" s="264" t="s">
        <v>100</v>
      </c>
      <c r="K71" s="264" t="s">
        <v>100</v>
      </c>
      <c r="L71" s="264" t="s">
        <v>100</v>
      </c>
      <c r="N71">
        <f t="array" ref="N71">((SUM(IFERROR((TEXT(IF(ISNUMBER(SEARCH("-", F71:L71)), MID(F71:L71, SEARCH("-", F71:L71) + 1, 4), ""), "00\:00") - TEXT(IF(ISNUMBER(SEARCH("-", F71:L71)), MID(F71:L71, SEARCH("-", F71:L71) - 4, 4), ""), "00\:00") + IF(TEXT(IF(ISNUMBER(SEARCH("-", F71:L71)), MID(F71:L71, SEARCH("-", F71:L71) + 1, 4), ""), "00\:00") &lt; TEXT(IF(ISNUMBER(SEARCH("-", F71:L71)), MID(F71:L71, SEARCH("-", F71:L71) - 4, 4), ""), "00\:00"), 1, 0))*24,""))))/9.5</f>
        <v>4</v>
      </c>
      <c r="O71"/>
      <c r="P71"/>
      <c r="Q71" s="2">
        <f t="shared" si="21"/>
        <v>4</v>
      </c>
      <c r="R71" s="2">
        <f t="shared" si="22"/>
        <v>5</v>
      </c>
      <c r="S71">
        <f t="shared" ca="1" si="23"/>
        <v>8</v>
      </c>
      <c r="T71" s="2">
        <f>(IFERROR(VLOOKUP(D71,'Employee Numbers'!$A$3:$C$84,3,FALSE),"NOT FOUND"))*8</f>
        <v>0</v>
      </c>
    </row>
    <row r="72" spans="1:20" s="2" customFormat="1" ht="15" customHeight="1">
      <c r="A72" s="44" t="s">
        <v>98</v>
      </c>
      <c r="B72" s="44"/>
      <c r="C72" s="45"/>
      <c r="D72" s="262" t="s">
        <v>113</v>
      </c>
      <c r="E72" s="285">
        <f>IFERROR(VLOOKUP(D72,'Employee Numbers'!$A$3:$B$84,2,FALSE),"NOT FOUND")</f>
        <v>703911</v>
      </c>
      <c r="F72" s="264" t="s">
        <v>42</v>
      </c>
      <c r="G72" s="264" t="s">
        <v>174</v>
      </c>
      <c r="H72" s="264"/>
      <c r="I72" s="264" t="s">
        <v>44</v>
      </c>
      <c r="J72" s="264" t="s">
        <v>42</v>
      </c>
      <c r="K72" s="264"/>
      <c r="L72" s="264"/>
      <c r="N72">
        <f t="array" ref="N72">((SUM(IFERROR((TEXT(IF(ISNUMBER(SEARCH("-", F72:L72)), MID(F72:L72, SEARCH("-", F72:L72) + 1, 4), ""), "00\:00") - TEXT(IF(ISNUMBER(SEARCH("-", F72:L72)), MID(F72:L72, SEARCH("-", F72:L72) - 4, 4), ""), "00\:00") + IF(TEXT(IF(ISNUMBER(SEARCH("-", F72:L72)), MID(F72:L72, SEARCH("-", F72:L72) + 1, 4), ""), "00\:00") &lt; TEXT(IF(ISNUMBER(SEARCH("-", F72:L72)), MID(F72:L72, SEARCH("-", F72:L72) - 4, 4), ""), "00\:00"), 1, 0))*24,""))))/9.5</f>
        <v>4</v>
      </c>
      <c r="O72"/>
      <c r="P72"/>
      <c r="Q72" s="2">
        <f t="shared" si="21"/>
        <v>4</v>
      </c>
      <c r="R72" s="2">
        <f t="shared" si="22"/>
        <v>5</v>
      </c>
      <c r="S72">
        <f t="shared" ca="1" si="23"/>
        <v>7.9999999999999991</v>
      </c>
      <c r="T72" s="2">
        <f>(IFERROR(VLOOKUP(D72,'Employee Numbers'!$A$3:$C$84,3,FALSE),"NOT FOUND"))*8</f>
        <v>0</v>
      </c>
    </row>
    <row r="73" spans="1:20" s="2" customFormat="1" ht="15" customHeight="1">
      <c r="A73" s="2" t="s">
        <v>98</v>
      </c>
      <c r="C73" s="21"/>
      <c r="D73" s="262" t="s">
        <v>114</v>
      </c>
      <c r="E73" s="285">
        <f>IFERROR(VLOOKUP(D73,'Employee Numbers'!$A$3:$B$84,2,FALSE),"NOT FOUND")</f>
        <v>633936</v>
      </c>
      <c r="F73" s="264"/>
      <c r="G73" s="264"/>
      <c r="H73" s="264"/>
      <c r="I73" s="264" t="s">
        <v>100</v>
      </c>
      <c r="J73" s="264" t="s">
        <v>100</v>
      </c>
      <c r="K73" s="264" t="s">
        <v>100</v>
      </c>
      <c r="L73" s="264" t="s">
        <v>100</v>
      </c>
      <c r="N73">
        <f t="array" ref="N73">((SUM(IFERROR((TEXT(IF(ISNUMBER(SEARCH("-", F73:L73)), MID(F73:L73, SEARCH("-", F73:L73) + 1, 4), ""), "00\:00") - TEXT(IF(ISNUMBER(SEARCH("-", F73:L73)), MID(F73:L73, SEARCH("-", F73:L73) - 4, 4), ""), "00\:00") + IF(TEXT(IF(ISNUMBER(SEARCH("-", F73:L73)), MID(F73:L73, SEARCH("-", F73:L73) + 1, 4), ""), "00\:00") &lt; TEXT(IF(ISNUMBER(SEARCH("-", F73:L73)), MID(F73:L73, SEARCH("-", F73:L73) - 4, 4), ""), "00\:00"), 1, 0))*24,""))))/9.5</f>
        <v>3.9999999999999991</v>
      </c>
      <c r="O73"/>
      <c r="P73"/>
      <c r="Q73" s="2">
        <f t="shared" si="21"/>
        <v>3.9999999999999991</v>
      </c>
      <c r="R73" s="2">
        <f t="shared" si="22"/>
        <v>5</v>
      </c>
      <c r="S73">
        <f t="shared" ca="1" si="23"/>
        <v>7.9999999999999991</v>
      </c>
      <c r="T73" s="2">
        <f>(IFERROR(VLOOKUP(D73,'Employee Numbers'!$A$3:$C$84,3,FALSE),"NOT FOUND"))*8</f>
        <v>0</v>
      </c>
    </row>
    <row r="74" spans="1:20" s="2" customFormat="1" ht="15" customHeight="1">
      <c r="A74" s="44" t="s">
        <v>98</v>
      </c>
      <c r="B74" s="44"/>
      <c r="C74" s="45"/>
      <c r="D74" s="262" t="s">
        <v>115</v>
      </c>
      <c r="E74" s="285">
        <f>IFERROR(VLOOKUP(D74,'Employee Numbers'!$A$3:$B$84,2,FALSE),"NOT FOUND")</f>
        <v>700755</v>
      </c>
      <c r="F74" s="264"/>
      <c r="G74" s="264"/>
      <c r="H74" s="264"/>
      <c r="I74" s="264" t="s">
        <v>42</v>
      </c>
      <c r="J74" s="264" t="s">
        <v>100</v>
      </c>
      <c r="K74" s="264" t="s">
        <v>100</v>
      </c>
      <c r="L74" s="264" t="s">
        <v>100</v>
      </c>
      <c r="N74">
        <f t="array" ref="N74">((SUM(IFERROR((TEXT(IF(ISNUMBER(SEARCH("-", F74:L74)), MID(F74:L74, SEARCH("-", F74:L74) + 1, 4), ""), "00\:00") - TEXT(IF(ISNUMBER(SEARCH("-", F74:L74)), MID(F74:L74, SEARCH("-", F74:L74) - 4, 4), ""), "00\:00") + IF(TEXT(IF(ISNUMBER(SEARCH("-", F74:L74)), MID(F74:L74, SEARCH("-", F74:L74) + 1, 4), ""), "00\:00") &lt; TEXT(IF(ISNUMBER(SEARCH("-", F74:L74)), MID(F74:L74, SEARCH("-", F74:L74) - 4, 4), ""), "00\:00"), 1, 0))*24,""))))/9.5</f>
        <v>4</v>
      </c>
      <c r="O74"/>
      <c r="P74"/>
      <c r="Q74" s="2">
        <f t="shared" si="21"/>
        <v>4</v>
      </c>
      <c r="R74" s="2">
        <f t="shared" si="22"/>
        <v>5</v>
      </c>
      <c r="S74">
        <f t="shared" ca="1" si="23"/>
        <v>6</v>
      </c>
      <c r="T74" s="2">
        <f>(IFERROR(VLOOKUP(D74,'Employee Numbers'!$A$3:$C$84,3,FALSE),"NOT FOUND"))*8</f>
        <v>0</v>
      </c>
    </row>
    <row r="75" spans="1:20" s="2" customFormat="1" ht="15" customHeight="1">
      <c r="A75" s="2" t="s">
        <v>98</v>
      </c>
      <c r="C75" s="21"/>
      <c r="D75" s="262" t="s">
        <v>116</v>
      </c>
      <c r="E75" s="285">
        <f>IFERROR(VLOOKUP(D75,'Employee Numbers'!$A$3:$B$84,2,FALSE),"NOT FOUND")</f>
        <v>704872</v>
      </c>
      <c r="F75" s="279"/>
      <c r="G75" s="279" t="s">
        <v>44</v>
      </c>
      <c r="H75" s="279" t="s">
        <v>42</v>
      </c>
      <c r="I75" s="279" t="s">
        <v>42</v>
      </c>
      <c r="J75" s="279" t="s">
        <v>42</v>
      </c>
      <c r="K75" s="279"/>
      <c r="L75" s="279"/>
      <c r="N75">
        <f t="array" ref="N75">((SUM(IFERROR((TEXT(IF(ISNUMBER(SEARCH("-", F75:L75)), MID(F75:L75, SEARCH("-", F75:L75) + 1, 4), ""), "00\:00") - TEXT(IF(ISNUMBER(SEARCH("-", F75:L75)), MID(F75:L75, SEARCH("-", F75:L75) - 4, 4), ""), "00\:00") + IF(TEXT(IF(ISNUMBER(SEARCH("-", F75:L75)), MID(F75:L75, SEARCH("-", F75:L75) + 1, 4), ""), "00\:00") &lt; TEXT(IF(ISNUMBER(SEARCH("-", F75:L75)), MID(F75:L75, SEARCH("-", F75:L75) - 4, 4), ""), "00\:00"), 1, 0))*24,""))))/9.5</f>
        <v>4</v>
      </c>
      <c r="O75"/>
      <c r="P75"/>
      <c r="Q75" s="2">
        <f t="shared" si="21"/>
        <v>4</v>
      </c>
      <c r="R75" s="2">
        <f t="shared" si="22"/>
        <v>5</v>
      </c>
      <c r="S75">
        <f t="shared" ca="1" si="23"/>
        <v>8</v>
      </c>
      <c r="T75" s="2">
        <f>(IFERROR(VLOOKUP(D75,'Employee Numbers'!$A$3:$C$84,3,FALSE),"NOT FOUND"))*8</f>
        <v>0</v>
      </c>
    </row>
    <row r="76" spans="1:20" s="2" customFormat="1" ht="15" customHeight="1">
      <c r="A76" s="44" t="s">
        <v>98</v>
      </c>
      <c r="B76" s="44"/>
      <c r="C76" s="45"/>
      <c r="D76" s="262" t="s">
        <v>117</v>
      </c>
      <c r="E76" s="285">
        <f>IFERROR(VLOOKUP(D76,'Employee Numbers'!$A$3:$B$84,2,FALSE),"NOT FOUND")</f>
        <v>700712</v>
      </c>
      <c r="F76" s="264" t="s">
        <v>100</v>
      </c>
      <c r="G76" s="264" t="s">
        <v>100</v>
      </c>
      <c r="H76" s="264" t="s">
        <v>100</v>
      </c>
      <c r="I76" s="264" t="s">
        <v>100</v>
      </c>
      <c r="J76" s="264"/>
      <c r="K76" s="264"/>
      <c r="L76" s="264"/>
      <c r="N76">
        <f t="array" ref="N76">((SUM(IFERROR((TEXT(IF(ISNUMBER(SEARCH("-", F76:L76)), MID(F76:L76, SEARCH("-", F76:L76) + 1, 4), ""), "00\:00") - TEXT(IF(ISNUMBER(SEARCH("-", F76:L76)), MID(F76:L76, SEARCH("-", F76:L76) - 4, 4), ""), "00\:00") + IF(TEXT(IF(ISNUMBER(SEARCH("-", F76:L76)), MID(F76:L76, SEARCH("-", F76:L76) + 1, 4), ""), "00\:00") &lt; TEXT(IF(ISNUMBER(SEARCH("-", F76:L76)), MID(F76:L76, SEARCH("-", F76:L76) - 4, 4), ""), "00\:00"), 1, 0))*24,""))))/9.5</f>
        <v>3.9999999999999991</v>
      </c>
      <c r="O76"/>
      <c r="P76"/>
      <c r="Q76" s="2">
        <f t="shared" si="21"/>
        <v>3.9999999999999991</v>
      </c>
      <c r="R76" s="2">
        <f t="shared" si="22"/>
        <v>5</v>
      </c>
      <c r="S76">
        <f t="shared" ca="1" si="23"/>
        <v>7.9999999999999991</v>
      </c>
      <c r="T76" s="2">
        <f>(IFERROR(VLOOKUP(D76,'Employee Numbers'!$A$3:$C$84,3,FALSE),"NOT FOUND"))*8</f>
        <v>0</v>
      </c>
    </row>
    <row r="77" spans="1:20" s="2" customFormat="1" ht="15" customHeight="1">
      <c r="A77" s="2" t="s">
        <v>98</v>
      </c>
      <c r="C77" s="47"/>
      <c r="D77" s="262" t="s">
        <v>119</v>
      </c>
      <c r="E77" s="285">
        <f>IFERROR(VLOOKUP(D77,'Employee Numbers'!$A$3:$B$84,2,FALSE),"NOT FOUND")</f>
        <v>700818</v>
      </c>
      <c r="F77" s="264"/>
      <c r="G77" s="264" t="s">
        <v>44</v>
      </c>
      <c r="H77" s="264" t="s">
        <v>42</v>
      </c>
      <c r="I77" s="264" t="s">
        <v>42</v>
      </c>
      <c r="J77" s="264" t="s">
        <v>42</v>
      </c>
      <c r="K77" s="264"/>
      <c r="L77" s="264"/>
      <c r="N77">
        <f t="array" ref="N77">((SUM(IFERROR((TEXT(IF(ISNUMBER(SEARCH("-", F77:L77)), MID(F77:L77, SEARCH("-", F77:L77) + 1, 4), ""), "00\:00") - TEXT(IF(ISNUMBER(SEARCH("-", F77:L77)), MID(F77:L77, SEARCH("-", F77:L77) - 4, 4), ""), "00\:00") + IF(TEXT(IF(ISNUMBER(SEARCH("-", F77:L77)), MID(F77:L77, SEARCH("-", F77:L77) + 1, 4), ""), "00\:00") &lt; TEXT(IF(ISNUMBER(SEARCH("-", F77:L77)), MID(F77:L77, SEARCH("-", F77:L77) - 4, 4), ""), "00\:00"), 1, 0))*24,""))))/9.5</f>
        <v>4</v>
      </c>
      <c r="O77"/>
      <c r="P77"/>
      <c r="Q77" s="2">
        <f t="shared" si="21"/>
        <v>4</v>
      </c>
      <c r="R77" s="2">
        <f t="shared" si="22"/>
        <v>5</v>
      </c>
      <c r="S77">
        <f t="shared" ca="1" si="23"/>
        <v>8</v>
      </c>
      <c r="T77" s="2">
        <f>(IFERROR(VLOOKUP(D77,'Employee Numbers'!$A$3:$C$84,3,FALSE),"NOT FOUND"))*8</f>
        <v>0</v>
      </c>
    </row>
    <row r="78" spans="1:20" s="2" customFormat="1" ht="15" customHeight="1">
      <c r="A78" s="44" t="s">
        <v>98</v>
      </c>
      <c r="B78" s="44"/>
      <c r="C78" s="45"/>
      <c r="D78" s="262" t="s">
        <v>120</v>
      </c>
      <c r="E78" s="285">
        <f>IFERROR(VLOOKUP(D78,'Employee Numbers'!$A$3:$B$84,2,FALSE),"NOT FOUND")</f>
        <v>650101</v>
      </c>
      <c r="F78" s="264"/>
      <c r="G78" s="264"/>
      <c r="H78" s="264"/>
      <c r="I78" s="264"/>
      <c r="J78" s="264"/>
      <c r="K78" s="264"/>
      <c r="L78" s="264"/>
      <c r="N78">
        <f t="array" ref="N78">((SUM(IFERROR((TEXT(IF(ISNUMBER(SEARCH("-", F78:L78)), MID(F78:L78, SEARCH("-", F78:L78) + 1, 4), ""), "00\:00") - TEXT(IF(ISNUMBER(SEARCH("-", F78:L78)), MID(F78:L78, SEARCH("-", F78:L78) - 4, 4), ""), "00\:00") + IF(TEXT(IF(ISNUMBER(SEARCH("-", F78:L78)), MID(F78:L78, SEARCH("-", F78:L78) + 1, 4), ""), "00\:00") &lt; TEXT(IF(ISNUMBER(SEARCH("-", F78:L78)), MID(F78:L78, SEARCH("-", F78:L78) - 4, 4), ""), "00\:00"), 1, 0))*24,""))))/9.5</f>
        <v>0</v>
      </c>
      <c r="O78"/>
      <c r="P78"/>
      <c r="Q78" s="2">
        <f t="shared" si="21"/>
        <v>0</v>
      </c>
      <c r="R78" s="2">
        <f t="shared" si="22"/>
        <v>2.5</v>
      </c>
      <c r="S78">
        <f t="shared" ca="1" si="23"/>
        <v>4</v>
      </c>
      <c r="T78" s="2">
        <f>(IFERROR(VLOOKUP(D78,'Employee Numbers'!$A$3:$C$84,3,FALSE),"NOT FOUND"))*8</f>
        <v>0</v>
      </c>
    </row>
    <row r="79" spans="1:20" s="2" customFormat="1" ht="15" customHeight="1">
      <c r="A79" s="2" t="s">
        <v>98</v>
      </c>
      <c r="C79" s="21"/>
      <c r="D79" s="262" t="s">
        <v>122</v>
      </c>
      <c r="E79" s="285">
        <f>IFERROR(VLOOKUP(D79,'Employee Numbers'!$A$3:$B$84,2,FALSE),"NOT FOUND")</f>
        <v>654888</v>
      </c>
      <c r="F79" s="264" t="s">
        <v>100</v>
      </c>
      <c r="G79" s="264" t="s">
        <v>100</v>
      </c>
      <c r="H79" s="264" t="s">
        <v>100</v>
      </c>
      <c r="I79" s="264" t="s">
        <v>100</v>
      </c>
      <c r="J79" s="264"/>
      <c r="K79" s="264"/>
      <c r="L79" s="264"/>
      <c r="N79">
        <f t="array" ref="N79">((SUM(IFERROR((TEXT(IF(ISNUMBER(SEARCH("-", F79:L79)), MID(F79:L79, SEARCH("-", F79:L79) + 1, 4), ""), "00\:00") - TEXT(IF(ISNUMBER(SEARCH("-", F79:L79)), MID(F79:L79, SEARCH("-", F79:L79) - 4, 4), ""), "00\:00") + IF(TEXT(IF(ISNUMBER(SEARCH("-", F79:L79)), MID(F79:L79, SEARCH("-", F79:L79) + 1, 4), ""), "00\:00") &lt; TEXT(IF(ISNUMBER(SEARCH("-", F79:L79)), MID(F79:L79, SEARCH("-", F79:L79) - 4, 4), ""), "00\:00"), 1, 0))*24,""))))/9.5</f>
        <v>3.9999999999999991</v>
      </c>
      <c r="O79"/>
      <c r="P79"/>
      <c r="Q79" s="2">
        <f t="shared" si="21"/>
        <v>3.9999999999999991</v>
      </c>
      <c r="R79" s="2">
        <f t="shared" si="22"/>
        <v>5</v>
      </c>
      <c r="S79">
        <f t="shared" ca="1" si="23"/>
        <v>7.9999999999999991</v>
      </c>
      <c r="T79" s="2">
        <f>(IFERROR(VLOOKUP(D79,'Employee Numbers'!$A$3:$C$84,3,FALSE),"NOT FOUND"))*8</f>
        <v>0</v>
      </c>
    </row>
    <row r="80" spans="1:20" s="2" customFormat="1" ht="15" customHeight="1">
      <c r="A80" s="44" t="s">
        <v>98</v>
      </c>
      <c r="B80" s="44"/>
      <c r="C80" s="45"/>
      <c r="D80" s="262" t="s">
        <v>123</v>
      </c>
      <c r="E80" s="285">
        <f>IFERROR(VLOOKUP(D80,'Employee Numbers'!$A$3:$B$84,2,FALSE),"NOT FOUND")</f>
        <v>703880</v>
      </c>
      <c r="F80" s="264" t="s">
        <v>100</v>
      </c>
      <c r="G80" s="264"/>
      <c r="H80" s="264"/>
      <c r="I80" s="264"/>
      <c r="J80" s="264"/>
      <c r="K80" s="264" t="s">
        <v>42</v>
      </c>
      <c r="L80" s="264" t="s">
        <v>42</v>
      </c>
      <c r="N80">
        <f t="array" ref="N80">((SUM(IFERROR((TEXT(IF(ISNUMBER(SEARCH("-", F80:L80)), MID(F80:L80, SEARCH("-", F80:L80) + 1, 4), ""), "00\:00") - TEXT(IF(ISNUMBER(SEARCH("-", F80:L80)), MID(F80:L80, SEARCH("-", F80:L80) - 4, 4), ""), "00\:00") + IF(TEXT(IF(ISNUMBER(SEARCH("-", F80:L80)), MID(F80:L80, SEARCH("-", F80:L80) + 1, 4), ""), "00\:00") &lt; TEXT(IF(ISNUMBER(SEARCH("-", F80:L80)), MID(F80:L80, SEARCH("-", F80:L80) - 4, 4), ""), "00\:00"), 1, 0))*24,""))))/9.5</f>
        <v>3</v>
      </c>
      <c r="O80"/>
      <c r="P80"/>
      <c r="Q80" s="2">
        <f t="shared" si="21"/>
        <v>3</v>
      </c>
      <c r="R80" s="2">
        <f t="shared" si="22"/>
        <v>5</v>
      </c>
      <c r="S80">
        <f t="shared" ca="1" si="23"/>
        <v>8</v>
      </c>
      <c r="T80" s="2">
        <f>(IFERROR(VLOOKUP(D80,'Employee Numbers'!$A$3:$C$84,3,FALSE),"NOT FOUND"))*8</f>
        <v>0</v>
      </c>
    </row>
    <row r="81" spans="1:21" s="13" customFormat="1" ht="15" customHeight="1">
      <c r="A81" s="2" t="s">
        <v>98</v>
      </c>
      <c r="B81" s="2"/>
      <c r="C81" s="21"/>
      <c r="D81" s="262" t="s">
        <v>124</v>
      </c>
      <c r="E81" s="285">
        <f>IFERROR(VLOOKUP(D81,'Employee Numbers'!$A$3:$B$84,2,FALSE),"NOT FOUND")</f>
        <v>703334</v>
      </c>
      <c r="F81" s="274" t="s">
        <v>176</v>
      </c>
      <c r="G81" s="274"/>
      <c r="H81" s="274"/>
      <c r="I81" s="274"/>
      <c r="J81" s="274"/>
      <c r="K81" s="274"/>
      <c r="L81" s="274"/>
      <c r="N81">
        <f t="array" ref="N81">((SUM(IFERROR((TEXT(IF(ISNUMBER(SEARCH("-", F81:L81)), MID(F81:L81, SEARCH("-", F81:L81) + 1, 4), ""), "00\:00") - TEXT(IF(ISNUMBER(SEARCH("-", F81:L81)), MID(F81:L81, SEARCH("-", F81:L81) - 4, 4), ""), "00\:00") + IF(TEXT(IF(ISNUMBER(SEARCH("-", F81:L81)), MID(F81:L81, SEARCH("-", F81:L81) + 1, 4), ""), "00\:00") &lt; TEXT(IF(ISNUMBER(SEARCH("-", F81:L81)), MID(F81:L81, SEARCH("-", F81:L81) - 4, 4), ""), "00\:00"), 1, 0))*24,""))))/9.5</f>
        <v>0</v>
      </c>
      <c r="O81"/>
      <c r="P81"/>
      <c r="Q81" s="2">
        <f>P81+O81+N81</f>
        <v>0</v>
      </c>
      <c r="R81" s="2">
        <f>IF(ISNUMBER(SEARCH("trg_5",H173)),5,IF(ISNUMBER(SEARCH("trg_3.75",H173)),3.75,IF(ISNUMBER(SEARCH("trg_2.5",H173)),2.5,IF(ISNUMBER(SEARCH("trg_1.75",H173)),1.75,0))))</f>
        <v>0</v>
      </c>
      <c r="S81">
        <f t="shared" ca="1" si="23"/>
        <v>4</v>
      </c>
      <c r="T81" s="2">
        <f>(IFERROR(VLOOKUP(D81,'Employee Numbers'!$A$3:$C$84,3,FALSE),"NOT FOUND"))*8</f>
        <v>0</v>
      </c>
      <c r="U81" s="2"/>
    </row>
    <row r="82" spans="1:21" s="2" customFormat="1" ht="15" customHeight="1">
      <c r="A82" s="44" t="s">
        <v>98</v>
      </c>
      <c r="B82" s="44"/>
      <c r="C82" s="45"/>
      <c r="D82" s="262" t="s">
        <v>125</v>
      </c>
      <c r="E82" s="285">
        <f>IFERROR(VLOOKUP(D82,'Employee Numbers'!$A$3:$B$84,2,FALSE),"NOT FOUND")</f>
        <v>700538</v>
      </c>
      <c r="F82" s="264" t="s">
        <v>42</v>
      </c>
      <c r="G82" s="264"/>
      <c r="H82" s="264"/>
      <c r="I82" s="264"/>
      <c r="J82" s="264"/>
      <c r="K82" s="264" t="s">
        <v>42</v>
      </c>
      <c r="L82" s="264" t="s">
        <v>42</v>
      </c>
      <c r="N82">
        <f t="array" ref="N82">((SUM(IFERROR((TEXT(IF(ISNUMBER(SEARCH("-", F82:L82)), MID(F82:L82, SEARCH("-", F82:L82) + 1, 4), ""), "00\:00") - TEXT(IF(ISNUMBER(SEARCH("-", F82:L82)), MID(F82:L82, SEARCH("-", F82:L82) - 4, 4), ""), "00\:00") + IF(TEXT(IF(ISNUMBER(SEARCH("-", F82:L82)), MID(F82:L82, SEARCH("-", F82:L82) + 1, 4), ""), "00\:00") &lt; TEXT(IF(ISNUMBER(SEARCH("-", F82:L82)), MID(F82:L82, SEARCH("-", F82:L82) - 4, 4), ""), "00\:00"), 1, 0))*24,""))))/9.5</f>
        <v>3</v>
      </c>
      <c r="O82"/>
      <c r="P82"/>
      <c r="Q82" s="2">
        <f>P82+O82+N82</f>
        <v>3</v>
      </c>
      <c r="R82" s="2">
        <f>IF(ISNUMBER(SEARCH("trg_5",H174)),5,IF(ISNUMBER(SEARCH("trg_3.75",H174)),3.75,IF(ISNUMBER(SEARCH("trg_2.5",H174)),2.5,IF(ISNUMBER(SEARCH("trg_1.75",H174)),1.75,0))))</f>
        <v>3.75</v>
      </c>
      <c r="S82">
        <f t="shared" ca="1" si="23"/>
        <v>6</v>
      </c>
      <c r="T82" s="2">
        <f>(IFERROR(VLOOKUP(D82,'Employee Numbers'!$A$3:$C$84,3,FALSE),"NOT FOUND"))*8</f>
        <v>0</v>
      </c>
    </row>
    <row r="83" spans="1:21" s="2" customFormat="1" ht="15" customHeight="1">
      <c r="A83" s="2" t="s">
        <v>98</v>
      </c>
      <c r="C83" s="21"/>
      <c r="D83" s="262" t="s">
        <v>126</v>
      </c>
      <c r="E83" s="285">
        <f>IFERROR(VLOOKUP(D83,'Employee Numbers'!$A$3:$B$84,2,FALSE),"NOT FOUND")</f>
        <v>704862</v>
      </c>
      <c r="F83" s="264" t="s">
        <v>42</v>
      </c>
      <c r="G83" s="264" t="s">
        <v>42</v>
      </c>
      <c r="H83" s="264" t="s">
        <v>42</v>
      </c>
      <c r="I83" s="264" t="s">
        <v>42</v>
      </c>
      <c r="J83" s="264"/>
      <c r="K83" s="264"/>
      <c r="L83" s="264"/>
      <c r="N83">
        <f t="array" ref="N83">((SUM(IFERROR((TEXT(IF(ISNUMBER(SEARCH("-", F83:L83)), MID(F83:L83, SEARCH("-", F83:L83) + 1, 4), ""), "00\:00") - TEXT(IF(ISNUMBER(SEARCH("-", F83:L83)), MID(F83:L83, SEARCH("-", F83:L83) - 4, 4), ""), "00\:00") + IF(TEXT(IF(ISNUMBER(SEARCH("-", F83:L83)), MID(F83:L83, SEARCH("-", F83:L83) + 1, 4), ""), "00\:00") &lt; TEXT(IF(ISNUMBER(SEARCH("-", F83:L83)), MID(F83:L83, SEARCH("-", F83:L83) - 4, 4), ""), "00\:00"), 1, 0))*24,""))))/9.5</f>
        <v>4</v>
      </c>
      <c r="O83"/>
      <c r="P83"/>
      <c r="Q83" s="2">
        <f>P83+O83+N83</f>
        <v>4</v>
      </c>
      <c r="R83" s="2">
        <f>IF(ISNUMBER(SEARCH("trg_5",H175)),5,IF(ISNUMBER(SEARCH("trg_3.75",H175)),3.75,IF(ISNUMBER(SEARCH("trg_2.5",H175)),2.5,IF(ISNUMBER(SEARCH("trg_1.75",H175)),1.75,0))))</f>
        <v>2.5</v>
      </c>
      <c r="S83">
        <f t="shared" ca="1" si="23"/>
        <v>4</v>
      </c>
      <c r="T83" s="2">
        <f>(IFERROR(VLOOKUP(D83,'Employee Numbers'!$A$3:$C$84,3,FALSE),"NOT FOUND"))*8</f>
        <v>0</v>
      </c>
    </row>
    <row r="84" spans="1:21" s="2" customFormat="1" ht="15" customHeight="1">
      <c r="A84" s="44" t="s">
        <v>98</v>
      </c>
      <c r="B84" s="44"/>
      <c r="C84" s="45"/>
      <c r="D84" s="128"/>
      <c r="E84" s="129" t="str">
        <f>IFERROR(VLOOKUP(D84,'Employee Numbers'!$A$3:$B$84,2,FALSE),"NOT FOUND")</f>
        <v>NOT FOUND</v>
      </c>
      <c r="F84" s="151"/>
      <c r="G84" s="151"/>
      <c r="H84" s="151"/>
      <c r="I84" s="151"/>
      <c r="J84" s="151"/>
      <c r="K84" s="151"/>
      <c r="L84" s="151"/>
      <c r="N84">
        <f t="array" ref="N84">((SUM(IFERROR((TEXT(IF(ISNUMBER(SEARCH("-", F84:L84)), MID(F84:L84, SEARCH("-", F84:L84) + 1, 4), ""), "00\:00") - TEXT(IF(ISNUMBER(SEARCH("-", F84:L84)), MID(F84:L84, SEARCH("-", F84:L84) - 4, 4), ""), "00\:00") + IF(TEXT(IF(ISNUMBER(SEARCH("-", F84:L84)), MID(F84:L84, SEARCH("-", F84:L84) + 1, 4), ""), "00\:00") &lt; TEXT(IF(ISNUMBER(SEARCH("-", F84:L84)), MID(F84:L84, SEARCH("-", F84:L84) - 4, 4), ""), "00\:00"), 1, 0))*24,""))))/9.5</f>
        <v>0</v>
      </c>
      <c r="O84"/>
      <c r="P84"/>
      <c r="Q84" s="2">
        <f>P84+O84+N84</f>
        <v>0</v>
      </c>
      <c r="R84" s="2">
        <f>IF(ISNUMBER(SEARCH("trg_5",H176)),5,IF(ISNUMBER(SEARCH("trg_3.75",H176)),3.75,IF(ISNUMBER(SEARCH("trg_2.5",H176)),2.5,IF(ISNUMBER(SEARCH("trg_1.75",H176)),1.75,0))))</f>
        <v>5</v>
      </c>
      <c r="S84">
        <f t="shared" ca="1" si="23"/>
        <v>0</v>
      </c>
      <c r="T84" s="2" t="e">
        <f>(IFERROR(VLOOKUP(D84,'Employee Numbers'!$A$3:$C$84,3,FALSE),"NOT FOUND"))*8</f>
        <v>#VALUE!</v>
      </c>
    </row>
    <row r="85" spans="1:21" s="2" customFormat="1" ht="15" customHeight="1">
      <c r="A85" s="137" t="s">
        <v>128</v>
      </c>
      <c r="B85" s="138"/>
      <c r="C85" s="139"/>
      <c r="D85" s="140" t="s">
        <v>128</v>
      </c>
      <c r="E85" s="141" t="s">
        <v>4</v>
      </c>
      <c r="F85" s="281" t="s">
        <v>5</v>
      </c>
      <c r="G85" s="281" t="s">
        <v>6</v>
      </c>
      <c r="H85" s="281" t="s">
        <v>7</v>
      </c>
      <c r="I85" s="281" t="s">
        <v>8</v>
      </c>
      <c r="J85" s="281" t="s">
        <v>9</v>
      </c>
      <c r="K85" s="281" t="s">
        <v>10</v>
      </c>
      <c r="L85" s="282" t="s">
        <v>11</v>
      </c>
      <c r="M85" s="34"/>
      <c r="N85"/>
      <c r="O85"/>
      <c r="P85"/>
    </row>
    <row r="86" spans="1:21" s="2" customFormat="1" ht="15" customHeight="1">
      <c r="A86" s="44" t="s">
        <v>129</v>
      </c>
      <c r="B86" s="44"/>
      <c r="C86" s="45"/>
      <c r="D86" s="263" t="s">
        <v>130</v>
      </c>
      <c r="E86" s="284">
        <f>IFERROR(VLOOKUP(D86,'Employee Numbers'!$A$3:$B$84,2,FALSE),"NOT FOUND")</f>
        <v>703066</v>
      </c>
      <c r="F86" s="264" t="s">
        <v>44</v>
      </c>
      <c r="G86" s="264"/>
      <c r="H86" s="264"/>
      <c r="I86" s="264"/>
      <c r="J86" s="264" t="s">
        <v>44</v>
      </c>
      <c r="K86" s="264" t="s">
        <v>44</v>
      </c>
      <c r="L86" s="264" t="s">
        <v>44</v>
      </c>
      <c r="N86">
        <f t="array" ref="N86">((SUM(IFERROR((TEXT(IF(ISNUMBER(SEARCH("-", F86:L86)), MID(F86:L86, SEARCH("-", F86:L86) + 1, 4), ""), "00\:00") - TEXT(IF(ISNUMBER(SEARCH("-", F86:L86)), MID(F86:L86, SEARCH("-", F86:L86) - 4, 4), ""), "00\:00") + IF(TEXT(IF(ISNUMBER(SEARCH("-", F86:L86)), MID(F86:L86, SEARCH("-", F86:L86) + 1, 4), ""), "00\:00") &lt; TEXT(IF(ISNUMBER(SEARCH("-", F86:L86)), MID(F86:L86, SEARCH("-", F86:L86) - 4, 4), ""), "00\:00"), 1, 0))*24,""))))/9.5</f>
        <v>4</v>
      </c>
      <c r="O86"/>
      <c r="P86"/>
      <c r="Q86" s="2">
        <f>P86+O86+N86</f>
        <v>4</v>
      </c>
      <c r="S86">
        <f t="shared" ref="S86:S99" ca="1" si="24">IF($C$4=1,SUM(Q86+INDIRECT("'Week "&amp;($B$3+1)&amp;"'!Q"&amp;(ROW()))),IF($C$4=2,SUM(Q86+INDIRECT("'Week "&amp;($B$3-1)&amp;"'!Q"&amp;(ROW())))))</f>
        <v>7.9999999999999991</v>
      </c>
      <c r="T86" s="2" t="e">
        <f>(IFERROR(VLOOKUP(D86,'Employee Numbers'!$A$3:$C$84,3,FALSE),"NOT FOUND"))*8</f>
        <v>#VALUE!</v>
      </c>
    </row>
    <row r="87" spans="1:21" s="2" customFormat="1" ht="15" customHeight="1">
      <c r="A87" s="2" t="s">
        <v>129</v>
      </c>
      <c r="C87" s="21"/>
      <c r="D87" s="263" t="s">
        <v>131</v>
      </c>
      <c r="E87" s="285">
        <f>IFERROR(VLOOKUP(D87,'Employee Numbers'!$A$3:$B$84,2,FALSE),"NOT FOUND")</f>
        <v>648637</v>
      </c>
      <c r="F87" s="264" t="s">
        <v>42</v>
      </c>
      <c r="G87" s="264"/>
      <c r="H87" s="264" t="s">
        <v>44</v>
      </c>
      <c r="I87" s="264"/>
      <c r="J87" s="264"/>
      <c r="K87" s="264" t="s">
        <v>42</v>
      </c>
      <c r="L87" s="264" t="s">
        <v>42</v>
      </c>
      <c r="N87">
        <f t="array" ref="N87">((SUM(IFERROR((TEXT(IF(ISNUMBER(SEARCH("-", F87:L87)), MID(F87:L87, SEARCH("-", F87:L87) + 1, 4), ""), "00\:00") - TEXT(IF(ISNUMBER(SEARCH("-", F87:L87)), MID(F87:L87, SEARCH("-", F87:L87) - 4, 4), ""), "00\:00") + IF(TEXT(IF(ISNUMBER(SEARCH("-", F87:L87)), MID(F87:L87, SEARCH("-", F87:L87) + 1, 4), ""), "00\:00") &lt; TEXT(IF(ISNUMBER(SEARCH("-", F87:L87)), MID(F87:L87, SEARCH("-", F87:L87) - 4, 4), ""), "00\:00"), 1, 0))*24,""))))/9.5</f>
        <v>4</v>
      </c>
      <c r="O87"/>
      <c r="P87"/>
      <c r="Q87" s="2">
        <f t="shared" ref="Q87:Q96" si="25">P87+O87+N87</f>
        <v>4</v>
      </c>
      <c r="S87">
        <f t="shared" ca="1" si="24"/>
        <v>8</v>
      </c>
      <c r="T87" s="2" t="e">
        <f>(IFERROR(VLOOKUP(D87,'Employee Numbers'!$A$3:$C$84,3,FALSE),"NOT FOUND"))*8</f>
        <v>#VALUE!</v>
      </c>
    </row>
    <row r="88" spans="1:21" s="13" customFormat="1" ht="15" customHeight="1">
      <c r="A88" s="44" t="s">
        <v>129</v>
      </c>
      <c r="B88" s="44"/>
      <c r="C88" s="45"/>
      <c r="D88" s="263" t="s">
        <v>132</v>
      </c>
      <c r="E88" s="285">
        <f>IFERROR(VLOOKUP(D88,'Employee Numbers'!$A$3:$B$84,2,FALSE),"NOT FOUND")</f>
        <v>703161</v>
      </c>
      <c r="F88" s="80" t="s">
        <v>177</v>
      </c>
      <c r="G88" s="80" t="s">
        <v>177</v>
      </c>
      <c r="H88" s="80"/>
      <c r="I88" s="80" t="s">
        <v>177</v>
      </c>
      <c r="J88" s="80" t="s">
        <v>177</v>
      </c>
      <c r="K88" s="264"/>
      <c r="L88" s="264"/>
      <c r="M88" s="2"/>
      <c r="N88">
        <f t="array" ref="N88">((SUM(IFERROR((TEXT(IF(ISNUMBER(SEARCH("-", F88:L88)), MID(F88:L88, SEARCH("-", F88:L88) + 1, 4), ""), "00\:00") - TEXT(IF(ISNUMBER(SEARCH("-", F88:L88)), MID(F88:L88, SEARCH("-", F88:L88) - 4, 4), ""), "00\:00") + IF(TEXT(IF(ISNUMBER(SEARCH("-", F88:L88)), MID(F88:L88, SEARCH("-", F88:L88) + 1, 4), ""), "00\:00") &lt; TEXT(IF(ISNUMBER(SEARCH("-", F88:L88)), MID(F88:L88, SEARCH("-", F88:L88) - 4, 4), ""), "00\:00"), 1, 0))*24,""))))/9.5</f>
        <v>0</v>
      </c>
      <c r="O88"/>
      <c r="P88"/>
      <c r="Q88" s="2">
        <f t="shared" si="25"/>
        <v>0</v>
      </c>
      <c r="R88" s="2"/>
      <c r="S88">
        <f t="shared" ca="1" si="24"/>
        <v>3.9999999999999991</v>
      </c>
      <c r="T88" s="2" t="e">
        <f>(IFERROR(VLOOKUP(D88,'Employee Numbers'!$A$3:$C$84,3,FALSE),"NOT FOUND"))*8</f>
        <v>#VALUE!</v>
      </c>
      <c r="U88" s="2"/>
    </row>
    <row r="89" spans="1:21" s="2" customFormat="1" ht="15" customHeight="1">
      <c r="A89" s="2" t="s">
        <v>129</v>
      </c>
      <c r="C89" s="21"/>
      <c r="D89" s="263" t="s">
        <v>133</v>
      </c>
      <c r="E89" s="285">
        <f>IFERROR(VLOOKUP(D89,'Employee Numbers'!$A$3:$B$84,2,FALSE),"NOT FOUND")</f>
        <v>655179</v>
      </c>
      <c r="F89" s="264"/>
      <c r="G89" s="264"/>
      <c r="H89" s="264"/>
      <c r="I89" s="264"/>
      <c r="J89" s="264"/>
      <c r="K89" s="264"/>
      <c r="L89" s="264"/>
      <c r="N89">
        <f t="array" ref="N89">((SUM(IFERROR((TEXT(IF(ISNUMBER(SEARCH("-", F89:L89)), MID(F89:L89, SEARCH("-", F89:L89) + 1, 4), ""), "00\:00") - TEXT(IF(ISNUMBER(SEARCH("-", F89:L89)), MID(F89:L89, SEARCH("-", F89:L89) - 4, 4), ""), "00\:00") + IF(TEXT(IF(ISNUMBER(SEARCH("-", F89:L89)), MID(F89:L89, SEARCH("-", F89:L89) + 1, 4), ""), "00\:00") &lt; TEXT(IF(ISNUMBER(SEARCH("-", F89:L89)), MID(F89:L89, SEARCH("-", F89:L89) - 4, 4), ""), "00\:00"), 1, 0))*24,""))))/9.5</f>
        <v>0</v>
      </c>
      <c r="O89"/>
      <c r="P89"/>
      <c r="Q89" s="2">
        <f t="shared" si="25"/>
        <v>0</v>
      </c>
      <c r="S89">
        <f t="shared" ca="1" si="24"/>
        <v>0</v>
      </c>
      <c r="T89" s="2" t="e">
        <f>(IFERROR(VLOOKUP(D89,'Employee Numbers'!$A$3:$C$84,3,FALSE),"NOT FOUND"))*8</f>
        <v>#VALUE!</v>
      </c>
    </row>
    <row r="90" spans="1:21" s="2" customFormat="1" ht="15" customHeight="1">
      <c r="A90" s="44" t="s">
        <v>129</v>
      </c>
      <c r="B90" s="44"/>
      <c r="C90" s="45"/>
      <c r="D90" s="263" t="s">
        <v>134</v>
      </c>
      <c r="E90" s="285">
        <f>IFERROR(VLOOKUP(D90,'Employee Numbers'!$A$3:$B$84,2,FALSE),"NOT FOUND")</f>
        <v>700812</v>
      </c>
      <c r="F90" s="264" t="s">
        <v>42</v>
      </c>
      <c r="G90" s="264" t="s">
        <v>42</v>
      </c>
      <c r="H90" s="264" t="s">
        <v>42</v>
      </c>
      <c r="I90" s="264"/>
      <c r="J90" s="264"/>
      <c r="K90" s="264"/>
      <c r="L90" s="264" t="s">
        <v>44</v>
      </c>
      <c r="N90">
        <f t="array" ref="N90">((SUM(IFERROR((TEXT(IF(ISNUMBER(SEARCH("-", F90:L90)), MID(F90:L90, SEARCH("-", F90:L90) + 1, 4), ""), "00\:00") - TEXT(IF(ISNUMBER(SEARCH("-", F90:L90)), MID(F90:L90, SEARCH("-", F90:L90) - 4, 4), ""), "00\:00") + IF(TEXT(IF(ISNUMBER(SEARCH("-", F90:L90)), MID(F90:L90, SEARCH("-", F90:L90) + 1, 4), ""), "00\:00") &lt; TEXT(IF(ISNUMBER(SEARCH("-", F90:L90)), MID(F90:L90, SEARCH("-", F90:L90) - 4, 4), ""), "00\:00"), 1, 0))*24,""))))/9.5</f>
        <v>4</v>
      </c>
      <c r="O90"/>
      <c r="P90"/>
      <c r="Q90" s="2">
        <f t="shared" si="25"/>
        <v>4</v>
      </c>
      <c r="S90">
        <f t="shared" ca="1" si="24"/>
        <v>8</v>
      </c>
      <c r="T90" s="2" t="e">
        <f>(IFERROR(VLOOKUP(D90,'Employee Numbers'!$A$3:$C$84,3,FALSE),"NOT FOUND"))*8</f>
        <v>#VALUE!</v>
      </c>
    </row>
    <row r="91" spans="1:21" s="2" customFormat="1" ht="15" customHeight="1">
      <c r="A91" s="2" t="s">
        <v>129</v>
      </c>
      <c r="D91" s="263" t="s">
        <v>135</v>
      </c>
      <c r="E91" s="285">
        <f>IFERROR(VLOOKUP(D91,'Employee Numbers'!$A$3:$B$84,2,FALSE),"NOT FOUND")</f>
        <v>703157</v>
      </c>
      <c r="F91" s="264"/>
      <c r="G91" s="264" t="s">
        <v>42</v>
      </c>
      <c r="H91" s="264" t="s">
        <v>42</v>
      </c>
      <c r="I91" s="264"/>
      <c r="J91" s="264"/>
      <c r="K91" s="264" t="s">
        <v>42</v>
      </c>
      <c r="L91" s="264" t="s">
        <v>42</v>
      </c>
      <c r="N91">
        <f t="array" ref="N91">((SUM(IFERROR((TEXT(IF(ISNUMBER(SEARCH("-", F91:L91)), MID(F91:L91, SEARCH("-", F91:L91) + 1, 4), ""), "00\:00") - TEXT(IF(ISNUMBER(SEARCH("-", F91:L91)), MID(F91:L91, SEARCH("-", F91:L91) - 4, 4), ""), "00\:00") + IF(TEXT(IF(ISNUMBER(SEARCH("-", F91:L91)), MID(F91:L91, SEARCH("-", F91:L91) + 1, 4), ""), "00\:00") &lt; TEXT(IF(ISNUMBER(SEARCH("-", F91:L91)), MID(F91:L91, SEARCH("-", F91:L91) - 4, 4), ""), "00\:00"), 1, 0))*24,""))))/9.5</f>
        <v>4</v>
      </c>
      <c r="O91"/>
      <c r="P91"/>
      <c r="Q91" s="2">
        <f t="shared" si="25"/>
        <v>4</v>
      </c>
      <c r="S91">
        <f t="shared" ca="1" si="24"/>
        <v>8</v>
      </c>
      <c r="T91" s="2" t="e">
        <f>(IFERROR(VLOOKUP(D91,'Employee Numbers'!$A$3:$C$84,3,FALSE),"NOT FOUND"))*8</f>
        <v>#VALUE!</v>
      </c>
    </row>
    <row r="92" spans="1:21" s="2" customFormat="1" ht="15" customHeight="1">
      <c r="A92" s="44" t="s">
        <v>129</v>
      </c>
      <c r="B92" s="44"/>
      <c r="C92" s="44"/>
      <c r="D92" s="263" t="s">
        <v>136</v>
      </c>
      <c r="E92" s="285">
        <f>IFERROR(VLOOKUP(D92,'Employee Numbers'!$A$3:$B$84,2,FALSE),"NOT FOUND")</f>
        <v>655173</v>
      </c>
      <c r="F92" s="264"/>
      <c r="G92" s="264"/>
      <c r="H92" s="264" t="s">
        <v>44</v>
      </c>
      <c r="I92" s="264" t="s">
        <v>44</v>
      </c>
      <c r="J92" s="264" t="s">
        <v>44</v>
      </c>
      <c r="K92" s="264"/>
      <c r="L92" s="264"/>
      <c r="N92">
        <f t="array" ref="N92">((SUM(IFERROR((TEXT(IF(ISNUMBER(SEARCH("-", F92:L92)), MID(F92:L92, SEARCH("-", F92:L92) + 1, 4), ""), "00\:00") - TEXT(IF(ISNUMBER(SEARCH("-", F92:L92)), MID(F92:L92, SEARCH("-", F92:L92) - 4, 4), ""), "00\:00") + IF(TEXT(IF(ISNUMBER(SEARCH("-", F92:L92)), MID(F92:L92, SEARCH("-", F92:L92) + 1, 4), ""), "00\:00") &lt; TEXT(IF(ISNUMBER(SEARCH("-", F92:L92)), MID(F92:L92, SEARCH("-", F92:L92) - 4, 4), ""), "00\:00"), 1, 0))*24,""))))/9.5</f>
        <v>3</v>
      </c>
      <c r="O92"/>
      <c r="P92"/>
      <c r="Q92" s="2">
        <f t="shared" si="25"/>
        <v>3</v>
      </c>
      <c r="S92">
        <f t="shared" ca="1" si="24"/>
        <v>8</v>
      </c>
      <c r="T92" s="2" t="e">
        <f>(IFERROR(VLOOKUP(D92,'Employee Numbers'!$A$3:$C$84,3,FALSE),"NOT FOUND"))*8</f>
        <v>#VALUE!</v>
      </c>
    </row>
    <row r="93" spans="1:21" s="2" customFormat="1" ht="15" customHeight="1">
      <c r="A93" s="44" t="s">
        <v>129</v>
      </c>
      <c r="B93" s="44"/>
      <c r="C93" s="45"/>
      <c r="D93" s="263" t="s">
        <v>137</v>
      </c>
      <c r="E93" s="285">
        <f>IFERROR(VLOOKUP(D93,'Employee Numbers'!$A$3:$B$84,2,FALSE),"NOT FOUND")</f>
        <v>705273</v>
      </c>
      <c r="F93" s="264"/>
      <c r="G93" s="264"/>
      <c r="H93" s="264" t="s">
        <v>42</v>
      </c>
      <c r="I93" s="264"/>
      <c r="J93" s="264" t="s">
        <v>100</v>
      </c>
      <c r="K93" s="264" t="s">
        <v>100</v>
      </c>
      <c r="L93" s="264" t="s">
        <v>100</v>
      </c>
      <c r="N93">
        <f t="array" ref="N93">((SUM(IFERROR((TEXT(IF(ISNUMBER(SEARCH("-", F93:L93)), MID(F93:L93, SEARCH("-", F93:L93) + 1, 4), ""), "00\:00") - TEXT(IF(ISNUMBER(SEARCH("-", F93:L93)), MID(F93:L93, SEARCH("-", F93:L93) - 4, 4), ""), "00\:00") + IF(TEXT(IF(ISNUMBER(SEARCH("-", F93:L93)), MID(F93:L93, SEARCH("-", F93:L93) + 1, 4), ""), "00\:00") &lt; TEXT(IF(ISNUMBER(SEARCH("-", F93:L93)), MID(F93:L93, SEARCH("-", F93:L93) - 4, 4), ""), "00\:00"), 1, 0))*24,""))))/9.5</f>
        <v>4</v>
      </c>
      <c r="O93"/>
      <c r="P93"/>
      <c r="Q93" s="2">
        <f t="shared" si="25"/>
        <v>4</v>
      </c>
      <c r="S93">
        <f t="shared" ca="1" si="24"/>
        <v>8</v>
      </c>
      <c r="T93" s="2" t="e">
        <f>(IFERROR(VLOOKUP(D93,'Employee Numbers'!$A$3:$C$84,3,FALSE),"NOT FOUND"))*8</f>
        <v>#VALUE!</v>
      </c>
    </row>
    <row r="94" spans="1:21" s="2" customFormat="1" ht="15" customHeight="1">
      <c r="A94" s="2" t="s">
        <v>129</v>
      </c>
      <c r="C94" s="21"/>
      <c r="D94" s="263" t="s">
        <v>138</v>
      </c>
      <c r="E94" s="285">
        <f>IFERROR(VLOOKUP(D94,'Employee Numbers'!$A$3:$B$84,2,FALSE),"NOT FOUND")</f>
        <v>703418</v>
      </c>
      <c r="F94" s="264" t="s">
        <v>44</v>
      </c>
      <c r="G94" s="264"/>
      <c r="H94" s="264" t="s">
        <v>44</v>
      </c>
      <c r="I94" s="264" t="s">
        <v>42</v>
      </c>
      <c r="J94" s="264" t="s">
        <v>42</v>
      </c>
      <c r="K94" s="264"/>
      <c r="L94" s="264"/>
      <c r="N94">
        <f t="array" ref="N94">((SUM(IFERROR((TEXT(IF(ISNUMBER(SEARCH("-", F94:L94)), MID(F94:L94, SEARCH("-", F94:L94) + 1, 4), ""), "00\:00") - TEXT(IF(ISNUMBER(SEARCH("-", F94:L94)), MID(F94:L94, SEARCH("-", F94:L94) - 4, 4), ""), "00\:00") + IF(TEXT(IF(ISNUMBER(SEARCH("-", F94:L94)), MID(F94:L94, SEARCH("-", F94:L94) + 1, 4), ""), "00\:00") &lt; TEXT(IF(ISNUMBER(SEARCH("-", F94:L94)), MID(F94:L94, SEARCH("-", F94:L94) - 4, 4), ""), "00\:00"), 1, 0))*24,""))))/9.5</f>
        <v>4</v>
      </c>
      <c r="O94"/>
      <c r="P94"/>
      <c r="Q94" s="2">
        <f t="shared" si="25"/>
        <v>4</v>
      </c>
      <c r="S94">
        <f t="shared" ca="1" si="24"/>
        <v>8</v>
      </c>
      <c r="T94" s="2" t="e">
        <f>(IFERROR(VLOOKUP(D94,'Employee Numbers'!$A$3:$C$84,3,FALSE),"NOT FOUND"))*8</f>
        <v>#VALUE!</v>
      </c>
    </row>
    <row r="95" spans="1:21" s="13" customFormat="1" ht="15" customHeight="1">
      <c r="A95" s="44" t="s">
        <v>129</v>
      </c>
      <c r="B95" s="44"/>
      <c r="C95" s="45"/>
      <c r="D95" s="263" t="s">
        <v>139</v>
      </c>
      <c r="E95" s="285">
        <f>IFERROR(VLOOKUP(D95,'Employee Numbers'!$A$3:$B$84,2,FALSE),"NOT FOUND")</f>
        <v>704108</v>
      </c>
      <c r="F95" s="264" t="s">
        <v>44</v>
      </c>
      <c r="G95" s="264" t="s">
        <v>44</v>
      </c>
      <c r="H95" s="264"/>
      <c r="I95" s="264"/>
      <c r="J95" s="264"/>
      <c r="K95" s="264" t="s">
        <v>44</v>
      </c>
      <c r="L95" s="264" t="s">
        <v>44</v>
      </c>
      <c r="M95" s="2"/>
      <c r="N95">
        <f t="array" ref="N95">((SUM(IFERROR((TEXT(IF(ISNUMBER(SEARCH("-", F95:L95)), MID(F95:L95, SEARCH("-", F95:L95) + 1, 4), ""), "00\:00") - TEXT(IF(ISNUMBER(SEARCH("-", F95:L95)), MID(F95:L95, SEARCH("-", F95:L95) - 4, 4), ""), "00\:00") + IF(TEXT(IF(ISNUMBER(SEARCH("-", F95:L95)), MID(F95:L95, SEARCH("-", F95:L95) + 1, 4), ""), "00\:00") &lt; TEXT(IF(ISNUMBER(SEARCH("-", F95:L95)), MID(F95:L95, SEARCH("-", F95:L95) - 4, 4), ""), "00\:00"), 1, 0))*24,""))))/9.5</f>
        <v>4</v>
      </c>
      <c r="O95"/>
      <c r="P95"/>
      <c r="Q95" s="2">
        <f t="shared" si="25"/>
        <v>4</v>
      </c>
      <c r="R95" s="2"/>
      <c r="S95">
        <f t="shared" ca="1" si="24"/>
        <v>8</v>
      </c>
      <c r="T95" s="2" t="e">
        <f>(IFERROR(VLOOKUP(D95,'Employee Numbers'!$A$3:$C$84,3,FALSE),"NOT FOUND"))*8</f>
        <v>#VALUE!</v>
      </c>
      <c r="U95" s="2"/>
    </row>
    <row r="96" spans="1:21" s="2" customFormat="1" ht="15" customHeight="1">
      <c r="A96" s="2" t="s">
        <v>129</v>
      </c>
      <c r="C96" s="21"/>
      <c r="D96" s="263" t="s">
        <v>140</v>
      </c>
      <c r="E96" s="285">
        <f>IFERROR(VLOOKUP(D96,'Employee Numbers'!$A$3:$B$84,2,FALSE),"NOT FOUND")</f>
        <v>651515</v>
      </c>
      <c r="F96" s="289" t="s">
        <v>183</v>
      </c>
      <c r="G96" s="264" t="s">
        <v>42</v>
      </c>
      <c r="H96" s="264"/>
      <c r="I96" s="264" t="s">
        <v>44</v>
      </c>
      <c r="J96" s="264" t="s">
        <v>42</v>
      </c>
      <c r="K96" s="264"/>
      <c r="L96" s="264"/>
      <c r="N96">
        <f t="array" ref="N96">((SUM(IFERROR((TEXT(IF(ISNUMBER(SEARCH("-", F96:L96)), MID(F96:L96, SEARCH("-", F96:L96) + 1, 4), ""), "00\:00") - TEXT(IF(ISNUMBER(SEARCH("-", F96:L96)), MID(F96:L96, SEARCH("-", F96:L96) - 4, 4), ""), "00\:00") + IF(TEXT(IF(ISNUMBER(SEARCH("-", F96:L96)), MID(F96:L96, SEARCH("-", F96:L96) + 1, 4), ""), "00\:00") &lt; TEXT(IF(ISNUMBER(SEARCH("-", F96:L96)), MID(F96:L96, SEARCH("-", F96:L96) - 4, 4), ""), "00\:00"), 1, 0))*24,""))))/9.5</f>
        <v>4</v>
      </c>
      <c r="O96"/>
      <c r="P96"/>
      <c r="Q96" s="2">
        <f t="shared" si="25"/>
        <v>4</v>
      </c>
      <c r="S96">
        <f t="shared" ca="1" si="24"/>
        <v>4</v>
      </c>
      <c r="T96" s="2" t="e">
        <f>(IFERROR(VLOOKUP(D96,'Employee Numbers'!$A$3:$C$84,3,FALSE),"NOT FOUND"))*8</f>
        <v>#VALUE!</v>
      </c>
    </row>
    <row r="97" spans="1:20" s="2" customFormat="1" ht="15" customHeight="1">
      <c r="A97" s="44" t="s">
        <v>129</v>
      </c>
      <c r="B97" s="44"/>
      <c r="C97" s="45"/>
      <c r="D97" s="263" t="s">
        <v>141</v>
      </c>
      <c r="E97" s="285">
        <f>IFERROR(VLOOKUP(D97,'Employee Numbers'!$A$3:$B$84,2,FALSE),"NOT FOUND")</f>
        <v>705199</v>
      </c>
      <c r="F97" s="264" t="s">
        <v>42</v>
      </c>
      <c r="G97" s="264" t="s">
        <v>100</v>
      </c>
      <c r="H97" s="264" t="s">
        <v>100</v>
      </c>
      <c r="I97" s="264" t="s">
        <v>100</v>
      </c>
      <c r="J97" s="264"/>
      <c r="K97" s="264"/>
      <c r="L97" s="264"/>
      <c r="N97">
        <f t="array" ref="N97">((SUM(IFERROR((TEXT(IF(ISNUMBER(SEARCH("-", F97:L97)), MID(F97:L97, SEARCH("-", F97:L97) + 1, 4), ""), "00\:00") - TEXT(IF(ISNUMBER(SEARCH("-", F97:L97)), MID(F97:L97, SEARCH("-", F97:L97) - 4, 4), ""), "00\:00") + IF(TEXT(IF(ISNUMBER(SEARCH("-", F97:L97)), MID(F97:L97, SEARCH("-", F97:L97) + 1, 4), ""), "00\:00") &lt; TEXT(IF(ISNUMBER(SEARCH("-", F97:L97)), MID(F97:L97, SEARCH("-", F97:L97) - 4, 4), ""), "00\:00"), 1, 0))*24,""))))/9.5</f>
        <v>4</v>
      </c>
      <c r="O97"/>
      <c r="P97"/>
      <c r="Q97" s="2">
        <f>P97+O97+N97</f>
        <v>4</v>
      </c>
      <c r="S97">
        <f t="shared" ca="1" si="24"/>
        <v>8</v>
      </c>
      <c r="T97" s="2" t="e">
        <f>(IFERROR(VLOOKUP(D97,'Employee Numbers'!$A$3:$C$84,3,FALSE),"NOT FOUND"))*8</f>
        <v>#VALUE!</v>
      </c>
    </row>
    <row r="98" spans="1:20" s="2" customFormat="1" ht="15" customHeight="1">
      <c r="A98" s="2" t="s">
        <v>129</v>
      </c>
      <c r="D98" s="31"/>
      <c r="E98" s="39" t="str">
        <f>IFERROR(VLOOKUP(D98,'Employee Numbers'!$A$3:$B$84,2,FALSE),"NOT FOUND")</f>
        <v>NOT FOUND</v>
      </c>
      <c r="F98" s="130"/>
      <c r="G98" s="130"/>
      <c r="H98" s="130"/>
      <c r="I98" s="130"/>
      <c r="J98" s="130"/>
      <c r="K98" s="130"/>
      <c r="L98" s="130"/>
      <c r="N98">
        <f t="array" ref="N98">((SUM(IFERROR((TEXT(IF(ISNUMBER(SEARCH("-", F98:L98)), MID(F98:L98, SEARCH("-", F98:L98) + 1, 4), ""), "00\:00") - TEXT(IF(ISNUMBER(SEARCH("-", F98:L98)), MID(F98:L98, SEARCH("-", F98:L98) - 4, 4), ""), "00\:00") + IF(TEXT(IF(ISNUMBER(SEARCH("-", F98:L98)), MID(F98:L98, SEARCH("-", F98:L98) + 1, 4), ""), "00\:00") &lt; TEXT(IF(ISNUMBER(SEARCH("-", F98:L98)), MID(F98:L98, SEARCH("-", F98:L98) - 4, 4), ""), "00\:00"), 1, 0))*24,""))))/9.5</f>
        <v>0</v>
      </c>
      <c r="O98"/>
      <c r="P98"/>
      <c r="Q98" s="2">
        <f>P98+O98+N98</f>
        <v>0</v>
      </c>
      <c r="S98">
        <f t="shared" ca="1" si="24"/>
        <v>0</v>
      </c>
      <c r="T98" s="2" t="e">
        <f>(IFERROR(VLOOKUP(D98,'Employee Numbers'!$A$3:$C$84,3,FALSE),"NOT FOUND"))*8</f>
        <v>#VALUE!</v>
      </c>
    </row>
    <row r="99" spans="1:20" s="2" customFormat="1" ht="15" customHeight="1">
      <c r="A99" s="44" t="s">
        <v>129</v>
      </c>
      <c r="B99" s="44"/>
      <c r="C99" s="44"/>
      <c r="D99" s="30"/>
      <c r="E99" s="39" t="str">
        <f>IFERROR(VLOOKUP(D99,'Employee Numbers'!$A$3:$B$84,2,FALSE),"NOT FOUND")</f>
        <v>NOT FOUND</v>
      </c>
      <c r="F99" s="37"/>
      <c r="G99" s="37"/>
      <c r="H99" s="37"/>
      <c r="I99" s="37"/>
      <c r="J99" s="37"/>
      <c r="K99" s="37"/>
      <c r="L99" s="37"/>
      <c r="N99">
        <f t="array" ref="N99">((SUM(IFERROR((TEXT(IF(ISNUMBER(SEARCH("-", F99:L99)), MID(F99:L99, SEARCH("-", F99:L99) + 1, 4), ""), "00\:00") - TEXT(IF(ISNUMBER(SEARCH("-", F99:L99)), MID(F99:L99, SEARCH("-", F99:L99) - 4, 4), ""), "00\:00") + IF(TEXT(IF(ISNUMBER(SEARCH("-", F99:L99)), MID(F99:L99, SEARCH("-", F99:L99) + 1, 4), ""), "00\:00") &lt; TEXT(IF(ISNUMBER(SEARCH("-", F99:L99)), MID(F99:L99, SEARCH("-", F99:L99) - 4, 4), ""), "00\:00"), 1, 0))*24,""))))/9.5</f>
        <v>0</v>
      </c>
      <c r="O99"/>
      <c r="P99"/>
      <c r="Q99" s="2">
        <f>P99+O99+N99</f>
        <v>0</v>
      </c>
      <c r="S99">
        <f t="shared" ca="1" si="24"/>
        <v>0</v>
      </c>
      <c r="T99" s="2" t="e">
        <f>(IFERROR(VLOOKUP(D99,'Employee Numbers'!$A$3:$C$84,3,FALSE),"NOT FOUND"))*8</f>
        <v>#VALUE!</v>
      </c>
    </row>
    <row r="100" spans="1:20" s="2" customFormat="1" ht="15" customHeight="1">
      <c r="A100" s="56" t="s">
        <v>142</v>
      </c>
      <c r="B100" s="52"/>
      <c r="C100" s="53"/>
      <c r="D100" s="56" t="s">
        <v>142</v>
      </c>
      <c r="E100" s="41" t="s">
        <v>4</v>
      </c>
      <c r="F100" s="40" t="s">
        <v>5</v>
      </c>
      <c r="G100" s="40" t="s">
        <v>6</v>
      </c>
      <c r="H100" s="40" t="s">
        <v>7</v>
      </c>
      <c r="I100" s="40" t="s">
        <v>8</v>
      </c>
      <c r="J100" s="40" t="s">
        <v>9</v>
      </c>
      <c r="K100" s="40" t="s">
        <v>10</v>
      </c>
      <c r="L100" s="40" t="s">
        <v>11</v>
      </c>
      <c r="M100" s="5"/>
    </row>
    <row r="101" spans="1:20" s="2" customFormat="1" ht="15" customHeight="1">
      <c r="A101" s="2" t="s">
        <v>143</v>
      </c>
      <c r="B101" s="5"/>
      <c r="C101" s="8"/>
      <c r="D101" s="31"/>
      <c r="E101" s="39" t="str">
        <f>IFERROR(VLOOKUP(D101,'Employee Numbers'!$A$3:$B$84,2,FALSE),"NOT FOUND")</f>
        <v>NOT FOUND</v>
      </c>
      <c r="F101" s="31"/>
      <c r="G101" s="31"/>
      <c r="H101" s="31"/>
      <c r="I101" s="31"/>
      <c r="J101" s="31"/>
      <c r="K101" s="31"/>
      <c r="L101" s="31"/>
      <c r="M101" s="5"/>
      <c r="N101">
        <f t="array" ref="N101">((SUM(IFERROR((TEXT(IF(ISNUMBER(SEARCH("-", F101:L101)), MID(F101:L101, SEARCH("-", F101:L101) + 1, 4), ""), "00\:00") - TEXT(IF(ISNUMBER(SEARCH("-", F101:L101)), MID(F101:L101, SEARCH("-", F101:L101) - 4, 4), ""), "00\:00") + IF(TEXT(IF(ISNUMBER(SEARCH("-", F101:L101)), MID(F101:L101, SEARCH("-", F101:L101) + 1, 4), ""), "00\:00") &lt; TEXT(IF(ISNUMBER(SEARCH("-", F101:L101)), MID(F101:L101, SEARCH("-", F101:L101) - 4, 4), ""), "00\:00"), 1, 0))*24,""))))/9.5</f>
        <v>0</v>
      </c>
      <c r="O101"/>
      <c r="P101"/>
      <c r="Q101" s="2">
        <f>P101+O101+N101</f>
        <v>0</v>
      </c>
      <c r="S101">
        <f t="shared" ref="S101:S102" ca="1" si="26">IF($C$4=1,SUM(Q101+INDIRECT("'Week "&amp;($B$3+1)&amp;"'!Q"&amp;(ROW()))),IF($C$4=2,SUM(Q101+INDIRECT("'Week "&amp;($B$3-1)&amp;"'!Q"&amp;(ROW())))))</f>
        <v>0</v>
      </c>
      <c r="T101" s="2" t="e">
        <f>(IFERROR(VLOOKUP(D101,'Employee Numbers'!$A$3:$C$84,3,FALSE),"NOT FOUND"))*8</f>
        <v>#VALUE!</v>
      </c>
    </row>
    <row r="102" spans="1:20" s="2" customFormat="1" ht="15" customHeight="1">
      <c r="A102" s="44" t="s">
        <v>143</v>
      </c>
      <c r="B102" s="5"/>
      <c r="C102" s="8"/>
      <c r="D102" s="31"/>
      <c r="E102" s="39" t="str">
        <f>IFERROR(VLOOKUP(D102,'Employee Numbers'!$A$3:$B$84,2,FALSE),"NOT FOUND")</f>
        <v>NOT FOUND</v>
      </c>
      <c r="F102" s="31"/>
      <c r="G102" s="31"/>
      <c r="H102" s="31"/>
      <c r="I102" s="31"/>
      <c r="J102" s="31"/>
      <c r="K102" s="31"/>
      <c r="L102" s="31"/>
      <c r="M102" s="5"/>
      <c r="N102">
        <f t="array" ref="N102">((SUM(IFERROR((TEXT(IF(ISNUMBER(SEARCH("-", F102:L102)), MID(F102:L102, SEARCH("-", F102:L102) + 1, 4), ""), "00\:00") - TEXT(IF(ISNUMBER(SEARCH("-", F102:L102)), MID(F102:L102, SEARCH("-", F102:L102) - 4, 4), ""), "00\:00") + IF(TEXT(IF(ISNUMBER(SEARCH("-", F102:L102)), MID(F102:L102, SEARCH("-", F102:L102) + 1, 4), ""), "00\:00") &lt; TEXT(IF(ISNUMBER(SEARCH("-", F102:L102)), MID(F102:L102, SEARCH("-", F102:L102) - 4, 4), ""), "00\:00"), 1, 0))*24,""))))/9.5</f>
        <v>0</v>
      </c>
      <c r="O102"/>
      <c r="P102"/>
      <c r="Q102" s="2">
        <f>P102+O102+N102</f>
        <v>0</v>
      </c>
      <c r="S102">
        <f t="shared" ca="1" si="26"/>
        <v>0</v>
      </c>
      <c r="T102" s="2" t="e">
        <f>(IFERROR(VLOOKUP(D102,'Employee Numbers'!$A$3:$C$84,3,FALSE),"NOT FOUND"))*8</f>
        <v>#VALUE!</v>
      </c>
    </row>
    <row r="103" spans="1:20" s="2" customFormat="1" ht="15" customHeight="1">
      <c r="A103" s="54" t="s">
        <v>148</v>
      </c>
      <c r="B103" s="54"/>
      <c r="C103" s="54"/>
      <c r="D103" s="57" t="s">
        <v>148</v>
      </c>
      <c r="E103" s="107"/>
      <c r="F103" s="57"/>
      <c r="G103" s="57"/>
      <c r="H103" s="57"/>
      <c r="I103" s="57"/>
      <c r="J103" s="57"/>
      <c r="K103" s="57"/>
      <c r="L103" s="57"/>
      <c r="M103" s="5"/>
      <c r="N103"/>
      <c r="O103"/>
      <c r="Q103"/>
    </row>
    <row r="104" spans="1:20" ht="15" customHeight="1">
      <c r="B104" s="2"/>
      <c r="C104" s="21"/>
      <c r="D104" s="31"/>
      <c r="E104" s="154" t="s">
        <v>149</v>
      </c>
      <c r="F104" s="31"/>
      <c r="G104" s="31"/>
      <c r="H104" s="31"/>
      <c r="I104" s="31"/>
      <c r="J104" s="31"/>
      <c r="K104" s="31"/>
      <c r="L104" s="31"/>
      <c r="N104"/>
      <c r="O104"/>
      <c r="P104" s="2"/>
      <c r="Q104"/>
      <c r="R104" s="2"/>
    </row>
    <row r="105" spans="1:20" ht="15" customHeight="1" thickBot="1">
      <c r="L105" s="6"/>
      <c r="N105"/>
      <c r="O105"/>
      <c r="P105" s="2"/>
      <c r="Q105"/>
      <c r="R105" s="2"/>
    </row>
    <row r="106" spans="1:20" ht="15" customHeight="1">
      <c r="D106" s="77" t="s">
        <v>150</v>
      </c>
      <c r="F106" s="88" t="s">
        <v>151</v>
      </c>
      <c r="G106" s="89"/>
      <c r="H106" s="89"/>
      <c r="I106" s="89"/>
      <c r="J106" s="89"/>
      <c r="K106" s="89"/>
      <c r="L106" s="90"/>
      <c r="N106"/>
      <c r="O106"/>
      <c r="P106" s="2"/>
      <c r="Q106"/>
      <c r="R106" s="2"/>
    </row>
    <row r="107" spans="1:20" ht="15" customHeight="1">
      <c r="D107" s="78" t="s">
        <v>152</v>
      </c>
      <c r="F107" s="24" t="s">
        <v>153</v>
      </c>
      <c r="G107"/>
      <c r="L107" s="6"/>
      <c r="N107" s="2"/>
      <c r="O107" s="2"/>
      <c r="P107" s="2"/>
      <c r="Q107" s="2"/>
      <c r="R107" s="2"/>
    </row>
    <row r="108" spans="1:20" ht="15" customHeight="1">
      <c r="D108" s="79" t="s">
        <v>154</v>
      </c>
      <c r="F108" s="24" t="s">
        <v>155</v>
      </c>
      <c r="G108"/>
      <c r="L108" s="6"/>
      <c r="N108"/>
      <c r="O108"/>
      <c r="P108" s="2"/>
      <c r="Q108"/>
      <c r="R108" s="2"/>
    </row>
    <row r="109" spans="1:20" ht="15" customHeight="1">
      <c r="D109" s="80" t="s">
        <v>156</v>
      </c>
      <c r="F109" s="24" t="s">
        <v>157</v>
      </c>
      <c r="G109"/>
      <c r="L109" s="6"/>
      <c r="N109"/>
      <c r="O109"/>
      <c r="P109" s="2"/>
      <c r="Q109"/>
      <c r="R109" s="2"/>
    </row>
    <row r="110" spans="1:20" ht="15" customHeight="1">
      <c r="D110" s="81" t="s">
        <v>158</v>
      </c>
      <c r="F110" s="24" t="s">
        <v>159</v>
      </c>
      <c r="G110"/>
      <c r="L110" s="6"/>
      <c r="N110" s="2"/>
      <c r="O110" s="2"/>
      <c r="P110" s="2"/>
      <c r="Q110" s="2"/>
      <c r="R110" s="2"/>
    </row>
    <row r="111" spans="1:20" ht="15" customHeight="1" thickBot="1">
      <c r="A111" s="2"/>
      <c r="F111" s="25" t="s">
        <v>160</v>
      </c>
      <c r="G111" s="17"/>
      <c r="H111" s="7"/>
      <c r="I111" s="7"/>
      <c r="J111" s="7"/>
      <c r="K111" s="7"/>
      <c r="L111" s="18"/>
      <c r="N111" s="2"/>
      <c r="O111" s="2"/>
      <c r="P111" s="2"/>
      <c r="Q111" s="2"/>
      <c r="R111" s="2"/>
    </row>
    <row r="112" spans="1:20" ht="15" customHeight="1">
      <c r="G112" s="14"/>
    </row>
    <row r="113" spans="1:18" s="2" customFormat="1" ht="15" customHeight="1">
      <c r="A113" s="42" t="s">
        <v>38</v>
      </c>
      <c r="B113" s="33"/>
      <c r="C113" s="43"/>
      <c r="D113" s="82" t="s">
        <v>38</v>
      </c>
      <c r="E113" s="19"/>
      <c r="F113" s="10"/>
      <c r="G113" s="11"/>
      <c r="H113" s="11"/>
      <c r="I113" s="11"/>
      <c r="J113" s="11"/>
      <c r="K113" s="11"/>
      <c r="L113" s="15"/>
      <c r="M113" s="5"/>
      <c r="N113" s="5"/>
      <c r="O113" s="5"/>
      <c r="P113" s="5"/>
      <c r="Q113" s="5"/>
      <c r="R113" s="5"/>
    </row>
    <row r="114" spans="1:18" ht="15" customHeight="1" thickBot="1"/>
    <row r="115" spans="1:18" ht="15" customHeight="1" thickBot="1">
      <c r="A115" s="2" t="s">
        <v>161</v>
      </c>
      <c r="B115" s="55" t="s">
        <v>162</v>
      </c>
      <c r="C115" s="21"/>
      <c r="D115" s="27" t="str">
        <f t="shared" ref="D115:D143" si="27">D21</f>
        <v>Dr Adam West</v>
      </c>
      <c r="E115" s="22">
        <f>IFERROR(VLOOKUP(D115,'Employee Numbers'!$A$3:$B$84,2,FALSE),"NOT FOUND")</f>
        <v>287628</v>
      </c>
      <c r="F115" s="9" t="str">
        <f t="shared" ref="F115:L130" si="28">IF(F$50=$D115,"Con_8_0000","")</f>
        <v/>
      </c>
      <c r="G115" s="9" t="str">
        <f t="shared" si="28"/>
        <v/>
      </c>
      <c r="H115" s="9" t="str">
        <f t="shared" si="28"/>
        <v/>
      </c>
      <c r="I115" s="9" t="str">
        <f t="shared" si="28"/>
        <v/>
      </c>
      <c r="J115" s="9" t="str">
        <f t="shared" si="28"/>
        <v/>
      </c>
      <c r="K115" s="9" t="str">
        <f t="shared" si="28"/>
        <v/>
      </c>
      <c r="L115" s="9" t="str">
        <f t="shared" si="28"/>
        <v/>
      </c>
    </row>
    <row r="116" spans="1:18" ht="15" customHeight="1" thickBot="1">
      <c r="A116" s="2" t="s">
        <v>161</v>
      </c>
      <c r="B116" s="55" t="s">
        <v>162</v>
      </c>
      <c r="C116" s="21"/>
      <c r="D116" s="27" t="str">
        <f t="shared" si="27"/>
        <v>Dr Toby VanHest</v>
      </c>
      <c r="E116" s="22">
        <f>IFERROR(VLOOKUP(D116,'Employee Numbers'!$A$3:$B$84,2,FALSE),"NOT FOUND")</f>
        <v>609660</v>
      </c>
      <c r="F116" s="9" t="str">
        <f t="shared" si="28"/>
        <v/>
      </c>
      <c r="G116" s="9" t="str">
        <f t="shared" si="28"/>
        <v/>
      </c>
      <c r="H116" s="9" t="str">
        <f t="shared" si="28"/>
        <v/>
      </c>
      <c r="I116" s="9" t="str">
        <f t="shared" si="28"/>
        <v/>
      </c>
      <c r="J116" s="9" t="str">
        <f t="shared" si="28"/>
        <v/>
      </c>
      <c r="K116" s="9" t="str">
        <f t="shared" si="28"/>
        <v/>
      </c>
      <c r="L116" s="9" t="str">
        <f t="shared" si="28"/>
        <v/>
      </c>
    </row>
    <row r="117" spans="1:18" ht="15" customHeight="1" thickBot="1">
      <c r="A117" s="2" t="s">
        <v>161</v>
      </c>
      <c r="B117" s="55" t="s">
        <v>162</v>
      </c>
      <c r="C117" s="21"/>
      <c r="D117" s="27" t="str">
        <f t="shared" si="27"/>
        <v>Dr Bob Seith</v>
      </c>
      <c r="E117" s="22">
        <f>IFERROR(VLOOKUP(D117,'Employee Numbers'!$A$3:$B$84,2,FALSE),"NOT FOUND")</f>
        <v>610036</v>
      </c>
      <c r="F117" s="9" t="str">
        <f t="shared" si="28"/>
        <v/>
      </c>
      <c r="G117" s="9" t="str">
        <f t="shared" si="28"/>
        <v/>
      </c>
      <c r="H117" s="9" t="str">
        <f t="shared" si="28"/>
        <v/>
      </c>
      <c r="I117" s="9" t="str">
        <f t="shared" si="28"/>
        <v/>
      </c>
      <c r="J117" s="9" t="str">
        <f t="shared" si="28"/>
        <v/>
      </c>
      <c r="K117" s="9" t="str">
        <f t="shared" si="28"/>
        <v/>
      </c>
      <c r="L117" s="9" t="str">
        <f t="shared" si="28"/>
        <v/>
      </c>
    </row>
    <row r="118" spans="1:18" ht="15" customHeight="1" thickBot="1">
      <c r="A118" s="2" t="s">
        <v>161</v>
      </c>
      <c r="B118" s="55" t="s">
        <v>162</v>
      </c>
      <c r="C118" s="21"/>
      <c r="D118" s="27" t="str">
        <f t="shared" si="27"/>
        <v>Dr Simon Craig</v>
      </c>
      <c r="E118" s="22">
        <f>IFERROR(VLOOKUP(D118,'Employee Numbers'!$A$3:$B$84,2,FALSE),"NOT FOUND")</f>
        <v>533509</v>
      </c>
      <c r="F118" s="9" t="str">
        <f t="shared" si="28"/>
        <v/>
      </c>
      <c r="G118" s="9" t="str">
        <f t="shared" si="28"/>
        <v/>
      </c>
      <c r="H118" s="9" t="str">
        <f t="shared" si="28"/>
        <v/>
      </c>
      <c r="I118" s="9" t="str">
        <f t="shared" si="28"/>
        <v/>
      </c>
      <c r="J118" s="9" t="str">
        <f t="shared" si="28"/>
        <v/>
      </c>
      <c r="K118" s="9" t="str">
        <f t="shared" si="28"/>
        <v/>
      </c>
      <c r="L118" s="9" t="str">
        <f t="shared" si="28"/>
        <v/>
      </c>
    </row>
    <row r="119" spans="1:18" ht="15" customHeight="1" thickBot="1">
      <c r="A119" s="2" t="s">
        <v>161</v>
      </c>
      <c r="B119" s="55" t="s">
        <v>162</v>
      </c>
      <c r="C119" s="21"/>
      <c r="D119" s="27" t="str">
        <f t="shared" si="27"/>
        <v>Dr Celia Bagshaw</v>
      </c>
      <c r="E119" s="22">
        <f>IFERROR(VLOOKUP(D119,'Employee Numbers'!$A$3:$B$84,2,FALSE),"NOT FOUND")</f>
        <v>625985</v>
      </c>
      <c r="F119" s="9" t="str">
        <f t="shared" si="28"/>
        <v/>
      </c>
      <c r="G119" s="9" t="str">
        <f t="shared" si="28"/>
        <v/>
      </c>
      <c r="H119" s="9" t="str">
        <f t="shared" si="28"/>
        <v/>
      </c>
      <c r="I119" s="9" t="str">
        <f t="shared" si="28"/>
        <v/>
      </c>
      <c r="J119" s="9" t="str">
        <f t="shared" si="28"/>
        <v/>
      </c>
      <c r="K119" s="9" t="str">
        <f t="shared" si="28"/>
        <v/>
      </c>
      <c r="L119" s="9" t="str">
        <f t="shared" si="28"/>
        <v/>
      </c>
    </row>
    <row r="120" spans="1:18" ht="15" customHeight="1" thickBot="1">
      <c r="A120" s="2" t="s">
        <v>161</v>
      </c>
      <c r="B120" s="55" t="s">
        <v>162</v>
      </c>
      <c r="C120" s="21"/>
      <c r="D120" s="27" t="str">
        <f t="shared" si="27"/>
        <v>Dr Adnan Bilgrami</v>
      </c>
      <c r="E120" s="22">
        <f>IFERROR(VLOOKUP(D120,'Employee Numbers'!$A$3:$B$84,2,FALSE),"NOT FOUND")</f>
        <v>632301</v>
      </c>
      <c r="F120" s="9" t="str">
        <f t="shared" si="28"/>
        <v/>
      </c>
      <c r="G120" s="9" t="str">
        <f t="shared" si="28"/>
        <v/>
      </c>
      <c r="H120" s="9" t="str">
        <f t="shared" si="28"/>
        <v/>
      </c>
      <c r="I120" s="9" t="str">
        <f t="shared" si="28"/>
        <v/>
      </c>
      <c r="J120" s="9" t="str">
        <f t="shared" si="28"/>
        <v/>
      </c>
      <c r="K120" s="9" t="str">
        <f t="shared" si="28"/>
        <v/>
      </c>
      <c r="L120" s="9" t="str">
        <f t="shared" si="28"/>
        <v/>
      </c>
    </row>
    <row r="121" spans="1:18" ht="15" customHeight="1" thickBot="1">
      <c r="A121" s="2" t="s">
        <v>161</v>
      </c>
      <c r="B121" s="55" t="s">
        <v>162</v>
      </c>
      <c r="C121" s="21"/>
      <c r="D121" s="27" t="str">
        <f t="shared" si="27"/>
        <v>Dr Preeti Ramaswamy</v>
      </c>
      <c r="E121" s="22">
        <f>IFERROR(VLOOKUP(D121,'Employee Numbers'!$A$3:$B$84,2,FALSE),"NOT FOUND")</f>
        <v>613891</v>
      </c>
      <c r="F121" s="9" t="str">
        <f t="shared" si="28"/>
        <v/>
      </c>
      <c r="G121" s="9" t="str">
        <f t="shared" si="28"/>
        <v/>
      </c>
      <c r="H121" s="9" t="str">
        <f t="shared" si="28"/>
        <v/>
      </c>
      <c r="I121" s="9" t="str">
        <f t="shared" si="28"/>
        <v/>
      </c>
      <c r="J121" s="9" t="str">
        <f t="shared" si="28"/>
        <v/>
      </c>
      <c r="K121" s="9" t="str">
        <f t="shared" si="28"/>
        <v/>
      </c>
      <c r="L121" s="9" t="str">
        <f t="shared" si="28"/>
        <v/>
      </c>
      <c r="N121" s="2"/>
      <c r="O121" s="2"/>
      <c r="P121" s="2"/>
      <c r="Q121" s="2"/>
      <c r="R121" s="2"/>
    </row>
    <row r="122" spans="1:18" ht="15" customHeight="1" thickBot="1">
      <c r="A122" s="2" t="s">
        <v>161</v>
      </c>
      <c r="B122" s="55" t="s">
        <v>162</v>
      </c>
      <c r="C122" s="21"/>
      <c r="D122" s="27" t="str">
        <f t="shared" si="27"/>
        <v>Dr Erin Mills</v>
      </c>
      <c r="E122" s="22">
        <f>IFERROR(VLOOKUP(D122,'Employee Numbers'!$A$3:$B$84,2,FALSE),"NOT FOUND")</f>
        <v>623657</v>
      </c>
      <c r="F122" s="9" t="str">
        <f t="shared" si="28"/>
        <v/>
      </c>
      <c r="G122" s="9" t="str">
        <f t="shared" si="28"/>
        <v/>
      </c>
      <c r="H122" s="9" t="str">
        <f t="shared" si="28"/>
        <v/>
      </c>
      <c r="I122" s="9" t="str">
        <f t="shared" si="28"/>
        <v/>
      </c>
      <c r="J122" s="9" t="str">
        <f t="shared" si="28"/>
        <v/>
      </c>
      <c r="K122" s="9" t="str">
        <f t="shared" si="28"/>
        <v/>
      </c>
      <c r="L122" s="9" t="str">
        <f t="shared" si="28"/>
        <v/>
      </c>
    </row>
    <row r="123" spans="1:18" ht="15" customHeight="1" thickBot="1">
      <c r="A123" s="2" t="s">
        <v>161</v>
      </c>
      <c r="B123" s="55" t="s">
        <v>162</v>
      </c>
      <c r="C123" s="21"/>
      <c r="D123" s="27" t="str">
        <f t="shared" si="27"/>
        <v>Dr Stella Robinson</v>
      </c>
      <c r="E123" s="22">
        <f>IFERROR(VLOOKUP(D123,'Employee Numbers'!$A$3:$B$84,2,FALSE),"NOT FOUND")</f>
        <v>623708</v>
      </c>
      <c r="F123" s="9" t="str">
        <f t="shared" si="28"/>
        <v/>
      </c>
      <c r="G123" s="9" t="str">
        <f t="shared" si="28"/>
        <v/>
      </c>
      <c r="H123" s="9" t="str">
        <f t="shared" si="28"/>
        <v/>
      </c>
      <c r="I123" s="9" t="str">
        <f t="shared" si="28"/>
        <v/>
      </c>
      <c r="J123" s="9" t="str">
        <f t="shared" si="28"/>
        <v/>
      </c>
      <c r="K123" s="9" t="str">
        <f t="shared" si="28"/>
        <v/>
      </c>
      <c r="L123" s="9" t="str">
        <f t="shared" si="28"/>
        <v/>
      </c>
    </row>
    <row r="124" spans="1:18" ht="15" customHeight="1" thickBot="1">
      <c r="A124" s="2" t="s">
        <v>161</v>
      </c>
      <c r="B124" s="55" t="s">
        <v>162</v>
      </c>
      <c r="C124" s="21"/>
      <c r="D124" s="27" t="str">
        <f t="shared" si="27"/>
        <v>Dr Bev Thompson</v>
      </c>
      <c r="E124" s="22">
        <f>IFERROR(VLOOKUP(D124,'Employee Numbers'!$A$3:$B$84,2,FALSE),"NOT FOUND")</f>
        <v>627680</v>
      </c>
      <c r="F124" s="9" t="str">
        <f t="shared" si="28"/>
        <v/>
      </c>
      <c r="G124" s="9" t="str">
        <f t="shared" si="28"/>
        <v/>
      </c>
      <c r="H124" s="9" t="str">
        <f t="shared" si="28"/>
        <v/>
      </c>
      <c r="I124" s="9" t="str">
        <f t="shared" si="28"/>
        <v/>
      </c>
      <c r="J124" s="9" t="str">
        <f t="shared" si="28"/>
        <v/>
      </c>
      <c r="K124" s="9" t="str">
        <f t="shared" si="28"/>
        <v/>
      </c>
      <c r="L124" s="9" t="str">
        <f t="shared" si="28"/>
        <v/>
      </c>
    </row>
    <row r="125" spans="1:18" ht="15" customHeight="1" thickBot="1">
      <c r="A125" s="2" t="s">
        <v>161</v>
      </c>
      <c r="B125" s="55" t="s">
        <v>162</v>
      </c>
      <c r="C125" s="21"/>
      <c r="D125" s="27" t="str">
        <f t="shared" si="27"/>
        <v>Dr John Unwin</v>
      </c>
      <c r="E125" s="22">
        <f>IFERROR(VLOOKUP(D125,'Employee Numbers'!$A$3:$B$84,2,FALSE),"NOT FOUND")</f>
        <v>633210</v>
      </c>
      <c r="F125" s="9" t="str">
        <f t="shared" si="28"/>
        <v/>
      </c>
      <c r="G125" s="9" t="str">
        <f t="shared" si="28"/>
        <v/>
      </c>
      <c r="H125" s="9" t="str">
        <f t="shared" si="28"/>
        <v/>
      </c>
      <c r="I125" s="9" t="str">
        <f t="shared" si="28"/>
        <v/>
      </c>
      <c r="J125" s="9" t="str">
        <f t="shared" si="28"/>
        <v/>
      </c>
      <c r="K125" s="9" t="str">
        <f t="shared" si="28"/>
        <v/>
      </c>
      <c r="L125" s="9" t="str">
        <f t="shared" si="28"/>
        <v/>
      </c>
    </row>
    <row r="126" spans="1:18" ht="15" customHeight="1" thickBot="1">
      <c r="A126" s="2" t="s">
        <v>161</v>
      </c>
      <c r="B126" s="55" t="s">
        <v>162</v>
      </c>
      <c r="C126" s="21"/>
      <c r="D126" s="27" t="str">
        <f t="shared" si="27"/>
        <v>Dr Siri Samudrala</v>
      </c>
      <c r="E126" s="22">
        <f>IFERROR(VLOOKUP(D126,'Employee Numbers'!$A$3:$B$84,2,FALSE),"NOT FOUND")</f>
        <v>618952</v>
      </c>
      <c r="F126" s="9" t="str">
        <f t="shared" si="28"/>
        <v/>
      </c>
      <c r="G126" s="9" t="str">
        <f t="shared" si="28"/>
        <v/>
      </c>
      <c r="H126" s="9" t="str">
        <f t="shared" si="28"/>
        <v/>
      </c>
      <c r="I126" s="9" t="str">
        <f t="shared" si="28"/>
        <v/>
      </c>
      <c r="J126" s="9" t="str">
        <f t="shared" si="28"/>
        <v/>
      </c>
      <c r="K126" s="9" t="str">
        <f t="shared" si="28"/>
        <v/>
      </c>
      <c r="L126" s="9" t="str">
        <f t="shared" si="28"/>
        <v/>
      </c>
    </row>
    <row r="127" spans="1:18" ht="15" customHeight="1" thickBot="1">
      <c r="A127" s="2" t="s">
        <v>161</v>
      </c>
      <c r="B127" s="55" t="s">
        <v>162</v>
      </c>
      <c r="C127" s="21"/>
      <c r="D127" s="27" t="str">
        <f t="shared" si="27"/>
        <v>Dr Tessa Smith</v>
      </c>
      <c r="E127" s="22">
        <f>IFERROR(VLOOKUP(D127,'Employee Numbers'!$A$3:$B$84,2,FALSE),"NOT FOUND")</f>
        <v>649039</v>
      </c>
      <c r="F127" s="9" t="str">
        <f t="shared" si="28"/>
        <v/>
      </c>
      <c r="G127" s="9" t="str">
        <f t="shared" si="28"/>
        <v/>
      </c>
      <c r="H127" s="9" t="str">
        <f t="shared" si="28"/>
        <v/>
      </c>
      <c r="I127" s="9" t="str">
        <f t="shared" si="28"/>
        <v/>
      </c>
      <c r="J127" s="9" t="str">
        <f t="shared" si="28"/>
        <v/>
      </c>
      <c r="K127" s="9" t="str">
        <f t="shared" si="28"/>
        <v/>
      </c>
      <c r="L127" s="9" t="str">
        <f t="shared" si="28"/>
        <v/>
      </c>
    </row>
    <row r="128" spans="1:18" ht="15" customHeight="1" thickBot="1">
      <c r="A128" s="2" t="s">
        <v>161</v>
      </c>
      <c r="B128" s="55" t="s">
        <v>162</v>
      </c>
      <c r="C128" s="21"/>
      <c r="D128" s="27" t="str">
        <f t="shared" si="27"/>
        <v>Dr Brad Dent</v>
      </c>
      <c r="E128" s="22">
        <f>IFERROR(VLOOKUP(D128,'Employee Numbers'!$A$3:$B$84,2,FALSE),"NOT FOUND")</f>
        <v>649671</v>
      </c>
      <c r="F128" s="9" t="str">
        <f t="shared" si="28"/>
        <v/>
      </c>
      <c r="G128" s="9" t="str">
        <f t="shared" si="28"/>
        <v/>
      </c>
      <c r="H128" s="9" t="str">
        <f t="shared" si="28"/>
        <v/>
      </c>
      <c r="I128" s="9" t="str">
        <f t="shared" si="28"/>
        <v/>
      </c>
      <c r="J128" s="9" t="str">
        <f t="shared" si="28"/>
        <v/>
      </c>
      <c r="K128" s="9" t="str">
        <f t="shared" si="28"/>
        <v/>
      </c>
      <c r="L128" s="9" t="str">
        <f t="shared" si="28"/>
        <v/>
      </c>
    </row>
    <row r="129" spans="1:18" ht="15" customHeight="1" thickBot="1">
      <c r="A129" s="2" t="s">
        <v>161</v>
      </c>
      <c r="B129" s="55" t="s">
        <v>162</v>
      </c>
      <c r="C129" s="21"/>
      <c r="D129" s="27" t="str">
        <f t="shared" si="27"/>
        <v>Dr Marjolein Slaa</v>
      </c>
      <c r="E129" s="22">
        <f>IFERROR(VLOOKUP(D129,'Employee Numbers'!$A$3:$B$84,2,FALSE),"NOT FOUND")</f>
        <v>646047</v>
      </c>
      <c r="F129" s="9" t="str">
        <f t="shared" si="28"/>
        <v/>
      </c>
      <c r="G129" s="9" t="str">
        <f t="shared" si="28"/>
        <v/>
      </c>
      <c r="H129" s="9" t="str">
        <f t="shared" si="28"/>
        <v/>
      </c>
      <c r="I129" s="9" t="str">
        <f t="shared" si="28"/>
        <v/>
      </c>
      <c r="J129" s="9" t="str">
        <f t="shared" si="28"/>
        <v/>
      </c>
      <c r="K129" s="9" t="str">
        <f t="shared" si="28"/>
        <v>Con_8_0000</v>
      </c>
      <c r="L129" s="9" t="str">
        <f t="shared" si="28"/>
        <v/>
      </c>
    </row>
    <row r="130" spans="1:18" ht="15" customHeight="1" thickBot="1">
      <c r="A130" s="2" t="s">
        <v>161</v>
      </c>
      <c r="B130" s="55" t="s">
        <v>162</v>
      </c>
      <c r="C130" s="21"/>
      <c r="D130" s="27" t="str">
        <f t="shared" si="27"/>
        <v>Dr Natalie Hood</v>
      </c>
      <c r="E130" s="22">
        <f>IFERROR(VLOOKUP(D130,'Employee Numbers'!$A$3:$B$84,2,FALSE),"NOT FOUND")</f>
        <v>164003</v>
      </c>
      <c r="F130" s="9" t="str">
        <f t="shared" si="28"/>
        <v/>
      </c>
      <c r="G130" s="9" t="str">
        <f t="shared" si="28"/>
        <v/>
      </c>
      <c r="H130" s="9" t="str">
        <f t="shared" si="28"/>
        <v/>
      </c>
      <c r="I130" s="9" t="str">
        <f t="shared" si="28"/>
        <v>Con_8_0000</v>
      </c>
      <c r="J130" s="9" t="str">
        <f t="shared" si="28"/>
        <v/>
      </c>
      <c r="K130" s="9" t="str">
        <f t="shared" si="28"/>
        <v/>
      </c>
      <c r="L130" s="9" t="str">
        <f t="shared" si="28"/>
        <v/>
      </c>
    </row>
    <row r="131" spans="1:18" ht="15" customHeight="1" thickBot="1">
      <c r="A131" s="2" t="s">
        <v>161</v>
      </c>
      <c r="B131" s="55" t="s">
        <v>162</v>
      </c>
      <c r="C131" s="21"/>
      <c r="D131" s="27" t="str">
        <f t="shared" si="27"/>
        <v>Dr Michael Coman</v>
      </c>
      <c r="E131" s="22">
        <f>IFERROR(VLOOKUP(D131,'Employee Numbers'!$A$3:$B$84,2,FALSE),"NOT FOUND")</f>
        <v>609408</v>
      </c>
      <c r="F131" s="9" t="str">
        <f t="shared" ref="F131:L143" si="29">IF(F$50=$D131,"Con_8_0000","")</f>
        <v/>
      </c>
      <c r="G131" s="9" t="str">
        <f t="shared" si="29"/>
        <v/>
      </c>
      <c r="H131" s="9" t="str">
        <f t="shared" si="29"/>
        <v/>
      </c>
      <c r="I131" s="9" t="str">
        <f t="shared" si="29"/>
        <v/>
      </c>
      <c r="J131" s="9" t="str">
        <f t="shared" si="29"/>
        <v>Con_8_0000</v>
      </c>
      <c r="K131" s="9" t="str">
        <f t="shared" si="29"/>
        <v/>
      </c>
      <c r="L131" s="9" t="str">
        <f t="shared" si="29"/>
        <v/>
      </c>
    </row>
    <row r="132" spans="1:18" ht="15" customHeight="1" thickBot="1">
      <c r="A132" s="2" t="s">
        <v>161</v>
      </c>
      <c r="B132" s="55" t="s">
        <v>162</v>
      </c>
      <c r="C132" s="21"/>
      <c r="D132" s="27" t="str">
        <f t="shared" si="27"/>
        <v>Dr Andrew Hardy</v>
      </c>
      <c r="E132" s="22">
        <f>IFERROR(VLOOKUP(D132,'Employee Numbers'!$A$3:$B$84,2,FALSE),"NOT FOUND")</f>
        <v>627619</v>
      </c>
      <c r="F132" s="9" t="str">
        <f t="shared" si="29"/>
        <v/>
      </c>
      <c r="G132" s="9" t="str">
        <f t="shared" si="29"/>
        <v/>
      </c>
      <c r="H132" s="9" t="str">
        <f t="shared" si="29"/>
        <v/>
      </c>
      <c r="I132" s="9" t="str">
        <f t="shared" si="29"/>
        <v/>
      </c>
      <c r="J132" s="9" t="str">
        <f t="shared" si="29"/>
        <v/>
      </c>
      <c r="K132" s="9" t="str">
        <f t="shared" si="29"/>
        <v/>
      </c>
      <c r="L132" s="9" t="str">
        <f t="shared" si="29"/>
        <v>Con_8_0000</v>
      </c>
    </row>
    <row r="133" spans="1:18" ht="15" customHeight="1" thickBot="1">
      <c r="A133" s="2" t="s">
        <v>161</v>
      </c>
      <c r="B133" s="55" t="s">
        <v>162</v>
      </c>
      <c r="C133" s="21"/>
      <c r="D133" s="27" t="str">
        <f t="shared" si="27"/>
        <v>Dr Gargi Kanabar</v>
      </c>
      <c r="E133" s="22">
        <f>IFERROR(VLOOKUP(D133,'Employee Numbers'!$A$3:$B$84,2,FALSE),"NOT FOUND")</f>
        <v>632646</v>
      </c>
      <c r="F133" s="9" t="str">
        <f t="shared" si="29"/>
        <v/>
      </c>
      <c r="G133" s="9" t="str">
        <f t="shared" si="29"/>
        <v/>
      </c>
      <c r="H133" s="9" t="str">
        <f t="shared" si="29"/>
        <v/>
      </c>
      <c r="I133" s="9" t="str">
        <f t="shared" si="29"/>
        <v/>
      </c>
      <c r="J133" s="9" t="str">
        <f t="shared" si="29"/>
        <v/>
      </c>
      <c r="K133" s="9" t="str">
        <f t="shared" si="29"/>
        <v/>
      </c>
      <c r="L133" s="9" t="str">
        <f t="shared" si="29"/>
        <v/>
      </c>
    </row>
    <row r="134" spans="1:18" ht="15" customHeight="1" thickBot="1">
      <c r="A134" s="2" t="s">
        <v>161</v>
      </c>
      <c r="B134" s="55" t="s">
        <v>162</v>
      </c>
      <c r="C134" s="21"/>
      <c r="D134" s="27" t="str">
        <f t="shared" si="27"/>
        <v>Dr Mandy Parr</v>
      </c>
      <c r="E134" s="22">
        <f>IFERROR(VLOOKUP(D134,'Employee Numbers'!$A$3:$B$84,2,FALSE),"NOT FOUND")</f>
        <v>652844</v>
      </c>
      <c r="F134" s="9" t="str">
        <f t="shared" si="29"/>
        <v/>
      </c>
      <c r="G134" s="9" t="str">
        <f t="shared" si="29"/>
        <v/>
      </c>
      <c r="H134" s="9" t="str">
        <f t="shared" si="29"/>
        <v/>
      </c>
      <c r="I134" s="9" t="str">
        <f t="shared" si="29"/>
        <v/>
      </c>
      <c r="J134" s="9" t="str">
        <f t="shared" si="29"/>
        <v/>
      </c>
      <c r="K134" s="9" t="str">
        <f t="shared" si="29"/>
        <v/>
      </c>
      <c r="L134" s="9" t="str">
        <f t="shared" si="29"/>
        <v/>
      </c>
    </row>
    <row r="135" spans="1:18" ht="15" customHeight="1" thickBot="1">
      <c r="A135" s="2" t="s">
        <v>161</v>
      </c>
      <c r="B135" s="55" t="s">
        <v>162</v>
      </c>
      <c r="C135" s="21"/>
      <c r="D135" s="27" t="str">
        <f t="shared" si="27"/>
        <v>Dr Tecwyn Davies</v>
      </c>
      <c r="E135" s="22">
        <f>IFERROR(VLOOKUP(D135,'Employee Numbers'!$A$3:$B$84,2,FALSE),"NOT FOUND")</f>
        <v>634491</v>
      </c>
      <c r="F135" s="9" t="str">
        <f t="shared" si="29"/>
        <v/>
      </c>
      <c r="G135" s="9" t="str">
        <f t="shared" si="29"/>
        <v/>
      </c>
      <c r="H135" s="9" t="str">
        <f t="shared" si="29"/>
        <v>Con_8_0000</v>
      </c>
      <c r="I135" s="9" t="str">
        <f t="shared" si="29"/>
        <v/>
      </c>
      <c r="J135" s="9" t="str">
        <f t="shared" si="29"/>
        <v/>
      </c>
      <c r="K135" s="9" t="str">
        <f t="shared" si="29"/>
        <v/>
      </c>
      <c r="L135" s="9" t="str">
        <f t="shared" si="29"/>
        <v/>
      </c>
    </row>
    <row r="136" spans="1:18" ht="15" customHeight="1" thickBot="1">
      <c r="A136" s="2" t="s">
        <v>161</v>
      </c>
      <c r="B136" s="55" t="s">
        <v>162</v>
      </c>
      <c r="C136" s="21"/>
      <c r="D136" s="27" t="str">
        <f t="shared" si="27"/>
        <v>Dr Patrick Finn</v>
      </c>
      <c r="E136" s="22">
        <f>IFERROR(VLOOKUP(D136,'Employee Numbers'!$A$3:$B$84,2,FALSE),"NOT FOUND")</f>
        <v>621988</v>
      </c>
      <c r="F136" s="9" t="str">
        <f t="shared" si="29"/>
        <v/>
      </c>
      <c r="G136" s="9" t="str">
        <f t="shared" si="29"/>
        <v>Con_8_0000</v>
      </c>
      <c r="H136" s="9" t="str">
        <f t="shared" si="29"/>
        <v/>
      </c>
      <c r="I136" s="9" t="str">
        <f t="shared" si="29"/>
        <v/>
      </c>
      <c r="J136" s="9" t="str">
        <f t="shared" si="29"/>
        <v/>
      </c>
      <c r="K136" s="9" t="str">
        <f t="shared" si="29"/>
        <v/>
      </c>
      <c r="L136" s="9" t="str">
        <f t="shared" si="29"/>
        <v/>
      </c>
    </row>
    <row r="137" spans="1:18" ht="15" customHeight="1" thickBot="1">
      <c r="A137" s="2" t="s">
        <v>161</v>
      </c>
      <c r="B137" s="55" t="s">
        <v>162</v>
      </c>
      <c r="C137" s="21"/>
      <c r="D137" s="27" t="str">
        <f t="shared" si="27"/>
        <v>Dr Chris Fong</v>
      </c>
      <c r="E137" s="22">
        <f>IFERROR(VLOOKUP(D137,'Employee Numbers'!$A$3:$B$84,2,FALSE),"NOT FOUND")</f>
        <v>409677</v>
      </c>
      <c r="F137" s="9" t="str">
        <f t="shared" si="29"/>
        <v>Con_8_0000</v>
      </c>
      <c r="G137" s="9" t="str">
        <f t="shared" si="29"/>
        <v/>
      </c>
      <c r="H137" s="9" t="str">
        <f t="shared" si="29"/>
        <v/>
      </c>
      <c r="I137" s="9" t="str">
        <f t="shared" si="29"/>
        <v/>
      </c>
      <c r="J137" s="9" t="str">
        <f t="shared" si="29"/>
        <v/>
      </c>
      <c r="K137" s="9" t="str">
        <f t="shared" si="29"/>
        <v/>
      </c>
      <c r="L137" s="9" t="str">
        <f t="shared" si="29"/>
        <v/>
      </c>
    </row>
    <row r="138" spans="1:18" s="13" customFormat="1" ht="15" customHeight="1" thickBot="1">
      <c r="A138" s="2" t="s">
        <v>161</v>
      </c>
      <c r="B138" s="55" t="s">
        <v>162</v>
      </c>
      <c r="C138" s="21"/>
      <c r="D138" s="27" t="str">
        <f t="shared" si="27"/>
        <v>Dr Matthew Tang</v>
      </c>
      <c r="E138" s="22">
        <f>IFERROR(VLOOKUP(D138,'Employee Numbers'!$A$3:$B$84,2,FALSE),"NOT FOUND")</f>
        <v>632590</v>
      </c>
      <c r="F138" s="9" t="str">
        <f t="shared" si="29"/>
        <v/>
      </c>
      <c r="G138" s="9" t="str">
        <f t="shared" si="29"/>
        <v/>
      </c>
      <c r="H138" s="9" t="str">
        <f t="shared" si="29"/>
        <v/>
      </c>
      <c r="I138" s="9" t="str">
        <f t="shared" si="29"/>
        <v/>
      </c>
      <c r="J138" s="9" t="str">
        <f t="shared" si="29"/>
        <v/>
      </c>
      <c r="K138" s="9" t="str">
        <f t="shared" si="29"/>
        <v/>
      </c>
      <c r="L138" s="9" t="str">
        <f t="shared" si="29"/>
        <v/>
      </c>
      <c r="M138" s="5"/>
      <c r="N138" s="5"/>
      <c r="O138" s="5"/>
      <c r="P138" s="5"/>
      <c r="Q138" s="5"/>
      <c r="R138" s="5"/>
    </row>
    <row r="139" spans="1:18" s="13" customFormat="1" ht="15" customHeight="1" thickBot="1">
      <c r="A139" s="2" t="s">
        <v>161</v>
      </c>
      <c r="B139" s="55" t="s">
        <v>162</v>
      </c>
      <c r="C139" s="21"/>
      <c r="D139" s="27" t="str">
        <f t="shared" si="27"/>
        <v>Dr Niki Talic</v>
      </c>
      <c r="E139" s="22">
        <f>IFERROR(VLOOKUP(D139,'Employee Numbers'!$A$3:$B$84,2,FALSE),"NOT FOUND")</f>
        <v>619537</v>
      </c>
      <c r="F139" s="9" t="str">
        <f t="shared" si="29"/>
        <v/>
      </c>
      <c r="G139" s="9" t="str">
        <f t="shared" si="29"/>
        <v/>
      </c>
      <c r="H139" s="9" t="str">
        <f t="shared" si="29"/>
        <v/>
      </c>
      <c r="I139" s="9" t="str">
        <f t="shared" si="29"/>
        <v/>
      </c>
      <c r="J139" s="9" t="str">
        <f t="shared" si="29"/>
        <v/>
      </c>
      <c r="K139" s="9" t="str">
        <f t="shared" si="29"/>
        <v/>
      </c>
      <c r="L139" s="9" t="str">
        <f t="shared" si="29"/>
        <v/>
      </c>
      <c r="M139" s="5"/>
      <c r="N139" s="5"/>
      <c r="O139" s="5"/>
      <c r="P139" s="5"/>
      <c r="Q139" s="5"/>
      <c r="R139" s="5"/>
    </row>
    <row r="140" spans="1:18" s="13" customFormat="1" ht="15" customHeight="1" thickBot="1">
      <c r="A140" s="2" t="s">
        <v>161</v>
      </c>
      <c r="B140" s="55" t="s">
        <v>162</v>
      </c>
      <c r="C140" s="21"/>
      <c r="D140" s="27" t="str">
        <f t="shared" si="27"/>
        <v>Dr Deb Morawetz</v>
      </c>
      <c r="E140" s="22">
        <f>IFERROR(VLOOKUP(D140,'Employee Numbers'!$A$3:$B$84,2,FALSE),"NOT FOUND")</f>
        <v>621953</v>
      </c>
      <c r="F140" s="9" t="str">
        <f t="shared" si="29"/>
        <v/>
      </c>
      <c r="G140" s="9" t="str">
        <f t="shared" si="29"/>
        <v/>
      </c>
      <c r="H140" s="9" t="str">
        <f t="shared" si="29"/>
        <v/>
      </c>
      <c r="I140" s="9" t="str">
        <f t="shared" si="29"/>
        <v/>
      </c>
      <c r="J140" s="9" t="str">
        <f t="shared" si="29"/>
        <v/>
      </c>
      <c r="K140" s="9" t="str">
        <f t="shared" si="29"/>
        <v/>
      </c>
      <c r="L140" s="9" t="str">
        <f t="shared" si="29"/>
        <v/>
      </c>
      <c r="M140" s="5"/>
      <c r="N140" s="5"/>
      <c r="O140" s="5"/>
      <c r="P140" s="5"/>
      <c r="Q140" s="5"/>
      <c r="R140" s="5"/>
    </row>
    <row r="141" spans="1:18" s="13" customFormat="1" ht="15" customHeight="1" thickBot="1">
      <c r="A141" s="2" t="s">
        <v>161</v>
      </c>
      <c r="B141" s="55" t="s">
        <v>162</v>
      </c>
      <c r="C141" s="21"/>
      <c r="D141" s="27" t="str">
        <f t="shared" si="27"/>
        <v>Dr Priya Jeyaveerasingam</v>
      </c>
      <c r="E141" s="22">
        <f>IFERROR(VLOOKUP(D141,'Employee Numbers'!$A$3:$B$84,2,FALSE),"NOT FOUND")</f>
        <v>614504</v>
      </c>
      <c r="F141" s="9" t="str">
        <f t="shared" si="29"/>
        <v/>
      </c>
      <c r="G141" s="9" t="str">
        <f t="shared" si="29"/>
        <v/>
      </c>
      <c r="H141" s="9" t="str">
        <f t="shared" si="29"/>
        <v/>
      </c>
      <c r="I141" s="9" t="str">
        <f t="shared" si="29"/>
        <v/>
      </c>
      <c r="J141" s="9" t="str">
        <f t="shared" si="29"/>
        <v/>
      </c>
      <c r="K141" s="9" t="str">
        <f t="shared" si="29"/>
        <v/>
      </c>
      <c r="L141" s="9" t="str">
        <f t="shared" si="29"/>
        <v/>
      </c>
      <c r="M141" s="5"/>
      <c r="N141" s="5"/>
      <c r="O141" s="5"/>
      <c r="P141" s="5"/>
      <c r="Q141" s="5"/>
      <c r="R141" s="5"/>
    </row>
    <row r="142" spans="1:18" s="13" customFormat="1" ht="15" customHeight="1" thickBot="1">
      <c r="A142" s="2" t="s">
        <v>161</v>
      </c>
      <c r="B142" s="55" t="s">
        <v>162</v>
      </c>
      <c r="C142" s="21"/>
      <c r="D142" s="27" t="str">
        <f t="shared" si="27"/>
        <v>Locum</v>
      </c>
      <c r="E142" s="22" t="str">
        <f>IFERROR(VLOOKUP(D142,'Employee Numbers'!$A$3:$B$84,2,FALSE),"NOT FOUND")</f>
        <v>N/A</v>
      </c>
      <c r="F142" s="9" t="str">
        <f t="shared" si="29"/>
        <v/>
      </c>
      <c r="G142" s="9" t="str">
        <f t="shared" si="29"/>
        <v/>
      </c>
      <c r="H142" s="9" t="str">
        <f t="shared" si="29"/>
        <v/>
      </c>
      <c r="I142" s="9" t="str">
        <f t="shared" si="29"/>
        <v/>
      </c>
      <c r="J142" s="9" t="str">
        <f t="shared" si="29"/>
        <v/>
      </c>
      <c r="K142" s="9" t="str">
        <f t="shared" si="29"/>
        <v/>
      </c>
      <c r="L142" s="9" t="str">
        <f t="shared" si="29"/>
        <v/>
      </c>
      <c r="M142" s="5"/>
      <c r="N142" s="5"/>
      <c r="O142" s="5"/>
      <c r="P142" s="5"/>
      <c r="Q142" s="5"/>
      <c r="R142" s="5"/>
    </row>
    <row r="143" spans="1:18" s="13" customFormat="1" ht="15" customHeight="1">
      <c r="A143" s="2" t="s">
        <v>161</v>
      </c>
      <c r="B143" s="55" t="s">
        <v>162</v>
      </c>
      <c r="C143" s="21"/>
      <c r="D143" s="27" t="str">
        <f t="shared" si="27"/>
        <v>Locum</v>
      </c>
      <c r="E143" s="22" t="str">
        <f>IFERROR(VLOOKUP(D143,'Employee Numbers'!$A$3:$B$84,2,FALSE),"NOT FOUND")</f>
        <v>N/A</v>
      </c>
      <c r="F143" s="9" t="str">
        <f t="shared" si="29"/>
        <v/>
      </c>
      <c r="G143" s="9" t="str">
        <f t="shared" si="29"/>
        <v/>
      </c>
      <c r="H143" s="9" t="str">
        <f t="shared" si="29"/>
        <v/>
      </c>
      <c r="I143" s="9" t="str">
        <f t="shared" si="29"/>
        <v/>
      </c>
      <c r="J143" s="9" t="str">
        <f t="shared" si="29"/>
        <v/>
      </c>
      <c r="K143" s="9" t="str">
        <f t="shared" si="29"/>
        <v/>
      </c>
      <c r="L143" s="9" t="str">
        <f t="shared" si="29"/>
        <v/>
      </c>
      <c r="M143" s="5"/>
      <c r="N143" s="5"/>
      <c r="O143" s="5"/>
      <c r="P143" s="5"/>
      <c r="Q143" s="5"/>
      <c r="R143" s="5"/>
    </row>
    <row r="144" spans="1:18" ht="15" customHeight="1" thickBot="1"/>
    <row r="145" spans="1:18" s="2" customFormat="1" ht="15" customHeight="1" thickBot="1">
      <c r="A145" s="172" t="s">
        <v>86</v>
      </c>
      <c r="B145" s="48" t="s">
        <v>163</v>
      </c>
      <c r="C145" s="49" t="s">
        <v>164</v>
      </c>
      <c r="D145" s="173" t="str">
        <f>D53</f>
        <v xml:space="preserve">Fellow </v>
      </c>
      <c r="E145" s="20" t="s">
        <v>4</v>
      </c>
      <c r="F145" s="12" t="s">
        <v>5</v>
      </c>
      <c r="G145" s="83" t="s">
        <v>6</v>
      </c>
      <c r="H145" s="83" t="s">
        <v>7</v>
      </c>
      <c r="I145" s="83" t="s">
        <v>8</v>
      </c>
      <c r="J145" s="83" t="s">
        <v>9</v>
      </c>
      <c r="K145" s="83" t="s">
        <v>10</v>
      </c>
      <c r="L145" s="23" t="s">
        <v>11</v>
      </c>
      <c r="M145" s="23" t="s">
        <v>165</v>
      </c>
      <c r="N145" s="5"/>
      <c r="O145" s="5"/>
      <c r="P145" s="5"/>
      <c r="Q145" s="5"/>
      <c r="R145" s="5"/>
    </row>
    <row r="146" spans="1:18" ht="15" customHeight="1" thickBot="1">
      <c r="A146" s="2" t="s">
        <v>166</v>
      </c>
      <c r="B146" s="2"/>
      <c r="C146" s="21"/>
      <c r="D146" s="84" t="str">
        <f>D54</f>
        <v>Ellen Scott (0.75)</v>
      </c>
      <c r="E146" s="22">
        <f>IFERROR(VLOOKUP(D146,'Employee Numbers'!$A$3:$B$84,2,FALSE),"NOT FOUND")</f>
        <v>634905</v>
      </c>
      <c r="F146" s="38"/>
      <c r="G146" s="31"/>
      <c r="H146" s="31" t="s">
        <v>167</v>
      </c>
      <c r="I146" s="38"/>
      <c r="J146" s="38"/>
      <c r="K146" s="38"/>
      <c r="L146" s="38"/>
      <c r="M146" s="35" t="s">
        <v>168</v>
      </c>
    </row>
    <row r="147" spans="1:18" ht="15" customHeight="1" thickBot="1">
      <c r="A147" s="2" t="s">
        <v>166</v>
      </c>
      <c r="B147" s="2"/>
      <c r="C147" s="21"/>
      <c r="D147" s="84" t="str">
        <f t="shared" ref="D147:D151" si="30">D55</f>
        <v>Seamus Harrington</v>
      </c>
      <c r="E147" s="22">
        <f>IFERROR(VLOOKUP(D147,'Employee Numbers'!$A$3:$B$84,2,FALSE),"NOT FOUND")</f>
        <v>704751</v>
      </c>
      <c r="F147" s="38"/>
      <c r="G147" s="31"/>
      <c r="H147" s="31" t="str">
        <f t="shared" ref="H147" si="31">IF(COUNTIF(H55,"0800-1730*"),"trg_5_1730","trg_5_0900")</f>
        <v>trg_5_1730</v>
      </c>
      <c r="I147" s="38"/>
      <c r="J147" s="38"/>
      <c r="K147" s="38"/>
      <c r="L147" s="38"/>
      <c r="M147" s="35" t="s">
        <v>168</v>
      </c>
    </row>
    <row r="148" spans="1:18" ht="15" customHeight="1" thickBot="1">
      <c r="A148" s="2" t="s">
        <v>166</v>
      </c>
      <c r="B148" s="2"/>
      <c r="C148" s="21"/>
      <c r="D148" s="84" t="str">
        <f t="shared" si="30"/>
        <v>Antra Ansons</v>
      </c>
      <c r="E148" s="22">
        <f>IFERROR(VLOOKUP(D148,'Employee Numbers'!$A$3:$B$84,2,FALSE),"NOT FOUND")</f>
        <v>637219</v>
      </c>
      <c r="F148" s="38"/>
      <c r="G148" s="31"/>
      <c r="H148" s="31"/>
      <c r="I148" s="38"/>
      <c r="J148" s="38"/>
      <c r="K148" s="38"/>
      <c r="L148" s="38"/>
      <c r="M148" s="35" t="s">
        <v>168</v>
      </c>
    </row>
    <row r="149" spans="1:18" ht="15" customHeight="1" thickBot="1">
      <c r="A149" s="2" t="s">
        <v>166</v>
      </c>
      <c r="B149" s="2"/>
      <c r="C149" s="21"/>
      <c r="D149" s="84">
        <f t="shared" si="30"/>
        <v>0</v>
      </c>
      <c r="E149" s="22" t="str">
        <f>IFERROR(VLOOKUP(D149,'Employee Numbers'!$A$3:$B$84,2,FALSE),"NOT FOUND")</f>
        <v>NOT FOUND</v>
      </c>
      <c r="F149" s="38"/>
      <c r="G149" s="31"/>
      <c r="H149" s="31" t="str">
        <f t="shared" ref="H149:H151" si="32">IF(COUNTIF(H57,"0800-1730*"),"trg_2.5_1730","trg_2.5_0900")</f>
        <v>trg_2.5_0900</v>
      </c>
      <c r="I149" s="38"/>
      <c r="J149" s="38"/>
      <c r="K149" s="38"/>
      <c r="L149" s="38"/>
      <c r="M149" s="35" t="s">
        <v>168</v>
      </c>
    </row>
    <row r="150" spans="1:18" ht="15" customHeight="1" thickBot="1">
      <c r="A150" s="2" t="s">
        <v>166</v>
      </c>
      <c r="B150" s="2"/>
      <c r="C150" s="21"/>
      <c r="D150" s="84">
        <f t="shared" si="30"/>
        <v>0</v>
      </c>
      <c r="E150" s="22" t="str">
        <f>IFERROR(VLOOKUP(D150,'Employee Numbers'!$A$3:$B$84,2,FALSE),"NOT FOUND")</f>
        <v>NOT FOUND</v>
      </c>
      <c r="F150" s="38"/>
      <c r="G150" s="31"/>
      <c r="H150" s="31" t="str">
        <f t="shared" si="32"/>
        <v>trg_2.5_0900</v>
      </c>
      <c r="I150" s="38"/>
      <c r="J150" s="38"/>
      <c r="K150" s="38"/>
      <c r="L150" s="38"/>
      <c r="M150" s="35" t="s">
        <v>168</v>
      </c>
    </row>
    <row r="151" spans="1:18" ht="15" customHeight="1">
      <c r="A151" s="2" t="s">
        <v>166</v>
      </c>
      <c r="B151" s="2"/>
      <c r="C151" s="21"/>
      <c r="D151" s="84">
        <f t="shared" si="30"/>
        <v>0</v>
      </c>
      <c r="E151" s="22" t="str">
        <f>IFERROR(VLOOKUP(D151,'Employee Numbers'!$A$3:$B$84,2,FALSE),"NOT FOUND")</f>
        <v>NOT FOUND</v>
      </c>
      <c r="F151" s="38"/>
      <c r="G151" s="31"/>
      <c r="H151" s="31" t="str">
        <f t="shared" si="32"/>
        <v>trg_2.5_0900</v>
      </c>
      <c r="I151" s="38"/>
      <c r="J151" s="38"/>
      <c r="K151" s="38"/>
      <c r="L151" s="38"/>
      <c r="M151" s="35" t="s">
        <v>168</v>
      </c>
    </row>
    <row r="152" spans="1:18" s="2" customFormat="1" ht="13.5" customHeight="1" thickBot="1">
      <c r="A152" s="174" t="s">
        <v>96</v>
      </c>
      <c r="B152" s="50"/>
      <c r="C152" s="51"/>
      <c r="D152" s="175" t="s">
        <v>97</v>
      </c>
      <c r="E152" s="105" t="s">
        <v>4</v>
      </c>
      <c r="F152" s="105" t="s">
        <v>5</v>
      </c>
      <c r="G152" s="105" t="s">
        <v>6</v>
      </c>
      <c r="H152" s="106" t="s">
        <v>7</v>
      </c>
      <c r="I152" s="105" t="s">
        <v>8</v>
      </c>
      <c r="J152" s="105" t="s">
        <v>9</v>
      </c>
      <c r="K152" s="105" t="s">
        <v>10</v>
      </c>
      <c r="L152" s="105" t="s">
        <v>11</v>
      </c>
      <c r="N152"/>
      <c r="O152"/>
      <c r="Q152"/>
    </row>
    <row r="153" spans="1:18" s="2" customFormat="1" ht="15" customHeight="1" thickBot="1">
      <c r="A153" s="2" t="s">
        <v>169</v>
      </c>
      <c r="B153" s="5"/>
      <c r="C153" s="8"/>
      <c r="D153" s="84" t="str">
        <f>D61</f>
        <v>Mark Lim</v>
      </c>
      <c r="E153" s="22">
        <f>IFERROR(VLOOKUP(D153,'Employee Numbers'!$A$3:$B$84,2,FALSE),"NOT FOUND")</f>
        <v>638531</v>
      </c>
      <c r="F153" s="31" t="str">
        <f t="shared" ref="F153:G168" si="33">IF(COUNTIF(F61,"*on*call*"),"oncall 2300-0830","")</f>
        <v/>
      </c>
      <c r="G153" s="31" t="str">
        <f t="shared" si="33"/>
        <v/>
      </c>
      <c r="H153" s="37" t="s">
        <v>170</v>
      </c>
      <c r="I153" s="31" t="str">
        <f t="shared" ref="I153:L168" si="34">IF(COUNTIF(I61,"*on*call*"),"oncall 2300-0830","")</f>
        <v/>
      </c>
      <c r="J153" s="31" t="str">
        <f t="shared" si="34"/>
        <v/>
      </c>
      <c r="K153" s="31" t="str">
        <f t="shared" si="34"/>
        <v/>
      </c>
      <c r="L153" s="31" t="str">
        <f t="shared" si="34"/>
        <v/>
      </c>
      <c r="M153" s="35" t="s">
        <v>168</v>
      </c>
      <c r="N153" s="5"/>
      <c r="O153" s="5"/>
      <c r="P153" s="5"/>
      <c r="Q153" s="5"/>
      <c r="R153" s="5"/>
    </row>
    <row r="154" spans="1:18" ht="15" customHeight="1" thickBot="1">
      <c r="A154" s="2" t="s">
        <v>169</v>
      </c>
      <c r="B154" s="2"/>
      <c r="C154" s="47"/>
      <c r="D154" s="84" t="str">
        <f t="shared" ref="D154:D176" si="35">D62</f>
        <v xml:space="preserve">Melanie Engel </v>
      </c>
      <c r="E154" s="22">
        <f>IFERROR(VLOOKUP(D154,'Employee Numbers'!$A$3:$B$84,2,FALSE),"NOT FOUND")</f>
        <v>631715</v>
      </c>
      <c r="F154" s="31" t="str">
        <f t="shared" si="33"/>
        <v/>
      </c>
      <c r="G154" s="31" t="str">
        <f t="shared" si="33"/>
        <v/>
      </c>
      <c r="H154" s="37"/>
      <c r="I154" s="31" t="str">
        <f t="shared" si="34"/>
        <v/>
      </c>
      <c r="J154" s="31" t="str">
        <f t="shared" si="34"/>
        <v/>
      </c>
      <c r="K154" s="31" t="str">
        <f t="shared" si="34"/>
        <v/>
      </c>
      <c r="L154" s="31" t="str">
        <f t="shared" si="34"/>
        <v/>
      </c>
      <c r="M154" s="35" t="s">
        <v>168</v>
      </c>
      <c r="N154" s="2"/>
      <c r="O154" s="2"/>
      <c r="P154" s="2"/>
      <c r="Q154" s="2"/>
      <c r="R154" s="2"/>
    </row>
    <row r="155" spans="1:18" ht="15" customHeight="1" thickBot="1">
      <c r="A155" s="2" t="s">
        <v>169</v>
      </c>
      <c r="B155" s="2"/>
      <c r="C155" s="47"/>
      <c r="D155" s="84" t="str">
        <f t="shared" si="35"/>
        <v>Marian Isaac  (0.75)</v>
      </c>
      <c r="E155" s="22">
        <f>IFERROR(VLOOKUP(D155,'Employee Numbers'!$A$3:$B$84,2,FALSE),"NOT FOUND")</f>
        <v>703719</v>
      </c>
      <c r="F155" s="31" t="str">
        <f t="shared" si="33"/>
        <v/>
      </c>
      <c r="G155" s="31" t="str">
        <f t="shared" si="33"/>
        <v/>
      </c>
      <c r="H155" s="31" t="s">
        <v>167</v>
      </c>
      <c r="I155" s="31" t="str">
        <f t="shared" si="34"/>
        <v/>
      </c>
      <c r="J155" s="31" t="str">
        <f t="shared" si="34"/>
        <v/>
      </c>
      <c r="K155" s="31" t="str">
        <f t="shared" si="34"/>
        <v/>
      </c>
      <c r="L155" s="31" t="str">
        <f t="shared" si="34"/>
        <v/>
      </c>
      <c r="M155" s="35" t="s">
        <v>168</v>
      </c>
    </row>
    <row r="156" spans="1:18" ht="15" customHeight="1" thickBot="1">
      <c r="A156" s="2" t="s">
        <v>169</v>
      </c>
      <c r="B156" s="2"/>
      <c r="C156" s="47"/>
      <c r="D156" s="84" t="str">
        <f t="shared" si="35"/>
        <v xml:space="preserve">Jonathan Wong (0.75) </v>
      </c>
      <c r="E156" s="22">
        <f>IFERROR(VLOOKUP(D156,'Employee Numbers'!$A$3:$B$84,2,FALSE),"NOT FOUND")</f>
        <v>637791</v>
      </c>
      <c r="F156" s="31" t="str">
        <f t="shared" si="33"/>
        <v/>
      </c>
      <c r="G156" s="31" t="str">
        <f t="shared" si="33"/>
        <v/>
      </c>
      <c r="H156" s="31" t="s">
        <v>167</v>
      </c>
      <c r="I156" s="31" t="str">
        <f t="shared" si="34"/>
        <v/>
      </c>
      <c r="J156" s="31" t="str">
        <f t="shared" si="34"/>
        <v/>
      </c>
      <c r="K156" s="31" t="str">
        <f t="shared" si="34"/>
        <v/>
      </c>
      <c r="L156" s="31" t="str">
        <f t="shared" si="34"/>
        <v/>
      </c>
      <c r="M156" s="35" t="s">
        <v>168</v>
      </c>
    </row>
    <row r="157" spans="1:18" ht="15" customHeight="1" thickBot="1">
      <c r="A157" s="2" t="s">
        <v>169</v>
      </c>
      <c r="B157" s="2"/>
      <c r="C157" s="47"/>
      <c r="D157" s="84" t="str">
        <f t="shared" si="35"/>
        <v xml:space="preserve">Joshua Feek </v>
      </c>
      <c r="E157" s="22">
        <f>IFERROR(VLOOKUP(D157,'Employee Numbers'!$A$3:$B$84,2,FALSE),"NOT FOUND")</f>
        <v>652867</v>
      </c>
      <c r="F157" s="31" t="str">
        <f t="shared" si="33"/>
        <v/>
      </c>
      <c r="G157" s="31" t="str">
        <f t="shared" si="33"/>
        <v/>
      </c>
      <c r="H157" s="37" t="s">
        <v>170</v>
      </c>
      <c r="I157" s="31" t="str">
        <f t="shared" si="34"/>
        <v/>
      </c>
      <c r="J157" s="31" t="str">
        <f t="shared" si="34"/>
        <v/>
      </c>
      <c r="K157" s="31" t="str">
        <f t="shared" si="34"/>
        <v/>
      </c>
      <c r="L157" s="31" t="str">
        <f t="shared" si="34"/>
        <v/>
      </c>
      <c r="M157" s="35" t="s">
        <v>168</v>
      </c>
    </row>
    <row r="158" spans="1:18" ht="15" customHeight="1" thickBot="1">
      <c r="A158" s="2" t="s">
        <v>169</v>
      </c>
      <c r="B158" s="2"/>
      <c r="C158" s="47"/>
      <c r="D158" s="84" t="str">
        <f t="shared" si="35"/>
        <v xml:space="preserve">Andrea Lim (0.5) </v>
      </c>
      <c r="E158" s="22">
        <f>IFERROR(VLOOKUP(D158,'Employee Numbers'!$A$3:$B$84,2,FALSE),"NOT FOUND")</f>
        <v>611551</v>
      </c>
      <c r="F158" s="31" t="str">
        <f t="shared" si="33"/>
        <v/>
      </c>
      <c r="G158" s="31" t="str">
        <f t="shared" si="33"/>
        <v/>
      </c>
      <c r="H158" s="31" t="str">
        <f t="shared" ref="H158" si="36">IF(COUNTIF(H66,"0800-1730*"),"trg_2.5_1730","trg_2.5_0900")</f>
        <v>trg_2.5_0900</v>
      </c>
      <c r="I158" s="31" t="str">
        <f t="shared" si="34"/>
        <v/>
      </c>
      <c r="J158" s="31" t="str">
        <f t="shared" si="34"/>
        <v/>
      </c>
      <c r="K158" s="31" t="str">
        <f t="shared" si="34"/>
        <v/>
      </c>
      <c r="L158" s="31" t="str">
        <f t="shared" si="34"/>
        <v/>
      </c>
      <c r="M158" s="35" t="s">
        <v>168</v>
      </c>
      <c r="N158" s="13"/>
      <c r="O158" s="13"/>
      <c r="P158" s="13"/>
      <c r="Q158" s="13"/>
      <c r="R158" s="13"/>
    </row>
    <row r="159" spans="1:18" ht="15" customHeight="1" thickBot="1">
      <c r="A159" s="2" t="s">
        <v>169</v>
      </c>
      <c r="B159" s="2"/>
      <c r="C159" s="47"/>
      <c r="D159" s="84" t="str">
        <f t="shared" si="35"/>
        <v>Jessica Burgess (0.5)</v>
      </c>
      <c r="E159" s="22">
        <f>IFERROR(VLOOKUP(D159,'Employee Numbers'!$A$3:$B$84,2,FALSE),"NOT FOUND")</f>
        <v>615820</v>
      </c>
      <c r="F159" s="31" t="str">
        <f t="shared" si="33"/>
        <v/>
      </c>
      <c r="G159" s="31" t="str">
        <f t="shared" si="33"/>
        <v/>
      </c>
      <c r="H159" s="31"/>
      <c r="I159" s="31" t="str">
        <f t="shared" si="34"/>
        <v/>
      </c>
      <c r="J159" s="31" t="str">
        <f t="shared" si="34"/>
        <v/>
      </c>
      <c r="K159" s="31" t="str">
        <f t="shared" si="34"/>
        <v/>
      </c>
      <c r="L159" s="31" t="str">
        <f t="shared" si="34"/>
        <v/>
      </c>
      <c r="M159" s="35" t="s">
        <v>168</v>
      </c>
      <c r="N159" s="13"/>
      <c r="O159" s="13"/>
      <c r="P159" s="13"/>
      <c r="Q159" s="13"/>
      <c r="R159" s="13"/>
    </row>
    <row r="160" spans="1:18" ht="15" customHeight="1" thickBot="1">
      <c r="A160" s="2" t="s">
        <v>169</v>
      </c>
      <c r="B160" s="2"/>
      <c r="C160" s="47"/>
      <c r="D160" s="84" t="str">
        <f t="shared" si="35"/>
        <v>Elisha Gallivan</v>
      </c>
      <c r="E160" s="22">
        <f>IFERROR(VLOOKUP(D160,'Employee Numbers'!$A$3:$B$84,2,FALSE),"NOT FOUND")</f>
        <v>654727</v>
      </c>
      <c r="F160" s="31" t="str">
        <f t="shared" si="33"/>
        <v/>
      </c>
      <c r="G160" s="31" t="str">
        <f t="shared" si="33"/>
        <v/>
      </c>
      <c r="H160" s="37" t="s">
        <v>170</v>
      </c>
      <c r="I160" s="31" t="str">
        <f t="shared" si="34"/>
        <v/>
      </c>
      <c r="J160" s="31" t="str">
        <f t="shared" si="34"/>
        <v/>
      </c>
      <c r="K160" s="31" t="str">
        <f t="shared" si="34"/>
        <v/>
      </c>
      <c r="L160" s="31" t="str">
        <f t="shared" si="34"/>
        <v/>
      </c>
      <c r="M160" s="35" t="s">
        <v>168</v>
      </c>
    </row>
    <row r="161" spans="1:18" ht="15" customHeight="1" thickBot="1">
      <c r="A161" s="2" t="s">
        <v>169</v>
      </c>
      <c r="B161" s="2"/>
      <c r="C161" s="47"/>
      <c r="D161" s="84" t="str">
        <f t="shared" si="35"/>
        <v>Leila Dosso</v>
      </c>
      <c r="E161" s="22">
        <f>IFERROR(VLOOKUP(D161,'Employee Numbers'!$A$3:$B$84,2,FALSE),"NOT FOUND")</f>
        <v>702947</v>
      </c>
      <c r="F161" s="31" t="str">
        <f t="shared" si="33"/>
        <v/>
      </c>
      <c r="G161" s="31" t="str">
        <f t="shared" si="33"/>
        <v/>
      </c>
      <c r="H161" s="37" t="s">
        <v>170</v>
      </c>
      <c r="I161" s="31" t="str">
        <f t="shared" si="34"/>
        <v/>
      </c>
      <c r="J161" s="31" t="str">
        <f t="shared" si="34"/>
        <v/>
      </c>
      <c r="K161" s="31" t="str">
        <f t="shared" si="34"/>
        <v/>
      </c>
      <c r="L161" s="31" t="str">
        <f t="shared" si="34"/>
        <v/>
      </c>
      <c r="M161" s="35" t="s">
        <v>168</v>
      </c>
    </row>
    <row r="162" spans="1:18" s="13" customFormat="1" ht="15" customHeight="1" thickBot="1">
      <c r="A162" s="2" t="s">
        <v>169</v>
      </c>
      <c r="B162" s="2"/>
      <c r="C162" s="21"/>
      <c r="D162" s="84" t="str">
        <f t="shared" si="35"/>
        <v xml:space="preserve">Efi Tsampou </v>
      </c>
      <c r="E162" s="22">
        <f>IFERROR(VLOOKUP(D162,'Employee Numbers'!$A$3:$B$84,2,FALSE),"NOT FOUND")</f>
        <v>654002</v>
      </c>
      <c r="F162" s="31" t="str">
        <f t="shared" si="33"/>
        <v/>
      </c>
      <c r="G162" s="31" t="str">
        <f t="shared" si="33"/>
        <v/>
      </c>
      <c r="H162" s="37" t="s">
        <v>170</v>
      </c>
      <c r="I162" s="31" t="str">
        <f t="shared" si="34"/>
        <v/>
      </c>
      <c r="J162" s="31" t="str">
        <f t="shared" si="34"/>
        <v/>
      </c>
      <c r="K162" s="31" t="str">
        <f t="shared" si="34"/>
        <v/>
      </c>
      <c r="L162" s="31" t="str">
        <f t="shared" si="34"/>
        <v/>
      </c>
      <c r="M162" s="35" t="s">
        <v>168</v>
      </c>
      <c r="N162" s="5"/>
      <c r="O162" s="5"/>
      <c r="P162" s="5"/>
      <c r="Q162" s="5"/>
      <c r="R162" s="5"/>
    </row>
    <row r="163" spans="1:18" ht="15" customHeight="1" thickBot="1">
      <c r="A163" s="2" t="s">
        <v>169</v>
      </c>
      <c r="B163" s="2"/>
      <c r="C163" s="21"/>
      <c r="D163" s="84" t="str">
        <f t="shared" si="35"/>
        <v>Marian Panlilio</v>
      </c>
      <c r="E163" s="22">
        <f>IFERROR(VLOOKUP(D163,'Employee Numbers'!$A$3:$B$84,2,FALSE),"NOT FOUND")</f>
        <v>703068</v>
      </c>
      <c r="F163" s="31" t="str">
        <f t="shared" si="33"/>
        <v/>
      </c>
      <c r="G163" s="31" t="str">
        <f t="shared" si="33"/>
        <v/>
      </c>
      <c r="H163" s="37" t="s">
        <v>170</v>
      </c>
      <c r="I163" s="31" t="str">
        <f t="shared" si="34"/>
        <v/>
      </c>
      <c r="J163" s="31" t="str">
        <f t="shared" si="34"/>
        <v/>
      </c>
      <c r="K163" s="31" t="str">
        <f t="shared" si="34"/>
        <v/>
      </c>
      <c r="L163" s="31" t="str">
        <f t="shared" si="34"/>
        <v/>
      </c>
      <c r="M163" s="35" t="s">
        <v>168</v>
      </c>
    </row>
    <row r="164" spans="1:18" ht="15" customHeight="1" thickBot="1">
      <c r="A164" s="2" t="s">
        <v>169</v>
      </c>
      <c r="B164" s="2"/>
      <c r="C164" s="21"/>
      <c r="D164" s="84" t="str">
        <f t="shared" si="35"/>
        <v>Takhfif Othman</v>
      </c>
      <c r="E164" s="22">
        <f>IFERROR(VLOOKUP(D164,'Employee Numbers'!$A$3:$B$84,2,FALSE),"NOT FOUND")</f>
        <v>703911</v>
      </c>
      <c r="F164" s="31" t="str">
        <f t="shared" si="33"/>
        <v/>
      </c>
      <c r="G164" s="31" t="str">
        <f t="shared" si="33"/>
        <v/>
      </c>
      <c r="H164" s="37" t="s">
        <v>170</v>
      </c>
      <c r="I164" s="31" t="str">
        <f t="shared" si="34"/>
        <v/>
      </c>
      <c r="J164" s="31" t="str">
        <f t="shared" si="34"/>
        <v/>
      </c>
      <c r="K164" s="31" t="str">
        <f t="shared" si="34"/>
        <v/>
      </c>
      <c r="L164" s="31" t="str">
        <f t="shared" si="34"/>
        <v/>
      </c>
      <c r="M164" s="35" t="s">
        <v>168</v>
      </c>
    </row>
    <row r="165" spans="1:18" ht="15" customHeight="1" thickBot="1">
      <c r="A165" s="2" t="s">
        <v>169</v>
      </c>
      <c r="B165" s="2"/>
      <c r="C165" s="21"/>
      <c r="D165" s="84" t="str">
        <f t="shared" si="35"/>
        <v xml:space="preserve">Toby Obrien </v>
      </c>
      <c r="E165" s="22">
        <f>IFERROR(VLOOKUP(D165,'Employee Numbers'!$A$3:$B$84,2,FALSE),"NOT FOUND")</f>
        <v>633936</v>
      </c>
      <c r="F165" s="31" t="str">
        <f t="shared" si="33"/>
        <v/>
      </c>
      <c r="G165" s="31" t="str">
        <f t="shared" si="33"/>
        <v/>
      </c>
      <c r="H165" s="37" t="s">
        <v>170</v>
      </c>
      <c r="I165" s="31" t="str">
        <f t="shared" si="34"/>
        <v/>
      </c>
      <c r="J165" s="31" t="str">
        <f t="shared" si="34"/>
        <v/>
      </c>
      <c r="K165" s="31" t="str">
        <f t="shared" si="34"/>
        <v/>
      </c>
      <c r="L165" s="31" t="str">
        <f t="shared" si="34"/>
        <v/>
      </c>
      <c r="M165" s="35" t="s">
        <v>168</v>
      </c>
    </row>
    <row r="166" spans="1:18" ht="15" customHeight="1" thickBot="1">
      <c r="A166" s="2" t="s">
        <v>169</v>
      </c>
      <c r="B166" s="2"/>
      <c r="C166" s="21"/>
      <c r="D166" s="84" t="str">
        <f t="shared" si="35"/>
        <v>William Jiang</v>
      </c>
      <c r="E166" s="22">
        <f>IFERROR(VLOOKUP(D166,'Employee Numbers'!$A$3:$B$84,2,FALSE),"NOT FOUND")</f>
        <v>700755</v>
      </c>
      <c r="F166" s="31" t="str">
        <f t="shared" si="33"/>
        <v/>
      </c>
      <c r="G166" s="31" t="str">
        <f t="shared" si="33"/>
        <v/>
      </c>
      <c r="H166" s="37" t="s">
        <v>170</v>
      </c>
      <c r="I166" s="31" t="str">
        <f t="shared" si="34"/>
        <v/>
      </c>
      <c r="J166" s="31" t="str">
        <f t="shared" si="34"/>
        <v/>
      </c>
      <c r="K166" s="31" t="str">
        <f t="shared" si="34"/>
        <v/>
      </c>
      <c r="L166" s="31" t="str">
        <f t="shared" si="34"/>
        <v/>
      </c>
      <c r="M166" s="35" t="s">
        <v>168</v>
      </c>
    </row>
    <row r="167" spans="1:18" ht="15" customHeight="1" thickBot="1">
      <c r="A167" s="2" t="s">
        <v>169</v>
      </c>
      <c r="B167" s="2"/>
      <c r="C167" s="21"/>
      <c r="D167" s="84" t="str">
        <f t="shared" si="35"/>
        <v>Pam Nelson</v>
      </c>
      <c r="E167" s="22">
        <f>IFERROR(VLOOKUP(D167,'Employee Numbers'!$A$3:$B$84,2,FALSE),"NOT FOUND")</f>
        <v>704872</v>
      </c>
      <c r="F167" s="31" t="str">
        <f t="shared" si="33"/>
        <v/>
      </c>
      <c r="G167" s="31" t="str">
        <f t="shared" si="33"/>
        <v/>
      </c>
      <c r="H167" s="37" t="s">
        <v>170</v>
      </c>
      <c r="I167" s="31" t="str">
        <f t="shared" si="34"/>
        <v/>
      </c>
      <c r="J167" s="31" t="str">
        <f t="shared" si="34"/>
        <v/>
      </c>
      <c r="K167" s="31" t="str">
        <f t="shared" si="34"/>
        <v/>
      </c>
      <c r="L167" s="31" t="str">
        <f t="shared" si="34"/>
        <v/>
      </c>
      <c r="M167" s="35" t="s">
        <v>168</v>
      </c>
    </row>
    <row r="168" spans="1:18" ht="15" customHeight="1" thickBot="1">
      <c r="A168" s="2" t="s">
        <v>169</v>
      </c>
      <c r="B168" s="2"/>
      <c r="C168" s="21"/>
      <c r="D168" s="84" t="str">
        <f t="shared" si="35"/>
        <v xml:space="preserve">Phoebe Franich </v>
      </c>
      <c r="E168" s="22">
        <f>IFERROR(VLOOKUP(D168,'Employee Numbers'!$A$3:$B$84,2,FALSE),"NOT FOUND")</f>
        <v>700712</v>
      </c>
      <c r="F168" s="31" t="str">
        <f t="shared" si="33"/>
        <v/>
      </c>
      <c r="G168" s="31" t="str">
        <f t="shared" si="33"/>
        <v/>
      </c>
      <c r="H168" s="37" t="s">
        <v>170</v>
      </c>
      <c r="I168" s="31" t="str">
        <f t="shared" si="34"/>
        <v/>
      </c>
      <c r="J168" s="31" t="str">
        <f t="shared" si="34"/>
        <v/>
      </c>
      <c r="K168" s="31" t="str">
        <f t="shared" si="34"/>
        <v/>
      </c>
      <c r="L168" s="31" t="str">
        <f t="shared" si="34"/>
        <v/>
      </c>
      <c r="M168" s="35" t="s">
        <v>168</v>
      </c>
    </row>
    <row r="169" spans="1:18" ht="15" customHeight="1" thickBot="1">
      <c r="A169" s="2" t="s">
        <v>169</v>
      </c>
      <c r="B169" s="2"/>
      <c r="C169" s="21"/>
      <c r="D169" s="84" t="str">
        <f t="shared" si="35"/>
        <v xml:space="preserve">Marie Papadopulos </v>
      </c>
      <c r="E169" s="22">
        <f>IFERROR(VLOOKUP(D169,'Employee Numbers'!$A$3:$B$84,2,FALSE),"NOT FOUND")</f>
        <v>700818</v>
      </c>
      <c r="F169" s="31" t="str">
        <f t="shared" ref="F169:G176" si="37">IF(COUNTIF(F77,"*on*call*"),"oncall 2300-0830","")</f>
        <v/>
      </c>
      <c r="G169" s="31" t="str">
        <f t="shared" si="37"/>
        <v/>
      </c>
      <c r="H169" s="37" t="s">
        <v>170</v>
      </c>
      <c r="I169" s="31" t="str">
        <f t="shared" ref="I169:L176" si="38">IF(COUNTIF(I77,"*on*call*"),"oncall 2300-0830","")</f>
        <v/>
      </c>
      <c r="J169" s="31" t="str">
        <f t="shared" si="38"/>
        <v/>
      </c>
      <c r="K169" s="31" t="str">
        <f t="shared" si="38"/>
        <v/>
      </c>
      <c r="L169" s="31" t="str">
        <f t="shared" si="38"/>
        <v/>
      </c>
      <c r="M169" s="35" t="s">
        <v>168</v>
      </c>
    </row>
    <row r="170" spans="1:18" ht="15" customHeight="1" thickBot="1">
      <c r="A170" s="2" t="s">
        <v>169</v>
      </c>
      <c r="B170" s="2"/>
      <c r="C170" s="21"/>
      <c r="D170" s="84" t="str">
        <f t="shared" si="35"/>
        <v>Stormie de Groot (0.5)</v>
      </c>
      <c r="E170" s="22">
        <f>IFERROR(VLOOKUP(D170,'Employee Numbers'!$A$3:$B$84,2,FALSE),"NOT FOUND")</f>
        <v>650101</v>
      </c>
      <c r="F170" s="31" t="str">
        <f t="shared" si="37"/>
        <v/>
      </c>
      <c r="G170" s="31" t="str">
        <f t="shared" si="37"/>
        <v/>
      </c>
      <c r="H170" s="31" t="str">
        <f t="shared" ref="H170" si="39">IF(COUNTIF(H78,"0800-1730*"),"trg_2.5_1730","trg_2.5_0900")</f>
        <v>trg_2.5_0900</v>
      </c>
      <c r="I170" s="31" t="str">
        <f t="shared" si="38"/>
        <v/>
      </c>
      <c r="J170" s="31" t="str">
        <f t="shared" si="38"/>
        <v/>
      </c>
      <c r="K170" s="31" t="str">
        <f t="shared" si="38"/>
        <v/>
      </c>
      <c r="L170" s="31" t="str">
        <f t="shared" si="38"/>
        <v/>
      </c>
      <c r="M170" s="35" t="s">
        <v>168</v>
      </c>
    </row>
    <row r="171" spans="1:18" ht="15" customHeight="1" thickBot="1">
      <c r="A171" s="2" t="s">
        <v>169</v>
      </c>
      <c r="B171" s="2"/>
      <c r="C171" s="21"/>
      <c r="D171" s="84" t="str">
        <f t="shared" si="35"/>
        <v xml:space="preserve">Joanne Eaton </v>
      </c>
      <c r="E171" s="22">
        <f>IFERROR(VLOOKUP(D171,'Employee Numbers'!$A$3:$B$84,2,FALSE),"NOT FOUND")</f>
        <v>654888</v>
      </c>
      <c r="F171" s="31" t="str">
        <f t="shared" si="37"/>
        <v/>
      </c>
      <c r="G171" s="31" t="str">
        <f t="shared" si="37"/>
        <v/>
      </c>
      <c r="H171" s="37" t="s">
        <v>170</v>
      </c>
      <c r="I171" s="31" t="str">
        <f t="shared" si="38"/>
        <v/>
      </c>
      <c r="J171" s="31" t="str">
        <f t="shared" si="38"/>
        <v/>
      </c>
      <c r="K171" s="31" t="str">
        <f t="shared" si="38"/>
        <v/>
      </c>
      <c r="L171" s="31" t="str">
        <f t="shared" si="38"/>
        <v/>
      </c>
      <c r="M171" s="35" t="s">
        <v>168</v>
      </c>
    </row>
    <row r="172" spans="1:18" ht="15" customHeight="1" thickBot="1">
      <c r="A172" s="2" t="s">
        <v>169</v>
      </c>
      <c r="B172" s="2"/>
      <c r="C172" s="21"/>
      <c r="D172" s="84" t="str">
        <f t="shared" si="35"/>
        <v xml:space="preserve">Helena Li </v>
      </c>
      <c r="E172" s="22">
        <f>IFERROR(VLOOKUP(D172,'Employee Numbers'!$A$3:$B$84,2,FALSE),"NOT FOUND")</f>
        <v>703880</v>
      </c>
      <c r="F172" s="31" t="str">
        <f t="shared" si="37"/>
        <v/>
      </c>
      <c r="G172" s="31" t="str">
        <f t="shared" si="37"/>
        <v/>
      </c>
      <c r="H172" s="37" t="s">
        <v>170</v>
      </c>
      <c r="I172" s="31" t="str">
        <f t="shared" si="38"/>
        <v/>
      </c>
      <c r="J172" s="31" t="str">
        <f t="shared" si="38"/>
        <v/>
      </c>
      <c r="K172" s="31" t="str">
        <f t="shared" si="38"/>
        <v/>
      </c>
      <c r="L172" s="31" t="str">
        <f t="shared" si="38"/>
        <v/>
      </c>
      <c r="M172" s="35" t="s">
        <v>168</v>
      </c>
    </row>
    <row r="173" spans="1:18" ht="15" customHeight="1" thickBot="1">
      <c r="A173" s="2" t="s">
        <v>169</v>
      </c>
      <c r="B173" s="2"/>
      <c r="C173" s="21"/>
      <c r="D173" s="84" t="str">
        <f t="shared" si="35"/>
        <v xml:space="preserve">Mustafa Ozkul </v>
      </c>
      <c r="E173" s="22">
        <f>IFERROR(VLOOKUP(D173,'Employee Numbers'!$A$3:$B$84,2,FALSE),"NOT FOUND")</f>
        <v>703334</v>
      </c>
      <c r="F173" s="31" t="str">
        <f t="shared" si="37"/>
        <v/>
      </c>
      <c r="G173" s="31" t="str">
        <f t="shared" si="37"/>
        <v/>
      </c>
      <c r="H173" s="37"/>
      <c r="I173" s="31" t="str">
        <f t="shared" si="38"/>
        <v/>
      </c>
      <c r="J173" s="31" t="str">
        <f t="shared" si="38"/>
        <v/>
      </c>
      <c r="K173" s="31" t="str">
        <f t="shared" si="38"/>
        <v/>
      </c>
      <c r="L173" s="31" t="str">
        <f t="shared" si="38"/>
        <v/>
      </c>
      <c r="M173" s="35" t="s">
        <v>168</v>
      </c>
    </row>
    <row r="174" spans="1:18" ht="15" customHeight="1" thickBot="1">
      <c r="A174" s="2" t="s">
        <v>169</v>
      </c>
      <c r="B174" s="2"/>
      <c r="C174" s="21"/>
      <c r="D174" s="84" t="str">
        <f t="shared" si="35"/>
        <v>Ritu Chaurasia (0.75)</v>
      </c>
      <c r="E174" s="22">
        <f>IFERROR(VLOOKUP(D174,'Employee Numbers'!$A$3:$B$84,2,FALSE),"NOT FOUND")</f>
        <v>700538</v>
      </c>
      <c r="F174" s="31" t="str">
        <f t="shared" si="37"/>
        <v/>
      </c>
      <c r="G174" s="31" t="str">
        <f t="shared" si="37"/>
        <v/>
      </c>
      <c r="H174" s="31" t="s">
        <v>167</v>
      </c>
      <c r="I174" s="31" t="str">
        <f t="shared" si="38"/>
        <v/>
      </c>
      <c r="J174" s="31" t="str">
        <f t="shared" si="38"/>
        <v/>
      </c>
      <c r="K174" s="31" t="str">
        <f t="shared" si="38"/>
        <v/>
      </c>
      <c r="L174" s="31" t="str">
        <f t="shared" si="38"/>
        <v/>
      </c>
      <c r="M174" s="35" t="s">
        <v>168</v>
      </c>
    </row>
    <row r="175" spans="1:18" ht="15" customHeight="1" thickBot="1">
      <c r="A175" s="2" t="s">
        <v>169</v>
      </c>
      <c r="B175" s="2"/>
      <c r="C175" s="21"/>
      <c r="D175" s="84" t="str">
        <f t="shared" si="35"/>
        <v>Jamie Nicholls (0.5)</v>
      </c>
      <c r="E175" s="22">
        <f>IFERROR(VLOOKUP(D175,'Employee Numbers'!$A$3:$B$84,2,FALSE),"NOT FOUND")</f>
        <v>704862</v>
      </c>
      <c r="F175" s="31" t="str">
        <f t="shared" si="37"/>
        <v/>
      </c>
      <c r="G175" s="31" t="str">
        <f t="shared" si="37"/>
        <v/>
      </c>
      <c r="H175" s="31" t="str">
        <f t="shared" ref="H175" si="40">IF(COUNTIF(H83,"0800-1730*"),"trg_2.5_1730","trg_2.5_0900")</f>
        <v>trg_2.5_0900</v>
      </c>
      <c r="I175" s="31" t="str">
        <f t="shared" si="38"/>
        <v/>
      </c>
      <c r="J175" s="31" t="str">
        <f t="shared" si="38"/>
        <v/>
      </c>
      <c r="K175" s="31" t="str">
        <f t="shared" si="38"/>
        <v/>
      </c>
      <c r="L175" s="31" t="str">
        <f t="shared" si="38"/>
        <v/>
      </c>
      <c r="M175" s="35" t="s">
        <v>168</v>
      </c>
    </row>
    <row r="176" spans="1:18" ht="15" customHeight="1">
      <c r="A176" s="2" t="s">
        <v>169</v>
      </c>
      <c r="B176" s="2"/>
      <c r="C176" s="21"/>
      <c r="D176" s="84">
        <f t="shared" si="35"/>
        <v>0</v>
      </c>
      <c r="E176" s="22" t="str">
        <f>IFERROR(VLOOKUP(D176,'Employee Numbers'!$A$3:$B$84,2,FALSE),"NOT FOUND")</f>
        <v>NOT FOUND</v>
      </c>
      <c r="F176" s="31" t="str">
        <f t="shared" si="37"/>
        <v/>
      </c>
      <c r="G176" s="31" t="str">
        <f t="shared" si="37"/>
        <v/>
      </c>
      <c r="H176" s="37" t="s">
        <v>170</v>
      </c>
      <c r="I176" s="31" t="str">
        <f t="shared" si="38"/>
        <v/>
      </c>
      <c r="J176" s="31" t="str">
        <f t="shared" si="38"/>
        <v/>
      </c>
      <c r="K176" s="31" t="str">
        <f t="shared" si="38"/>
        <v/>
      </c>
      <c r="L176" s="31" t="str">
        <f t="shared" si="38"/>
        <v/>
      </c>
      <c r="M176" s="35" t="s">
        <v>168</v>
      </c>
    </row>
  </sheetData>
  <mergeCells count="1">
    <mergeCell ref="D4:L4"/>
  </mergeCells>
  <phoneticPr fontId="18" type="noConversion"/>
  <conditionalFormatting sqref="E21:E49 E115:E143">
    <cfRule type="cellIs" dxfId="574" priority="43" operator="equal">
      <formula>0</formula>
    </cfRule>
    <cfRule type="containsText" dxfId="573" priority="42" operator="containsText" text="NOT FOUND">
      <formula>NOT(ISERROR(SEARCH("NOT FOUND",E21)))</formula>
    </cfRule>
  </conditionalFormatting>
  <conditionalFormatting sqref="E54:E59">
    <cfRule type="cellIs" dxfId="572" priority="47" operator="equal">
      <formula>0</formula>
    </cfRule>
    <cfRule type="containsText" dxfId="571" priority="46" operator="containsText" text="NOT FOUND">
      <formula>NOT(ISERROR(SEARCH("NOT FOUND",E54)))</formula>
    </cfRule>
  </conditionalFormatting>
  <conditionalFormatting sqref="E61:E84">
    <cfRule type="cellIs" dxfId="570" priority="41" operator="equal">
      <formula>0</formula>
    </cfRule>
    <cfRule type="containsText" dxfId="569" priority="40" operator="containsText" text="NOT FOUND">
      <formula>NOT(ISERROR(SEARCH("NOT FOUND",E61)))</formula>
    </cfRule>
  </conditionalFormatting>
  <conditionalFormatting sqref="E86:E99">
    <cfRule type="cellIs" dxfId="568" priority="39" operator="equal">
      <formula>0</formula>
    </cfRule>
    <cfRule type="containsText" dxfId="567" priority="38" operator="containsText" text="NOT FOUND">
      <formula>NOT(ISERROR(SEARCH("NOT FOUND",E86)))</formula>
    </cfRule>
  </conditionalFormatting>
  <conditionalFormatting sqref="E101:E102">
    <cfRule type="containsText" dxfId="566" priority="44" operator="containsText" text="NOT FOUND">
      <formula>NOT(ISERROR(SEARCH("NOT FOUND",E101)))</formula>
    </cfRule>
    <cfRule type="cellIs" dxfId="565" priority="45" operator="equal">
      <formula>0</formula>
    </cfRule>
  </conditionalFormatting>
  <conditionalFormatting sqref="E146:E151">
    <cfRule type="containsText" dxfId="564" priority="3" operator="containsText" text="NOT FOUND">
      <formula>NOT(ISERROR(SEARCH("NOT FOUND",E146)))</formula>
    </cfRule>
    <cfRule type="cellIs" dxfId="563" priority="4" operator="equal">
      <formula>0</formula>
    </cfRule>
  </conditionalFormatting>
  <conditionalFormatting sqref="E153:E176">
    <cfRule type="containsText" dxfId="562" priority="1" operator="containsText" text="NOT FOUND">
      <formula>NOT(ISERROR(SEARCH("NOT FOUND",E153)))</formula>
    </cfRule>
    <cfRule type="cellIs" dxfId="561" priority="2" operator="equal">
      <formula>0</formula>
    </cfRule>
  </conditionalFormatting>
  <conditionalFormatting sqref="F6:L6">
    <cfRule type="cellIs" dxfId="560" priority="31" operator="lessThan">
      <formula>2</formula>
    </cfRule>
    <cfRule type="cellIs" dxfId="559" priority="18" operator="greaterThan">
      <formula>3</formula>
    </cfRule>
  </conditionalFormatting>
  <conditionalFormatting sqref="F7:L7">
    <cfRule type="cellIs" dxfId="558" priority="30" operator="lessThan">
      <formula>2</formula>
    </cfRule>
  </conditionalFormatting>
  <conditionalFormatting sqref="F8:L8">
    <cfRule type="cellIs" dxfId="557" priority="36" operator="lessThan">
      <formula>5</formula>
    </cfRule>
    <cfRule type="cellIs" dxfId="556" priority="17" operator="greaterThan">
      <formula>8</formula>
    </cfRule>
    <cfRule type="cellIs" dxfId="555" priority="22" operator="equal">
      <formula>5</formula>
    </cfRule>
    <cfRule type="cellIs" dxfId="554" priority="37" operator="between">
      <formula>6</formula>
      <formula>8</formula>
    </cfRule>
  </conditionalFormatting>
  <conditionalFormatting sqref="F10:L11">
    <cfRule type="cellIs" dxfId="553" priority="33" operator="greaterThan">
      <formula>1</formula>
    </cfRule>
    <cfRule type="cellIs" dxfId="552" priority="21" operator="equal">
      <formula>1</formula>
    </cfRule>
  </conditionalFormatting>
  <conditionalFormatting sqref="F12:L12 F6:L7">
    <cfRule type="cellIs" dxfId="551" priority="32" operator="between">
      <formula>2</formula>
      <formula>3</formula>
    </cfRule>
  </conditionalFormatting>
  <conditionalFormatting sqref="F12:L12">
    <cfRule type="cellIs" dxfId="550" priority="19" operator="greaterThan">
      <formula>2</formula>
    </cfRule>
    <cfRule type="cellIs" dxfId="549" priority="25" operator="lessThan">
      <formula>2</formula>
    </cfRule>
  </conditionalFormatting>
  <conditionalFormatting sqref="F13:L13">
    <cfRule type="cellIs" dxfId="548" priority="26" operator="greaterThanOrEqual">
      <formula>6</formula>
    </cfRule>
    <cfRule type="cellIs" dxfId="547" priority="29" operator="lessThan">
      <formula>6</formula>
    </cfRule>
  </conditionalFormatting>
  <conditionalFormatting sqref="F14:L14">
    <cfRule type="cellIs" dxfId="546" priority="24" operator="equal">
      <formula>9</formula>
    </cfRule>
    <cfRule type="cellIs" dxfId="545" priority="34" operator="between">
      <formula>10</formula>
      <formula>11</formula>
    </cfRule>
    <cfRule type="cellIs" dxfId="544" priority="35" operator="greaterThan">
      <formula>11</formula>
    </cfRule>
    <cfRule type="cellIs" dxfId="543" priority="23" operator="lessThan">
      <formula>9</formula>
    </cfRule>
  </conditionalFormatting>
  <conditionalFormatting sqref="F16:L16">
    <cfRule type="cellIs" dxfId="542" priority="20" operator="greaterThan">
      <formula>4</formula>
    </cfRule>
    <cfRule type="cellIs" dxfId="541" priority="27" operator="equal">
      <formula>4</formula>
    </cfRule>
    <cfRule type="cellIs" dxfId="540" priority="28" operator="lessThan">
      <formula>4</formula>
    </cfRule>
  </conditionalFormatting>
  <conditionalFormatting sqref="R21:R47">
    <cfRule type="cellIs" dxfId="539" priority="14" operator="equal">
      <formula>S21</formula>
    </cfRule>
    <cfRule type="cellIs" dxfId="538" priority="13" operator="notEqual">
      <formula>S21</formula>
    </cfRule>
  </conditionalFormatting>
  <conditionalFormatting sqref="R54:R59 R61:R84">
    <cfRule type="cellIs" dxfId="537" priority="16" operator="equal">
      <formula>(N54+P54)*9.5/38*5</formula>
    </cfRule>
    <cfRule type="cellIs" dxfId="536" priority="15" operator="notEqual">
      <formula>(N54+P54)*9.5/38*5</formula>
    </cfRule>
  </conditionalFormatting>
  <conditionalFormatting sqref="S54:S59">
    <cfRule type="cellIs" dxfId="535" priority="12" operator="equal">
      <formula>T54</formula>
    </cfRule>
    <cfRule type="cellIs" dxfId="534" priority="11" operator="notEqual">
      <formula>T54</formula>
    </cfRule>
  </conditionalFormatting>
  <conditionalFormatting sqref="S61:S84">
    <cfRule type="cellIs" dxfId="533" priority="10" operator="equal">
      <formula>T61</formula>
    </cfRule>
    <cfRule type="cellIs" dxfId="532" priority="9" operator="notEqual">
      <formula>T61</formula>
    </cfRule>
  </conditionalFormatting>
  <conditionalFormatting sqref="S86:S99">
    <cfRule type="cellIs" dxfId="531" priority="8" operator="equal">
      <formula>T86</formula>
    </cfRule>
    <cfRule type="cellIs" dxfId="530" priority="7" operator="notEqual">
      <formula>T86</formula>
    </cfRule>
  </conditionalFormatting>
  <conditionalFormatting sqref="S101:S102">
    <cfRule type="cellIs" dxfId="529" priority="6" operator="equal">
      <formula>T101</formula>
    </cfRule>
    <cfRule type="cellIs" dxfId="528" priority="5" operator="notEqual">
      <formula>T101</formula>
    </cfRule>
  </conditionalFormatting>
  <pageMargins left="0.70866141732283472" right="0.70866141732283472" top="0.15748031496062992" bottom="0.15748031496062992" header="0" footer="0"/>
  <pageSetup paperSize="9" scale="48" fitToWidth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176"/>
  <sheetViews>
    <sheetView topLeftCell="D80" workbookViewId="0">
      <selection activeCell="D97" sqref="D97"/>
    </sheetView>
  </sheetViews>
  <sheetFormatPr defaultColWidth="31.28515625" defaultRowHeight="15" customHeight="1"/>
  <cols>
    <col min="1" max="1" width="15.140625" style="5" customWidth="1"/>
    <col min="2" max="2" width="10.42578125" style="5" customWidth="1"/>
    <col min="3" max="3" width="6" style="8" customWidth="1"/>
    <col min="4" max="4" width="26.7109375" style="5" bestFit="1" customWidth="1"/>
    <col min="5" max="5" width="8.42578125" style="8" customWidth="1"/>
    <col min="6" max="7" width="15.85546875" style="5" customWidth="1"/>
    <col min="8" max="8" width="20" style="5" customWidth="1"/>
    <col min="9" max="12" width="15.85546875" style="5" customWidth="1"/>
    <col min="13" max="13" width="31.28515625" style="5"/>
    <col min="14" max="14" width="7.85546875" style="5" customWidth="1"/>
    <col min="15" max="15" width="14.42578125" style="5" customWidth="1"/>
    <col min="16" max="16" width="8.42578125" style="5" customWidth="1"/>
    <col min="17" max="17" width="8.7109375" style="5" customWidth="1"/>
    <col min="18" max="18" width="12.7109375" style="5" customWidth="1"/>
    <col min="19" max="19" width="14.7109375" style="5" bestFit="1" customWidth="1"/>
    <col min="20" max="20" width="14.140625" style="5" bestFit="1" customWidth="1"/>
    <col min="21" max="25" width="7.140625" style="5" customWidth="1"/>
    <col min="26" max="16384" width="31.28515625" style="5"/>
  </cols>
  <sheetData>
    <row r="1" spans="1:13" s="2" customFormat="1" ht="15" customHeight="1">
      <c r="A1" s="34" t="s">
        <v>0</v>
      </c>
      <c r="B1" s="103" t="s">
        <v>1</v>
      </c>
      <c r="C1" s="104" t="s">
        <v>2</v>
      </c>
      <c r="D1" s="104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 t="s">
        <v>8</v>
      </c>
      <c r="J1" s="47" t="s">
        <v>9</v>
      </c>
      <c r="K1" s="47" t="s">
        <v>10</v>
      </c>
      <c r="L1" s="47" t="s">
        <v>11</v>
      </c>
      <c r="M1" s="103" t="s">
        <v>12</v>
      </c>
    </row>
    <row r="2" spans="1:13" s="2" customFormat="1" ht="15" customHeight="1">
      <c r="A2" s="13" t="s">
        <v>13</v>
      </c>
      <c r="B2" s="112"/>
      <c r="C2" s="21"/>
      <c r="E2" s="21"/>
      <c r="F2" s="94">
        <f>'Week 8'!F2+7</f>
        <v>46202</v>
      </c>
      <c r="G2" s="95">
        <f>F2+1</f>
        <v>46203</v>
      </c>
      <c r="H2" s="95">
        <f t="shared" ref="H2:L2" si="0">G2+1</f>
        <v>46204</v>
      </c>
      <c r="I2" s="95">
        <f t="shared" si="0"/>
        <v>46205</v>
      </c>
      <c r="J2" s="95">
        <f t="shared" si="0"/>
        <v>46206</v>
      </c>
      <c r="K2" s="95">
        <f t="shared" si="0"/>
        <v>46207</v>
      </c>
      <c r="L2" s="95">
        <f t="shared" si="0"/>
        <v>46208</v>
      </c>
    </row>
    <row r="3" spans="1:13" s="2" customFormat="1" ht="15" customHeight="1">
      <c r="A3" s="13" t="s">
        <v>14</v>
      </c>
      <c r="B3" s="112">
        <f>1+(F2-'Week 1'!F2)/7</f>
        <v>9</v>
      </c>
      <c r="E3" s="21"/>
      <c r="F3" s="94"/>
      <c r="G3" s="95"/>
      <c r="H3" s="95"/>
      <c r="I3" s="95"/>
      <c r="J3" s="95"/>
      <c r="K3" s="95"/>
      <c r="L3" s="95"/>
    </row>
    <row r="4" spans="1:13" ht="22.5" customHeight="1">
      <c r="A4" s="13" t="s">
        <v>15</v>
      </c>
      <c r="B4" s="2"/>
      <c r="C4" s="21">
        <f ca="1">IF(INDIRECT("'Week "&amp;(B3-1)&amp;"'!C4")=1,2,IF(INDIRECT("'Week "&amp;(B3-1)&amp;"'!C4")=2,1,_xludf.NA))</f>
        <v>1</v>
      </c>
      <c r="D4" s="359" t="str">
        <f>'Week 1'!D4:L4</f>
        <v>PAEDIATRIC EMERGENCY DEPARTMENT ROSTER - Term 2 2026</v>
      </c>
      <c r="E4" s="360"/>
      <c r="F4" s="360"/>
      <c r="G4" s="360"/>
      <c r="H4" s="360"/>
      <c r="I4" s="360"/>
      <c r="J4" s="360"/>
      <c r="K4" s="360"/>
      <c r="L4" s="360"/>
    </row>
    <row r="5" spans="1:13" s="2" customFormat="1" ht="15" customHeight="1" thickBot="1">
      <c r="A5" s="13"/>
      <c r="C5" s="21"/>
      <c r="E5" s="21"/>
      <c r="F5" s="94"/>
      <c r="G5" s="95"/>
      <c r="H5" s="95"/>
      <c r="I5" s="95"/>
      <c r="J5" s="95"/>
      <c r="K5" s="95"/>
      <c r="L5" s="95"/>
    </row>
    <row r="6" spans="1:13" s="2" customFormat="1" ht="15" customHeight="1">
      <c r="A6" s="13"/>
      <c r="C6" s="21"/>
      <c r="D6" s="96" t="s">
        <v>17</v>
      </c>
      <c r="E6" s="97"/>
      <c r="F6" s="101">
        <f>COUNTIF(F$21:F$49,"0800-1???")-COUNTIFS(F$48,"0800-1???",$D$48,"Locum")-COUNTIFS(F$49,"0800-1???",$D$49,"Locum")</f>
        <v>3</v>
      </c>
      <c r="G6" s="101">
        <f t="shared" ref="G6:L6" si="1">COUNTIF(G$21:G$49,"0800-1???")-COUNTIFS(G$48,"0800-1???",$D$48,"Locum")-COUNTIFS(G$49,"0800-1???",$D$49,"Locum")</f>
        <v>3</v>
      </c>
      <c r="H6" s="101">
        <f t="shared" si="1"/>
        <v>3</v>
      </c>
      <c r="I6" s="101">
        <f t="shared" si="1"/>
        <v>3</v>
      </c>
      <c r="J6" s="101">
        <f t="shared" si="1"/>
        <v>3</v>
      </c>
      <c r="K6" s="101">
        <f t="shared" si="1"/>
        <v>2</v>
      </c>
      <c r="L6" s="101">
        <f t="shared" si="1"/>
        <v>2</v>
      </c>
    </row>
    <row r="7" spans="1:13" s="2" customFormat="1" ht="15" customHeight="1" thickBot="1">
      <c r="A7" s="13"/>
      <c r="C7" s="21"/>
      <c r="D7" s="68" t="s">
        <v>18</v>
      </c>
      <c r="E7" s="67"/>
      <c r="F7" s="109">
        <f t="shared" ref="F7:L7" si="2">COUNTIF(F$54:F$102,"0800-1???")</f>
        <v>3</v>
      </c>
      <c r="G7" s="109">
        <f t="shared" si="2"/>
        <v>5</v>
      </c>
      <c r="H7" s="109">
        <f t="shared" si="2"/>
        <v>4</v>
      </c>
      <c r="I7" s="109">
        <f t="shared" si="2"/>
        <v>5</v>
      </c>
      <c r="J7" s="109">
        <f t="shared" si="2"/>
        <v>4</v>
      </c>
      <c r="K7" s="109">
        <f t="shared" si="2"/>
        <v>4</v>
      </c>
      <c r="L7" s="157">
        <f t="shared" si="2"/>
        <v>4</v>
      </c>
    </row>
    <row r="8" spans="1:13" s="2" customFormat="1" ht="15" customHeight="1" thickBot="1">
      <c r="A8" s="13"/>
      <c r="C8" s="21"/>
      <c r="D8" s="98" t="s">
        <v>19</v>
      </c>
      <c r="E8" s="99"/>
      <c r="F8" s="108">
        <f>F6+F7</f>
        <v>6</v>
      </c>
      <c r="G8" s="108">
        <f t="shared" ref="G8:L8" si="3">G6+G7</f>
        <v>8</v>
      </c>
      <c r="H8" s="108">
        <f t="shared" si="3"/>
        <v>7</v>
      </c>
      <c r="I8" s="108">
        <f t="shared" si="3"/>
        <v>8</v>
      </c>
      <c r="J8" s="108">
        <f t="shared" si="3"/>
        <v>7</v>
      </c>
      <c r="K8" s="108">
        <f t="shared" si="3"/>
        <v>6</v>
      </c>
      <c r="L8" s="158">
        <f t="shared" si="3"/>
        <v>6</v>
      </c>
    </row>
    <row r="9" spans="1:13" s="2" customFormat="1" ht="15" customHeight="1" thickBot="1">
      <c r="A9" s="13"/>
      <c r="C9" s="21"/>
      <c r="E9" s="21"/>
      <c r="F9" s="21"/>
      <c r="G9" s="21"/>
      <c r="H9" s="21"/>
      <c r="I9" s="21"/>
      <c r="J9" s="21"/>
      <c r="K9" s="21"/>
      <c r="L9" s="21"/>
    </row>
    <row r="10" spans="1:13" s="2" customFormat="1" ht="15" customHeight="1">
      <c r="A10" s="13"/>
      <c r="C10" s="21"/>
      <c r="D10" s="96" t="s">
        <v>20</v>
      </c>
      <c r="E10" s="97"/>
      <c r="F10" s="101">
        <f>COUNTIF(F$21:F$49,"1100-????")-COUNTIFS(F$48,"1100-????",$D$48,"Locum")-COUNTIFS(F$49,"1100-????",$D$49,"Locum")</f>
        <v>0</v>
      </c>
      <c r="G10" s="101">
        <f t="shared" ref="G10:L10" si="4">COUNTIF(G$21:G$49,"1100-????")-COUNTIFS(G$48,"1100-????",$D$48,"Locum")-COUNTIFS(G$49,"1100-????",$D$49,"Locum")</f>
        <v>0</v>
      </c>
      <c r="H10" s="101">
        <f t="shared" si="4"/>
        <v>0</v>
      </c>
      <c r="I10" s="101">
        <f t="shared" si="4"/>
        <v>0</v>
      </c>
      <c r="J10" s="101">
        <f t="shared" si="4"/>
        <v>0</v>
      </c>
      <c r="K10" s="101">
        <f t="shared" si="4"/>
        <v>0</v>
      </c>
      <c r="L10" s="101">
        <f t="shared" si="4"/>
        <v>0</v>
      </c>
    </row>
    <row r="11" spans="1:13" s="2" customFormat="1" ht="15" customHeight="1">
      <c r="A11" s="13"/>
      <c r="C11" s="21"/>
      <c r="D11" s="68" t="s">
        <v>21</v>
      </c>
      <c r="E11" s="67"/>
      <c r="F11" s="161">
        <f>COUNTIF(F$54:F$102,"1100-????")</f>
        <v>1</v>
      </c>
      <c r="G11" s="161">
        <f t="shared" ref="G11:L11" si="5">COUNTIF(G$54:G$102,"1100-????")</f>
        <v>0</v>
      </c>
      <c r="H11" s="161">
        <f t="shared" si="5"/>
        <v>0</v>
      </c>
      <c r="I11" s="161">
        <f t="shared" si="5"/>
        <v>0</v>
      </c>
      <c r="J11" s="161">
        <f t="shared" si="5"/>
        <v>1</v>
      </c>
      <c r="K11" s="161">
        <f t="shared" si="5"/>
        <v>0</v>
      </c>
      <c r="L11" s="161">
        <f t="shared" si="5"/>
        <v>0</v>
      </c>
    </row>
    <row r="12" spans="1:13" s="2" customFormat="1" ht="15" customHeight="1">
      <c r="A12" s="13"/>
      <c r="C12" s="21"/>
      <c r="D12" s="68" t="s">
        <v>22</v>
      </c>
      <c r="E12" s="67"/>
      <c r="F12" s="102">
        <f>COUNTIF(F$21:F$49,"1???-00?0")-COUNTIFS(F$48,"1???-00?0",$D$48,"Locum")-COUNTIFS(F$49,"1???-00?0",$D$49,"Locum")</f>
        <v>2</v>
      </c>
      <c r="G12" s="102">
        <f t="shared" ref="G12:L12" si="6">COUNTIF(G$21:G$49,"1???-00?0")-COUNTIFS(G$48,"1???-00?0",$D$48,"Locum")-COUNTIFS(G$49,"1???-00?0",$D$49,"Locum")</f>
        <v>2</v>
      </c>
      <c r="H12" s="102">
        <f t="shared" si="6"/>
        <v>3</v>
      </c>
      <c r="I12" s="102">
        <f t="shared" si="6"/>
        <v>2</v>
      </c>
      <c r="J12" s="102">
        <f t="shared" si="6"/>
        <v>2</v>
      </c>
      <c r="K12" s="102">
        <f t="shared" si="6"/>
        <v>2</v>
      </c>
      <c r="L12" s="102">
        <f t="shared" si="6"/>
        <v>2</v>
      </c>
    </row>
    <row r="13" spans="1:13" s="2" customFormat="1" ht="15" customHeight="1" thickBot="1">
      <c r="A13" s="13"/>
      <c r="C13" s="21"/>
      <c r="D13" s="68" t="s">
        <v>23</v>
      </c>
      <c r="E13" s="67"/>
      <c r="F13" s="109">
        <f>COUNTIF(F$54:F$102,"1???-0000*")</f>
        <v>8</v>
      </c>
      <c r="G13" s="109">
        <f t="shared" ref="G13:L13" si="7">COUNTIF(G$54:G$102,"1???-0000*")</f>
        <v>8</v>
      </c>
      <c r="H13" s="109">
        <f t="shared" si="7"/>
        <v>8</v>
      </c>
      <c r="I13" s="109">
        <f t="shared" si="7"/>
        <v>9</v>
      </c>
      <c r="J13" s="109">
        <f t="shared" si="7"/>
        <v>8</v>
      </c>
      <c r="K13" s="109">
        <f t="shared" si="7"/>
        <v>8</v>
      </c>
      <c r="L13" s="157">
        <f t="shared" si="7"/>
        <v>8</v>
      </c>
    </row>
    <row r="14" spans="1:13" s="2" customFormat="1" ht="15" customHeight="1" thickBot="1">
      <c r="A14" s="13"/>
      <c r="C14" s="21"/>
      <c r="D14" s="98" t="s">
        <v>24</v>
      </c>
      <c r="E14" s="99"/>
      <c r="F14" s="108">
        <f>F12+F13</f>
        <v>10</v>
      </c>
      <c r="G14" s="108">
        <f t="shared" ref="G14:L14" si="8">G12+G13</f>
        <v>10</v>
      </c>
      <c r="H14" s="108">
        <f t="shared" si="8"/>
        <v>11</v>
      </c>
      <c r="I14" s="108">
        <f t="shared" si="8"/>
        <v>11</v>
      </c>
      <c r="J14" s="108">
        <f t="shared" si="8"/>
        <v>10</v>
      </c>
      <c r="K14" s="108">
        <f t="shared" si="8"/>
        <v>10</v>
      </c>
      <c r="L14" s="158">
        <f t="shared" si="8"/>
        <v>10</v>
      </c>
    </row>
    <row r="15" spans="1:13" s="2" customFormat="1" ht="15" customHeight="1" thickBot="1">
      <c r="A15" s="13"/>
      <c r="C15" s="21"/>
      <c r="E15" s="21"/>
      <c r="F15" s="21"/>
      <c r="G15" s="21"/>
      <c r="H15" s="21"/>
      <c r="I15" s="21"/>
      <c r="J15" s="21"/>
      <c r="K15" s="21"/>
      <c r="L15" s="21"/>
    </row>
    <row r="16" spans="1:13" s="2" customFormat="1" ht="15" customHeight="1" thickBot="1">
      <c r="A16" s="13"/>
      <c r="C16" s="21"/>
      <c r="D16" s="100" t="s">
        <v>25</v>
      </c>
      <c r="E16" s="72"/>
      <c r="F16" s="66">
        <f t="shared" ref="F16:L16" si="9">COUNTIF(F$54:F$99,"2300-0830")</f>
        <v>4</v>
      </c>
      <c r="G16" s="66">
        <f t="shared" si="9"/>
        <v>4</v>
      </c>
      <c r="H16" s="66">
        <f t="shared" si="9"/>
        <v>4</v>
      </c>
      <c r="I16" s="66">
        <f t="shared" si="9"/>
        <v>4</v>
      </c>
      <c r="J16" s="66">
        <f t="shared" si="9"/>
        <v>4</v>
      </c>
      <c r="K16" s="66">
        <f t="shared" si="9"/>
        <v>4</v>
      </c>
      <c r="L16" s="159">
        <f t="shared" si="9"/>
        <v>4</v>
      </c>
    </row>
    <row r="17" spans="1:25" s="2" customFormat="1" ht="15" customHeight="1" thickBot="1">
      <c r="A17" s="13"/>
      <c r="C17" s="21"/>
      <c r="E17" s="21"/>
      <c r="F17" s="21"/>
      <c r="G17" s="21"/>
      <c r="H17" s="21"/>
      <c r="I17" s="21"/>
      <c r="J17" s="21"/>
      <c r="K17" s="21"/>
      <c r="L17" s="21"/>
    </row>
    <row r="18" spans="1:25" s="2" customFormat="1" ht="15" customHeight="1" thickBot="1">
      <c r="A18" s="13"/>
      <c r="C18" s="21"/>
      <c r="D18" s="61" t="s">
        <v>26</v>
      </c>
      <c r="E18" s="62" t="s">
        <v>4</v>
      </c>
      <c r="F18" s="62" t="s">
        <v>5</v>
      </c>
      <c r="G18" s="62" t="s">
        <v>6</v>
      </c>
      <c r="H18" s="62" t="s">
        <v>7</v>
      </c>
      <c r="I18" s="62" t="s">
        <v>8</v>
      </c>
      <c r="J18" s="62" t="s">
        <v>9</v>
      </c>
      <c r="K18" s="62" t="s">
        <v>10</v>
      </c>
      <c r="L18" s="63" t="s">
        <v>11</v>
      </c>
      <c r="N18" s="145" t="s">
        <v>27</v>
      </c>
      <c r="O18" s="145" t="s">
        <v>28</v>
      </c>
      <c r="P18" s="136" t="s">
        <v>29</v>
      </c>
      <c r="R18" s="146" t="s">
        <v>30</v>
      </c>
      <c r="S18" s="145" t="s">
        <v>31</v>
      </c>
    </row>
    <row r="19" spans="1:25" s="2" customFormat="1" ht="15" customHeight="1" thickBot="1">
      <c r="A19" s="13"/>
      <c r="C19" s="21"/>
      <c r="D19" s="93"/>
      <c r="E19" s="91"/>
      <c r="F19" s="92">
        <f>F2</f>
        <v>46202</v>
      </c>
      <c r="G19" s="64">
        <f t="shared" ref="G19:L19" si="10">F19+1</f>
        <v>46203</v>
      </c>
      <c r="H19" s="64">
        <f t="shared" si="10"/>
        <v>46204</v>
      </c>
      <c r="I19" s="64">
        <f t="shared" si="10"/>
        <v>46205</v>
      </c>
      <c r="J19" s="64">
        <f t="shared" si="10"/>
        <v>46206</v>
      </c>
      <c r="K19" s="64">
        <f t="shared" si="10"/>
        <v>46207</v>
      </c>
      <c r="L19" s="65">
        <f t="shared" si="10"/>
        <v>46208</v>
      </c>
      <c r="N19" s="147" t="s">
        <v>32</v>
      </c>
      <c r="O19" s="21" t="s">
        <v>32</v>
      </c>
      <c r="P19" s="148"/>
      <c r="R19" s="149" t="s">
        <v>32</v>
      </c>
      <c r="S19" s="147" t="s">
        <v>32</v>
      </c>
      <c r="U19" s="2" t="s">
        <v>33</v>
      </c>
      <c r="V19" s="142" t="s">
        <v>34</v>
      </c>
      <c r="W19" s="2" t="s">
        <v>35</v>
      </c>
      <c r="X19" s="2" t="s">
        <v>36</v>
      </c>
      <c r="Y19" s="2" t="s">
        <v>37</v>
      </c>
    </row>
    <row r="20" spans="1:25" s="2" customFormat="1" ht="15.75" customHeight="1" thickBot="1">
      <c r="A20" s="114" t="s">
        <v>38</v>
      </c>
      <c r="B20" s="115"/>
      <c r="C20" s="116"/>
      <c r="D20" s="117" t="s">
        <v>38</v>
      </c>
      <c r="E20" s="155"/>
      <c r="F20" s="118"/>
      <c r="G20" s="119"/>
      <c r="H20" s="119"/>
      <c r="I20" s="119"/>
      <c r="J20" s="119"/>
      <c r="K20" s="119"/>
      <c r="L20" s="120"/>
      <c r="N20" s="160"/>
      <c r="O20" s="160"/>
      <c r="P20" s="150"/>
      <c r="R20" s="151"/>
      <c r="S20" s="160"/>
      <c r="T20" s="160"/>
      <c r="U20" s="160"/>
      <c r="V20" s="142"/>
    </row>
    <row r="21" spans="1:25" s="2" customFormat="1" ht="15" customHeight="1">
      <c r="A21" s="162" t="s">
        <v>39</v>
      </c>
      <c r="B21" s="162"/>
      <c r="C21" s="164"/>
      <c r="D21" s="234" t="s">
        <v>40</v>
      </c>
      <c r="E21" s="165">
        <f>IFERROR(VLOOKUP(D21,'Employee Numbers'!$A$3:$B$84,2,FALSE),"NOT FOUND")</f>
        <v>287628</v>
      </c>
      <c r="F21" s="235" t="s">
        <v>41</v>
      </c>
      <c r="G21" s="236" t="s">
        <v>41</v>
      </c>
      <c r="H21" s="236" t="s">
        <v>41</v>
      </c>
      <c r="I21" s="236"/>
      <c r="J21" s="236" t="s">
        <v>44</v>
      </c>
      <c r="K21" s="236"/>
      <c r="L21" s="237"/>
      <c r="N21">
        <f t="array" ref="N21">((SUM(IFERROR((TEXT(IF(ISNUMBER(SEARCH("-", F21:L21)), MID(F21:L21, SEARCH("-", F21:L21) + 1, 4), ""), "00\:00") - TEXT(IF(ISNUMBER(SEARCH("-", F21:L21)), MID(F21:L21, SEARCH("-", F21:L21) - 4, 4), ""), "00\:00") + IF(TEXT(IF(ISNUMBER(SEARCH("-", F21:L21)), MID(F21:L21, SEARCH("-", F21:L21) + 1, 4), ""), "00\:00") &lt; TEXT(IF(ISNUMBER(SEARCH("-", F21:L21)), MID(F21:L21, SEARCH("-", F21:L21) - 4, 4), ""), "00\:00"), 1, 0))*24,""))))/9.5</f>
        <v>4</v>
      </c>
      <c r="O21"/>
      <c r="P21" s="151">
        <f>N21+O21</f>
        <v>4</v>
      </c>
      <c r="R21" s="4">
        <f ca="1">IF($C$4=1,SUM(P21+INDIRECT("'Week "&amp;($B$3+1)&amp;"'!P"&amp;(ROW()))),IF($C$4=2,SUM(P21+INDIRECT("'Week "&amp;($B$3-1)&amp;"'!P"&amp;(ROW())))))</f>
        <v>8</v>
      </c>
      <c r="S21" s="2">
        <f>(IFERROR(VLOOKUP(D21,'Employee Numbers'!$A$3:$C$84,3,FALSE),"NOT FOUND"))*8</f>
        <v>8</v>
      </c>
      <c r="U21" s="142">
        <f>COUNTIF(E21:K21,"0800-1730")</f>
        <v>1</v>
      </c>
      <c r="V21" s="142">
        <f>COUNTIF(F21:L21,"1???-00?0")</f>
        <v>0</v>
      </c>
      <c r="W21" s="2">
        <f>COUNTIF(F21:L21,"*0800-1730*CS*")+COUNTIF(F21:L21,"*0800-1730*DEMT*")</f>
        <v>3</v>
      </c>
      <c r="Y21" s="2">
        <f>COUNTIF(K21:L21,"???0-*")</f>
        <v>0</v>
      </c>
    </row>
    <row r="22" spans="1:25" s="2" customFormat="1" ht="15" customHeight="1">
      <c r="A22" s="2" t="s">
        <v>39</v>
      </c>
      <c r="B22" s="46"/>
      <c r="C22" s="21"/>
      <c r="D22" s="227" t="s">
        <v>43</v>
      </c>
      <c r="E22" s="226">
        <f>IFERROR(VLOOKUP(D22,'Employee Numbers'!$A$3:$B$84,2,FALSE),"NOT FOUND")</f>
        <v>609660</v>
      </c>
      <c r="F22" s="29" t="s">
        <v>41</v>
      </c>
      <c r="G22" s="31" t="s">
        <v>41</v>
      </c>
      <c r="H22" s="31" t="s">
        <v>44</v>
      </c>
      <c r="I22" s="31" t="s">
        <v>42</v>
      </c>
      <c r="J22" s="31"/>
      <c r="K22" s="31"/>
      <c r="L22" s="228"/>
      <c r="N22">
        <f t="array" ref="N22">((SUM(IFERROR((TEXT(IF(ISNUMBER(SEARCH("-", F22:L22)), MID(F22:L22, SEARCH("-", F22:L22) + 1, 4), ""), "00\:00") - TEXT(IF(ISNUMBER(SEARCH("-", F22:L22)), MID(F22:L22, SEARCH("-", F22:L22) - 4, 4), ""), "00\:00") + IF(TEXT(IF(ISNUMBER(SEARCH("-", F22:L22)), MID(F22:L22, SEARCH("-", F22:L22) + 1, 4), ""), "00\:00") &lt; TEXT(IF(ISNUMBER(SEARCH("-", F22:L22)), MID(F22:L22, SEARCH("-", F22:L22) - 4, 4), ""), "00\:00"), 1, 0))*24,""))))/9.5</f>
        <v>4</v>
      </c>
      <c r="O22"/>
      <c r="P22" s="151">
        <f t="shared" ref="P22:P47" si="11">N22+O22</f>
        <v>4</v>
      </c>
      <c r="R22" s="4">
        <f t="shared" ref="R22:R47" ca="1" si="12">IF($C$4=1,SUM(P22+INDIRECT("'Week "&amp;($B$3+1)&amp;"'!P"&amp;(ROW()))),IF($C$4=2,SUM(P22+INDIRECT("'Week "&amp;($B$3-1)&amp;"'!P"&amp;(ROW())))))</f>
        <v>8</v>
      </c>
      <c r="S22" s="2">
        <f>(IFERROR(VLOOKUP(D22,'Employee Numbers'!$A$3:$C$84,3,FALSE),"NOT FOUND"))*8</f>
        <v>8</v>
      </c>
      <c r="U22" s="142">
        <f t="shared" ref="U22:U47" si="13">COUNTIF(E22:K22,"0800-1730")</f>
        <v>1</v>
      </c>
      <c r="V22" s="142">
        <f t="shared" ref="V22:V47" si="14">COUNTIF(F22:L22,"1???-00?0")</f>
        <v>1</v>
      </c>
      <c r="W22" s="2">
        <f t="shared" ref="W22:W47" si="15">COUNTIF(F22:L22,"*0800-1730*CS*")+COUNTIF(F22:L22,"*0800-1730*DEMT*")</f>
        <v>2</v>
      </c>
      <c r="Y22" s="2">
        <f t="shared" ref="Y22:Y47" si="16">COUNTIF(K22:L22,"???0-*")</f>
        <v>0</v>
      </c>
    </row>
    <row r="23" spans="1:25" s="2" customFormat="1" ht="15" customHeight="1">
      <c r="A23" s="162" t="s">
        <v>39</v>
      </c>
      <c r="B23" s="163"/>
      <c r="C23" s="238"/>
      <c r="D23" s="239" t="s">
        <v>45</v>
      </c>
      <c r="E23" s="165">
        <f>IFERROR(VLOOKUP(D23,'Employee Numbers'!$A$3:$B$84,2,FALSE),"NOT FOUND")</f>
        <v>610036</v>
      </c>
      <c r="F23" s="176" t="s">
        <v>41</v>
      </c>
      <c r="G23" s="166" t="s">
        <v>44</v>
      </c>
      <c r="H23" s="166" t="s">
        <v>44</v>
      </c>
      <c r="I23" s="166"/>
      <c r="J23" s="166" t="s">
        <v>42</v>
      </c>
      <c r="K23" s="166"/>
      <c r="L23" s="167"/>
      <c r="N23">
        <f t="array" ref="N23">((SUM(IFERROR((TEXT(IF(ISNUMBER(SEARCH("-", F23:L23)), MID(F23:L23, SEARCH("-", F23:L23) + 1, 4), ""), "00\:00") - TEXT(IF(ISNUMBER(SEARCH("-", F23:L23)), MID(F23:L23, SEARCH("-", F23:L23) - 4, 4), ""), "00\:00") + IF(TEXT(IF(ISNUMBER(SEARCH("-", F23:L23)), MID(F23:L23, SEARCH("-", F23:L23) + 1, 4), ""), "00\:00") &lt; TEXT(IF(ISNUMBER(SEARCH("-", F23:L23)), MID(F23:L23, SEARCH("-", F23:L23) - 4, 4), ""), "00\:00"), 1, 0))*24,""))))/9.5</f>
        <v>4</v>
      </c>
      <c r="O23"/>
      <c r="P23" s="151">
        <f t="shared" si="11"/>
        <v>4</v>
      </c>
      <c r="R23" s="4">
        <f t="shared" ca="1" si="12"/>
        <v>8</v>
      </c>
      <c r="S23" s="2">
        <f>(IFERROR(VLOOKUP(D23,'Employee Numbers'!$A$3:$C$84,3,FALSE),"NOT FOUND"))*8</f>
        <v>8</v>
      </c>
      <c r="U23" s="142">
        <f t="shared" si="13"/>
        <v>2</v>
      </c>
      <c r="V23" s="142">
        <f t="shared" si="14"/>
        <v>1</v>
      </c>
      <c r="W23" s="2">
        <f t="shared" si="15"/>
        <v>1</v>
      </c>
      <c r="Y23" s="2">
        <f t="shared" si="16"/>
        <v>0</v>
      </c>
    </row>
    <row r="24" spans="1:25" s="2" customFormat="1" ht="15" customHeight="1">
      <c r="A24" s="2" t="s">
        <v>39</v>
      </c>
      <c r="B24" s="46"/>
      <c r="C24" s="47"/>
      <c r="D24" s="227" t="s">
        <v>49</v>
      </c>
      <c r="E24" s="226">
        <f>IFERROR(VLOOKUP(D24,'Employee Numbers'!$A$3:$B$84,2,FALSE),"NOT FOUND")</f>
        <v>533509</v>
      </c>
      <c r="F24" s="250" t="s">
        <v>50</v>
      </c>
      <c r="G24" s="251" t="s">
        <v>50</v>
      </c>
      <c r="H24" s="251" t="s">
        <v>50</v>
      </c>
      <c r="I24" s="251" t="s">
        <v>50</v>
      </c>
      <c r="J24" s="251" t="s">
        <v>50</v>
      </c>
      <c r="K24" s="251" t="s">
        <v>50</v>
      </c>
      <c r="L24" s="252" t="s">
        <v>50</v>
      </c>
      <c r="N24">
        <f t="array" ref="N24">((SUM(IFERROR((TEXT(IF(ISNUMBER(SEARCH("-", F24:L24)), MID(F24:L24, SEARCH("-", F24:L24) + 1, 4), ""), "00\:00") - TEXT(IF(ISNUMBER(SEARCH("-", F24:L24)), MID(F24:L24, SEARCH("-", F24:L24) - 4, 4), ""), "00\:00") + IF(TEXT(IF(ISNUMBER(SEARCH("-", F24:L24)), MID(F24:L24, SEARCH("-", F24:L24) + 1, 4), ""), "00\:00") &lt; TEXT(IF(ISNUMBER(SEARCH("-", F24:L24)), MID(F24:L24, SEARCH("-", F24:L24) - 4, 4), ""), "00\:00"), 1, 0))*24,""))))/9.5</f>
        <v>0</v>
      </c>
      <c r="O24"/>
      <c r="P24" s="151">
        <f t="shared" si="11"/>
        <v>0</v>
      </c>
      <c r="R24" s="4">
        <f t="shared" ca="1" si="12"/>
        <v>0</v>
      </c>
      <c r="S24" s="2">
        <f>(IFERROR(VLOOKUP(D24,'Employee Numbers'!$A$3:$C$84,3,FALSE),"NOT FOUND"))*8</f>
        <v>0</v>
      </c>
      <c r="U24" s="142">
        <f t="shared" si="13"/>
        <v>0</v>
      </c>
      <c r="V24" s="142">
        <f t="shared" si="14"/>
        <v>0</v>
      </c>
      <c r="W24" s="2">
        <f t="shared" si="15"/>
        <v>0</v>
      </c>
      <c r="Y24" s="2">
        <f t="shared" si="16"/>
        <v>0</v>
      </c>
    </row>
    <row r="25" spans="1:25" s="2" customFormat="1" ht="15" customHeight="1">
      <c r="A25" s="162" t="s">
        <v>39</v>
      </c>
      <c r="B25" s="163"/>
      <c r="C25" s="238"/>
      <c r="D25" s="240" t="s">
        <v>51</v>
      </c>
      <c r="E25" s="165">
        <f>IFERROR(VLOOKUP(D25,'Employee Numbers'!$A$3:$B$84,2,FALSE),"NOT FOUND")</f>
        <v>625985</v>
      </c>
      <c r="F25" s="253" t="s">
        <v>181</v>
      </c>
      <c r="G25" s="254" t="s">
        <v>181</v>
      </c>
      <c r="H25" s="254" t="s">
        <v>181</v>
      </c>
      <c r="I25" s="254" t="s">
        <v>181</v>
      </c>
      <c r="J25" s="254" t="s">
        <v>181</v>
      </c>
      <c r="K25" s="254" t="s">
        <v>181</v>
      </c>
      <c r="L25" s="255" t="s">
        <v>181</v>
      </c>
      <c r="N25">
        <f t="array" ref="N25">((SUM(IFERROR((TEXT(IF(ISNUMBER(SEARCH("-", F25:L25)), MID(F25:L25, SEARCH("-", F25:L25) + 1, 4), ""), "00\:00") - TEXT(IF(ISNUMBER(SEARCH("-", F25:L25)), MID(F25:L25, SEARCH("-", F25:L25) - 4, 4), ""), "00\:00") + IF(TEXT(IF(ISNUMBER(SEARCH("-", F25:L25)), MID(F25:L25, SEARCH("-", F25:L25) + 1, 4), ""), "00\:00") &lt; TEXT(IF(ISNUMBER(SEARCH("-", F25:L25)), MID(F25:L25, SEARCH("-", F25:L25) - 4, 4), ""), "00\:00"), 1, 0))*24,""))))/9.5</f>
        <v>0</v>
      </c>
      <c r="O25">
        <v>4</v>
      </c>
      <c r="P25" s="151">
        <f t="shared" si="11"/>
        <v>4</v>
      </c>
      <c r="R25" s="4">
        <f t="shared" ca="1" si="12"/>
        <v>8</v>
      </c>
      <c r="S25" s="2">
        <f>(IFERROR(VLOOKUP(D25,'Employee Numbers'!$A$3:$C$84,3,FALSE),"NOT FOUND"))*8</f>
        <v>8</v>
      </c>
      <c r="U25" s="142">
        <f t="shared" si="13"/>
        <v>0</v>
      </c>
      <c r="V25" s="142">
        <f t="shared" si="14"/>
        <v>0</v>
      </c>
      <c r="W25" s="2">
        <f t="shared" si="15"/>
        <v>0</v>
      </c>
      <c r="Y25" s="2">
        <f t="shared" si="16"/>
        <v>0</v>
      </c>
    </row>
    <row r="26" spans="1:25" s="2" customFormat="1" ht="15" customHeight="1">
      <c r="A26" s="2" t="s">
        <v>39</v>
      </c>
      <c r="B26" s="46"/>
      <c r="C26" s="47"/>
      <c r="D26" s="227" t="s">
        <v>52</v>
      </c>
      <c r="E26" s="226">
        <f>IFERROR(VLOOKUP(D26,'Employee Numbers'!$A$3:$B$84,2,FALSE),"NOT FOUND")</f>
        <v>632301</v>
      </c>
      <c r="F26" s="250" t="s">
        <v>176</v>
      </c>
      <c r="G26" s="251" t="s">
        <v>176</v>
      </c>
      <c r="H26" s="251" t="s">
        <v>176</v>
      </c>
      <c r="I26" s="251" t="s">
        <v>176</v>
      </c>
      <c r="J26" s="251" t="s">
        <v>176</v>
      </c>
      <c r="K26" s="251" t="s">
        <v>176</v>
      </c>
      <c r="L26" s="252" t="s">
        <v>176</v>
      </c>
      <c r="M26" s="13"/>
      <c r="N26">
        <f t="array" ref="N26">((SUM(IFERROR((TEXT(IF(ISNUMBER(SEARCH("-", F26:L26)), MID(F26:L26, SEARCH("-", F26:L26) + 1, 4), ""), "00\:00") - TEXT(IF(ISNUMBER(SEARCH("-", F26:L26)), MID(F26:L26, SEARCH("-", F26:L26) - 4, 4), ""), "00\:00") + IF(TEXT(IF(ISNUMBER(SEARCH("-", F26:L26)), MID(F26:L26, SEARCH("-", F26:L26) + 1, 4), ""), "00\:00") &lt; TEXT(IF(ISNUMBER(SEARCH("-", F26:L26)), MID(F26:L26, SEARCH("-", F26:L26) - 4, 4), ""), "00\:00"), 1, 0))*24,""))))/9.5</f>
        <v>0</v>
      </c>
      <c r="O26">
        <v>4</v>
      </c>
      <c r="P26" s="151">
        <f t="shared" si="11"/>
        <v>4</v>
      </c>
      <c r="R26" s="4">
        <f t="shared" ca="1" si="12"/>
        <v>8</v>
      </c>
      <c r="S26" s="2">
        <f>(IFERROR(VLOOKUP(D26,'Employee Numbers'!$A$3:$C$84,3,FALSE),"NOT FOUND"))*8</f>
        <v>8</v>
      </c>
      <c r="U26" s="142">
        <f t="shared" si="13"/>
        <v>0</v>
      </c>
      <c r="V26" s="142">
        <f t="shared" si="14"/>
        <v>0</v>
      </c>
      <c r="W26" s="2">
        <f t="shared" si="15"/>
        <v>0</v>
      </c>
      <c r="Y26" s="2">
        <f t="shared" si="16"/>
        <v>0</v>
      </c>
    </row>
    <row r="27" spans="1:25" s="2" customFormat="1" ht="15" customHeight="1">
      <c r="A27" s="162" t="s">
        <v>39</v>
      </c>
      <c r="B27" s="163"/>
      <c r="C27" s="238"/>
      <c r="D27" s="240" t="s">
        <v>53</v>
      </c>
      <c r="E27" s="165">
        <f>IFERROR(VLOOKUP(D27,'Employee Numbers'!$A$3:$B$84,2,FALSE),"NOT FOUND")</f>
        <v>613891</v>
      </c>
      <c r="F27" s="253" t="s">
        <v>177</v>
      </c>
      <c r="G27" s="253" t="s">
        <v>177</v>
      </c>
      <c r="H27" s="253" t="s">
        <v>177</v>
      </c>
      <c r="I27" s="253" t="s">
        <v>177</v>
      </c>
      <c r="J27" s="253" t="s">
        <v>177</v>
      </c>
      <c r="K27" s="253" t="s">
        <v>177</v>
      </c>
      <c r="L27" s="253" t="s">
        <v>177</v>
      </c>
      <c r="M27" s="13"/>
      <c r="N27">
        <f t="array" ref="N27">((SUM(IFERROR((TEXT(IF(ISNUMBER(SEARCH("-", F27:L27)), MID(F27:L27, SEARCH("-", F27:L27) + 1, 4), ""), "00\:00") - TEXT(IF(ISNUMBER(SEARCH("-", F27:L27)), MID(F27:L27, SEARCH("-", F27:L27) - 4, 4), ""), "00\:00") + IF(TEXT(IF(ISNUMBER(SEARCH("-", F27:L27)), MID(F27:L27, SEARCH("-", F27:L27) + 1, 4), ""), "00\:00") &lt; TEXT(IF(ISNUMBER(SEARCH("-", F27:L27)), MID(F27:L27, SEARCH("-", F27:L27) - 4, 4), ""), "00\:00"), 1, 0))*24,""))))/9.5</f>
        <v>0</v>
      </c>
      <c r="O27">
        <v>3</v>
      </c>
      <c r="P27" s="151">
        <f t="shared" si="11"/>
        <v>3</v>
      </c>
      <c r="R27" s="4">
        <f t="shared" ca="1" si="12"/>
        <v>6</v>
      </c>
      <c r="S27" s="2">
        <f>(IFERROR(VLOOKUP(D27,'Employee Numbers'!$A$3:$C$84,3,FALSE),"NOT FOUND"))*8</f>
        <v>6</v>
      </c>
      <c r="U27" s="142">
        <f t="shared" si="13"/>
        <v>0</v>
      </c>
      <c r="V27" s="142">
        <f t="shared" si="14"/>
        <v>0</v>
      </c>
      <c r="W27" s="2">
        <f t="shared" si="15"/>
        <v>0</v>
      </c>
      <c r="Y27" s="2">
        <f t="shared" si="16"/>
        <v>0</v>
      </c>
    </row>
    <row r="28" spans="1:25" s="2" customFormat="1" ht="15" customHeight="1">
      <c r="A28" s="2" t="s">
        <v>39</v>
      </c>
      <c r="B28" s="46"/>
      <c r="C28" s="21"/>
      <c r="D28" s="227" t="s">
        <v>55</v>
      </c>
      <c r="E28" s="226">
        <f>IFERROR(VLOOKUP(D28,'Employee Numbers'!$A$3:$B$84,2,FALSE),"NOT FOUND")</f>
        <v>623657</v>
      </c>
      <c r="F28" s="29"/>
      <c r="G28" s="31"/>
      <c r="H28" s="31"/>
      <c r="I28" s="31"/>
      <c r="J28" s="31"/>
      <c r="K28" s="31"/>
      <c r="L28" s="228"/>
      <c r="N28">
        <f t="array" ref="N28">((SUM(IFERROR((TEXT(IF(ISNUMBER(SEARCH("-", F28:L28)), MID(F28:L28, SEARCH("-", F28:L28) + 1, 4), ""), "00\:00") - TEXT(IF(ISNUMBER(SEARCH("-", F28:L28)), MID(F28:L28, SEARCH("-", F28:L28) - 4, 4), ""), "00\:00") + IF(TEXT(IF(ISNUMBER(SEARCH("-", F28:L28)), MID(F28:L28, SEARCH("-", F28:L28) + 1, 4), ""), "00\:00") &lt; TEXT(IF(ISNUMBER(SEARCH("-", F28:L28)), MID(F28:L28, SEARCH("-", F28:L28) - 4, 4), ""), "00\:00"), 1, 0))*24,""))))/9.5</f>
        <v>0</v>
      </c>
      <c r="O28"/>
      <c r="P28" s="151">
        <f t="shared" si="11"/>
        <v>0</v>
      </c>
      <c r="R28" s="4">
        <f t="shared" ca="1" si="12"/>
        <v>1</v>
      </c>
      <c r="S28" s="2">
        <f>(IFERROR(VLOOKUP(D28,'Employee Numbers'!$A$3:$C$84,3,FALSE),"NOT FOUND"))*8</f>
        <v>2</v>
      </c>
      <c r="U28" s="142">
        <f t="shared" si="13"/>
        <v>0</v>
      </c>
      <c r="V28" s="142">
        <f t="shared" si="14"/>
        <v>0</v>
      </c>
      <c r="W28" s="2">
        <f t="shared" si="15"/>
        <v>0</v>
      </c>
      <c r="Y28" s="2">
        <f t="shared" si="16"/>
        <v>0</v>
      </c>
    </row>
    <row r="29" spans="1:25" s="2" customFormat="1" ht="15" customHeight="1">
      <c r="A29" s="162" t="s">
        <v>39</v>
      </c>
      <c r="B29" s="163"/>
      <c r="C29" s="164"/>
      <c r="D29" s="240" t="s">
        <v>56</v>
      </c>
      <c r="E29" s="165">
        <f>IFERROR(VLOOKUP(D29,'Employee Numbers'!$A$3:$B$84,2,FALSE),"NOT FOUND")</f>
        <v>623708</v>
      </c>
      <c r="F29" s="176" t="s">
        <v>42</v>
      </c>
      <c r="G29" s="166"/>
      <c r="H29" s="166" t="s">
        <v>44</v>
      </c>
      <c r="I29" s="166"/>
      <c r="J29" s="166"/>
      <c r="K29" s="166" t="s">
        <v>54</v>
      </c>
      <c r="L29" s="167"/>
      <c r="N29">
        <f t="array" ref="N29">((SUM(IFERROR((TEXT(IF(ISNUMBER(SEARCH("-", F29:L29)), MID(F29:L29, SEARCH("-", F29:L29) + 1, 4), ""), "00\:00") - TEXT(IF(ISNUMBER(SEARCH("-", F29:L29)), MID(F29:L29, SEARCH("-", F29:L29) - 4, 4), ""), "00\:00") + IF(TEXT(IF(ISNUMBER(SEARCH("-", F29:L29)), MID(F29:L29, SEARCH("-", F29:L29) + 1, 4), ""), "00\:00") &lt; TEXT(IF(ISNUMBER(SEARCH("-", F29:L29)), MID(F29:L29, SEARCH("-", F29:L29) - 4, 4), ""), "00\:00"), 1, 0))*24,""))))/9.5</f>
        <v>3</v>
      </c>
      <c r="O29"/>
      <c r="P29" s="151">
        <f t="shared" si="11"/>
        <v>3</v>
      </c>
      <c r="R29" s="4">
        <f t="shared" ca="1" si="12"/>
        <v>6</v>
      </c>
      <c r="S29" s="2">
        <f>(IFERROR(VLOOKUP(D29,'Employee Numbers'!$A$3:$C$84,3,FALSE),"NOT FOUND"))*8</f>
        <v>6</v>
      </c>
      <c r="U29" s="142">
        <f t="shared" si="13"/>
        <v>1</v>
      </c>
      <c r="V29" s="142">
        <f t="shared" si="14"/>
        <v>2</v>
      </c>
      <c r="W29" s="2">
        <f t="shared" si="15"/>
        <v>0</v>
      </c>
      <c r="Y29" s="2">
        <f t="shared" si="16"/>
        <v>1</v>
      </c>
    </row>
    <row r="30" spans="1:25" s="2" customFormat="1" ht="15" customHeight="1">
      <c r="A30" s="2" t="s">
        <v>39</v>
      </c>
      <c r="B30" s="46"/>
      <c r="C30" s="21"/>
      <c r="D30" s="227" t="s">
        <v>57</v>
      </c>
      <c r="E30" s="226">
        <f>IFERROR(VLOOKUP(D30,'Employee Numbers'!$A$3:$B$84,2,FALSE),"NOT FOUND")</f>
        <v>627680</v>
      </c>
      <c r="F30" s="29"/>
      <c r="G30" s="31"/>
      <c r="H30" s="31" t="s">
        <v>41</v>
      </c>
      <c r="I30" s="31"/>
      <c r="J30" s="31"/>
      <c r="K30" s="31" t="s">
        <v>44</v>
      </c>
      <c r="L30" s="228" t="s">
        <v>44</v>
      </c>
      <c r="N30">
        <f t="array" ref="N30">((SUM(IFERROR((TEXT(IF(ISNUMBER(SEARCH("-", F30:L30)), MID(F30:L30, SEARCH("-", F30:L30) + 1, 4), ""), "00\:00") - TEXT(IF(ISNUMBER(SEARCH("-", F30:L30)), MID(F30:L30, SEARCH("-", F30:L30) - 4, 4), ""), "00\:00") + IF(TEXT(IF(ISNUMBER(SEARCH("-", F30:L30)), MID(F30:L30, SEARCH("-", F30:L30) + 1, 4), ""), "00\:00") &lt; TEXT(IF(ISNUMBER(SEARCH("-", F30:L30)), MID(F30:L30, SEARCH("-", F30:L30) - 4, 4), ""), "00\:00"), 1, 0))*24,""))))/9.5</f>
        <v>3</v>
      </c>
      <c r="O30"/>
      <c r="P30" s="151">
        <f t="shared" si="11"/>
        <v>3</v>
      </c>
      <c r="R30" s="4">
        <f t="shared" ca="1" si="12"/>
        <v>6</v>
      </c>
      <c r="S30" s="2">
        <f>(IFERROR(VLOOKUP(D30,'Employee Numbers'!$A$3:$C$84,3,FALSE),"NOT FOUND"))*8</f>
        <v>6</v>
      </c>
      <c r="U30" s="142">
        <f t="shared" si="13"/>
        <v>1</v>
      </c>
      <c r="V30" s="142">
        <f t="shared" si="14"/>
        <v>0</v>
      </c>
      <c r="W30" s="2">
        <f t="shared" si="15"/>
        <v>1</v>
      </c>
      <c r="Y30" s="2">
        <f t="shared" si="16"/>
        <v>2</v>
      </c>
    </row>
    <row r="31" spans="1:25" s="2" customFormat="1" ht="15" customHeight="1">
      <c r="A31" s="162" t="s">
        <v>39</v>
      </c>
      <c r="B31" s="163"/>
      <c r="C31" s="164"/>
      <c r="D31" s="240" t="s">
        <v>58</v>
      </c>
      <c r="E31" s="165">
        <f>IFERROR(VLOOKUP(D31,'Employee Numbers'!$A$3:$B$84,2,FALSE),"NOT FOUND")</f>
        <v>633210</v>
      </c>
      <c r="F31" s="176" t="s">
        <v>41</v>
      </c>
      <c r="G31" s="166" t="s">
        <v>42</v>
      </c>
      <c r="H31" s="166"/>
      <c r="I31" s="166" t="s">
        <v>44</v>
      </c>
      <c r="J31" s="166"/>
      <c r="K31" s="166"/>
      <c r="L31" s="167"/>
      <c r="N31">
        <f t="array" ref="N31">((SUM(IFERROR((TEXT(IF(ISNUMBER(SEARCH("-", F31:L31)), MID(F31:L31, SEARCH("-", F31:L31) + 1, 4), ""), "00\:00") - TEXT(IF(ISNUMBER(SEARCH("-", F31:L31)), MID(F31:L31, SEARCH("-", F31:L31) - 4, 4), ""), "00\:00") + IF(TEXT(IF(ISNUMBER(SEARCH("-", F31:L31)), MID(F31:L31, SEARCH("-", F31:L31) + 1, 4), ""), "00\:00") &lt; TEXT(IF(ISNUMBER(SEARCH("-", F31:L31)), MID(F31:L31, SEARCH("-", F31:L31) - 4, 4), ""), "00\:00"), 1, 0))*24,""))))/9.5</f>
        <v>3</v>
      </c>
      <c r="O31"/>
      <c r="P31" s="151">
        <f t="shared" si="11"/>
        <v>3</v>
      </c>
      <c r="R31" s="4">
        <f t="shared" ca="1" si="12"/>
        <v>6</v>
      </c>
      <c r="S31" s="2">
        <f>(IFERROR(VLOOKUP(D31,'Employee Numbers'!$A$3:$C$84,3,FALSE),"NOT FOUND"))*8</f>
        <v>6</v>
      </c>
      <c r="U31" s="142">
        <f t="shared" si="13"/>
        <v>1</v>
      </c>
      <c r="V31" s="142">
        <f t="shared" si="14"/>
        <v>1</v>
      </c>
      <c r="W31" s="2">
        <f t="shared" si="15"/>
        <v>1</v>
      </c>
      <c r="Y31" s="2">
        <f t="shared" si="16"/>
        <v>0</v>
      </c>
    </row>
    <row r="32" spans="1:25" s="2" customFormat="1" ht="15" customHeight="1">
      <c r="A32" s="2" t="s">
        <v>39</v>
      </c>
      <c r="B32" s="46"/>
      <c r="C32" s="21"/>
      <c r="D32" s="230" t="s">
        <v>59</v>
      </c>
      <c r="E32" s="226">
        <f>IFERROR(VLOOKUP(D32,'Employee Numbers'!$A$3:$B$84,2,FALSE),"NOT FOUND")</f>
        <v>618952</v>
      </c>
      <c r="F32" s="29"/>
      <c r="G32" s="31"/>
      <c r="H32" s="31"/>
      <c r="I32" s="31" t="s">
        <v>44</v>
      </c>
      <c r="J32" s="31" t="s">
        <v>44</v>
      </c>
      <c r="K32" s="31" t="s">
        <v>54</v>
      </c>
      <c r="L32" s="228"/>
      <c r="N32">
        <f t="array" ref="N32">((SUM(IFERROR((TEXT(IF(ISNUMBER(SEARCH("-", F32:L32)), MID(F32:L32, SEARCH("-", F32:L32) + 1, 4), ""), "00\:00") - TEXT(IF(ISNUMBER(SEARCH("-", F32:L32)), MID(F32:L32, SEARCH("-", F32:L32) - 4, 4), ""), "00\:00") + IF(TEXT(IF(ISNUMBER(SEARCH("-", F32:L32)), MID(F32:L32, SEARCH("-", F32:L32) + 1, 4), ""), "00\:00") &lt; TEXT(IF(ISNUMBER(SEARCH("-", F32:L32)), MID(F32:L32, SEARCH("-", F32:L32) - 4, 4), ""), "00\:00"), 1, 0))*24,""))))/9.5</f>
        <v>3</v>
      </c>
      <c r="O32"/>
      <c r="P32" s="151">
        <f t="shared" si="11"/>
        <v>3</v>
      </c>
      <c r="R32" s="4">
        <f t="shared" ca="1" si="12"/>
        <v>6</v>
      </c>
      <c r="S32" s="2">
        <f>(IFERROR(VLOOKUP(D32,'Employee Numbers'!$A$3:$C$84,3,FALSE),"NOT FOUND"))*8</f>
        <v>6</v>
      </c>
      <c r="U32" s="142">
        <f t="shared" si="13"/>
        <v>2</v>
      </c>
      <c r="V32" s="142">
        <f t="shared" si="14"/>
        <v>1</v>
      </c>
      <c r="W32" s="2">
        <f t="shared" si="15"/>
        <v>0</v>
      </c>
      <c r="Y32" s="2">
        <f t="shared" si="16"/>
        <v>1</v>
      </c>
    </row>
    <row r="33" spans="1:25" s="2" customFormat="1" ht="15" customHeight="1">
      <c r="A33" s="162" t="s">
        <v>39</v>
      </c>
      <c r="B33" s="163"/>
      <c r="C33" s="164"/>
      <c r="D33" s="241" t="s">
        <v>61</v>
      </c>
      <c r="E33" s="165">
        <f>IFERROR(VLOOKUP(D33,'Employee Numbers'!$A$3:$B$84,2,FALSE),"NOT FOUND")</f>
        <v>649039</v>
      </c>
      <c r="F33" s="253" t="s">
        <v>176</v>
      </c>
      <c r="G33" s="254" t="s">
        <v>176</v>
      </c>
      <c r="H33" s="254" t="s">
        <v>176</v>
      </c>
      <c r="I33" s="254" t="s">
        <v>176</v>
      </c>
      <c r="J33" s="254" t="s">
        <v>176</v>
      </c>
      <c r="K33" s="254" t="s">
        <v>176</v>
      </c>
      <c r="L33" s="255" t="s">
        <v>176</v>
      </c>
      <c r="N33">
        <f t="array" ref="N33">((SUM(IFERROR((TEXT(IF(ISNUMBER(SEARCH("-", F33:L33)), MID(F33:L33, SEARCH("-", F33:L33) + 1, 4), ""), "00\:00") - TEXT(IF(ISNUMBER(SEARCH("-", F33:L33)), MID(F33:L33, SEARCH("-", F33:L33) - 4, 4), ""), "00\:00") + IF(TEXT(IF(ISNUMBER(SEARCH("-", F33:L33)), MID(F33:L33, SEARCH("-", F33:L33) + 1, 4), ""), "00\:00") &lt; TEXT(IF(ISNUMBER(SEARCH("-", F33:L33)), MID(F33:L33, SEARCH("-", F33:L33) - 4, 4), ""), "00\:00"), 1, 0))*24,""))))/9.5</f>
        <v>0</v>
      </c>
      <c r="O33">
        <v>2</v>
      </c>
      <c r="P33" s="151">
        <f t="shared" si="11"/>
        <v>2</v>
      </c>
      <c r="R33" s="4">
        <f t="shared" ca="1" si="12"/>
        <v>5</v>
      </c>
      <c r="S33" s="2">
        <f>(IFERROR(VLOOKUP(D33,'Employee Numbers'!$A$3:$C$84,3,FALSE),"NOT FOUND"))*8</f>
        <v>5</v>
      </c>
      <c r="U33" s="142">
        <f t="shared" si="13"/>
        <v>0</v>
      </c>
      <c r="V33" s="142">
        <f t="shared" si="14"/>
        <v>0</v>
      </c>
      <c r="W33" s="2">
        <f t="shared" si="15"/>
        <v>0</v>
      </c>
      <c r="Y33" s="2">
        <f t="shared" si="16"/>
        <v>0</v>
      </c>
    </row>
    <row r="34" spans="1:25" s="2" customFormat="1" ht="15" customHeight="1">
      <c r="A34" s="2" t="s">
        <v>39</v>
      </c>
      <c r="B34" s="46"/>
      <c r="C34" s="21"/>
      <c r="D34" s="227" t="s">
        <v>62</v>
      </c>
      <c r="E34" s="226">
        <f>IFERROR(VLOOKUP(D34,'Employee Numbers'!$A$3:$B$84,2,FALSE),"NOT FOUND")</f>
        <v>649671</v>
      </c>
      <c r="F34" s="29"/>
      <c r="G34" s="31" t="s">
        <v>44</v>
      </c>
      <c r="H34" s="31" t="s">
        <v>42</v>
      </c>
      <c r="I34" s="29" t="s">
        <v>63</v>
      </c>
      <c r="J34" s="31"/>
      <c r="K34" s="31"/>
      <c r="L34" s="228"/>
      <c r="N34">
        <f t="array" ref="N34">((SUM(IFERROR((TEXT(IF(ISNUMBER(SEARCH("-", F34:L34)), MID(F34:L34, SEARCH("-", F34:L34) + 1, 4), ""), "00\:00") - TEXT(IF(ISNUMBER(SEARCH("-", F34:L34)), MID(F34:L34, SEARCH("-", F34:L34) - 4, 4), ""), "00\:00") + IF(TEXT(IF(ISNUMBER(SEARCH("-", F34:L34)), MID(F34:L34, SEARCH("-", F34:L34) + 1, 4), ""), "00\:00") &lt; TEXT(IF(ISNUMBER(SEARCH("-", F34:L34)), MID(F34:L34, SEARCH("-", F34:L34) - 4, 4), ""), "00\:00"), 1, 0))*24,""))))/9.5</f>
        <v>3</v>
      </c>
      <c r="O34"/>
      <c r="P34" s="151">
        <f t="shared" si="11"/>
        <v>3</v>
      </c>
      <c r="R34" s="4">
        <f t="shared" ca="1" si="12"/>
        <v>6</v>
      </c>
      <c r="S34" s="2">
        <f>(IFERROR(VLOOKUP(D34,'Employee Numbers'!$A$3:$C$84,3,FALSE),"NOT FOUND"))*8</f>
        <v>6</v>
      </c>
      <c r="U34" s="142">
        <f t="shared" si="13"/>
        <v>1</v>
      </c>
      <c r="V34" s="142">
        <f t="shared" si="14"/>
        <v>1</v>
      </c>
      <c r="W34" s="2">
        <f t="shared" si="15"/>
        <v>1</v>
      </c>
      <c r="Y34" s="2">
        <f t="shared" si="16"/>
        <v>0</v>
      </c>
    </row>
    <row r="35" spans="1:25" s="2" customFormat="1" ht="15" customHeight="1">
      <c r="A35" s="162" t="s">
        <v>39</v>
      </c>
      <c r="B35" s="163"/>
      <c r="C35" s="164"/>
      <c r="D35" s="240" t="s">
        <v>64</v>
      </c>
      <c r="E35" s="165">
        <f>IFERROR(VLOOKUP(D35,'Employee Numbers'!$A$3:$B$84,2,FALSE),"NOT FOUND")</f>
        <v>646047</v>
      </c>
      <c r="F35" s="176" t="s">
        <v>44</v>
      </c>
      <c r="G35" s="166" t="s">
        <v>44</v>
      </c>
      <c r="H35" s="166" t="s">
        <v>42</v>
      </c>
      <c r="I35" s="166"/>
      <c r="J35" s="166"/>
      <c r="K35" s="166"/>
      <c r="L35" s="167"/>
      <c r="N35">
        <f t="array" ref="N35">((SUM(IFERROR((TEXT(IF(ISNUMBER(SEARCH("-", F35:L35)), MID(F35:L35, SEARCH("-", F35:L35) + 1, 4), ""), "00\:00") - TEXT(IF(ISNUMBER(SEARCH("-", F35:L35)), MID(F35:L35, SEARCH("-", F35:L35) - 4, 4), ""), "00\:00") + IF(TEXT(IF(ISNUMBER(SEARCH("-", F35:L35)), MID(F35:L35, SEARCH("-", F35:L35) + 1, 4), ""), "00\:00") &lt; TEXT(IF(ISNUMBER(SEARCH("-", F35:L35)), MID(F35:L35, SEARCH("-", F35:L35) - 4, 4), ""), "00\:00"), 1, 0))*24,""))))/9.5</f>
        <v>3</v>
      </c>
      <c r="O35"/>
      <c r="P35" s="151">
        <f t="shared" si="11"/>
        <v>3</v>
      </c>
      <c r="R35" s="4">
        <f t="shared" ca="1" si="12"/>
        <v>5</v>
      </c>
      <c r="S35" s="2">
        <f>(IFERROR(VLOOKUP(D35,'Employee Numbers'!$A$3:$C$84,3,FALSE),"NOT FOUND"))*8</f>
        <v>5</v>
      </c>
      <c r="U35" s="142">
        <f t="shared" si="13"/>
        <v>2</v>
      </c>
      <c r="V35" s="142">
        <f t="shared" si="14"/>
        <v>1</v>
      </c>
      <c r="W35" s="2">
        <f t="shared" si="15"/>
        <v>0</v>
      </c>
      <c r="Y35" s="2">
        <f t="shared" si="16"/>
        <v>0</v>
      </c>
    </row>
    <row r="36" spans="1:25" s="2" customFormat="1" ht="15" customHeight="1">
      <c r="A36" s="2" t="s">
        <v>39</v>
      </c>
      <c r="B36" s="46"/>
      <c r="C36" s="21"/>
      <c r="D36" s="229" t="s">
        <v>66</v>
      </c>
      <c r="E36" s="226">
        <f>IFERROR(VLOOKUP(D36,'Employee Numbers'!$A$3:$B$84,2,FALSE),"NOT FOUND")</f>
        <v>164003</v>
      </c>
      <c r="F36" s="29"/>
      <c r="G36" s="31"/>
      <c r="H36" s="31"/>
      <c r="I36" s="31" t="s">
        <v>42</v>
      </c>
      <c r="J36" s="31"/>
      <c r="K36" s="31" t="s">
        <v>44</v>
      </c>
      <c r="L36" s="228"/>
      <c r="N36">
        <f t="array" ref="N36">((SUM(IFERROR((TEXT(IF(ISNUMBER(SEARCH("-", F36:L36)), MID(F36:L36, SEARCH("-", F36:L36) + 1, 4), ""), "00\:00") - TEXT(IF(ISNUMBER(SEARCH("-", F36:L36)), MID(F36:L36, SEARCH("-", F36:L36) - 4, 4), ""), "00\:00") + IF(TEXT(IF(ISNUMBER(SEARCH("-", F36:L36)), MID(F36:L36, SEARCH("-", F36:L36) + 1, 4), ""), "00\:00") &lt; TEXT(IF(ISNUMBER(SEARCH("-", F36:L36)), MID(F36:L36, SEARCH("-", F36:L36) - 4, 4), ""), "00\:00"), 1, 0))*24,""))))/9.5</f>
        <v>2</v>
      </c>
      <c r="O36"/>
      <c r="P36" s="151">
        <f t="shared" si="11"/>
        <v>2</v>
      </c>
      <c r="R36" s="4">
        <f t="shared" ca="1" si="12"/>
        <v>4</v>
      </c>
      <c r="S36" s="2">
        <f>(IFERROR(VLOOKUP(D36,'Employee Numbers'!$A$3:$C$84,3,FALSE),"NOT FOUND"))*8</f>
        <v>4</v>
      </c>
      <c r="U36" s="142">
        <f t="shared" si="13"/>
        <v>1</v>
      </c>
      <c r="V36" s="142">
        <f t="shared" si="14"/>
        <v>1</v>
      </c>
      <c r="W36" s="2">
        <f t="shared" si="15"/>
        <v>0</v>
      </c>
      <c r="Y36" s="2">
        <f t="shared" si="16"/>
        <v>1</v>
      </c>
    </row>
    <row r="37" spans="1:25" s="2" customFormat="1" ht="15" customHeight="1">
      <c r="A37" s="162" t="s">
        <v>39</v>
      </c>
      <c r="B37" s="163"/>
      <c r="C37" s="164"/>
      <c r="D37" s="240" t="s">
        <v>67</v>
      </c>
      <c r="E37" s="165">
        <f>IFERROR(VLOOKUP(D37,'Employee Numbers'!$A$3:$B$84,2,FALSE),"NOT FOUND")</f>
        <v>609408</v>
      </c>
      <c r="F37" s="176"/>
      <c r="G37" s="166" t="s">
        <v>42</v>
      </c>
      <c r="H37" s="166" t="s">
        <v>63</v>
      </c>
      <c r="I37" s="166" t="s">
        <v>44</v>
      </c>
      <c r="J37" s="166" t="s">
        <v>42</v>
      </c>
      <c r="K37" s="166"/>
      <c r="L37" s="167"/>
      <c r="N37">
        <f t="array" ref="N37">((SUM(IFERROR((TEXT(IF(ISNUMBER(SEARCH("-", F37:L37)), MID(F37:L37, SEARCH("-", F37:L37) + 1, 4), ""), "00\:00") - TEXT(IF(ISNUMBER(SEARCH("-", F37:L37)), MID(F37:L37, SEARCH("-", F37:L37) - 4, 4), ""), "00\:00") + IF(TEXT(IF(ISNUMBER(SEARCH("-", F37:L37)), MID(F37:L37, SEARCH("-", F37:L37) + 1, 4), ""), "00\:00") &lt; TEXT(IF(ISNUMBER(SEARCH("-", F37:L37)), MID(F37:L37, SEARCH("-", F37:L37) - 4, 4), ""), "00\:00"), 1, 0))*24,""))))/9.5</f>
        <v>4</v>
      </c>
      <c r="O37"/>
      <c r="P37" s="151">
        <f t="shared" si="11"/>
        <v>4</v>
      </c>
      <c r="R37" s="4">
        <f t="shared" ca="1" si="12"/>
        <v>4</v>
      </c>
      <c r="S37" s="2">
        <f>(IFERROR(VLOOKUP(D37,'Employee Numbers'!$A$3:$C$84,3,FALSE),"NOT FOUND"))*8</f>
        <v>4</v>
      </c>
      <c r="U37" s="142">
        <f t="shared" si="13"/>
        <v>1</v>
      </c>
      <c r="V37" s="142">
        <f t="shared" si="14"/>
        <v>2</v>
      </c>
      <c r="W37" s="2">
        <f t="shared" si="15"/>
        <v>1</v>
      </c>
      <c r="Y37" s="2">
        <f t="shared" si="16"/>
        <v>0</v>
      </c>
    </row>
    <row r="38" spans="1:25" s="2" customFormat="1" ht="15" customHeight="1">
      <c r="A38" s="2" t="s">
        <v>39</v>
      </c>
      <c r="B38" s="46"/>
      <c r="C38" s="21"/>
      <c r="D38" s="227" t="s">
        <v>68</v>
      </c>
      <c r="E38" s="226">
        <f>IFERROR(VLOOKUP(D38,'Employee Numbers'!$A$3:$B$84,2,FALSE),"NOT FOUND")</f>
        <v>627619</v>
      </c>
      <c r="F38" s="29" t="s">
        <v>44</v>
      </c>
      <c r="G38" s="31"/>
      <c r="H38" s="31" t="s">
        <v>42</v>
      </c>
      <c r="I38" s="31"/>
      <c r="J38" s="31"/>
      <c r="K38" s="31"/>
      <c r="L38" s="228"/>
      <c r="N38">
        <f t="array" ref="N38">((SUM(IFERROR((TEXT(IF(ISNUMBER(SEARCH("-", F38:L38)), MID(F38:L38, SEARCH("-", F38:L38) + 1, 4), ""), "00\:00") - TEXT(IF(ISNUMBER(SEARCH("-", F38:L38)), MID(F38:L38, SEARCH("-", F38:L38) - 4, 4), ""), "00\:00") + IF(TEXT(IF(ISNUMBER(SEARCH("-", F38:L38)), MID(F38:L38, SEARCH("-", F38:L38) + 1, 4), ""), "00\:00") &lt; TEXT(IF(ISNUMBER(SEARCH("-", F38:L38)), MID(F38:L38, SEARCH("-", F38:L38) - 4, 4), ""), "00\:00"), 1, 0))*24,""))))/9.5</f>
        <v>2</v>
      </c>
      <c r="O38"/>
      <c r="P38" s="151">
        <f t="shared" si="11"/>
        <v>2</v>
      </c>
      <c r="R38" s="4">
        <f t="shared" ca="1" si="12"/>
        <v>4</v>
      </c>
      <c r="S38" s="2">
        <f>(IFERROR(VLOOKUP(D38,'Employee Numbers'!$A$3:$C$84,3,FALSE),"NOT FOUND"))*8</f>
        <v>4</v>
      </c>
      <c r="U38" s="142">
        <f t="shared" si="13"/>
        <v>1</v>
      </c>
      <c r="V38" s="142">
        <f t="shared" si="14"/>
        <v>1</v>
      </c>
      <c r="W38" s="2">
        <f t="shared" si="15"/>
        <v>0</v>
      </c>
      <c r="Y38" s="2">
        <f t="shared" si="16"/>
        <v>0</v>
      </c>
    </row>
    <row r="39" spans="1:25" s="2" customFormat="1" ht="15" customHeight="1">
      <c r="A39" s="162" t="s">
        <v>39</v>
      </c>
      <c r="B39" s="163"/>
      <c r="C39" s="164"/>
      <c r="D39" s="240" t="s">
        <v>71</v>
      </c>
      <c r="E39" s="165">
        <f>IFERROR(VLOOKUP(D39,'Employee Numbers'!$A$3:$B$84,2,FALSE),"NOT FOUND")</f>
        <v>632646</v>
      </c>
      <c r="F39" s="176" t="s">
        <v>44</v>
      </c>
      <c r="G39" s="166"/>
      <c r="H39" s="166" t="s">
        <v>41</v>
      </c>
      <c r="I39" s="166"/>
      <c r="J39" s="166" t="s">
        <v>44</v>
      </c>
      <c r="K39" s="166"/>
      <c r="L39" s="167" t="s">
        <v>54</v>
      </c>
      <c r="N39">
        <f t="array" ref="N39">((SUM(IFERROR((TEXT(IF(ISNUMBER(SEARCH("-", F39:L39)), MID(F39:L39, SEARCH("-", F39:L39) + 1, 4), ""), "00\:00") - TEXT(IF(ISNUMBER(SEARCH("-", F39:L39)), MID(F39:L39, SEARCH("-", F39:L39) - 4, 4), ""), "00\:00") + IF(TEXT(IF(ISNUMBER(SEARCH("-", F39:L39)), MID(F39:L39, SEARCH("-", F39:L39) + 1, 4), ""), "00\:00") &lt; TEXT(IF(ISNUMBER(SEARCH("-", F39:L39)), MID(F39:L39, SEARCH("-", F39:L39) - 4, 4), ""), "00\:00"), 1, 0))*24,""))))/9.5</f>
        <v>4</v>
      </c>
      <c r="O39"/>
      <c r="P39" s="151">
        <f t="shared" si="11"/>
        <v>4</v>
      </c>
      <c r="R39" s="4">
        <f t="shared" ca="1" si="12"/>
        <v>4</v>
      </c>
      <c r="S39" s="2">
        <f>(IFERROR(VLOOKUP(D39,'Employee Numbers'!$A$3:$C$84,3,FALSE),"NOT FOUND"))*8</f>
        <v>4</v>
      </c>
      <c r="U39" s="142">
        <f t="shared" si="13"/>
        <v>2</v>
      </c>
      <c r="V39" s="142">
        <f t="shared" si="14"/>
        <v>1</v>
      </c>
      <c r="W39" s="2">
        <f t="shared" si="15"/>
        <v>1</v>
      </c>
      <c r="Y39" s="2">
        <f t="shared" si="16"/>
        <v>1</v>
      </c>
    </row>
    <row r="40" spans="1:25" s="2" customFormat="1" ht="15" customHeight="1">
      <c r="A40" s="2" t="s">
        <v>39</v>
      </c>
      <c r="B40" s="46"/>
      <c r="C40" s="21"/>
      <c r="D40" s="229" t="s">
        <v>72</v>
      </c>
      <c r="E40" s="226">
        <f>IFERROR(VLOOKUP(D40,'Employee Numbers'!$A$3:$B$84,2,FALSE),"NOT FOUND")</f>
        <v>652844</v>
      </c>
      <c r="F40" s="250" t="s">
        <v>176</v>
      </c>
      <c r="G40" s="251" t="s">
        <v>176</v>
      </c>
      <c r="H40" s="251" t="s">
        <v>176</v>
      </c>
      <c r="I40" s="251" t="s">
        <v>176</v>
      </c>
      <c r="J40" s="251" t="s">
        <v>176</v>
      </c>
      <c r="K40" s="251" t="s">
        <v>176</v>
      </c>
      <c r="L40" s="252" t="s">
        <v>176</v>
      </c>
      <c r="N40">
        <f t="array" ref="N40">((SUM(IFERROR((TEXT(IF(ISNUMBER(SEARCH("-", F40:L40)), MID(F40:L40, SEARCH("-", F40:L40) + 1, 4), ""), "00\:00") - TEXT(IF(ISNUMBER(SEARCH("-", F40:L40)), MID(F40:L40, SEARCH("-", F40:L40) - 4, 4), ""), "00\:00") + IF(TEXT(IF(ISNUMBER(SEARCH("-", F40:L40)), MID(F40:L40, SEARCH("-", F40:L40) + 1, 4), ""), "00\:00") &lt; TEXT(IF(ISNUMBER(SEARCH("-", F40:L40)), MID(F40:L40, SEARCH("-", F40:L40) - 4, 4), ""), "00\:00"), 1, 0))*24,""))))/9.5</f>
        <v>0</v>
      </c>
      <c r="O40">
        <v>0</v>
      </c>
      <c r="P40" s="151">
        <f t="shared" si="11"/>
        <v>0</v>
      </c>
      <c r="R40" s="4">
        <f t="shared" ca="1" si="12"/>
        <v>4</v>
      </c>
      <c r="S40" s="2">
        <f>(IFERROR(VLOOKUP(D40,'Employee Numbers'!$A$3:$C$84,3,FALSE),"NOT FOUND"))*8</f>
        <v>4</v>
      </c>
      <c r="U40" s="142">
        <f t="shared" si="13"/>
        <v>0</v>
      </c>
      <c r="V40" s="142">
        <f t="shared" si="14"/>
        <v>0</v>
      </c>
      <c r="W40" s="2">
        <f t="shared" si="15"/>
        <v>0</v>
      </c>
      <c r="Y40" s="2">
        <f t="shared" si="16"/>
        <v>0</v>
      </c>
    </row>
    <row r="41" spans="1:25" s="2" customFormat="1" ht="15" customHeight="1">
      <c r="A41" s="162" t="s">
        <v>39</v>
      </c>
      <c r="B41" s="163"/>
      <c r="C41" s="164"/>
      <c r="D41" s="241" t="s">
        <v>73</v>
      </c>
      <c r="E41" s="165">
        <f>IFERROR(VLOOKUP(D41,'Employee Numbers'!$A$3:$B$84,2,FALSE),"NOT FOUND")</f>
        <v>634491</v>
      </c>
      <c r="F41" s="176"/>
      <c r="G41" s="166"/>
      <c r="H41" s="166"/>
      <c r="I41" s="166"/>
      <c r="J41" s="166"/>
      <c r="K41" s="166"/>
      <c r="L41" s="167"/>
      <c r="N41">
        <f t="array" ref="N41">((SUM(IFERROR((TEXT(IF(ISNUMBER(SEARCH("-", F41:L41)), MID(F41:L41, SEARCH("-", F41:L41) + 1, 4), ""), "00\:00") - TEXT(IF(ISNUMBER(SEARCH("-", F41:L41)), MID(F41:L41, SEARCH("-", F41:L41) - 4, 4), ""), "00\:00") + IF(TEXT(IF(ISNUMBER(SEARCH("-", F41:L41)), MID(F41:L41, SEARCH("-", F41:L41) + 1, 4), ""), "00\:00") &lt; TEXT(IF(ISNUMBER(SEARCH("-", F41:L41)), MID(F41:L41, SEARCH("-", F41:L41) - 4, 4), ""), "00\:00"), 1, 0))*24,""))))/9.5</f>
        <v>0</v>
      </c>
      <c r="O41"/>
      <c r="P41" s="151">
        <f t="shared" si="11"/>
        <v>0</v>
      </c>
      <c r="R41" s="4">
        <f t="shared" ca="1" si="12"/>
        <v>4</v>
      </c>
      <c r="S41" s="2">
        <f>(IFERROR(VLOOKUP(D41,'Employee Numbers'!$A$3:$C$84,3,FALSE),"NOT FOUND"))*8</f>
        <v>4</v>
      </c>
      <c r="U41" s="142">
        <f t="shared" si="13"/>
        <v>0</v>
      </c>
      <c r="V41" s="142">
        <f t="shared" si="14"/>
        <v>0</v>
      </c>
      <c r="W41" s="2">
        <f t="shared" si="15"/>
        <v>0</v>
      </c>
      <c r="Y41" s="2">
        <f t="shared" si="16"/>
        <v>0</v>
      </c>
    </row>
    <row r="42" spans="1:25" s="2" customFormat="1" ht="15" customHeight="1">
      <c r="A42" s="2" t="s">
        <v>39</v>
      </c>
      <c r="B42" s="46"/>
      <c r="C42" s="47"/>
      <c r="D42" s="227" t="s">
        <v>74</v>
      </c>
      <c r="E42" s="226">
        <f>IFERROR(VLOOKUP(D42,'Employee Numbers'!$A$3:$B$84,2,FALSE),"NOT FOUND")</f>
        <v>621988</v>
      </c>
      <c r="F42" s="29"/>
      <c r="G42" s="31"/>
      <c r="H42" s="31"/>
      <c r="I42" s="31"/>
      <c r="J42" s="31"/>
      <c r="K42" s="31"/>
      <c r="L42" s="228"/>
      <c r="N42">
        <f t="array" ref="N42">((SUM(IFERROR((TEXT(IF(ISNUMBER(SEARCH("-", F42:L42)), MID(F42:L42, SEARCH("-", F42:L42) + 1, 4), ""), "00\:00") - TEXT(IF(ISNUMBER(SEARCH("-", F42:L42)), MID(F42:L42, SEARCH("-", F42:L42) - 4, 4), ""), "00\:00") + IF(TEXT(IF(ISNUMBER(SEARCH("-", F42:L42)), MID(F42:L42, SEARCH("-", F42:L42) + 1, 4), ""), "00\:00") &lt; TEXT(IF(ISNUMBER(SEARCH("-", F42:L42)), MID(F42:L42, SEARCH("-", F42:L42) - 4, 4), ""), "00\:00"), 1, 0))*24,""))))/9.5</f>
        <v>0</v>
      </c>
      <c r="O42"/>
      <c r="P42" s="151">
        <f t="shared" si="11"/>
        <v>0</v>
      </c>
      <c r="R42" s="4">
        <f t="shared" ca="1" si="12"/>
        <v>4</v>
      </c>
      <c r="S42" s="2">
        <f>(IFERROR(VLOOKUP(D42,'Employee Numbers'!$A$3:$C$84,3,FALSE),"NOT FOUND"))*8</f>
        <v>4</v>
      </c>
      <c r="U42" s="142">
        <f t="shared" si="13"/>
        <v>0</v>
      </c>
      <c r="V42" s="142">
        <f t="shared" si="14"/>
        <v>0</v>
      </c>
      <c r="W42" s="2">
        <f t="shared" si="15"/>
        <v>0</v>
      </c>
      <c r="Y42" s="2">
        <f t="shared" si="16"/>
        <v>0</v>
      </c>
    </row>
    <row r="43" spans="1:25" s="2" customFormat="1" ht="15" customHeight="1">
      <c r="A43" s="162" t="s">
        <v>39</v>
      </c>
      <c r="B43" s="163"/>
      <c r="C43" s="238"/>
      <c r="D43" s="239" t="s">
        <v>76</v>
      </c>
      <c r="E43" s="165">
        <f>IFERROR(VLOOKUP(D43,'Employee Numbers'!$A$3:$B$84,2,FALSE),"NOT FOUND")</f>
        <v>409677</v>
      </c>
      <c r="F43" s="176" t="s">
        <v>42</v>
      </c>
      <c r="G43" s="166"/>
      <c r="H43" s="166"/>
      <c r="I43" s="166"/>
      <c r="J43" s="166"/>
      <c r="K43" s="166"/>
      <c r="L43" s="167"/>
      <c r="N43">
        <f t="array" ref="N43">((SUM(IFERROR((TEXT(IF(ISNUMBER(SEARCH("-", F43:L43)), MID(F43:L43, SEARCH("-", F43:L43) + 1, 4), ""), "00\:00") - TEXT(IF(ISNUMBER(SEARCH("-", F43:L43)), MID(F43:L43, SEARCH("-", F43:L43) - 4, 4), ""), "00\:00") + IF(TEXT(IF(ISNUMBER(SEARCH("-", F43:L43)), MID(F43:L43, SEARCH("-", F43:L43) + 1, 4), ""), "00\:00") &lt; TEXT(IF(ISNUMBER(SEARCH("-", F43:L43)), MID(F43:L43, SEARCH("-", F43:L43) - 4, 4), ""), "00\:00"), 1, 0))*24,""))))/9.5</f>
        <v>1</v>
      </c>
      <c r="O43"/>
      <c r="P43" s="151">
        <f t="shared" si="11"/>
        <v>1</v>
      </c>
      <c r="R43" s="4">
        <f t="shared" ca="1" si="12"/>
        <v>3</v>
      </c>
      <c r="S43" s="2">
        <f>(IFERROR(VLOOKUP(D43,'Employee Numbers'!$A$3:$C$84,3,FALSE),"NOT FOUND"))*8</f>
        <v>3</v>
      </c>
      <c r="U43" s="142">
        <f t="shared" si="13"/>
        <v>0</v>
      </c>
      <c r="V43" s="142">
        <f t="shared" si="14"/>
        <v>1</v>
      </c>
      <c r="W43" s="2">
        <f t="shared" si="15"/>
        <v>0</v>
      </c>
      <c r="Y43" s="2">
        <f t="shared" si="16"/>
        <v>0</v>
      </c>
    </row>
    <row r="44" spans="1:25" s="2" customFormat="1" ht="15" customHeight="1">
      <c r="A44" s="2" t="s">
        <v>39</v>
      </c>
      <c r="B44" s="46"/>
      <c r="C44" s="47"/>
      <c r="D44" s="249" t="s">
        <v>77</v>
      </c>
      <c r="E44" s="226">
        <f>IFERROR(VLOOKUP(D44,'Employee Numbers'!$A$3:$B$84,2,FALSE),"NOT FOUND")</f>
        <v>632590</v>
      </c>
      <c r="F44" s="29"/>
      <c r="G44" s="251" t="s">
        <v>69</v>
      </c>
      <c r="H44" s="251" t="s">
        <v>69</v>
      </c>
      <c r="I44" s="251" t="s">
        <v>176</v>
      </c>
      <c r="J44" s="251" t="s">
        <v>176</v>
      </c>
      <c r="K44" s="31"/>
      <c r="L44" s="228"/>
      <c r="N44">
        <f t="array" ref="N44">((SUM(IFERROR((TEXT(IF(ISNUMBER(SEARCH("-", F44:L44)), MID(F44:L44, SEARCH("-", F44:L44) + 1, 4), ""), "00\:00") - TEXT(IF(ISNUMBER(SEARCH("-", F44:L44)), MID(F44:L44, SEARCH("-", F44:L44) - 4, 4), ""), "00\:00") + IF(TEXT(IF(ISNUMBER(SEARCH("-", F44:L44)), MID(F44:L44, SEARCH("-", F44:L44) + 1, 4), ""), "00\:00") &lt; TEXT(IF(ISNUMBER(SEARCH("-", F44:L44)), MID(F44:L44, SEARCH("-", F44:L44) - 4, 4), ""), "00\:00"), 1, 0))*24,""))))/9.5</f>
        <v>0</v>
      </c>
      <c r="O44">
        <v>4</v>
      </c>
      <c r="P44" s="151">
        <f t="shared" si="11"/>
        <v>4</v>
      </c>
      <c r="R44" s="4">
        <f t="shared" ca="1" si="12"/>
        <v>4</v>
      </c>
      <c r="S44" s="2">
        <f>(IFERROR(VLOOKUP(D44,'Employee Numbers'!$A$3:$C$84,3,FALSE),"NOT FOUND"))*8</f>
        <v>4</v>
      </c>
      <c r="U44" s="142">
        <f t="shared" si="13"/>
        <v>0</v>
      </c>
      <c r="V44" s="142">
        <f t="shared" si="14"/>
        <v>0</v>
      </c>
      <c r="W44" s="2">
        <f t="shared" si="15"/>
        <v>0</v>
      </c>
      <c r="Y44" s="2">
        <f t="shared" si="16"/>
        <v>0</v>
      </c>
    </row>
    <row r="45" spans="1:25" s="2" customFormat="1" ht="15" customHeight="1">
      <c r="A45" s="162" t="s">
        <v>39</v>
      </c>
      <c r="B45" s="163"/>
      <c r="C45" s="238"/>
      <c r="D45" s="240" t="s">
        <v>78</v>
      </c>
      <c r="E45" s="165">
        <f>IFERROR(VLOOKUP(D45,'Employee Numbers'!$A$3:$B$84,2,FALSE),"NOT FOUND")</f>
        <v>619537</v>
      </c>
      <c r="F45" s="176"/>
      <c r="G45" s="166"/>
      <c r="H45" s="166"/>
      <c r="I45" s="166"/>
      <c r="J45" s="166"/>
      <c r="K45" s="166"/>
      <c r="L45" s="167" t="s">
        <v>54</v>
      </c>
      <c r="N45">
        <f t="array" ref="N45">((SUM(IFERROR((TEXT(IF(ISNUMBER(SEARCH("-", F45:L45)), MID(F45:L45, SEARCH("-", F45:L45) + 1, 4), ""), "00\:00") - TEXT(IF(ISNUMBER(SEARCH("-", F45:L45)), MID(F45:L45, SEARCH("-", F45:L45) - 4, 4), ""), "00\:00") + IF(TEXT(IF(ISNUMBER(SEARCH("-", F45:L45)), MID(F45:L45, SEARCH("-", F45:L45) + 1, 4), ""), "00\:00") &lt; TEXT(IF(ISNUMBER(SEARCH("-", F45:L45)), MID(F45:L45, SEARCH("-", F45:L45) - 4, 4), ""), "00\:00"), 1, 0))*24,""))))/9.5</f>
        <v>1</v>
      </c>
      <c r="O45"/>
      <c r="P45" s="151">
        <f t="shared" si="11"/>
        <v>1</v>
      </c>
      <c r="R45" s="4">
        <f t="shared" ca="1" si="12"/>
        <v>1</v>
      </c>
      <c r="S45" s="2">
        <f>(IFERROR(VLOOKUP(D45,'Employee Numbers'!$A$3:$C$84,3,FALSE),"NOT FOUND"))*8</f>
        <v>1</v>
      </c>
      <c r="U45" s="142">
        <f t="shared" si="13"/>
        <v>0</v>
      </c>
      <c r="V45" s="142">
        <f t="shared" si="14"/>
        <v>1</v>
      </c>
      <c r="W45" s="2">
        <f t="shared" si="15"/>
        <v>0</v>
      </c>
      <c r="Y45" s="2">
        <f t="shared" si="16"/>
        <v>1</v>
      </c>
    </row>
    <row r="46" spans="1:25" s="2" customFormat="1" ht="15" customHeight="1">
      <c r="A46" s="2" t="s">
        <v>39</v>
      </c>
      <c r="B46" s="46"/>
      <c r="C46" s="47"/>
      <c r="D46" s="229" t="s">
        <v>79</v>
      </c>
      <c r="E46" s="226">
        <f>IFERROR(VLOOKUP(D46,'Employee Numbers'!$A$3:$B$84,2,FALSE),"NOT FOUND")</f>
        <v>621953</v>
      </c>
      <c r="F46" s="231"/>
      <c r="G46" s="31"/>
      <c r="H46" s="31"/>
      <c r="I46" s="31"/>
      <c r="J46" s="136"/>
      <c r="K46" s="136"/>
      <c r="L46" s="232"/>
      <c r="N46">
        <f t="array" ref="N46">((SUM(IFERROR((TEXT(IF(ISNUMBER(SEARCH("-", F46:L46)), MID(F46:L46, SEARCH("-", F46:L46) + 1, 4), ""), "00\:00") - TEXT(IF(ISNUMBER(SEARCH("-", F46:L46)), MID(F46:L46, SEARCH("-", F46:L46) - 4, 4), ""), "00\:00") + IF(TEXT(IF(ISNUMBER(SEARCH("-", F46:L46)), MID(F46:L46, SEARCH("-", F46:L46) + 1, 4), ""), "00\:00") &lt; TEXT(IF(ISNUMBER(SEARCH("-", F46:L46)), MID(F46:L46, SEARCH("-", F46:L46) - 4, 4), ""), "00\:00"), 1, 0))*24,""))))/9.5</f>
        <v>0</v>
      </c>
      <c r="O46"/>
      <c r="P46" s="151">
        <f t="shared" si="11"/>
        <v>0</v>
      </c>
      <c r="R46" s="4">
        <f t="shared" ca="1" si="12"/>
        <v>1</v>
      </c>
      <c r="S46" s="2">
        <f>(IFERROR(VLOOKUP(D46,'Employee Numbers'!$A$3:$C$84,3,FALSE),"NOT FOUND"))*8</f>
        <v>1</v>
      </c>
      <c r="U46" s="142">
        <f t="shared" si="13"/>
        <v>0</v>
      </c>
      <c r="V46" s="142">
        <f t="shared" si="14"/>
        <v>0</v>
      </c>
      <c r="W46" s="2">
        <f t="shared" si="15"/>
        <v>0</v>
      </c>
      <c r="Y46" s="2">
        <f t="shared" si="16"/>
        <v>0</v>
      </c>
    </row>
    <row r="47" spans="1:25" s="2" customFormat="1" ht="15" customHeight="1">
      <c r="A47" s="162" t="s">
        <v>39</v>
      </c>
      <c r="B47" s="163"/>
      <c r="C47" s="164"/>
      <c r="D47" s="242" t="s">
        <v>80</v>
      </c>
      <c r="E47" s="165">
        <f>IFERROR(VLOOKUP(D47,'Employee Numbers'!$A$3:$B$84,2,FALSE),"NOT FOUND")</f>
        <v>614504</v>
      </c>
      <c r="F47" s="253"/>
      <c r="G47" s="254"/>
      <c r="H47" s="254"/>
      <c r="I47" s="254"/>
      <c r="J47" s="254"/>
      <c r="K47" s="254"/>
      <c r="L47" s="258" t="s">
        <v>44</v>
      </c>
      <c r="N47">
        <f t="array" ref="N47">((SUM(IFERROR((TEXT(IF(ISNUMBER(SEARCH("-", F47:L47)), MID(F47:L47, SEARCH("-", F47:L47) + 1, 4), ""), "00\:00") - TEXT(IF(ISNUMBER(SEARCH("-", F47:L47)), MID(F47:L47, SEARCH("-", F47:L47) - 4, 4), ""), "00\:00") + IF(TEXT(IF(ISNUMBER(SEARCH("-", F47:L47)), MID(F47:L47, SEARCH("-", F47:L47) + 1, 4), ""), "00\:00") &lt; TEXT(IF(ISNUMBER(SEARCH("-", F47:L47)), MID(F47:L47, SEARCH("-", F47:L47) - 4, 4), ""), "00\:00"), 1, 0))*24,""))))/9.5</f>
        <v>1</v>
      </c>
      <c r="O47"/>
      <c r="P47" s="178">
        <f t="shared" si="11"/>
        <v>1</v>
      </c>
      <c r="R47" s="3">
        <f t="shared" ca="1" si="12"/>
        <v>1</v>
      </c>
      <c r="S47" s="2">
        <f>(IFERROR(VLOOKUP(D47,'Employee Numbers'!$A$3:$C$84,3,FALSE),"NOT FOUND"))*8</f>
        <v>1</v>
      </c>
      <c r="U47" s="142">
        <f t="shared" si="13"/>
        <v>0</v>
      </c>
      <c r="V47" s="142">
        <f t="shared" si="14"/>
        <v>0</v>
      </c>
      <c r="W47" s="2">
        <f t="shared" si="15"/>
        <v>0</v>
      </c>
      <c r="Y47" s="2">
        <f t="shared" si="16"/>
        <v>1</v>
      </c>
    </row>
    <row r="48" spans="1:25" s="2" customFormat="1" ht="15" customHeight="1">
      <c r="A48" s="2" t="s">
        <v>39</v>
      </c>
      <c r="B48" s="46"/>
      <c r="C48" s="21"/>
      <c r="D48" s="230" t="s">
        <v>81</v>
      </c>
      <c r="E48" s="226" t="str">
        <f>IFERROR(VLOOKUP(D48,'Employee Numbers'!$A$3:$B$84,2,FALSE),"NOT FOUND")</f>
        <v>N/A</v>
      </c>
      <c r="F48" s="29"/>
      <c r="G48" s="31"/>
      <c r="H48" s="31"/>
      <c r="I48" s="31"/>
      <c r="J48" s="31"/>
      <c r="K48" s="31"/>
      <c r="L48" s="228"/>
    </row>
    <row r="49" spans="1:21" s="2" customFormat="1" ht="15" customHeight="1" thickBot="1">
      <c r="A49" s="162" t="s">
        <v>39</v>
      </c>
      <c r="B49" s="163"/>
      <c r="C49" s="238"/>
      <c r="D49" s="243" t="s">
        <v>81</v>
      </c>
      <c r="E49" s="248" t="str">
        <f>IFERROR(VLOOKUP(D49,'Employee Numbers'!$A$3:$B$84,2,FALSE),"NOT FOUND")</f>
        <v>N/A</v>
      </c>
      <c r="F49" s="245"/>
      <c r="G49" s="246"/>
      <c r="H49" s="246"/>
      <c r="I49" s="246"/>
      <c r="J49" s="246"/>
      <c r="K49" s="246"/>
      <c r="L49" s="247"/>
    </row>
    <row r="50" spans="1:21" s="2" customFormat="1" ht="15" customHeight="1" thickBot="1">
      <c r="B50" s="46"/>
      <c r="C50" s="21"/>
      <c r="D50" s="16" t="s">
        <v>82</v>
      </c>
      <c r="E50" s="58"/>
      <c r="F50" s="28" t="s">
        <v>68</v>
      </c>
      <c r="G50" s="59" t="s">
        <v>62</v>
      </c>
      <c r="H50" s="59" t="s">
        <v>43</v>
      </c>
      <c r="I50" s="59" t="s">
        <v>67</v>
      </c>
      <c r="J50" s="59" t="s">
        <v>71</v>
      </c>
      <c r="K50" s="59" t="s">
        <v>66</v>
      </c>
      <c r="L50" s="60" t="s">
        <v>57</v>
      </c>
    </row>
    <row r="51" spans="1:21" s="2" customFormat="1" ht="15" customHeight="1">
      <c r="B51" s="46"/>
      <c r="C51" s="21"/>
      <c r="E51" s="21"/>
      <c r="R51" s="2">
        <f>(N54+P54)*9.5/38*5</f>
        <v>3.75</v>
      </c>
    </row>
    <row r="52" spans="1:21" s="2" customFormat="1" ht="15.75" customHeight="1">
      <c r="B52" s="46"/>
      <c r="C52" s="21"/>
      <c r="E52" s="21"/>
      <c r="F52" s="126">
        <f t="shared" ref="F52:L52" si="17">F2</f>
        <v>46202</v>
      </c>
      <c r="G52" s="126">
        <f t="shared" si="17"/>
        <v>46203</v>
      </c>
      <c r="H52" s="126">
        <f t="shared" si="17"/>
        <v>46204</v>
      </c>
      <c r="I52" s="126">
        <f t="shared" si="17"/>
        <v>46205</v>
      </c>
      <c r="J52" s="126">
        <f t="shared" si="17"/>
        <v>46206</v>
      </c>
      <c r="K52" s="126">
        <f t="shared" si="17"/>
        <v>46207</v>
      </c>
      <c r="L52" s="126">
        <f t="shared" si="17"/>
        <v>46208</v>
      </c>
      <c r="M52" s="34"/>
      <c r="N52" s="152" t="s">
        <v>27</v>
      </c>
      <c r="O52" s="152" t="s">
        <v>83</v>
      </c>
      <c r="P52" s="152" t="s">
        <v>84</v>
      </c>
      <c r="Q52" s="2" t="s">
        <v>29</v>
      </c>
      <c r="R52" s="152" t="s">
        <v>85</v>
      </c>
      <c r="S52" s="152" t="s">
        <v>30</v>
      </c>
      <c r="T52" s="152" t="s">
        <v>31</v>
      </c>
      <c r="U52" s="152"/>
    </row>
    <row r="53" spans="1:21" s="2" customFormat="1" ht="30" customHeight="1">
      <c r="A53" s="168" t="s">
        <v>86</v>
      </c>
      <c r="B53" s="169"/>
      <c r="C53" s="169"/>
      <c r="D53" s="169" t="s">
        <v>86</v>
      </c>
      <c r="E53" s="127" t="s">
        <v>4</v>
      </c>
      <c r="F53" s="266" t="s">
        <v>5</v>
      </c>
      <c r="G53" s="267" t="s">
        <v>6</v>
      </c>
      <c r="H53" s="268" t="s">
        <v>87</v>
      </c>
      <c r="I53" s="267" t="s">
        <v>8</v>
      </c>
      <c r="J53" s="267" t="s">
        <v>9</v>
      </c>
      <c r="K53" s="267" t="s">
        <v>10</v>
      </c>
      <c r="L53" s="269" t="s">
        <v>11</v>
      </c>
      <c r="M53" s="34"/>
      <c r="N53" s="147" t="s">
        <v>32</v>
      </c>
      <c r="O53" s="147" t="s">
        <v>88</v>
      </c>
      <c r="P53" s="147" t="s">
        <v>89</v>
      </c>
      <c r="R53" s="145" t="s">
        <v>90</v>
      </c>
      <c r="S53" s="147" t="s">
        <v>32</v>
      </c>
      <c r="T53" s="147" t="s">
        <v>32</v>
      </c>
      <c r="U53" s="147"/>
    </row>
    <row r="54" spans="1:21" s="2" customFormat="1" ht="15" customHeight="1">
      <c r="A54" s="44" t="s">
        <v>91</v>
      </c>
      <c r="B54" s="44"/>
      <c r="C54" s="45"/>
      <c r="D54" s="123" t="s">
        <v>92</v>
      </c>
      <c r="E54" s="284">
        <f>IFERROR(VLOOKUP(D54,'Employee Numbers'!$A$3:$B$84,2,FALSE),"NOT FOUND")</f>
        <v>634905</v>
      </c>
      <c r="F54" s="264" t="s">
        <v>42</v>
      </c>
      <c r="G54" s="264" t="s">
        <v>41</v>
      </c>
      <c r="H54" s="355" t="s">
        <v>44</v>
      </c>
      <c r="I54" s="264"/>
      <c r="J54" s="264"/>
      <c r="K54" s="264"/>
      <c r="L54" s="264"/>
      <c r="N54">
        <f t="array" ref="N54">((SUM(IFERROR((TEXT(IF(ISNUMBER(SEARCH("-", F54:L54)), MID(F54:L54, SEARCH("-", F54:L54) + 1, 4), ""), "00\:00") - TEXT(IF(ISNUMBER(SEARCH("-", F54:L54)), MID(F54:L54, SEARCH("-", F54:L54) - 4, 4), ""), "00\:00") + IF(TEXT(IF(ISNUMBER(SEARCH("-", F54:L54)), MID(F54:L54, SEARCH("-", F54:L54) + 1, 4), ""), "00\:00") &lt; TEXT(IF(ISNUMBER(SEARCH("-", F54:L54)), MID(F54:L54, SEARCH("-", F54:L54) - 4, 4), ""), "00\:00"), 1, 0))*24,""))))/9.5</f>
        <v>3</v>
      </c>
      <c r="O54"/>
      <c r="P54"/>
      <c r="Q54" s="2">
        <f>P54+O54+N54</f>
        <v>3</v>
      </c>
      <c r="R54" s="2">
        <f>IF(ISNUMBER(SEARCH("trg_5",H146)),5,IF(ISNUMBER(SEARCH("trg_3.75",H146)),3.75,IF(ISNUMBER(SEARCH("trg_2.5",H146)),2.5,IF(ISNUMBER(SEARCH("trg_1.75",H146)),1.75,0))))</f>
        <v>3.75</v>
      </c>
      <c r="S54">
        <f ca="1">IF($C$4=1,SUM(Q54+INDIRECT("'Week "&amp;($B$3+1)&amp;"'!Q"&amp;(ROW()))),IF($C$4=2,SUM(Q54+INDIRECT("'Week "&amp;($B$3-1)&amp;"'!Q"&amp;(ROW())))))</f>
        <v>6</v>
      </c>
      <c r="T54" s="2">
        <f>(IFERROR(VLOOKUP(D54,'Employee Numbers'!$A$3:$C$84,3,FALSE),"NOT FOUND"))*8</f>
        <v>8</v>
      </c>
    </row>
    <row r="55" spans="1:21" s="13" customFormat="1" ht="15" customHeight="1">
      <c r="A55" s="2" t="s">
        <v>91</v>
      </c>
      <c r="B55" s="2"/>
      <c r="C55" s="21"/>
      <c r="D55" s="86" t="s">
        <v>93</v>
      </c>
      <c r="E55" s="285">
        <f>IFERROR(VLOOKUP(D55,'Employee Numbers'!$A$3:$B$84,2,FALSE),"NOT FOUND")</f>
        <v>704751</v>
      </c>
      <c r="F55" s="274" t="s">
        <v>176</v>
      </c>
      <c r="G55" s="274"/>
      <c r="H55" s="274"/>
      <c r="I55" s="274"/>
      <c r="J55" s="274"/>
      <c r="K55" s="274"/>
      <c r="L55" s="274"/>
      <c r="N55">
        <f t="array" ref="N55">((SUM(IFERROR((TEXT(IF(ISNUMBER(SEARCH("-", F55:L55)), MID(F55:L55, SEARCH("-", F55:L55) + 1, 4), ""), "00\:00") - TEXT(IF(ISNUMBER(SEARCH("-", F55:L55)), MID(F55:L55, SEARCH("-", F55:L55) - 4, 4), ""), "00\:00") + IF(TEXT(IF(ISNUMBER(SEARCH("-", F55:L55)), MID(F55:L55, SEARCH("-", F55:L55) + 1, 4), ""), "00\:00") &lt; TEXT(IF(ISNUMBER(SEARCH("-", F55:L55)), MID(F55:L55, SEARCH("-", F55:L55) - 4, 4), ""), "00\:00"), 1, 0))*24,""))))/9.5</f>
        <v>0</v>
      </c>
      <c r="O55"/>
      <c r="P55"/>
      <c r="Q55" s="2">
        <f t="shared" ref="Q55:Q59" si="18">P55+O55+N55</f>
        <v>0</v>
      </c>
      <c r="R55" s="2">
        <f t="shared" ref="R55:R59" si="19">IF(ISNUMBER(SEARCH("trg_5",H147)),5,IF(ISNUMBER(SEARCH("trg_3.75",H147)),3.75,IF(ISNUMBER(SEARCH("trg_2.5",H147)),2.5,IF(ISNUMBER(SEARCH("trg_1.75",H147)),1.75,0))))</f>
        <v>0</v>
      </c>
      <c r="S55">
        <f t="shared" ref="S55:S59" ca="1" si="20">IF($C$4=1,SUM(Q55+INDIRECT("'Week "&amp;($B$3+1)&amp;"'!Q"&amp;(ROW()))),IF($C$4=2,SUM(Q55+INDIRECT("'Week "&amp;($B$3-1)&amp;"'!Q"&amp;(ROW())))))</f>
        <v>4</v>
      </c>
      <c r="T55" s="2">
        <f>(IFERROR(VLOOKUP(D55,'Employee Numbers'!$A$3:$C$84,3,FALSE),"NOT FOUND"))*8</f>
        <v>0</v>
      </c>
      <c r="U55" s="2"/>
    </row>
    <row r="56" spans="1:21" s="2" customFormat="1" ht="15" customHeight="1">
      <c r="A56" s="44" t="s">
        <v>91</v>
      </c>
      <c r="B56" s="44"/>
      <c r="C56" s="45"/>
      <c r="D56" s="85" t="s">
        <v>94</v>
      </c>
      <c r="E56" s="285">
        <f>IFERROR(VLOOKUP(D56,'Employee Numbers'!$A$3:$B$84,2,FALSE),"NOT FOUND")</f>
        <v>637219</v>
      </c>
      <c r="F56" s="274" t="s">
        <v>176</v>
      </c>
      <c r="G56" s="274"/>
      <c r="H56" s="274"/>
      <c r="I56" s="274"/>
      <c r="J56" s="274"/>
      <c r="K56" s="274"/>
      <c r="L56" s="274"/>
      <c r="N56">
        <f t="array" ref="N56">((SUM(IFERROR((TEXT(IF(ISNUMBER(SEARCH("-", F56:L56)), MID(F56:L56, SEARCH("-", F56:L56) + 1, 4), ""), "00\:00") - TEXT(IF(ISNUMBER(SEARCH("-", F56:L56)), MID(F56:L56, SEARCH("-", F56:L56) - 4, 4), ""), "00\:00") + IF(TEXT(IF(ISNUMBER(SEARCH("-", F56:L56)), MID(F56:L56, SEARCH("-", F56:L56) + 1, 4), ""), "00\:00") &lt; TEXT(IF(ISNUMBER(SEARCH("-", F56:L56)), MID(F56:L56, SEARCH("-", F56:L56) - 4, 4), ""), "00\:00"), 1, 0))*24,""))))/9.5</f>
        <v>0</v>
      </c>
      <c r="O56"/>
      <c r="P56"/>
      <c r="Q56" s="2">
        <f t="shared" si="18"/>
        <v>0</v>
      </c>
      <c r="R56" s="2">
        <f t="shared" si="19"/>
        <v>0</v>
      </c>
      <c r="S56">
        <f t="shared" ca="1" si="20"/>
        <v>4</v>
      </c>
      <c r="T56" s="2">
        <f>(IFERROR(VLOOKUP(D56,'Employee Numbers'!$A$3:$C$84,3,FALSE),"NOT FOUND"))*8</f>
        <v>0</v>
      </c>
    </row>
    <row r="57" spans="1:21" s="13" customFormat="1" ht="15" customHeight="1">
      <c r="A57" s="2" t="s">
        <v>91</v>
      </c>
      <c r="B57" s="2"/>
      <c r="C57" s="21"/>
      <c r="D57" s="86"/>
      <c r="E57" s="39" t="str">
        <f>IFERROR(VLOOKUP(D57,'Employee Numbers'!$A$3:$B$84,2,FALSE),"NOT FOUND")</f>
        <v>NOT FOUND</v>
      </c>
      <c r="F57" s="125"/>
      <c r="G57" s="125"/>
      <c r="H57" s="125"/>
      <c r="I57" s="125"/>
      <c r="J57" s="125"/>
      <c r="K57" s="125"/>
      <c r="L57" s="125"/>
      <c r="N57">
        <f t="array" ref="N57">((SUM(IFERROR((TEXT(IF(ISNUMBER(SEARCH("-", F57:L57)), MID(F57:L57, SEARCH("-", F57:L57) + 1, 4), ""), "00\:00") - TEXT(IF(ISNUMBER(SEARCH("-", F57:L57)), MID(F57:L57, SEARCH("-", F57:L57) - 4, 4), ""), "00\:00") + IF(TEXT(IF(ISNUMBER(SEARCH("-", F57:L57)), MID(F57:L57, SEARCH("-", F57:L57) + 1, 4), ""), "00\:00") &lt; TEXT(IF(ISNUMBER(SEARCH("-", F57:L57)), MID(F57:L57, SEARCH("-", F57:L57) - 4, 4), ""), "00\:00"), 1, 0))*24,""))))/9.5</f>
        <v>0</v>
      </c>
      <c r="O57"/>
      <c r="P57"/>
      <c r="Q57" s="2">
        <f t="shared" si="18"/>
        <v>0</v>
      </c>
      <c r="R57" s="2">
        <f t="shared" si="19"/>
        <v>2.5</v>
      </c>
      <c r="S57">
        <f t="shared" ca="1" si="20"/>
        <v>0</v>
      </c>
      <c r="T57" s="2" t="e">
        <f>(IFERROR(VLOOKUP(D57,'Employee Numbers'!$A$3:$C$84,3,FALSE),"NOT FOUND"))*8</f>
        <v>#VALUE!</v>
      </c>
      <c r="U57" s="2"/>
    </row>
    <row r="58" spans="1:21" s="2" customFormat="1" ht="15" customHeight="1">
      <c r="A58" s="44" t="s">
        <v>91</v>
      </c>
      <c r="B58" s="44"/>
      <c r="C58" s="45"/>
      <c r="D58" s="85"/>
      <c r="E58" s="39" t="str">
        <f>IFERROR(VLOOKUP(D58,'Employee Numbers'!$A$3:$B$84,2,FALSE),"NOT FOUND")</f>
        <v>NOT FOUND</v>
      </c>
      <c r="F58" s="110"/>
      <c r="G58" s="110"/>
      <c r="H58" s="110"/>
      <c r="I58" s="110"/>
      <c r="J58" s="110"/>
      <c r="K58" s="110"/>
      <c r="L58" s="110"/>
      <c r="N58">
        <f t="array" ref="N58">((SUM(IFERROR((TEXT(IF(ISNUMBER(SEARCH("-", F58:L58)), MID(F58:L58, SEARCH("-", F58:L58) + 1, 4), ""), "00\:00") - TEXT(IF(ISNUMBER(SEARCH("-", F58:L58)), MID(F58:L58, SEARCH("-", F58:L58) - 4, 4), ""), "00\:00") + IF(TEXT(IF(ISNUMBER(SEARCH("-", F58:L58)), MID(F58:L58, SEARCH("-", F58:L58) + 1, 4), ""), "00\:00") &lt; TEXT(IF(ISNUMBER(SEARCH("-", F58:L58)), MID(F58:L58, SEARCH("-", F58:L58) - 4, 4), ""), "00\:00"), 1, 0))*24,""))))/9.5</f>
        <v>0</v>
      </c>
      <c r="O58"/>
      <c r="P58"/>
      <c r="Q58" s="2">
        <f t="shared" si="18"/>
        <v>0</v>
      </c>
      <c r="R58" s="2">
        <f t="shared" si="19"/>
        <v>2.5</v>
      </c>
      <c r="S58">
        <f t="shared" ca="1" si="20"/>
        <v>0</v>
      </c>
      <c r="T58" s="2" t="e">
        <f>(IFERROR(VLOOKUP(D58,'Employee Numbers'!$A$3:$C$84,3,FALSE),"NOT FOUND"))*8</f>
        <v>#VALUE!</v>
      </c>
    </row>
    <row r="59" spans="1:21" s="13" customFormat="1" ht="15" customHeight="1">
      <c r="A59" s="2" t="s">
        <v>91</v>
      </c>
      <c r="B59" s="2"/>
      <c r="C59" s="21"/>
      <c r="D59" s="86"/>
      <c r="E59" s="39" t="str">
        <f>IFERROR(VLOOKUP(D59,'Employee Numbers'!$A$3:$B$84,2,FALSE),"NOT FOUND")</f>
        <v>NOT FOUND</v>
      </c>
      <c r="F59" s="110"/>
      <c r="G59" s="110"/>
      <c r="H59" s="110"/>
      <c r="I59" s="110"/>
      <c r="J59" s="110"/>
      <c r="K59" s="110"/>
      <c r="L59" s="110"/>
      <c r="N59">
        <f t="array" ref="N59">((SUM(IFERROR((TEXT(IF(ISNUMBER(SEARCH("-", F59:L59)), MID(F59:L59, SEARCH("-", F59:L59) + 1, 4), ""), "00\:00") - TEXT(IF(ISNUMBER(SEARCH("-", F59:L59)), MID(F59:L59, SEARCH("-", F59:L59) - 4, 4), ""), "00\:00") + IF(TEXT(IF(ISNUMBER(SEARCH("-", F59:L59)), MID(F59:L59, SEARCH("-", F59:L59) + 1, 4), ""), "00\:00") &lt; TEXT(IF(ISNUMBER(SEARCH("-", F59:L59)), MID(F59:L59, SEARCH("-", F59:L59) - 4, 4), ""), "00\:00"), 1, 0))*24,""))))/9.5</f>
        <v>0</v>
      </c>
      <c r="O59"/>
      <c r="P59"/>
      <c r="Q59" s="2">
        <f t="shared" si="18"/>
        <v>0</v>
      </c>
      <c r="R59" s="2">
        <f t="shared" si="19"/>
        <v>2.5</v>
      </c>
      <c r="S59">
        <f t="shared" ca="1" si="20"/>
        <v>0</v>
      </c>
      <c r="T59" s="2" t="e">
        <f>(IFERROR(VLOOKUP(D59,'Employee Numbers'!$A$3:$C$84,3,FALSE),"NOT FOUND"))*8</f>
        <v>#VALUE!</v>
      </c>
      <c r="U59" s="2"/>
    </row>
    <row r="60" spans="1:21" s="2" customFormat="1" ht="30" customHeight="1">
      <c r="A60" s="170" t="s">
        <v>96</v>
      </c>
      <c r="B60" s="131"/>
      <c r="C60" s="132"/>
      <c r="D60" s="171" t="s">
        <v>97</v>
      </c>
      <c r="E60" s="133" t="s">
        <v>4</v>
      </c>
      <c r="F60" s="270" t="s">
        <v>5</v>
      </c>
      <c r="G60" s="270" t="s">
        <v>6</v>
      </c>
      <c r="H60" s="271" t="s">
        <v>87</v>
      </c>
      <c r="I60" s="270" t="s">
        <v>8</v>
      </c>
      <c r="J60" s="270" t="s">
        <v>9</v>
      </c>
      <c r="K60" s="270" t="s">
        <v>10</v>
      </c>
      <c r="L60" s="272" t="s">
        <v>11</v>
      </c>
      <c r="N60"/>
      <c r="O60"/>
      <c r="P60"/>
    </row>
    <row r="61" spans="1:21" s="2" customFormat="1" ht="15" customHeight="1">
      <c r="A61" s="2" t="s">
        <v>98</v>
      </c>
      <c r="C61" s="47"/>
      <c r="D61" s="262" t="s">
        <v>99</v>
      </c>
      <c r="E61" s="284">
        <f>IFERROR(VLOOKUP(D61,'Employee Numbers'!$A$3:$B$84,2,FALSE),"NOT FOUND")</f>
        <v>638531</v>
      </c>
      <c r="F61" s="264"/>
      <c r="G61" s="264"/>
      <c r="H61" s="264"/>
      <c r="I61" s="264" t="s">
        <v>42</v>
      </c>
      <c r="J61" s="264" t="s">
        <v>100</v>
      </c>
      <c r="K61" s="264" t="s">
        <v>100</v>
      </c>
      <c r="L61" s="264" t="s">
        <v>100</v>
      </c>
      <c r="N61">
        <f t="array" ref="N61">((SUM(IFERROR((TEXT(IF(ISNUMBER(SEARCH("-", F61:L61)), MID(F61:L61, SEARCH("-", F61:L61) + 1, 4), ""), "00\:00") - TEXT(IF(ISNUMBER(SEARCH("-", F61:L61)), MID(F61:L61, SEARCH("-", F61:L61) - 4, 4), ""), "00\:00") + IF(TEXT(IF(ISNUMBER(SEARCH("-", F61:L61)), MID(F61:L61, SEARCH("-", F61:L61) + 1, 4), ""), "00\:00") &lt; TEXT(IF(ISNUMBER(SEARCH("-", F61:L61)), MID(F61:L61, SEARCH("-", F61:L61) - 4, 4), ""), "00\:00"), 1, 0))*24,""))))/9.5</f>
        <v>4</v>
      </c>
      <c r="O61"/>
      <c r="P61"/>
      <c r="Q61" s="2">
        <f>P61+O61+N61</f>
        <v>4</v>
      </c>
      <c r="R61" s="2">
        <f>IF(ISNUMBER(SEARCH("trg_5",H153)),5,IF(ISNUMBER(SEARCH("trg_3.75",H153)),3.75,IF(ISNUMBER(SEARCH("trg_2.5",H153)),2.5,IF(ISNUMBER(SEARCH("trg_1.75",H153)),1.75,0))))</f>
        <v>5</v>
      </c>
      <c r="S61">
        <f ca="1">IF($C$4=1,SUM(Q61+INDIRECT("'Week "&amp;($B$3+1)&amp;"'!Q"&amp;(ROW()))),IF($C$4=2,SUM(Q61+INDIRECT("'Week "&amp;($B$3-1)&amp;"'!Q"&amp;(ROW())))))</f>
        <v>8</v>
      </c>
      <c r="T61" s="2">
        <f>(IFERROR(VLOOKUP(D61,'Employee Numbers'!$A$3:$C$84,3,FALSE),"NOT FOUND"))*8</f>
        <v>0</v>
      </c>
    </row>
    <row r="62" spans="1:21" s="2" customFormat="1" ht="15" customHeight="1">
      <c r="A62" s="44" t="s">
        <v>98</v>
      </c>
      <c r="B62" s="44"/>
      <c r="C62" s="45"/>
      <c r="D62" s="262" t="s">
        <v>101</v>
      </c>
      <c r="E62" s="285">
        <f>IFERROR(VLOOKUP(D62,'Employee Numbers'!$A$3:$B$84,2,FALSE),"NOT FOUND")</f>
        <v>631715</v>
      </c>
      <c r="F62" s="274" t="s">
        <v>176</v>
      </c>
      <c r="G62" s="274"/>
      <c r="H62" s="274"/>
      <c r="I62" s="274"/>
      <c r="J62" s="274"/>
      <c r="K62" s="274"/>
      <c r="L62" s="274"/>
      <c r="N62">
        <f t="array" ref="N62">((SUM(IFERROR((TEXT(IF(ISNUMBER(SEARCH("-", F62:L62)), MID(F62:L62, SEARCH("-", F62:L62) + 1, 4), ""), "00\:00") - TEXT(IF(ISNUMBER(SEARCH("-", F62:L62)), MID(F62:L62, SEARCH("-", F62:L62) - 4, 4), ""), "00\:00") + IF(TEXT(IF(ISNUMBER(SEARCH("-", F62:L62)), MID(F62:L62, SEARCH("-", F62:L62) + 1, 4), ""), "00\:00") &lt; TEXT(IF(ISNUMBER(SEARCH("-", F62:L62)), MID(F62:L62, SEARCH("-", F62:L62) - 4, 4), ""), "00\:00"), 1, 0))*24,""))))/9.5</f>
        <v>0</v>
      </c>
      <c r="O62"/>
      <c r="P62"/>
      <c r="Q62" s="2">
        <f t="shared" ref="Q62:Q80" si="21">P62+O62+N62</f>
        <v>0</v>
      </c>
      <c r="R62" s="2">
        <f t="shared" ref="R62:R80" si="22">IF(ISNUMBER(SEARCH("trg_5",H154)),5,IF(ISNUMBER(SEARCH("trg_3.75",H154)),3.75,IF(ISNUMBER(SEARCH("trg_2.5",H154)),2.5,IF(ISNUMBER(SEARCH("trg_1.75",H154)),1.75,0))))</f>
        <v>0</v>
      </c>
      <c r="S62">
        <f t="shared" ref="S62:S84" ca="1" si="23">IF($C$4=1,SUM(Q62+INDIRECT("'Week "&amp;($B$3+1)&amp;"'!Q"&amp;(ROW()))),IF($C$4=2,SUM(Q62+INDIRECT("'Week "&amp;($B$3-1)&amp;"'!Q"&amp;(ROW())))))</f>
        <v>0</v>
      </c>
      <c r="T62" s="2">
        <f>(IFERROR(VLOOKUP(D62,'Employee Numbers'!$A$3:$C$84,3,FALSE),"NOT FOUND"))*8</f>
        <v>0</v>
      </c>
    </row>
    <row r="63" spans="1:21" s="13" customFormat="1" ht="15" customHeight="1">
      <c r="A63" s="2" t="s">
        <v>98</v>
      </c>
      <c r="B63" s="2"/>
      <c r="C63" s="21"/>
      <c r="D63" s="262" t="s">
        <v>103</v>
      </c>
      <c r="E63" s="285">
        <f>IFERROR(VLOOKUP(D63,'Employee Numbers'!$A$3:$B$84,2,FALSE),"NOT FOUND")</f>
        <v>703719</v>
      </c>
      <c r="F63" s="264" t="s">
        <v>100</v>
      </c>
      <c r="G63" s="264" t="s">
        <v>100</v>
      </c>
      <c r="H63" s="264"/>
      <c r="I63" s="275"/>
      <c r="J63" s="264"/>
      <c r="K63" s="264"/>
      <c r="L63" s="264" t="s">
        <v>42</v>
      </c>
      <c r="N63">
        <f t="array" ref="N63">((SUM(IFERROR((TEXT(IF(ISNUMBER(SEARCH("-", F63:L63)), MID(F63:L63, SEARCH("-", F63:L63) + 1, 4), ""), "00\:00") - TEXT(IF(ISNUMBER(SEARCH("-", F63:L63)), MID(F63:L63, SEARCH("-", F63:L63) - 4, 4), ""), "00\:00") + IF(TEXT(IF(ISNUMBER(SEARCH("-", F63:L63)), MID(F63:L63, SEARCH("-", F63:L63) + 1, 4), ""), "00\:00") &lt; TEXT(IF(ISNUMBER(SEARCH("-", F63:L63)), MID(F63:L63, SEARCH("-", F63:L63) - 4, 4), ""), "00\:00"), 1, 0))*24,""))))/9.5</f>
        <v>2.9999999999999996</v>
      </c>
      <c r="O63"/>
      <c r="P63"/>
      <c r="Q63" s="2">
        <f t="shared" si="21"/>
        <v>2.9999999999999996</v>
      </c>
      <c r="R63" s="2">
        <f t="shared" si="22"/>
        <v>3.75</v>
      </c>
      <c r="S63">
        <f t="shared" ca="1" si="23"/>
        <v>6</v>
      </c>
      <c r="T63" s="2">
        <f>(IFERROR(VLOOKUP(D63,'Employee Numbers'!$A$3:$C$84,3,FALSE),"NOT FOUND"))*8</f>
        <v>0</v>
      </c>
      <c r="U63" s="2"/>
    </row>
    <row r="64" spans="1:21" s="2" customFormat="1" ht="15" customHeight="1">
      <c r="A64" s="44" t="s">
        <v>98</v>
      </c>
      <c r="B64" s="44"/>
      <c r="C64" s="45"/>
      <c r="D64" s="262" t="s">
        <v>104</v>
      </c>
      <c r="E64" s="285">
        <f>IFERROR(VLOOKUP(D64,'Employee Numbers'!$A$3:$B$84,2,FALSE),"NOT FOUND")</f>
        <v>637791</v>
      </c>
      <c r="F64" s="264" t="s">
        <v>44</v>
      </c>
      <c r="G64" s="264" t="s">
        <v>42</v>
      </c>
      <c r="H64" s="264" t="s">
        <v>42</v>
      </c>
      <c r="I64" s="264"/>
      <c r="J64" s="264"/>
      <c r="K64" s="264"/>
      <c r="L64" s="264"/>
      <c r="N64">
        <f t="array" ref="N64">((SUM(IFERROR((TEXT(IF(ISNUMBER(SEARCH("-", F64:L64)), MID(F64:L64, SEARCH("-", F64:L64) + 1, 4), ""), "00\:00") - TEXT(IF(ISNUMBER(SEARCH("-", F64:L64)), MID(F64:L64, SEARCH("-", F64:L64) - 4, 4), ""), "00\:00") + IF(TEXT(IF(ISNUMBER(SEARCH("-", F64:L64)), MID(F64:L64, SEARCH("-", F64:L64) + 1, 4), ""), "00\:00") &lt; TEXT(IF(ISNUMBER(SEARCH("-", F64:L64)), MID(F64:L64, SEARCH("-", F64:L64) - 4, 4), ""), "00\:00"), 1, 0))*24,""))))/9.5</f>
        <v>3</v>
      </c>
      <c r="O64"/>
      <c r="P64"/>
      <c r="Q64" s="2">
        <f t="shared" si="21"/>
        <v>3</v>
      </c>
      <c r="R64" s="2">
        <f t="shared" si="22"/>
        <v>3.75</v>
      </c>
      <c r="S64">
        <f t="shared" ca="1" si="23"/>
        <v>5.9999999999999991</v>
      </c>
      <c r="T64" s="2">
        <f>(IFERROR(VLOOKUP(D64,'Employee Numbers'!$A$3:$C$84,3,FALSE),"NOT FOUND"))*8</f>
        <v>0</v>
      </c>
    </row>
    <row r="65" spans="1:20" s="2" customFormat="1" ht="15" customHeight="1">
      <c r="A65" s="2" t="s">
        <v>98</v>
      </c>
      <c r="C65" s="21"/>
      <c r="D65" s="262" t="s">
        <v>105</v>
      </c>
      <c r="E65" s="285">
        <f>IFERROR(VLOOKUP(D65,'Employee Numbers'!$A$3:$B$84,2,FALSE),"NOT FOUND")</f>
        <v>652867</v>
      </c>
      <c r="F65" s="264"/>
      <c r="G65" s="264" t="s">
        <v>44</v>
      </c>
      <c r="H65" s="264" t="s">
        <v>42</v>
      </c>
      <c r="I65" s="264" t="s">
        <v>42</v>
      </c>
      <c r="J65" s="264" t="s">
        <v>42</v>
      </c>
      <c r="K65" s="264"/>
      <c r="L65" s="264"/>
      <c r="N65">
        <f t="array" ref="N65">((SUM(IFERROR((TEXT(IF(ISNUMBER(SEARCH("-", F65:L65)), MID(F65:L65, SEARCH("-", F65:L65) + 1, 4), ""), "00\:00") - TEXT(IF(ISNUMBER(SEARCH("-", F65:L65)), MID(F65:L65, SEARCH("-", F65:L65) - 4, 4), ""), "00\:00") + IF(TEXT(IF(ISNUMBER(SEARCH("-", F65:L65)), MID(F65:L65, SEARCH("-", F65:L65) + 1, 4), ""), "00\:00") &lt; TEXT(IF(ISNUMBER(SEARCH("-", F65:L65)), MID(F65:L65, SEARCH("-", F65:L65) - 4, 4), ""), "00\:00"), 1, 0))*24,""))))/9.5</f>
        <v>4</v>
      </c>
      <c r="O65"/>
      <c r="P65"/>
      <c r="Q65" s="2">
        <f t="shared" si="21"/>
        <v>4</v>
      </c>
      <c r="R65" s="2">
        <f t="shared" si="22"/>
        <v>5</v>
      </c>
      <c r="S65">
        <f t="shared" ca="1" si="23"/>
        <v>7.9999999999999991</v>
      </c>
      <c r="T65" s="2">
        <f>(IFERROR(VLOOKUP(D65,'Employee Numbers'!$A$3:$C$84,3,FALSE),"NOT FOUND"))*8</f>
        <v>0</v>
      </c>
    </row>
    <row r="66" spans="1:20" s="2" customFormat="1" ht="15" customHeight="1">
      <c r="A66" s="44" t="s">
        <v>98</v>
      </c>
      <c r="B66" s="44"/>
      <c r="C66" s="45"/>
      <c r="D66" s="262" t="s">
        <v>106</v>
      </c>
      <c r="E66" s="285">
        <f>IFERROR(VLOOKUP(D66,'Employee Numbers'!$A$3:$B$84,2,FALSE),"NOT FOUND")</f>
        <v>611551</v>
      </c>
      <c r="F66" s="264"/>
      <c r="G66" s="264"/>
      <c r="H66" s="264"/>
      <c r="I66" s="264"/>
      <c r="J66" s="264" t="s">
        <v>174</v>
      </c>
      <c r="K66" s="264" t="s">
        <v>42</v>
      </c>
      <c r="L66" s="264"/>
      <c r="N66">
        <f t="array" ref="N66">((SUM(IFERROR((TEXT(IF(ISNUMBER(SEARCH("-", F66:L66)), MID(F66:L66, SEARCH("-", F66:L66) + 1, 4), ""), "00\:00") - TEXT(IF(ISNUMBER(SEARCH("-", F66:L66)), MID(F66:L66, SEARCH("-", F66:L66) - 4, 4), ""), "00\:00") + IF(TEXT(IF(ISNUMBER(SEARCH("-", F66:L66)), MID(F66:L66, SEARCH("-", F66:L66) + 1, 4), ""), "00\:00") &lt; TEXT(IF(ISNUMBER(SEARCH("-", F66:L66)), MID(F66:L66, SEARCH("-", F66:L66) - 4, 4), ""), "00\:00"), 1, 0))*24,""))))/9.5</f>
        <v>2</v>
      </c>
      <c r="O66"/>
      <c r="P66"/>
      <c r="Q66" s="2">
        <f t="shared" si="21"/>
        <v>2</v>
      </c>
      <c r="R66" s="2">
        <f t="shared" si="22"/>
        <v>2.5</v>
      </c>
      <c r="S66">
        <f t="shared" ca="1" si="23"/>
        <v>4</v>
      </c>
      <c r="T66" s="2">
        <f>(IFERROR(VLOOKUP(D66,'Employee Numbers'!$A$3:$C$84,3,FALSE),"NOT FOUND"))*8</f>
        <v>0</v>
      </c>
    </row>
    <row r="67" spans="1:20" s="2" customFormat="1" ht="15" customHeight="1">
      <c r="A67" s="2" t="s">
        <v>98</v>
      </c>
      <c r="C67" s="21"/>
      <c r="D67" s="262" t="s">
        <v>107</v>
      </c>
      <c r="E67" s="285">
        <f>IFERROR(VLOOKUP(D67,'Employee Numbers'!$A$3:$B$84,2,FALSE),"NOT FOUND")</f>
        <v>615820</v>
      </c>
      <c r="F67" s="275"/>
      <c r="G67" s="275"/>
      <c r="H67" s="264" t="s">
        <v>100</v>
      </c>
      <c r="I67" s="264" t="s">
        <v>100</v>
      </c>
      <c r="J67" s="264"/>
      <c r="K67" s="264"/>
      <c r="L67" s="264"/>
      <c r="N67">
        <f t="array" ref="N67">((SUM(IFERROR((TEXT(IF(ISNUMBER(SEARCH("-", F67:L67)), MID(F67:L67, SEARCH("-", F67:L67) + 1, 4), ""), "00\:00") - TEXT(IF(ISNUMBER(SEARCH("-", F67:L67)), MID(F67:L67, SEARCH("-", F67:L67) - 4, 4), ""), "00\:00") + IF(TEXT(IF(ISNUMBER(SEARCH("-", F67:L67)), MID(F67:L67, SEARCH("-", F67:L67) + 1, 4), ""), "00\:00") &lt; TEXT(IF(ISNUMBER(SEARCH("-", F67:L67)), MID(F67:L67, SEARCH("-", F67:L67) - 4, 4), ""), "00\:00"), 1, 0))*24,""))))/9.5</f>
        <v>1.9999999999999996</v>
      </c>
      <c r="O67"/>
      <c r="P67"/>
      <c r="Q67" s="2">
        <f t="shared" si="21"/>
        <v>1.9999999999999996</v>
      </c>
      <c r="R67" s="2">
        <f t="shared" si="22"/>
        <v>2.5</v>
      </c>
      <c r="S67">
        <f t="shared" ca="1" si="23"/>
        <v>3.9999999999999991</v>
      </c>
      <c r="T67" s="2">
        <f>(IFERROR(VLOOKUP(D67,'Employee Numbers'!$A$3:$C$84,3,FALSE),"NOT FOUND"))*8</f>
        <v>0</v>
      </c>
    </row>
    <row r="68" spans="1:20" s="2" customFormat="1" ht="15" customHeight="1">
      <c r="A68" s="44" t="s">
        <v>98</v>
      </c>
      <c r="B68" s="44"/>
      <c r="C68" s="45"/>
      <c r="D68" s="262" t="s">
        <v>108</v>
      </c>
      <c r="E68" s="285">
        <f>IFERROR(VLOOKUP(D68,'Employee Numbers'!$A$3:$B$84,2,FALSE),"NOT FOUND")</f>
        <v>654727</v>
      </c>
      <c r="F68" s="264" t="s">
        <v>42</v>
      </c>
      <c r="G68" s="264"/>
      <c r="H68" s="264" t="s">
        <v>42</v>
      </c>
      <c r="I68" s="264" t="s">
        <v>42</v>
      </c>
      <c r="J68" s="264" t="s">
        <v>42</v>
      </c>
      <c r="K68" s="264"/>
      <c r="L68" s="264"/>
      <c r="N68">
        <f t="array" ref="N68">((SUM(IFERROR((TEXT(IF(ISNUMBER(SEARCH("-", F68:L68)), MID(F68:L68, SEARCH("-", F68:L68) + 1, 4), ""), "00\:00") - TEXT(IF(ISNUMBER(SEARCH("-", F68:L68)), MID(F68:L68, SEARCH("-", F68:L68) - 4, 4), ""), "00\:00") + IF(TEXT(IF(ISNUMBER(SEARCH("-", F68:L68)), MID(F68:L68, SEARCH("-", F68:L68) + 1, 4), ""), "00\:00") &lt; TEXT(IF(ISNUMBER(SEARCH("-", F68:L68)), MID(F68:L68, SEARCH("-", F68:L68) - 4, 4), ""), "00\:00"), 1, 0))*24,""))))/9.5</f>
        <v>4</v>
      </c>
      <c r="O68"/>
      <c r="P68"/>
      <c r="Q68" s="2">
        <f t="shared" si="21"/>
        <v>4</v>
      </c>
      <c r="R68" s="2">
        <f t="shared" si="22"/>
        <v>5</v>
      </c>
      <c r="S68">
        <f t="shared" ca="1" si="23"/>
        <v>7</v>
      </c>
      <c r="T68" s="2">
        <f>(IFERROR(VLOOKUP(D68,'Employee Numbers'!$A$3:$C$84,3,FALSE),"NOT FOUND"))*8</f>
        <v>0</v>
      </c>
    </row>
    <row r="69" spans="1:20" s="2" customFormat="1" ht="15" customHeight="1">
      <c r="A69" s="2" t="s">
        <v>98</v>
      </c>
      <c r="C69" s="47"/>
      <c r="D69" s="262" t="s">
        <v>109</v>
      </c>
      <c r="E69" s="39">
        <f>IFERROR(VLOOKUP(D69,'Employee Numbers'!$A$3:$B$84,2,FALSE),"NOT FOUND")</f>
        <v>702947</v>
      </c>
      <c r="F69" s="130"/>
      <c r="G69" s="130"/>
      <c r="H69" s="130"/>
      <c r="I69" s="130" t="s">
        <v>42</v>
      </c>
      <c r="J69" s="130" t="s">
        <v>100</v>
      </c>
      <c r="K69" s="130" t="s">
        <v>100</v>
      </c>
      <c r="L69" s="130" t="s">
        <v>100</v>
      </c>
      <c r="N69">
        <f t="array" ref="N69">((SUM(IFERROR((TEXT(IF(ISNUMBER(SEARCH("-", F69:L69)), MID(F69:L69, SEARCH("-", F69:L69) + 1, 4), ""), "00\:00") - TEXT(IF(ISNUMBER(SEARCH("-", F69:L69)), MID(F69:L69, SEARCH("-", F69:L69) - 4, 4), ""), "00\:00") + IF(TEXT(IF(ISNUMBER(SEARCH("-", F69:L69)), MID(F69:L69, SEARCH("-", F69:L69) + 1, 4), ""), "00\:00") &lt; TEXT(IF(ISNUMBER(SEARCH("-", F69:L69)), MID(F69:L69, SEARCH("-", F69:L69) - 4, 4), ""), "00\:00"), 1, 0))*24,""))))/9.5</f>
        <v>4</v>
      </c>
      <c r="O69"/>
      <c r="P69"/>
      <c r="Q69" s="2">
        <f t="shared" si="21"/>
        <v>4</v>
      </c>
      <c r="R69" s="2">
        <f t="shared" si="22"/>
        <v>5</v>
      </c>
      <c r="S69">
        <f t="shared" ca="1" si="23"/>
        <v>8</v>
      </c>
      <c r="T69" s="2">
        <f>(IFERROR(VLOOKUP(D69,'Employee Numbers'!$A$3:$C$84,3,FALSE),"NOT FOUND"))*8</f>
        <v>0</v>
      </c>
    </row>
    <row r="70" spans="1:20" s="2" customFormat="1" ht="15" customHeight="1">
      <c r="A70" s="44" t="s">
        <v>98</v>
      </c>
      <c r="B70" s="44"/>
      <c r="C70" s="45"/>
      <c r="D70" s="262" t="s">
        <v>110</v>
      </c>
      <c r="E70" s="39">
        <f>IFERROR(VLOOKUP(D70,'Employee Numbers'!$A$3:$B$84,2,FALSE),"NOT FOUND")</f>
        <v>654002</v>
      </c>
      <c r="F70" s="37" t="s">
        <v>42</v>
      </c>
      <c r="G70" s="31"/>
      <c r="H70" s="37" t="s">
        <v>42</v>
      </c>
      <c r="I70" s="37" t="s">
        <v>42</v>
      </c>
      <c r="J70" s="37" t="s">
        <v>42</v>
      </c>
      <c r="K70" s="37"/>
      <c r="L70" s="37"/>
      <c r="N70">
        <f t="array" ref="N70">((SUM(IFERROR((TEXT(IF(ISNUMBER(SEARCH("-", F70:L70)), MID(F70:L70, SEARCH("-", F70:L70) + 1, 4), ""), "00\:00") - TEXT(IF(ISNUMBER(SEARCH("-", F70:L70)), MID(F70:L70, SEARCH("-", F70:L70) - 4, 4), ""), "00\:00") + IF(TEXT(IF(ISNUMBER(SEARCH("-", F70:L70)), MID(F70:L70, SEARCH("-", F70:L70) + 1, 4), ""), "00\:00") &lt; TEXT(IF(ISNUMBER(SEARCH("-", F70:L70)), MID(F70:L70, SEARCH("-", F70:L70) - 4, 4), ""), "00\:00"), 1, 0))*24,""))))/9.5</f>
        <v>4</v>
      </c>
      <c r="O70"/>
      <c r="P70"/>
      <c r="Q70" s="2">
        <f t="shared" si="21"/>
        <v>4</v>
      </c>
      <c r="R70" s="2">
        <f t="shared" si="22"/>
        <v>5</v>
      </c>
      <c r="S70">
        <f t="shared" ca="1" si="23"/>
        <v>8</v>
      </c>
      <c r="T70" s="2">
        <f>(IFERROR(VLOOKUP(D70,'Employee Numbers'!$A$3:$C$84,3,FALSE),"NOT FOUND"))*8</f>
        <v>0</v>
      </c>
    </row>
    <row r="71" spans="1:20" s="2" customFormat="1" ht="15" customHeight="1">
      <c r="A71" s="2" t="s">
        <v>98</v>
      </c>
      <c r="C71" s="21"/>
      <c r="D71" s="262" t="s">
        <v>111</v>
      </c>
      <c r="E71" s="39">
        <f>IFERROR(VLOOKUP(D71,'Employee Numbers'!$A$3:$B$84,2,FALSE),"NOT FOUND")</f>
        <v>703068</v>
      </c>
      <c r="F71" s="37"/>
      <c r="G71" s="31"/>
      <c r="H71" s="37"/>
      <c r="I71" s="37" t="s">
        <v>44</v>
      </c>
      <c r="J71" s="357" t="s">
        <v>44</v>
      </c>
      <c r="K71" s="37" t="s">
        <v>42</v>
      </c>
      <c r="L71" s="37" t="s">
        <v>42</v>
      </c>
      <c r="N71">
        <f t="array" ref="N71">((SUM(IFERROR((TEXT(IF(ISNUMBER(SEARCH("-", F71:L71)), MID(F71:L71, SEARCH("-", F71:L71) + 1, 4), ""), "00\:00") - TEXT(IF(ISNUMBER(SEARCH("-", F71:L71)), MID(F71:L71, SEARCH("-", F71:L71) - 4, 4), ""), "00\:00") + IF(TEXT(IF(ISNUMBER(SEARCH("-", F71:L71)), MID(F71:L71, SEARCH("-", F71:L71) + 1, 4), ""), "00\:00") &lt; TEXT(IF(ISNUMBER(SEARCH("-", F71:L71)), MID(F71:L71, SEARCH("-", F71:L71) - 4, 4), ""), "00\:00"), 1, 0))*24,""))))/9.5</f>
        <v>4</v>
      </c>
      <c r="O71"/>
      <c r="P71"/>
      <c r="Q71" s="2">
        <f t="shared" si="21"/>
        <v>4</v>
      </c>
      <c r="R71" s="2">
        <f t="shared" si="22"/>
        <v>5</v>
      </c>
      <c r="S71">
        <f t="shared" ca="1" si="23"/>
        <v>8</v>
      </c>
      <c r="T71" s="2">
        <f>(IFERROR(VLOOKUP(D71,'Employee Numbers'!$A$3:$C$84,3,FALSE),"NOT FOUND"))*8</f>
        <v>0</v>
      </c>
    </row>
    <row r="72" spans="1:20" s="2" customFormat="1" ht="15" customHeight="1">
      <c r="A72" s="44" t="s">
        <v>98</v>
      </c>
      <c r="B72" s="44"/>
      <c r="C72" s="45"/>
      <c r="D72" s="262" t="s">
        <v>113</v>
      </c>
      <c r="E72" s="39">
        <f>IFERROR(VLOOKUP(D72,'Employee Numbers'!$A$3:$B$84,2,FALSE),"NOT FOUND")</f>
        <v>703911</v>
      </c>
      <c r="F72" s="37" t="s">
        <v>42</v>
      </c>
      <c r="G72" s="31" t="s">
        <v>42</v>
      </c>
      <c r="H72" s="37"/>
      <c r="I72" s="37"/>
      <c r="J72" s="37"/>
      <c r="K72" s="37" t="s">
        <v>42</v>
      </c>
      <c r="L72" s="37" t="s">
        <v>42</v>
      </c>
      <c r="N72">
        <f t="array" ref="N72">((SUM(IFERROR((TEXT(IF(ISNUMBER(SEARCH("-", F72:L72)), MID(F72:L72, SEARCH("-", F72:L72) + 1, 4), ""), "00\:00") - TEXT(IF(ISNUMBER(SEARCH("-", F72:L72)), MID(F72:L72, SEARCH("-", F72:L72) - 4, 4), ""), "00\:00") + IF(TEXT(IF(ISNUMBER(SEARCH("-", F72:L72)), MID(F72:L72, SEARCH("-", F72:L72) + 1, 4), ""), "00\:00") &lt; TEXT(IF(ISNUMBER(SEARCH("-", F72:L72)), MID(F72:L72, SEARCH("-", F72:L72) - 4, 4), ""), "00\:00"), 1, 0))*24,""))))/9.5</f>
        <v>4</v>
      </c>
      <c r="O72"/>
      <c r="P72"/>
      <c r="Q72" s="2">
        <f t="shared" si="21"/>
        <v>4</v>
      </c>
      <c r="R72" s="2">
        <f t="shared" si="22"/>
        <v>5</v>
      </c>
      <c r="S72">
        <f t="shared" ca="1" si="23"/>
        <v>8</v>
      </c>
      <c r="T72" s="2">
        <f>(IFERROR(VLOOKUP(D72,'Employee Numbers'!$A$3:$C$84,3,FALSE),"NOT FOUND"))*8</f>
        <v>0</v>
      </c>
    </row>
    <row r="73" spans="1:20" s="2" customFormat="1" ht="15" customHeight="1">
      <c r="A73" s="2" t="s">
        <v>98</v>
      </c>
      <c r="C73" s="21"/>
      <c r="D73" s="262" t="s">
        <v>114</v>
      </c>
      <c r="E73" s="39">
        <f>IFERROR(VLOOKUP(D73,'Employee Numbers'!$A$3:$B$84,2,FALSE),"NOT FOUND")</f>
        <v>633936</v>
      </c>
      <c r="F73" s="37"/>
      <c r="G73" s="291"/>
      <c r="H73" s="291"/>
      <c r="I73" s="291" t="s">
        <v>42</v>
      </c>
      <c r="J73" s="36" t="s">
        <v>42</v>
      </c>
      <c r="K73" s="37" t="s">
        <v>42</v>
      </c>
      <c r="L73" s="37" t="s">
        <v>42</v>
      </c>
      <c r="N73">
        <f t="array" ref="N73">((SUM(IFERROR((TEXT(IF(ISNUMBER(SEARCH("-", F73:L73)), MID(F73:L73, SEARCH("-", F73:L73) + 1, 4), ""), "00\:00") - TEXT(IF(ISNUMBER(SEARCH("-", F73:L73)), MID(F73:L73, SEARCH("-", F73:L73) - 4, 4), ""), "00\:00") + IF(TEXT(IF(ISNUMBER(SEARCH("-", F73:L73)), MID(F73:L73, SEARCH("-", F73:L73) + 1, 4), ""), "00\:00") &lt; TEXT(IF(ISNUMBER(SEARCH("-", F73:L73)), MID(F73:L73, SEARCH("-", F73:L73) - 4, 4), ""), "00\:00"), 1, 0))*24,""))))/9.5</f>
        <v>4</v>
      </c>
      <c r="O73"/>
      <c r="P73"/>
      <c r="Q73" s="2">
        <f t="shared" si="21"/>
        <v>4</v>
      </c>
      <c r="R73" s="2">
        <f t="shared" si="22"/>
        <v>5</v>
      </c>
      <c r="S73">
        <f t="shared" ca="1" si="23"/>
        <v>8</v>
      </c>
      <c r="T73" s="2">
        <f>(IFERROR(VLOOKUP(D73,'Employee Numbers'!$A$3:$C$84,3,FALSE),"NOT FOUND"))*8</f>
        <v>0</v>
      </c>
    </row>
    <row r="74" spans="1:20" s="2" customFormat="1" ht="15" customHeight="1">
      <c r="A74" s="44" t="s">
        <v>98</v>
      </c>
      <c r="B74" s="44"/>
      <c r="C74" s="45"/>
      <c r="D74" s="262" t="s">
        <v>115</v>
      </c>
      <c r="E74" s="39">
        <f>IFERROR(VLOOKUP(D74,'Employee Numbers'!$A$3:$B$84,2,FALSE),"NOT FOUND")</f>
        <v>700755</v>
      </c>
      <c r="F74" s="37"/>
      <c r="G74" s="37"/>
      <c r="H74" s="37"/>
      <c r="I74" s="357" t="s">
        <v>44</v>
      </c>
      <c r="J74" s="37" t="s">
        <v>44</v>
      </c>
      <c r="K74" s="37" t="s">
        <v>42</v>
      </c>
      <c r="L74" s="37" t="s">
        <v>42</v>
      </c>
      <c r="N74">
        <f t="array" ref="N74">((SUM(IFERROR((TEXT(IF(ISNUMBER(SEARCH("-", F74:L74)), MID(F74:L74, SEARCH("-", F74:L74) + 1, 4), ""), "00\:00") - TEXT(IF(ISNUMBER(SEARCH("-", F74:L74)), MID(F74:L74, SEARCH("-", F74:L74) - 4, 4), ""), "00\:00") + IF(TEXT(IF(ISNUMBER(SEARCH("-", F74:L74)), MID(F74:L74, SEARCH("-", F74:L74) + 1, 4), ""), "00\:00") &lt; TEXT(IF(ISNUMBER(SEARCH("-", F74:L74)), MID(F74:L74, SEARCH("-", F74:L74) - 4, 4), ""), "00\:00"), 1, 0))*24,""))))/9.5</f>
        <v>4</v>
      </c>
      <c r="O74"/>
      <c r="P74"/>
      <c r="Q74" s="2">
        <f t="shared" si="21"/>
        <v>4</v>
      </c>
      <c r="R74" s="2">
        <f t="shared" si="22"/>
        <v>5</v>
      </c>
      <c r="S74">
        <f t="shared" ca="1" si="23"/>
        <v>8</v>
      </c>
      <c r="T74" s="2">
        <f>(IFERROR(VLOOKUP(D74,'Employee Numbers'!$A$3:$C$84,3,FALSE),"NOT FOUND"))*8</f>
        <v>0</v>
      </c>
    </row>
    <row r="75" spans="1:20" s="2" customFormat="1" ht="15" customHeight="1">
      <c r="A75" s="2" t="s">
        <v>98</v>
      </c>
      <c r="C75" s="21"/>
      <c r="D75" s="262" t="s">
        <v>116</v>
      </c>
      <c r="E75" s="39">
        <f>IFERROR(VLOOKUP(D75,'Employee Numbers'!$A$3:$B$84,2,FALSE),"NOT FOUND")</f>
        <v>704872</v>
      </c>
      <c r="F75" s="136" t="s">
        <v>100</v>
      </c>
      <c r="G75" s="292" t="s">
        <v>100</v>
      </c>
      <c r="H75" s="136"/>
      <c r="I75" s="293"/>
      <c r="J75" s="294"/>
      <c r="K75" s="136" t="s">
        <v>42</v>
      </c>
      <c r="L75" s="136" t="s">
        <v>42</v>
      </c>
      <c r="N75">
        <f t="array" ref="N75">((SUM(IFERROR((TEXT(IF(ISNUMBER(SEARCH("-", F75:L75)), MID(F75:L75, SEARCH("-", F75:L75) + 1, 4), ""), "00\:00") - TEXT(IF(ISNUMBER(SEARCH("-", F75:L75)), MID(F75:L75, SEARCH("-", F75:L75) - 4, 4), ""), "00\:00") + IF(TEXT(IF(ISNUMBER(SEARCH("-", F75:L75)), MID(F75:L75, SEARCH("-", F75:L75) + 1, 4), ""), "00\:00") &lt; TEXT(IF(ISNUMBER(SEARCH("-", F75:L75)), MID(F75:L75, SEARCH("-", F75:L75) - 4, 4), ""), "00\:00"), 1, 0))*24,""))))/9.5</f>
        <v>4</v>
      </c>
      <c r="O75"/>
      <c r="P75"/>
      <c r="Q75" s="2">
        <f t="shared" si="21"/>
        <v>4</v>
      </c>
      <c r="R75" s="2">
        <f t="shared" si="22"/>
        <v>5</v>
      </c>
      <c r="S75">
        <f t="shared" ca="1" si="23"/>
        <v>8</v>
      </c>
      <c r="T75" s="2">
        <f>(IFERROR(VLOOKUP(D75,'Employee Numbers'!$A$3:$C$84,3,FALSE),"NOT FOUND"))*8</f>
        <v>0</v>
      </c>
    </row>
    <row r="76" spans="1:20" s="2" customFormat="1" ht="15" customHeight="1">
      <c r="A76" s="44" t="s">
        <v>98</v>
      </c>
      <c r="B76" s="44"/>
      <c r="C76" s="45"/>
      <c r="D76" s="262" t="s">
        <v>117</v>
      </c>
      <c r="E76" s="285">
        <f>IFERROR(VLOOKUP(D76,'Employee Numbers'!$A$3:$B$84,2,FALSE),"NOT FOUND")</f>
        <v>700712</v>
      </c>
      <c r="F76" s="264" t="s">
        <v>42</v>
      </c>
      <c r="G76" s="264" t="s">
        <v>42</v>
      </c>
      <c r="H76" s="264"/>
      <c r="I76" s="264"/>
      <c r="J76" s="264"/>
      <c r="K76" s="264" t="s">
        <v>44</v>
      </c>
      <c r="L76" s="355" t="s">
        <v>44</v>
      </c>
      <c r="N76">
        <f t="array" ref="N76">((SUM(IFERROR((TEXT(IF(ISNUMBER(SEARCH("-", F76:L76)), MID(F76:L76, SEARCH("-", F76:L76) + 1, 4), ""), "00\:00") - TEXT(IF(ISNUMBER(SEARCH("-", F76:L76)), MID(F76:L76, SEARCH("-", F76:L76) - 4, 4), ""), "00\:00") + IF(TEXT(IF(ISNUMBER(SEARCH("-", F76:L76)), MID(F76:L76, SEARCH("-", F76:L76) + 1, 4), ""), "00\:00") &lt; TEXT(IF(ISNUMBER(SEARCH("-", F76:L76)), MID(F76:L76, SEARCH("-", F76:L76) - 4, 4), ""), "00\:00"), 1, 0))*24,""))))/9.5</f>
        <v>4</v>
      </c>
      <c r="O76"/>
      <c r="P76"/>
      <c r="Q76" s="2">
        <f t="shared" si="21"/>
        <v>4</v>
      </c>
      <c r="R76" s="2">
        <f t="shared" si="22"/>
        <v>5</v>
      </c>
      <c r="S76">
        <f t="shared" ca="1" si="23"/>
        <v>8</v>
      </c>
      <c r="T76" s="2">
        <f>(IFERROR(VLOOKUP(D76,'Employee Numbers'!$A$3:$C$84,3,FALSE),"NOT FOUND"))*8</f>
        <v>0</v>
      </c>
    </row>
    <row r="77" spans="1:20" s="2" customFormat="1" ht="15" customHeight="1">
      <c r="A77" s="2" t="s">
        <v>98</v>
      </c>
      <c r="C77" s="47"/>
      <c r="D77" s="262" t="s">
        <v>119</v>
      </c>
      <c r="E77" s="285">
        <f>IFERROR(VLOOKUP(D77,'Employee Numbers'!$A$3:$B$84,2,FALSE),"NOT FOUND")</f>
        <v>700818</v>
      </c>
      <c r="F77" s="264"/>
      <c r="G77" s="264" t="s">
        <v>44</v>
      </c>
      <c r="H77" s="264" t="s">
        <v>100</v>
      </c>
      <c r="I77" s="264" t="s">
        <v>100</v>
      </c>
      <c r="J77" s="264" t="s">
        <v>100</v>
      </c>
      <c r="K77" s="264"/>
      <c r="L77" s="264"/>
      <c r="N77">
        <f t="array" ref="N77">((SUM(IFERROR((TEXT(IF(ISNUMBER(SEARCH("-", F77:L77)), MID(F77:L77, SEARCH("-", F77:L77) + 1, 4), ""), "00\:00") - TEXT(IF(ISNUMBER(SEARCH("-", F77:L77)), MID(F77:L77, SEARCH("-", F77:L77) - 4, 4), ""), "00\:00") + IF(TEXT(IF(ISNUMBER(SEARCH("-", F77:L77)), MID(F77:L77, SEARCH("-", F77:L77) + 1, 4), ""), "00\:00") &lt; TEXT(IF(ISNUMBER(SEARCH("-", F77:L77)), MID(F77:L77, SEARCH("-", F77:L77) - 4, 4), ""), "00\:00"), 1, 0))*24,""))))/9.5</f>
        <v>4</v>
      </c>
      <c r="O77"/>
      <c r="P77"/>
      <c r="Q77" s="2">
        <f t="shared" si="21"/>
        <v>4</v>
      </c>
      <c r="R77" s="2">
        <f t="shared" si="22"/>
        <v>5</v>
      </c>
      <c r="S77">
        <f t="shared" ca="1" si="23"/>
        <v>4</v>
      </c>
      <c r="T77" s="2">
        <f>(IFERROR(VLOOKUP(D77,'Employee Numbers'!$A$3:$C$84,3,FALSE),"NOT FOUND"))*8</f>
        <v>0</v>
      </c>
    </row>
    <row r="78" spans="1:20" s="2" customFormat="1" ht="15" customHeight="1">
      <c r="A78" s="44" t="s">
        <v>98</v>
      </c>
      <c r="B78" s="44"/>
      <c r="C78" s="45"/>
      <c r="D78" s="262" t="s">
        <v>120</v>
      </c>
      <c r="E78" s="285">
        <f>IFERROR(VLOOKUP(D78,'Employee Numbers'!$A$3:$B$84,2,FALSE),"NOT FOUND")</f>
        <v>650101</v>
      </c>
      <c r="F78" s="264"/>
      <c r="G78" s="264" t="s">
        <v>42</v>
      </c>
      <c r="H78" s="264" t="s">
        <v>42</v>
      </c>
      <c r="I78" s="264"/>
      <c r="J78" s="275"/>
      <c r="K78" s="264" t="s">
        <v>100</v>
      </c>
      <c r="L78" s="264" t="s">
        <v>100</v>
      </c>
      <c r="N78">
        <f t="array" ref="N78">((SUM(IFERROR((TEXT(IF(ISNUMBER(SEARCH("-", F78:L78)), MID(F78:L78, SEARCH("-", F78:L78) + 1, 4), ""), "00\:00") - TEXT(IF(ISNUMBER(SEARCH("-", F78:L78)), MID(F78:L78, SEARCH("-", F78:L78) - 4, 4), ""), "00\:00") + IF(TEXT(IF(ISNUMBER(SEARCH("-", F78:L78)), MID(F78:L78, SEARCH("-", F78:L78) + 1, 4), ""), "00\:00") &lt; TEXT(IF(ISNUMBER(SEARCH("-", F78:L78)), MID(F78:L78, SEARCH("-", F78:L78) - 4, 4), ""), "00\:00"), 1, 0))*24,""))))/9.5</f>
        <v>4</v>
      </c>
      <c r="O78"/>
      <c r="P78"/>
      <c r="Q78" s="2">
        <f t="shared" si="21"/>
        <v>4</v>
      </c>
      <c r="R78" s="2">
        <f t="shared" si="22"/>
        <v>2.5</v>
      </c>
      <c r="S78">
        <f t="shared" ca="1" si="23"/>
        <v>8</v>
      </c>
      <c r="T78" s="2">
        <f>(IFERROR(VLOOKUP(D78,'Employee Numbers'!$A$3:$C$84,3,FALSE),"NOT FOUND"))*8</f>
        <v>0</v>
      </c>
    </row>
    <row r="79" spans="1:20" s="2" customFormat="1" ht="15" customHeight="1">
      <c r="A79" s="2" t="s">
        <v>98</v>
      </c>
      <c r="C79" s="21"/>
      <c r="D79" s="262" t="s">
        <v>122</v>
      </c>
      <c r="E79" s="285">
        <f>IFERROR(VLOOKUP(D79,'Employee Numbers'!$A$3:$B$84,2,FALSE),"NOT FOUND")</f>
        <v>654888</v>
      </c>
      <c r="F79" s="264" t="s">
        <v>42</v>
      </c>
      <c r="G79" s="264" t="s">
        <v>42</v>
      </c>
      <c r="H79" s="264"/>
      <c r="I79" s="264"/>
      <c r="J79" s="264"/>
      <c r="K79" s="355" t="s">
        <v>44</v>
      </c>
      <c r="L79" s="264" t="s">
        <v>44</v>
      </c>
      <c r="N79">
        <f t="array" ref="N79">((SUM(IFERROR((TEXT(IF(ISNUMBER(SEARCH("-", F79:L79)), MID(F79:L79, SEARCH("-", F79:L79) + 1, 4), ""), "00\:00") - TEXT(IF(ISNUMBER(SEARCH("-", F79:L79)), MID(F79:L79, SEARCH("-", F79:L79) - 4, 4), ""), "00\:00") + IF(TEXT(IF(ISNUMBER(SEARCH("-", F79:L79)), MID(F79:L79, SEARCH("-", F79:L79) + 1, 4), ""), "00\:00") &lt; TEXT(IF(ISNUMBER(SEARCH("-", F79:L79)), MID(F79:L79, SEARCH("-", F79:L79) - 4, 4), ""), "00\:00"), 1, 0))*24,""))))/9.5</f>
        <v>4</v>
      </c>
      <c r="O79"/>
      <c r="P79"/>
      <c r="Q79" s="2">
        <f t="shared" si="21"/>
        <v>4</v>
      </c>
      <c r="R79" s="2">
        <f t="shared" si="22"/>
        <v>5</v>
      </c>
      <c r="S79">
        <f t="shared" ca="1" si="23"/>
        <v>7.9999999999999991</v>
      </c>
      <c r="T79" s="2">
        <f>(IFERROR(VLOOKUP(D79,'Employee Numbers'!$A$3:$C$84,3,FALSE),"NOT FOUND"))*8</f>
        <v>0</v>
      </c>
    </row>
    <row r="80" spans="1:20" s="2" customFormat="1" ht="15" customHeight="1">
      <c r="A80" s="44" t="s">
        <v>98</v>
      </c>
      <c r="B80" s="44"/>
      <c r="C80" s="45"/>
      <c r="D80" s="262" t="s">
        <v>123</v>
      </c>
      <c r="E80" s="285">
        <f>IFERROR(VLOOKUP(D80,'Employee Numbers'!$A$3:$B$84,2,FALSE),"NOT FOUND")</f>
        <v>703880</v>
      </c>
      <c r="F80" s="264"/>
      <c r="G80" s="355" t="s">
        <v>44</v>
      </c>
      <c r="H80" s="264" t="s">
        <v>42</v>
      </c>
      <c r="I80" s="264" t="s">
        <v>42</v>
      </c>
      <c r="J80" s="264" t="s">
        <v>42</v>
      </c>
      <c r="K80" s="264"/>
      <c r="L80" s="264"/>
      <c r="N80">
        <f t="array" ref="N80">((SUM(IFERROR((TEXT(IF(ISNUMBER(SEARCH("-", F80:L80)), MID(F80:L80, SEARCH("-", F80:L80) + 1, 4), ""), "00\:00") - TEXT(IF(ISNUMBER(SEARCH("-", F80:L80)), MID(F80:L80, SEARCH("-", F80:L80) - 4, 4), ""), "00\:00") + IF(TEXT(IF(ISNUMBER(SEARCH("-", F80:L80)), MID(F80:L80, SEARCH("-", F80:L80) + 1, 4), ""), "00\:00") &lt; TEXT(IF(ISNUMBER(SEARCH("-", F80:L80)), MID(F80:L80, SEARCH("-", F80:L80) - 4, 4), ""), "00\:00"), 1, 0))*24,""))))/9.5</f>
        <v>4</v>
      </c>
      <c r="O80"/>
      <c r="P80"/>
      <c r="Q80" s="2">
        <f t="shared" si="21"/>
        <v>4</v>
      </c>
      <c r="R80" s="2">
        <f t="shared" si="22"/>
        <v>5</v>
      </c>
      <c r="S80">
        <f t="shared" ca="1" si="23"/>
        <v>8</v>
      </c>
      <c r="T80" s="2">
        <f>(IFERROR(VLOOKUP(D80,'Employee Numbers'!$A$3:$C$84,3,FALSE),"NOT FOUND"))*8</f>
        <v>0</v>
      </c>
    </row>
    <row r="81" spans="1:21" s="13" customFormat="1" ht="15" customHeight="1">
      <c r="A81" s="2" t="s">
        <v>98</v>
      </c>
      <c r="B81" s="2"/>
      <c r="C81" s="21"/>
      <c r="D81" s="262" t="s">
        <v>124</v>
      </c>
      <c r="E81" s="285">
        <f>IFERROR(VLOOKUP(D81,'Employee Numbers'!$A$3:$B$84,2,FALSE),"NOT FOUND")</f>
        <v>703334</v>
      </c>
      <c r="F81" s="274" t="s">
        <v>176</v>
      </c>
      <c r="G81" s="274"/>
      <c r="H81" s="274"/>
      <c r="I81" s="274"/>
      <c r="J81" s="274"/>
      <c r="K81" s="274"/>
      <c r="L81" s="274"/>
      <c r="N81">
        <f t="array" ref="N81">((SUM(IFERROR((TEXT(IF(ISNUMBER(SEARCH("-", F81:L81)), MID(F81:L81, SEARCH("-", F81:L81) + 1, 4), ""), "00\:00") - TEXT(IF(ISNUMBER(SEARCH("-", F81:L81)), MID(F81:L81, SEARCH("-", F81:L81) - 4, 4), ""), "00\:00") + IF(TEXT(IF(ISNUMBER(SEARCH("-", F81:L81)), MID(F81:L81, SEARCH("-", F81:L81) + 1, 4), ""), "00\:00") &lt; TEXT(IF(ISNUMBER(SEARCH("-", F81:L81)), MID(F81:L81, SEARCH("-", F81:L81) - 4, 4), ""), "00\:00"), 1, 0))*24,""))))/9.5</f>
        <v>0</v>
      </c>
      <c r="O81"/>
      <c r="P81"/>
      <c r="Q81" s="2">
        <f>P81+O81+N81</f>
        <v>0</v>
      </c>
      <c r="R81" s="2">
        <f>IF(ISNUMBER(SEARCH("trg_5",H173)),5,IF(ISNUMBER(SEARCH("trg_3.75",H173)),3.75,IF(ISNUMBER(SEARCH("trg_2.5",H173)),2.5,IF(ISNUMBER(SEARCH("trg_1.75",H173)),1.75,0))))</f>
        <v>0</v>
      </c>
      <c r="S81">
        <f t="shared" ca="1" si="23"/>
        <v>3</v>
      </c>
      <c r="T81" s="2">
        <f>(IFERROR(VLOOKUP(D81,'Employee Numbers'!$A$3:$C$84,3,FALSE),"NOT FOUND"))*8</f>
        <v>0</v>
      </c>
      <c r="U81" s="2"/>
    </row>
    <row r="82" spans="1:21" s="2" customFormat="1" ht="15" customHeight="1">
      <c r="A82" s="44" t="s">
        <v>98</v>
      </c>
      <c r="B82" s="44"/>
      <c r="C82" s="45"/>
      <c r="D82" s="262" t="s">
        <v>125</v>
      </c>
      <c r="E82" s="285">
        <f>IFERROR(VLOOKUP(D82,'Employee Numbers'!$A$3:$B$84,2,FALSE),"NOT FOUND")</f>
        <v>700538</v>
      </c>
      <c r="F82" s="264" t="s">
        <v>174</v>
      </c>
      <c r="G82" s="264" t="s">
        <v>42</v>
      </c>
      <c r="H82" s="264" t="s">
        <v>42</v>
      </c>
      <c r="I82" s="264"/>
      <c r="J82" s="264"/>
      <c r="K82" s="264"/>
      <c r="L82" s="264"/>
      <c r="N82">
        <f t="array" ref="N82">((SUM(IFERROR((TEXT(IF(ISNUMBER(SEARCH("-", F82:L82)), MID(F82:L82, SEARCH("-", F82:L82) + 1, 4), ""), "00\:00") - TEXT(IF(ISNUMBER(SEARCH("-", F82:L82)), MID(F82:L82, SEARCH("-", F82:L82) - 4, 4), ""), "00\:00") + IF(TEXT(IF(ISNUMBER(SEARCH("-", F82:L82)), MID(F82:L82, SEARCH("-", F82:L82) + 1, 4), ""), "00\:00") &lt; TEXT(IF(ISNUMBER(SEARCH("-", F82:L82)), MID(F82:L82, SEARCH("-", F82:L82) - 4, 4), ""), "00\:00"), 1, 0))*24,""))))/9.5</f>
        <v>3</v>
      </c>
      <c r="O82"/>
      <c r="P82"/>
      <c r="Q82" s="2">
        <f>P82+O82+N82</f>
        <v>3</v>
      </c>
      <c r="R82" s="2">
        <f>IF(ISNUMBER(SEARCH("trg_5",H174)),5,IF(ISNUMBER(SEARCH("trg_3.75",H174)),3.75,IF(ISNUMBER(SEARCH("trg_2.5",H174)),2.5,IF(ISNUMBER(SEARCH("trg_1.75",H174)),1.75,0))))</f>
        <v>3.75</v>
      </c>
      <c r="S82">
        <f t="shared" ca="1" si="23"/>
        <v>7</v>
      </c>
      <c r="T82" s="2">
        <f>(IFERROR(VLOOKUP(D82,'Employee Numbers'!$A$3:$C$84,3,FALSE),"NOT FOUND"))*8</f>
        <v>0</v>
      </c>
    </row>
    <row r="83" spans="1:21" s="2" customFormat="1" ht="15" customHeight="1">
      <c r="A83" s="2" t="s">
        <v>98</v>
      </c>
      <c r="C83" s="21"/>
      <c r="D83" s="262" t="s">
        <v>126</v>
      </c>
      <c r="E83" s="39">
        <f>IFERROR(VLOOKUP(D83,'Employee Numbers'!$A$3:$B$84,2,FALSE),"NOT FOUND")</f>
        <v>704862</v>
      </c>
      <c r="F83" s="178"/>
      <c r="G83" s="178"/>
      <c r="H83" s="178"/>
      <c r="I83" s="178"/>
      <c r="J83" s="178"/>
      <c r="K83" s="178"/>
      <c r="L83" s="178"/>
      <c r="N83">
        <f t="array" ref="N83">((SUM(IFERROR((TEXT(IF(ISNUMBER(SEARCH("-", F83:L83)), MID(F83:L83, SEARCH("-", F83:L83) + 1, 4), ""), "00\:00") - TEXT(IF(ISNUMBER(SEARCH("-", F83:L83)), MID(F83:L83, SEARCH("-", F83:L83) - 4, 4), ""), "00\:00") + IF(TEXT(IF(ISNUMBER(SEARCH("-", F83:L83)), MID(F83:L83, SEARCH("-", F83:L83) + 1, 4), ""), "00\:00") &lt; TEXT(IF(ISNUMBER(SEARCH("-", F83:L83)), MID(F83:L83, SEARCH("-", F83:L83) - 4, 4), ""), "00\:00"), 1, 0))*24,""))))/9.5</f>
        <v>0</v>
      </c>
      <c r="O83"/>
      <c r="P83"/>
      <c r="Q83" s="2">
        <f>P83+O83+N83</f>
        <v>0</v>
      </c>
      <c r="R83" s="2">
        <f>IF(ISNUMBER(SEARCH("trg_5",H175)),5,IF(ISNUMBER(SEARCH("trg_3.75",H175)),3.75,IF(ISNUMBER(SEARCH("trg_2.5",H175)),2.5,IF(ISNUMBER(SEARCH("trg_1.75",H175)),1.75,0))))</f>
        <v>2.5</v>
      </c>
      <c r="S83">
        <f t="shared" ca="1" si="23"/>
        <v>0</v>
      </c>
      <c r="T83" s="2">
        <f>(IFERROR(VLOOKUP(D83,'Employee Numbers'!$A$3:$C$84,3,FALSE),"NOT FOUND"))*8</f>
        <v>0</v>
      </c>
    </row>
    <row r="84" spans="1:21" s="2" customFormat="1" ht="15" customHeight="1">
      <c r="A84" s="44" t="s">
        <v>98</v>
      </c>
      <c r="B84" s="44"/>
      <c r="C84" s="45"/>
      <c r="D84" s="128"/>
      <c r="E84" s="129" t="str">
        <f>IFERROR(VLOOKUP(D84,'Employee Numbers'!$A$3:$B$84,2,FALSE),"NOT FOUND")</f>
        <v>NOT FOUND</v>
      </c>
      <c r="F84" s="136"/>
      <c r="G84" s="136"/>
      <c r="H84" s="136"/>
      <c r="I84" s="136"/>
      <c r="J84" s="136"/>
      <c r="K84" s="136"/>
      <c r="L84" s="136"/>
      <c r="N84">
        <f t="array" ref="N84">((SUM(IFERROR((TEXT(IF(ISNUMBER(SEARCH("-", F84:L84)), MID(F84:L84, SEARCH("-", F84:L84) + 1, 4), ""), "00\:00") - TEXT(IF(ISNUMBER(SEARCH("-", F84:L84)), MID(F84:L84, SEARCH("-", F84:L84) - 4, 4), ""), "00\:00") + IF(TEXT(IF(ISNUMBER(SEARCH("-", F84:L84)), MID(F84:L84, SEARCH("-", F84:L84) + 1, 4), ""), "00\:00") &lt; TEXT(IF(ISNUMBER(SEARCH("-", F84:L84)), MID(F84:L84, SEARCH("-", F84:L84) - 4, 4), ""), "00\:00"), 1, 0))*24,""))))/9.5</f>
        <v>0</v>
      </c>
      <c r="O84"/>
      <c r="P84"/>
      <c r="Q84" s="2">
        <f>P84+O84+N84</f>
        <v>0</v>
      </c>
      <c r="R84" s="2">
        <f>IF(ISNUMBER(SEARCH("trg_5",H176)),5,IF(ISNUMBER(SEARCH("trg_3.75",H176)),3.75,IF(ISNUMBER(SEARCH("trg_2.5",H176)),2.5,IF(ISNUMBER(SEARCH("trg_1.75",H176)),1.75,0))))</f>
        <v>5</v>
      </c>
      <c r="S84">
        <f t="shared" ca="1" si="23"/>
        <v>0</v>
      </c>
      <c r="T84" s="2" t="e">
        <f>(IFERROR(VLOOKUP(D84,'Employee Numbers'!$A$3:$C$84,3,FALSE),"NOT FOUND"))*8</f>
        <v>#VALUE!</v>
      </c>
    </row>
    <row r="85" spans="1:21" s="2" customFormat="1" ht="15" customHeight="1">
      <c r="A85" s="137" t="s">
        <v>128</v>
      </c>
      <c r="B85" s="138"/>
      <c r="C85" s="139"/>
      <c r="D85" s="140" t="s">
        <v>128</v>
      </c>
      <c r="E85" s="141" t="s">
        <v>4</v>
      </c>
      <c r="F85" s="281" t="s">
        <v>5</v>
      </c>
      <c r="G85" s="281" t="s">
        <v>6</v>
      </c>
      <c r="H85" s="281" t="s">
        <v>7</v>
      </c>
      <c r="I85" s="281" t="s">
        <v>8</v>
      </c>
      <c r="J85" s="281" t="s">
        <v>9</v>
      </c>
      <c r="K85" s="281" t="s">
        <v>10</v>
      </c>
      <c r="L85" s="282" t="s">
        <v>11</v>
      </c>
      <c r="M85" s="34"/>
      <c r="N85"/>
      <c r="O85"/>
      <c r="P85"/>
    </row>
    <row r="86" spans="1:21" s="2" customFormat="1" ht="15" customHeight="1">
      <c r="A86" s="44" t="s">
        <v>129</v>
      </c>
      <c r="B86" s="44"/>
      <c r="C86" s="45"/>
      <c r="D86" s="263" t="s">
        <v>130</v>
      </c>
      <c r="E86" s="284">
        <f>IFERROR(VLOOKUP(D86,'Employee Numbers'!$A$3:$B$84,2,FALSE),"NOT FOUND")</f>
        <v>703066</v>
      </c>
      <c r="F86" s="264" t="s">
        <v>44</v>
      </c>
      <c r="G86" s="264" t="s">
        <v>42</v>
      </c>
      <c r="H86" s="264"/>
      <c r="I86" s="264" t="s">
        <v>44</v>
      </c>
      <c r="J86" s="264" t="s">
        <v>42</v>
      </c>
      <c r="K86" s="264"/>
      <c r="L86" s="264"/>
      <c r="N86">
        <f t="array" ref="N86">((SUM(IFERROR((TEXT(IF(ISNUMBER(SEARCH("-", F86:L86)), MID(F86:L86, SEARCH("-", F86:L86) + 1, 4), ""), "00\:00") - TEXT(IF(ISNUMBER(SEARCH("-", F86:L86)), MID(F86:L86, SEARCH("-", F86:L86) - 4, 4), ""), "00\:00") + IF(TEXT(IF(ISNUMBER(SEARCH("-", F86:L86)), MID(F86:L86, SEARCH("-", F86:L86) + 1, 4), ""), "00\:00") &lt; TEXT(IF(ISNUMBER(SEARCH("-", F86:L86)), MID(F86:L86, SEARCH("-", F86:L86) - 4, 4), ""), "00\:00"), 1, 0))*24,""))))/9.5</f>
        <v>4</v>
      </c>
      <c r="O86"/>
      <c r="P86"/>
      <c r="Q86" s="2">
        <f>P86+O86+N86</f>
        <v>4</v>
      </c>
      <c r="S86">
        <f t="shared" ref="S86:S99" ca="1" si="24">IF($C$4=1,SUM(Q86+INDIRECT("'Week "&amp;($B$3+1)&amp;"'!Q"&amp;(ROW()))),IF($C$4=2,SUM(Q86+INDIRECT("'Week "&amp;($B$3-1)&amp;"'!Q"&amp;(ROW())))))</f>
        <v>7.9999999999999991</v>
      </c>
      <c r="T86" s="2" t="e">
        <f>(IFERROR(VLOOKUP(D86,'Employee Numbers'!$A$3:$C$84,3,FALSE),"NOT FOUND"))*8</f>
        <v>#VALUE!</v>
      </c>
    </row>
    <row r="87" spans="1:21" s="2" customFormat="1" ht="15" customHeight="1">
      <c r="A87" s="2" t="s">
        <v>129</v>
      </c>
      <c r="C87" s="21"/>
      <c r="D87" s="263" t="s">
        <v>131</v>
      </c>
      <c r="E87" s="285">
        <f>IFERROR(VLOOKUP(D87,'Employee Numbers'!$A$3:$B$84,2,FALSE),"NOT FOUND")</f>
        <v>648637</v>
      </c>
      <c r="F87" s="264" t="s">
        <v>100</v>
      </c>
      <c r="G87" s="264"/>
      <c r="H87" s="264"/>
      <c r="I87" s="264"/>
      <c r="J87" s="264" t="s">
        <v>44</v>
      </c>
      <c r="K87" s="264" t="s">
        <v>44</v>
      </c>
      <c r="L87" s="264" t="s">
        <v>44</v>
      </c>
      <c r="N87">
        <f t="array" ref="N87">((SUM(IFERROR((TEXT(IF(ISNUMBER(SEARCH("-", F87:L87)), MID(F87:L87, SEARCH("-", F87:L87) + 1, 4), ""), "00\:00") - TEXT(IF(ISNUMBER(SEARCH("-", F87:L87)), MID(F87:L87, SEARCH("-", F87:L87) - 4, 4), ""), "00\:00") + IF(TEXT(IF(ISNUMBER(SEARCH("-", F87:L87)), MID(F87:L87, SEARCH("-", F87:L87) + 1, 4), ""), "00\:00") &lt; TEXT(IF(ISNUMBER(SEARCH("-", F87:L87)), MID(F87:L87, SEARCH("-", F87:L87) - 4, 4), ""), "00\:00"), 1, 0))*24,""))))/9.5</f>
        <v>4</v>
      </c>
      <c r="O87"/>
      <c r="P87"/>
      <c r="Q87" s="2">
        <f t="shared" ref="Q87:Q96" si="25">P87+O87+N87</f>
        <v>4</v>
      </c>
      <c r="S87">
        <f t="shared" ca="1" si="24"/>
        <v>8</v>
      </c>
      <c r="T87" s="2" t="e">
        <f>(IFERROR(VLOOKUP(D87,'Employee Numbers'!$A$3:$C$84,3,FALSE),"NOT FOUND"))*8</f>
        <v>#VALUE!</v>
      </c>
    </row>
    <row r="88" spans="1:21" s="13" customFormat="1" ht="15" customHeight="1">
      <c r="A88" s="44" t="s">
        <v>129</v>
      </c>
      <c r="B88" s="44"/>
      <c r="C88" s="45"/>
      <c r="D88" s="263" t="s">
        <v>132</v>
      </c>
      <c r="E88" s="285">
        <f>IFERROR(VLOOKUP(D88,'Employee Numbers'!$A$3:$B$84,2,FALSE),"NOT FOUND")</f>
        <v>703161</v>
      </c>
      <c r="F88" s="274" t="s">
        <v>176</v>
      </c>
      <c r="G88" s="274"/>
      <c r="H88" s="274"/>
      <c r="I88" s="274"/>
      <c r="J88" s="274"/>
      <c r="K88" s="274"/>
      <c r="L88" s="274"/>
      <c r="M88" s="2"/>
      <c r="N88">
        <f t="array" ref="N88">((SUM(IFERROR((TEXT(IF(ISNUMBER(SEARCH("-", F88:L88)), MID(F88:L88, SEARCH("-", F88:L88) + 1, 4), ""), "00\:00") - TEXT(IF(ISNUMBER(SEARCH("-", F88:L88)), MID(F88:L88, SEARCH("-", F88:L88) - 4, 4), ""), "00\:00") + IF(TEXT(IF(ISNUMBER(SEARCH("-", F88:L88)), MID(F88:L88, SEARCH("-", F88:L88) + 1, 4), ""), "00\:00") &lt; TEXT(IF(ISNUMBER(SEARCH("-", F88:L88)), MID(F88:L88, SEARCH("-", F88:L88) - 4, 4), ""), "00\:00"), 1, 0))*24,""))))/9.5</f>
        <v>0</v>
      </c>
      <c r="O88"/>
      <c r="P88"/>
      <c r="Q88" s="2">
        <f t="shared" si="25"/>
        <v>0</v>
      </c>
      <c r="R88" s="2"/>
      <c r="S88">
        <f t="shared" ca="1" si="24"/>
        <v>0</v>
      </c>
      <c r="T88" s="2" t="e">
        <f>(IFERROR(VLOOKUP(D88,'Employee Numbers'!$A$3:$C$84,3,FALSE),"NOT FOUND"))*8</f>
        <v>#VALUE!</v>
      </c>
      <c r="U88" s="2"/>
    </row>
    <row r="89" spans="1:21" s="2" customFormat="1" ht="15" customHeight="1">
      <c r="A89" s="2" t="s">
        <v>129</v>
      </c>
      <c r="C89" s="21"/>
      <c r="D89" s="263" t="s">
        <v>133</v>
      </c>
      <c r="E89" s="285">
        <f>IFERROR(VLOOKUP(D89,'Employee Numbers'!$A$3:$B$84,2,FALSE),"NOT FOUND")</f>
        <v>655179</v>
      </c>
      <c r="F89" s="264"/>
      <c r="G89" s="264"/>
      <c r="H89" s="264"/>
      <c r="I89" s="264"/>
      <c r="J89" s="264"/>
      <c r="K89" s="264"/>
      <c r="L89" s="264"/>
      <c r="N89">
        <f t="array" ref="N89">((SUM(IFERROR((TEXT(IF(ISNUMBER(SEARCH("-", F89:L89)), MID(F89:L89, SEARCH("-", F89:L89) + 1, 4), ""), "00\:00") - TEXT(IF(ISNUMBER(SEARCH("-", F89:L89)), MID(F89:L89, SEARCH("-", F89:L89) - 4, 4), ""), "00\:00") + IF(TEXT(IF(ISNUMBER(SEARCH("-", F89:L89)), MID(F89:L89, SEARCH("-", F89:L89) + 1, 4), ""), "00\:00") &lt; TEXT(IF(ISNUMBER(SEARCH("-", F89:L89)), MID(F89:L89, SEARCH("-", F89:L89) - 4, 4), ""), "00\:00"), 1, 0))*24,""))))/9.5</f>
        <v>0</v>
      </c>
      <c r="O89"/>
      <c r="P89"/>
      <c r="Q89" s="2">
        <f t="shared" si="25"/>
        <v>0</v>
      </c>
      <c r="S89">
        <f t="shared" ca="1" si="24"/>
        <v>0</v>
      </c>
      <c r="T89" s="2" t="e">
        <f>(IFERROR(VLOOKUP(D89,'Employee Numbers'!$A$3:$C$84,3,FALSE),"NOT FOUND"))*8</f>
        <v>#VALUE!</v>
      </c>
    </row>
    <row r="90" spans="1:21" s="2" customFormat="1" ht="15" customHeight="1">
      <c r="A90" s="44" t="s">
        <v>129</v>
      </c>
      <c r="B90" s="44"/>
      <c r="C90" s="45"/>
      <c r="D90" s="263" t="s">
        <v>134</v>
      </c>
      <c r="E90" s="285">
        <f>IFERROR(VLOOKUP(D90,'Employee Numbers'!$A$3:$B$84,2,FALSE),"NOT FOUND")</f>
        <v>700812</v>
      </c>
      <c r="F90" s="264" t="s">
        <v>44</v>
      </c>
      <c r="G90" s="264" t="s">
        <v>44</v>
      </c>
      <c r="H90" s="264" t="s">
        <v>44</v>
      </c>
      <c r="I90" s="264" t="s">
        <v>42</v>
      </c>
      <c r="J90" s="264"/>
      <c r="K90" s="264"/>
      <c r="L90" s="264"/>
      <c r="N90">
        <f t="array" ref="N90">((SUM(IFERROR((TEXT(IF(ISNUMBER(SEARCH("-", F90:L90)), MID(F90:L90, SEARCH("-", F90:L90) + 1, 4), ""), "00\:00") - TEXT(IF(ISNUMBER(SEARCH("-", F90:L90)), MID(F90:L90, SEARCH("-", F90:L90) - 4, 4), ""), "00\:00") + IF(TEXT(IF(ISNUMBER(SEARCH("-", F90:L90)), MID(F90:L90, SEARCH("-", F90:L90) + 1, 4), ""), "00\:00") &lt; TEXT(IF(ISNUMBER(SEARCH("-", F90:L90)), MID(F90:L90, SEARCH("-", F90:L90) - 4, 4), ""), "00\:00"), 1, 0))*24,""))))/9.5</f>
        <v>4</v>
      </c>
      <c r="O90"/>
      <c r="P90"/>
      <c r="Q90" s="2">
        <f t="shared" si="25"/>
        <v>4</v>
      </c>
      <c r="S90">
        <f t="shared" ca="1" si="24"/>
        <v>8</v>
      </c>
      <c r="T90" s="2" t="e">
        <f>(IFERROR(VLOOKUP(D90,'Employee Numbers'!$A$3:$C$84,3,FALSE),"NOT FOUND"))*8</f>
        <v>#VALUE!</v>
      </c>
    </row>
    <row r="91" spans="1:21" s="2" customFormat="1" ht="15" customHeight="1">
      <c r="A91" s="2" t="s">
        <v>129</v>
      </c>
      <c r="D91" s="263" t="s">
        <v>135</v>
      </c>
      <c r="E91" s="285">
        <f>IFERROR(VLOOKUP(D91,'Employee Numbers'!$A$3:$B$84,2,FALSE),"NOT FOUND")</f>
        <v>703157</v>
      </c>
      <c r="F91" s="264" t="s">
        <v>42</v>
      </c>
      <c r="G91" s="264"/>
      <c r="H91" s="264"/>
      <c r="I91" s="264"/>
      <c r="J91" s="264" t="s">
        <v>42</v>
      </c>
      <c r="K91" s="264" t="s">
        <v>42</v>
      </c>
      <c r="L91" s="264" t="s">
        <v>42</v>
      </c>
      <c r="N91">
        <f t="array" ref="N91">((SUM(IFERROR((TEXT(IF(ISNUMBER(SEARCH("-", F91:L91)), MID(F91:L91, SEARCH("-", F91:L91) + 1, 4), ""), "00\:00") - TEXT(IF(ISNUMBER(SEARCH("-", F91:L91)), MID(F91:L91, SEARCH("-", F91:L91) - 4, 4), ""), "00\:00") + IF(TEXT(IF(ISNUMBER(SEARCH("-", F91:L91)), MID(F91:L91, SEARCH("-", F91:L91) + 1, 4), ""), "00\:00") &lt; TEXT(IF(ISNUMBER(SEARCH("-", F91:L91)), MID(F91:L91, SEARCH("-", F91:L91) - 4, 4), ""), "00\:00"), 1, 0))*24,""))))/9.5</f>
        <v>4</v>
      </c>
      <c r="O91"/>
      <c r="P91"/>
      <c r="Q91" s="2">
        <f t="shared" si="25"/>
        <v>4</v>
      </c>
      <c r="S91">
        <f t="shared" ca="1" si="24"/>
        <v>8</v>
      </c>
      <c r="T91" s="2" t="e">
        <f>(IFERROR(VLOOKUP(D91,'Employee Numbers'!$A$3:$C$84,3,FALSE),"NOT FOUND"))*8</f>
        <v>#VALUE!</v>
      </c>
    </row>
    <row r="92" spans="1:21" s="2" customFormat="1" ht="15" customHeight="1">
      <c r="A92" s="44" t="s">
        <v>129</v>
      </c>
      <c r="B92" s="44"/>
      <c r="C92" s="44"/>
      <c r="D92" s="263" t="s">
        <v>136</v>
      </c>
      <c r="E92" s="285">
        <f>IFERROR(VLOOKUP(D92,'Employee Numbers'!$A$3:$B$84,2,FALSE),"NOT FOUND")</f>
        <v>655173</v>
      </c>
      <c r="F92" s="264"/>
      <c r="G92" s="264" t="s">
        <v>44</v>
      </c>
      <c r="H92" s="264" t="s">
        <v>44</v>
      </c>
      <c r="I92" s="264" t="s">
        <v>44</v>
      </c>
      <c r="J92" s="264" t="s">
        <v>42</v>
      </c>
      <c r="K92" s="264"/>
      <c r="L92" s="264"/>
      <c r="N92">
        <f t="array" ref="N92">((SUM(IFERROR((TEXT(IF(ISNUMBER(SEARCH("-", F92:L92)), MID(F92:L92, SEARCH("-", F92:L92) + 1, 4), ""), "00\:00") - TEXT(IF(ISNUMBER(SEARCH("-", F92:L92)), MID(F92:L92, SEARCH("-", F92:L92) - 4, 4), ""), "00\:00") + IF(TEXT(IF(ISNUMBER(SEARCH("-", F92:L92)), MID(F92:L92, SEARCH("-", F92:L92) + 1, 4), ""), "00\:00") &lt; TEXT(IF(ISNUMBER(SEARCH("-", F92:L92)), MID(F92:L92, SEARCH("-", F92:L92) - 4, 4), ""), "00\:00"), 1, 0))*24,""))))/9.5</f>
        <v>4</v>
      </c>
      <c r="O92"/>
      <c r="P92"/>
      <c r="Q92" s="2">
        <f t="shared" si="25"/>
        <v>4</v>
      </c>
      <c r="S92">
        <f t="shared" ca="1" si="24"/>
        <v>8</v>
      </c>
      <c r="T92" s="2" t="e">
        <f>(IFERROR(VLOOKUP(D92,'Employee Numbers'!$A$3:$C$84,3,FALSE),"NOT FOUND"))*8</f>
        <v>#VALUE!</v>
      </c>
    </row>
    <row r="93" spans="1:21" s="2" customFormat="1" ht="15" customHeight="1">
      <c r="A93" s="44" t="s">
        <v>129</v>
      </c>
      <c r="B93" s="44"/>
      <c r="C93" s="45"/>
      <c r="D93" s="263" t="s">
        <v>137</v>
      </c>
      <c r="E93" s="285">
        <f>IFERROR(VLOOKUP(D93,'Employee Numbers'!$A$3:$B$84,2,FALSE),"NOT FOUND")</f>
        <v>705273</v>
      </c>
      <c r="F93" s="264"/>
      <c r="G93" s="264"/>
      <c r="H93" s="264"/>
      <c r="I93" s="264" t="s">
        <v>44</v>
      </c>
      <c r="J93" s="264" t="s">
        <v>44</v>
      </c>
      <c r="K93" s="264" t="s">
        <v>44</v>
      </c>
      <c r="L93" s="264" t="s">
        <v>44</v>
      </c>
      <c r="N93">
        <f t="array" ref="N93">((SUM(IFERROR((TEXT(IF(ISNUMBER(SEARCH("-", F93:L93)), MID(F93:L93, SEARCH("-", F93:L93) + 1, 4), ""), "00\:00") - TEXT(IF(ISNUMBER(SEARCH("-", F93:L93)), MID(F93:L93, SEARCH("-", F93:L93) - 4, 4), ""), "00\:00") + IF(TEXT(IF(ISNUMBER(SEARCH("-", F93:L93)), MID(F93:L93, SEARCH("-", F93:L93) + 1, 4), ""), "00\:00") &lt; TEXT(IF(ISNUMBER(SEARCH("-", F93:L93)), MID(F93:L93, SEARCH("-", F93:L93) - 4, 4), ""), "00\:00"), 1, 0))*24,""))))/9.5</f>
        <v>4</v>
      </c>
      <c r="O93"/>
      <c r="P93"/>
      <c r="Q93" s="2">
        <f t="shared" si="25"/>
        <v>4</v>
      </c>
      <c r="S93">
        <f t="shared" ca="1" si="24"/>
        <v>8</v>
      </c>
      <c r="T93" s="2" t="e">
        <f>(IFERROR(VLOOKUP(D93,'Employee Numbers'!$A$3:$C$84,3,FALSE),"NOT FOUND"))*8</f>
        <v>#VALUE!</v>
      </c>
    </row>
    <row r="94" spans="1:21" s="2" customFormat="1" ht="15" customHeight="1">
      <c r="A94" s="2" t="s">
        <v>129</v>
      </c>
      <c r="C94" s="21"/>
      <c r="D94" s="263" t="s">
        <v>138</v>
      </c>
      <c r="E94" s="285">
        <f>IFERROR(VLOOKUP(D94,'Employee Numbers'!$A$3:$B$84,2,FALSE),"NOT FOUND")</f>
        <v>703418</v>
      </c>
      <c r="F94" s="264" t="s">
        <v>100</v>
      </c>
      <c r="G94" s="264" t="s">
        <v>100</v>
      </c>
      <c r="H94" s="264" t="s">
        <v>100</v>
      </c>
      <c r="I94" s="264" t="s">
        <v>100</v>
      </c>
      <c r="J94" s="264"/>
      <c r="K94" s="264"/>
      <c r="L94" s="264"/>
      <c r="N94">
        <f t="array" ref="N94">((SUM(IFERROR((TEXT(IF(ISNUMBER(SEARCH("-", F94:L94)), MID(F94:L94, SEARCH("-", F94:L94) + 1, 4), ""), "00\:00") - TEXT(IF(ISNUMBER(SEARCH("-", F94:L94)), MID(F94:L94, SEARCH("-", F94:L94) - 4, 4), ""), "00\:00") + IF(TEXT(IF(ISNUMBER(SEARCH("-", F94:L94)), MID(F94:L94, SEARCH("-", F94:L94) + 1, 4), ""), "00\:00") &lt; TEXT(IF(ISNUMBER(SEARCH("-", F94:L94)), MID(F94:L94, SEARCH("-", F94:L94) - 4, 4), ""), "00\:00"), 1, 0))*24,""))))/9.5</f>
        <v>3.9999999999999991</v>
      </c>
      <c r="O94"/>
      <c r="P94"/>
      <c r="Q94" s="2">
        <f t="shared" si="25"/>
        <v>3.9999999999999991</v>
      </c>
      <c r="S94">
        <f t="shared" ca="1" si="24"/>
        <v>7.9999999999999991</v>
      </c>
      <c r="T94" s="2" t="e">
        <f>(IFERROR(VLOOKUP(D94,'Employee Numbers'!$A$3:$C$84,3,FALSE),"NOT FOUND"))*8</f>
        <v>#VALUE!</v>
      </c>
    </row>
    <row r="95" spans="1:21" s="13" customFormat="1" ht="15" customHeight="1">
      <c r="A95" s="44" t="s">
        <v>129</v>
      </c>
      <c r="B95" s="44"/>
      <c r="C95" s="45"/>
      <c r="D95" s="263" t="s">
        <v>139</v>
      </c>
      <c r="E95" s="285">
        <f>IFERROR(VLOOKUP(D95,'Employee Numbers'!$A$3:$B$84,2,FALSE),"NOT FOUND")</f>
        <v>704108</v>
      </c>
      <c r="F95" s="264"/>
      <c r="G95" s="264"/>
      <c r="H95" s="264" t="s">
        <v>44</v>
      </c>
      <c r="I95" s="264" t="s">
        <v>42</v>
      </c>
      <c r="J95" s="264" t="s">
        <v>100</v>
      </c>
      <c r="K95" s="264" t="s">
        <v>100</v>
      </c>
      <c r="L95" s="264" t="s">
        <v>100</v>
      </c>
      <c r="M95" s="2"/>
      <c r="N95">
        <f t="array" ref="N95">((SUM(IFERROR((TEXT(IF(ISNUMBER(SEARCH("-", F95:L95)), MID(F95:L95, SEARCH("-", F95:L95) + 1, 4), ""), "00\:00") - TEXT(IF(ISNUMBER(SEARCH("-", F95:L95)), MID(F95:L95, SEARCH("-", F95:L95) - 4, 4), ""), "00\:00") + IF(TEXT(IF(ISNUMBER(SEARCH("-", F95:L95)), MID(F95:L95, SEARCH("-", F95:L95) + 1, 4), ""), "00\:00") &lt; TEXT(IF(ISNUMBER(SEARCH("-", F95:L95)), MID(F95:L95, SEARCH("-", F95:L95) - 4, 4), ""), "00\:00"), 1, 0))*24,""))))/9.5</f>
        <v>5</v>
      </c>
      <c r="O95"/>
      <c r="P95"/>
      <c r="Q95" s="2">
        <f t="shared" si="25"/>
        <v>5</v>
      </c>
      <c r="R95" s="2"/>
      <c r="S95">
        <f t="shared" ca="1" si="24"/>
        <v>8</v>
      </c>
      <c r="T95" s="2" t="e">
        <f>(IFERROR(VLOOKUP(D95,'Employee Numbers'!$A$3:$C$84,3,FALSE),"NOT FOUND"))*8</f>
        <v>#VALUE!</v>
      </c>
      <c r="U95" s="2"/>
    </row>
    <row r="96" spans="1:21" s="2" customFormat="1" ht="15" customHeight="1">
      <c r="A96" s="2" t="s">
        <v>129</v>
      </c>
      <c r="C96" s="21"/>
      <c r="D96" s="263" t="s">
        <v>140</v>
      </c>
      <c r="E96" s="285">
        <f>IFERROR(VLOOKUP(D96,'Employee Numbers'!$A$3:$B$84,2,FALSE),"NOT FOUND")</f>
        <v>651515</v>
      </c>
      <c r="F96" s="264" t="s">
        <v>42</v>
      </c>
      <c r="G96" s="264" t="s">
        <v>100</v>
      </c>
      <c r="H96" s="264" t="s">
        <v>100</v>
      </c>
      <c r="I96" s="264" t="s">
        <v>100</v>
      </c>
      <c r="J96" s="264"/>
      <c r="K96" s="264"/>
      <c r="L96" s="264"/>
      <c r="N96">
        <f t="array" ref="N96">((SUM(IFERROR((TEXT(IF(ISNUMBER(SEARCH("-", F96:L96)), MID(F96:L96, SEARCH("-", F96:L96) + 1, 4), ""), "00\:00") - TEXT(IF(ISNUMBER(SEARCH("-", F96:L96)), MID(F96:L96, SEARCH("-", F96:L96) - 4, 4), ""), "00\:00") + IF(TEXT(IF(ISNUMBER(SEARCH("-", F96:L96)), MID(F96:L96, SEARCH("-", F96:L96) + 1, 4), ""), "00\:00") &lt; TEXT(IF(ISNUMBER(SEARCH("-", F96:L96)), MID(F96:L96, SEARCH("-", F96:L96) - 4, 4), ""), "00\:00"), 1, 0))*24,""))))/9.5</f>
        <v>4</v>
      </c>
      <c r="O96"/>
      <c r="P96"/>
      <c r="Q96" s="2">
        <f t="shared" si="25"/>
        <v>4</v>
      </c>
      <c r="S96">
        <f t="shared" ca="1" si="24"/>
        <v>8</v>
      </c>
      <c r="T96" s="2" t="e">
        <f>(IFERROR(VLOOKUP(D96,'Employee Numbers'!$A$3:$C$84,3,FALSE),"NOT FOUND"))*8</f>
        <v>#VALUE!</v>
      </c>
    </row>
    <row r="97" spans="1:20" s="2" customFormat="1" ht="15" customHeight="1">
      <c r="A97" s="44" t="s">
        <v>129</v>
      </c>
      <c r="B97" s="44"/>
      <c r="C97" s="45"/>
      <c r="D97" s="263" t="s">
        <v>141</v>
      </c>
      <c r="E97" s="285">
        <f>IFERROR(VLOOKUP(D97,'Employee Numbers'!$A$3:$B$84,2,FALSE),"NOT FOUND")</f>
        <v>705199</v>
      </c>
      <c r="F97" s="264"/>
      <c r="G97" s="264" t="s">
        <v>42</v>
      </c>
      <c r="H97" s="264" t="s">
        <v>42</v>
      </c>
      <c r="I97" s="264"/>
      <c r="J97" s="264"/>
      <c r="K97" s="264" t="s">
        <v>42</v>
      </c>
      <c r="L97" s="264" t="s">
        <v>42</v>
      </c>
      <c r="N97">
        <f t="array" ref="N97">((SUM(IFERROR((TEXT(IF(ISNUMBER(SEARCH("-", F97:L97)), MID(F97:L97, SEARCH("-", F97:L97) + 1, 4), ""), "00\:00") - TEXT(IF(ISNUMBER(SEARCH("-", F97:L97)), MID(F97:L97, SEARCH("-", F97:L97) - 4, 4), ""), "00\:00") + IF(TEXT(IF(ISNUMBER(SEARCH("-", F97:L97)), MID(F97:L97, SEARCH("-", F97:L97) + 1, 4), ""), "00\:00") &lt; TEXT(IF(ISNUMBER(SEARCH("-", F97:L97)), MID(F97:L97, SEARCH("-", F97:L97) - 4, 4), ""), "00\:00"), 1, 0))*24,""))))/9.5</f>
        <v>4</v>
      </c>
      <c r="O97"/>
      <c r="P97"/>
      <c r="Q97" s="2">
        <f>P97+O97+N97</f>
        <v>4</v>
      </c>
      <c r="S97">
        <f t="shared" ca="1" si="24"/>
        <v>8</v>
      </c>
      <c r="T97" s="2" t="e">
        <f>(IFERROR(VLOOKUP(D97,'Employee Numbers'!$A$3:$C$84,3,FALSE),"NOT FOUND"))*8</f>
        <v>#VALUE!</v>
      </c>
    </row>
    <row r="98" spans="1:20" s="2" customFormat="1" ht="15" customHeight="1">
      <c r="A98" s="2" t="s">
        <v>129</v>
      </c>
      <c r="D98" s="31"/>
      <c r="E98" s="39" t="str">
        <f>IFERROR(VLOOKUP(D98,'Employee Numbers'!$A$3:$B$84,2,FALSE),"NOT FOUND")</f>
        <v>NOT FOUND</v>
      </c>
      <c r="F98" s="130"/>
      <c r="G98" s="130"/>
      <c r="H98" s="130"/>
      <c r="I98" s="130"/>
      <c r="J98" s="130"/>
      <c r="K98" s="130"/>
      <c r="L98" s="130"/>
      <c r="N98">
        <f t="array" ref="N98">((SUM(IFERROR((TEXT(IF(ISNUMBER(SEARCH("-", F98:L98)), MID(F98:L98, SEARCH("-", F98:L98) + 1, 4), ""), "00\:00") - TEXT(IF(ISNUMBER(SEARCH("-", F98:L98)), MID(F98:L98, SEARCH("-", F98:L98) - 4, 4), ""), "00\:00") + IF(TEXT(IF(ISNUMBER(SEARCH("-", F98:L98)), MID(F98:L98, SEARCH("-", F98:L98) + 1, 4), ""), "00\:00") &lt; TEXT(IF(ISNUMBER(SEARCH("-", F98:L98)), MID(F98:L98, SEARCH("-", F98:L98) - 4, 4), ""), "00\:00"), 1, 0))*24,""))))/9.5</f>
        <v>0</v>
      </c>
      <c r="O98"/>
      <c r="P98"/>
      <c r="Q98" s="2">
        <f>P98+O98+N98</f>
        <v>0</v>
      </c>
      <c r="S98">
        <f t="shared" ca="1" si="24"/>
        <v>0</v>
      </c>
      <c r="T98" s="2" t="e">
        <f>(IFERROR(VLOOKUP(D98,'Employee Numbers'!$A$3:$C$84,3,FALSE),"NOT FOUND"))*8</f>
        <v>#VALUE!</v>
      </c>
    </row>
    <row r="99" spans="1:20" s="2" customFormat="1" ht="15" customHeight="1">
      <c r="A99" s="44" t="s">
        <v>129</v>
      </c>
      <c r="B99" s="44"/>
      <c r="C99" s="44"/>
      <c r="D99" s="30"/>
      <c r="E99" s="39" t="str">
        <f>IFERROR(VLOOKUP(D99,'Employee Numbers'!$A$3:$B$84,2,FALSE),"NOT FOUND")</f>
        <v>NOT FOUND</v>
      </c>
      <c r="F99" s="37"/>
      <c r="G99" s="37"/>
      <c r="H99" s="37"/>
      <c r="I99" s="37"/>
      <c r="J99" s="37"/>
      <c r="K99" s="37"/>
      <c r="L99" s="37"/>
      <c r="N99">
        <f t="array" ref="N99">((SUM(IFERROR((TEXT(IF(ISNUMBER(SEARCH("-", F99:L99)), MID(F99:L99, SEARCH("-", F99:L99) + 1, 4), ""), "00\:00") - TEXT(IF(ISNUMBER(SEARCH("-", F99:L99)), MID(F99:L99, SEARCH("-", F99:L99) - 4, 4), ""), "00\:00") + IF(TEXT(IF(ISNUMBER(SEARCH("-", F99:L99)), MID(F99:L99, SEARCH("-", F99:L99) + 1, 4), ""), "00\:00") &lt; TEXT(IF(ISNUMBER(SEARCH("-", F99:L99)), MID(F99:L99, SEARCH("-", F99:L99) - 4, 4), ""), "00\:00"), 1, 0))*24,""))))/9.5</f>
        <v>0</v>
      </c>
      <c r="O99"/>
      <c r="P99"/>
      <c r="Q99" s="2">
        <f>P99+O99+N99</f>
        <v>0</v>
      </c>
      <c r="S99">
        <f t="shared" ca="1" si="24"/>
        <v>0</v>
      </c>
      <c r="T99" s="2" t="e">
        <f>(IFERROR(VLOOKUP(D99,'Employee Numbers'!$A$3:$C$84,3,FALSE),"NOT FOUND"))*8</f>
        <v>#VALUE!</v>
      </c>
    </row>
    <row r="100" spans="1:20" s="2" customFormat="1" ht="15" customHeight="1">
      <c r="A100" s="56" t="s">
        <v>142</v>
      </c>
      <c r="B100" s="52"/>
      <c r="C100" s="53"/>
      <c r="D100" s="56" t="s">
        <v>142</v>
      </c>
      <c r="E100" s="41" t="s">
        <v>4</v>
      </c>
      <c r="F100" s="40" t="s">
        <v>5</v>
      </c>
      <c r="G100" s="40" t="s">
        <v>6</v>
      </c>
      <c r="H100" s="40" t="s">
        <v>7</v>
      </c>
      <c r="I100" s="40" t="s">
        <v>8</v>
      </c>
      <c r="J100" s="40" t="s">
        <v>9</v>
      </c>
      <c r="K100" s="40" t="s">
        <v>10</v>
      </c>
      <c r="L100" s="40" t="s">
        <v>11</v>
      </c>
      <c r="M100" s="5"/>
    </row>
    <row r="101" spans="1:20" s="2" customFormat="1" ht="15" customHeight="1">
      <c r="A101" s="2" t="s">
        <v>143</v>
      </c>
      <c r="B101" s="5"/>
      <c r="C101" s="8"/>
      <c r="D101" s="31"/>
      <c r="E101" s="39" t="str">
        <f>IFERROR(VLOOKUP(D101,'Employee Numbers'!$A$3:$B$84,2,FALSE),"NOT FOUND")</f>
        <v>NOT FOUND</v>
      </c>
      <c r="F101" s="31"/>
      <c r="G101" s="31"/>
      <c r="H101" s="31"/>
      <c r="I101" s="31"/>
      <c r="J101" s="31"/>
      <c r="K101" s="31"/>
      <c r="L101" s="31"/>
      <c r="M101" s="5"/>
      <c r="N101">
        <f t="array" ref="N101">((SUM(IFERROR((TEXT(IF(ISNUMBER(SEARCH("-", F101:L101)), MID(F101:L101, SEARCH("-", F101:L101) + 1, 4), ""), "00\:00") - TEXT(IF(ISNUMBER(SEARCH("-", F101:L101)), MID(F101:L101, SEARCH("-", F101:L101) - 4, 4), ""), "00\:00") + IF(TEXT(IF(ISNUMBER(SEARCH("-", F101:L101)), MID(F101:L101, SEARCH("-", F101:L101) + 1, 4), ""), "00\:00") &lt; TEXT(IF(ISNUMBER(SEARCH("-", F101:L101)), MID(F101:L101, SEARCH("-", F101:L101) - 4, 4), ""), "00\:00"), 1, 0))*24,""))))/9.5</f>
        <v>0</v>
      </c>
      <c r="O101"/>
      <c r="P101"/>
      <c r="Q101" s="2">
        <f>P101+O101+N101</f>
        <v>0</v>
      </c>
      <c r="S101">
        <f t="shared" ref="S101:S102" ca="1" si="26">IF($C$4=1,SUM(Q101+INDIRECT("'Week "&amp;($B$3+1)&amp;"'!Q"&amp;(ROW()))),IF($C$4=2,SUM(Q101+INDIRECT("'Week "&amp;($B$3-1)&amp;"'!Q"&amp;(ROW())))))</f>
        <v>0</v>
      </c>
      <c r="T101" s="2" t="e">
        <f>(IFERROR(VLOOKUP(D101,'Employee Numbers'!$A$3:$C$84,3,FALSE),"NOT FOUND"))*8</f>
        <v>#VALUE!</v>
      </c>
    </row>
    <row r="102" spans="1:20" s="2" customFormat="1" ht="15" customHeight="1">
      <c r="A102" s="44" t="s">
        <v>143</v>
      </c>
      <c r="B102" s="5"/>
      <c r="C102" s="8"/>
      <c r="D102" s="31"/>
      <c r="E102" s="39" t="str">
        <f>IFERROR(VLOOKUP(D102,'Employee Numbers'!$A$3:$B$84,2,FALSE),"NOT FOUND")</f>
        <v>NOT FOUND</v>
      </c>
      <c r="F102" s="31"/>
      <c r="G102" s="31"/>
      <c r="H102" s="31"/>
      <c r="I102" s="31"/>
      <c r="J102" s="31"/>
      <c r="K102" s="31"/>
      <c r="L102" s="31"/>
      <c r="M102" s="5"/>
      <c r="N102">
        <f t="array" ref="N102">((SUM(IFERROR((TEXT(IF(ISNUMBER(SEARCH("-", F102:L102)), MID(F102:L102, SEARCH("-", F102:L102) + 1, 4), ""), "00\:00") - TEXT(IF(ISNUMBER(SEARCH("-", F102:L102)), MID(F102:L102, SEARCH("-", F102:L102) - 4, 4), ""), "00\:00") + IF(TEXT(IF(ISNUMBER(SEARCH("-", F102:L102)), MID(F102:L102, SEARCH("-", F102:L102) + 1, 4), ""), "00\:00") &lt; TEXT(IF(ISNUMBER(SEARCH("-", F102:L102)), MID(F102:L102, SEARCH("-", F102:L102) - 4, 4), ""), "00\:00"), 1, 0))*24,""))))/9.5</f>
        <v>0</v>
      </c>
      <c r="O102"/>
      <c r="P102"/>
      <c r="Q102" s="2">
        <f>P102+O102+N102</f>
        <v>0</v>
      </c>
      <c r="S102">
        <f t="shared" ca="1" si="26"/>
        <v>0</v>
      </c>
      <c r="T102" s="2" t="e">
        <f>(IFERROR(VLOOKUP(D102,'Employee Numbers'!$A$3:$C$84,3,FALSE),"NOT FOUND"))*8</f>
        <v>#VALUE!</v>
      </c>
    </row>
    <row r="103" spans="1:20" s="2" customFormat="1" ht="15" customHeight="1">
      <c r="A103" s="54" t="s">
        <v>148</v>
      </c>
      <c r="B103" s="54"/>
      <c r="C103" s="54"/>
      <c r="D103" s="57" t="s">
        <v>148</v>
      </c>
      <c r="E103" s="107"/>
      <c r="F103" s="57"/>
      <c r="G103" s="57"/>
      <c r="H103" s="57"/>
      <c r="I103" s="57"/>
      <c r="J103" s="57"/>
      <c r="K103" s="57"/>
      <c r="L103" s="57"/>
      <c r="M103" s="5"/>
      <c r="N103"/>
      <c r="O103"/>
      <c r="Q103"/>
    </row>
    <row r="104" spans="1:20" ht="15" customHeight="1">
      <c r="B104" s="2"/>
      <c r="C104" s="21"/>
      <c r="D104" s="31"/>
      <c r="E104" s="154" t="s">
        <v>149</v>
      </c>
      <c r="F104" s="31"/>
      <c r="G104" s="31"/>
      <c r="H104" s="31"/>
      <c r="I104" s="31"/>
      <c r="J104" s="31"/>
      <c r="K104" s="31"/>
      <c r="L104" s="31"/>
      <c r="N104"/>
      <c r="O104"/>
      <c r="P104" s="2"/>
      <c r="Q104"/>
      <c r="R104" s="2"/>
    </row>
    <row r="105" spans="1:20" ht="15" customHeight="1" thickBot="1">
      <c r="L105" s="6"/>
      <c r="N105"/>
      <c r="O105"/>
      <c r="P105" s="2"/>
      <c r="Q105"/>
      <c r="R105" s="2"/>
    </row>
    <row r="106" spans="1:20" ht="15" customHeight="1">
      <c r="D106" s="77" t="s">
        <v>150</v>
      </c>
      <c r="F106" s="88" t="s">
        <v>151</v>
      </c>
      <c r="G106" s="89"/>
      <c r="H106" s="89"/>
      <c r="I106" s="89"/>
      <c r="J106" s="89"/>
      <c r="K106" s="89"/>
      <c r="L106" s="90"/>
      <c r="N106"/>
      <c r="O106"/>
      <c r="P106" s="2"/>
      <c r="Q106"/>
      <c r="R106" s="2"/>
    </row>
    <row r="107" spans="1:20" ht="15" customHeight="1">
      <c r="D107" s="78" t="s">
        <v>152</v>
      </c>
      <c r="F107" s="24" t="s">
        <v>153</v>
      </c>
      <c r="G107"/>
      <c r="L107" s="6"/>
      <c r="N107" s="2"/>
      <c r="O107" s="2"/>
      <c r="P107" s="2"/>
      <c r="Q107" s="2"/>
      <c r="R107" s="2"/>
    </row>
    <row r="108" spans="1:20" ht="15" customHeight="1">
      <c r="D108" s="79" t="s">
        <v>154</v>
      </c>
      <c r="F108" s="24" t="s">
        <v>155</v>
      </c>
      <c r="G108"/>
      <c r="L108" s="6"/>
      <c r="N108"/>
      <c r="O108"/>
      <c r="P108" s="2"/>
      <c r="Q108"/>
      <c r="R108" s="2"/>
    </row>
    <row r="109" spans="1:20" ht="15" customHeight="1">
      <c r="D109" s="80" t="s">
        <v>156</v>
      </c>
      <c r="F109" s="24" t="s">
        <v>157</v>
      </c>
      <c r="G109"/>
      <c r="L109" s="6"/>
      <c r="N109"/>
      <c r="O109"/>
      <c r="P109" s="2"/>
      <c r="Q109"/>
      <c r="R109" s="2"/>
    </row>
    <row r="110" spans="1:20" ht="15" customHeight="1">
      <c r="D110" s="81" t="s">
        <v>158</v>
      </c>
      <c r="F110" s="24" t="s">
        <v>159</v>
      </c>
      <c r="G110"/>
      <c r="L110" s="6"/>
      <c r="N110" s="2"/>
      <c r="O110" s="2"/>
      <c r="P110" s="2"/>
      <c r="Q110" s="2"/>
      <c r="R110" s="2"/>
    </row>
    <row r="111" spans="1:20" ht="15" customHeight="1" thickBot="1">
      <c r="A111" s="2"/>
      <c r="F111" s="25" t="s">
        <v>160</v>
      </c>
      <c r="G111" s="17"/>
      <c r="H111" s="7"/>
      <c r="I111" s="7"/>
      <c r="J111" s="7"/>
      <c r="K111" s="7"/>
      <c r="L111" s="18"/>
      <c r="N111" s="2"/>
      <c r="O111" s="2"/>
      <c r="P111" s="2"/>
      <c r="Q111" s="2"/>
      <c r="R111" s="2"/>
    </row>
    <row r="112" spans="1:20" ht="15" customHeight="1">
      <c r="G112" s="14"/>
    </row>
    <row r="113" spans="1:18" s="2" customFormat="1" ht="15" customHeight="1">
      <c r="A113" s="42" t="s">
        <v>38</v>
      </c>
      <c r="B113" s="33"/>
      <c r="C113" s="43"/>
      <c r="D113" s="82" t="s">
        <v>38</v>
      </c>
      <c r="E113" s="19"/>
      <c r="F113" s="10"/>
      <c r="G113" s="11"/>
      <c r="H113" s="11"/>
      <c r="I113" s="11"/>
      <c r="J113" s="11"/>
      <c r="K113" s="11"/>
      <c r="L113" s="15"/>
      <c r="M113" s="5"/>
      <c r="N113" s="5"/>
      <c r="O113" s="5"/>
      <c r="P113" s="5"/>
      <c r="Q113" s="5"/>
      <c r="R113" s="5"/>
    </row>
    <row r="114" spans="1:18" ht="15" customHeight="1" thickBot="1"/>
    <row r="115" spans="1:18" ht="15" customHeight="1" thickBot="1">
      <c r="A115" s="2" t="s">
        <v>161</v>
      </c>
      <c r="B115" s="55" t="s">
        <v>162</v>
      </c>
      <c r="C115" s="21"/>
      <c r="D115" s="27" t="str">
        <f t="shared" ref="D115:D143" si="27">D21</f>
        <v>Dr Adam West</v>
      </c>
      <c r="E115" s="22">
        <f>IFERROR(VLOOKUP(D115,'Employee Numbers'!$A$3:$B$84,2,FALSE),"NOT FOUND")</f>
        <v>287628</v>
      </c>
      <c r="F115" s="9" t="str">
        <f t="shared" ref="F115:L130" si="28">IF(F$50=$D115,"Con_8_0000","")</f>
        <v/>
      </c>
      <c r="G115" s="9" t="str">
        <f t="shared" si="28"/>
        <v/>
      </c>
      <c r="H115" s="9" t="str">
        <f t="shared" si="28"/>
        <v/>
      </c>
      <c r="I115" s="9" t="str">
        <f t="shared" si="28"/>
        <v/>
      </c>
      <c r="J115" s="9" t="str">
        <f t="shared" si="28"/>
        <v/>
      </c>
      <c r="K115" s="9" t="str">
        <f t="shared" si="28"/>
        <v/>
      </c>
      <c r="L115" s="9" t="str">
        <f t="shared" si="28"/>
        <v/>
      </c>
    </row>
    <row r="116" spans="1:18" ht="15" customHeight="1" thickBot="1">
      <c r="A116" s="2" t="s">
        <v>161</v>
      </c>
      <c r="B116" s="55" t="s">
        <v>162</v>
      </c>
      <c r="C116" s="21"/>
      <c r="D116" s="27" t="str">
        <f t="shared" si="27"/>
        <v>Dr Toby VanHest</v>
      </c>
      <c r="E116" s="22">
        <f>IFERROR(VLOOKUP(D116,'Employee Numbers'!$A$3:$B$84,2,FALSE),"NOT FOUND")</f>
        <v>609660</v>
      </c>
      <c r="F116" s="9" t="str">
        <f t="shared" si="28"/>
        <v/>
      </c>
      <c r="G116" s="9" t="str">
        <f t="shared" si="28"/>
        <v/>
      </c>
      <c r="H116" s="9" t="str">
        <f t="shared" si="28"/>
        <v>Con_8_0000</v>
      </c>
      <c r="I116" s="9" t="str">
        <f t="shared" si="28"/>
        <v/>
      </c>
      <c r="J116" s="9" t="str">
        <f t="shared" si="28"/>
        <v/>
      </c>
      <c r="K116" s="9" t="str">
        <f t="shared" si="28"/>
        <v/>
      </c>
      <c r="L116" s="9" t="str">
        <f t="shared" si="28"/>
        <v/>
      </c>
    </row>
    <row r="117" spans="1:18" ht="15" customHeight="1" thickBot="1">
      <c r="A117" s="2" t="s">
        <v>161</v>
      </c>
      <c r="B117" s="55" t="s">
        <v>162</v>
      </c>
      <c r="C117" s="21"/>
      <c r="D117" s="27" t="str">
        <f t="shared" si="27"/>
        <v>Dr Bob Seith</v>
      </c>
      <c r="E117" s="22">
        <f>IFERROR(VLOOKUP(D117,'Employee Numbers'!$A$3:$B$84,2,FALSE),"NOT FOUND")</f>
        <v>610036</v>
      </c>
      <c r="F117" s="9" t="str">
        <f t="shared" si="28"/>
        <v/>
      </c>
      <c r="G117" s="9" t="str">
        <f t="shared" si="28"/>
        <v/>
      </c>
      <c r="H117" s="9" t="str">
        <f t="shared" si="28"/>
        <v/>
      </c>
      <c r="I117" s="9" t="str">
        <f t="shared" si="28"/>
        <v/>
      </c>
      <c r="J117" s="9" t="str">
        <f t="shared" si="28"/>
        <v/>
      </c>
      <c r="K117" s="9" t="str">
        <f t="shared" si="28"/>
        <v/>
      </c>
      <c r="L117" s="9" t="str">
        <f t="shared" si="28"/>
        <v/>
      </c>
    </row>
    <row r="118" spans="1:18" ht="15" customHeight="1" thickBot="1">
      <c r="A118" s="2" t="s">
        <v>161</v>
      </c>
      <c r="B118" s="55" t="s">
        <v>162</v>
      </c>
      <c r="C118" s="21"/>
      <c r="D118" s="27" t="str">
        <f t="shared" si="27"/>
        <v>Dr Simon Craig</v>
      </c>
      <c r="E118" s="22">
        <f>IFERROR(VLOOKUP(D118,'Employee Numbers'!$A$3:$B$84,2,FALSE),"NOT FOUND")</f>
        <v>533509</v>
      </c>
      <c r="F118" s="9" t="str">
        <f t="shared" si="28"/>
        <v/>
      </c>
      <c r="G118" s="9" t="str">
        <f t="shared" si="28"/>
        <v/>
      </c>
      <c r="H118" s="9" t="str">
        <f t="shared" si="28"/>
        <v/>
      </c>
      <c r="I118" s="9" t="str">
        <f t="shared" si="28"/>
        <v/>
      </c>
      <c r="J118" s="9" t="str">
        <f t="shared" si="28"/>
        <v/>
      </c>
      <c r="K118" s="9" t="str">
        <f t="shared" si="28"/>
        <v/>
      </c>
      <c r="L118" s="9" t="str">
        <f t="shared" si="28"/>
        <v/>
      </c>
    </row>
    <row r="119" spans="1:18" ht="15" customHeight="1" thickBot="1">
      <c r="A119" s="2" t="s">
        <v>161</v>
      </c>
      <c r="B119" s="55" t="s">
        <v>162</v>
      </c>
      <c r="C119" s="21"/>
      <c r="D119" s="27" t="str">
        <f t="shared" si="27"/>
        <v>Dr Celia Bagshaw</v>
      </c>
      <c r="E119" s="22">
        <f>IFERROR(VLOOKUP(D119,'Employee Numbers'!$A$3:$B$84,2,FALSE),"NOT FOUND")</f>
        <v>625985</v>
      </c>
      <c r="F119" s="9" t="str">
        <f t="shared" si="28"/>
        <v/>
      </c>
      <c r="G119" s="9" t="str">
        <f t="shared" si="28"/>
        <v/>
      </c>
      <c r="H119" s="9" t="str">
        <f t="shared" si="28"/>
        <v/>
      </c>
      <c r="I119" s="9" t="str">
        <f t="shared" si="28"/>
        <v/>
      </c>
      <c r="J119" s="9" t="str">
        <f t="shared" si="28"/>
        <v/>
      </c>
      <c r="K119" s="9" t="str">
        <f t="shared" si="28"/>
        <v/>
      </c>
      <c r="L119" s="9" t="str">
        <f t="shared" si="28"/>
        <v/>
      </c>
    </row>
    <row r="120" spans="1:18" ht="15" customHeight="1" thickBot="1">
      <c r="A120" s="2" t="s">
        <v>161</v>
      </c>
      <c r="B120" s="55" t="s">
        <v>162</v>
      </c>
      <c r="C120" s="21"/>
      <c r="D120" s="27" t="str">
        <f t="shared" si="27"/>
        <v>Dr Adnan Bilgrami</v>
      </c>
      <c r="E120" s="22">
        <f>IFERROR(VLOOKUP(D120,'Employee Numbers'!$A$3:$B$84,2,FALSE),"NOT FOUND")</f>
        <v>632301</v>
      </c>
      <c r="F120" s="9" t="str">
        <f t="shared" si="28"/>
        <v/>
      </c>
      <c r="G120" s="9" t="str">
        <f t="shared" si="28"/>
        <v/>
      </c>
      <c r="H120" s="9" t="str">
        <f t="shared" si="28"/>
        <v/>
      </c>
      <c r="I120" s="9" t="str">
        <f t="shared" si="28"/>
        <v/>
      </c>
      <c r="J120" s="9" t="str">
        <f t="shared" si="28"/>
        <v/>
      </c>
      <c r="K120" s="9" t="str">
        <f t="shared" si="28"/>
        <v/>
      </c>
      <c r="L120" s="9" t="str">
        <f t="shared" si="28"/>
        <v/>
      </c>
    </row>
    <row r="121" spans="1:18" ht="15" customHeight="1" thickBot="1">
      <c r="A121" s="2" t="s">
        <v>161</v>
      </c>
      <c r="B121" s="55" t="s">
        <v>162</v>
      </c>
      <c r="C121" s="21"/>
      <c r="D121" s="27" t="str">
        <f t="shared" si="27"/>
        <v>Dr Preeti Ramaswamy</v>
      </c>
      <c r="E121" s="22">
        <f>IFERROR(VLOOKUP(D121,'Employee Numbers'!$A$3:$B$84,2,FALSE),"NOT FOUND")</f>
        <v>613891</v>
      </c>
      <c r="F121" s="9" t="str">
        <f t="shared" si="28"/>
        <v/>
      </c>
      <c r="G121" s="9" t="str">
        <f t="shared" si="28"/>
        <v/>
      </c>
      <c r="H121" s="9" t="str">
        <f t="shared" si="28"/>
        <v/>
      </c>
      <c r="I121" s="9" t="str">
        <f t="shared" si="28"/>
        <v/>
      </c>
      <c r="J121" s="9" t="str">
        <f t="shared" si="28"/>
        <v/>
      </c>
      <c r="K121" s="9" t="str">
        <f t="shared" si="28"/>
        <v/>
      </c>
      <c r="L121" s="9" t="str">
        <f t="shared" si="28"/>
        <v/>
      </c>
      <c r="N121" s="2"/>
      <c r="O121" s="2"/>
      <c r="P121" s="2"/>
      <c r="Q121" s="2"/>
      <c r="R121" s="2"/>
    </row>
    <row r="122" spans="1:18" ht="15" customHeight="1" thickBot="1">
      <c r="A122" s="2" t="s">
        <v>161</v>
      </c>
      <c r="B122" s="55" t="s">
        <v>162</v>
      </c>
      <c r="C122" s="21"/>
      <c r="D122" s="27" t="str">
        <f t="shared" si="27"/>
        <v>Dr Erin Mills</v>
      </c>
      <c r="E122" s="22">
        <f>IFERROR(VLOOKUP(D122,'Employee Numbers'!$A$3:$B$84,2,FALSE),"NOT FOUND")</f>
        <v>623657</v>
      </c>
      <c r="F122" s="9" t="str">
        <f t="shared" si="28"/>
        <v/>
      </c>
      <c r="G122" s="9" t="str">
        <f t="shared" si="28"/>
        <v/>
      </c>
      <c r="H122" s="9" t="str">
        <f t="shared" si="28"/>
        <v/>
      </c>
      <c r="I122" s="9" t="str">
        <f t="shared" si="28"/>
        <v/>
      </c>
      <c r="J122" s="9" t="str">
        <f t="shared" si="28"/>
        <v/>
      </c>
      <c r="K122" s="9" t="str">
        <f t="shared" si="28"/>
        <v/>
      </c>
      <c r="L122" s="9" t="str">
        <f t="shared" si="28"/>
        <v/>
      </c>
    </row>
    <row r="123" spans="1:18" ht="15" customHeight="1" thickBot="1">
      <c r="A123" s="2" t="s">
        <v>161</v>
      </c>
      <c r="B123" s="55" t="s">
        <v>162</v>
      </c>
      <c r="C123" s="21"/>
      <c r="D123" s="27" t="str">
        <f t="shared" si="27"/>
        <v>Dr Stella Robinson</v>
      </c>
      <c r="E123" s="22">
        <f>IFERROR(VLOOKUP(D123,'Employee Numbers'!$A$3:$B$84,2,FALSE),"NOT FOUND")</f>
        <v>623708</v>
      </c>
      <c r="F123" s="9" t="str">
        <f t="shared" si="28"/>
        <v/>
      </c>
      <c r="G123" s="9" t="str">
        <f t="shared" si="28"/>
        <v/>
      </c>
      <c r="H123" s="9" t="str">
        <f t="shared" si="28"/>
        <v/>
      </c>
      <c r="I123" s="9" t="str">
        <f t="shared" si="28"/>
        <v/>
      </c>
      <c r="J123" s="9" t="str">
        <f t="shared" si="28"/>
        <v/>
      </c>
      <c r="K123" s="9" t="str">
        <f t="shared" si="28"/>
        <v/>
      </c>
      <c r="L123" s="9" t="str">
        <f t="shared" si="28"/>
        <v/>
      </c>
    </row>
    <row r="124" spans="1:18" ht="15" customHeight="1" thickBot="1">
      <c r="A124" s="2" t="s">
        <v>161</v>
      </c>
      <c r="B124" s="55" t="s">
        <v>162</v>
      </c>
      <c r="C124" s="21"/>
      <c r="D124" s="27" t="str">
        <f t="shared" si="27"/>
        <v>Dr Bev Thompson</v>
      </c>
      <c r="E124" s="22">
        <f>IFERROR(VLOOKUP(D124,'Employee Numbers'!$A$3:$B$84,2,FALSE),"NOT FOUND")</f>
        <v>627680</v>
      </c>
      <c r="F124" s="9" t="str">
        <f t="shared" si="28"/>
        <v/>
      </c>
      <c r="G124" s="9" t="str">
        <f t="shared" si="28"/>
        <v/>
      </c>
      <c r="H124" s="9" t="str">
        <f t="shared" si="28"/>
        <v/>
      </c>
      <c r="I124" s="9" t="str">
        <f t="shared" si="28"/>
        <v/>
      </c>
      <c r="J124" s="9" t="str">
        <f t="shared" si="28"/>
        <v/>
      </c>
      <c r="K124" s="9" t="str">
        <f t="shared" si="28"/>
        <v/>
      </c>
      <c r="L124" s="9" t="str">
        <f t="shared" si="28"/>
        <v>Con_8_0000</v>
      </c>
    </row>
    <row r="125" spans="1:18" ht="15" customHeight="1" thickBot="1">
      <c r="A125" s="2" t="s">
        <v>161</v>
      </c>
      <c r="B125" s="55" t="s">
        <v>162</v>
      </c>
      <c r="C125" s="21"/>
      <c r="D125" s="27" t="str">
        <f t="shared" si="27"/>
        <v>Dr John Unwin</v>
      </c>
      <c r="E125" s="22">
        <f>IFERROR(VLOOKUP(D125,'Employee Numbers'!$A$3:$B$84,2,FALSE),"NOT FOUND")</f>
        <v>633210</v>
      </c>
      <c r="F125" s="9" t="str">
        <f t="shared" si="28"/>
        <v/>
      </c>
      <c r="G125" s="9" t="str">
        <f t="shared" si="28"/>
        <v/>
      </c>
      <c r="H125" s="9" t="str">
        <f t="shared" si="28"/>
        <v/>
      </c>
      <c r="I125" s="9" t="str">
        <f t="shared" si="28"/>
        <v/>
      </c>
      <c r="J125" s="9" t="str">
        <f t="shared" si="28"/>
        <v/>
      </c>
      <c r="K125" s="9" t="str">
        <f t="shared" si="28"/>
        <v/>
      </c>
      <c r="L125" s="9" t="str">
        <f t="shared" si="28"/>
        <v/>
      </c>
    </row>
    <row r="126" spans="1:18" ht="15" customHeight="1" thickBot="1">
      <c r="A126" s="2" t="s">
        <v>161</v>
      </c>
      <c r="B126" s="55" t="s">
        <v>162</v>
      </c>
      <c r="C126" s="21"/>
      <c r="D126" s="27" t="str">
        <f t="shared" si="27"/>
        <v>Dr Siri Samudrala</v>
      </c>
      <c r="E126" s="22">
        <f>IFERROR(VLOOKUP(D126,'Employee Numbers'!$A$3:$B$84,2,FALSE),"NOT FOUND")</f>
        <v>618952</v>
      </c>
      <c r="F126" s="9" t="str">
        <f t="shared" si="28"/>
        <v/>
      </c>
      <c r="G126" s="9" t="str">
        <f t="shared" si="28"/>
        <v/>
      </c>
      <c r="H126" s="9" t="str">
        <f t="shared" si="28"/>
        <v/>
      </c>
      <c r="I126" s="9" t="str">
        <f t="shared" si="28"/>
        <v/>
      </c>
      <c r="J126" s="9" t="str">
        <f t="shared" si="28"/>
        <v/>
      </c>
      <c r="K126" s="9" t="str">
        <f t="shared" si="28"/>
        <v/>
      </c>
      <c r="L126" s="9" t="str">
        <f t="shared" si="28"/>
        <v/>
      </c>
    </row>
    <row r="127" spans="1:18" ht="15" customHeight="1" thickBot="1">
      <c r="A127" s="2" t="s">
        <v>161</v>
      </c>
      <c r="B127" s="55" t="s">
        <v>162</v>
      </c>
      <c r="C127" s="21"/>
      <c r="D127" s="27" t="str">
        <f t="shared" si="27"/>
        <v>Dr Tessa Smith</v>
      </c>
      <c r="E127" s="22">
        <f>IFERROR(VLOOKUP(D127,'Employee Numbers'!$A$3:$B$84,2,FALSE),"NOT FOUND")</f>
        <v>649039</v>
      </c>
      <c r="F127" s="9" t="str">
        <f t="shared" si="28"/>
        <v/>
      </c>
      <c r="G127" s="9" t="str">
        <f t="shared" si="28"/>
        <v/>
      </c>
      <c r="H127" s="9" t="str">
        <f t="shared" si="28"/>
        <v/>
      </c>
      <c r="I127" s="9" t="str">
        <f t="shared" si="28"/>
        <v/>
      </c>
      <c r="J127" s="9" t="str">
        <f t="shared" si="28"/>
        <v/>
      </c>
      <c r="K127" s="9" t="str">
        <f t="shared" si="28"/>
        <v/>
      </c>
      <c r="L127" s="9" t="str">
        <f t="shared" si="28"/>
        <v/>
      </c>
    </row>
    <row r="128" spans="1:18" ht="15" customHeight="1" thickBot="1">
      <c r="A128" s="2" t="s">
        <v>161</v>
      </c>
      <c r="B128" s="55" t="s">
        <v>162</v>
      </c>
      <c r="C128" s="21"/>
      <c r="D128" s="27" t="str">
        <f t="shared" si="27"/>
        <v>Dr Brad Dent</v>
      </c>
      <c r="E128" s="22">
        <f>IFERROR(VLOOKUP(D128,'Employee Numbers'!$A$3:$B$84,2,FALSE),"NOT FOUND")</f>
        <v>649671</v>
      </c>
      <c r="F128" s="9" t="str">
        <f t="shared" si="28"/>
        <v/>
      </c>
      <c r="G128" s="9" t="str">
        <f t="shared" si="28"/>
        <v>Con_8_0000</v>
      </c>
      <c r="H128" s="9" t="str">
        <f t="shared" si="28"/>
        <v/>
      </c>
      <c r="I128" s="9" t="str">
        <f t="shared" si="28"/>
        <v/>
      </c>
      <c r="J128" s="9" t="str">
        <f t="shared" si="28"/>
        <v/>
      </c>
      <c r="K128" s="9" t="str">
        <f t="shared" si="28"/>
        <v/>
      </c>
      <c r="L128" s="9" t="str">
        <f t="shared" si="28"/>
        <v/>
      </c>
    </row>
    <row r="129" spans="1:18" ht="15" customHeight="1" thickBot="1">
      <c r="A129" s="2" t="s">
        <v>161</v>
      </c>
      <c r="B129" s="55" t="s">
        <v>162</v>
      </c>
      <c r="C129" s="21"/>
      <c r="D129" s="27" t="str">
        <f t="shared" si="27"/>
        <v>Dr Marjolein Slaa</v>
      </c>
      <c r="E129" s="22">
        <f>IFERROR(VLOOKUP(D129,'Employee Numbers'!$A$3:$B$84,2,FALSE),"NOT FOUND")</f>
        <v>646047</v>
      </c>
      <c r="F129" s="9" t="str">
        <f t="shared" si="28"/>
        <v/>
      </c>
      <c r="G129" s="9" t="str">
        <f t="shared" si="28"/>
        <v/>
      </c>
      <c r="H129" s="9" t="str">
        <f t="shared" si="28"/>
        <v/>
      </c>
      <c r="I129" s="9" t="str">
        <f t="shared" si="28"/>
        <v/>
      </c>
      <c r="J129" s="9" t="str">
        <f t="shared" si="28"/>
        <v/>
      </c>
      <c r="K129" s="9" t="str">
        <f t="shared" si="28"/>
        <v/>
      </c>
      <c r="L129" s="9" t="str">
        <f t="shared" si="28"/>
        <v/>
      </c>
    </row>
    <row r="130" spans="1:18" ht="15" customHeight="1" thickBot="1">
      <c r="A130" s="2" t="s">
        <v>161</v>
      </c>
      <c r="B130" s="55" t="s">
        <v>162</v>
      </c>
      <c r="C130" s="21"/>
      <c r="D130" s="27" t="str">
        <f t="shared" si="27"/>
        <v>Dr Natalie Hood</v>
      </c>
      <c r="E130" s="22">
        <f>IFERROR(VLOOKUP(D130,'Employee Numbers'!$A$3:$B$84,2,FALSE),"NOT FOUND")</f>
        <v>164003</v>
      </c>
      <c r="F130" s="9" t="str">
        <f t="shared" si="28"/>
        <v/>
      </c>
      <c r="G130" s="9" t="str">
        <f t="shared" si="28"/>
        <v/>
      </c>
      <c r="H130" s="9" t="str">
        <f t="shared" si="28"/>
        <v/>
      </c>
      <c r="I130" s="9" t="str">
        <f t="shared" si="28"/>
        <v/>
      </c>
      <c r="J130" s="9" t="str">
        <f t="shared" si="28"/>
        <v/>
      </c>
      <c r="K130" s="9" t="str">
        <f t="shared" si="28"/>
        <v>Con_8_0000</v>
      </c>
      <c r="L130" s="9" t="str">
        <f t="shared" si="28"/>
        <v/>
      </c>
    </row>
    <row r="131" spans="1:18" ht="15" customHeight="1" thickBot="1">
      <c r="A131" s="2" t="s">
        <v>161</v>
      </c>
      <c r="B131" s="55" t="s">
        <v>162</v>
      </c>
      <c r="C131" s="21"/>
      <c r="D131" s="27" t="str">
        <f t="shared" si="27"/>
        <v>Dr Michael Coman</v>
      </c>
      <c r="E131" s="22">
        <f>IFERROR(VLOOKUP(D131,'Employee Numbers'!$A$3:$B$84,2,FALSE),"NOT FOUND")</f>
        <v>609408</v>
      </c>
      <c r="F131" s="9" t="str">
        <f t="shared" ref="F131:L143" si="29">IF(F$50=$D131,"Con_8_0000","")</f>
        <v/>
      </c>
      <c r="G131" s="9" t="str">
        <f t="shared" si="29"/>
        <v/>
      </c>
      <c r="H131" s="9" t="str">
        <f t="shared" si="29"/>
        <v/>
      </c>
      <c r="I131" s="9" t="str">
        <f t="shared" si="29"/>
        <v>Con_8_0000</v>
      </c>
      <c r="J131" s="9" t="str">
        <f t="shared" si="29"/>
        <v/>
      </c>
      <c r="K131" s="9" t="str">
        <f t="shared" si="29"/>
        <v/>
      </c>
      <c r="L131" s="9" t="str">
        <f t="shared" si="29"/>
        <v/>
      </c>
    </row>
    <row r="132" spans="1:18" ht="15" customHeight="1" thickBot="1">
      <c r="A132" s="2" t="s">
        <v>161</v>
      </c>
      <c r="B132" s="55" t="s">
        <v>162</v>
      </c>
      <c r="C132" s="21"/>
      <c r="D132" s="27" t="str">
        <f t="shared" si="27"/>
        <v>Dr Andrew Hardy</v>
      </c>
      <c r="E132" s="22">
        <f>IFERROR(VLOOKUP(D132,'Employee Numbers'!$A$3:$B$84,2,FALSE),"NOT FOUND")</f>
        <v>627619</v>
      </c>
      <c r="F132" s="9" t="str">
        <f t="shared" si="29"/>
        <v>Con_8_0000</v>
      </c>
      <c r="G132" s="9" t="str">
        <f t="shared" si="29"/>
        <v/>
      </c>
      <c r="H132" s="9" t="str">
        <f t="shared" si="29"/>
        <v/>
      </c>
      <c r="I132" s="9" t="str">
        <f t="shared" si="29"/>
        <v/>
      </c>
      <c r="J132" s="9" t="str">
        <f t="shared" si="29"/>
        <v/>
      </c>
      <c r="K132" s="9" t="str">
        <f t="shared" si="29"/>
        <v/>
      </c>
      <c r="L132" s="9" t="str">
        <f t="shared" si="29"/>
        <v/>
      </c>
    </row>
    <row r="133" spans="1:18" ht="15" customHeight="1" thickBot="1">
      <c r="A133" s="2" t="s">
        <v>161</v>
      </c>
      <c r="B133" s="55" t="s">
        <v>162</v>
      </c>
      <c r="C133" s="21"/>
      <c r="D133" s="27" t="str">
        <f t="shared" si="27"/>
        <v>Dr Gargi Kanabar</v>
      </c>
      <c r="E133" s="22">
        <f>IFERROR(VLOOKUP(D133,'Employee Numbers'!$A$3:$B$84,2,FALSE),"NOT FOUND")</f>
        <v>632646</v>
      </c>
      <c r="F133" s="9" t="str">
        <f t="shared" si="29"/>
        <v/>
      </c>
      <c r="G133" s="9" t="str">
        <f t="shared" si="29"/>
        <v/>
      </c>
      <c r="H133" s="9" t="str">
        <f t="shared" si="29"/>
        <v/>
      </c>
      <c r="I133" s="9" t="str">
        <f t="shared" si="29"/>
        <v/>
      </c>
      <c r="J133" s="9" t="str">
        <f t="shared" si="29"/>
        <v>Con_8_0000</v>
      </c>
      <c r="K133" s="9" t="str">
        <f t="shared" si="29"/>
        <v/>
      </c>
      <c r="L133" s="9" t="str">
        <f t="shared" si="29"/>
        <v/>
      </c>
    </row>
    <row r="134" spans="1:18" ht="15" customHeight="1" thickBot="1">
      <c r="A134" s="2" t="s">
        <v>161</v>
      </c>
      <c r="B134" s="55" t="s">
        <v>162</v>
      </c>
      <c r="C134" s="21"/>
      <c r="D134" s="27" t="str">
        <f t="shared" si="27"/>
        <v>Dr Mandy Parr</v>
      </c>
      <c r="E134" s="22">
        <f>IFERROR(VLOOKUP(D134,'Employee Numbers'!$A$3:$B$84,2,FALSE),"NOT FOUND")</f>
        <v>652844</v>
      </c>
      <c r="F134" s="9" t="str">
        <f t="shared" si="29"/>
        <v/>
      </c>
      <c r="G134" s="9" t="str">
        <f t="shared" si="29"/>
        <v/>
      </c>
      <c r="H134" s="9" t="str">
        <f t="shared" si="29"/>
        <v/>
      </c>
      <c r="I134" s="9" t="str">
        <f t="shared" si="29"/>
        <v/>
      </c>
      <c r="J134" s="9" t="str">
        <f t="shared" si="29"/>
        <v/>
      </c>
      <c r="K134" s="9" t="str">
        <f t="shared" si="29"/>
        <v/>
      </c>
      <c r="L134" s="9" t="str">
        <f t="shared" si="29"/>
        <v/>
      </c>
    </row>
    <row r="135" spans="1:18" ht="15" customHeight="1" thickBot="1">
      <c r="A135" s="2" t="s">
        <v>161</v>
      </c>
      <c r="B135" s="55" t="s">
        <v>162</v>
      </c>
      <c r="C135" s="21"/>
      <c r="D135" s="27" t="str">
        <f t="shared" si="27"/>
        <v>Dr Tecwyn Davies</v>
      </c>
      <c r="E135" s="22">
        <f>IFERROR(VLOOKUP(D135,'Employee Numbers'!$A$3:$B$84,2,FALSE),"NOT FOUND")</f>
        <v>634491</v>
      </c>
      <c r="F135" s="9" t="str">
        <f t="shared" si="29"/>
        <v/>
      </c>
      <c r="G135" s="9" t="str">
        <f t="shared" si="29"/>
        <v/>
      </c>
      <c r="H135" s="9" t="str">
        <f t="shared" si="29"/>
        <v/>
      </c>
      <c r="I135" s="9" t="str">
        <f t="shared" si="29"/>
        <v/>
      </c>
      <c r="J135" s="9" t="str">
        <f t="shared" si="29"/>
        <v/>
      </c>
      <c r="K135" s="9" t="str">
        <f t="shared" si="29"/>
        <v/>
      </c>
      <c r="L135" s="9" t="str">
        <f t="shared" si="29"/>
        <v/>
      </c>
    </row>
    <row r="136" spans="1:18" ht="15" customHeight="1" thickBot="1">
      <c r="A136" s="2" t="s">
        <v>161</v>
      </c>
      <c r="B136" s="55" t="s">
        <v>162</v>
      </c>
      <c r="C136" s="21"/>
      <c r="D136" s="27" t="str">
        <f t="shared" si="27"/>
        <v>Dr Patrick Finn</v>
      </c>
      <c r="E136" s="22">
        <f>IFERROR(VLOOKUP(D136,'Employee Numbers'!$A$3:$B$84,2,FALSE),"NOT FOUND")</f>
        <v>621988</v>
      </c>
      <c r="F136" s="9" t="str">
        <f t="shared" si="29"/>
        <v/>
      </c>
      <c r="G136" s="9" t="str">
        <f t="shared" si="29"/>
        <v/>
      </c>
      <c r="H136" s="9" t="str">
        <f t="shared" si="29"/>
        <v/>
      </c>
      <c r="I136" s="9" t="str">
        <f t="shared" si="29"/>
        <v/>
      </c>
      <c r="J136" s="9" t="str">
        <f t="shared" si="29"/>
        <v/>
      </c>
      <c r="K136" s="9" t="str">
        <f t="shared" si="29"/>
        <v/>
      </c>
      <c r="L136" s="9" t="str">
        <f t="shared" si="29"/>
        <v/>
      </c>
    </row>
    <row r="137" spans="1:18" ht="15" customHeight="1" thickBot="1">
      <c r="A137" s="2" t="s">
        <v>161</v>
      </c>
      <c r="B137" s="55" t="s">
        <v>162</v>
      </c>
      <c r="C137" s="21"/>
      <c r="D137" s="27" t="str">
        <f t="shared" si="27"/>
        <v>Dr Chris Fong</v>
      </c>
      <c r="E137" s="22">
        <f>IFERROR(VLOOKUP(D137,'Employee Numbers'!$A$3:$B$84,2,FALSE),"NOT FOUND")</f>
        <v>409677</v>
      </c>
      <c r="F137" s="9" t="str">
        <f t="shared" si="29"/>
        <v/>
      </c>
      <c r="G137" s="9" t="str">
        <f t="shared" si="29"/>
        <v/>
      </c>
      <c r="H137" s="9" t="str">
        <f t="shared" si="29"/>
        <v/>
      </c>
      <c r="I137" s="9" t="str">
        <f t="shared" si="29"/>
        <v/>
      </c>
      <c r="J137" s="9" t="str">
        <f t="shared" si="29"/>
        <v/>
      </c>
      <c r="K137" s="9" t="str">
        <f t="shared" si="29"/>
        <v/>
      </c>
      <c r="L137" s="9" t="str">
        <f t="shared" si="29"/>
        <v/>
      </c>
    </row>
    <row r="138" spans="1:18" s="13" customFormat="1" ht="15" customHeight="1" thickBot="1">
      <c r="A138" s="2" t="s">
        <v>161</v>
      </c>
      <c r="B138" s="55" t="s">
        <v>162</v>
      </c>
      <c r="C138" s="21"/>
      <c r="D138" s="27" t="str">
        <f t="shared" si="27"/>
        <v>Dr Matthew Tang</v>
      </c>
      <c r="E138" s="22">
        <f>IFERROR(VLOOKUP(D138,'Employee Numbers'!$A$3:$B$84,2,FALSE),"NOT FOUND")</f>
        <v>632590</v>
      </c>
      <c r="F138" s="9" t="str">
        <f t="shared" si="29"/>
        <v/>
      </c>
      <c r="G138" s="9" t="str">
        <f t="shared" si="29"/>
        <v/>
      </c>
      <c r="H138" s="9" t="str">
        <f t="shared" si="29"/>
        <v/>
      </c>
      <c r="I138" s="9" t="str">
        <f t="shared" si="29"/>
        <v/>
      </c>
      <c r="J138" s="9" t="str">
        <f t="shared" si="29"/>
        <v/>
      </c>
      <c r="K138" s="9" t="str">
        <f t="shared" si="29"/>
        <v/>
      </c>
      <c r="L138" s="9" t="str">
        <f t="shared" si="29"/>
        <v/>
      </c>
      <c r="M138" s="5"/>
      <c r="N138" s="5"/>
      <c r="O138" s="5"/>
      <c r="P138" s="5"/>
      <c r="Q138" s="5"/>
      <c r="R138" s="5"/>
    </row>
    <row r="139" spans="1:18" s="13" customFormat="1" ht="15" customHeight="1" thickBot="1">
      <c r="A139" s="2" t="s">
        <v>161</v>
      </c>
      <c r="B139" s="55" t="s">
        <v>162</v>
      </c>
      <c r="C139" s="21"/>
      <c r="D139" s="27" t="str">
        <f t="shared" si="27"/>
        <v>Dr Niki Talic</v>
      </c>
      <c r="E139" s="22">
        <f>IFERROR(VLOOKUP(D139,'Employee Numbers'!$A$3:$B$84,2,FALSE),"NOT FOUND")</f>
        <v>619537</v>
      </c>
      <c r="F139" s="9" t="str">
        <f t="shared" si="29"/>
        <v/>
      </c>
      <c r="G139" s="9" t="str">
        <f t="shared" si="29"/>
        <v/>
      </c>
      <c r="H139" s="9" t="str">
        <f t="shared" si="29"/>
        <v/>
      </c>
      <c r="I139" s="9" t="str">
        <f t="shared" si="29"/>
        <v/>
      </c>
      <c r="J139" s="9" t="str">
        <f t="shared" si="29"/>
        <v/>
      </c>
      <c r="K139" s="9" t="str">
        <f t="shared" si="29"/>
        <v/>
      </c>
      <c r="L139" s="9" t="str">
        <f t="shared" si="29"/>
        <v/>
      </c>
      <c r="M139" s="5"/>
      <c r="N139" s="5"/>
      <c r="O139" s="5"/>
      <c r="P139" s="5"/>
      <c r="Q139" s="5"/>
      <c r="R139" s="5"/>
    </row>
    <row r="140" spans="1:18" s="13" customFormat="1" ht="15" customHeight="1" thickBot="1">
      <c r="A140" s="2" t="s">
        <v>161</v>
      </c>
      <c r="B140" s="55" t="s">
        <v>162</v>
      </c>
      <c r="C140" s="21"/>
      <c r="D140" s="27" t="str">
        <f t="shared" si="27"/>
        <v>Dr Deb Morawetz</v>
      </c>
      <c r="E140" s="22">
        <f>IFERROR(VLOOKUP(D140,'Employee Numbers'!$A$3:$B$84,2,FALSE),"NOT FOUND")</f>
        <v>621953</v>
      </c>
      <c r="F140" s="9" t="str">
        <f t="shared" si="29"/>
        <v/>
      </c>
      <c r="G140" s="9" t="str">
        <f t="shared" si="29"/>
        <v/>
      </c>
      <c r="H140" s="9" t="str">
        <f t="shared" si="29"/>
        <v/>
      </c>
      <c r="I140" s="9" t="str">
        <f t="shared" si="29"/>
        <v/>
      </c>
      <c r="J140" s="9" t="str">
        <f t="shared" si="29"/>
        <v/>
      </c>
      <c r="K140" s="9" t="str">
        <f t="shared" si="29"/>
        <v/>
      </c>
      <c r="L140" s="9" t="str">
        <f t="shared" si="29"/>
        <v/>
      </c>
      <c r="M140" s="5"/>
      <c r="N140" s="5"/>
      <c r="O140" s="5"/>
      <c r="P140" s="5"/>
      <c r="Q140" s="5"/>
      <c r="R140" s="5"/>
    </row>
    <row r="141" spans="1:18" s="13" customFormat="1" ht="15" customHeight="1" thickBot="1">
      <c r="A141" s="2" t="s">
        <v>161</v>
      </c>
      <c r="B141" s="55" t="s">
        <v>162</v>
      </c>
      <c r="C141" s="21"/>
      <c r="D141" s="27" t="str">
        <f t="shared" si="27"/>
        <v>Dr Priya Jeyaveerasingam</v>
      </c>
      <c r="E141" s="22">
        <f>IFERROR(VLOOKUP(D141,'Employee Numbers'!$A$3:$B$84,2,FALSE),"NOT FOUND")</f>
        <v>614504</v>
      </c>
      <c r="F141" s="9" t="str">
        <f t="shared" si="29"/>
        <v/>
      </c>
      <c r="G141" s="9" t="str">
        <f t="shared" si="29"/>
        <v/>
      </c>
      <c r="H141" s="9" t="str">
        <f t="shared" si="29"/>
        <v/>
      </c>
      <c r="I141" s="9" t="str">
        <f t="shared" si="29"/>
        <v/>
      </c>
      <c r="J141" s="9" t="str">
        <f t="shared" si="29"/>
        <v/>
      </c>
      <c r="K141" s="9" t="str">
        <f t="shared" si="29"/>
        <v/>
      </c>
      <c r="L141" s="9" t="str">
        <f t="shared" si="29"/>
        <v/>
      </c>
      <c r="M141" s="5"/>
      <c r="N141" s="5"/>
      <c r="O141" s="5"/>
      <c r="P141" s="5"/>
      <c r="Q141" s="5"/>
      <c r="R141" s="5"/>
    </row>
    <row r="142" spans="1:18" s="13" customFormat="1" ht="15" customHeight="1" thickBot="1">
      <c r="A142" s="2" t="s">
        <v>161</v>
      </c>
      <c r="B142" s="55" t="s">
        <v>162</v>
      </c>
      <c r="C142" s="21"/>
      <c r="D142" s="27" t="str">
        <f t="shared" si="27"/>
        <v>Locum</v>
      </c>
      <c r="E142" s="22" t="str">
        <f>IFERROR(VLOOKUP(D142,'Employee Numbers'!$A$3:$B$84,2,FALSE),"NOT FOUND")</f>
        <v>N/A</v>
      </c>
      <c r="F142" s="9" t="str">
        <f t="shared" si="29"/>
        <v/>
      </c>
      <c r="G142" s="9" t="str">
        <f t="shared" si="29"/>
        <v/>
      </c>
      <c r="H142" s="9" t="str">
        <f t="shared" si="29"/>
        <v/>
      </c>
      <c r="I142" s="9" t="str">
        <f t="shared" si="29"/>
        <v/>
      </c>
      <c r="J142" s="9" t="str">
        <f t="shared" si="29"/>
        <v/>
      </c>
      <c r="K142" s="9" t="str">
        <f t="shared" si="29"/>
        <v/>
      </c>
      <c r="L142" s="9" t="str">
        <f t="shared" si="29"/>
        <v/>
      </c>
      <c r="M142" s="5"/>
      <c r="N142" s="5"/>
      <c r="O142" s="5"/>
      <c r="P142" s="5"/>
      <c r="Q142" s="5"/>
      <c r="R142" s="5"/>
    </row>
    <row r="143" spans="1:18" s="13" customFormat="1" ht="15" customHeight="1">
      <c r="A143" s="2" t="s">
        <v>161</v>
      </c>
      <c r="B143" s="55" t="s">
        <v>162</v>
      </c>
      <c r="C143" s="21"/>
      <c r="D143" s="27" t="str">
        <f t="shared" si="27"/>
        <v>Locum</v>
      </c>
      <c r="E143" s="22" t="str">
        <f>IFERROR(VLOOKUP(D143,'Employee Numbers'!$A$3:$B$84,2,FALSE),"NOT FOUND")</f>
        <v>N/A</v>
      </c>
      <c r="F143" s="9" t="str">
        <f t="shared" si="29"/>
        <v/>
      </c>
      <c r="G143" s="9" t="str">
        <f t="shared" si="29"/>
        <v/>
      </c>
      <c r="H143" s="9" t="str">
        <f t="shared" si="29"/>
        <v/>
      </c>
      <c r="I143" s="9" t="str">
        <f t="shared" si="29"/>
        <v/>
      </c>
      <c r="J143" s="9" t="str">
        <f t="shared" si="29"/>
        <v/>
      </c>
      <c r="K143" s="9" t="str">
        <f t="shared" si="29"/>
        <v/>
      </c>
      <c r="L143" s="9" t="str">
        <f t="shared" si="29"/>
        <v/>
      </c>
      <c r="M143" s="5"/>
      <c r="N143" s="5"/>
      <c r="O143" s="5"/>
      <c r="P143" s="5"/>
      <c r="Q143" s="5"/>
      <c r="R143" s="5"/>
    </row>
    <row r="144" spans="1:18" ht="15" customHeight="1" thickBot="1"/>
    <row r="145" spans="1:18" s="2" customFormat="1" ht="15" customHeight="1" thickBot="1">
      <c r="A145" s="172" t="s">
        <v>86</v>
      </c>
      <c r="B145" s="48" t="s">
        <v>163</v>
      </c>
      <c r="C145" s="49" t="s">
        <v>164</v>
      </c>
      <c r="D145" s="173" t="str">
        <f>D53</f>
        <v xml:space="preserve">Fellow </v>
      </c>
      <c r="E145" s="20" t="s">
        <v>4</v>
      </c>
      <c r="F145" s="12" t="s">
        <v>5</v>
      </c>
      <c r="G145" s="83" t="s">
        <v>6</v>
      </c>
      <c r="H145" s="83" t="s">
        <v>7</v>
      </c>
      <c r="I145" s="83" t="s">
        <v>8</v>
      </c>
      <c r="J145" s="83" t="s">
        <v>9</v>
      </c>
      <c r="K145" s="83" t="s">
        <v>10</v>
      </c>
      <c r="L145" s="23" t="s">
        <v>11</v>
      </c>
      <c r="M145" s="23" t="s">
        <v>165</v>
      </c>
      <c r="N145" s="5"/>
      <c r="O145" s="5"/>
      <c r="P145" s="5"/>
      <c r="Q145" s="5"/>
      <c r="R145" s="5"/>
    </row>
    <row r="146" spans="1:18" ht="15" customHeight="1" thickBot="1">
      <c r="A146" s="2" t="s">
        <v>166</v>
      </c>
      <c r="B146" s="2"/>
      <c r="C146" s="21"/>
      <c r="D146" s="84" t="str">
        <f>D54</f>
        <v>Ellen Scott (0.75)</v>
      </c>
      <c r="E146" s="22">
        <f>IFERROR(VLOOKUP(D146,'Employee Numbers'!$A$3:$B$84,2,FALSE),"NOT FOUND")</f>
        <v>634905</v>
      </c>
      <c r="F146" s="38"/>
      <c r="G146" s="31"/>
      <c r="H146" s="31" t="s">
        <v>167</v>
      </c>
      <c r="I146" s="38"/>
      <c r="J146" s="38"/>
      <c r="K146" s="38"/>
      <c r="L146" s="38"/>
      <c r="M146" s="35" t="s">
        <v>168</v>
      </c>
    </row>
    <row r="147" spans="1:18" ht="15" customHeight="1" thickBot="1">
      <c r="A147" s="2" t="s">
        <v>166</v>
      </c>
      <c r="B147" s="2"/>
      <c r="C147" s="21"/>
      <c r="D147" s="84" t="str">
        <f t="shared" ref="D147:D151" si="30">D55</f>
        <v>Seamus Harrington</v>
      </c>
      <c r="E147" s="22">
        <f>IFERROR(VLOOKUP(D147,'Employee Numbers'!$A$3:$B$84,2,FALSE),"NOT FOUND")</f>
        <v>704751</v>
      </c>
      <c r="F147" s="38"/>
      <c r="G147" s="31"/>
      <c r="H147" s="31"/>
      <c r="I147" s="38"/>
      <c r="J147" s="38"/>
      <c r="K147" s="38"/>
      <c r="L147" s="38"/>
      <c r="M147" s="35" t="s">
        <v>168</v>
      </c>
    </row>
    <row r="148" spans="1:18" ht="15" customHeight="1" thickBot="1">
      <c r="A148" s="2" t="s">
        <v>166</v>
      </c>
      <c r="B148" s="2"/>
      <c r="C148" s="21"/>
      <c r="D148" s="84" t="str">
        <f t="shared" si="30"/>
        <v>Antra Ansons</v>
      </c>
      <c r="E148" s="22">
        <f>IFERROR(VLOOKUP(D148,'Employee Numbers'!$A$3:$B$84,2,FALSE),"NOT FOUND")</f>
        <v>637219</v>
      </c>
      <c r="F148" s="38"/>
      <c r="G148" s="31"/>
      <c r="H148" s="31"/>
      <c r="I148" s="38"/>
      <c r="J148" s="38"/>
      <c r="K148" s="38"/>
      <c r="L148" s="38"/>
      <c r="M148" s="35" t="s">
        <v>168</v>
      </c>
    </row>
    <row r="149" spans="1:18" ht="15" customHeight="1" thickBot="1">
      <c r="A149" s="2" t="s">
        <v>166</v>
      </c>
      <c r="B149" s="2"/>
      <c r="C149" s="21"/>
      <c r="D149" s="84">
        <f t="shared" si="30"/>
        <v>0</v>
      </c>
      <c r="E149" s="22" t="str">
        <f>IFERROR(VLOOKUP(D149,'Employee Numbers'!$A$3:$B$84,2,FALSE),"NOT FOUND")</f>
        <v>NOT FOUND</v>
      </c>
      <c r="F149" s="38"/>
      <c r="G149" s="31"/>
      <c r="H149" s="31" t="str">
        <f t="shared" ref="H149:H151" si="31">IF(COUNTIF(H57,"0800-1730*"),"trg_2.5_1730","trg_2.5_0900")</f>
        <v>trg_2.5_0900</v>
      </c>
      <c r="I149" s="38"/>
      <c r="J149" s="38"/>
      <c r="K149" s="38"/>
      <c r="L149" s="38"/>
      <c r="M149" s="35" t="s">
        <v>168</v>
      </c>
    </row>
    <row r="150" spans="1:18" ht="15" customHeight="1" thickBot="1">
      <c r="A150" s="2" t="s">
        <v>166</v>
      </c>
      <c r="B150" s="2"/>
      <c r="C150" s="21"/>
      <c r="D150" s="84">
        <f t="shared" si="30"/>
        <v>0</v>
      </c>
      <c r="E150" s="22" t="str">
        <f>IFERROR(VLOOKUP(D150,'Employee Numbers'!$A$3:$B$84,2,FALSE),"NOT FOUND")</f>
        <v>NOT FOUND</v>
      </c>
      <c r="F150" s="38"/>
      <c r="G150" s="31"/>
      <c r="H150" s="31" t="str">
        <f t="shared" si="31"/>
        <v>trg_2.5_0900</v>
      </c>
      <c r="I150" s="38"/>
      <c r="J150" s="38"/>
      <c r="K150" s="38"/>
      <c r="L150" s="38"/>
      <c r="M150" s="35" t="s">
        <v>168</v>
      </c>
    </row>
    <row r="151" spans="1:18" ht="15" customHeight="1">
      <c r="A151" s="2" t="s">
        <v>166</v>
      </c>
      <c r="B151" s="2"/>
      <c r="C151" s="21"/>
      <c r="D151" s="84">
        <f t="shared" si="30"/>
        <v>0</v>
      </c>
      <c r="E151" s="22" t="str">
        <f>IFERROR(VLOOKUP(D151,'Employee Numbers'!$A$3:$B$84,2,FALSE),"NOT FOUND")</f>
        <v>NOT FOUND</v>
      </c>
      <c r="F151" s="38"/>
      <c r="G151" s="31"/>
      <c r="H151" s="31" t="str">
        <f t="shared" si="31"/>
        <v>trg_2.5_0900</v>
      </c>
      <c r="I151" s="38"/>
      <c r="J151" s="38"/>
      <c r="K151" s="38"/>
      <c r="L151" s="38"/>
      <c r="M151" s="35" t="s">
        <v>168</v>
      </c>
    </row>
    <row r="152" spans="1:18" s="2" customFormat="1" ht="13.5" customHeight="1" thickBot="1">
      <c r="A152" s="174" t="s">
        <v>96</v>
      </c>
      <c r="B152" s="50"/>
      <c r="C152" s="51"/>
      <c r="D152" s="175" t="s">
        <v>97</v>
      </c>
      <c r="E152" s="105" t="s">
        <v>4</v>
      </c>
      <c r="F152" s="105" t="s">
        <v>5</v>
      </c>
      <c r="G152" s="105" t="s">
        <v>6</v>
      </c>
      <c r="H152" s="106" t="s">
        <v>7</v>
      </c>
      <c r="I152" s="105" t="s">
        <v>8</v>
      </c>
      <c r="J152" s="105" t="s">
        <v>9</v>
      </c>
      <c r="K152" s="105" t="s">
        <v>10</v>
      </c>
      <c r="L152" s="105" t="s">
        <v>11</v>
      </c>
      <c r="N152"/>
      <c r="O152"/>
      <c r="Q152"/>
    </row>
    <row r="153" spans="1:18" s="2" customFormat="1" ht="15" customHeight="1" thickBot="1">
      <c r="A153" s="2" t="s">
        <v>169</v>
      </c>
      <c r="B153" s="5"/>
      <c r="C153" s="8"/>
      <c r="D153" s="84" t="str">
        <f>D61</f>
        <v>Mark Lim</v>
      </c>
      <c r="E153" s="22">
        <f>IFERROR(VLOOKUP(D153,'Employee Numbers'!$A$3:$B$84,2,FALSE),"NOT FOUND")</f>
        <v>638531</v>
      </c>
      <c r="F153" s="31" t="str">
        <f t="shared" ref="F153:G168" si="32">IF(COUNTIF(F61,"*on*call*"),"oncall 2300-0830","")</f>
        <v/>
      </c>
      <c r="G153" s="31" t="str">
        <f t="shared" si="32"/>
        <v/>
      </c>
      <c r="H153" s="37" t="s">
        <v>170</v>
      </c>
      <c r="I153" s="31" t="str">
        <f t="shared" ref="I153:L168" si="33">IF(COUNTIF(I61,"*on*call*"),"oncall 2300-0830","")</f>
        <v/>
      </c>
      <c r="J153" s="31" t="str">
        <f t="shared" si="33"/>
        <v/>
      </c>
      <c r="K153" s="31" t="str">
        <f t="shared" si="33"/>
        <v/>
      </c>
      <c r="L153" s="31" t="str">
        <f t="shared" si="33"/>
        <v/>
      </c>
      <c r="M153" s="35" t="s">
        <v>168</v>
      </c>
      <c r="N153" s="5"/>
      <c r="O153" s="5"/>
      <c r="P153" s="5"/>
      <c r="Q153" s="5"/>
      <c r="R153" s="5"/>
    </row>
    <row r="154" spans="1:18" ht="15" customHeight="1" thickBot="1">
      <c r="A154" s="2" t="s">
        <v>169</v>
      </c>
      <c r="B154" s="2"/>
      <c r="C154" s="47"/>
      <c r="D154" s="84" t="str">
        <f t="shared" ref="D154:D176" si="34">D62</f>
        <v xml:space="preserve">Melanie Engel </v>
      </c>
      <c r="E154" s="22">
        <f>IFERROR(VLOOKUP(D154,'Employee Numbers'!$A$3:$B$84,2,FALSE),"NOT FOUND")</f>
        <v>631715</v>
      </c>
      <c r="F154" s="31" t="str">
        <f t="shared" si="32"/>
        <v/>
      </c>
      <c r="G154" s="31" t="str">
        <f t="shared" si="32"/>
        <v/>
      </c>
      <c r="H154" s="37"/>
      <c r="I154" s="31" t="str">
        <f t="shared" si="33"/>
        <v/>
      </c>
      <c r="J154" s="31" t="str">
        <f t="shared" si="33"/>
        <v/>
      </c>
      <c r="K154" s="31" t="str">
        <f t="shared" si="33"/>
        <v/>
      </c>
      <c r="L154" s="31" t="str">
        <f t="shared" si="33"/>
        <v/>
      </c>
      <c r="M154" s="35" t="s">
        <v>168</v>
      </c>
      <c r="N154" s="2"/>
      <c r="O154" s="2"/>
      <c r="P154" s="2"/>
      <c r="Q154" s="2"/>
      <c r="R154" s="2"/>
    </row>
    <row r="155" spans="1:18" ht="15" customHeight="1" thickBot="1">
      <c r="A155" s="2" t="s">
        <v>169</v>
      </c>
      <c r="B155" s="2"/>
      <c r="C155" s="47"/>
      <c r="D155" s="84" t="str">
        <f t="shared" si="34"/>
        <v>Marian Isaac  (0.75)</v>
      </c>
      <c r="E155" s="22">
        <f>IFERROR(VLOOKUP(D155,'Employee Numbers'!$A$3:$B$84,2,FALSE),"NOT FOUND")</f>
        <v>703719</v>
      </c>
      <c r="F155" s="31" t="str">
        <f t="shared" si="32"/>
        <v/>
      </c>
      <c r="G155" s="31" t="str">
        <f t="shared" si="32"/>
        <v/>
      </c>
      <c r="H155" s="31" t="s">
        <v>167</v>
      </c>
      <c r="I155" s="31" t="str">
        <f t="shared" si="33"/>
        <v/>
      </c>
      <c r="J155" s="31" t="str">
        <f t="shared" si="33"/>
        <v/>
      </c>
      <c r="K155" s="31" t="str">
        <f t="shared" si="33"/>
        <v/>
      </c>
      <c r="L155" s="31" t="str">
        <f t="shared" si="33"/>
        <v/>
      </c>
      <c r="M155" s="35" t="s">
        <v>168</v>
      </c>
    </row>
    <row r="156" spans="1:18" ht="15" customHeight="1" thickBot="1">
      <c r="A156" s="2" t="s">
        <v>169</v>
      </c>
      <c r="B156" s="2"/>
      <c r="C156" s="47"/>
      <c r="D156" s="84" t="str">
        <f t="shared" si="34"/>
        <v xml:space="preserve">Jonathan Wong (0.75) </v>
      </c>
      <c r="E156" s="22">
        <f>IFERROR(VLOOKUP(D156,'Employee Numbers'!$A$3:$B$84,2,FALSE),"NOT FOUND")</f>
        <v>637791</v>
      </c>
      <c r="F156" s="31" t="str">
        <f t="shared" si="32"/>
        <v/>
      </c>
      <c r="G156" s="31" t="str">
        <f t="shared" si="32"/>
        <v/>
      </c>
      <c r="H156" s="31" t="s">
        <v>167</v>
      </c>
      <c r="I156" s="31" t="str">
        <f t="shared" si="33"/>
        <v/>
      </c>
      <c r="J156" s="31" t="str">
        <f t="shared" si="33"/>
        <v/>
      </c>
      <c r="K156" s="31" t="str">
        <f t="shared" si="33"/>
        <v/>
      </c>
      <c r="L156" s="31" t="str">
        <f t="shared" si="33"/>
        <v/>
      </c>
      <c r="M156" s="35" t="s">
        <v>168</v>
      </c>
    </row>
    <row r="157" spans="1:18" ht="15" customHeight="1" thickBot="1">
      <c r="A157" s="2" t="s">
        <v>169</v>
      </c>
      <c r="B157" s="2"/>
      <c r="C157" s="47"/>
      <c r="D157" s="84" t="str">
        <f t="shared" si="34"/>
        <v xml:space="preserve">Joshua Feek </v>
      </c>
      <c r="E157" s="22">
        <f>IFERROR(VLOOKUP(D157,'Employee Numbers'!$A$3:$B$84,2,FALSE),"NOT FOUND")</f>
        <v>652867</v>
      </c>
      <c r="F157" s="31" t="str">
        <f t="shared" si="32"/>
        <v/>
      </c>
      <c r="G157" s="31" t="str">
        <f t="shared" si="32"/>
        <v/>
      </c>
      <c r="H157" s="37" t="s">
        <v>170</v>
      </c>
      <c r="I157" s="31" t="str">
        <f t="shared" si="33"/>
        <v/>
      </c>
      <c r="J157" s="31" t="str">
        <f t="shared" si="33"/>
        <v/>
      </c>
      <c r="K157" s="31" t="str">
        <f t="shared" si="33"/>
        <v/>
      </c>
      <c r="L157" s="31" t="str">
        <f t="shared" si="33"/>
        <v/>
      </c>
      <c r="M157" s="35" t="s">
        <v>168</v>
      </c>
    </row>
    <row r="158" spans="1:18" ht="15" customHeight="1" thickBot="1">
      <c r="A158" s="2" t="s">
        <v>169</v>
      </c>
      <c r="B158" s="2"/>
      <c r="C158" s="47"/>
      <c r="D158" s="84" t="str">
        <f t="shared" si="34"/>
        <v xml:space="preserve">Andrea Lim (0.5) </v>
      </c>
      <c r="E158" s="22">
        <f>IFERROR(VLOOKUP(D158,'Employee Numbers'!$A$3:$B$84,2,FALSE),"NOT FOUND")</f>
        <v>611551</v>
      </c>
      <c r="F158" s="31" t="str">
        <f t="shared" si="32"/>
        <v/>
      </c>
      <c r="G158" s="31" t="str">
        <f t="shared" si="32"/>
        <v/>
      </c>
      <c r="H158" s="31" t="str">
        <f t="shared" ref="H158:H159" si="35">IF(COUNTIF(H66,"0800-1730*"),"trg_2.5_1730","trg_2.5_0900")</f>
        <v>trg_2.5_0900</v>
      </c>
      <c r="I158" s="31" t="str">
        <f t="shared" si="33"/>
        <v/>
      </c>
      <c r="J158" s="31" t="str">
        <f t="shared" si="33"/>
        <v/>
      </c>
      <c r="K158" s="31" t="str">
        <f t="shared" si="33"/>
        <v/>
      </c>
      <c r="L158" s="31" t="str">
        <f t="shared" si="33"/>
        <v/>
      </c>
      <c r="M158" s="35" t="s">
        <v>168</v>
      </c>
      <c r="N158" s="13"/>
      <c r="O158" s="13"/>
      <c r="P158" s="13"/>
      <c r="Q158" s="13"/>
      <c r="R158" s="13"/>
    </row>
    <row r="159" spans="1:18" ht="15" customHeight="1" thickBot="1">
      <c r="A159" s="2" t="s">
        <v>169</v>
      </c>
      <c r="B159" s="2"/>
      <c r="C159" s="47"/>
      <c r="D159" s="84" t="str">
        <f t="shared" si="34"/>
        <v>Jessica Burgess (0.5)</v>
      </c>
      <c r="E159" s="22">
        <f>IFERROR(VLOOKUP(D159,'Employee Numbers'!$A$3:$B$84,2,FALSE),"NOT FOUND")</f>
        <v>615820</v>
      </c>
      <c r="F159" s="31" t="str">
        <f t="shared" si="32"/>
        <v/>
      </c>
      <c r="G159" s="31" t="str">
        <f t="shared" si="32"/>
        <v/>
      </c>
      <c r="H159" s="31" t="str">
        <f t="shared" si="35"/>
        <v>trg_2.5_0900</v>
      </c>
      <c r="I159" s="31" t="str">
        <f t="shared" si="33"/>
        <v/>
      </c>
      <c r="J159" s="31" t="str">
        <f t="shared" si="33"/>
        <v/>
      </c>
      <c r="K159" s="31" t="str">
        <f t="shared" si="33"/>
        <v/>
      </c>
      <c r="L159" s="31" t="str">
        <f t="shared" si="33"/>
        <v/>
      </c>
      <c r="M159" s="35" t="s">
        <v>168</v>
      </c>
      <c r="N159" s="13"/>
      <c r="O159" s="13"/>
      <c r="P159" s="13"/>
      <c r="Q159" s="13"/>
      <c r="R159" s="13"/>
    </row>
    <row r="160" spans="1:18" ht="15" customHeight="1" thickBot="1">
      <c r="A160" s="2" t="s">
        <v>169</v>
      </c>
      <c r="B160" s="2"/>
      <c r="C160" s="47"/>
      <c r="D160" s="84" t="str">
        <f t="shared" si="34"/>
        <v>Elisha Gallivan</v>
      </c>
      <c r="E160" s="22">
        <f>IFERROR(VLOOKUP(D160,'Employee Numbers'!$A$3:$B$84,2,FALSE),"NOT FOUND")</f>
        <v>654727</v>
      </c>
      <c r="F160" s="31" t="str">
        <f t="shared" si="32"/>
        <v/>
      </c>
      <c r="G160" s="31" t="str">
        <f t="shared" si="32"/>
        <v/>
      </c>
      <c r="H160" s="37" t="s">
        <v>170</v>
      </c>
      <c r="I160" s="31" t="str">
        <f t="shared" si="33"/>
        <v/>
      </c>
      <c r="J160" s="31" t="str">
        <f t="shared" si="33"/>
        <v/>
      </c>
      <c r="K160" s="31" t="str">
        <f t="shared" si="33"/>
        <v/>
      </c>
      <c r="L160" s="31" t="str">
        <f t="shared" si="33"/>
        <v/>
      </c>
      <c r="M160" s="35" t="s">
        <v>168</v>
      </c>
    </row>
    <row r="161" spans="1:18" ht="15" customHeight="1" thickBot="1">
      <c r="A161" s="2" t="s">
        <v>169</v>
      </c>
      <c r="B161" s="2"/>
      <c r="C161" s="47"/>
      <c r="D161" s="84" t="str">
        <f t="shared" si="34"/>
        <v>Leila Dosso</v>
      </c>
      <c r="E161" s="22">
        <f>IFERROR(VLOOKUP(D161,'Employee Numbers'!$A$3:$B$84,2,FALSE),"NOT FOUND")</f>
        <v>702947</v>
      </c>
      <c r="F161" s="31" t="str">
        <f t="shared" si="32"/>
        <v/>
      </c>
      <c r="G161" s="31" t="str">
        <f t="shared" si="32"/>
        <v/>
      </c>
      <c r="H161" s="37" t="s">
        <v>170</v>
      </c>
      <c r="I161" s="31" t="str">
        <f t="shared" si="33"/>
        <v/>
      </c>
      <c r="J161" s="31" t="str">
        <f t="shared" si="33"/>
        <v/>
      </c>
      <c r="K161" s="31" t="str">
        <f t="shared" si="33"/>
        <v/>
      </c>
      <c r="L161" s="31" t="str">
        <f t="shared" si="33"/>
        <v/>
      </c>
      <c r="M161" s="35" t="s">
        <v>168</v>
      </c>
    </row>
    <row r="162" spans="1:18" s="13" customFormat="1" ht="15" customHeight="1" thickBot="1">
      <c r="A162" s="2" t="s">
        <v>169</v>
      </c>
      <c r="B162" s="2"/>
      <c r="C162" s="21"/>
      <c r="D162" s="84" t="str">
        <f t="shared" si="34"/>
        <v xml:space="preserve">Efi Tsampou </v>
      </c>
      <c r="E162" s="22">
        <f>IFERROR(VLOOKUP(D162,'Employee Numbers'!$A$3:$B$84,2,FALSE),"NOT FOUND")</f>
        <v>654002</v>
      </c>
      <c r="F162" s="31" t="str">
        <f t="shared" si="32"/>
        <v/>
      </c>
      <c r="G162" s="31" t="str">
        <f t="shared" si="32"/>
        <v/>
      </c>
      <c r="H162" s="37" t="s">
        <v>170</v>
      </c>
      <c r="I162" s="31" t="str">
        <f t="shared" si="33"/>
        <v/>
      </c>
      <c r="J162" s="31" t="str">
        <f t="shared" si="33"/>
        <v/>
      </c>
      <c r="K162" s="31" t="str">
        <f t="shared" si="33"/>
        <v/>
      </c>
      <c r="L162" s="31" t="str">
        <f t="shared" si="33"/>
        <v/>
      </c>
      <c r="M162" s="35" t="s">
        <v>168</v>
      </c>
      <c r="N162" s="5"/>
      <c r="O162" s="5"/>
      <c r="P162" s="5"/>
      <c r="Q162" s="5"/>
      <c r="R162" s="5"/>
    </row>
    <row r="163" spans="1:18" ht="15" customHeight="1" thickBot="1">
      <c r="A163" s="2" t="s">
        <v>169</v>
      </c>
      <c r="B163" s="2"/>
      <c r="C163" s="21"/>
      <c r="D163" s="84" t="str">
        <f t="shared" si="34"/>
        <v>Marian Panlilio</v>
      </c>
      <c r="E163" s="22">
        <f>IFERROR(VLOOKUP(D163,'Employee Numbers'!$A$3:$B$84,2,FALSE),"NOT FOUND")</f>
        <v>703068</v>
      </c>
      <c r="F163" s="31" t="str">
        <f t="shared" si="32"/>
        <v/>
      </c>
      <c r="G163" s="31" t="str">
        <f t="shared" si="32"/>
        <v/>
      </c>
      <c r="H163" s="37" t="s">
        <v>170</v>
      </c>
      <c r="I163" s="31" t="str">
        <f t="shared" si="33"/>
        <v/>
      </c>
      <c r="J163" s="31" t="str">
        <f t="shared" si="33"/>
        <v/>
      </c>
      <c r="K163" s="31" t="str">
        <f t="shared" si="33"/>
        <v/>
      </c>
      <c r="L163" s="31" t="str">
        <f t="shared" si="33"/>
        <v/>
      </c>
      <c r="M163" s="35" t="s">
        <v>168</v>
      </c>
    </row>
    <row r="164" spans="1:18" ht="15" customHeight="1" thickBot="1">
      <c r="A164" s="2" t="s">
        <v>169</v>
      </c>
      <c r="B164" s="2"/>
      <c r="C164" s="21"/>
      <c r="D164" s="84" t="str">
        <f t="shared" si="34"/>
        <v>Takhfif Othman</v>
      </c>
      <c r="E164" s="22">
        <f>IFERROR(VLOOKUP(D164,'Employee Numbers'!$A$3:$B$84,2,FALSE),"NOT FOUND")</f>
        <v>703911</v>
      </c>
      <c r="F164" s="31" t="str">
        <f t="shared" si="32"/>
        <v/>
      </c>
      <c r="G164" s="31" t="str">
        <f t="shared" si="32"/>
        <v/>
      </c>
      <c r="H164" s="37" t="s">
        <v>170</v>
      </c>
      <c r="I164" s="31" t="str">
        <f t="shared" si="33"/>
        <v/>
      </c>
      <c r="J164" s="31" t="str">
        <f t="shared" si="33"/>
        <v/>
      </c>
      <c r="K164" s="31" t="str">
        <f t="shared" si="33"/>
        <v/>
      </c>
      <c r="L164" s="31" t="str">
        <f t="shared" si="33"/>
        <v/>
      </c>
      <c r="M164" s="35" t="s">
        <v>168</v>
      </c>
    </row>
    <row r="165" spans="1:18" ht="15" customHeight="1" thickBot="1">
      <c r="A165" s="2" t="s">
        <v>169</v>
      </c>
      <c r="B165" s="2"/>
      <c r="C165" s="21"/>
      <c r="D165" s="84" t="str">
        <f t="shared" si="34"/>
        <v xml:space="preserve">Toby Obrien </v>
      </c>
      <c r="E165" s="22">
        <f>IFERROR(VLOOKUP(D165,'Employee Numbers'!$A$3:$B$84,2,FALSE),"NOT FOUND")</f>
        <v>633936</v>
      </c>
      <c r="F165" s="31" t="str">
        <f t="shared" si="32"/>
        <v/>
      </c>
      <c r="G165" s="31" t="str">
        <f t="shared" si="32"/>
        <v/>
      </c>
      <c r="H165" s="37" t="s">
        <v>170</v>
      </c>
      <c r="I165" s="31" t="str">
        <f t="shared" si="33"/>
        <v/>
      </c>
      <c r="J165" s="31" t="str">
        <f t="shared" si="33"/>
        <v/>
      </c>
      <c r="K165" s="31" t="str">
        <f t="shared" si="33"/>
        <v/>
      </c>
      <c r="L165" s="31" t="str">
        <f t="shared" si="33"/>
        <v/>
      </c>
      <c r="M165" s="35" t="s">
        <v>168</v>
      </c>
    </row>
    <row r="166" spans="1:18" ht="15" customHeight="1" thickBot="1">
      <c r="A166" s="2" t="s">
        <v>169</v>
      </c>
      <c r="B166" s="2"/>
      <c r="C166" s="21"/>
      <c r="D166" s="84" t="str">
        <f t="shared" si="34"/>
        <v>William Jiang</v>
      </c>
      <c r="E166" s="22">
        <f>IFERROR(VLOOKUP(D166,'Employee Numbers'!$A$3:$B$84,2,FALSE),"NOT FOUND")</f>
        <v>700755</v>
      </c>
      <c r="F166" s="31" t="str">
        <f t="shared" si="32"/>
        <v/>
      </c>
      <c r="G166" s="31" t="str">
        <f t="shared" si="32"/>
        <v/>
      </c>
      <c r="H166" s="37" t="s">
        <v>170</v>
      </c>
      <c r="I166" s="31" t="str">
        <f t="shared" si="33"/>
        <v/>
      </c>
      <c r="J166" s="31" t="str">
        <f t="shared" si="33"/>
        <v/>
      </c>
      <c r="K166" s="31" t="str">
        <f t="shared" si="33"/>
        <v/>
      </c>
      <c r="L166" s="31" t="str">
        <f t="shared" si="33"/>
        <v/>
      </c>
      <c r="M166" s="35" t="s">
        <v>168</v>
      </c>
    </row>
    <row r="167" spans="1:18" ht="15" customHeight="1" thickBot="1">
      <c r="A167" s="2" t="s">
        <v>169</v>
      </c>
      <c r="B167" s="2"/>
      <c r="C167" s="21"/>
      <c r="D167" s="84" t="str">
        <f t="shared" si="34"/>
        <v>Pam Nelson</v>
      </c>
      <c r="E167" s="22">
        <f>IFERROR(VLOOKUP(D167,'Employee Numbers'!$A$3:$B$84,2,FALSE),"NOT FOUND")</f>
        <v>704872</v>
      </c>
      <c r="F167" s="31" t="str">
        <f t="shared" si="32"/>
        <v/>
      </c>
      <c r="G167" s="31" t="str">
        <f t="shared" si="32"/>
        <v/>
      </c>
      <c r="H167" s="37" t="s">
        <v>170</v>
      </c>
      <c r="I167" s="31" t="str">
        <f t="shared" si="33"/>
        <v/>
      </c>
      <c r="J167" s="31" t="str">
        <f t="shared" si="33"/>
        <v/>
      </c>
      <c r="K167" s="31" t="str">
        <f t="shared" si="33"/>
        <v/>
      </c>
      <c r="L167" s="31" t="str">
        <f t="shared" si="33"/>
        <v/>
      </c>
      <c r="M167" s="35" t="s">
        <v>168</v>
      </c>
    </row>
    <row r="168" spans="1:18" ht="15" customHeight="1" thickBot="1">
      <c r="A168" s="2" t="s">
        <v>169</v>
      </c>
      <c r="B168" s="2"/>
      <c r="C168" s="21"/>
      <c r="D168" s="84" t="str">
        <f t="shared" si="34"/>
        <v xml:space="preserve">Phoebe Franich </v>
      </c>
      <c r="E168" s="22">
        <f>IFERROR(VLOOKUP(D168,'Employee Numbers'!$A$3:$B$84,2,FALSE),"NOT FOUND")</f>
        <v>700712</v>
      </c>
      <c r="F168" s="31" t="str">
        <f t="shared" si="32"/>
        <v/>
      </c>
      <c r="G168" s="31" t="str">
        <f t="shared" si="32"/>
        <v/>
      </c>
      <c r="H168" s="37" t="s">
        <v>170</v>
      </c>
      <c r="I168" s="31" t="str">
        <f t="shared" si="33"/>
        <v/>
      </c>
      <c r="J168" s="31" t="str">
        <f t="shared" si="33"/>
        <v/>
      </c>
      <c r="K168" s="31" t="str">
        <f t="shared" si="33"/>
        <v/>
      </c>
      <c r="L168" s="31" t="str">
        <f t="shared" si="33"/>
        <v/>
      </c>
      <c r="M168" s="35" t="s">
        <v>168</v>
      </c>
    </row>
    <row r="169" spans="1:18" ht="15" customHeight="1" thickBot="1">
      <c r="A169" s="2" t="s">
        <v>169</v>
      </c>
      <c r="B169" s="2"/>
      <c r="C169" s="21"/>
      <c r="D169" s="84" t="str">
        <f t="shared" si="34"/>
        <v xml:space="preserve">Marie Papadopulos </v>
      </c>
      <c r="E169" s="22">
        <f>IFERROR(VLOOKUP(D169,'Employee Numbers'!$A$3:$B$84,2,FALSE),"NOT FOUND")</f>
        <v>700818</v>
      </c>
      <c r="F169" s="31" t="str">
        <f t="shared" ref="F169:G176" si="36">IF(COUNTIF(F77,"*on*call*"),"oncall 2300-0830","")</f>
        <v/>
      </c>
      <c r="G169" s="31" t="str">
        <f t="shared" si="36"/>
        <v/>
      </c>
      <c r="H169" s="37" t="s">
        <v>170</v>
      </c>
      <c r="I169" s="31" t="str">
        <f t="shared" ref="I169:L176" si="37">IF(COUNTIF(I77,"*on*call*"),"oncall 2300-0830","")</f>
        <v/>
      </c>
      <c r="J169" s="31" t="str">
        <f t="shared" si="37"/>
        <v/>
      </c>
      <c r="K169" s="31" t="str">
        <f t="shared" si="37"/>
        <v/>
      </c>
      <c r="L169" s="31" t="str">
        <f t="shared" si="37"/>
        <v/>
      </c>
      <c r="M169" s="35" t="s">
        <v>168</v>
      </c>
    </row>
    <row r="170" spans="1:18" ht="15" customHeight="1" thickBot="1">
      <c r="A170" s="2" t="s">
        <v>169</v>
      </c>
      <c r="B170" s="2"/>
      <c r="C170" s="21"/>
      <c r="D170" s="84" t="str">
        <f t="shared" si="34"/>
        <v>Stormie de Groot (0.5)</v>
      </c>
      <c r="E170" s="22">
        <f>IFERROR(VLOOKUP(D170,'Employee Numbers'!$A$3:$B$84,2,FALSE),"NOT FOUND")</f>
        <v>650101</v>
      </c>
      <c r="F170" s="31" t="str">
        <f t="shared" si="36"/>
        <v/>
      </c>
      <c r="G170" s="31" t="str">
        <f t="shared" si="36"/>
        <v/>
      </c>
      <c r="H170" s="31" t="str">
        <f t="shared" ref="H170" si="38">IF(COUNTIF(H78,"0800-1730*"),"trg_2.5_1730","trg_2.5_0900")</f>
        <v>trg_2.5_0900</v>
      </c>
      <c r="I170" s="31" t="str">
        <f t="shared" si="37"/>
        <v/>
      </c>
      <c r="J170" s="31" t="str">
        <f t="shared" si="37"/>
        <v/>
      </c>
      <c r="K170" s="31" t="str">
        <f t="shared" si="37"/>
        <v/>
      </c>
      <c r="L170" s="31" t="str">
        <f t="shared" si="37"/>
        <v/>
      </c>
      <c r="M170" s="35" t="s">
        <v>168</v>
      </c>
    </row>
    <row r="171" spans="1:18" ht="15" customHeight="1" thickBot="1">
      <c r="A171" s="2" t="s">
        <v>169</v>
      </c>
      <c r="B171" s="2"/>
      <c r="C171" s="21"/>
      <c r="D171" s="84" t="str">
        <f t="shared" si="34"/>
        <v xml:space="preserve">Joanne Eaton </v>
      </c>
      <c r="E171" s="22">
        <f>IFERROR(VLOOKUP(D171,'Employee Numbers'!$A$3:$B$84,2,FALSE),"NOT FOUND")</f>
        <v>654888</v>
      </c>
      <c r="F171" s="31" t="str">
        <f t="shared" si="36"/>
        <v/>
      </c>
      <c r="G171" s="31" t="str">
        <f t="shared" si="36"/>
        <v/>
      </c>
      <c r="H171" s="37" t="s">
        <v>170</v>
      </c>
      <c r="I171" s="31" t="str">
        <f t="shared" si="37"/>
        <v/>
      </c>
      <c r="J171" s="31" t="str">
        <f t="shared" si="37"/>
        <v/>
      </c>
      <c r="K171" s="31" t="str">
        <f t="shared" si="37"/>
        <v/>
      </c>
      <c r="L171" s="31" t="str">
        <f t="shared" si="37"/>
        <v/>
      </c>
      <c r="M171" s="35" t="s">
        <v>168</v>
      </c>
    </row>
    <row r="172" spans="1:18" ht="15" customHeight="1" thickBot="1">
      <c r="A172" s="2" t="s">
        <v>169</v>
      </c>
      <c r="B172" s="2"/>
      <c r="C172" s="21"/>
      <c r="D172" s="84" t="str">
        <f t="shared" si="34"/>
        <v xml:space="preserve">Helena Li </v>
      </c>
      <c r="E172" s="22">
        <f>IFERROR(VLOOKUP(D172,'Employee Numbers'!$A$3:$B$84,2,FALSE),"NOT FOUND")</f>
        <v>703880</v>
      </c>
      <c r="F172" s="31" t="str">
        <f t="shared" si="36"/>
        <v/>
      </c>
      <c r="G172" s="31" t="str">
        <f t="shared" si="36"/>
        <v/>
      </c>
      <c r="H172" s="37" t="s">
        <v>170</v>
      </c>
      <c r="I172" s="31" t="str">
        <f t="shared" si="37"/>
        <v/>
      </c>
      <c r="J172" s="31" t="str">
        <f t="shared" si="37"/>
        <v/>
      </c>
      <c r="K172" s="31" t="str">
        <f t="shared" si="37"/>
        <v/>
      </c>
      <c r="L172" s="31" t="str">
        <f t="shared" si="37"/>
        <v/>
      </c>
      <c r="M172" s="35" t="s">
        <v>168</v>
      </c>
    </row>
    <row r="173" spans="1:18" ht="15" customHeight="1" thickBot="1">
      <c r="A173" s="2" t="s">
        <v>169</v>
      </c>
      <c r="B173" s="2"/>
      <c r="C173" s="21"/>
      <c r="D173" s="84" t="str">
        <f t="shared" si="34"/>
        <v xml:space="preserve">Mustafa Ozkul </v>
      </c>
      <c r="E173" s="22">
        <f>IFERROR(VLOOKUP(D173,'Employee Numbers'!$A$3:$B$84,2,FALSE),"NOT FOUND")</f>
        <v>703334</v>
      </c>
      <c r="F173" s="31" t="str">
        <f t="shared" si="36"/>
        <v/>
      </c>
      <c r="G173" s="31" t="str">
        <f t="shared" si="36"/>
        <v/>
      </c>
      <c r="H173" s="37"/>
      <c r="I173" s="31" t="str">
        <f t="shared" si="37"/>
        <v/>
      </c>
      <c r="J173" s="31" t="str">
        <f t="shared" si="37"/>
        <v/>
      </c>
      <c r="K173" s="31" t="str">
        <f t="shared" si="37"/>
        <v/>
      </c>
      <c r="L173" s="31" t="str">
        <f t="shared" si="37"/>
        <v/>
      </c>
      <c r="M173" s="35" t="s">
        <v>168</v>
      </c>
    </row>
    <row r="174" spans="1:18" ht="15" customHeight="1" thickBot="1">
      <c r="A174" s="2" t="s">
        <v>169</v>
      </c>
      <c r="B174" s="2"/>
      <c r="C174" s="21"/>
      <c r="D174" s="84" t="str">
        <f t="shared" si="34"/>
        <v>Ritu Chaurasia (0.75)</v>
      </c>
      <c r="E174" s="22">
        <f>IFERROR(VLOOKUP(D174,'Employee Numbers'!$A$3:$B$84,2,FALSE),"NOT FOUND")</f>
        <v>700538</v>
      </c>
      <c r="F174" s="31" t="str">
        <f t="shared" si="36"/>
        <v/>
      </c>
      <c r="G174" s="31" t="str">
        <f t="shared" si="36"/>
        <v/>
      </c>
      <c r="H174" s="31" t="s">
        <v>167</v>
      </c>
      <c r="I174" s="31" t="str">
        <f t="shared" si="37"/>
        <v/>
      </c>
      <c r="J174" s="31" t="str">
        <f t="shared" si="37"/>
        <v/>
      </c>
      <c r="K174" s="31" t="str">
        <f t="shared" si="37"/>
        <v/>
      </c>
      <c r="L174" s="31" t="str">
        <f t="shared" si="37"/>
        <v/>
      </c>
      <c r="M174" s="35" t="s">
        <v>168</v>
      </c>
    </row>
    <row r="175" spans="1:18" ht="15" customHeight="1" thickBot="1">
      <c r="A175" s="2" t="s">
        <v>169</v>
      </c>
      <c r="B175" s="2"/>
      <c r="C175" s="21"/>
      <c r="D175" s="84" t="str">
        <f t="shared" si="34"/>
        <v>Jamie Nicholls (0.5)</v>
      </c>
      <c r="E175" s="22">
        <f>IFERROR(VLOOKUP(D175,'Employee Numbers'!$A$3:$B$84,2,FALSE),"NOT FOUND")</f>
        <v>704862</v>
      </c>
      <c r="F175" s="31" t="str">
        <f t="shared" si="36"/>
        <v/>
      </c>
      <c r="G175" s="31" t="str">
        <f t="shared" si="36"/>
        <v/>
      </c>
      <c r="H175" s="31" t="str">
        <f t="shared" ref="H175" si="39">IF(COUNTIF(H83,"0800-1730*"),"trg_2.5_1730","trg_2.5_0900")</f>
        <v>trg_2.5_0900</v>
      </c>
      <c r="I175" s="31" t="str">
        <f t="shared" si="37"/>
        <v/>
      </c>
      <c r="J175" s="31" t="str">
        <f t="shared" si="37"/>
        <v/>
      </c>
      <c r="K175" s="31" t="str">
        <f t="shared" si="37"/>
        <v/>
      </c>
      <c r="L175" s="31" t="str">
        <f t="shared" si="37"/>
        <v/>
      </c>
      <c r="M175" s="35" t="s">
        <v>168</v>
      </c>
    </row>
    <row r="176" spans="1:18" ht="15" customHeight="1">
      <c r="A176" s="2" t="s">
        <v>169</v>
      </c>
      <c r="B176" s="2"/>
      <c r="C176" s="21"/>
      <c r="D176" s="84">
        <f t="shared" si="34"/>
        <v>0</v>
      </c>
      <c r="E176" s="22" t="str">
        <f>IFERROR(VLOOKUP(D176,'Employee Numbers'!$A$3:$B$84,2,FALSE),"NOT FOUND")</f>
        <v>NOT FOUND</v>
      </c>
      <c r="F176" s="31" t="str">
        <f t="shared" si="36"/>
        <v/>
      </c>
      <c r="G176" s="31" t="str">
        <f t="shared" si="36"/>
        <v/>
      </c>
      <c r="H176" s="37" t="s">
        <v>170</v>
      </c>
      <c r="I176" s="31" t="str">
        <f t="shared" si="37"/>
        <v/>
      </c>
      <c r="J176" s="31" t="str">
        <f t="shared" si="37"/>
        <v/>
      </c>
      <c r="K176" s="31" t="str">
        <f t="shared" si="37"/>
        <v/>
      </c>
      <c r="L176" s="31" t="str">
        <f t="shared" si="37"/>
        <v/>
      </c>
      <c r="M176" s="35" t="s">
        <v>168</v>
      </c>
    </row>
  </sheetData>
  <mergeCells count="1">
    <mergeCell ref="D4:L4"/>
  </mergeCells>
  <phoneticPr fontId="18" type="noConversion"/>
  <conditionalFormatting sqref="E21:E49 E115:E143">
    <cfRule type="cellIs" dxfId="527" priority="43" operator="equal">
      <formula>0</formula>
    </cfRule>
    <cfRule type="containsText" dxfId="526" priority="42" operator="containsText" text="NOT FOUND">
      <formula>NOT(ISERROR(SEARCH("NOT FOUND",E21)))</formula>
    </cfRule>
  </conditionalFormatting>
  <conditionalFormatting sqref="E54:E59">
    <cfRule type="cellIs" dxfId="525" priority="47" operator="equal">
      <formula>0</formula>
    </cfRule>
    <cfRule type="containsText" dxfId="524" priority="46" operator="containsText" text="NOT FOUND">
      <formula>NOT(ISERROR(SEARCH("NOT FOUND",E54)))</formula>
    </cfRule>
  </conditionalFormatting>
  <conditionalFormatting sqref="E61:E84">
    <cfRule type="cellIs" dxfId="523" priority="41" operator="equal">
      <formula>0</formula>
    </cfRule>
    <cfRule type="containsText" dxfId="522" priority="40" operator="containsText" text="NOT FOUND">
      <formula>NOT(ISERROR(SEARCH("NOT FOUND",E61)))</formula>
    </cfRule>
  </conditionalFormatting>
  <conditionalFormatting sqref="E86:E99">
    <cfRule type="cellIs" dxfId="521" priority="39" operator="equal">
      <formula>0</formula>
    </cfRule>
    <cfRule type="containsText" dxfId="520" priority="38" operator="containsText" text="NOT FOUND">
      <formula>NOT(ISERROR(SEARCH("NOT FOUND",E86)))</formula>
    </cfRule>
  </conditionalFormatting>
  <conditionalFormatting sqref="E101:E102">
    <cfRule type="containsText" dxfId="519" priority="44" operator="containsText" text="NOT FOUND">
      <formula>NOT(ISERROR(SEARCH("NOT FOUND",E101)))</formula>
    </cfRule>
    <cfRule type="cellIs" dxfId="518" priority="45" operator="equal">
      <formula>0</formula>
    </cfRule>
  </conditionalFormatting>
  <conditionalFormatting sqref="E146:E151">
    <cfRule type="containsText" dxfId="517" priority="3" operator="containsText" text="NOT FOUND">
      <formula>NOT(ISERROR(SEARCH("NOT FOUND",E146)))</formula>
    </cfRule>
    <cfRule type="cellIs" dxfId="516" priority="4" operator="equal">
      <formula>0</formula>
    </cfRule>
  </conditionalFormatting>
  <conditionalFormatting sqref="E153:E176">
    <cfRule type="containsText" dxfId="515" priority="1" operator="containsText" text="NOT FOUND">
      <formula>NOT(ISERROR(SEARCH("NOT FOUND",E153)))</formula>
    </cfRule>
    <cfRule type="cellIs" dxfId="514" priority="2" operator="equal">
      <formula>0</formula>
    </cfRule>
  </conditionalFormatting>
  <conditionalFormatting sqref="F6:L6">
    <cfRule type="cellIs" dxfId="513" priority="31" operator="lessThan">
      <formula>2</formula>
    </cfRule>
    <cfRule type="cellIs" dxfId="512" priority="18" operator="greaterThan">
      <formula>3</formula>
    </cfRule>
  </conditionalFormatting>
  <conditionalFormatting sqref="F7:L7">
    <cfRule type="cellIs" dxfId="511" priority="30" operator="lessThan">
      <formula>2</formula>
    </cfRule>
  </conditionalFormatting>
  <conditionalFormatting sqref="F8:L8">
    <cfRule type="cellIs" dxfId="510" priority="36" operator="lessThan">
      <formula>5</formula>
    </cfRule>
    <cfRule type="cellIs" dxfId="509" priority="17" operator="greaterThan">
      <formula>8</formula>
    </cfRule>
    <cfRule type="cellIs" dxfId="508" priority="22" operator="equal">
      <formula>5</formula>
    </cfRule>
    <cfRule type="cellIs" dxfId="507" priority="37" operator="between">
      <formula>6</formula>
      <formula>8</formula>
    </cfRule>
  </conditionalFormatting>
  <conditionalFormatting sqref="F10:L11">
    <cfRule type="cellIs" dxfId="506" priority="33" operator="greaterThan">
      <formula>1</formula>
    </cfRule>
    <cfRule type="cellIs" dxfId="505" priority="21" operator="equal">
      <formula>1</formula>
    </cfRule>
  </conditionalFormatting>
  <conditionalFormatting sqref="F12:L12 F6:L7">
    <cfRule type="cellIs" dxfId="504" priority="32" operator="between">
      <formula>2</formula>
      <formula>3</formula>
    </cfRule>
  </conditionalFormatting>
  <conditionalFormatting sqref="F12:L12">
    <cfRule type="cellIs" dxfId="503" priority="19" operator="greaterThan">
      <formula>2</formula>
    </cfRule>
    <cfRule type="cellIs" dxfId="502" priority="25" operator="lessThan">
      <formula>2</formula>
    </cfRule>
  </conditionalFormatting>
  <conditionalFormatting sqref="F13:L13">
    <cfRule type="cellIs" dxfId="501" priority="26" operator="greaterThanOrEqual">
      <formula>6</formula>
    </cfRule>
    <cfRule type="cellIs" dxfId="500" priority="29" operator="lessThan">
      <formula>6</formula>
    </cfRule>
  </conditionalFormatting>
  <conditionalFormatting sqref="F14:L14">
    <cfRule type="cellIs" dxfId="499" priority="24" operator="equal">
      <formula>9</formula>
    </cfRule>
    <cfRule type="cellIs" dxfId="498" priority="34" operator="between">
      <formula>10</formula>
      <formula>11</formula>
    </cfRule>
    <cfRule type="cellIs" dxfId="497" priority="35" operator="greaterThan">
      <formula>11</formula>
    </cfRule>
    <cfRule type="cellIs" dxfId="496" priority="23" operator="lessThan">
      <formula>9</formula>
    </cfRule>
  </conditionalFormatting>
  <conditionalFormatting sqref="F16:L16">
    <cfRule type="cellIs" dxfId="495" priority="20" operator="greaterThan">
      <formula>4</formula>
    </cfRule>
    <cfRule type="cellIs" dxfId="494" priority="27" operator="equal">
      <formula>4</formula>
    </cfRule>
    <cfRule type="cellIs" dxfId="493" priority="28" operator="lessThan">
      <formula>4</formula>
    </cfRule>
  </conditionalFormatting>
  <conditionalFormatting sqref="R21:R47">
    <cfRule type="cellIs" dxfId="492" priority="14" operator="equal">
      <formula>S21</formula>
    </cfRule>
    <cfRule type="cellIs" dxfId="491" priority="13" operator="notEqual">
      <formula>S21</formula>
    </cfRule>
  </conditionalFormatting>
  <conditionalFormatting sqref="R54:R59 R61:R84">
    <cfRule type="cellIs" dxfId="490" priority="16" operator="equal">
      <formula>(N54+P54)*9.5/38*5</formula>
    </cfRule>
    <cfRule type="cellIs" dxfId="489" priority="15" operator="notEqual">
      <formula>(N54+P54)*9.5/38*5</formula>
    </cfRule>
  </conditionalFormatting>
  <conditionalFormatting sqref="S54:S59">
    <cfRule type="cellIs" dxfId="488" priority="12" operator="equal">
      <formula>T54</formula>
    </cfRule>
    <cfRule type="cellIs" dxfId="487" priority="11" operator="notEqual">
      <formula>T54</formula>
    </cfRule>
  </conditionalFormatting>
  <conditionalFormatting sqref="S61:S84">
    <cfRule type="cellIs" dxfId="486" priority="10" operator="equal">
      <formula>T61</formula>
    </cfRule>
    <cfRule type="cellIs" dxfId="485" priority="9" operator="notEqual">
      <formula>T61</formula>
    </cfRule>
  </conditionalFormatting>
  <conditionalFormatting sqref="S86:S99">
    <cfRule type="cellIs" dxfId="484" priority="8" operator="equal">
      <formula>T86</formula>
    </cfRule>
    <cfRule type="cellIs" dxfId="483" priority="7" operator="notEqual">
      <formula>T86</formula>
    </cfRule>
  </conditionalFormatting>
  <conditionalFormatting sqref="S101:S102">
    <cfRule type="cellIs" dxfId="482" priority="6" operator="equal">
      <formula>T101</formula>
    </cfRule>
    <cfRule type="cellIs" dxfId="481" priority="5" operator="notEqual">
      <formula>T101</formula>
    </cfRule>
  </conditionalFormatting>
  <pageMargins left="0.70866141732283472" right="0.70866141732283472" top="0.15748031496062992" bottom="0.15748031496062992" header="0" footer="0"/>
  <pageSetup paperSize="9" scale="49" fitToWidth="0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Y176"/>
  <sheetViews>
    <sheetView topLeftCell="D74" workbookViewId="0">
      <selection activeCell="D97" sqref="D97"/>
    </sheetView>
  </sheetViews>
  <sheetFormatPr defaultColWidth="31.28515625" defaultRowHeight="15" customHeight="1"/>
  <cols>
    <col min="1" max="1" width="15.140625" style="5" customWidth="1"/>
    <col min="2" max="2" width="10.42578125" style="5" customWidth="1"/>
    <col min="3" max="3" width="6" style="8" customWidth="1"/>
    <col min="4" max="4" width="26.7109375" style="5" bestFit="1" customWidth="1"/>
    <col min="5" max="5" width="8.42578125" style="8" customWidth="1"/>
    <col min="6" max="7" width="15.85546875" style="5" customWidth="1"/>
    <col min="8" max="8" width="20" style="5" customWidth="1"/>
    <col min="9" max="12" width="15.85546875" style="5" customWidth="1"/>
    <col min="13" max="13" width="31.28515625" style="5"/>
    <col min="14" max="14" width="7.85546875" style="5" customWidth="1"/>
    <col min="15" max="15" width="14.42578125" style="5" customWidth="1"/>
    <col min="16" max="16" width="8.42578125" style="5" customWidth="1"/>
    <col min="17" max="17" width="8.7109375" style="5" customWidth="1"/>
    <col min="18" max="18" width="12.7109375" style="5" customWidth="1"/>
    <col min="19" max="19" width="14.7109375" style="5" bestFit="1" customWidth="1"/>
    <col min="20" max="20" width="14.140625" style="5" bestFit="1" customWidth="1"/>
    <col min="21" max="25" width="7.140625" style="5" customWidth="1"/>
    <col min="26" max="16384" width="31.28515625" style="5"/>
  </cols>
  <sheetData>
    <row r="1" spans="1:13" s="2" customFormat="1" ht="15" customHeight="1">
      <c r="A1" s="34" t="s">
        <v>0</v>
      </c>
      <c r="B1" s="103" t="s">
        <v>1</v>
      </c>
      <c r="C1" s="104" t="s">
        <v>2</v>
      </c>
      <c r="D1" s="104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 t="s">
        <v>8</v>
      </c>
      <c r="J1" s="47" t="s">
        <v>9</v>
      </c>
      <c r="K1" s="47" t="s">
        <v>10</v>
      </c>
      <c r="L1" s="47" t="s">
        <v>11</v>
      </c>
      <c r="M1" s="103" t="s">
        <v>12</v>
      </c>
    </row>
    <row r="2" spans="1:13" s="2" customFormat="1" ht="15" customHeight="1">
      <c r="A2" s="13" t="s">
        <v>13</v>
      </c>
      <c r="B2" s="112"/>
      <c r="C2" s="21"/>
      <c r="E2" s="21"/>
      <c r="F2" s="94">
        <f>'Week 9'!F2+7</f>
        <v>46209</v>
      </c>
      <c r="G2" s="95">
        <f>F2+1</f>
        <v>46210</v>
      </c>
      <c r="H2" s="95">
        <f t="shared" ref="H2:L2" si="0">G2+1</f>
        <v>46211</v>
      </c>
      <c r="I2" s="95">
        <f t="shared" si="0"/>
        <v>46212</v>
      </c>
      <c r="J2" s="95">
        <f t="shared" si="0"/>
        <v>46213</v>
      </c>
      <c r="K2" s="95">
        <f t="shared" si="0"/>
        <v>46214</v>
      </c>
      <c r="L2" s="95">
        <f t="shared" si="0"/>
        <v>46215</v>
      </c>
    </row>
    <row r="3" spans="1:13" s="2" customFormat="1" ht="15" customHeight="1">
      <c r="A3" s="13" t="s">
        <v>14</v>
      </c>
      <c r="B3" s="112">
        <f>1+(F2-'Week 1'!F2)/7</f>
        <v>10</v>
      </c>
      <c r="E3" s="21"/>
      <c r="F3" s="94"/>
      <c r="G3" s="95"/>
      <c r="H3" s="95"/>
      <c r="I3" s="95"/>
      <c r="J3" s="95"/>
      <c r="K3" s="95"/>
      <c r="L3" s="95"/>
    </row>
    <row r="4" spans="1:13" ht="22.5" customHeight="1">
      <c r="A4" s="13" t="s">
        <v>15</v>
      </c>
      <c r="B4" s="2"/>
      <c r="C4" s="21">
        <f ca="1">IF(INDIRECT("'Week "&amp;(B3-1)&amp;"'!C4")=1,2,IF(INDIRECT("'Week "&amp;(B3-1)&amp;"'!C4")=2,1,_xludf.NA))</f>
        <v>2</v>
      </c>
      <c r="D4" s="359" t="str">
        <f>'Week 1'!D4:L4</f>
        <v>PAEDIATRIC EMERGENCY DEPARTMENT ROSTER - Term 2 2026</v>
      </c>
      <c r="E4" s="360"/>
      <c r="F4" s="360"/>
      <c r="G4" s="360"/>
      <c r="H4" s="360"/>
      <c r="I4" s="360"/>
      <c r="J4" s="360"/>
      <c r="K4" s="360"/>
      <c r="L4" s="360"/>
    </row>
    <row r="5" spans="1:13" s="2" customFormat="1" ht="15" customHeight="1" thickBot="1">
      <c r="A5" s="13"/>
      <c r="C5" s="21"/>
      <c r="E5" s="21"/>
      <c r="F5" s="94"/>
      <c r="G5" s="95"/>
      <c r="H5" s="95"/>
      <c r="I5" s="95"/>
      <c r="J5" s="95"/>
      <c r="K5" s="95"/>
      <c r="L5" s="95"/>
    </row>
    <row r="6" spans="1:13" s="2" customFormat="1" ht="15" customHeight="1">
      <c r="A6" s="13"/>
      <c r="C6" s="21"/>
      <c r="D6" s="96" t="s">
        <v>17</v>
      </c>
      <c r="E6" s="97"/>
      <c r="F6" s="101">
        <f>COUNTIF(F$21:F$49,"0800-1???")-COUNTIFS(F$48,"0800-1???",$D$48,"Locum")-COUNTIFS(F$49,"0800-1???",$D$49,"Locum")</f>
        <v>3</v>
      </c>
      <c r="G6" s="101">
        <f t="shared" ref="G6:L6" si="1">COUNTIF(G$21:G$49,"0800-1???")-COUNTIFS(G$48,"0800-1???",$D$48,"Locum")-COUNTIFS(G$49,"0800-1???",$D$49,"Locum")</f>
        <v>3</v>
      </c>
      <c r="H6" s="101">
        <f t="shared" si="1"/>
        <v>3</v>
      </c>
      <c r="I6" s="101">
        <f t="shared" si="1"/>
        <v>3</v>
      </c>
      <c r="J6" s="101">
        <f t="shared" si="1"/>
        <v>3</v>
      </c>
      <c r="K6" s="101">
        <f t="shared" si="1"/>
        <v>2</v>
      </c>
      <c r="L6" s="101">
        <f t="shared" si="1"/>
        <v>2</v>
      </c>
    </row>
    <row r="7" spans="1:13" s="2" customFormat="1" ht="15" customHeight="1" thickBot="1">
      <c r="A7" s="13"/>
      <c r="C7" s="21"/>
      <c r="D7" s="68" t="s">
        <v>18</v>
      </c>
      <c r="E7" s="67"/>
      <c r="F7" s="109">
        <f t="shared" ref="F7:L7" si="2">COUNTIF(F$54:F$102,"0800-1???")</f>
        <v>4</v>
      </c>
      <c r="G7" s="109">
        <f t="shared" si="2"/>
        <v>5</v>
      </c>
      <c r="H7" s="109">
        <f t="shared" si="2"/>
        <v>4</v>
      </c>
      <c r="I7" s="109">
        <f t="shared" si="2"/>
        <v>5</v>
      </c>
      <c r="J7" s="109">
        <f t="shared" si="2"/>
        <v>5</v>
      </c>
      <c r="K7" s="109">
        <f t="shared" si="2"/>
        <v>3</v>
      </c>
      <c r="L7" s="157">
        <f t="shared" si="2"/>
        <v>4</v>
      </c>
    </row>
    <row r="8" spans="1:13" s="2" customFormat="1" ht="15" customHeight="1" thickBot="1">
      <c r="A8" s="13"/>
      <c r="C8" s="21"/>
      <c r="D8" s="98" t="s">
        <v>19</v>
      </c>
      <c r="E8" s="99"/>
      <c r="F8" s="108">
        <f>F6+F7</f>
        <v>7</v>
      </c>
      <c r="G8" s="108">
        <f t="shared" ref="G8:L8" si="3">G6+G7</f>
        <v>8</v>
      </c>
      <c r="H8" s="108">
        <f t="shared" si="3"/>
        <v>7</v>
      </c>
      <c r="I8" s="108">
        <f t="shared" si="3"/>
        <v>8</v>
      </c>
      <c r="J8" s="108">
        <f t="shared" si="3"/>
        <v>8</v>
      </c>
      <c r="K8" s="108">
        <f t="shared" si="3"/>
        <v>5</v>
      </c>
      <c r="L8" s="158">
        <f t="shared" si="3"/>
        <v>6</v>
      </c>
    </row>
    <row r="9" spans="1:13" s="2" customFormat="1" ht="15" customHeight="1" thickBot="1">
      <c r="A9" s="13"/>
      <c r="C9" s="21"/>
      <c r="E9" s="21"/>
      <c r="F9" s="21"/>
      <c r="G9" s="21"/>
      <c r="H9" s="21"/>
      <c r="I9" s="21"/>
      <c r="J9" s="21"/>
      <c r="K9" s="21"/>
      <c r="L9" s="21"/>
    </row>
    <row r="10" spans="1:13" s="2" customFormat="1" ht="15" customHeight="1">
      <c r="A10" s="13"/>
      <c r="C10" s="21"/>
      <c r="D10" s="96" t="s">
        <v>20</v>
      </c>
      <c r="E10" s="97"/>
      <c r="F10" s="101">
        <f>COUNTIF(F$21:F$49,"1100-????")-COUNTIFS(F$48,"1100-????",$D$48,"Locum")-COUNTIFS(F$49,"1100-????",$D$49,"Locum")</f>
        <v>0</v>
      </c>
      <c r="G10" s="101">
        <f t="shared" ref="G10:L10" si="4">COUNTIF(G$21:G$49,"1100-????")-COUNTIFS(G$48,"1100-????",$D$48,"Locum")-COUNTIFS(G$49,"1100-????",$D$49,"Locum")</f>
        <v>0</v>
      </c>
      <c r="H10" s="101">
        <f t="shared" si="4"/>
        <v>0</v>
      </c>
      <c r="I10" s="101">
        <f t="shared" si="4"/>
        <v>0</v>
      </c>
      <c r="J10" s="101">
        <f t="shared" si="4"/>
        <v>0</v>
      </c>
      <c r="K10" s="101">
        <f t="shared" si="4"/>
        <v>0</v>
      </c>
      <c r="L10" s="101">
        <f t="shared" si="4"/>
        <v>0</v>
      </c>
    </row>
    <row r="11" spans="1:13" s="2" customFormat="1" ht="15" customHeight="1">
      <c r="A11" s="13"/>
      <c r="C11" s="21"/>
      <c r="D11" s="68" t="s">
        <v>21</v>
      </c>
      <c r="E11" s="67"/>
      <c r="F11" s="161">
        <f>COUNTIF(F$54:F$102,"1100-????")</f>
        <v>0</v>
      </c>
      <c r="G11" s="161">
        <f t="shared" ref="G11:L11" si="5">COUNTIF(G$54:G$102,"1100-????")</f>
        <v>0</v>
      </c>
      <c r="H11" s="161">
        <f t="shared" si="5"/>
        <v>0</v>
      </c>
      <c r="I11" s="161">
        <f t="shared" si="5"/>
        <v>0</v>
      </c>
      <c r="J11" s="161">
        <f t="shared" si="5"/>
        <v>0</v>
      </c>
      <c r="K11" s="161">
        <f t="shared" si="5"/>
        <v>0</v>
      </c>
      <c r="L11" s="161">
        <f t="shared" si="5"/>
        <v>0</v>
      </c>
    </row>
    <row r="12" spans="1:13" s="2" customFormat="1" ht="15" customHeight="1">
      <c r="A12" s="13"/>
      <c r="C12" s="21"/>
      <c r="D12" s="68" t="s">
        <v>22</v>
      </c>
      <c r="E12" s="67"/>
      <c r="F12" s="102">
        <f>COUNTIF(F$21:F$49,"1???-00?0")-COUNTIFS(F$48,"1???-00?0",$D$48,"Locum")-COUNTIFS(F$49,"1???-00?0",$D$49,"Locum")</f>
        <v>3</v>
      </c>
      <c r="G12" s="102">
        <f t="shared" ref="G12:L12" si="6">COUNTIF(G$21:G$49,"1???-00?0")-COUNTIFS(G$48,"1???-00?0",$D$48,"Locum")-COUNTIFS(G$49,"1???-00?0",$D$49,"Locum")</f>
        <v>2</v>
      </c>
      <c r="H12" s="102">
        <f t="shared" si="6"/>
        <v>2</v>
      </c>
      <c r="I12" s="102">
        <f t="shared" si="6"/>
        <v>2</v>
      </c>
      <c r="J12" s="102">
        <f t="shared" si="6"/>
        <v>3</v>
      </c>
      <c r="K12" s="102">
        <f t="shared" si="6"/>
        <v>2</v>
      </c>
      <c r="L12" s="102">
        <f t="shared" si="6"/>
        <v>2</v>
      </c>
    </row>
    <row r="13" spans="1:13" s="2" customFormat="1" ht="15" customHeight="1" thickBot="1">
      <c r="A13" s="13"/>
      <c r="C13" s="21"/>
      <c r="D13" s="68" t="s">
        <v>23</v>
      </c>
      <c r="E13" s="67"/>
      <c r="F13" s="109">
        <f>COUNTIF(F$54:F$102,"1???-0000*")</f>
        <v>9</v>
      </c>
      <c r="G13" s="109">
        <f t="shared" ref="G13:L13" si="7">COUNTIF(G$54:G$102,"1???-0000*")</f>
        <v>9</v>
      </c>
      <c r="H13" s="109">
        <f t="shared" si="7"/>
        <v>9</v>
      </c>
      <c r="I13" s="109">
        <f t="shared" si="7"/>
        <v>9</v>
      </c>
      <c r="J13" s="109">
        <f t="shared" si="7"/>
        <v>9</v>
      </c>
      <c r="K13" s="109">
        <f t="shared" si="7"/>
        <v>9</v>
      </c>
      <c r="L13" s="157">
        <f t="shared" si="7"/>
        <v>8</v>
      </c>
    </row>
    <row r="14" spans="1:13" s="2" customFormat="1" ht="15" customHeight="1" thickBot="1">
      <c r="A14" s="13"/>
      <c r="C14" s="21"/>
      <c r="D14" s="98" t="s">
        <v>24</v>
      </c>
      <c r="E14" s="99"/>
      <c r="F14" s="108">
        <f>F12+F13</f>
        <v>12</v>
      </c>
      <c r="G14" s="108">
        <f t="shared" ref="G14:L14" si="8">G12+G13</f>
        <v>11</v>
      </c>
      <c r="H14" s="108">
        <f t="shared" si="8"/>
        <v>11</v>
      </c>
      <c r="I14" s="108">
        <f t="shared" si="8"/>
        <v>11</v>
      </c>
      <c r="J14" s="108">
        <f t="shared" si="8"/>
        <v>12</v>
      </c>
      <c r="K14" s="108">
        <f t="shared" si="8"/>
        <v>11</v>
      </c>
      <c r="L14" s="158">
        <f t="shared" si="8"/>
        <v>10</v>
      </c>
    </row>
    <row r="15" spans="1:13" s="2" customFormat="1" ht="15" customHeight="1" thickBot="1">
      <c r="A15" s="13"/>
      <c r="C15" s="21"/>
      <c r="E15" s="21"/>
      <c r="F15" s="21"/>
      <c r="G15" s="21"/>
      <c r="H15" s="21"/>
      <c r="I15" s="21"/>
      <c r="J15" s="21"/>
      <c r="K15" s="21"/>
      <c r="L15" s="21"/>
    </row>
    <row r="16" spans="1:13" s="2" customFormat="1" ht="15" customHeight="1" thickBot="1">
      <c r="A16" s="13"/>
      <c r="C16" s="21"/>
      <c r="D16" s="100" t="s">
        <v>25</v>
      </c>
      <c r="E16" s="72"/>
      <c r="F16" s="66">
        <f t="shared" ref="F16:L16" si="9">COUNTIF(F$54:F$99,"2300-0830")</f>
        <v>5</v>
      </c>
      <c r="G16" s="66">
        <f t="shared" si="9"/>
        <v>4</v>
      </c>
      <c r="H16" s="66">
        <f t="shared" si="9"/>
        <v>4</v>
      </c>
      <c r="I16" s="66">
        <f t="shared" si="9"/>
        <v>4</v>
      </c>
      <c r="J16" s="66">
        <f t="shared" si="9"/>
        <v>4</v>
      </c>
      <c r="K16" s="66">
        <f t="shared" si="9"/>
        <v>4</v>
      </c>
      <c r="L16" s="159">
        <f t="shared" si="9"/>
        <v>4</v>
      </c>
    </row>
    <row r="17" spans="1:25" s="2" customFormat="1" ht="15" customHeight="1" thickBot="1">
      <c r="A17" s="13"/>
      <c r="C17" s="21"/>
      <c r="E17" s="21"/>
      <c r="F17" s="21"/>
      <c r="G17" s="21"/>
      <c r="H17" s="21"/>
      <c r="I17" s="21"/>
      <c r="J17" s="21"/>
      <c r="K17" s="21"/>
      <c r="L17" s="21"/>
    </row>
    <row r="18" spans="1:25" s="2" customFormat="1" ht="15" customHeight="1" thickBot="1">
      <c r="A18" s="13"/>
      <c r="C18" s="21"/>
      <c r="D18" s="61" t="s">
        <v>26</v>
      </c>
      <c r="E18" s="62" t="s">
        <v>4</v>
      </c>
      <c r="F18" s="62" t="s">
        <v>5</v>
      </c>
      <c r="G18" s="62" t="s">
        <v>6</v>
      </c>
      <c r="H18" s="62" t="s">
        <v>7</v>
      </c>
      <c r="I18" s="62" t="s">
        <v>8</v>
      </c>
      <c r="J18" s="62" t="s">
        <v>9</v>
      </c>
      <c r="K18" s="62" t="s">
        <v>10</v>
      </c>
      <c r="L18" s="63" t="s">
        <v>11</v>
      </c>
      <c r="N18" s="145" t="s">
        <v>27</v>
      </c>
      <c r="O18" s="145" t="s">
        <v>28</v>
      </c>
      <c r="P18" s="136" t="s">
        <v>29</v>
      </c>
      <c r="R18" s="146" t="s">
        <v>30</v>
      </c>
      <c r="S18" s="145" t="s">
        <v>31</v>
      </c>
    </row>
    <row r="19" spans="1:25" s="2" customFormat="1" ht="15" customHeight="1" thickBot="1">
      <c r="A19" s="13"/>
      <c r="C19" s="21"/>
      <c r="D19" s="93"/>
      <c r="E19" s="91"/>
      <c r="F19" s="92">
        <f>F2</f>
        <v>46209</v>
      </c>
      <c r="G19" s="64">
        <f t="shared" ref="G19:L19" si="10">F19+1</f>
        <v>46210</v>
      </c>
      <c r="H19" s="64">
        <f t="shared" si="10"/>
        <v>46211</v>
      </c>
      <c r="I19" s="64">
        <f t="shared" si="10"/>
        <v>46212</v>
      </c>
      <c r="J19" s="64">
        <f t="shared" si="10"/>
        <v>46213</v>
      </c>
      <c r="K19" s="64">
        <f t="shared" si="10"/>
        <v>46214</v>
      </c>
      <c r="L19" s="65">
        <f t="shared" si="10"/>
        <v>46215</v>
      </c>
      <c r="N19" s="147" t="s">
        <v>32</v>
      </c>
      <c r="O19" s="21" t="s">
        <v>32</v>
      </c>
      <c r="P19" s="148"/>
      <c r="R19" s="149" t="s">
        <v>32</v>
      </c>
      <c r="S19" s="147" t="s">
        <v>32</v>
      </c>
      <c r="U19" s="2" t="s">
        <v>33</v>
      </c>
      <c r="V19" s="142" t="s">
        <v>34</v>
      </c>
      <c r="W19" s="2" t="s">
        <v>35</v>
      </c>
      <c r="X19" s="2" t="s">
        <v>36</v>
      </c>
      <c r="Y19" s="2" t="s">
        <v>37</v>
      </c>
    </row>
    <row r="20" spans="1:25" s="2" customFormat="1" ht="15.75" customHeight="1" thickBot="1">
      <c r="A20" s="114" t="s">
        <v>38</v>
      </c>
      <c r="B20" s="115"/>
      <c r="C20" s="116"/>
      <c r="D20" s="117" t="s">
        <v>38</v>
      </c>
      <c r="E20" s="155"/>
      <c r="F20" s="118"/>
      <c r="G20" s="119"/>
      <c r="H20" s="119"/>
      <c r="I20" s="119"/>
      <c r="J20" s="119"/>
      <c r="K20" s="119"/>
      <c r="L20" s="120"/>
      <c r="N20" s="160"/>
      <c r="O20" s="160"/>
      <c r="P20" s="150"/>
      <c r="R20" s="151"/>
      <c r="S20" s="160"/>
      <c r="T20" s="160"/>
      <c r="U20" s="160"/>
      <c r="V20" s="142"/>
    </row>
    <row r="21" spans="1:25" s="2" customFormat="1" ht="15" customHeight="1">
      <c r="A21" s="162" t="s">
        <v>39</v>
      </c>
      <c r="B21" s="162"/>
      <c r="C21" s="164"/>
      <c r="D21" s="234" t="s">
        <v>40</v>
      </c>
      <c r="E21" s="165">
        <f>IFERROR(VLOOKUP(D21,'Employee Numbers'!$A$3:$B$84,2,FALSE),"NOT FOUND")</f>
        <v>287628</v>
      </c>
      <c r="F21" s="235" t="s">
        <v>41</v>
      </c>
      <c r="G21" s="236" t="s">
        <v>41</v>
      </c>
      <c r="H21" s="236" t="s">
        <v>41</v>
      </c>
      <c r="I21" s="236"/>
      <c r="J21" s="236" t="s">
        <v>42</v>
      </c>
      <c r="K21" s="236"/>
      <c r="L21" s="237"/>
      <c r="N21">
        <f t="array" ref="N21">((SUM(IFERROR((TEXT(IF(ISNUMBER(SEARCH("-", F21:L21)), MID(F21:L21, SEARCH("-", F21:L21) + 1, 4), ""), "00\:00") - TEXT(IF(ISNUMBER(SEARCH("-", F21:L21)), MID(F21:L21, SEARCH("-", F21:L21) - 4, 4), ""), "00\:00") + IF(TEXT(IF(ISNUMBER(SEARCH("-", F21:L21)), MID(F21:L21, SEARCH("-", F21:L21) + 1, 4), ""), "00\:00") &lt; TEXT(IF(ISNUMBER(SEARCH("-", F21:L21)), MID(F21:L21, SEARCH("-", F21:L21) - 4, 4), ""), "00\:00"), 1, 0))*24,""))))/9.5</f>
        <v>4</v>
      </c>
      <c r="O21"/>
      <c r="P21" s="151">
        <f>N21+O21</f>
        <v>4</v>
      </c>
      <c r="R21" s="4">
        <f ca="1">IF($C$4=1,SUM(P21+INDIRECT("'Week "&amp;($B$3+1)&amp;"'!P"&amp;(ROW()))),IF($C$4=2,SUM(P21+INDIRECT("'Week "&amp;($B$3-1)&amp;"'!P"&amp;(ROW())))))</f>
        <v>8</v>
      </c>
      <c r="S21" s="2">
        <f>(IFERROR(VLOOKUP(D21,'Employee Numbers'!$A$3:$C$84,3,FALSE),"NOT FOUND"))*8</f>
        <v>8</v>
      </c>
      <c r="U21" s="142">
        <f>COUNTIF(E21:K21,"0800-1730")</f>
        <v>0</v>
      </c>
      <c r="V21" s="142">
        <f>COUNTIF(F21:L21,"1???-00?0")</f>
        <v>1</v>
      </c>
      <c r="W21" s="2">
        <f>COUNTIF(F21:L21,"*0800-1730*CS*")+COUNTIF(F21:L21,"*0800-1730*DEMT*")</f>
        <v>3</v>
      </c>
      <c r="Y21" s="2">
        <f>COUNTIF(K21:L21,"???0-*")</f>
        <v>0</v>
      </c>
    </row>
    <row r="22" spans="1:25" s="2" customFormat="1" ht="15" customHeight="1">
      <c r="A22" s="2" t="s">
        <v>39</v>
      </c>
      <c r="B22" s="46"/>
      <c r="C22" s="21"/>
      <c r="D22" s="227" t="s">
        <v>43</v>
      </c>
      <c r="E22" s="226">
        <f>IFERROR(VLOOKUP(D22,'Employee Numbers'!$A$3:$B$84,2,FALSE),"NOT FOUND")</f>
        <v>609660</v>
      </c>
      <c r="F22" s="29" t="s">
        <v>41</v>
      </c>
      <c r="G22" s="31" t="s">
        <v>41</v>
      </c>
      <c r="H22" s="31"/>
      <c r="I22" s="31"/>
      <c r="J22" s="31"/>
      <c r="K22" s="31" t="s">
        <v>44</v>
      </c>
      <c r="L22" s="228" t="s">
        <v>44</v>
      </c>
      <c r="N22">
        <f t="array" ref="N22">((SUM(IFERROR((TEXT(IF(ISNUMBER(SEARCH("-", F22:L22)), MID(F22:L22, SEARCH("-", F22:L22) + 1, 4), ""), "00\:00") - TEXT(IF(ISNUMBER(SEARCH("-", F22:L22)), MID(F22:L22, SEARCH("-", F22:L22) - 4, 4), ""), "00\:00") + IF(TEXT(IF(ISNUMBER(SEARCH("-", F22:L22)), MID(F22:L22, SEARCH("-", F22:L22) + 1, 4), ""), "00\:00") &lt; TEXT(IF(ISNUMBER(SEARCH("-", F22:L22)), MID(F22:L22, SEARCH("-", F22:L22) - 4, 4), ""), "00\:00"), 1, 0))*24,""))))/9.5</f>
        <v>4</v>
      </c>
      <c r="O22"/>
      <c r="P22" s="151">
        <f t="shared" ref="P22:P47" si="11">N22+O22</f>
        <v>4</v>
      </c>
      <c r="R22" s="4">
        <f t="shared" ref="R22:R47" ca="1" si="12">IF($C$4=1,SUM(P22+INDIRECT("'Week "&amp;($B$3+1)&amp;"'!P"&amp;(ROW()))),IF($C$4=2,SUM(P22+INDIRECT("'Week "&amp;($B$3-1)&amp;"'!P"&amp;(ROW())))))</f>
        <v>8</v>
      </c>
      <c r="S22" s="2">
        <f>(IFERROR(VLOOKUP(D22,'Employee Numbers'!$A$3:$C$84,3,FALSE),"NOT FOUND"))*8</f>
        <v>8</v>
      </c>
      <c r="U22" s="142">
        <f t="shared" ref="U22:U47" si="13">COUNTIF(E22:K22,"0800-1730")</f>
        <v>1</v>
      </c>
      <c r="V22" s="142">
        <f t="shared" ref="V22:V47" si="14">COUNTIF(F22:L22,"1???-00?0")</f>
        <v>0</v>
      </c>
      <c r="W22" s="2">
        <f t="shared" ref="W22:W47" si="15">COUNTIF(F22:L22,"*0800-1730*CS*")+COUNTIF(F22:L22,"*0800-1730*DEMT*")</f>
        <v>2</v>
      </c>
      <c r="Y22" s="2">
        <f t="shared" ref="Y22:Y47" si="16">COUNTIF(K22:L22,"???0-*")</f>
        <v>2</v>
      </c>
    </row>
    <row r="23" spans="1:25" s="2" customFormat="1" ht="15" customHeight="1">
      <c r="A23" s="162" t="s">
        <v>39</v>
      </c>
      <c r="B23" s="163"/>
      <c r="C23" s="238"/>
      <c r="D23" s="239" t="s">
        <v>45</v>
      </c>
      <c r="E23" s="165">
        <f>IFERROR(VLOOKUP(D23,'Employee Numbers'!$A$3:$B$84,2,FALSE),"NOT FOUND")</f>
        <v>610036</v>
      </c>
      <c r="F23" s="253" t="s">
        <v>176</v>
      </c>
      <c r="G23" s="254" t="s">
        <v>176</v>
      </c>
      <c r="H23" s="254" t="s">
        <v>176</v>
      </c>
      <c r="I23" s="254" t="s">
        <v>176</v>
      </c>
      <c r="J23" s="254" t="s">
        <v>176</v>
      </c>
      <c r="K23" s="254" t="s">
        <v>176</v>
      </c>
      <c r="L23" s="255" t="s">
        <v>176</v>
      </c>
      <c r="N23">
        <f t="array" ref="N23">((SUM(IFERROR((TEXT(IF(ISNUMBER(SEARCH("-", F23:L23)), MID(F23:L23, SEARCH("-", F23:L23) + 1, 4), ""), "00\:00") - TEXT(IF(ISNUMBER(SEARCH("-", F23:L23)), MID(F23:L23, SEARCH("-", F23:L23) - 4, 4), ""), "00\:00") + IF(TEXT(IF(ISNUMBER(SEARCH("-", F23:L23)), MID(F23:L23, SEARCH("-", F23:L23) + 1, 4), ""), "00\:00") &lt; TEXT(IF(ISNUMBER(SEARCH("-", F23:L23)), MID(F23:L23, SEARCH("-", F23:L23) - 4, 4), ""), "00\:00"), 1, 0))*24,""))))/9.5</f>
        <v>0</v>
      </c>
      <c r="O23">
        <v>4</v>
      </c>
      <c r="P23" s="151">
        <f t="shared" si="11"/>
        <v>4</v>
      </c>
      <c r="R23" s="4">
        <f t="shared" ca="1" si="12"/>
        <v>8</v>
      </c>
      <c r="S23" s="2">
        <f>(IFERROR(VLOOKUP(D23,'Employee Numbers'!$A$3:$C$84,3,FALSE),"NOT FOUND"))*8</f>
        <v>8</v>
      </c>
      <c r="U23" s="142">
        <f t="shared" si="13"/>
        <v>0</v>
      </c>
      <c r="V23" s="142">
        <f t="shared" si="14"/>
        <v>0</v>
      </c>
      <c r="W23" s="2">
        <f t="shared" si="15"/>
        <v>0</v>
      </c>
      <c r="Y23" s="2">
        <f t="shared" si="16"/>
        <v>0</v>
      </c>
    </row>
    <row r="24" spans="1:25" s="2" customFormat="1" ht="15" customHeight="1">
      <c r="A24" s="2" t="s">
        <v>39</v>
      </c>
      <c r="B24" s="46"/>
      <c r="C24" s="47"/>
      <c r="D24" s="227" t="s">
        <v>49</v>
      </c>
      <c r="E24" s="226">
        <f>IFERROR(VLOOKUP(D24,'Employee Numbers'!$A$3:$B$84,2,FALSE),"NOT FOUND")</f>
        <v>533509</v>
      </c>
      <c r="F24" s="250" t="s">
        <v>50</v>
      </c>
      <c r="G24" s="251" t="s">
        <v>50</v>
      </c>
      <c r="H24" s="251" t="s">
        <v>50</v>
      </c>
      <c r="I24" s="251" t="s">
        <v>50</v>
      </c>
      <c r="J24" s="251" t="s">
        <v>50</v>
      </c>
      <c r="K24" s="251" t="s">
        <v>50</v>
      </c>
      <c r="L24" s="252" t="s">
        <v>50</v>
      </c>
      <c r="N24">
        <f t="array" ref="N24">((SUM(IFERROR((TEXT(IF(ISNUMBER(SEARCH("-", F24:L24)), MID(F24:L24, SEARCH("-", F24:L24) + 1, 4), ""), "00\:00") - TEXT(IF(ISNUMBER(SEARCH("-", F24:L24)), MID(F24:L24, SEARCH("-", F24:L24) - 4, 4), ""), "00\:00") + IF(TEXT(IF(ISNUMBER(SEARCH("-", F24:L24)), MID(F24:L24, SEARCH("-", F24:L24) + 1, 4), ""), "00\:00") &lt; TEXT(IF(ISNUMBER(SEARCH("-", F24:L24)), MID(F24:L24, SEARCH("-", F24:L24) - 4, 4), ""), "00\:00"), 1, 0))*24,""))))/9.5</f>
        <v>0</v>
      </c>
      <c r="O24"/>
      <c r="P24" s="151">
        <f t="shared" si="11"/>
        <v>0</v>
      </c>
      <c r="R24" s="4">
        <f t="shared" ca="1" si="12"/>
        <v>0</v>
      </c>
      <c r="S24" s="2">
        <f>(IFERROR(VLOOKUP(D24,'Employee Numbers'!$A$3:$C$84,3,FALSE),"NOT FOUND"))*8</f>
        <v>0</v>
      </c>
      <c r="U24" s="142">
        <f t="shared" si="13"/>
        <v>0</v>
      </c>
      <c r="V24" s="142">
        <f t="shared" si="14"/>
        <v>0</v>
      </c>
      <c r="W24" s="2">
        <f t="shared" si="15"/>
        <v>0</v>
      </c>
      <c r="Y24" s="2">
        <f t="shared" si="16"/>
        <v>0</v>
      </c>
    </row>
    <row r="25" spans="1:25" s="2" customFormat="1" ht="15" customHeight="1">
      <c r="A25" s="162" t="s">
        <v>39</v>
      </c>
      <c r="B25" s="163"/>
      <c r="C25" s="238"/>
      <c r="D25" s="240" t="s">
        <v>51</v>
      </c>
      <c r="E25" s="165">
        <f>IFERROR(VLOOKUP(D25,'Employee Numbers'!$A$3:$B$84,2,FALSE),"NOT FOUND")</f>
        <v>625985</v>
      </c>
      <c r="F25" s="253" t="s">
        <v>181</v>
      </c>
      <c r="G25" s="254" t="s">
        <v>181</v>
      </c>
      <c r="H25" s="254" t="s">
        <v>181</v>
      </c>
      <c r="I25" s="254" t="s">
        <v>181</v>
      </c>
      <c r="J25" s="254" t="s">
        <v>181</v>
      </c>
      <c r="K25" s="254" t="s">
        <v>181</v>
      </c>
      <c r="L25" s="255" t="s">
        <v>181</v>
      </c>
      <c r="N25">
        <f t="array" ref="N25">((SUM(IFERROR((TEXT(IF(ISNUMBER(SEARCH("-", F25:L25)), MID(F25:L25, SEARCH("-", F25:L25) + 1, 4), ""), "00\:00") - TEXT(IF(ISNUMBER(SEARCH("-", F25:L25)), MID(F25:L25, SEARCH("-", F25:L25) - 4, 4), ""), "00\:00") + IF(TEXT(IF(ISNUMBER(SEARCH("-", F25:L25)), MID(F25:L25, SEARCH("-", F25:L25) + 1, 4), ""), "00\:00") &lt; TEXT(IF(ISNUMBER(SEARCH("-", F25:L25)), MID(F25:L25, SEARCH("-", F25:L25) - 4, 4), ""), "00\:00"), 1, 0))*24,""))))/9.5</f>
        <v>0</v>
      </c>
      <c r="O25">
        <v>4</v>
      </c>
      <c r="P25" s="151">
        <f t="shared" si="11"/>
        <v>4</v>
      </c>
      <c r="R25" s="4">
        <f t="shared" ca="1" si="12"/>
        <v>8</v>
      </c>
      <c r="S25" s="2">
        <f>(IFERROR(VLOOKUP(D25,'Employee Numbers'!$A$3:$C$84,3,FALSE),"NOT FOUND"))*8</f>
        <v>8</v>
      </c>
      <c r="U25" s="142">
        <f t="shared" si="13"/>
        <v>0</v>
      </c>
      <c r="V25" s="142">
        <f t="shared" si="14"/>
        <v>0</v>
      </c>
      <c r="W25" s="2">
        <f t="shared" si="15"/>
        <v>0</v>
      </c>
      <c r="Y25" s="2">
        <f t="shared" si="16"/>
        <v>0</v>
      </c>
    </row>
    <row r="26" spans="1:25" s="2" customFormat="1" ht="15" customHeight="1">
      <c r="A26" s="2" t="s">
        <v>39</v>
      </c>
      <c r="B26" s="46"/>
      <c r="C26" s="47"/>
      <c r="D26" s="227" t="s">
        <v>52</v>
      </c>
      <c r="E26" s="226">
        <f>IFERROR(VLOOKUP(D26,'Employee Numbers'!$A$3:$B$84,2,FALSE),"NOT FOUND")</f>
        <v>632301</v>
      </c>
      <c r="F26" s="29"/>
      <c r="G26" s="31" t="s">
        <v>44</v>
      </c>
      <c r="H26" s="31"/>
      <c r="I26" s="31"/>
      <c r="J26" s="31" t="s">
        <v>63</v>
      </c>
      <c r="K26" s="31" t="s">
        <v>54</v>
      </c>
      <c r="L26" s="228" t="s">
        <v>54</v>
      </c>
      <c r="M26" s="13"/>
      <c r="N26">
        <f t="array" ref="N26">((SUM(IFERROR((TEXT(IF(ISNUMBER(SEARCH("-", F26:L26)), MID(F26:L26, SEARCH("-", F26:L26) + 1, 4), ""), "00\:00") - TEXT(IF(ISNUMBER(SEARCH("-", F26:L26)), MID(F26:L26, SEARCH("-", F26:L26) - 4, 4), ""), "00\:00") + IF(TEXT(IF(ISNUMBER(SEARCH("-", F26:L26)), MID(F26:L26, SEARCH("-", F26:L26) + 1, 4), ""), "00\:00") &lt; TEXT(IF(ISNUMBER(SEARCH("-", F26:L26)), MID(F26:L26, SEARCH("-", F26:L26) - 4, 4), ""), "00\:00"), 1, 0))*24,""))))/9.5</f>
        <v>4</v>
      </c>
      <c r="O26"/>
      <c r="P26" s="151">
        <f t="shared" si="11"/>
        <v>4</v>
      </c>
      <c r="R26" s="4">
        <f t="shared" ca="1" si="12"/>
        <v>8</v>
      </c>
      <c r="S26" s="2">
        <f>(IFERROR(VLOOKUP(D26,'Employee Numbers'!$A$3:$C$84,3,FALSE),"NOT FOUND"))*8</f>
        <v>8</v>
      </c>
      <c r="U26" s="142">
        <f t="shared" si="13"/>
        <v>1</v>
      </c>
      <c r="V26" s="142">
        <f t="shared" si="14"/>
        <v>2</v>
      </c>
      <c r="W26" s="2">
        <f t="shared" si="15"/>
        <v>1</v>
      </c>
      <c r="Y26" s="2">
        <f t="shared" si="16"/>
        <v>2</v>
      </c>
    </row>
    <row r="27" spans="1:25" s="2" customFormat="1" ht="15" customHeight="1">
      <c r="A27" s="162" t="s">
        <v>39</v>
      </c>
      <c r="B27" s="163"/>
      <c r="C27" s="238"/>
      <c r="D27" s="240" t="s">
        <v>53</v>
      </c>
      <c r="E27" s="165">
        <f>IFERROR(VLOOKUP(D27,'Employee Numbers'!$A$3:$B$84,2,FALSE),"NOT FOUND")</f>
        <v>613891</v>
      </c>
      <c r="F27" s="253" t="s">
        <v>176</v>
      </c>
      <c r="G27" s="254" t="s">
        <v>176</v>
      </c>
      <c r="H27" s="254" t="s">
        <v>176</v>
      </c>
      <c r="I27" s="254" t="s">
        <v>176</v>
      </c>
      <c r="J27" s="254" t="s">
        <v>176</v>
      </c>
      <c r="K27" s="254" t="s">
        <v>176</v>
      </c>
      <c r="L27" s="255" t="s">
        <v>176</v>
      </c>
      <c r="M27" s="13"/>
      <c r="N27">
        <f t="array" ref="N27">((SUM(IFERROR((TEXT(IF(ISNUMBER(SEARCH("-", F27:L27)), MID(F27:L27, SEARCH("-", F27:L27) + 1, 4), ""), "00\:00") - TEXT(IF(ISNUMBER(SEARCH("-", F27:L27)), MID(F27:L27, SEARCH("-", F27:L27) - 4, 4), ""), "00\:00") + IF(TEXT(IF(ISNUMBER(SEARCH("-", F27:L27)), MID(F27:L27, SEARCH("-", F27:L27) + 1, 4), ""), "00\:00") &lt; TEXT(IF(ISNUMBER(SEARCH("-", F27:L27)), MID(F27:L27, SEARCH("-", F27:L27) - 4, 4), ""), "00\:00"), 1, 0))*24,""))))/9.5</f>
        <v>0</v>
      </c>
      <c r="O27">
        <v>3</v>
      </c>
      <c r="P27" s="151">
        <f t="shared" si="11"/>
        <v>3</v>
      </c>
      <c r="R27" s="4">
        <f t="shared" ca="1" si="12"/>
        <v>6</v>
      </c>
      <c r="S27" s="2">
        <f>(IFERROR(VLOOKUP(D27,'Employee Numbers'!$A$3:$C$84,3,FALSE),"NOT FOUND"))*8</f>
        <v>6</v>
      </c>
      <c r="U27" s="142">
        <f t="shared" si="13"/>
        <v>0</v>
      </c>
      <c r="V27" s="142">
        <f t="shared" si="14"/>
        <v>0</v>
      </c>
      <c r="W27" s="2">
        <f t="shared" si="15"/>
        <v>0</v>
      </c>
      <c r="Y27" s="2">
        <f t="shared" si="16"/>
        <v>0</v>
      </c>
    </row>
    <row r="28" spans="1:25" s="2" customFormat="1" ht="15" customHeight="1">
      <c r="A28" s="2" t="s">
        <v>39</v>
      </c>
      <c r="B28" s="46"/>
      <c r="C28" s="21"/>
      <c r="D28" s="227" t="s">
        <v>55</v>
      </c>
      <c r="E28" s="226">
        <f>IFERROR(VLOOKUP(D28,'Employee Numbers'!$A$3:$B$84,2,FALSE),"NOT FOUND")</f>
        <v>623657</v>
      </c>
      <c r="F28" s="250" t="s">
        <v>176</v>
      </c>
      <c r="G28" s="251" t="s">
        <v>176</v>
      </c>
      <c r="H28" s="251" t="s">
        <v>176</v>
      </c>
      <c r="I28" s="251" t="s">
        <v>176</v>
      </c>
      <c r="J28" s="251" t="s">
        <v>176</v>
      </c>
      <c r="K28" s="251" t="s">
        <v>176</v>
      </c>
      <c r="L28" s="252" t="s">
        <v>176</v>
      </c>
      <c r="N28">
        <f t="array" ref="N28">((SUM(IFERROR((TEXT(IF(ISNUMBER(SEARCH("-", F28:L28)), MID(F28:L28, SEARCH("-", F28:L28) + 1, 4), ""), "00\:00") - TEXT(IF(ISNUMBER(SEARCH("-", F28:L28)), MID(F28:L28, SEARCH("-", F28:L28) - 4, 4), ""), "00\:00") + IF(TEXT(IF(ISNUMBER(SEARCH("-", F28:L28)), MID(F28:L28, SEARCH("-", F28:L28) + 1, 4), ""), "00\:00") &lt; TEXT(IF(ISNUMBER(SEARCH("-", F28:L28)), MID(F28:L28, SEARCH("-", F28:L28) - 4, 4), ""), "00\:00"), 1, 0))*24,""))))/9.5</f>
        <v>0</v>
      </c>
      <c r="O28">
        <v>1</v>
      </c>
      <c r="P28" s="151">
        <f t="shared" si="11"/>
        <v>1</v>
      </c>
      <c r="R28" s="4">
        <f t="shared" ca="1" si="12"/>
        <v>1</v>
      </c>
      <c r="S28" s="2">
        <f>(IFERROR(VLOOKUP(D28,'Employee Numbers'!$A$3:$C$84,3,FALSE),"NOT FOUND"))*8</f>
        <v>2</v>
      </c>
      <c r="U28" s="142">
        <f t="shared" si="13"/>
        <v>0</v>
      </c>
      <c r="V28" s="142">
        <f t="shared" si="14"/>
        <v>0</v>
      </c>
      <c r="W28" s="2">
        <f t="shared" si="15"/>
        <v>0</v>
      </c>
      <c r="Y28" s="2">
        <f t="shared" si="16"/>
        <v>0</v>
      </c>
    </row>
    <row r="29" spans="1:25" s="2" customFormat="1" ht="15" customHeight="1">
      <c r="A29" s="162" t="s">
        <v>39</v>
      </c>
      <c r="B29" s="163"/>
      <c r="C29" s="164"/>
      <c r="D29" s="240" t="s">
        <v>56</v>
      </c>
      <c r="E29" s="165">
        <f>IFERROR(VLOOKUP(D29,'Employee Numbers'!$A$3:$B$84,2,FALSE),"NOT FOUND")</f>
        <v>623708</v>
      </c>
      <c r="F29" s="176"/>
      <c r="G29" s="166" t="s">
        <v>44</v>
      </c>
      <c r="H29" s="166" t="s">
        <v>42</v>
      </c>
      <c r="I29" s="166"/>
      <c r="J29" s="166" t="s">
        <v>44</v>
      </c>
      <c r="K29" s="166"/>
      <c r="L29" s="167"/>
      <c r="N29">
        <f t="array" ref="N29">((SUM(IFERROR((TEXT(IF(ISNUMBER(SEARCH("-", F29:L29)), MID(F29:L29, SEARCH("-", F29:L29) + 1, 4), ""), "00\:00") - TEXT(IF(ISNUMBER(SEARCH("-", F29:L29)), MID(F29:L29, SEARCH("-", F29:L29) - 4, 4), ""), "00\:00") + IF(TEXT(IF(ISNUMBER(SEARCH("-", F29:L29)), MID(F29:L29, SEARCH("-", F29:L29) + 1, 4), ""), "00\:00") &lt; TEXT(IF(ISNUMBER(SEARCH("-", F29:L29)), MID(F29:L29, SEARCH("-", F29:L29) - 4, 4), ""), "00\:00"), 1, 0))*24,""))))/9.5</f>
        <v>3</v>
      </c>
      <c r="O29"/>
      <c r="P29" s="151">
        <f t="shared" si="11"/>
        <v>3</v>
      </c>
      <c r="R29" s="4">
        <f t="shared" ca="1" si="12"/>
        <v>6</v>
      </c>
      <c r="S29" s="2">
        <f>(IFERROR(VLOOKUP(D29,'Employee Numbers'!$A$3:$C$84,3,FALSE),"NOT FOUND"))*8</f>
        <v>6</v>
      </c>
      <c r="U29" s="142">
        <f t="shared" si="13"/>
        <v>2</v>
      </c>
      <c r="V29" s="142">
        <f t="shared" si="14"/>
        <v>1</v>
      </c>
      <c r="W29" s="2">
        <f t="shared" si="15"/>
        <v>0</v>
      </c>
      <c r="Y29" s="2">
        <f t="shared" si="16"/>
        <v>0</v>
      </c>
    </row>
    <row r="30" spans="1:25" s="2" customFormat="1" ht="15" customHeight="1">
      <c r="A30" s="2" t="s">
        <v>39</v>
      </c>
      <c r="B30" s="46"/>
      <c r="C30" s="21"/>
      <c r="D30" s="227" t="s">
        <v>57</v>
      </c>
      <c r="E30" s="226">
        <f>IFERROR(VLOOKUP(D30,'Employee Numbers'!$A$3:$B$84,2,FALSE),"NOT FOUND")</f>
        <v>627680</v>
      </c>
      <c r="F30" s="29" t="s">
        <v>42</v>
      </c>
      <c r="G30" s="31" t="s">
        <v>42</v>
      </c>
      <c r="H30" s="31"/>
      <c r="I30" s="31"/>
      <c r="J30" s="31" t="s">
        <v>44</v>
      </c>
      <c r="K30" s="31"/>
      <c r="L30" s="228"/>
      <c r="N30">
        <f t="array" ref="N30">((SUM(IFERROR((TEXT(IF(ISNUMBER(SEARCH("-", F30:L30)), MID(F30:L30, SEARCH("-", F30:L30) + 1, 4), ""), "00\:00") - TEXT(IF(ISNUMBER(SEARCH("-", F30:L30)), MID(F30:L30, SEARCH("-", F30:L30) - 4, 4), ""), "00\:00") + IF(TEXT(IF(ISNUMBER(SEARCH("-", F30:L30)), MID(F30:L30, SEARCH("-", F30:L30) + 1, 4), ""), "00\:00") &lt; TEXT(IF(ISNUMBER(SEARCH("-", F30:L30)), MID(F30:L30, SEARCH("-", F30:L30) - 4, 4), ""), "00\:00"), 1, 0))*24,""))))/9.5</f>
        <v>3</v>
      </c>
      <c r="O30"/>
      <c r="P30" s="151">
        <f t="shared" si="11"/>
        <v>3</v>
      </c>
      <c r="R30" s="4">
        <f t="shared" ca="1" si="12"/>
        <v>6</v>
      </c>
      <c r="S30" s="2">
        <f>(IFERROR(VLOOKUP(D30,'Employee Numbers'!$A$3:$C$84,3,FALSE),"NOT FOUND"))*8</f>
        <v>6</v>
      </c>
      <c r="U30" s="142">
        <f t="shared" si="13"/>
        <v>1</v>
      </c>
      <c r="V30" s="142">
        <f t="shared" si="14"/>
        <v>2</v>
      </c>
      <c r="W30" s="2">
        <f t="shared" si="15"/>
        <v>0</v>
      </c>
      <c r="Y30" s="2">
        <f t="shared" si="16"/>
        <v>0</v>
      </c>
    </row>
    <row r="31" spans="1:25" s="2" customFormat="1" ht="15" customHeight="1">
      <c r="A31" s="162" t="s">
        <v>39</v>
      </c>
      <c r="B31" s="163"/>
      <c r="C31" s="164"/>
      <c r="D31" s="240" t="s">
        <v>58</v>
      </c>
      <c r="E31" s="165">
        <f>IFERROR(VLOOKUP(D31,'Employee Numbers'!$A$3:$B$84,2,FALSE),"NOT FOUND")</f>
        <v>633210</v>
      </c>
      <c r="F31" s="176" t="s">
        <v>44</v>
      </c>
      <c r="G31" s="166" t="s">
        <v>44</v>
      </c>
      <c r="H31" s="166"/>
      <c r="I31" s="166" t="s">
        <v>42</v>
      </c>
      <c r="J31" s="166"/>
      <c r="K31" s="166"/>
      <c r="L31" s="167"/>
      <c r="N31">
        <f t="array" ref="N31">((SUM(IFERROR((TEXT(IF(ISNUMBER(SEARCH("-", F31:L31)), MID(F31:L31, SEARCH("-", F31:L31) + 1, 4), ""), "00\:00") - TEXT(IF(ISNUMBER(SEARCH("-", F31:L31)), MID(F31:L31, SEARCH("-", F31:L31) - 4, 4), ""), "00\:00") + IF(TEXT(IF(ISNUMBER(SEARCH("-", F31:L31)), MID(F31:L31, SEARCH("-", F31:L31) + 1, 4), ""), "00\:00") &lt; TEXT(IF(ISNUMBER(SEARCH("-", F31:L31)), MID(F31:L31, SEARCH("-", F31:L31) - 4, 4), ""), "00\:00"), 1, 0))*24,""))))/9.5</f>
        <v>3</v>
      </c>
      <c r="O31"/>
      <c r="P31" s="151">
        <f t="shared" si="11"/>
        <v>3</v>
      </c>
      <c r="R31" s="4">
        <f t="shared" ca="1" si="12"/>
        <v>6</v>
      </c>
      <c r="S31" s="2">
        <f>(IFERROR(VLOOKUP(D31,'Employee Numbers'!$A$3:$C$84,3,FALSE),"NOT FOUND"))*8</f>
        <v>6</v>
      </c>
      <c r="U31" s="142">
        <f t="shared" si="13"/>
        <v>2</v>
      </c>
      <c r="V31" s="142">
        <f t="shared" si="14"/>
        <v>1</v>
      </c>
      <c r="W31" s="2">
        <f t="shared" si="15"/>
        <v>0</v>
      </c>
      <c r="Y31" s="2">
        <f t="shared" si="16"/>
        <v>0</v>
      </c>
    </row>
    <row r="32" spans="1:25" s="2" customFormat="1" ht="15" customHeight="1">
      <c r="A32" s="2" t="s">
        <v>39</v>
      </c>
      <c r="B32" s="46"/>
      <c r="C32" s="21"/>
      <c r="D32" s="230" t="s">
        <v>59</v>
      </c>
      <c r="E32" s="226">
        <f>IFERROR(VLOOKUP(D32,'Employee Numbers'!$A$3:$B$84,2,FALSE),"NOT FOUND")</f>
        <v>618952</v>
      </c>
      <c r="F32" s="250" t="s">
        <v>176</v>
      </c>
      <c r="G32" s="251" t="s">
        <v>176</v>
      </c>
      <c r="H32" s="251" t="s">
        <v>176</v>
      </c>
      <c r="I32" s="251" t="s">
        <v>176</v>
      </c>
      <c r="J32" s="251" t="s">
        <v>176</v>
      </c>
      <c r="K32" s="251" t="s">
        <v>176</v>
      </c>
      <c r="L32" s="252" t="s">
        <v>176</v>
      </c>
      <c r="N32">
        <f t="array" ref="N32">((SUM(IFERROR((TEXT(IF(ISNUMBER(SEARCH("-", F32:L32)), MID(F32:L32, SEARCH("-", F32:L32) + 1, 4), ""), "00\:00") - TEXT(IF(ISNUMBER(SEARCH("-", F32:L32)), MID(F32:L32, SEARCH("-", F32:L32) - 4, 4), ""), "00\:00") + IF(TEXT(IF(ISNUMBER(SEARCH("-", F32:L32)), MID(F32:L32, SEARCH("-", F32:L32) + 1, 4), ""), "00\:00") &lt; TEXT(IF(ISNUMBER(SEARCH("-", F32:L32)), MID(F32:L32, SEARCH("-", F32:L32) - 4, 4), ""), "00\:00"), 1, 0))*24,""))))/9.5</f>
        <v>0</v>
      </c>
      <c r="O32">
        <v>3</v>
      </c>
      <c r="P32" s="151">
        <f t="shared" si="11"/>
        <v>3</v>
      </c>
      <c r="R32" s="4">
        <f t="shared" ca="1" si="12"/>
        <v>6</v>
      </c>
      <c r="S32" s="2">
        <f>(IFERROR(VLOOKUP(D32,'Employee Numbers'!$A$3:$C$84,3,FALSE),"NOT FOUND"))*8</f>
        <v>6</v>
      </c>
      <c r="U32" s="142">
        <f t="shared" si="13"/>
        <v>0</v>
      </c>
      <c r="V32" s="142">
        <f t="shared" si="14"/>
        <v>0</v>
      </c>
      <c r="W32" s="2">
        <f t="shared" si="15"/>
        <v>0</v>
      </c>
      <c r="Y32" s="2">
        <f t="shared" si="16"/>
        <v>0</v>
      </c>
    </row>
    <row r="33" spans="1:25" s="2" customFormat="1" ht="15" customHeight="1">
      <c r="A33" s="162" t="s">
        <v>39</v>
      </c>
      <c r="B33" s="163"/>
      <c r="C33" s="164"/>
      <c r="D33" s="241" t="s">
        <v>61</v>
      </c>
      <c r="E33" s="165">
        <f>IFERROR(VLOOKUP(D33,'Employee Numbers'!$A$3:$B$84,2,FALSE),"NOT FOUND")</f>
        <v>649039</v>
      </c>
      <c r="F33" s="176" t="s">
        <v>42</v>
      </c>
      <c r="G33" s="166"/>
      <c r="H33" s="166" t="s">
        <v>41</v>
      </c>
      <c r="I33" s="166" t="s">
        <v>44</v>
      </c>
      <c r="J33" s="166"/>
      <c r="K33" s="166"/>
      <c r="L33" s="167"/>
      <c r="N33">
        <f t="array" ref="N33">((SUM(IFERROR((TEXT(IF(ISNUMBER(SEARCH("-", F33:L33)), MID(F33:L33, SEARCH("-", F33:L33) + 1, 4), ""), "00\:00") - TEXT(IF(ISNUMBER(SEARCH("-", F33:L33)), MID(F33:L33, SEARCH("-", F33:L33) - 4, 4), ""), "00\:00") + IF(TEXT(IF(ISNUMBER(SEARCH("-", F33:L33)), MID(F33:L33, SEARCH("-", F33:L33) + 1, 4), ""), "00\:00") &lt; TEXT(IF(ISNUMBER(SEARCH("-", F33:L33)), MID(F33:L33, SEARCH("-", F33:L33) - 4, 4), ""), "00\:00"), 1, 0))*24,""))))/9.5</f>
        <v>3</v>
      </c>
      <c r="O33"/>
      <c r="P33" s="151">
        <f t="shared" si="11"/>
        <v>3</v>
      </c>
      <c r="R33" s="4">
        <f t="shared" ca="1" si="12"/>
        <v>5</v>
      </c>
      <c r="S33" s="2">
        <f>(IFERROR(VLOOKUP(D33,'Employee Numbers'!$A$3:$C$84,3,FALSE),"NOT FOUND"))*8</f>
        <v>5</v>
      </c>
      <c r="U33" s="142">
        <f t="shared" si="13"/>
        <v>1</v>
      </c>
      <c r="V33" s="142">
        <f t="shared" si="14"/>
        <v>1</v>
      </c>
      <c r="W33" s="2">
        <f t="shared" si="15"/>
        <v>1</v>
      </c>
      <c r="Y33" s="2">
        <f t="shared" si="16"/>
        <v>0</v>
      </c>
    </row>
    <row r="34" spans="1:25" s="2" customFormat="1" ht="15" customHeight="1">
      <c r="A34" s="2" t="s">
        <v>39</v>
      </c>
      <c r="B34" s="46"/>
      <c r="C34" s="21"/>
      <c r="D34" s="227" t="s">
        <v>62</v>
      </c>
      <c r="E34" s="226">
        <f>IFERROR(VLOOKUP(D34,'Employee Numbers'!$A$3:$B$84,2,FALSE),"NOT FOUND")</f>
        <v>649671</v>
      </c>
      <c r="F34" s="31" t="s">
        <v>41</v>
      </c>
      <c r="G34" s="31"/>
      <c r="H34" s="31" t="s">
        <v>44</v>
      </c>
      <c r="I34" s="31" t="s">
        <v>42</v>
      </c>
      <c r="J34" s="31"/>
      <c r="K34" s="31"/>
      <c r="L34" s="228"/>
      <c r="N34">
        <f t="array" ref="N34">((SUM(IFERROR((TEXT(IF(ISNUMBER(SEARCH("-", F34:L34)), MID(F34:L34, SEARCH("-", F34:L34) + 1, 4), ""), "00\:00") - TEXT(IF(ISNUMBER(SEARCH("-", F34:L34)), MID(F34:L34, SEARCH("-", F34:L34) - 4, 4), ""), "00\:00") + IF(TEXT(IF(ISNUMBER(SEARCH("-", F34:L34)), MID(F34:L34, SEARCH("-", F34:L34) + 1, 4), ""), "00\:00") &lt; TEXT(IF(ISNUMBER(SEARCH("-", F34:L34)), MID(F34:L34, SEARCH("-", F34:L34) - 4, 4), ""), "00\:00"), 1, 0))*24,""))))/9.5</f>
        <v>3</v>
      </c>
      <c r="O34"/>
      <c r="P34" s="151">
        <f t="shared" si="11"/>
        <v>3</v>
      </c>
      <c r="R34" s="4">
        <f t="shared" ca="1" si="12"/>
        <v>6</v>
      </c>
      <c r="S34" s="2">
        <f>(IFERROR(VLOOKUP(D34,'Employee Numbers'!$A$3:$C$84,3,FALSE),"NOT FOUND"))*8</f>
        <v>6</v>
      </c>
      <c r="U34" s="142">
        <f t="shared" si="13"/>
        <v>1</v>
      </c>
      <c r="V34" s="142">
        <f t="shared" si="14"/>
        <v>1</v>
      </c>
      <c r="W34" s="2">
        <f t="shared" si="15"/>
        <v>1</v>
      </c>
      <c r="Y34" s="2">
        <f t="shared" si="16"/>
        <v>0</v>
      </c>
    </row>
    <row r="35" spans="1:25" s="2" customFormat="1" ht="15" customHeight="1">
      <c r="A35" s="162" t="s">
        <v>39</v>
      </c>
      <c r="B35" s="163"/>
      <c r="C35" s="164"/>
      <c r="D35" s="240" t="s">
        <v>64</v>
      </c>
      <c r="E35" s="165">
        <f>IFERROR(VLOOKUP(D35,'Employee Numbers'!$A$3:$B$84,2,FALSE),"NOT FOUND")</f>
        <v>646047</v>
      </c>
      <c r="F35" s="253" t="s">
        <v>176</v>
      </c>
      <c r="G35" s="254" t="s">
        <v>176</v>
      </c>
      <c r="H35" s="254" t="s">
        <v>176</v>
      </c>
      <c r="I35" s="254" t="s">
        <v>176</v>
      </c>
      <c r="J35" s="254" t="s">
        <v>176</v>
      </c>
      <c r="K35" s="254" t="s">
        <v>176</v>
      </c>
      <c r="L35" s="255" t="s">
        <v>176</v>
      </c>
      <c r="N35">
        <f t="array" ref="N35">((SUM(IFERROR((TEXT(IF(ISNUMBER(SEARCH("-", F35:L35)), MID(F35:L35, SEARCH("-", F35:L35) + 1, 4), ""), "00\:00") - TEXT(IF(ISNUMBER(SEARCH("-", F35:L35)), MID(F35:L35, SEARCH("-", F35:L35) - 4, 4), ""), "00\:00") + IF(TEXT(IF(ISNUMBER(SEARCH("-", F35:L35)), MID(F35:L35, SEARCH("-", F35:L35) + 1, 4), ""), "00\:00") &lt; TEXT(IF(ISNUMBER(SEARCH("-", F35:L35)), MID(F35:L35, SEARCH("-", F35:L35) - 4, 4), ""), "00\:00"), 1, 0))*24,""))))/9.5</f>
        <v>0</v>
      </c>
      <c r="O35">
        <v>2</v>
      </c>
      <c r="P35" s="151">
        <f t="shared" si="11"/>
        <v>2</v>
      </c>
      <c r="R35" s="4">
        <f t="shared" ca="1" si="12"/>
        <v>5</v>
      </c>
      <c r="S35" s="2">
        <f>(IFERROR(VLOOKUP(D35,'Employee Numbers'!$A$3:$C$84,3,FALSE),"NOT FOUND"))*8</f>
        <v>5</v>
      </c>
      <c r="U35" s="142">
        <f t="shared" si="13"/>
        <v>0</v>
      </c>
      <c r="V35" s="142">
        <f t="shared" si="14"/>
        <v>0</v>
      </c>
      <c r="W35" s="2">
        <f t="shared" si="15"/>
        <v>0</v>
      </c>
      <c r="Y35" s="2">
        <f t="shared" si="16"/>
        <v>0</v>
      </c>
    </row>
    <row r="36" spans="1:25" s="2" customFormat="1" ht="15" customHeight="1">
      <c r="A36" s="2" t="s">
        <v>39</v>
      </c>
      <c r="B36" s="46"/>
      <c r="C36" s="21"/>
      <c r="D36" s="229" t="s">
        <v>66</v>
      </c>
      <c r="E36" s="226">
        <f>IFERROR(VLOOKUP(D36,'Employee Numbers'!$A$3:$B$84,2,FALSE),"NOT FOUND")</f>
        <v>164003</v>
      </c>
      <c r="F36" s="29" t="s">
        <v>44</v>
      </c>
      <c r="G36" s="31"/>
      <c r="H36" s="31"/>
      <c r="I36" s="31" t="s">
        <v>44</v>
      </c>
      <c r="J36" s="31"/>
      <c r="K36" s="31"/>
      <c r="L36" s="228"/>
      <c r="N36">
        <f t="array" ref="N36">((SUM(IFERROR((TEXT(IF(ISNUMBER(SEARCH("-", F36:L36)), MID(F36:L36, SEARCH("-", F36:L36) + 1, 4), ""), "00\:00") - TEXT(IF(ISNUMBER(SEARCH("-", F36:L36)), MID(F36:L36, SEARCH("-", F36:L36) - 4, 4), ""), "00\:00") + IF(TEXT(IF(ISNUMBER(SEARCH("-", F36:L36)), MID(F36:L36, SEARCH("-", F36:L36) + 1, 4), ""), "00\:00") &lt; TEXT(IF(ISNUMBER(SEARCH("-", F36:L36)), MID(F36:L36, SEARCH("-", F36:L36) - 4, 4), ""), "00\:00"), 1, 0))*24,""))))/9.5</f>
        <v>2</v>
      </c>
      <c r="O36"/>
      <c r="P36" s="151">
        <f t="shared" si="11"/>
        <v>2</v>
      </c>
      <c r="R36" s="4">
        <f t="shared" ca="1" si="12"/>
        <v>4</v>
      </c>
      <c r="S36" s="2">
        <f>(IFERROR(VLOOKUP(D36,'Employee Numbers'!$A$3:$C$84,3,FALSE),"NOT FOUND"))*8</f>
        <v>4</v>
      </c>
      <c r="U36" s="142">
        <f t="shared" si="13"/>
        <v>2</v>
      </c>
      <c r="V36" s="142">
        <f t="shared" si="14"/>
        <v>0</v>
      </c>
      <c r="W36" s="2">
        <f t="shared" si="15"/>
        <v>0</v>
      </c>
      <c r="Y36" s="2">
        <f t="shared" si="16"/>
        <v>0</v>
      </c>
    </row>
    <row r="37" spans="1:25" s="2" customFormat="1" ht="15" customHeight="1">
      <c r="A37" s="162" t="s">
        <v>39</v>
      </c>
      <c r="B37" s="163"/>
      <c r="C37" s="164"/>
      <c r="D37" s="240" t="s">
        <v>67</v>
      </c>
      <c r="E37" s="165">
        <f>IFERROR(VLOOKUP(D37,'Employee Numbers'!$A$3:$B$84,2,FALSE),"NOT FOUND")</f>
        <v>609408</v>
      </c>
      <c r="F37" s="253" t="s">
        <v>176</v>
      </c>
      <c r="G37" s="254" t="s">
        <v>176</v>
      </c>
      <c r="H37" s="254" t="s">
        <v>176</v>
      </c>
      <c r="I37" s="254" t="s">
        <v>176</v>
      </c>
      <c r="J37" s="254" t="s">
        <v>176</v>
      </c>
      <c r="K37" s="254" t="s">
        <v>176</v>
      </c>
      <c r="L37" s="255" t="s">
        <v>176</v>
      </c>
      <c r="N37">
        <f t="array" ref="N37">((SUM(IFERROR((TEXT(IF(ISNUMBER(SEARCH("-", F37:L37)), MID(F37:L37, SEARCH("-", F37:L37) + 1, 4), ""), "00\:00") - TEXT(IF(ISNUMBER(SEARCH("-", F37:L37)), MID(F37:L37, SEARCH("-", F37:L37) - 4, 4), ""), "00\:00") + IF(TEXT(IF(ISNUMBER(SEARCH("-", F37:L37)), MID(F37:L37, SEARCH("-", F37:L37) + 1, 4), ""), "00\:00") &lt; TEXT(IF(ISNUMBER(SEARCH("-", F37:L37)), MID(F37:L37, SEARCH("-", F37:L37) - 4, 4), ""), "00\:00"), 1, 0))*24,""))))/9.5</f>
        <v>0</v>
      </c>
      <c r="O37"/>
      <c r="P37" s="151">
        <f t="shared" si="11"/>
        <v>0</v>
      </c>
      <c r="R37" s="4">
        <f t="shared" ca="1" si="12"/>
        <v>4</v>
      </c>
      <c r="S37" s="2">
        <f>(IFERROR(VLOOKUP(D37,'Employee Numbers'!$A$3:$C$84,3,FALSE),"NOT FOUND"))*8</f>
        <v>4</v>
      </c>
      <c r="U37" s="142">
        <f t="shared" si="13"/>
        <v>0</v>
      </c>
      <c r="V37" s="142">
        <f t="shared" si="14"/>
        <v>0</v>
      </c>
      <c r="W37" s="2">
        <f t="shared" si="15"/>
        <v>0</v>
      </c>
      <c r="Y37" s="2">
        <f t="shared" si="16"/>
        <v>0</v>
      </c>
    </row>
    <row r="38" spans="1:25" s="2" customFormat="1" ht="15" customHeight="1">
      <c r="A38" s="2" t="s">
        <v>39</v>
      </c>
      <c r="B38" s="46"/>
      <c r="C38" s="21"/>
      <c r="D38" s="227" t="s">
        <v>68</v>
      </c>
      <c r="E38" s="226">
        <f>IFERROR(VLOOKUP(D38,'Employee Numbers'!$A$3:$B$84,2,FALSE),"NOT FOUND")</f>
        <v>627619</v>
      </c>
      <c r="F38" s="29" t="s">
        <v>42</v>
      </c>
      <c r="G38" s="31"/>
      <c r="H38" s="31" t="s">
        <v>42</v>
      </c>
      <c r="I38" s="31"/>
      <c r="J38" s="31"/>
      <c r="K38" s="31"/>
      <c r="L38" s="228"/>
      <c r="N38">
        <f t="array" ref="N38">((SUM(IFERROR((TEXT(IF(ISNUMBER(SEARCH("-", F38:L38)), MID(F38:L38, SEARCH("-", F38:L38) + 1, 4), ""), "00\:00") - TEXT(IF(ISNUMBER(SEARCH("-", F38:L38)), MID(F38:L38, SEARCH("-", F38:L38) - 4, 4), ""), "00\:00") + IF(TEXT(IF(ISNUMBER(SEARCH("-", F38:L38)), MID(F38:L38, SEARCH("-", F38:L38) + 1, 4), ""), "00\:00") &lt; TEXT(IF(ISNUMBER(SEARCH("-", F38:L38)), MID(F38:L38, SEARCH("-", F38:L38) - 4, 4), ""), "00\:00"), 1, 0))*24,""))))/9.5</f>
        <v>2</v>
      </c>
      <c r="O38"/>
      <c r="P38" s="151">
        <f t="shared" si="11"/>
        <v>2</v>
      </c>
      <c r="R38" s="4">
        <f t="shared" ca="1" si="12"/>
        <v>4</v>
      </c>
      <c r="S38" s="2">
        <f>(IFERROR(VLOOKUP(D38,'Employee Numbers'!$A$3:$C$84,3,FALSE),"NOT FOUND"))*8</f>
        <v>4</v>
      </c>
      <c r="U38" s="142">
        <f t="shared" si="13"/>
        <v>0</v>
      </c>
      <c r="V38" s="142">
        <f t="shared" si="14"/>
        <v>2</v>
      </c>
      <c r="W38" s="2">
        <f t="shared" si="15"/>
        <v>0</v>
      </c>
      <c r="Y38" s="2">
        <f t="shared" si="16"/>
        <v>0</v>
      </c>
    </row>
    <row r="39" spans="1:25" s="2" customFormat="1" ht="15" customHeight="1">
      <c r="A39" s="162" t="s">
        <v>39</v>
      </c>
      <c r="B39" s="163"/>
      <c r="C39" s="164"/>
      <c r="D39" s="240" t="s">
        <v>71</v>
      </c>
      <c r="E39" s="165">
        <f>IFERROR(VLOOKUP(D39,'Employee Numbers'!$A$3:$B$84,2,FALSE),"NOT FOUND")</f>
        <v>632646</v>
      </c>
      <c r="F39" s="176"/>
      <c r="G39" s="166"/>
      <c r="H39" s="166"/>
      <c r="I39" s="166"/>
      <c r="J39" s="166"/>
      <c r="K39" s="166"/>
      <c r="L39" s="167"/>
      <c r="N39">
        <f t="array" ref="N39">((SUM(IFERROR((TEXT(IF(ISNUMBER(SEARCH("-", F39:L39)), MID(F39:L39, SEARCH("-", F39:L39) + 1, 4), ""), "00\:00") - TEXT(IF(ISNUMBER(SEARCH("-", F39:L39)), MID(F39:L39, SEARCH("-", F39:L39) - 4, 4), ""), "00\:00") + IF(TEXT(IF(ISNUMBER(SEARCH("-", F39:L39)), MID(F39:L39, SEARCH("-", F39:L39) + 1, 4), ""), "00\:00") &lt; TEXT(IF(ISNUMBER(SEARCH("-", F39:L39)), MID(F39:L39, SEARCH("-", F39:L39) - 4, 4), ""), "00\:00"), 1, 0))*24,""))))/9.5</f>
        <v>0</v>
      </c>
      <c r="O39"/>
      <c r="P39" s="151">
        <f t="shared" si="11"/>
        <v>0</v>
      </c>
      <c r="R39" s="4">
        <f t="shared" ca="1" si="12"/>
        <v>4</v>
      </c>
      <c r="S39" s="2">
        <f>(IFERROR(VLOOKUP(D39,'Employee Numbers'!$A$3:$C$84,3,FALSE),"NOT FOUND"))*8</f>
        <v>4</v>
      </c>
      <c r="U39" s="142">
        <f t="shared" si="13"/>
        <v>0</v>
      </c>
      <c r="V39" s="142">
        <f t="shared" si="14"/>
        <v>0</v>
      </c>
      <c r="W39" s="2">
        <f t="shared" si="15"/>
        <v>0</v>
      </c>
      <c r="Y39" s="2">
        <f t="shared" si="16"/>
        <v>0</v>
      </c>
    </row>
    <row r="40" spans="1:25" s="2" customFormat="1" ht="15" customHeight="1">
      <c r="A40" s="2" t="s">
        <v>39</v>
      </c>
      <c r="B40" s="46"/>
      <c r="C40" s="21"/>
      <c r="D40" s="229" t="s">
        <v>72</v>
      </c>
      <c r="E40" s="226">
        <f>IFERROR(VLOOKUP(D40,'Employee Numbers'!$A$3:$B$84,2,FALSE),"NOT FOUND")</f>
        <v>652844</v>
      </c>
      <c r="F40" s="29"/>
      <c r="G40" s="31" t="s">
        <v>63</v>
      </c>
      <c r="H40" s="31" t="s">
        <v>44</v>
      </c>
      <c r="I40" s="31" t="s">
        <v>44</v>
      </c>
      <c r="J40" s="31" t="s">
        <v>42</v>
      </c>
      <c r="K40" s="31"/>
      <c r="L40" s="228"/>
      <c r="N40">
        <f t="array" ref="N40">((SUM(IFERROR((TEXT(IF(ISNUMBER(SEARCH("-", F40:L40)), MID(F40:L40, SEARCH("-", F40:L40) + 1, 4), ""), "00\:00") - TEXT(IF(ISNUMBER(SEARCH("-", F40:L40)), MID(F40:L40, SEARCH("-", F40:L40) - 4, 4), ""), "00\:00") + IF(TEXT(IF(ISNUMBER(SEARCH("-", F40:L40)), MID(F40:L40, SEARCH("-", F40:L40) + 1, 4), ""), "00\:00") &lt; TEXT(IF(ISNUMBER(SEARCH("-", F40:L40)), MID(F40:L40, SEARCH("-", F40:L40) - 4, 4), ""), "00\:00"), 1, 0))*24,""))))/9.5</f>
        <v>4</v>
      </c>
      <c r="O40"/>
      <c r="P40" s="151">
        <f t="shared" si="11"/>
        <v>4</v>
      </c>
      <c r="R40" s="4">
        <f t="shared" ca="1" si="12"/>
        <v>4</v>
      </c>
      <c r="S40" s="2">
        <f>(IFERROR(VLOOKUP(D40,'Employee Numbers'!$A$3:$C$84,3,FALSE),"NOT FOUND"))*8</f>
        <v>4</v>
      </c>
      <c r="U40" s="142">
        <f t="shared" si="13"/>
        <v>2</v>
      </c>
      <c r="V40" s="142">
        <f t="shared" si="14"/>
        <v>1</v>
      </c>
      <c r="W40" s="2">
        <f t="shared" si="15"/>
        <v>1</v>
      </c>
      <c r="Y40" s="2">
        <f t="shared" si="16"/>
        <v>0</v>
      </c>
    </row>
    <row r="41" spans="1:25" s="2" customFormat="1" ht="15" customHeight="1">
      <c r="A41" s="162" t="s">
        <v>39</v>
      </c>
      <c r="B41" s="163"/>
      <c r="C41" s="164"/>
      <c r="D41" s="241" t="s">
        <v>73</v>
      </c>
      <c r="E41" s="165">
        <f>IFERROR(VLOOKUP(D41,'Employee Numbers'!$A$3:$B$84,2,FALSE),"NOT FOUND")</f>
        <v>634491</v>
      </c>
      <c r="F41" s="176" t="s">
        <v>41</v>
      </c>
      <c r="G41" s="166"/>
      <c r="H41" s="166" t="s">
        <v>44</v>
      </c>
      <c r="I41" s="166"/>
      <c r="J41" s="166" t="s">
        <v>42</v>
      </c>
      <c r="K41" s="166"/>
      <c r="L41" s="167" t="s">
        <v>54</v>
      </c>
      <c r="N41">
        <f t="array" ref="N41">((SUM(IFERROR((TEXT(IF(ISNUMBER(SEARCH("-", F41:L41)), MID(F41:L41, SEARCH("-", F41:L41) + 1, 4), ""), "00\:00") - TEXT(IF(ISNUMBER(SEARCH("-", F41:L41)), MID(F41:L41, SEARCH("-", F41:L41) - 4, 4), ""), "00\:00") + IF(TEXT(IF(ISNUMBER(SEARCH("-", F41:L41)), MID(F41:L41, SEARCH("-", F41:L41) + 1, 4), ""), "00\:00") &lt; TEXT(IF(ISNUMBER(SEARCH("-", F41:L41)), MID(F41:L41, SEARCH("-", F41:L41) - 4, 4), ""), "00\:00"), 1, 0))*24,""))))/9.5</f>
        <v>4</v>
      </c>
      <c r="O41"/>
      <c r="P41" s="151">
        <f t="shared" si="11"/>
        <v>4</v>
      </c>
      <c r="R41" s="4">
        <f t="shared" ca="1" si="12"/>
        <v>4</v>
      </c>
      <c r="S41" s="2">
        <f>(IFERROR(VLOOKUP(D41,'Employee Numbers'!$A$3:$C$84,3,FALSE),"NOT FOUND"))*8</f>
        <v>4</v>
      </c>
      <c r="U41" s="142">
        <f t="shared" si="13"/>
        <v>1</v>
      </c>
      <c r="V41" s="142">
        <f t="shared" si="14"/>
        <v>2</v>
      </c>
      <c r="W41" s="2">
        <f t="shared" si="15"/>
        <v>1</v>
      </c>
      <c r="Y41" s="2">
        <f t="shared" si="16"/>
        <v>1</v>
      </c>
    </row>
    <row r="42" spans="1:25" s="2" customFormat="1" ht="15" customHeight="1">
      <c r="A42" s="2" t="s">
        <v>39</v>
      </c>
      <c r="B42" s="46"/>
      <c r="C42" s="47"/>
      <c r="D42" s="227" t="s">
        <v>74</v>
      </c>
      <c r="E42" s="226">
        <f>IFERROR(VLOOKUP(D42,'Employee Numbers'!$A$3:$B$84,2,FALSE),"NOT FOUND")</f>
        <v>621988</v>
      </c>
      <c r="F42" s="29"/>
      <c r="G42" s="31" t="s">
        <v>42</v>
      </c>
      <c r="H42" s="31" t="s">
        <v>63</v>
      </c>
      <c r="I42" s="31"/>
      <c r="J42" s="31" t="s">
        <v>44</v>
      </c>
      <c r="K42" s="31" t="s">
        <v>44</v>
      </c>
      <c r="L42" s="228"/>
      <c r="N42">
        <f t="array" ref="N42">((SUM(IFERROR((TEXT(IF(ISNUMBER(SEARCH("-", F42:L42)), MID(F42:L42, SEARCH("-", F42:L42) + 1, 4), ""), "00\:00") - TEXT(IF(ISNUMBER(SEARCH("-", F42:L42)), MID(F42:L42, SEARCH("-", F42:L42) - 4, 4), ""), "00\:00") + IF(TEXT(IF(ISNUMBER(SEARCH("-", F42:L42)), MID(F42:L42, SEARCH("-", F42:L42) + 1, 4), ""), "00\:00") &lt; TEXT(IF(ISNUMBER(SEARCH("-", F42:L42)), MID(F42:L42, SEARCH("-", F42:L42) - 4, 4), ""), "00\:00"), 1, 0))*24,""))))/9.5</f>
        <v>4</v>
      </c>
      <c r="O42"/>
      <c r="P42" s="151">
        <f t="shared" si="11"/>
        <v>4</v>
      </c>
      <c r="R42" s="4">
        <f t="shared" ca="1" si="12"/>
        <v>4</v>
      </c>
      <c r="S42" s="2">
        <f>(IFERROR(VLOOKUP(D42,'Employee Numbers'!$A$3:$C$84,3,FALSE),"NOT FOUND"))*8</f>
        <v>4</v>
      </c>
      <c r="U42" s="142">
        <f t="shared" si="13"/>
        <v>2</v>
      </c>
      <c r="V42" s="142">
        <f t="shared" si="14"/>
        <v>1</v>
      </c>
      <c r="W42" s="2">
        <f t="shared" si="15"/>
        <v>1</v>
      </c>
      <c r="Y42" s="2">
        <f t="shared" si="16"/>
        <v>1</v>
      </c>
    </row>
    <row r="43" spans="1:25" s="2" customFormat="1" ht="15" customHeight="1">
      <c r="A43" s="162" t="s">
        <v>39</v>
      </c>
      <c r="B43" s="163"/>
      <c r="C43" s="238"/>
      <c r="D43" s="239" t="s">
        <v>76</v>
      </c>
      <c r="E43" s="165">
        <f>IFERROR(VLOOKUP(D43,'Employee Numbers'!$A$3:$B$84,2,FALSE),"NOT FOUND")</f>
        <v>409677</v>
      </c>
      <c r="F43" s="176" t="s">
        <v>44</v>
      </c>
      <c r="G43" s="166"/>
      <c r="H43" s="166"/>
      <c r="I43" s="166"/>
      <c r="J43" s="166"/>
      <c r="K43" s="166"/>
      <c r="L43" s="167" t="s">
        <v>44</v>
      </c>
      <c r="N43">
        <f t="array" ref="N43">((SUM(IFERROR((TEXT(IF(ISNUMBER(SEARCH("-", F43:L43)), MID(F43:L43, SEARCH("-", F43:L43) + 1, 4), ""), "00\:00") - TEXT(IF(ISNUMBER(SEARCH("-", F43:L43)), MID(F43:L43, SEARCH("-", F43:L43) - 4, 4), ""), "00\:00") + IF(TEXT(IF(ISNUMBER(SEARCH("-", F43:L43)), MID(F43:L43, SEARCH("-", F43:L43) + 1, 4), ""), "00\:00") &lt; TEXT(IF(ISNUMBER(SEARCH("-", F43:L43)), MID(F43:L43, SEARCH("-", F43:L43) - 4, 4), ""), "00\:00"), 1, 0))*24,""))))/9.5</f>
        <v>2</v>
      </c>
      <c r="O43"/>
      <c r="P43" s="151">
        <f t="shared" si="11"/>
        <v>2</v>
      </c>
      <c r="R43" s="4">
        <f t="shared" ca="1" si="12"/>
        <v>3</v>
      </c>
      <c r="S43" s="2">
        <f>(IFERROR(VLOOKUP(D43,'Employee Numbers'!$A$3:$C$84,3,FALSE),"NOT FOUND"))*8</f>
        <v>3</v>
      </c>
      <c r="U43" s="142">
        <f t="shared" si="13"/>
        <v>1</v>
      </c>
      <c r="V43" s="142">
        <f t="shared" si="14"/>
        <v>0</v>
      </c>
      <c r="W43" s="2">
        <f t="shared" si="15"/>
        <v>0</v>
      </c>
      <c r="Y43" s="2">
        <f t="shared" si="16"/>
        <v>1</v>
      </c>
    </row>
    <row r="44" spans="1:25" s="2" customFormat="1" ht="15" customHeight="1">
      <c r="A44" s="2" t="s">
        <v>39</v>
      </c>
      <c r="B44" s="46"/>
      <c r="C44" s="47"/>
      <c r="D44" s="249" t="s">
        <v>77</v>
      </c>
      <c r="E44" s="226">
        <f>IFERROR(VLOOKUP(D44,'Employee Numbers'!$A$3:$B$84,2,FALSE),"NOT FOUND")</f>
        <v>632590</v>
      </c>
      <c r="F44" s="29"/>
      <c r="G44" s="31"/>
      <c r="H44" s="31"/>
      <c r="I44" s="31"/>
      <c r="J44" s="31"/>
      <c r="K44" s="31"/>
      <c r="L44" s="228"/>
      <c r="N44">
        <f t="array" ref="N44">((SUM(IFERROR((TEXT(IF(ISNUMBER(SEARCH("-", F44:L44)), MID(F44:L44, SEARCH("-", F44:L44) + 1, 4), ""), "00\:00") - TEXT(IF(ISNUMBER(SEARCH("-", F44:L44)), MID(F44:L44, SEARCH("-", F44:L44) - 4, 4), ""), "00\:00") + IF(TEXT(IF(ISNUMBER(SEARCH("-", F44:L44)), MID(F44:L44, SEARCH("-", F44:L44) + 1, 4), ""), "00\:00") &lt; TEXT(IF(ISNUMBER(SEARCH("-", F44:L44)), MID(F44:L44, SEARCH("-", F44:L44) - 4, 4), ""), "00\:00"), 1, 0))*24,""))))/9.5</f>
        <v>0</v>
      </c>
      <c r="O44"/>
      <c r="P44" s="151">
        <f t="shared" si="11"/>
        <v>0</v>
      </c>
      <c r="R44" s="4">
        <f t="shared" ca="1" si="12"/>
        <v>4</v>
      </c>
      <c r="S44" s="2">
        <f>(IFERROR(VLOOKUP(D44,'Employee Numbers'!$A$3:$C$84,3,FALSE),"NOT FOUND"))*8</f>
        <v>4</v>
      </c>
      <c r="U44" s="142">
        <f t="shared" si="13"/>
        <v>0</v>
      </c>
      <c r="V44" s="142">
        <f t="shared" si="14"/>
        <v>0</v>
      </c>
      <c r="W44" s="2">
        <f t="shared" si="15"/>
        <v>0</v>
      </c>
      <c r="Y44" s="2">
        <f t="shared" si="16"/>
        <v>0</v>
      </c>
    </row>
    <row r="45" spans="1:25" s="2" customFormat="1" ht="15" customHeight="1">
      <c r="A45" s="162" t="s">
        <v>39</v>
      </c>
      <c r="B45" s="163"/>
      <c r="C45" s="238"/>
      <c r="D45" s="240" t="s">
        <v>78</v>
      </c>
      <c r="E45" s="165">
        <f>IFERROR(VLOOKUP(D45,'Employee Numbers'!$A$3:$B$84,2,FALSE),"NOT FOUND")</f>
        <v>619537</v>
      </c>
      <c r="F45" s="176"/>
      <c r="G45" s="166"/>
      <c r="H45" s="166"/>
      <c r="I45" s="166"/>
      <c r="J45" s="166"/>
      <c r="K45" s="166"/>
      <c r="L45" s="167"/>
      <c r="N45">
        <f t="array" ref="N45">((SUM(IFERROR((TEXT(IF(ISNUMBER(SEARCH("-", F45:L45)), MID(F45:L45, SEARCH("-", F45:L45) + 1, 4), ""), "00\:00") - TEXT(IF(ISNUMBER(SEARCH("-", F45:L45)), MID(F45:L45, SEARCH("-", F45:L45) - 4, 4), ""), "00\:00") + IF(TEXT(IF(ISNUMBER(SEARCH("-", F45:L45)), MID(F45:L45, SEARCH("-", F45:L45) + 1, 4), ""), "00\:00") &lt; TEXT(IF(ISNUMBER(SEARCH("-", F45:L45)), MID(F45:L45, SEARCH("-", F45:L45) - 4, 4), ""), "00\:00"), 1, 0))*24,""))))/9.5</f>
        <v>0</v>
      </c>
      <c r="O45"/>
      <c r="P45" s="151">
        <f t="shared" si="11"/>
        <v>0</v>
      </c>
      <c r="R45" s="4">
        <f t="shared" ca="1" si="12"/>
        <v>1</v>
      </c>
      <c r="S45" s="2">
        <f>(IFERROR(VLOOKUP(D45,'Employee Numbers'!$A$3:$C$84,3,FALSE),"NOT FOUND"))*8</f>
        <v>1</v>
      </c>
      <c r="U45" s="142">
        <f t="shared" si="13"/>
        <v>0</v>
      </c>
      <c r="V45" s="142">
        <f t="shared" si="14"/>
        <v>0</v>
      </c>
      <c r="W45" s="2">
        <f t="shared" si="15"/>
        <v>0</v>
      </c>
      <c r="Y45" s="2">
        <f t="shared" si="16"/>
        <v>0</v>
      </c>
    </row>
    <row r="46" spans="1:25" s="2" customFormat="1" ht="15" customHeight="1">
      <c r="A46" s="2" t="s">
        <v>39</v>
      </c>
      <c r="B46" s="46"/>
      <c r="C46" s="47"/>
      <c r="D46" s="229" t="s">
        <v>79</v>
      </c>
      <c r="E46" s="226">
        <f>IFERROR(VLOOKUP(D46,'Employee Numbers'!$A$3:$B$84,2,FALSE),"NOT FOUND")</f>
        <v>621953</v>
      </c>
      <c r="F46" s="29"/>
      <c r="G46" s="31"/>
      <c r="H46" s="31"/>
      <c r="I46" s="31"/>
      <c r="J46" s="31"/>
      <c r="K46" s="31" t="s">
        <v>54</v>
      </c>
      <c r="L46" s="228"/>
      <c r="N46">
        <f t="array" ref="N46">((SUM(IFERROR((TEXT(IF(ISNUMBER(SEARCH("-", F46:L46)), MID(F46:L46, SEARCH("-", F46:L46) + 1, 4), ""), "00\:00") - TEXT(IF(ISNUMBER(SEARCH("-", F46:L46)), MID(F46:L46, SEARCH("-", F46:L46) - 4, 4), ""), "00\:00") + IF(TEXT(IF(ISNUMBER(SEARCH("-", F46:L46)), MID(F46:L46, SEARCH("-", F46:L46) + 1, 4), ""), "00\:00") &lt; TEXT(IF(ISNUMBER(SEARCH("-", F46:L46)), MID(F46:L46, SEARCH("-", F46:L46) - 4, 4), ""), "00\:00"), 1, 0))*24,""))))/9.5</f>
        <v>1</v>
      </c>
      <c r="O46"/>
      <c r="P46" s="151">
        <f t="shared" si="11"/>
        <v>1</v>
      </c>
      <c r="R46" s="4">
        <f t="shared" ca="1" si="12"/>
        <v>1</v>
      </c>
      <c r="S46" s="2">
        <f>(IFERROR(VLOOKUP(D46,'Employee Numbers'!$A$3:$C$84,3,FALSE),"NOT FOUND"))*8</f>
        <v>1</v>
      </c>
      <c r="U46" s="142">
        <f t="shared" si="13"/>
        <v>0</v>
      </c>
      <c r="V46" s="142">
        <f t="shared" si="14"/>
        <v>1</v>
      </c>
      <c r="W46" s="2">
        <f t="shared" si="15"/>
        <v>0</v>
      </c>
      <c r="Y46" s="2">
        <f t="shared" si="16"/>
        <v>1</v>
      </c>
    </row>
    <row r="47" spans="1:25" s="2" customFormat="1" ht="15" customHeight="1">
      <c r="A47" s="162" t="s">
        <v>39</v>
      </c>
      <c r="B47" s="163"/>
      <c r="C47" s="164"/>
      <c r="D47" s="242" t="s">
        <v>80</v>
      </c>
      <c r="E47" s="165">
        <f>IFERROR(VLOOKUP(D47,'Employee Numbers'!$A$3:$B$84,2,FALSE),"NOT FOUND")</f>
        <v>614504</v>
      </c>
      <c r="F47" s="176"/>
      <c r="G47" s="166"/>
      <c r="H47" s="166"/>
      <c r="I47" s="166"/>
      <c r="J47" s="166"/>
      <c r="K47" s="166"/>
      <c r="L47" s="167"/>
      <c r="N47">
        <f t="array" ref="N47">((SUM(IFERROR((TEXT(IF(ISNUMBER(SEARCH("-", F47:L47)), MID(F47:L47, SEARCH("-", F47:L47) + 1, 4), ""), "00\:00") - TEXT(IF(ISNUMBER(SEARCH("-", F47:L47)), MID(F47:L47, SEARCH("-", F47:L47) - 4, 4), ""), "00\:00") + IF(TEXT(IF(ISNUMBER(SEARCH("-", F47:L47)), MID(F47:L47, SEARCH("-", F47:L47) + 1, 4), ""), "00\:00") &lt; TEXT(IF(ISNUMBER(SEARCH("-", F47:L47)), MID(F47:L47, SEARCH("-", F47:L47) - 4, 4), ""), "00\:00"), 1, 0))*24,""))))/9.5</f>
        <v>0</v>
      </c>
      <c r="O47"/>
      <c r="P47" s="178">
        <f t="shared" si="11"/>
        <v>0</v>
      </c>
      <c r="R47" s="3">
        <f t="shared" ca="1" si="12"/>
        <v>1</v>
      </c>
      <c r="S47" s="2">
        <f>(IFERROR(VLOOKUP(D47,'Employee Numbers'!$A$3:$C$84,3,FALSE),"NOT FOUND"))*8</f>
        <v>1</v>
      </c>
      <c r="U47" s="142">
        <f t="shared" si="13"/>
        <v>0</v>
      </c>
      <c r="V47" s="142">
        <f t="shared" si="14"/>
        <v>0</v>
      </c>
      <c r="W47" s="2">
        <f t="shared" si="15"/>
        <v>0</v>
      </c>
      <c r="Y47" s="2">
        <f t="shared" si="16"/>
        <v>0</v>
      </c>
    </row>
    <row r="48" spans="1:25" s="2" customFormat="1" ht="15" customHeight="1">
      <c r="A48" s="2" t="s">
        <v>39</v>
      </c>
      <c r="B48" s="46"/>
      <c r="C48" s="21"/>
      <c r="D48" s="230" t="s">
        <v>81</v>
      </c>
      <c r="E48" s="226" t="str">
        <f>IFERROR(VLOOKUP(D48,'Employee Numbers'!$A$3:$B$84,2,FALSE),"NOT FOUND")</f>
        <v>N/A</v>
      </c>
      <c r="F48" s="29"/>
      <c r="G48" s="31"/>
      <c r="H48" s="31"/>
      <c r="I48" s="31"/>
      <c r="J48" s="31"/>
      <c r="K48" s="31"/>
      <c r="L48" s="228"/>
    </row>
    <row r="49" spans="1:21" s="2" customFormat="1" ht="15" customHeight="1" thickBot="1">
      <c r="A49" s="162" t="s">
        <v>39</v>
      </c>
      <c r="B49" s="163"/>
      <c r="C49" s="238"/>
      <c r="D49" s="243" t="s">
        <v>81</v>
      </c>
      <c r="E49" s="248" t="str">
        <f>IFERROR(VLOOKUP(D49,'Employee Numbers'!$A$3:$B$84,2,FALSE),"NOT FOUND")</f>
        <v>N/A</v>
      </c>
      <c r="F49" s="245"/>
      <c r="G49" s="246"/>
      <c r="H49" s="246"/>
      <c r="I49" s="246"/>
      <c r="J49" s="246"/>
      <c r="K49" s="246"/>
      <c r="L49" s="247"/>
    </row>
    <row r="50" spans="1:21" s="2" customFormat="1" ht="15" customHeight="1" thickBot="1">
      <c r="B50" s="46"/>
      <c r="C50" s="21"/>
      <c r="D50" s="16" t="s">
        <v>82</v>
      </c>
      <c r="E50" s="58"/>
      <c r="F50" s="28" t="s">
        <v>66</v>
      </c>
      <c r="G50" s="59" t="s">
        <v>58</v>
      </c>
      <c r="H50" s="59" t="s">
        <v>72</v>
      </c>
      <c r="I50" s="59" t="s">
        <v>61</v>
      </c>
      <c r="J50" s="59" t="s">
        <v>56</v>
      </c>
      <c r="K50" s="59" t="s">
        <v>43</v>
      </c>
      <c r="L50" s="60" t="s">
        <v>76</v>
      </c>
    </row>
    <row r="51" spans="1:21" s="2" customFormat="1" ht="15" customHeight="1">
      <c r="B51" s="46"/>
      <c r="C51" s="21"/>
      <c r="E51" s="21"/>
      <c r="R51" s="2">
        <f>(N54+P54)*9.5/38*5</f>
        <v>3.75</v>
      </c>
    </row>
    <row r="52" spans="1:21" s="2" customFormat="1" ht="15.75" customHeight="1">
      <c r="B52" s="46"/>
      <c r="C52" s="21"/>
      <c r="E52" s="21"/>
      <c r="F52" s="126">
        <f t="shared" ref="F52:L52" si="17">F2</f>
        <v>46209</v>
      </c>
      <c r="G52" s="126">
        <f t="shared" si="17"/>
        <v>46210</v>
      </c>
      <c r="H52" s="126">
        <f t="shared" si="17"/>
        <v>46211</v>
      </c>
      <c r="I52" s="126">
        <f t="shared" si="17"/>
        <v>46212</v>
      </c>
      <c r="J52" s="126">
        <f t="shared" si="17"/>
        <v>46213</v>
      </c>
      <c r="K52" s="126">
        <f t="shared" si="17"/>
        <v>46214</v>
      </c>
      <c r="L52" s="126">
        <f t="shared" si="17"/>
        <v>46215</v>
      </c>
      <c r="M52" s="34"/>
      <c r="N52" s="152" t="s">
        <v>27</v>
      </c>
      <c r="O52" s="152" t="s">
        <v>83</v>
      </c>
      <c r="P52" s="152" t="s">
        <v>84</v>
      </c>
      <c r="Q52" s="2" t="s">
        <v>29</v>
      </c>
      <c r="R52" s="152" t="s">
        <v>85</v>
      </c>
      <c r="S52" s="152" t="s">
        <v>30</v>
      </c>
      <c r="T52" s="152" t="s">
        <v>31</v>
      </c>
      <c r="U52" s="152"/>
    </row>
    <row r="53" spans="1:21" s="2" customFormat="1" ht="30" customHeight="1">
      <c r="A53" s="168" t="s">
        <v>86</v>
      </c>
      <c r="B53" s="169"/>
      <c r="C53" s="169"/>
      <c r="D53" s="169" t="s">
        <v>86</v>
      </c>
      <c r="E53" s="127" t="s">
        <v>4</v>
      </c>
      <c r="F53" s="266" t="s">
        <v>5</v>
      </c>
      <c r="G53" s="267" t="s">
        <v>6</v>
      </c>
      <c r="H53" s="268" t="s">
        <v>87</v>
      </c>
      <c r="I53" s="267" t="s">
        <v>8</v>
      </c>
      <c r="J53" s="267" t="s">
        <v>9</v>
      </c>
      <c r="K53" s="267" t="s">
        <v>10</v>
      </c>
      <c r="L53" s="269" t="s">
        <v>11</v>
      </c>
      <c r="M53" s="34"/>
      <c r="N53" s="147" t="s">
        <v>32</v>
      </c>
      <c r="O53" s="147" t="s">
        <v>88</v>
      </c>
      <c r="P53" s="147" t="s">
        <v>89</v>
      </c>
      <c r="R53" s="145" t="s">
        <v>90</v>
      </c>
      <c r="S53" s="147" t="s">
        <v>32</v>
      </c>
      <c r="T53" s="147" t="s">
        <v>32</v>
      </c>
      <c r="U53" s="147"/>
    </row>
    <row r="54" spans="1:21" s="2" customFormat="1" ht="15" customHeight="1">
      <c r="A54" s="44" t="s">
        <v>91</v>
      </c>
      <c r="B54" s="44"/>
      <c r="C54" s="45"/>
      <c r="D54" s="123" t="s">
        <v>92</v>
      </c>
      <c r="E54" s="284">
        <f>IFERROR(VLOOKUP(D54,'Employee Numbers'!$A$3:$B$84,2,FALSE),"NOT FOUND")</f>
        <v>634905</v>
      </c>
      <c r="F54" s="264"/>
      <c r="G54" s="264" t="s">
        <v>42</v>
      </c>
      <c r="H54" s="264" t="s">
        <v>42</v>
      </c>
      <c r="I54" s="264"/>
      <c r="J54" s="275"/>
      <c r="K54" s="264"/>
      <c r="L54" s="264" t="s">
        <v>42</v>
      </c>
      <c r="N54">
        <f t="array" ref="N54">((SUM(IFERROR((TEXT(IF(ISNUMBER(SEARCH("-", F54:L54)), MID(F54:L54, SEARCH("-", F54:L54) + 1, 4), ""), "00\:00") - TEXT(IF(ISNUMBER(SEARCH("-", F54:L54)), MID(F54:L54, SEARCH("-", F54:L54) - 4, 4), ""), "00\:00") + IF(TEXT(IF(ISNUMBER(SEARCH("-", F54:L54)), MID(F54:L54, SEARCH("-", F54:L54) + 1, 4), ""), "00\:00") &lt; TEXT(IF(ISNUMBER(SEARCH("-", F54:L54)), MID(F54:L54, SEARCH("-", F54:L54) - 4, 4), ""), "00\:00"), 1, 0))*24,""))))/9.5</f>
        <v>3</v>
      </c>
      <c r="O54"/>
      <c r="P54"/>
      <c r="Q54" s="2">
        <f>P54+O54+N54</f>
        <v>3</v>
      </c>
      <c r="R54" s="2">
        <f>IF(ISNUMBER(SEARCH("trg_5",H146)),5,IF(ISNUMBER(SEARCH("trg_3.75",H146)),3.75,IF(ISNUMBER(SEARCH("trg_2.5",H146)),2.5,IF(ISNUMBER(SEARCH("trg_1.75",H146)),1.75,0))))</f>
        <v>3.75</v>
      </c>
      <c r="S54">
        <f ca="1">IF($C$4=1,SUM(Q54+INDIRECT("'Week "&amp;($B$3+1)&amp;"'!Q"&amp;(ROW()))),IF($C$4=2,SUM(Q54+INDIRECT("'Week "&amp;($B$3-1)&amp;"'!Q"&amp;(ROW())))))</f>
        <v>6</v>
      </c>
      <c r="T54" s="2">
        <f>(IFERROR(VLOOKUP(D54,'Employee Numbers'!$A$3:$C$84,3,FALSE),"NOT FOUND"))*8</f>
        <v>8</v>
      </c>
    </row>
    <row r="55" spans="1:21" s="13" customFormat="1" ht="15" customHeight="1">
      <c r="A55" s="2" t="s">
        <v>91</v>
      </c>
      <c r="B55" s="2"/>
      <c r="C55" s="21"/>
      <c r="D55" s="86" t="s">
        <v>93</v>
      </c>
      <c r="E55" s="285">
        <f>IFERROR(VLOOKUP(D55,'Employee Numbers'!$A$3:$B$84,2,FALSE),"NOT FOUND")</f>
        <v>704751</v>
      </c>
      <c r="F55" s="264" t="s">
        <v>42</v>
      </c>
      <c r="G55" s="264" t="s">
        <v>41</v>
      </c>
      <c r="H55" s="264"/>
      <c r="I55" s="264"/>
      <c r="J55" s="264"/>
      <c r="K55" s="264" t="s">
        <v>42</v>
      </c>
      <c r="L55" s="264" t="s">
        <v>42</v>
      </c>
      <c r="N55">
        <f t="array" ref="N55">((SUM(IFERROR((TEXT(IF(ISNUMBER(SEARCH("-", F55:L55)), MID(F55:L55, SEARCH("-", F55:L55) + 1, 4), ""), "00\:00") - TEXT(IF(ISNUMBER(SEARCH("-", F55:L55)), MID(F55:L55, SEARCH("-", F55:L55) - 4, 4), ""), "00\:00") + IF(TEXT(IF(ISNUMBER(SEARCH("-", F55:L55)), MID(F55:L55, SEARCH("-", F55:L55) + 1, 4), ""), "00\:00") &lt; TEXT(IF(ISNUMBER(SEARCH("-", F55:L55)), MID(F55:L55, SEARCH("-", F55:L55) - 4, 4), ""), "00\:00"), 1, 0))*24,""))))/9.5</f>
        <v>4</v>
      </c>
      <c r="O55"/>
      <c r="P55"/>
      <c r="Q55" s="2">
        <f t="shared" ref="Q55:Q59" si="18">P55+O55+N55</f>
        <v>4</v>
      </c>
      <c r="R55" s="2">
        <f t="shared" ref="R55:R59" si="19">IF(ISNUMBER(SEARCH("trg_5",H147)),5,IF(ISNUMBER(SEARCH("trg_3.75",H147)),3.75,IF(ISNUMBER(SEARCH("trg_2.5",H147)),2.5,IF(ISNUMBER(SEARCH("trg_1.75",H147)),1.75,0))))</f>
        <v>5</v>
      </c>
      <c r="S55">
        <f t="shared" ref="S55:S59" ca="1" si="20">IF($C$4=1,SUM(Q55+INDIRECT("'Week "&amp;($B$3+1)&amp;"'!Q"&amp;(ROW()))),IF($C$4=2,SUM(Q55+INDIRECT("'Week "&amp;($B$3-1)&amp;"'!Q"&amp;(ROW())))))</f>
        <v>4</v>
      </c>
      <c r="T55" s="2">
        <f>(IFERROR(VLOOKUP(D55,'Employee Numbers'!$A$3:$C$84,3,FALSE),"NOT FOUND"))*8</f>
        <v>0</v>
      </c>
      <c r="U55" s="2"/>
    </row>
    <row r="56" spans="1:21" s="2" customFormat="1" ht="15" customHeight="1">
      <c r="A56" s="44" t="s">
        <v>91</v>
      </c>
      <c r="B56" s="44"/>
      <c r="C56" s="45"/>
      <c r="D56" s="85" t="s">
        <v>94</v>
      </c>
      <c r="E56" s="285">
        <f>IFERROR(VLOOKUP(D56,'Employee Numbers'!$A$3:$B$84,2,FALSE),"NOT FOUND")</f>
        <v>637219</v>
      </c>
      <c r="F56" s="264" t="s">
        <v>42</v>
      </c>
      <c r="G56" s="264"/>
      <c r="H56" s="355" t="s">
        <v>44</v>
      </c>
      <c r="I56" s="264" t="s">
        <v>42</v>
      </c>
      <c r="J56" s="264" t="s">
        <v>42</v>
      </c>
      <c r="K56" s="264"/>
      <c r="L56" s="264"/>
      <c r="N56">
        <f t="array" ref="N56">((SUM(IFERROR((TEXT(IF(ISNUMBER(SEARCH("-", F56:L56)), MID(F56:L56, SEARCH("-", F56:L56) + 1, 4), ""), "00\:00") - TEXT(IF(ISNUMBER(SEARCH("-", F56:L56)), MID(F56:L56, SEARCH("-", F56:L56) - 4, 4), ""), "00\:00") + IF(TEXT(IF(ISNUMBER(SEARCH("-", F56:L56)), MID(F56:L56, SEARCH("-", F56:L56) + 1, 4), ""), "00\:00") &lt; TEXT(IF(ISNUMBER(SEARCH("-", F56:L56)), MID(F56:L56, SEARCH("-", F56:L56) - 4, 4), ""), "00\:00"), 1, 0))*24,""))))/9.5</f>
        <v>4</v>
      </c>
      <c r="O56"/>
      <c r="P56"/>
      <c r="Q56" s="2">
        <f t="shared" si="18"/>
        <v>4</v>
      </c>
      <c r="R56" s="2">
        <f t="shared" si="19"/>
        <v>5</v>
      </c>
      <c r="S56">
        <f t="shared" ca="1" si="20"/>
        <v>4</v>
      </c>
      <c r="T56" s="2">
        <f>(IFERROR(VLOOKUP(D56,'Employee Numbers'!$A$3:$C$84,3,FALSE),"NOT FOUND"))*8</f>
        <v>0</v>
      </c>
    </row>
    <row r="57" spans="1:21" s="13" customFormat="1" ht="15" customHeight="1">
      <c r="A57" s="2" t="s">
        <v>91</v>
      </c>
      <c r="B57" s="2"/>
      <c r="C57" s="21"/>
      <c r="D57" s="86"/>
      <c r="E57" s="39" t="str">
        <f>IFERROR(VLOOKUP(D57,'Employee Numbers'!$A$3:$B$84,2,FALSE),"NOT FOUND")</f>
        <v>NOT FOUND</v>
      </c>
      <c r="F57" s="125"/>
      <c r="G57" s="125"/>
      <c r="H57" s="125"/>
      <c r="I57" s="125"/>
      <c r="J57" s="125"/>
      <c r="K57" s="125"/>
      <c r="L57" s="125"/>
      <c r="N57">
        <f t="array" ref="N57">((SUM(IFERROR((TEXT(IF(ISNUMBER(SEARCH("-", F57:L57)), MID(F57:L57, SEARCH("-", F57:L57) + 1, 4), ""), "00\:00") - TEXT(IF(ISNUMBER(SEARCH("-", F57:L57)), MID(F57:L57, SEARCH("-", F57:L57) - 4, 4), ""), "00\:00") + IF(TEXT(IF(ISNUMBER(SEARCH("-", F57:L57)), MID(F57:L57, SEARCH("-", F57:L57) + 1, 4), ""), "00\:00") &lt; TEXT(IF(ISNUMBER(SEARCH("-", F57:L57)), MID(F57:L57, SEARCH("-", F57:L57) - 4, 4), ""), "00\:00"), 1, 0))*24,""))))/9.5</f>
        <v>0</v>
      </c>
      <c r="O57"/>
      <c r="P57"/>
      <c r="Q57" s="2">
        <f t="shared" si="18"/>
        <v>0</v>
      </c>
      <c r="R57" s="2">
        <f t="shared" si="19"/>
        <v>2.5</v>
      </c>
      <c r="S57">
        <f t="shared" ca="1" si="20"/>
        <v>0</v>
      </c>
      <c r="T57" s="2" t="e">
        <f>(IFERROR(VLOOKUP(D57,'Employee Numbers'!$A$3:$C$84,3,FALSE),"NOT FOUND"))*8</f>
        <v>#VALUE!</v>
      </c>
      <c r="U57" s="2"/>
    </row>
    <row r="58" spans="1:21" s="2" customFormat="1" ht="15" customHeight="1">
      <c r="A58" s="44" t="s">
        <v>91</v>
      </c>
      <c r="B58" s="44"/>
      <c r="C58" s="45"/>
      <c r="D58" s="85"/>
      <c r="E58" s="39" t="str">
        <f>IFERROR(VLOOKUP(D58,'Employee Numbers'!$A$3:$B$84,2,FALSE),"NOT FOUND")</f>
        <v>NOT FOUND</v>
      </c>
      <c r="F58" s="110"/>
      <c r="G58" s="110"/>
      <c r="H58" s="110"/>
      <c r="I58" s="110"/>
      <c r="J58" s="110"/>
      <c r="K58" s="110"/>
      <c r="L58" s="110"/>
      <c r="N58">
        <f t="array" ref="N58">((SUM(IFERROR((TEXT(IF(ISNUMBER(SEARCH("-", F58:L58)), MID(F58:L58, SEARCH("-", F58:L58) + 1, 4), ""), "00\:00") - TEXT(IF(ISNUMBER(SEARCH("-", F58:L58)), MID(F58:L58, SEARCH("-", F58:L58) - 4, 4), ""), "00\:00") + IF(TEXT(IF(ISNUMBER(SEARCH("-", F58:L58)), MID(F58:L58, SEARCH("-", F58:L58) + 1, 4), ""), "00\:00") &lt; TEXT(IF(ISNUMBER(SEARCH("-", F58:L58)), MID(F58:L58, SEARCH("-", F58:L58) - 4, 4), ""), "00\:00"), 1, 0))*24,""))))/9.5</f>
        <v>0</v>
      </c>
      <c r="O58"/>
      <c r="P58"/>
      <c r="Q58" s="2">
        <f t="shared" si="18"/>
        <v>0</v>
      </c>
      <c r="R58" s="2">
        <f t="shared" si="19"/>
        <v>2.5</v>
      </c>
      <c r="S58">
        <f t="shared" ca="1" si="20"/>
        <v>0</v>
      </c>
      <c r="T58" s="2" t="e">
        <f>(IFERROR(VLOOKUP(D58,'Employee Numbers'!$A$3:$C$84,3,FALSE),"NOT FOUND"))*8</f>
        <v>#VALUE!</v>
      </c>
    </row>
    <row r="59" spans="1:21" s="13" customFormat="1" ht="15" customHeight="1">
      <c r="A59" s="2" t="s">
        <v>91</v>
      </c>
      <c r="B59" s="2"/>
      <c r="C59" s="21"/>
      <c r="D59" s="86"/>
      <c r="E59" s="39" t="str">
        <f>IFERROR(VLOOKUP(D59,'Employee Numbers'!$A$3:$B$84,2,FALSE),"NOT FOUND")</f>
        <v>NOT FOUND</v>
      </c>
      <c r="F59" s="110"/>
      <c r="G59" s="110"/>
      <c r="H59" s="110"/>
      <c r="I59" s="110"/>
      <c r="J59" s="110"/>
      <c r="K59" s="110"/>
      <c r="L59" s="110"/>
      <c r="N59">
        <f t="array" ref="N59">((SUM(IFERROR((TEXT(IF(ISNUMBER(SEARCH("-", F59:L59)), MID(F59:L59, SEARCH("-", F59:L59) + 1, 4), ""), "00\:00") - TEXT(IF(ISNUMBER(SEARCH("-", F59:L59)), MID(F59:L59, SEARCH("-", F59:L59) - 4, 4), ""), "00\:00") + IF(TEXT(IF(ISNUMBER(SEARCH("-", F59:L59)), MID(F59:L59, SEARCH("-", F59:L59) + 1, 4), ""), "00\:00") &lt; TEXT(IF(ISNUMBER(SEARCH("-", F59:L59)), MID(F59:L59, SEARCH("-", F59:L59) - 4, 4), ""), "00\:00"), 1, 0))*24,""))))/9.5</f>
        <v>0</v>
      </c>
      <c r="O59"/>
      <c r="P59"/>
      <c r="Q59" s="2">
        <f t="shared" si="18"/>
        <v>0</v>
      </c>
      <c r="R59" s="2">
        <f t="shared" si="19"/>
        <v>2.5</v>
      </c>
      <c r="S59">
        <f t="shared" ca="1" si="20"/>
        <v>0</v>
      </c>
      <c r="T59" s="2" t="e">
        <f>(IFERROR(VLOOKUP(D59,'Employee Numbers'!$A$3:$C$84,3,FALSE),"NOT FOUND"))*8</f>
        <v>#VALUE!</v>
      </c>
      <c r="U59" s="2"/>
    </row>
    <row r="60" spans="1:21" s="2" customFormat="1" ht="30" customHeight="1">
      <c r="A60" s="170" t="s">
        <v>96</v>
      </c>
      <c r="B60" s="131"/>
      <c r="C60" s="132"/>
      <c r="D60" s="171" t="s">
        <v>97</v>
      </c>
      <c r="E60" s="133" t="s">
        <v>4</v>
      </c>
      <c r="F60" s="270" t="s">
        <v>5</v>
      </c>
      <c r="G60" s="270" t="s">
        <v>6</v>
      </c>
      <c r="H60" s="271" t="s">
        <v>87</v>
      </c>
      <c r="I60" s="270" t="s">
        <v>8</v>
      </c>
      <c r="J60" s="270" t="s">
        <v>9</v>
      </c>
      <c r="K60" s="270" t="s">
        <v>10</v>
      </c>
      <c r="L60" s="272" t="s">
        <v>11</v>
      </c>
      <c r="N60"/>
      <c r="O60"/>
      <c r="P60"/>
    </row>
    <row r="61" spans="1:21" s="2" customFormat="1" ht="15" customHeight="1">
      <c r="A61" s="2" t="s">
        <v>98</v>
      </c>
      <c r="C61" s="47"/>
      <c r="D61" s="262" t="s">
        <v>99</v>
      </c>
      <c r="E61" s="284">
        <f>IFERROR(VLOOKUP(D61,'Employee Numbers'!$A$3:$B$84,2,FALSE),"NOT FOUND")</f>
        <v>638531</v>
      </c>
      <c r="F61" s="264"/>
      <c r="G61" s="264"/>
      <c r="H61" s="264"/>
      <c r="I61" s="264" t="s">
        <v>44</v>
      </c>
      <c r="J61" s="264" t="s">
        <v>44</v>
      </c>
      <c r="K61" s="264" t="s">
        <v>42</v>
      </c>
      <c r="L61" s="264" t="s">
        <v>42</v>
      </c>
      <c r="N61">
        <f t="array" ref="N61">((SUM(IFERROR((TEXT(IF(ISNUMBER(SEARCH("-", F61:L61)), MID(F61:L61, SEARCH("-", F61:L61) + 1, 4), ""), "00\:00") - TEXT(IF(ISNUMBER(SEARCH("-", F61:L61)), MID(F61:L61, SEARCH("-", F61:L61) - 4, 4), ""), "00\:00") + IF(TEXT(IF(ISNUMBER(SEARCH("-", F61:L61)), MID(F61:L61, SEARCH("-", F61:L61) + 1, 4), ""), "00\:00") &lt; TEXT(IF(ISNUMBER(SEARCH("-", F61:L61)), MID(F61:L61, SEARCH("-", F61:L61) - 4, 4), ""), "00\:00"), 1, 0))*24,""))))/9.5</f>
        <v>4</v>
      </c>
      <c r="O61"/>
      <c r="P61"/>
      <c r="Q61" s="2">
        <f>P61+O61+N61</f>
        <v>4</v>
      </c>
      <c r="R61" s="2">
        <f>IF(ISNUMBER(SEARCH("trg_5",H153)),5,IF(ISNUMBER(SEARCH("trg_3.75",H153)),3.75,IF(ISNUMBER(SEARCH("trg_2.5",H153)),2.5,IF(ISNUMBER(SEARCH("trg_1.75",H153)),1.75,0))))</f>
        <v>5</v>
      </c>
      <c r="S61">
        <f ca="1">IF($C$4=1,SUM(Q61+INDIRECT("'Week "&amp;($B$3+1)&amp;"'!Q"&amp;(ROW()))),IF($C$4=2,SUM(Q61+INDIRECT("'Week "&amp;($B$3-1)&amp;"'!Q"&amp;(ROW())))))</f>
        <v>8</v>
      </c>
      <c r="T61" s="2">
        <f>(IFERROR(VLOOKUP(D61,'Employee Numbers'!$A$3:$C$84,3,FALSE),"NOT FOUND"))*8</f>
        <v>0</v>
      </c>
    </row>
    <row r="62" spans="1:21" s="2" customFormat="1" ht="15" customHeight="1">
      <c r="A62" s="44" t="s">
        <v>98</v>
      </c>
      <c r="B62" s="44"/>
      <c r="C62" s="45"/>
      <c r="D62" s="262" t="s">
        <v>101</v>
      </c>
      <c r="E62" s="285">
        <f>IFERROR(VLOOKUP(D62,'Employee Numbers'!$A$3:$B$84,2,FALSE),"NOT FOUND")</f>
        <v>631715</v>
      </c>
      <c r="F62" s="274" t="s">
        <v>176</v>
      </c>
      <c r="G62" s="274"/>
      <c r="H62" s="274"/>
      <c r="I62" s="274"/>
      <c r="J62" s="274"/>
      <c r="K62" s="274"/>
      <c r="L62" s="274"/>
      <c r="N62">
        <f t="array" ref="N62">((SUM(IFERROR((TEXT(IF(ISNUMBER(SEARCH("-", F62:L62)), MID(F62:L62, SEARCH("-", F62:L62) + 1, 4), ""), "00\:00") - TEXT(IF(ISNUMBER(SEARCH("-", F62:L62)), MID(F62:L62, SEARCH("-", F62:L62) - 4, 4), ""), "00\:00") + IF(TEXT(IF(ISNUMBER(SEARCH("-", F62:L62)), MID(F62:L62, SEARCH("-", F62:L62) + 1, 4), ""), "00\:00") &lt; TEXT(IF(ISNUMBER(SEARCH("-", F62:L62)), MID(F62:L62, SEARCH("-", F62:L62) - 4, 4), ""), "00\:00"), 1, 0))*24,""))))/9.5</f>
        <v>0</v>
      </c>
      <c r="O62"/>
      <c r="P62"/>
      <c r="Q62" s="2">
        <f t="shared" ref="Q62:Q80" si="21">P62+O62+N62</f>
        <v>0</v>
      </c>
      <c r="R62" s="2">
        <f t="shared" ref="R62:R80" si="22">IF(ISNUMBER(SEARCH("trg_5",H154)),5,IF(ISNUMBER(SEARCH("trg_3.75",H154)),3.75,IF(ISNUMBER(SEARCH("trg_2.5",H154)),2.5,IF(ISNUMBER(SEARCH("trg_1.75",H154)),1.75,0))))</f>
        <v>0</v>
      </c>
      <c r="S62">
        <f t="shared" ref="S62:S84" ca="1" si="23">IF($C$4=1,SUM(Q62+INDIRECT("'Week "&amp;($B$3+1)&amp;"'!Q"&amp;(ROW()))),IF($C$4=2,SUM(Q62+INDIRECT("'Week "&amp;($B$3-1)&amp;"'!Q"&amp;(ROW())))))</f>
        <v>0</v>
      </c>
      <c r="T62" s="2">
        <f>(IFERROR(VLOOKUP(D62,'Employee Numbers'!$A$3:$C$84,3,FALSE),"NOT FOUND"))*8</f>
        <v>0</v>
      </c>
    </row>
    <row r="63" spans="1:21" s="13" customFormat="1" ht="15" customHeight="1">
      <c r="A63" s="2" t="s">
        <v>98</v>
      </c>
      <c r="B63" s="2"/>
      <c r="C63" s="21"/>
      <c r="D63" s="262" t="s">
        <v>103</v>
      </c>
      <c r="E63" s="285">
        <f>IFERROR(VLOOKUP(D63,'Employee Numbers'!$A$3:$B$84,2,FALSE),"NOT FOUND")</f>
        <v>703719</v>
      </c>
      <c r="F63" s="264" t="s">
        <v>42</v>
      </c>
      <c r="G63" s="264" t="s">
        <v>42</v>
      </c>
      <c r="H63" s="264"/>
      <c r="I63" s="275"/>
      <c r="J63" s="355" t="s">
        <v>44</v>
      </c>
      <c r="K63" s="264"/>
      <c r="L63" s="264"/>
      <c r="N63">
        <f t="array" ref="N63">((SUM(IFERROR((TEXT(IF(ISNUMBER(SEARCH("-", F63:L63)), MID(F63:L63, SEARCH("-", F63:L63) + 1, 4), ""), "00\:00") - TEXT(IF(ISNUMBER(SEARCH("-", F63:L63)), MID(F63:L63, SEARCH("-", F63:L63) - 4, 4), ""), "00\:00") + IF(TEXT(IF(ISNUMBER(SEARCH("-", F63:L63)), MID(F63:L63, SEARCH("-", F63:L63) + 1, 4), ""), "00\:00") &lt; TEXT(IF(ISNUMBER(SEARCH("-", F63:L63)), MID(F63:L63, SEARCH("-", F63:L63) - 4, 4), ""), "00\:00"), 1, 0))*24,""))))/9.5</f>
        <v>3</v>
      </c>
      <c r="O63"/>
      <c r="P63"/>
      <c r="Q63" s="2">
        <f t="shared" si="21"/>
        <v>3</v>
      </c>
      <c r="R63" s="2">
        <f t="shared" si="22"/>
        <v>3.75</v>
      </c>
      <c r="S63">
        <f t="shared" ca="1" si="23"/>
        <v>6</v>
      </c>
      <c r="T63" s="2">
        <f>(IFERROR(VLOOKUP(D63,'Employee Numbers'!$A$3:$C$84,3,FALSE),"NOT FOUND"))*8</f>
        <v>0</v>
      </c>
      <c r="U63" s="2"/>
    </row>
    <row r="64" spans="1:21" s="2" customFormat="1" ht="15" customHeight="1">
      <c r="A64" s="44" t="s">
        <v>98</v>
      </c>
      <c r="B64" s="44"/>
      <c r="C64" s="45"/>
      <c r="D64" s="262" t="s">
        <v>104</v>
      </c>
      <c r="E64" s="285">
        <f>IFERROR(VLOOKUP(D64,'Employee Numbers'!$A$3:$B$84,2,FALSE),"NOT FOUND")</f>
        <v>637791</v>
      </c>
      <c r="F64" s="264"/>
      <c r="G64" s="264"/>
      <c r="H64" s="264"/>
      <c r="I64" s="264"/>
      <c r="J64" s="264" t="s">
        <v>100</v>
      </c>
      <c r="K64" s="264" t="s">
        <v>100</v>
      </c>
      <c r="L64" s="264" t="s">
        <v>100</v>
      </c>
      <c r="N64">
        <f t="array" ref="N64">((SUM(IFERROR((TEXT(IF(ISNUMBER(SEARCH("-", F64:L64)), MID(F64:L64, SEARCH("-", F64:L64) + 1, 4), ""), "00\:00") - TEXT(IF(ISNUMBER(SEARCH("-", F64:L64)), MID(F64:L64, SEARCH("-", F64:L64) - 4, 4), ""), "00\:00") + IF(TEXT(IF(ISNUMBER(SEARCH("-", F64:L64)), MID(F64:L64, SEARCH("-", F64:L64) + 1, 4), ""), "00\:00") &lt; TEXT(IF(ISNUMBER(SEARCH("-", F64:L64)), MID(F64:L64, SEARCH("-", F64:L64) - 4, 4), ""), "00\:00"), 1, 0))*24,""))))/9.5</f>
        <v>2.9999999999999991</v>
      </c>
      <c r="O64"/>
      <c r="P64"/>
      <c r="Q64" s="2">
        <f t="shared" si="21"/>
        <v>2.9999999999999991</v>
      </c>
      <c r="R64" s="2">
        <f t="shared" si="22"/>
        <v>3.75</v>
      </c>
      <c r="S64">
        <f t="shared" ca="1" si="23"/>
        <v>5.9999999999999991</v>
      </c>
      <c r="T64" s="2">
        <f>(IFERROR(VLOOKUP(D64,'Employee Numbers'!$A$3:$C$84,3,FALSE),"NOT FOUND"))*8</f>
        <v>0</v>
      </c>
    </row>
    <row r="65" spans="1:20" s="2" customFormat="1" ht="15" customHeight="1">
      <c r="A65" s="2" t="s">
        <v>98</v>
      </c>
      <c r="C65" s="21"/>
      <c r="D65" s="262" t="s">
        <v>105</v>
      </c>
      <c r="E65" s="285">
        <f>IFERROR(VLOOKUP(D65,'Employee Numbers'!$A$3:$B$84,2,FALSE),"NOT FOUND")</f>
        <v>652867</v>
      </c>
      <c r="F65" s="264" t="s">
        <v>100</v>
      </c>
      <c r="G65" s="264" t="s">
        <v>100</v>
      </c>
      <c r="H65" s="264" t="s">
        <v>100</v>
      </c>
      <c r="I65" s="264" t="s">
        <v>100</v>
      </c>
      <c r="J65" s="264"/>
      <c r="K65" s="264"/>
      <c r="L65" s="264"/>
      <c r="N65">
        <f t="array" ref="N65">((SUM(IFERROR((TEXT(IF(ISNUMBER(SEARCH("-", F65:L65)), MID(F65:L65, SEARCH("-", F65:L65) + 1, 4), ""), "00\:00") - TEXT(IF(ISNUMBER(SEARCH("-", F65:L65)), MID(F65:L65, SEARCH("-", F65:L65) - 4, 4), ""), "00\:00") + IF(TEXT(IF(ISNUMBER(SEARCH("-", F65:L65)), MID(F65:L65, SEARCH("-", F65:L65) + 1, 4), ""), "00\:00") &lt; TEXT(IF(ISNUMBER(SEARCH("-", F65:L65)), MID(F65:L65, SEARCH("-", F65:L65) - 4, 4), ""), "00\:00"), 1, 0))*24,""))))/9.5</f>
        <v>3.9999999999999991</v>
      </c>
      <c r="O65"/>
      <c r="P65"/>
      <c r="Q65" s="2">
        <f t="shared" si="21"/>
        <v>3.9999999999999991</v>
      </c>
      <c r="R65" s="2">
        <f t="shared" si="22"/>
        <v>5</v>
      </c>
      <c r="S65">
        <f t="shared" ca="1" si="23"/>
        <v>7.9999999999999991</v>
      </c>
      <c r="T65" s="2">
        <f>(IFERROR(VLOOKUP(D65,'Employee Numbers'!$A$3:$C$84,3,FALSE),"NOT FOUND"))*8</f>
        <v>0</v>
      </c>
    </row>
    <row r="66" spans="1:20" s="2" customFormat="1" ht="15" customHeight="1">
      <c r="A66" s="44" t="s">
        <v>98</v>
      </c>
      <c r="B66" s="44"/>
      <c r="C66" s="45"/>
      <c r="D66" s="262" t="s">
        <v>106</v>
      </c>
      <c r="E66" s="285">
        <f>IFERROR(VLOOKUP(D66,'Employee Numbers'!$A$3:$B$84,2,FALSE),"NOT FOUND")</f>
        <v>611551</v>
      </c>
      <c r="F66" s="264"/>
      <c r="G66" s="264"/>
      <c r="H66" s="264"/>
      <c r="I66" s="264"/>
      <c r="J66" s="264" t="s">
        <v>42</v>
      </c>
      <c r="K66" s="264" t="s">
        <v>42</v>
      </c>
      <c r="L66" s="264"/>
      <c r="N66">
        <f t="array" ref="N66">((SUM(IFERROR((TEXT(IF(ISNUMBER(SEARCH("-", F66:L66)), MID(F66:L66, SEARCH("-", F66:L66) + 1, 4), ""), "00\:00") - TEXT(IF(ISNUMBER(SEARCH("-", F66:L66)), MID(F66:L66, SEARCH("-", F66:L66) - 4, 4), ""), "00\:00") + IF(TEXT(IF(ISNUMBER(SEARCH("-", F66:L66)), MID(F66:L66, SEARCH("-", F66:L66) + 1, 4), ""), "00\:00") &lt; TEXT(IF(ISNUMBER(SEARCH("-", F66:L66)), MID(F66:L66, SEARCH("-", F66:L66) - 4, 4), ""), "00\:00"), 1, 0))*24,""))))/9.5</f>
        <v>2</v>
      </c>
      <c r="O66"/>
      <c r="P66"/>
      <c r="Q66" s="2">
        <f t="shared" si="21"/>
        <v>2</v>
      </c>
      <c r="R66" s="2">
        <f t="shared" si="22"/>
        <v>2.5</v>
      </c>
      <c r="S66">
        <f t="shared" ca="1" si="23"/>
        <v>4</v>
      </c>
      <c r="T66" s="2">
        <f>(IFERROR(VLOOKUP(D66,'Employee Numbers'!$A$3:$C$84,3,FALSE),"NOT FOUND"))*8</f>
        <v>0</v>
      </c>
    </row>
    <row r="67" spans="1:20" s="2" customFormat="1" ht="15" customHeight="1">
      <c r="A67" s="2" t="s">
        <v>98</v>
      </c>
      <c r="C67" s="21"/>
      <c r="D67" s="262" t="s">
        <v>107</v>
      </c>
      <c r="E67" s="285">
        <f>IFERROR(VLOOKUP(D67,'Employee Numbers'!$A$3:$B$84,2,FALSE),"NOT FOUND")</f>
        <v>615820</v>
      </c>
      <c r="F67" s="279" t="s">
        <v>100</v>
      </c>
      <c r="G67" s="279" t="s">
        <v>100</v>
      </c>
      <c r="H67" s="279"/>
      <c r="I67" s="279"/>
      <c r="J67" s="279"/>
      <c r="K67" s="279"/>
      <c r="L67" s="279"/>
      <c r="N67">
        <f t="array" ref="N67">((SUM(IFERROR((TEXT(IF(ISNUMBER(SEARCH("-", F67:L67)), MID(F67:L67, SEARCH("-", F67:L67) + 1, 4), ""), "00\:00") - TEXT(IF(ISNUMBER(SEARCH("-", F67:L67)), MID(F67:L67, SEARCH("-", F67:L67) - 4, 4), ""), "00\:00") + IF(TEXT(IF(ISNUMBER(SEARCH("-", F67:L67)), MID(F67:L67, SEARCH("-", F67:L67) + 1, 4), ""), "00\:00") &lt; TEXT(IF(ISNUMBER(SEARCH("-", F67:L67)), MID(F67:L67, SEARCH("-", F67:L67) - 4, 4), ""), "00\:00"), 1, 0))*24,""))))/9.5</f>
        <v>1.9999999999999996</v>
      </c>
      <c r="O67"/>
      <c r="P67"/>
      <c r="Q67" s="2">
        <f t="shared" si="21"/>
        <v>1.9999999999999996</v>
      </c>
      <c r="R67" s="2">
        <f t="shared" si="22"/>
        <v>2.5</v>
      </c>
      <c r="S67">
        <f t="shared" ca="1" si="23"/>
        <v>3.9999999999999991</v>
      </c>
      <c r="T67" s="2">
        <f>(IFERROR(VLOOKUP(D67,'Employee Numbers'!$A$3:$C$84,3,FALSE),"NOT FOUND"))*8</f>
        <v>0</v>
      </c>
    </row>
    <row r="68" spans="1:20" s="2" customFormat="1" ht="15" customHeight="1">
      <c r="A68" s="44" t="s">
        <v>98</v>
      </c>
      <c r="B68" s="44"/>
      <c r="C68" s="45"/>
      <c r="D68" s="262" t="s">
        <v>109</v>
      </c>
      <c r="E68" s="285">
        <f>IFERROR(VLOOKUP(D68,'Employee Numbers'!$A$3:$B$84,2,FALSE),"NOT FOUND")</f>
        <v>702947</v>
      </c>
      <c r="F68" s="264"/>
      <c r="G68" s="264"/>
      <c r="H68" s="264" t="s">
        <v>42</v>
      </c>
      <c r="I68" s="264" t="s">
        <v>42</v>
      </c>
      <c r="J68" s="264" t="s">
        <v>42</v>
      </c>
      <c r="K68" s="264"/>
      <c r="L68" s="264"/>
      <c r="N68">
        <f t="array" ref="N68">((SUM(IFERROR((TEXT(IF(ISNUMBER(SEARCH("-", F68:L68)), MID(F68:L68, SEARCH("-", F68:L68) + 1, 4), ""), "00\:00") - TEXT(IF(ISNUMBER(SEARCH("-", F68:L68)), MID(F68:L68, SEARCH("-", F68:L68) - 4, 4), ""), "00\:00") + IF(TEXT(IF(ISNUMBER(SEARCH("-", F68:L68)), MID(F68:L68, SEARCH("-", F68:L68) + 1, 4), ""), "00\:00") &lt; TEXT(IF(ISNUMBER(SEARCH("-", F68:L68)), MID(F68:L68, SEARCH("-", F68:L68) - 4, 4), ""), "00\:00"), 1, 0))*24,""))))/9.5</f>
        <v>3</v>
      </c>
      <c r="O68"/>
      <c r="P68"/>
      <c r="Q68" s="2">
        <f t="shared" si="21"/>
        <v>3</v>
      </c>
      <c r="R68" s="2">
        <f t="shared" si="22"/>
        <v>5</v>
      </c>
      <c r="S68">
        <f t="shared" ca="1" si="23"/>
        <v>7</v>
      </c>
      <c r="T68" s="2">
        <f>(IFERROR(VLOOKUP(D68,'Employee Numbers'!$A$3:$C$84,3,FALSE),"NOT FOUND"))*8</f>
        <v>0</v>
      </c>
    </row>
    <row r="69" spans="1:20" s="2" customFormat="1" ht="15" customHeight="1">
      <c r="A69" s="2" t="s">
        <v>98</v>
      </c>
      <c r="C69" s="47"/>
      <c r="D69" s="262" t="s">
        <v>110</v>
      </c>
      <c r="E69" s="285">
        <f>IFERROR(VLOOKUP(D69,'Employee Numbers'!$A$3:$B$84,2,FALSE),"NOT FOUND")</f>
        <v>654002</v>
      </c>
      <c r="F69" s="338" t="s">
        <v>44</v>
      </c>
      <c r="G69" s="338" t="s">
        <v>42</v>
      </c>
      <c r="H69" s="338"/>
      <c r="I69" s="338"/>
      <c r="J69" s="338"/>
      <c r="K69" s="338" t="s">
        <v>42</v>
      </c>
      <c r="L69" s="338" t="s">
        <v>42</v>
      </c>
      <c r="N69">
        <f t="array" ref="N69">((SUM(IFERROR((TEXT(IF(ISNUMBER(SEARCH("-", F69:L69)), MID(F69:L69, SEARCH("-", F69:L69) + 1, 4), ""), "00\:00") - TEXT(IF(ISNUMBER(SEARCH("-", F69:L69)), MID(F69:L69, SEARCH("-", F69:L69) - 4, 4), ""), "00\:00") + IF(TEXT(IF(ISNUMBER(SEARCH("-", F69:L69)), MID(F69:L69, SEARCH("-", F69:L69) + 1, 4), ""), "00\:00") &lt; TEXT(IF(ISNUMBER(SEARCH("-", F69:L69)), MID(F69:L69, SEARCH("-", F69:L69) - 4, 4), ""), "00\:00"), 1, 0))*24,""))))/9.5</f>
        <v>4</v>
      </c>
      <c r="O69"/>
      <c r="P69"/>
      <c r="Q69" s="2">
        <f t="shared" si="21"/>
        <v>4</v>
      </c>
      <c r="R69" s="2">
        <f t="shared" si="22"/>
        <v>5</v>
      </c>
      <c r="S69">
        <f t="shared" ca="1" si="23"/>
        <v>8</v>
      </c>
      <c r="T69" s="2">
        <f>(IFERROR(VLOOKUP(D69,'Employee Numbers'!$A$3:$C$84,3,FALSE),"NOT FOUND"))*8</f>
        <v>0</v>
      </c>
    </row>
    <row r="70" spans="1:20" s="2" customFormat="1" ht="15" customHeight="1">
      <c r="A70" s="44" t="s">
        <v>98</v>
      </c>
      <c r="B70" s="44"/>
      <c r="C70" s="45"/>
      <c r="D70" s="262" t="s">
        <v>111</v>
      </c>
      <c r="E70" s="285">
        <f>IFERROR(VLOOKUP(D70,'Employee Numbers'!$A$3:$B$84,2,FALSE),"NOT FOUND")</f>
        <v>703068</v>
      </c>
      <c r="F70" s="264"/>
      <c r="G70" s="264" t="s">
        <v>44</v>
      </c>
      <c r="H70" s="264" t="s">
        <v>42</v>
      </c>
      <c r="I70" s="264" t="s">
        <v>42</v>
      </c>
      <c r="J70" s="264" t="s">
        <v>42</v>
      </c>
      <c r="K70" s="264"/>
      <c r="L70" s="264"/>
      <c r="N70">
        <f t="array" ref="N70">((SUM(IFERROR((TEXT(IF(ISNUMBER(SEARCH("-", F70:L70)), MID(F70:L70, SEARCH("-", F70:L70) + 1, 4), ""), "00\:00") - TEXT(IF(ISNUMBER(SEARCH("-", F70:L70)), MID(F70:L70, SEARCH("-", F70:L70) - 4, 4), ""), "00\:00") + IF(TEXT(IF(ISNUMBER(SEARCH("-", F70:L70)), MID(F70:L70, SEARCH("-", F70:L70) + 1, 4), ""), "00\:00") &lt; TEXT(IF(ISNUMBER(SEARCH("-", F70:L70)), MID(F70:L70, SEARCH("-", F70:L70) - 4, 4), ""), "00\:00"), 1, 0))*24,""))))/9.5</f>
        <v>4</v>
      </c>
      <c r="O70"/>
      <c r="P70"/>
      <c r="Q70" s="2">
        <f t="shared" si="21"/>
        <v>4</v>
      </c>
      <c r="R70" s="2">
        <f t="shared" si="22"/>
        <v>5</v>
      </c>
      <c r="S70">
        <f t="shared" ca="1" si="23"/>
        <v>8</v>
      </c>
      <c r="T70" s="2">
        <f>(IFERROR(VLOOKUP(D70,'Employee Numbers'!$A$3:$C$84,3,FALSE),"NOT FOUND"))*8</f>
        <v>0</v>
      </c>
    </row>
    <row r="71" spans="1:20" s="2" customFormat="1" ht="15" customHeight="1">
      <c r="A71" s="2" t="s">
        <v>98</v>
      </c>
      <c r="C71" s="21"/>
      <c r="D71" s="262" t="s">
        <v>113</v>
      </c>
      <c r="E71" s="285">
        <f>IFERROR(VLOOKUP(D71,'Employee Numbers'!$A$3:$B$84,2,FALSE),"NOT FOUND")</f>
        <v>703911</v>
      </c>
      <c r="F71" s="264" t="s">
        <v>42</v>
      </c>
      <c r="G71" s="264"/>
      <c r="H71" s="264" t="s">
        <v>42</v>
      </c>
      <c r="I71" s="264" t="s">
        <v>42</v>
      </c>
      <c r="J71" s="264" t="s">
        <v>42</v>
      </c>
      <c r="K71" s="264"/>
      <c r="L71" s="264"/>
      <c r="N71">
        <f t="array" ref="N71">((SUM(IFERROR((TEXT(IF(ISNUMBER(SEARCH("-", F71:L71)), MID(F71:L71, SEARCH("-", F71:L71) + 1, 4), ""), "00\:00") - TEXT(IF(ISNUMBER(SEARCH("-", F71:L71)), MID(F71:L71, SEARCH("-", F71:L71) - 4, 4), ""), "00\:00") + IF(TEXT(IF(ISNUMBER(SEARCH("-", F71:L71)), MID(F71:L71, SEARCH("-", F71:L71) + 1, 4), ""), "00\:00") &lt; TEXT(IF(ISNUMBER(SEARCH("-", F71:L71)), MID(F71:L71, SEARCH("-", F71:L71) - 4, 4), ""), "00\:00"), 1, 0))*24,""))))/9.5</f>
        <v>4</v>
      </c>
      <c r="O71"/>
      <c r="P71"/>
      <c r="Q71" s="2">
        <f t="shared" si="21"/>
        <v>4</v>
      </c>
      <c r="R71" s="2">
        <f t="shared" si="22"/>
        <v>5</v>
      </c>
      <c r="S71">
        <f t="shared" ca="1" si="23"/>
        <v>8</v>
      </c>
      <c r="T71" s="2">
        <f>(IFERROR(VLOOKUP(D71,'Employee Numbers'!$A$3:$C$84,3,FALSE),"NOT FOUND"))*8</f>
        <v>0</v>
      </c>
    </row>
    <row r="72" spans="1:20" s="2" customFormat="1" ht="15" customHeight="1">
      <c r="A72" s="44" t="s">
        <v>98</v>
      </c>
      <c r="B72" s="44"/>
      <c r="C72" s="45"/>
      <c r="D72" s="262" t="s">
        <v>114</v>
      </c>
      <c r="E72" s="285">
        <f>IFERROR(VLOOKUP(D72,'Employee Numbers'!$A$3:$B$84,2,FALSE),"NOT FOUND")</f>
        <v>633936</v>
      </c>
      <c r="F72" s="264"/>
      <c r="G72" s="264" t="s">
        <v>42</v>
      </c>
      <c r="H72" s="264" t="s">
        <v>100</v>
      </c>
      <c r="I72" s="264" t="s">
        <v>100</v>
      </c>
      <c r="J72" s="264" t="s">
        <v>100</v>
      </c>
      <c r="K72" s="264"/>
      <c r="L72" s="264"/>
      <c r="N72">
        <f t="array" ref="N72">((SUM(IFERROR((TEXT(IF(ISNUMBER(SEARCH("-", F72:L72)), MID(F72:L72, SEARCH("-", F72:L72) + 1, 4), ""), "00\:00") - TEXT(IF(ISNUMBER(SEARCH("-", F72:L72)), MID(F72:L72, SEARCH("-", F72:L72) - 4, 4), ""), "00\:00") + IF(TEXT(IF(ISNUMBER(SEARCH("-", F72:L72)), MID(F72:L72, SEARCH("-", F72:L72) + 1, 4), ""), "00\:00") &lt; TEXT(IF(ISNUMBER(SEARCH("-", F72:L72)), MID(F72:L72, SEARCH("-", F72:L72) - 4, 4), ""), "00\:00"), 1, 0))*24,""))))/9.5</f>
        <v>4</v>
      </c>
      <c r="O72"/>
      <c r="P72"/>
      <c r="Q72" s="2">
        <f t="shared" si="21"/>
        <v>4</v>
      </c>
      <c r="R72" s="2">
        <f t="shared" si="22"/>
        <v>5</v>
      </c>
      <c r="S72">
        <f t="shared" ca="1" si="23"/>
        <v>8</v>
      </c>
      <c r="T72" s="2">
        <f>(IFERROR(VLOOKUP(D72,'Employee Numbers'!$A$3:$C$84,3,FALSE),"NOT FOUND"))*8</f>
        <v>0</v>
      </c>
    </row>
    <row r="73" spans="1:20" s="2" customFormat="1" ht="15" customHeight="1">
      <c r="A73" s="2" t="s">
        <v>98</v>
      </c>
      <c r="C73" s="21"/>
      <c r="D73" s="262" t="s">
        <v>115</v>
      </c>
      <c r="E73" s="285">
        <f>IFERROR(VLOOKUP(D73,'Employee Numbers'!$A$3:$B$84,2,FALSE),"NOT FOUND")</f>
        <v>700755</v>
      </c>
      <c r="F73" s="264"/>
      <c r="G73" s="264" t="s">
        <v>44</v>
      </c>
      <c r="H73" s="264" t="s">
        <v>42</v>
      </c>
      <c r="I73" s="264" t="s">
        <v>42</v>
      </c>
      <c r="J73" s="264" t="s">
        <v>42</v>
      </c>
      <c r="K73" s="264"/>
      <c r="L73" s="264"/>
      <c r="N73">
        <f t="array" ref="N73">((SUM(IFERROR((TEXT(IF(ISNUMBER(SEARCH("-", F73:L73)), MID(F73:L73, SEARCH("-", F73:L73) + 1, 4), ""), "00\:00") - TEXT(IF(ISNUMBER(SEARCH("-", F73:L73)), MID(F73:L73, SEARCH("-", F73:L73) - 4, 4), ""), "00\:00") + IF(TEXT(IF(ISNUMBER(SEARCH("-", F73:L73)), MID(F73:L73, SEARCH("-", F73:L73) + 1, 4), ""), "00\:00") &lt; TEXT(IF(ISNUMBER(SEARCH("-", F73:L73)), MID(F73:L73, SEARCH("-", F73:L73) - 4, 4), ""), "00\:00"), 1, 0))*24,""))))/9.5</f>
        <v>4</v>
      </c>
      <c r="O73"/>
      <c r="P73"/>
      <c r="Q73" s="2">
        <f t="shared" si="21"/>
        <v>4</v>
      </c>
      <c r="R73" s="2">
        <f t="shared" si="22"/>
        <v>5</v>
      </c>
      <c r="S73">
        <f t="shared" ca="1" si="23"/>
        <v>8</v>
      </c>
      <c r="T73" s="2">
        <f>(IFERROR(VLOOKUP(D73,'Employee Numbers'!$A$3:$C$84,3,FALSE),"NOT FOUND"))*8</f>
        <v>0</v>
      </c>
    </row>
    <row r="74" spans="1:20" s="2" customFormat="1" ht="15" customHeight="1">
      <c r="A74" s="44" t="s">
        <v>98</v>
      </c>
      <c r="B74" s="44"/>
      <c r="C74" s="45"/>
      <c r="D74" s="262" t="s">
        <v>116</v>
      </c>
      <c r="E74" s="285">
        <f>IFERROR(VLOOKUP(D74,'Employee Numbers'!$A$3:$B$84,2,FALSE),"NOT FOUND")</f>
        <v>704872</v>
      </c>
      <c r="F74" s="279"/>
      <c r="G74" s="279" t="s">
        <v>42</v>
      </c>
      <c r="H74" s="279" t="s">
        <v>42</v>
      </c>
      <c r="I74" s="279"/>
      <c r="J74" s="279"/>
      <c r="K74" s="356" t="s">
        <v>44</v>
      </c>
      <c r="L74" s="279" t="s">
        <v>44</v>
      </c>
      <c r="N74">
        <f t="array" ref="N74">((SUM(IFERROR((TEXT(IF(ISNUMBER(SEARCH("-", F74:L74)), MID(F74:L74, SEARCH("-", F74:L74) + 1, 4), ""), "00\:00") - TEXT(IF(ISNUMBER(SEARCH("-", F74:L74)), MID(F74:L74, SEARCH("-", F74:L74) - 4, 4), ""), "00\:00") + IF(TEXT(IF(ISNUMBER(SEARCH("-", F74:L74)), MID(F74:L74, SEARCH("-", F74:L74) + 1, 4), ""), "00\:00") &lt; TEXT(IF(ISNUMBER(SEARCH("-", F74:L74)), MID(F74:L74, SEARCH("-", F74:L74) - 4, 4), ""), "00\:00"), 1, 0))*24,""))))/9.5</f>
        <v>4</v>
      </c>
      <c r="O74"/>
      <c r="P74"/>
      <c r="Q74" s="2">
        <f t="shared" si="21"/>
        <v>4</v>
      </c>
      <c r="R74" s="2">
        <f t="shared" si="22"/>
        <v>5</v>
      </c>
      <c r="S74">
        <f t="shared" ca="1" si="23"/>
        <v>8</v>
      </c>
      <c r="T74" s="2">
        <f>(IFERROR(VLOOKUP(D74,'Employee Numbers'!$A$3:$C$84,3,FALSE),"NOT FOUND"))*8</f>
        <v>0</v>
      </c>
    </row>
    <row r="75" spans="1:20" s="2" customFormat="1" ht="15" customHeight="1">
      <c r="A75" s="2" t="s">
        <v>98</v>
      </c>
      <c r="C75" s="21"/>
      <c r="D75" s="262" t="s">
        <v>117</v>
      </c>
      <c r="E75" s="285">
        <f>IFERROR(VLOOKUP(D75,'Employee Numbers'!$A$3:$B$84,2,FALSE),"NOT FOUND")</f>
        <v>700712</v>
      </c>
      <c r="F75" s="264" t="s">
        <v>42</v>
      </c>
      <c r="G75" s="264" t="s">
        <v>42</v>
      </c>
      <c r="H75" s="264"/>
      <c r="I75" s="264"/>
      <c r="J75" s="264"/>
      <c r="K75" s="264" t="s">
        <v>42</v>
      </c>
      <c r="L75" s="264" t="s">
        <v>42</v>
      </c>
      <c r="N75">
        <f t="array" ref="N75">((SUM(IFERROR((TEXT(IF(ISNUMBER(SEARCH("-", F75:L75)), MID(F75:L75, SEARCH("-", F75:L75) + 1, 4), ""), "00\:00") - TEXT(IF(ISNUMBER(SEARCH("-", F75:L75)), MID(F75:L75, SEARCH("-", F75:L75) - 4, 4), ""), "00\:00") + IF(TEXT(IF(ISNUMBER(SEARCH("-", F75:L75)), MID(F75:L75, SEARCH("-", F75:L75) + 1, 4), ""), "00\:00") &lt; TEXT(IF(ISNUMBER(SEARCH("-", F75:L75)), MID(F75:L75, SEARCH("-", F75:L75) - 4, 4), ""), "00\:00"), 1, 0))*24,""))))/9.5</f>
        <v>4</v>
      </c>
      <c r="O75"/>
      <c r="P75"/>
      <c r="Q75" s="2">
        <f t="shared" si="21"/>
        <v>4</v>
      </c>
      <c r="R75" s="2">
        <f t="shared" si="22"/>
        <v>5</v>
      </c>
      <c r="S75">
        <f t="shared" ca="1" si="23"/>
        <v>8</v>
      </c>
      <c r="T75" s="2">
        <f>(IFERROR(VLOOKUP(D75,'Employee Numbers'!$A$3:$C$84,3,FALSE),"NOT FOUND"))*8</f>
        <v>0</v>
      </c>
    </row>
    <row r="76" spans="1:20" s="2" customFormat="1" ht="15" customHeight="1">
      <c r="A76" s="44" t="s">
        <v>98</v>
      </c>
      <c r="B76" s="44"/>
      <c r="C76" s="45"/>
      <c r="D76" s="262" t="s">
        <v>119</v>
      </c>
      <c r="E76" s="285">
        <f>IFERROR(VLOOKUP(D76,'Employee Numbers'!$A$3:$B$84,2,FALSE),"NOT FOUND")</f>
        <v>700818</v>
      </c>
      <c r="F76" s="264"/>
      <c r="G76" s="355" t="s">
        <v>44</v>
      </c>
      <c r="H76" s="264" t="s">
        <v>42</v>
      </c>
      <c r="I76" s="264" t="s">
        <v>42</v>
      </c>
      <c r="J76" s="264"/>
      <c r="K76" s="264"/>
      <c r="L76" s="264" t="s">
        <v>44</v>
      </c>
      <c r="N76">
        <f t="array" ref="N76">((SUM(IFERROR((TEXT(IF(ISNUMBER(SEARCH("-", F76:L76)), MID(F76:L76, SEARCH("-", F76:L76) + 1, 4), ""), "00\:00") - TEXT(IF(ISNUMBER(SEARCH("-", F76:L76)), MID(F76:L76, SEARCH("-", F76:L76) - 4, 4), ""), "00\:00") + IF(TEXT(IF(ISNUMBER(SEARCH("-", F76:L76)), MID(F76:L76, SEARCH("-", F76:L76) + 1, 4), ""), "00\:00") &lt; TEXT(IF(ISNUMBER(SEARCH("-", F76:L76)), MID(F76:L76, SEARCH("-", F76:L76) - 4, 4), ""), "00\:00"), 1, 0))*24,""))))/9.5</f>
        <v>4</v>
      </c>
      <c r="O76"/>
      <c r="P76"/>
      <c r="Q76" s="2">
        <f t="shared" si="21"/>
        <v>4</v>
      </c>
      <c r="R76" s="2">
        <f t="shared" si="22"/>
        <v>5</v>
      </c>
      <c r="S76">
        <f t="shared" ca="1" si="23"/>
        <v>8</v>
      </c>
      <c r="T76" s="2">
        <f>(IFERROR(VLOOKUP(D76,'Employee Numbers'!$A$3:$C$84,3,FALSE),"NOT FOUND"))*8</f>
        <v>0</v>
      </c>
    </row>
    <row r="77" spans="1:20" s="2" customFormat="1" ht="15" customHeight="1">
      <c r="A77" s="2" t="s">
        <v>98</v>
      </c>
      <c r="C77" s="47"/>
      <c r="D77" s="262" t="s">
        <v>120</v>
      </c>
      <c r="E77" s="285">
        <f>IFERROR(VLOOKUP(D77,'Employee Numbers'!$A$3:$B$84,2,FALSE),"NOT FOUND")</f>
        <v>650101</v>
      </c>
      <c r="F77" s="264"/>
      <c r="G77" s="264"/>
      <c r="H77" s="264"/>
      <c r="I77" s="264"/>
      <c r="J77" s="264"/>
      <c r="K77" s="264"/>
      <c r="L77" s="264"/>
      <c r="N77">
        <f t="array" ref="N77">((SUM(IFERROR((TEXT(IF(ISNUMBER(SEARCH("-", F77:L77)), MID(F77:L77, SEARCH("-", F77:L77) + 1, 4), ""), "00\:00") - TEXT(IF(ISNUMBER(SEARCH("-", F77:L77)), MID(F77:L77, SEARCH("-", F77:L77) - 4, 4), ""), "00\:00") + IF(TEXT(IF(ISNUMBER(SEARCH("-", F77:L77)), MID(F77:L77, SEARCH("-", F77:L77) + 1, 4), ""), "00\:00") &lt; TEXT(IF(ISNUMBER(SEARCH("-", F77:L77)), MID(F77:L77, SEARCH("-", F77:L77) - 4, 4), ""), "00\:00"), 1, 0))*24,""))))/9.5</f>
        <v>0</v>
      </c>
      <c r="O77"/>
      <c r="P77"/>
      <c r="Q77" s="2">
        <f t="shared" si="21"/>
        <v>0</v>
      </c>
      <c r="R77" s="2">
        <f t="shared" si="22"/>
        <v>2.5</v>
      </c>
      <c r="S77">
        <f t="shared" ca="1" si="23"/>
        <v>4</v>
      </c>
      <c r="T77" s="2">
        <f>(IFERROR(VLOOKUP(D77,'Employee Numbers'!$A$3:$C$84,3,FALSE),"NOT FOUND"))*8</f>
        <v>0</v>
      </c>
    </row>
    <row r="78" spans="1:20" s="2" customFormat="1" ht="15" customHeight="1">
      <c r="A78" s="44" t="s">
        <v>98</v>
      </c>
      <c r="B78" s="44"/>
      <c r="C78" s="45"/>
      <c r="D78" s="262" t="s">
        <v>122</v>
      </c>
      <c r="E78" s="285">
        <f>IFERROR(VLOOKUP(D78,'Employee Numbers'!$A$3:$B$84,2,FALSE),"NOT FOUND")</f>
        <v>654888</v>
      </c>
      <c r="F78" s="264" t="s">
        <v>42</v>
      </c>
      <c r="G78" s="264" t="s">
        <v>42</v>
      </c>
      <c r="H78" s="264"/>
      <c r="I78" s="264"/>
      <c r="J78" s="264"/>
      <c r="K78" s="264" t="s">
        <v>42</v>
      </c>
      <c r="L78" s="264" t="s">
        <v>42</v>
      </c>
      <c r="N78">
        <f t="array" ref="N78">((SUM(IFERROR((TEXT(IF(ISNUMBER(SEARCH("-", F78:L78)), MID(F78:L78, SEARCH("-", F78:L78) + 1, 4), ""), "00\:00") - TEXT(IF(ISNUMBER(SEARCH("-", F78:L78)), MID(F78:L78, SEARCH("-", F78:L78) - 4, 4), ""), "00\:00") + IF(TEXT(IF(ISNUMBER(SEARCH("-", F78:L78)), MID(F78:L78, SEARCH("-", F78:L78) + 1, 4), ""), "00\:00") &lt; TEXT(IF(ISNUMBER(SEARCH("-", F78:L78)), MID(F78:L78, SEARCH("-", F78:L78) - 4, 4), ""), "00\:00"), 1, 0))*24,""))))/9.5</f>
        <v>4</v>
      </c>
      <c r="O78"/>
      <c r="P78"/>
      <c r="Q78" s="2">
        <f t="shared" si="21"/>
        <v>4</v>
      </c>
      <c r="R78" s="2">
        <f t="shared" si="22"/>
        <v>5</v>
      </c>
      <c r="S78">
        <f t="shared" ca="1" si="23"/>
        <v>8</v>
      </c>
      <c r="T78" s="2">
        <f>(IFERROR(VLOOKUP(D78,'Employee Numbers'!$A$3:$C$84,3,FALSE),"NOT FOUND"))*8</f>
        <v>0</v>
      </c>
    </row>
    <row r="79" spans="1:20" s="2" customFormat="1" ht="15" customHeight="1">
      <c r="A79" s="2" t="s">
        <v>98</v>
      </c>
      <c r="C79" s="21"/>
      <c r="D79" s="262" t="s">
        <v>123</v>
      </c>
      <c r="E79" s="285">
        <f>IFERROR(VLOOKUP(D79,'Employee Numbers'!$A$3:$B$84,2,FALSE),"NOT FOUND")</f>
        <v>703880</v>
      </c>
      <c r="F79" s="264" t="s">
        <v>100</v>
      </c>
      <c r="G79" s="264" t="s">
        <v>100</v>
      </c>
      <c r="H79" s="264" t="s">
        <v>100</v>
      </c>
      <c r="I79" s="264" t="s">
        <v>100</v>
      </c>
      <c r="J79" s="264"/>
      <c r="K79" s="264"/>
      <c r="L79" s="264"/>
      <c r="N79">
        <f t="array" ref="N79">((SUM(IFERROR((TEXT(IF(ISNUMBER(SEARCH("-", F79:L79)), MID(F79:L79, SEARCH("-", F79:L79) + 1, 4), ""), "00\:00") - TEXT(IF(ISNUMBER(SEARCH("-", F79:L79)), MID(F79:L79, SEARCH("-", F79:L79) - 4, 4), ""), "00\:00") + IF(TEXT(IF(ISNUMBER(SEARCH("-", F79:L79)), MID(F79:L79, SEARCH("-", F79:L79) + 1, 4), ""), "00\:00") &lt; TEXT(IF(ISNUMBER(SEARCH("-", F79:L79)), MID(F79:L79, SEARCH("-", F79:L79) - 4, 4), ""), "00\:00"), 1, 0))*24,""))))/9.5</f>
        <v>3.9999999999999991</v>
      </c>
      <c r="O79"/>
      <c r="P79"/>
      <c r="Q79" s="2">
        <f t="shared" si="21"/>
        <v>3.9999999999999991</v>
      </c>
      <c r="R79" s="2">
        <f t="shared" si="22"/>
        <v>5</v>
      </c>
      <c r="S79">
        <f t="shared" ca="1" si="23"/>
        <v>7.9999999999999991</v>
      </c>
      <c r="T79" s="2">
        <f>(IFERROR(VLOOKUP(D79,'Employee Numbers'!$A$3:$C$84,3,FALSE),"NOT FOUND"))*8</f>
        <v>0</v>
      </c>
    </row>
    <row r="80" spans="1:20" s="2" customFormat="1" ht="15" customHeight="1">
      <c r="A80" s="44" t="s">
        <v>98</v>
      </c>
      <c r="B80" s="44"/>
      <c r="C80" s="45"/>
      <c r="D80" s="262" t="s">
        <v>124</v>
      </c>
      <c r="E80" s="285">
        <f>IFERROR(VLOOKUP(D80,'Employee Numbers'!$A$3:$B$84,2,FALSE),"NOT FOUND")</f>
        <v>703334</v>
      </c>
      <c r="F80" s="264"/>
      <c r="G80" s="264" t="s">
        <v>44</v>
      </c>
      <c r="H80" s="264" t="s">
        <v>42</v>
      </c>
      <c r="I80" s="264"/>
      <c r="J80" s="264" t="s">
        <v>42</v>
      </c>
      <c r="K80" s="264" t="s">
        <v>42</v>
      </c>
      <c r="L80" s="264"/>
      <c r="N80">
        <f t="array" ref="N80">((SUM(IFERROR((TEXT(IF(ISNUMBER(SEARCH("-", F80:L80)), MID(F80:L80, SEARCH("-", F80:L80) + 1, 4), ""), "00\:00") - TEXT(IF(ISNUMBER(SEARCH("-", F80:L80)), MID(F80:L80, SEARCH("-", F80:L80) - 4, 4), ""), "00\:00") + IF(TEXT(IF(ISNUMBER(SEARCH("-", F80:L80)), MID(F80:L80, SEARCH("-", F80:L80) + 1, 4), ""), "00\:00") &lt; TEXT(IF(ISNUMBER(SEARCH("-", F80:L80)), MID(F80:L80, SEARCH("-", F80:L80) - 4, 4), ""), "00\:00"), 1, 0))*24,""))))/9.5</f>
        <v>4</v>
      </c>
      <c r="O80"/>
      <c r="P80"/>
      <c r="Q80" s="2">
        <f t="shared" si="21"/>
        <v>4</v>
      </c>
      <c r="R80" s="2">
        <f t="shared" si="22"/>
        <v>5</v>
      </c>
      <c r="S80">
        <f t="shared" ca="1" si="23"/>
        <v>8</v>
      </c>
      <c r="T80" s="2">
        <f>(IFERROR(VLOOKUP(D80,'Employee Numbers'!$A$3:$C$84,3,FALSE),"NOT FOUND"))*8</f>
        <v>0</v>
      </c>
    </row>
    <row r="81" spans="1:21" s="13" customFormat="1" ht="15" customHeight="1">
      <c r="A81" s="2" t="s">
        <v>98</v>
      </c>
      <c r="B81" s="2"/>
      <c r="C81" s="21"/>
      <c r="D81" s="262" t="s">
        <v>125</v>
      </c>
      <c r="E81" s="285">
        <f>IFERROR(VLOOKUP(D81,'Employee Numbers'!$A$3:$B$84,2,FALSE),"NOT FOUND")</f>
        <v>700538</v>
      </c>
      <c r="F81" s="264" t="s">
        <v>42</v>
      </c>
      <c r="G81" s="264"/>
      <c r="H81" s="264"/>
      <c r="I81" s="264"/>
      <c r="J81" s="264"/>
      <c r="K81" s="264" t="s">
        <v>100</v>
      </c>
      <c r="L81" s="264" t="s">
        <v>100</v>
      </c>
      <c r="N81">
        <f t="array" ref="N81">((SUM(IFERROR((TEXT(IF(ISNUMBER(SEARCH("-", F81:L81)), MID(F81:L81, SEARCH("-", F81:L81) + 1, 4), ""), "00\:00") - TEXT(IF(ISNUMBER(SEARCH("-", F81:L81)), MID(F81:L81, SEARCH("-", F81:L81) - 4, 4), ""), "00\:00") + IF(TEXT(IF(ISNUMBER(SEARCH("-", F81:L81)), MID(F81:L81, SEARCH("-", F81:L81) + 1, 4), ""), "00\:00") &lt; TEXT(IF(ISNUMBER(SEARCH("-", F81:L81)), MID(F81:L81, SEARCH("-", F81:L81) - 4, 4), ""), "00\:00"), 1, 0))*24,""))))/9.5</f>
        <v>3</v>
      </c>
      <c r="O81"/>
      <c r="P81"/>
      <c r="Q81" s="2">
        <f>P81+O81+N81</f>
        <v>3</v>
      </c>
      <c r="R81" s="2">
        <f>IF(ISNUMBER(SEARCH("trg_5",H173)),5,IF(ISNUMBER(SEARCH("trg_3.75",H173)),3.75,IF(ISNUMBER(SEARCH("trg_2.5",H173)),2.5,IF(ISNUMBER(SEARCH("trg_1.75",H173)),1.75,0))))</f>
        <v>3.75</v>
      </c>
      <c r="S81">
        <f t="shared" ca="1" si="23"/>
        <v>3</v>
      </c>
      <c r="T81" s="2">
        <f>(IFERROR(VLOOKUP(D81,'Employee Numbers'!$A$3:$C$84,3,FALSE),"NOT FOUND"))*8</f>
        <v>0</v>
      </c>
      <c r="U81" s="2"/>
    </row>
    <row r="82" spans="1:21" s="2" customFormat="1" ht="15" customHeight="1">
      <c r="A82" s="44" t="s">
        <v>98</v>
      </c>
      <c r="B82" s="44"/>
      <c r="C82" s="45"/>
      <c r="D82" s="262" t="s">
        <v>126</v>
      </c>
      <c r="E82" s="285">
        <f>IFERROR(VLOOKUP(D82,'Employee Numbers'!$A$3:$B$84,2,FALSE),"NOT FOUND")</f>
        <v>704862</v>
      </c>
      <c r="F82" s="264"/>
      <c r="G82" s="264"/>
      <c r="H82" s="264"/>
      <c r="I82" s="355" t="s">
        <v>44</v>
      </c>
      <c r="J82" s="264" t="s">
        <v>44</v>
      </c>
      <c r="K82" s="264" t="s">
        <v>42</v>
      </c>
      <c r="L82" s="264" t="s">
        <v>42</v>
      </c>
      <c r="N82">
        <f t="array" ref="N82">((SUM(IFERROR((TEXT(IF(ISNUMBER(SEARCH("-", F82:L82)), MID(F82:L82, SEARCH("-", F82:L82) + 1, 4), ""), "00\:00") - TEXT(IF(ISNUMBER(SEARCH("-", F82:L82)), MID(F82:L82, SEARCH("-", F82:L82) - 4, 4), ""), "00\:00") + IF(TEXT(IF(ISNUMBER(SEARCH("-", F82:L82)), MID(F82:L82, SEARCH("-", F82:L82) + 1, 4), ""), "00\:00") &lt; TEXT(IF(ISNUMBER(SEARCH("-", F82:L82)), MID(F82:L82, SEARCH("-", F82:L82) - 4, 4), ""), "00\:00"), 1, 0))*24,""))))/9.5</f>
        <v>4</v>
      </c>
      <c r="O82"/>
      <c r="P82"/>
      <c r="Q82" s="2">
        <f>P82+O82+N82</f>
        <v>4</v>
      </c>
      <c r="R82" s="2">
        <f>IF(ISNUMBER(SEARCH("trg_5",H174)),5,IF(ISNUMBER(SEARCH("trg_3.75",H174)),3.75,IF(ISNUMBER(SEARCH("trg_2.5",H174)),2.5,IF(ISNUMBER(SEARCH("trg_1.75",H174)),1.75,0))))</f>
        <v>2.5</v>
      </c>
      <c r="S82">
        <f t="shared" ca="1" si="23"/>
        <v>7</v>
      </c>
      <c r="T82" s="2">
        <f>(IFERROR(VLOOKUP(D82,'Employee Numbers'!$A$3:$C$84,3,FALSE),"NOT FOUND"))*8</f>
        <v>0</v>
      </c>
    </row>
    <row r="83" spans="1:21" s="2" customFormat="1" ht="15" customHeight="1">
      <c r="A83" s="2" t="s">
        <v>98</v>
      </c>
      <c r="C83" s="21"/>
      <c r="D83" s="262"/>
      <c r="E83" s="39" t="str">
        <f>IFERROR(VLOOKUP(D83,'Employee Numbers'!$A$3:$B$84,2,FALSE),"NOT FOUND")</f>
        <v>NOT FOUND</v>
      </c>
      <c r="F83" s="178"/>
      <c r="G83" s="178"/>
      <c r="H83" s="178"/>
      <c r="I83" s="178"/>
      <c r="J83" s="178"/>
      <c r="K83" s="178"/>
      <c r="L83" s="178"/>
      <c r="N83">
        <f t="array" ref="N83">((SUM(IFERROR((TEXT(IF(ISNUMBER(SEARCH("-", F83:L83)), MID(F83:L83, SEARCH("-", F83:L83) + 1, 4), ""), "00\:00") - TEXT(IF(ISNUMBER(SEARCH("-", F83:L83)), MID(F83:L83, SEARCH("-", F83:L83) - 4, 4), ""), "00\:00") + IF(TEXT(IF(ISNUMBER(SEARCH("-", F83:L83)), MID(F83:L83, SEARCH("-", F83:L83) + 1, 4), ""), "00\:00") &lt; TEXT(IF(ISNUMBER(SEARCH("-", F83:L83)), MID(F83:L83, SEARCH("-", F83:L83) - 4, 4), ""), "00\:00"), 1, 0))*24,""))))/9.5</f>
        <v>0</v>
      </c>
      <c r="O83"/>
      <c r="P83"/>
      <c r="Q83" s="2">
        <f>P83+O83+N83</f>
        <v>0</v>
      </c>
      <c r="R83" s="2">
        <f>IF(ISNUMBER(SEARCH("trg_5",H175)),5,IF(ISNUMBER(SEARCH("trg_3.75",H175)),3.75,IF(ISNUMBER(SEARCH("trg_2.5",H175)),2.5,IF(ISNUMBER(SEARCH("trg_1.75",H175)),1.75,0))))</f>
        <v>2.5</v>
      </c>
      <c r="S83">
        <f t="shared" ca="1" si="23"/>
        <v>0</v>
      </c>
      <c r="T83" s="2" t="e">
        <f>(IFERROR(VLOOKUP(D83,'Employee Numbers'!$A$3:$C$84,3,FALSE),"NOT FOUND"))*8</f>
        <v>#VALUE!</v>
      </c>
    </row>
    <row r="84" spans="1:21" s="2" customFormat="1" ht="15" customHeight="1">
      <c r="A84" s="44" t="s">
        <v>98</v>
      </c>
      <c r="B84" s="44"/>
      <c r="C84" s="45"/>
      <c r="D84" s="128"/>
      <c r="E84" s="129" t="str">
        <f>IFERROR(VLOOKUP(D84,'Employee Numbers'!$A$3:$B$84,2,FALSE),"NOT FOUND")</f>
        <v>NOT FOUND</v>
      </c>
      <c r="F84" s="136"/>
      <c r="G84" s="136"/>
      <c r="H84" s="136"/>
      <c r="I84" s="136"/>
      <c r="J84" s="136"/>
      <c r="K84" s="136"/>
      <c r="L84" s="136"/>
      <c r="N84">
        <f t="array" ref="N84">((SUM(IFERROR((TEXT(IF(ISNUMBER(SEARCH("-", F84:L84)), MID(F84:L84, SEARCH("-", F84:L84) + 1, 4), ""), "00\:00") - TEXT(IF(ISNUMBER(SEARCH("-", F84:L84)), MID(F84:L84, SEARCH("-", F84:L84) - 4, 4), ""), "00\:00") + IF(TEXT(IF(ISNUMBER(SEARCH("-", F84:L84)), MID(F84:L84, SEARCH("-", F84:L84) + 1, 4), ""), "00\:00") &lt; TEXT(IF(ISNUMBER(SEARCH("-", F84:L84)), MID(F84:L84, SEARCH("-", F84:L84) - 4, 4), ""), "00\:00"), 1, 0))*24,""))))/9.5</f>
        <v>0</v>
      </c>
      <c r="O84"/>
      <c r="P84"/>
      <c r="Q84" s="2">
        <f>P84+O84+N84</f>
        <v>0</v>
      </c>
      <c r="R84" s="2">
        <f>IF(ISNUMBER(SEARCH("trg_5",H176)),5,IF(ISNUMBER(SEARCH("trg_3.75",H176)),3.75,IF(ISNUMBER(SEARCH("trg_2.5",H176)),2.5,IF(ISNUMBER(SEARCH("trg_1.75",H176)),1.75,0))))</f>
        <v>5</v>
      </c>
      <c r="S84">
        <f t="shared" ca="1" si="23"/>
        <v>0</v>
      </c>
      <c r="T84" s="2" t="e">
        <f>(IFERROR(VLOOKUP(D84,'Employee Numbers'!$A$3:$C$84,3,FALSE),"NOT FOUND"))*8</f>
        <v>#VALUE!</v>
      </c>
    </row>
    <row r="85" spans="1:21" s="2" customFormat="1" ht="15" customHeight="1">
      <c r="A85" s="137" t="s">
        <v>128</v>
      </c>
      <c r="B85" s="138"/>
      <c r="C85" s="139"/>
      <c r="D85" s="140" t="s">
        <v>128</v>
      </c>
      <c r="E85" s="141" t="s">
        <v>4</v>
      </c>
      <c r="F85" s="281" t="s">
        <v>5</v>
      </c>
      <c r="G85" s="281" t="s">
        <v>6</v>
      </c>
      <c r="H85" s="281" t="s">
        <v>7</v>
      </c>
      <c r="I85" s="281" t="s">
        <v>8</v>
      </c>
      <c r="J85" s="281" t="s">
        <v>9</v>
      </c>
      <c r="K85" s="281" t="s">
        <v>10</v>
      </c>
      <c r="L85" s="282" t="s">
        <v>11</v>
      </c>
      <c r="M85" s="34"/>
      <c r="N85"/>
      <c r="O85"/>
      <c r="P85"/>
    </row>
    <row r="86" spans="1:21" s="2" customFormat="1" ht="15" customHeight="1">
      <c r="A86" s="44" t="s">
        <v>129</v>
      </c>
      <c r="B86" s="44"/>
      <c r="C86" s="45"/>
      <c r="D86" s="263" t="s">
        <v>130</v>
      </c>
      <c r="E86" s="284">
        <f>IFERROR(VLOOKUP(D86,'Employee Numbers'!$A$3:$B$84,2,FALSE),"NOT FOUND")</f>
        <v>703066</v>
      </c>
      <c r="F86" s="264" t="s">
        <v>100</v>
      </c>
      <c r="G86" s="264" t="s">
        <v>100</v>
      </c>
      <c r="H86" s="264" t="s">
        <v>100</v>
      </c>
      <c r="I86" s="264" t="s">
        <v>100</v>
      </c>
      <c r="J86" s="264"/>
      <c r="K86" s="264"/>
      <c r="L86" s="264"/>
      <c r="N86">
        <f t="array" ref="N86">((SUM(IFERROR((TEXT(IF(ISNUMBER(SEARCH("-", F86:L86)), MID(F86:L86, SEARCH("-", F86:L86) + 1, 4), ""), "00\:00") - TEXT(IF(ISNUMBER(SEARCH("-", F86:L86)), MID(F86:L86, SEARCH("-", F86:L86) - 4, 4), ""), "00\:00") + IF(TEXT(IF(ISNUMBER(SEARCH("-", F86:L86)), MID(F86:L86, SEARCH("-", F86:L86) + 1, 4), ""), "00\:00") &lt; TEXT(IF(ISNUMBER(SEARCH("-", F86:L86)), MID(F86:L86, SEARCH("-", F86:L86) - 4, 4), ""), "00\:00"), 1, 0))*24,""))))/9.5</f>
        <v>3.9999999999999991</v>
      </c>
      <c r="O86"/>
      <c r="P86"/>
      <c r="Q86" s="2">
        <f>P86+O86+N86</f>
        <v>3.9999999999999991</v>
      </c>
      <c r="S86">
        <f t="shared" ref="S86:S99" ca="1" si="24">IF($C$4=1,SUM(Q86+INDIRECT("'Week "&amp;($B$3+1)&amp;"'!Q"&amp;(ROW()))),IF($C$4=2,SUM(Q86+INDIRECT("'Week "&amp;($B$3-1)&amp;"'!Q"&amp;(ROW())))))</f>
        <v>7.9999999999999991</v>
      </c>
      <c r="T86" s="2" t="e">
        <f>(IFERROR(VLOOKUP(D86,'Employee Numbers'!$A$3:$C$84,3,FALSE),"NOT FOUND"))*8</f>
        <v>#VALUE!</v>
      </c>
    </row>
    <row r="87" spans="1:21" s="2" customFormat="1" ht="15" customHeight="1">
      <c r="A87" s="2" t="s">
        <v>129</v>
      </c>
      <c r="C87" s="21"/>
      <c r="D87" s="263" t="s">
        <v>131</v>
      </c>
      <c r="E87" s="285">
        <f>IFERROR(VLOOKUP(D87,'Employee Numbers'!$A$3:$B$84,2,FALSE),"NOT FOUND")</f>
        <v>648637</v>
      </c>
      <c r="F87" s="264" t="s">
        <v>44</v>
      </c>
      <c r="G87" s="264" t="s">
        <v>42</v>
      </c>
      <c r="H87" s="264"/>
      <c r="I87" s="264" t="s">
        <v>44</v>
      </c>
      <c r="J87" s="264" t="s">
        <v>42</v>
      </c>
      <c r="K87" s="264"/>
      <c r="L87" s="264"/>
      <c r="N87">
        <f t="array" ref="N87">((SUM(IFERROR((TEXT(IF(ISNUMBER(SEARCH("-", F87:L87)), MID(F87:L87, SEARCH("-", F87:L87) + 1, 4), ""), "00\:00") - TEXT(IF(ISNUMBER(SEARCH("-", F87:L87)), MID(F87:L87, SEARCH("-", F87:L87) - 4, 4), ""), "00\:00") + IF(TEXT(IF(ISNUMBER(SEARCH("-", F87:L87)), MID(F87:L87, SEARCH("-", F87:L87) + 1, 4), ""), "00\:00") &lt; TEXT(IF(ISNUMBER(SEARCH("-", F87:L87)), MID(F87:L87, SEARCH("-", F87:L87) - 4, 4), ""), "00\:00"), 1, 0))*24,""))))/9.5</f>
        <v>4</v>
      </c>
      <c r="O87"/>
      <c r="P87"/>
      <c r="Q87" s="2">
        <f t="shared" ref="Q87:Q96" si="25">P87+O87+N87</f>
        <v>4</v>
      </c>
      <c r="S87">
        <f t="shared" ca="1" si="24"/>
        <v>8</v>
      </c>
      <c r="T87" s="2" t="e">
        <f>(IFERROR(VLOOKUP(D87,'Employee Numbers'!$A$3:$C$84,3,FALSE),"NOT FOUND"))*8</f>
        <v>#VALUE!</v>
      </c>
    </row>
    <row r="88" spans="1:21" s="13" customFormat="1" ht="15" customHeight="1">
      <c r="A88" s="44" t="s">
        <v>129</v>
      </c>
      <c r="B88" s="44"/>
      <c r="C88" s="45"/>
      <c r="D88" s="263" t="s">
        <v>132</v>
      </c>
      <c r="E88" s="285">
        <f>IFERROR(VLOOKUP(D88,'Employee Numbers'!$A$3:$B$84,2,FALSE),"NOT FOUND")</f>
        <v>703161</v>
      </c>
      <c r="F88" s="274" t="s">
        <v>176</v>
      </c>
      <c r="G88" s="274"/>
      <c r="H88" s="274"/>
      <c r="I88" s="274"/>
      <c r="J88" s="274"/>
      <c r="K88" s="274"/>
      <c r="L88" s="274"/>
      <c r="M88" s="2"/>
      <c r="N88">
        <f t="array" ref="N88">((SUM(IFERROR((TEXT(IF(ISNUMBER(SEARCH("-", F88:L88)), MID(F88:L88, SEARCH("-", F88:L88) + 1, 4), ""), "00\:00") - TEXT(IF(ISNUMBER(SEARCH("-", F88:L88)), MID(F88:L88, SEARCH("-", F88:L88) - 4, 4), ""), "00\:00") + IF(TEXT(IF(ISNUMBER(SEARCH("-", F88:L88)), MID(F88:L88, SEARCH("-", F88:L88) + 1, 4), ""), "00\:00") &lt; TEXT(IF(ISNUMBER(SEARCH("-", F88:L88)), MID(F88:L88, SEARCH("-", F88:L88) - 4, 4), ""), "00\:00"), 1, 0))*24,""))))/9.5</f>
        <v>0</v>
      </c>
      <c r="O88"/>
      <c r="P88"/>
      <c r="Q88" s="2">
        <f t="shared" si="25"/>
        <v>0</v>
      </c>
      <c r="R88" s="2"/>
      <c r="S88">
        <f t="shared" ca="1" si="24"/>
        <v>0</v>
      </c>
      <c r="T88" s="2" t="e">
        <f>(IFERROR(VLOOKUP(D88,'Employee Numbers'!$A$3:$C$84,3,FALSE),"NOT FOUND"))*8</f>
        <v>#VALUE!</v>
      </c>
      <c r="U88" s="2"/>
    </row>
    <row r="89" spans="1:21" s="2" customFormat="1" ht="15" customHeight="1">
      <c r="A89" s="2" t="s">
        <v>129</v>
      </c>
      <c r="C89" s="21"/>
      <c r="D89" s="263" t="s">
        <v>133</v>
      </c>
      <c r="E89" s="285">
        <f>IFERROR(VLOOKUP(D89,'Employee Numbers'!$A$3:$B$84,2,FALSE),"NOT FOUND")</f>
        <v>655179</v>
      </c>
      <c r="F89" s="264"/>
      <c r="G89" s="264"/>
      <c r="H89" s="264"/>
      <c r="I89" s="264"/>
      <c r="J89" s="264"/>
      <c r="K89" s="264"/>
      <c r="L89" s="264"/>
      <c r="N89">
        <f t="array" ref="N89">((SUM(IFERROR((TEXT(IF(ISNUMBER(SEARCH("-", F89:L89)), MID(F89:L89, SEARCH("-", F89:L89) + 1, 4), ""), "00\:00") - TEXT(IF(ISNUMBER(SEARCH("-", F89:L89)), MID(F89:L89, SEARCH("-", F89:L89) - 4, 4), ""), "00\:00") + IF(TEXT(IF(ISNUMBER(SEARCH("-", F89:L89)), MID(F89:L89, SEARCH("-", F89:L89) + 1, 4), ""), "00\:00") &lt; TEXT(IF(ISNUMBER(SEARCH("-", F89:L89)), MID(F89:L89, SEARCH("-", F89:L89) - 4, 4), ""), "00\:00"), 1, 0))*24,""))))/9.5</f>
        <v>0</v>
      </c>
      <c r="O89"/>
      <c r="P89"/>
      <c r="Q89" s="2">
        <f t="shared" si="25"/>
        <v>0</v>
      </c>
      <c r="S89">
        <f t="shared" ca="1" si="24"/>
        <v>0</v>
      </c>
      <c r="T89" s="2" t="e">
        <f>(IFERROR(VLOOKUP(D89,'Employee Numbers'!$A$3:$C$84,3,FALSE),"NOT FOUND"))*8</f>
        <v>#VALUE!</v>
      </c>
    </row>
    <row r="90" spans="1:21" s="2" customFormat="1" ht="15" customHeight="1">
      <c r="A90" s="44" t="s">
        <v>129</v>
      </c>
      <c r="B90" s="44"/>
      <c r="C90" s="45"/>
      <c r="D90" s="263" t="s">
        <v>134</v>
      </c>
      <c r="E90" s="285">
        <f>IFERROR(VLOOKUP(D90,'Employee Numbers'!$A$3:$B$84,2,FALSE),"NOT FOUND")</f>
        <v>700812</v>
      </c>
      <c r="F90" s="264"/>
      <c r="G90" s="264"/>
      <c r="H90" s="264"/>
      <c r="I90" s="264" t="s">
        <v>42</v>
      </c>
      <c r="J90" s="264" t="s">
        <v>100</v>
      </c>
      <c r="K90" s="264" t="s">
        <v>100</v>
      </c>
      <c r="L90" s="264" t="s">
        <v>100</v>
      </c>
      <c r="N90">
        <f t="array" ref="N90">((SUM(IFERROR((TEXT(IF(ISNUMBER(SEARCH("-", F90:L90)), MID(F90:L90, SEARCH("-", F90:L90) + 1, 4), ""), "00\:00") - TEXT(IF(ISNUMBER(SEARCH("-", F90:L90)), MID(F90:L90, SEARCH("-", F90:L90) - 4, 4), ""), "00\:00") + IF(TEXT(IF(ISNUMBER(SEARCH("-", F90:L90)), MID(F90:L90, SEARCH("-", F90:L90) + 1, 4), ""), "00\:00") &lt; TEXT(IF(ISNUMBER(SEARCH("-", F90:L90)), MID(F90:L90, SEARCH("-", F90:L90) - 4, 4), ""), "00\:00"), 1, 0))*24,""))))/9.5</f>
        <v>4</v>
      </c>
      <c r="O90"/>
      <c r="P90"/>
      <c r="Q90" s="2">
        <f t="shared" si="25"/>
        <v>4</v>
      </c>
      <c r="S90">
        <f t="shared" ca="1" si="24"/>
        <v>8</v>
      </c>
      <c r="T90" s="2" t="e">
        <f>(IFERROR(VLOOKUP(D90,'Employee Numbers'!$A$3:$C$84,3,FALSE),"NOT FOUND"))*8</f>
        <v>#VALUE!</v>
      </c>
    </row>
    <row r="91" spans="1:21" s="2" customFormat="1" ht="15" customHeight="1">
      <c r="A91" s="2" t="s">
        <v>129</v>
      </c>
      <c r="D91" s="263" t="s">
        <v>135</v>
      </c>
      <c r="E91" s="285">
        <f>IFERROR(VLOOKUP(D91,'Employee Numbers'!$A$3:$B$84,2,FALSE),"NOT FOUND")</f>
        <v>703157</v>
      </c>
      <c r="F91" s="264" t="s">
        <v>100</v>
      </c>
      <c r="G91" s="264"/>
      <c r="H91" s="264"/>
      <c r="I91" s="264"/>
      <c r="J91" s="264" t="s">
        <v>44</v>
      </c>
      <c r="K91" s="264" t="s">
        <v>44</v>
      </c>
      <c r="L91" s="264" t="s">
        <v>44</v>
      </c>
      <c r="N91">
        <f t="array" ref="N91">((SUM(IFERROR((TEXT(IF(ISNUMBER(SEARCH("-", F91:L91)), MID(F91:L91, SEARCH("-", F91:L91) + 1, 4), ""), "00\:00") - TEXT(IF(ISNUMBER(SEARCH("-", F91:L91)), MID(F91:L91, SEARCH("-", F91:L91) - 4, 4), ""), "00\:00") + IF(TEXT(IF(ISNUMBER(SEARCH("-", F91:L91)), MID(F91:L91, SEARCH("-", F91:L91) + 1, 4), ""), "00\:00") &lt; TEXT(IF(ISNUMBER(SEARCH("-", F91:L91)), MID(F91:L91, SEARCH("-", F91:L91) - 4, 4), ""), "00\:00"), 1, 0))*24,""))))/9.5</f>
        <v>4</v>
      </c>
      <c r="O91"/>
      <c r="P91"/>
      <c r="Q91" s="2">
        <f t="shared" si="25"/>
        <v>4</v>
      </c>
      <c r="S91">
        <f t="shared" ca="1" si="24"/>
        <v>8</v>
      </c>
      <c r="T91" s="2" t="e">
        <f>(IFERROR(VLOOKUP(D91,'Employee Numbers'!$A$3:$C$84,3,FALSE),"NOT FOUND"))*8</f>
        <v>#VALUE!</v>
      </c>
    </row>
    <row r="92" spans="1:21" s="2" customFormat="1" ht="15" customHeight="1">
      <c r="A92" s="44" t="s">
        <v>129</v>
      </c>
      <c r="B92" s="44"/>
      <c r="C92" s="44"/>
      <c r="D92" s="263" t="s">
        <v>136</v>
      </c>
      <c r="E92" s="285">
        <f>IFERROR(VLOOKUP(D92,'Employee Numbers'!$A$3:$B$84,2,FALSE),"NOT FOUND")</f>
        <v>655173</v>
      </c>
      <c r="F92" s="264" t="s">
        <v>42</v>
      </c>
      <c r="G92" s="264" t="s">
        <v>42</v>
      </c>
      <c r="H92" s="264" t="s">
        <v>42</v>
      </c>
      <c r="I92" s="264" t="s">
        <v>42</v>
      </c>
      <c r="J92" s="264"/>
      <c r="K92" s="264"/>
      <c r="L92" s="264"/>
      <c r="N92">
        <f t="array" ref="N92">((SUM(IFERROR((TEXT(IF(ISNUMBER(SEARCH("-", F92:L92)), MID(F92:L92, SEARCH("-", F92:L92) + 1, 4), ""), "00\:00") - TEXT(IF(ISNUMBER(SEARCH("-", F92:L92)), MID(F92:L92, SEARCH("-", F92:L92) - 4, 4), ""), "00\:00") + IF(TEXT(IF(ISNUMBER(SEARCH("-", F92:L92)), MID(F92:L92, SEARCH("-", F92:L92) + 1, 4), ""), "00\:00") &lt; TEXT(IF(ISNUMBER(SEARCH("-", F92:L92)), MID(F92:L92, SEARCH("-", F92:L92) - 4, 4), ""), "00\:00"), 1, 0))*24,""))))/9.5</f>
        <v>4</v>
      </c>
      <c r="O92"/>
      <c r="P92"/>
      <c r="Q92" s="2">
        <f t="shared" si="25"/>
        <v>4</v>
      </c>
      <c r="S92">
        <f t="shared" ca="1" si="24"/>
        <v>8</v>
      </c>
      <c r="T92" s="2" t="e">
        <f>(IFERROR(VLOOKUP(D92,'Employee Numbers'!$A$3:$C$84,3,FALSE),"NOT FOUND"))*8</f>
        <v>#VALUE!</v>
      </c>
    </row>
    <row r="93" spans="1:21" s="2" customFormat="1" ht="15" customHeight="1">
      <c r="A93" s="44" t="s">
        <v>129</v>
      </c>
      <c r="B93" s="44"/>
      <c r="C93" s="45"/>
      <c r="D93" s="263" t="s">
        <v>137</v>
      </c>
      <c r="E93" s="285">
        <f>IFERROR(VLOOKUP(D93,'Employee Numbers'!$A$3:$B$84,2,FALSE),"NOT FOUND")</f>
        <v>705273</v>
      </c>
      <c r="F93" s="264" t="s">
        <v>44</v>
      </c>
      <c r="G93" s="264"/>
      <c r="H93" s="264" t="s">
        <v>44</v>
      </c>
      <c r="I93" s="264" t="s">
        <v>44</v>
      </c>
      <c r="J93" s="264" t="s">
        <v>42</v>
      </c>
      <c r="K93" s="264"/>
      <c r="L93" s="264"/>
      <c r="N93">
        <f t="array" ref="N93">((SUM(IFERROR((TEXT(IF(ISNUMBER(SEARCH("-", F93:L93)), MID(F93:L93, SEARCH("-", F93:L93) + 1, 4), ""), "00\:00") - TEXT(IF(ISNUMBER(SEARCH("-", F93:L93)), MID(F93:L93, SEARCH("-", F93:L93) - 4, 4), ""), "00\:00") + IF(TEXT(IF(ISNUMBER(SEARCH("-", F93:L93)), MID(F93:L93, SEARCH("-", F93:L93) + 1, 4), ""), "00\:00") &lt; TEXT(IF(ISNUMBER(SEARCH("-", F93:L93)), MID(F93:L93, SEARCH("-", F93:L93) - 4, 4), ""), "00\:00"), 1, 0))*24,""))))/9.5</f>
        <v>4</v>
      </c>
      <c r="O93"/>
      <c r="P93"/>
      <c r="Q93" s="2">
        <f t="shared" si="25"/>
        <v>4</v>
      </c>
      <c r="S93">
        <f t="shared" ca="1" si="24"/>
        <v>8</v>
      </c>
      <c r="T93" s="2" t="e">
        <f>(IFERROR(VLOOKUP(D93,'Employee Numbers'!$A$3:$C$84,3,FALSE),"NOT FOUND"))*8</f>
        <v>#VALUE!</v>
      </c>
    </row>
    <row r="94" spans="1:21" s="2" customFormat="1" ht="15" customHeight="1">
      <c r="A94" s="2" t="s">
        <v>129</v>
      </c>
      <c r="C94" s="21"/>
      <c r="D94" s="263" t="s">
        <v>138</v>
      </c>
      <c r="E94" s="285">
        <f>IFERROR(VLOOKUP(D94,'Employee Numbers'!$A$3:$B$84,2,FALSE),"NOT FOUND")</f>
        <v>703418</v>
      </c>
      <c r="F94" s="264" t="s">
        <v>44</v>
      </c>
      <c r="G94" s="264" t="s">
        <v>44</v>
      </c>
      <c r="H94" s="264"/>
      <c r="I94" s="264"/>
      <c r="J94" s="264"/>
      <c r="K94" s="264" t="s">
        <v>42</v>
      </c>
      <c r="L94" s="264" t="s">
        <v>42</v>
      </c>
      <c r="N94">
        <f t="array" ref="N94">((SUM(IFERROR((TEXT(IF(ISNUMBER(SEARCH("-", F94:L94)), MID(F94:L94, SEARCH("-", F94:L94) + 1, 4), ""), "00\:00") - TEXT(IF(ISNUMBER(SEARCH("-", F94:L94)), MID(F94:L94, SEARCH("-", F94:L94) - 4, 4), ""), "00\:00") + IF(TEXT(IF(ISNUMBER(SEARCH("-", F94:L94)), MID(F94:L94, SEARCH("-", F94:L94) + 1, 4), ""), "00\:00") &lt; TEXT(IF(ISNUMBER(SEARCH("-", F94:L94)), MID(F94:L94, SEARCH("-", F94:L94) - 4, 4), ""), "00\:00"), 1, 0))*24,""))))/9.5</f>
        <v>4</v>
      </c>
      <c r="O94"/>
      <c r="P94"/>
      <c r="Q94" s="2">
        <f t="shared" si="25"/>
        <v>4</v>
      </c>
      <c r="S94">
        <f t="shared" ca="1" si="24"/>
        <v>7.9999999999999991</v>
      </c>
      <c r="T94" s="2" t="e">
        <f>(IFERROR(VLOOKUP(D94,'Employee Numbers'!$A$3:$C$84,3,FALSE),"NOT FOUND"))*8</f>
        <v>#VALUE!</v>
      </c>
    </row>
    <row r="95" spans="1:21" s="13" customFormat="1" ht="15" customHeight="1">
      <c r="A95" s="44" t="s">
        <v>129</v>
      </c>
      <c r="B95" s="44"/>
      <c r="C95" s="45"/>
      <c r="D95" s="263" t="s">
        <v>139</v>
      </c>
      <c r="E95" s="285">
        <f>IFERROR(VLOOKUP(D95,'Employee Numbers'!$A$3:$B$84,2,FALSE),"NOT FOUND")</f>
        <v>704108</v>
      </c>
      <c r="F95" s="264"/>
      <c r="G95" s="264"/>
      <c r="H95" s="264" t="s">
        <v>44</v>
      </c>
      <c r="I95" s="264" t="s">
        <v>44</v>
      </c>
      <c r="J95" s="264" t="s">
        <v>44</v>
      </c>
      <c r="K95" s="275"/>
      <c r="L95" s="275"/>
      <c r="M95" s="2"/>
      <c r="N95">
        <f t="array" ref="N95">((SUM(IFERROR((TEXT(IF(ISNUMBER(SEARCH("-", F95:L95)), MID(F95:L95, SEARCH("-", F95:L95) + 1, 4), ""), "00\:00") - TEXT(IF(ISNUMBER(SEARCH("-", F95:L95)), MID(F95:L95, SEARCH("-", F95:L95) - 4, 4), ""), "00\:00") + IF(TEXT(IF(ISNUMBER(SEARCH("-", F95:L95)), MID(F95:L95, SEARCH("-", F95:L95) + 1, 4), ""), "00\:00") &lt; TEXT(IF(ISNUMBER(SEARCH("-", F95:L95)), MID(F95:L95, SEARCH("-", F95:L95) - 4, 4), ""), "00\:00"), 1, 0))*24,""))))/9.5</f>
        <v>3</v>
      </c>
      <c r="O95"/>
      <c r="P95"/>
      <c r="Q95" s="2">
        <f t="shared" si="25"/>
        <v>3</v>
      </c>
      <c r="R95" s="2"/>
      <c r="S95">
        <f t="shared" ca="1" si="24"/>
        <v>8</v>
      </c>
      <c r="T95" s="2" t="e">
        <f>(IFERROR(VLOOKUP(D95,'Employee Numbers'!$A$3:$C$84,3,FALSE),"NOT FOUND"))*8</f>
        <v>#VALUE!</v>
      </c>
      <c r="U95" s="2"/>
    </row>
    <row r="96" spans="1:21" s="2" customFormat="1" ht="15" customHeight="1">
      <c r="A96" s="2" t="s">
        <v>129</v>
      </c>
      <c r="C96" s="21"/>
      <c r="D96" s="263" t="s">
        <v>140</v>
      </c>
      <c r="E96" s="285">
        <f>IFERROR(VLOOKUP(D96,'Employee Numbers'!$A$3:$B$84,2,FALSE),"NOT FOUND")</f>
        <v>651515</v>
      </c>
      <c r="F96" s="264"/>
      <c r="G96" s="264"/>
      <c r="H96" s="264" t="s">
        <v>44</v>
      </c>
      <c r="I96" s="264" t="s">
        <v>42</v>
      </c>
      <c r="J96" s="264"/>
      <c r="K96" s="264" t="s">
        <v>44</v>
      </c>
      <c r="L96" s="264" t="s">
        <v>44</v>
      </c>
      <c r="N96">
        <f t="array" ref="N96">((SUM(IFERROR((TEXT(IF(ISNUMBER(SEARCH("-", F96:L96)), MID(F96:L96, SEARCH("-", F96:L96) + 1, 4), ""), "00\:00") - TEXT(IF(ISNUMBER(SEARCH("-", F96:L96)), MID(F96:L96, SEARCH("-", F96:L96) - 4, 4), ""), "00\:00") + IF(TEXT(IF(ISNUMBER(SEARCH("-", F96:L96)), MID(F96:L96, SEARCH("-", F96:L96) + 1, 4), ""), "00\:00") &lt; TEXT(IF(ISNUMBER(SEARCH("-", F96:L96)), MID(F96:L96, SEARCH("-", F96:L96) - 4, 4), ""), "00\:00"), 1, 0))*24,""))))/9.5</f>
        <v>4</v>
      </c>
      <c r="O96"/>
      <c r="P96"/>
      <c r="Q96" s="2">
        <f t="shared" si="25"/>
        <v>4</v>
      </c>
      <c r="S96">
        <f t="shared" ca="1" si="24"/>
        <v>8</v>
      </c>
      <c r="T96" s="2" t="e">
        <f>(IFERROR(VLOOKUP(D96,'Employee Numbers'!$A$3:$C$84,3,FALSE),"NOT FOUND"))*8</f>
        <v>#VALUE!</v>
      </c>
    </row>
    <row r="97" spans="1:20" s="2" customFormat="1" ht="15" customHeight="1">
      <c r="A97" s="44" t="s">
        <v>129</v>
      </c>
      <c r="B97" s="44"/>
      <c r="C97" s="45"/>
      <c r="D97" s="263" t="s">
        <v>141</v>
      </c>
      <c r="E97" s="285">
        <f>IFERROR(VLOOKUP(D97,'Employee Numbers'!$A$3:$B$84,2,FALSE),"NOT FOUND")</f>
        <v>705199</v>
      </c>
      <c r="F97" s="264" t="s">
        <v>42</v>
      </c>
      <c r="G97" s="264"/>
      <c r="H97" s="264"/>
      <c r="I97" s="264"/>
      <c r="J97" s="264" t="s">
        <v>100</v>
      </c>
      <c r="K97" s="264" t="s">
        <v>100</v>
      </c>
      <c r="L97" s="264" t="s">
        <v>100</v>
      </c>
      <c r="N97">
        <f t="array" ref="N97">((SUM(IFERROR((TEXT(IF(ISNUMBER(SEARCH("-", F97:L97)), MID(F97:L97, SEARCH("-", F97:L97) + 1, 4), ""), "00\:00") - TEXT(IF(ISNUMBER(SEARCH("-", F97:L97)), MID(F97:L97, SEARCH("-", F97:L97) - 4, 4), ""), "00\:00") + IF(TEXT(IF(ISNUMBER(SEARCH("-", F97:L97)), MID(F97:L97, SEARCH("-", F97:L97) + 1, 4), ""), "00\:00") &lt; TEXT(IF(ISNUMBER(SEARCH("-", F97:L97)), MID(F97:L97, SEARCH("-", F97:L97) - 4, 4), ""), "00\:00"), 1, 0))*24,""))))/9.5</f>
        <v>4</v>
      </c>
      <c r="O97"/>
      <c r="P97"/>
      <c r="Q97" s="2">
        <f>P97+O97+N97</f>
        <v>4</v>
      </c>
      <c r="S97">
        <f t="shared" ca="1" si="24"/>
        <v>8</v>
      </c>
      <c r="T97" s="2" t="e">
        <f>(IFERROR(VLOOKUP(D97,'Employee Numbers'!$A$3:$C$84,3,FALSE),"NOT FOUND"))*8</f>
        <v>#VALUE!</v>
      </c>
    </row>
    <row r="98" spans="1:20" s="2" customFormat="1" ht="15" customHeight="1">
      <c r="A98" s="2" t="s">
        <v>129</v>
      </c>
      <c r="D98" s="31"/>
      <c r="E98" s="39" t="str">
        <f>IFERROR(VLOOKUP(D98,'Employee Numbers'!$A$3:$B$84,2,FALSE),"NOT FOUND")</f>
        <v>NOT FOUND</v>
      </c>
      <c r="F98" s="130"/>
      <c r="G98" s="130"/>
      <c r="H98" s="130"/>
      <c r="I98" s="130"/>
      <c r="J98" s="130"/>
      <c r="K98" s="130"/>
      <c r="L98" s="130"/>
      <c r="N98">
        <f t="array" ref="N98">((SUM(IFERROR((TEXT(IF(ISNUMBER(SEARCH("-", F98:L98)), MID(F98:L98, SEARCH("-", F98:L98) + 1, 4), ""), "00\:00") - TEXT(IF(ISNUMBER(SEARCH("-", F98:L98)), MID(F98:L98, SEARCH("-", F98:L98) - 4, 4), ""), "00\:00") + IF(TEXT(IF(ISNUMBER(SEARCH("-", F98:L98)), MID(F98:L98, SEARCH("-", F98:L98) + 1, 4), ""), "00\:00") &lt; TEXT(IF(ISNUMBER(SEARCH("-", F98:L98)), MID(F98:L98, SEARCH("-", F98:L98) - 4, 4), ""), "00\:00"), 1, 0))*24,""))))/9.5</f>
        <v>0</v>
      </c>
      <c r="O98"/>
      <c r="P98"/>
      <c r="Q98" s="2">
        <f>P98+O98+N98</f>
        <v>0</v>
      </c>
      <c r="S98">
        <f t="shared" ca="1" si="24"/>
        <v>0</v>
      </c>
      <c r="T98" s="2" t="e">
        <f>(IFERROR(VLOOKUP(D98,'Employee Numbers'!$A$3:$C$84,3,FALSE),"NOT FOUND"))*8</f>
        <v>#VALUE!</v>
      </c>
    </row>
    <row r="99" spans="1:20" s="2" customFormat="1" ht="15" customHeight="1">
      <c r="A99" s="44" t="s">
        <v>129</v>
      </c>
      <c r="B99" s="44"/>
      <c r="C99" s="44"/>
      <c r="D99" s="30"/>
      <c r="E99" s="39" t="str">
        <f>IFERROR(VLOOKUP(D99,'Employee Numbers'!$A$3:$B$84,2,FALSE),"NOT FOUND")</f>
        <v>NOT FOUND</v>
      </c>
      <c r="F99" s="37"/>
      <c r="G99" s="37"/>
      <c r="H99" s="37"/>
      <c r="I99" s="37"/>
      <c r="J99" s="37"/>
      <c r="K99" s="37"/>
      <c r="L99" s="37"/>
      <c r="N99">
        <f t="array" ref="N99">((SUM(IFERROR((TEXT(IF(ISNUMBER(SEARCH("-", F99:L99)), MID(F99:L99, SEARCH("-", F99:L99) + 1, 4), ""), "00\:00") - TEXT(IF(ISNUMBER(SEARCH("-", F99:L99)), MID(F99:L99, SEARCH("-", F99:L99) - 4, 4), ""), "00\:00") + IF(TEXT(IF(ISNUMBER(SEARCH("-", F99:L99)), MID(F99:L99, SEARCH("-", F99:L99) + 1, 4), ""), "00\:00") &lt; TEXT(IF(ISNUMBER(SEARCH("-", F99:L99)), MID(F99:L99, SEARCH("-", F99:L99) - 4, 4), ""), "00\:00"), 1, 0))*24,""))))/9.5</f>
        <v>0</v>
      </c>
      <c r="O99"/>
      <c r="P99"/>
      <c r="Q99" s="2">
        <f>P99+O99+N99</f>
        <v>0</v>
      </c>
      <c r="S99">
        <f t="shared" ca="1" si="24"/>
        <v>0</v>
      </c>
      <c r="T99" s="2" t="e">
        <f>(IFERROR(VLOOKUP(D99,'Employee Numbers'!$A$3:$C$84,3,FALSE),"NOT FOUND"))*8</f>
        <v>#VALUE!</v>
      </c>
    </row>
    <row r="100" spans="1:20" s="2" customFormat="1" ht="15" customHeight="1">
      <c r="A100" s="56" t="s">
        <v>142</v>
      </c>
      <c r="B100" s="52"/>
      <c r="C100" s="53"/>
      <c r="D100" s="56" t="s">
        <v>142</v>
      </c>
      <c r="E100" s="41" t="s">
        <v>4</v>
      </c>
      <c r="F100" s="40" t="s">
        <v>5</v>
      </c>
      <c r="G100" s="40" t="s">
        <v>6</v>
      </c>
      <c r="H100" s="40" t="s">
        <v>7</v>
      </c>
      <c r="I100" s="40" t="s">
        <v>8</v>
      </c>
      <c r="J100" s="40" t="s">
        <v>9</v>
      </c>
      <c r="K100" s="40" t="s">
        <v>10</v>
      </c>
      <c r="L100" s="40" t="s">
        <v>11</v>
      </c>
      <c r="M100" s="5"/>
    </row>
    <row r="101" spans="1:20" s="2" customFormat="1" ht="15" customHeight="1">
      <c r="A101" s="2" t="s">
        <v>143</v>
      </c>
      <c r="B101" s="5"/>
      <c r="C101" s="8"/>
      <c r="D101" s="31"/>
      <c r="E101" s="39" t="str">
        <f>IFERROR(VLOOKUP(D101,'Employee Numbers'!$A$3:$B$84,2,FALSE),"NOT FOUND")</f>
        <v>NOT FOUND</v>
      </c>
      <c r="F101" s="31"/>
      <c r="G101" s="31"/>
      <c r="H101" s="31"/>
      <c r="I101" s="31"/>
      <c r="J101" s="31"/>
      <c r="K101" s="31"/>
      <c r="L101" s="31"/>
      <c r="M101" s="5"/>
      <c r="N101">
        <f t="array" ref="N101">((SUM(IFERROR((TEXT(IF(ISNUMBER(SEARCH("-", F101:L101)), MID(F101:L101, SEARCH("-", F101:L101) + 1, 4), ""), "00\:00") - TEXT(IF(ISNUMBER(SEARCH("-", F101:L101)), MID(F101:L101, SEARCH("-", F101:L101) - 4, 4), ""), "00\:00") + IF(TEXT(IF(ISNUMBER(SEARCH("-", F101:L101)), MID(F101:L101, SEARCH("-", F101:L101) + 1, 4), ""), "00\:00") &lt; TEXT(IF(ISNUMBER(SEARCH("-", F101:L101)), MID(F101:L101, SEARCH("-", F101:L101) - 4, 4), ""), "00\:00"), 1, 0))*24,""))))/9.5</f>
        <v>0</v>
      </c>
      <c r="O101"/>
      <c r="P101"/>
      <c r="Q101" s="2">
        <f>P101+O101+N101</f>
        <v>0</v>
      </c>
      <c r="S101">
        <f t="shared" ref="S101:S102" ca="1" si="26">IF($C$4=1,SUM(Q101+INDIRECT("'Week "&amp;($B$3+1)&amp;"'!Q"&amp;(ROW()))),IF($C$4=2,SUM(Q101+INDIRECT("'Week "&amp;($B$3-1)&amp;"'!Q"&amp;(ROW())))))</f>
        <v>0</v>
      </c>
      <c r="T101" s="2" t="e">
        <f>(IFERROR(VLOOKUP(D101,'Employee Numbers'!$A$3:$C$84,3,FALSE),"NOT FOUND"))*8</f>
        <v>#VALUE!</v>
      </c>
    </row>
    <row r="102" spans="1:20" s="2" customFormat="1" ht="15" customHeight="1">
      <c r="A102" s="44" t="s">
        <v>143</v>
      </c>
      <c r="B102" s="5"/>
      <c r="C102" s="8"/>
      <c r="D102" s="31"/>
      <c r="E102" s="39" t="str">
        <f>IFERROR(VLOOKUP(D102,'Employee Numbers'!$A$3:$B$84,2,FALSE),"NOT FOUND")</f>
        <v>NOT FOUND</v>
      </c>
      <c r="F102" s="31"/>
      <c r="G102" s="31"/>
      <c r="H102" s="31"/>
      <c r="I102" s="31"/>
      <c r="J102" s="31"/>
      <c r="K102" s="31"/>
      <c r="L102" s="31"/>
      <c r="M102" s="5"/>
      <c r="N102">
        <f t="array" ref="N102">((SUM(IFERROR((TEXT(IF(ISNUMBER(SEARCH("-", F102:L102)), MID(F102:L102, SEARCH("-", F102:L102) + 1, 4), ""), "00\:00") - TEXT(IF(ISNUMBER(SEARCH("-", F102:L102)), MID(F102:L102, SEARCH("-", F102:L102) - 4, 4), ""), "00\:00") + IF(TEXT(IF(ISNUMBER(SEARCH("-", F102:L102)), MID(F102:L102, SEARCH("-", F102:L102) + 1, 4), ""), "00\:00") &lt; TEXT(IF(ISNUMBER(SEARCH("-", F102:L102)), MID(F102:L102, SEARCH("-", F102:L102) - 4, 4), ""), "00\:00"), 1, 0))*24,""))))/9.5</f>
        <v>0</v>
      </c>
      <c r="O102"/>
      <c r="P102"/>
      <c r="Q102" s="2">
        <f>P102+O102+N102</f>
        <v>0</v>
      </c>
      <c r="S102">
        <f t="shared" ca="1" si="26"/>
        <v>0</v>
      </c>
      <c r="T102" s="2" t="e">
        <f>(IFERROR(VLOOKUP(D102,'Employee Numbers'!$A$3:$C$84,3,FALSE),"NOT FOUND"))*8</f>
        <v>#VALUE!</v>
      </c>
    </row>
    <row r="103" spans="1:20" s="2" customFormat="1" ht="15" customHeight="1">
      <c r="A103" s="54" t="s">
        <v>148</v>
      </c>
      <c r="B103" s="54"/>
      <c r="C103" s="54"/>
      <c r="D103" s="57" t="s">
        <v>148</v>
      </c>
      <c r="E103" s="107"/>
      <c r="F103" s="57"/>
      <c r="G103" s="57"/>
      <c r="H103" s="57"/>
      <c r="I103" s="57"/>
      <c r="J103" s="57"/>
      <c r="K103" s="57"/>
      <c r="L103" s="57"/>
      <c r="M103" s="5"/>
      <c r="N103"/>
      <c r="O103"/>
      <c r="Q103"/>
    </row>
    <row r="104" spans="1:20" ht="15" customHeight="1">
      <c r="B104" s="2"/>
      <c r="C104" s="21"/>
      <c r="D104" s="31"/>
      <c r="E104" s="154" t="s">
        <v>149</v>
      </c>
      <c r="F104" s="31"/>
      <c r="G104" s="31"/>
      <c r="H104" s="31"/>
      <c r="I104" s="31"/>
      <c r="J104" s="31"/>
      <c r="K104" s="31"/>
      <c r="L104" s="31"/>
      <c r="N104"/>
      <c r="O104"/>
      <c r="P104" s="2"/>
      <c r="Q104"/>
      <c r="R104" s="2"/>
    </row>
    <row r="105" spans="1:20" ht="15" customHeight="1" thickBot="1">
      <c r="L105" s="6"/>
      <c r="N105"/>
      <c r="O105"/>
      <c r="P105" s="2"/>
      <c r="Q105"/>
      <c r="R105" s="2"/>
    </row>
    <row r="106" spans="1:20" ht="15" customHeight="1">
      <c r="D106" s="77" t="s">
        <v>150</v>
      </c>
      <c r="F106" s="88" t="s">
        <v>151</v>
      </c>
      <c r="G106" s="89"/>
      <c r="H106" s="89"/>
      <c r="I106" s="89"/>
      <c r="J106" s="89"/>
      <c r="K106" s="89"/>
      <c r="L106" s="90"/>
      <c r="N106"/>
      <c r="O106"/>
      <c r="P106" s="2"/>
      <c r="Q106"/>
      <c r="R106" s="2"/>
    </row>
    <row r="107" spans="1:20" ht="15" customHeight="1">
      <c r="D107" s="78" t="s">
        <v>152</v>
      </c>
      <c r="F107" s="24" t="s">
        <v>153</v>
      </c>
      <c r="G107"/>
      <c r="L107" s="6"/>
      <c r="N107" s="2"/>
      <c r="O107" s="2"/>
      <c r="P107" s="2"/>
      <c r="Q107" s="2"/>
      <c r="R107" s="2"/>
    </row>
    <row r="108" spans="1:20" ht="15" customHeight="1">
      <c r="D108" s="79" t="s">
        <v>154</v>
      </c>
      <c r="F108" s="24" t="s">
        <v>155</v>
      </c>
      <c r="G108"/>
      <c r="L108" s="6"/>
      <c r="N108"/>
      <c r="O108"/>
      <c r="P108" s="2"/>
      <c r="Q108"/>
      <c r="R108" s="2"/>
    </row>
    <row r="109" spans="1:20" ht="15" customHeight="1">
      <c r="D109" s="80" t="s">
        <v>156</v>
      </c>
      <c r="F109" s="24" t="s">
        <v>157</v>
      </c>
      <c r="G109"/>
      <c r="L109" s="6"/>
      <c r="N109"/>
      <c r="O109"/>
      <c r="P109" s="2"/>
      <c r="Q109"/>
      <c r="R109" s="2"/>
    </row>
    <row r="110" spans="1:20" ht="15" customHeight="1">
      <c r="D110" s="81" t="s">
        <v>158</v>
      </c>
      <c r="F110" s="24" t="s">
        <v>159</v>
      </c>
      <c r="G110"/>
      <c r="L110" s="6"/>
      <c r="N110" s="2"/>
      <c r="O110" s="2"/>
      <c r="P110" s="2"/>
      <c r="Q110" s="2"/>
      <c r="R110" s="2"/>
    </row>
    <row r="111" spans="1:20" ht="15" customHeight="1" thickBot="1">
      <c r="A111" s="2"/>
      <c r="F111" s="25" t="s">
        <v>160</v>
      </c>
      <c r="G111" s="17"/>
      <c r="H111" s="7"/>
      <c r="I111" s="7"/>
      <c r="J111" s="7"/>
      <c r="K111" s="7"/>
      <c r="L111" s="18"/>
      <c r="N111" s="2"/>
      <c r="O111" s="2"/>
      <c r="P111" s="2"/>
      <c r="Q111" s="2"/>
      <c r="R111" s="2"/>
    </row>
    <row r="112" spans="1:20" ht="15" customHeight="1">
      <c r="G112" s="14"/>
    </row>
    <row r="113" spans="1:18" s="2" customFormat="1" ht="15" customHeight="1">
      <c r="A113" s="42" t="s">
        <v>38</v>
      </c>
      <c r="B113" s="33"/>
      <c r="C113" s="43"/>
      <c r="D113" s="82" t="s">
        <v>38</v>
      </c>
      <c r="E113" s="19"/>
      <c r="F113" s="10"/>
      <c r="G113" s="11"/>
      <c r="H113" s="11"/>
      <c r="I113" s="11"/>
      <c r="J113" s="11"/>
      <c r="K113" s="11"/>
      <c r="L113" s="15"/>
      <c r="M113" s="5"/>
      <c r="N113" s="5"/>
      <c r="O113" s="5"/>
      <c r="P113" s="5"/>
      <c r="Q113" s="5"/>
      <c r="R113" s="5"/>
    </row>
    <row r="114" spans="1:18" ht="15" customHeight="1" thickBot="1"/>
    <row r="115" spans="1:18" ht="15" customHeight="1" thickBot="1">
      <c r="A115" s="2" t="s">
        <v>161</v>
      </c>
      <c r="B115" s="55" t="s">
        <v>162</v>
      </c>
      <c r="C115" s="21"/>
      <c r="D115" s="27" t="str">
        <f t="shared" ref="D115:D143" si="27">D21</f>
        <v>Dr Adam West</v>
      </c>
      <c r="E115" s="22">
        <f>IFERROR(VLOOKUP(D115,'Employee Numbers'!$A$3:$B$84,2,FALSE),"NOT FOUND")</f>
        <v>287628</v>
      </c>
      <c r="F115" s="9" t="str">
        <f t="shared" ref="F115:L130" si="28">IF(F$50=$D115,"Con_8_0000","")</f>
        <v/>
      </c>
      <c r="G115" s="9" t="str">
        <f t="shared" si="28"/>
        <v/>
      </c>
      <c r="H115" s="9" t="str">
        <f t="shared" si="28"/>
        <v/>
      </c>
      <c r="I115" s="9" t="str">
        <f t="shared" si="28"/>
        <v/>
      </c>
      <c r="J115" s="9" t="str">
        <f t="shared" si="28"/>
        <v/>
      </c>
      <c r="K115" s="9" t="str">
        <f t="shared" si="28"/>
        <v/>
      </c>
      <c r="L115" s="9" t="str">
        <f t="shared" si="28"/>
        <v/>
      </c>
    </row>
    <row r="116" spans="1:18" ht="15" customHeight="1" thickBot="1">
      <c r="A116" s="2" t="s">
        <v>161</v>
      </c>
      <c r="B116" s="55" t="s">
        <v>162</v>
      </c>
      <c r="C116" s="21"/>
      <c r="D116" s="27" t="str">
        <f t="shared" si="27"/>
        <v>Dr Toby VanHest</v>
      </c>
      <c r="E116" s="22">
        <f>IFERROR(VLOOKUP(D116,'Employee Numbers'!$A$3:$B$84,2,FALSE),"NOT FOUND")</f>
        <v>609660</v>
      </c>
      <c r="F116" s="9" t="str">
        <f t="shared" si="28"/>
        <v/>
      </c>
      <c r="G116" s="9" t="str">
        <f t="shared" si="28"/>
        <v/>
      </c>
      <c r="H116" s="9" t="str">
        <f t="shared" si="28"/>
        <v/>
      </c>
      <c r="I116" s="9" t="str">
        <f t="shared" si="28"/>
        <v/>
      </c>
      <c r="J116" s="9" t="str">
        <f t="shared" si="28"/>
        <v/>
      </c>
      <c r="K116" s="9" t="str">
        <f t="shared" si="28"/>
        <v>Con_8_0000</v>
      </c>
      <c r="L116" s="9" t="str">
        <f t="shared" si="28"/>
        <v/>
      </c>
    </row>
    <row r="117" spans="1:18" ht="15" customHeight="1" thickBot="1">
      <c r="A117" s="2" t="s">
        <v>161</v>
      </c>
      <c r="B117" s="55" t="s">
        <v>162</v>
      </c>
      <c r="C117" s="21"/>
      <c r="D117" s="27" t="str">
        <f t="shared" si="27"/>
        <v>Dr Bob Seith</v>
      </c>
      <c r="E117" s="22">
        <f>IFERROR(VLOOKUP(D117,'Employee Numbers'!$A$3:$B$84,2,FALSE),"NOT FOUND")</f>
        <v>610036</v>
      </c>
      <c r="F117" s="9" t="str">
        <f t="shared" si="28"/>
        <v/>
      </c>
      <c r="G117" s="9" t="str">
        <f t="shared" si="28"/>
        <v/>
      </c>
      <c r="H117" s="9" t="str">
        <f t="shared" si="28"/>
        <v/>
      </c>
      <c r="I117" s="9" t="str">
        <f t="shared" si="28"/>
        <v/>
      </c>
      <c r="J117" s="9" t="str">
        <f t="shared" si="28"/>
        <v/>
      </c>
      <c r="K117" s="9" t="str">
        <f t="shared" si="28"/>
        <v/>
      </c>
      <c r="L117" s="9" t="str">
        <f t="shared" si="28"/>
        <v/>
      </c>
    </row>
    <row r="118" spans="1:18" ht="15" customHeight="1" thickBot="1">
      <c r="A118" s="2" t="s">
        <v>161</v>
      </c>
      <c r="B118" s="55" t="s">
        <v>162</v>
      </c>
      <c r="C118" s="21"/>
      <c r="D118" s="27" t="str">
        <f t="shared" si="27"/>
        <v>Dr Simon Craig</v>
      </c>
      <c r="E118" s="22">
        <f>IFERROR(VLOOKUP(D118,'Employee Numbers'!$A$3:$B$84,2,FALSE),"NOT FOUND")</f>
        <v>533509</v>
      </c>
      <c r="F118" s="9" t="str">
        <f t="shared" si="28"/>
        <v/>
      </c>
      <c r="G118" s="9" t="str">
        <f t="shared" si="28"/>
        <v/>
      </c>
      <c r="H118" s="9" t="str">
        <f t="shared" si="28"/>
        <v/>
      </c>
      <c r="I118" s="9" t="str">
        <f t="shared" si="28"/>
        <v/>
      </c>
      <c r="J118" s="9" t="str">
        <f t="shared" si="28"/>
        <v/>
      </c>
      <c r="K118" s="9" t="str">
        <f t="shared" si="28"/>
        <v/>
      </c>
      <c r="L118" s="9" t="str">
        <f t="shared" si="28"/>
        <v/>
      </c>
    </row>
    <row r="119" spans="1:18" ht="15" customHeight="1" thickBot="1">
      <c r="A119" s="2" t="s">
        <v>161</v>
      </c>
      <c r="B119" s="55" t="s">
        <v>162</v>
      </c>
      <c r="C119" s="21"/>
      <c r="D119" s="27" t="str">
        <f t="shared" si="27"/>
        <v>Dr Celia Bagshaw</v>
      </c>
      <c r="E119" s="22">
        <f>IFERROR(VLOOKUP(D119,'Employee Numbers'!$A$3:$B$84,2,FALSE),"NOT FOUND")</f>
        <v>625985</v>
      </c>
      <c r="F119" s="9" t="str">
        <f t="shared" si="28"/>
        <v/>
      </c>
      <c r="G119" s="9" t="str">
        <f t="shared" si="28"/>
        <v/>
      </c>
      <c r="H119" s="9" t="str">
        <f t="shared" si="28"/>
        <v/>
      </c>
      <c r="I119" s="9" t="str">
        <f t="shared" si="28"/>
        <v/>
      </c>
      <c r="J119" s="9" t="str">
        <f t="shared" si="28"/>
        <v/>
      </c>
      <c r="K119" s="9" t="str">
        <f t="shared" si="28"/>
        <v/>
      </c>
      <c r="L119" s="9" t="str">
        <f t="shared" si="28"/>
        <v/>
      </c>
    </row>
    <row r="120" spans="1:18" ht="15" customHeight="1" thickBot="1">
      <c r="A120" s="2" t="s">
        <v>161</v>
      </c>
      <c r="B120" s="55" t="s">
        <v>162</v>
      </c>
      <c r="C120" s="21"/>
      <c r="D120" s="27" t="str">
        <f t="shared" si="27"/>
        <v>Dr Adnan Bilgrami</v>
      </c>
      <c r="E120" s="22">
        <f>IFERROR(VLOOKUP(D120,'Employee Numbers'!$A$3:$B$84,2,FALSE),"NOT FOUND")</f>
        <v>632301</v>
      </c>
      <c r="F120" s="9" t="str">
        <f t="shared" si="28"/>
        <v/>
      </c>
      <c r="G120" s="9" t="str">
        <f t="shared" si="28"/>
        <v/>
      </c>
      <c r="H120" s="9" t="str">
        <f t="shared" si="28"/>
        <v/>
      </c>
      <c r="I120" s="9" t="str">
        <f t="shared" si="28"/>
        <v/>
      </c>
      <c r="J120" s="9" t="str">
        <f t="shared" si="28"/>
        <v/>
      </c>
      <c r="K120" s="9" t="str">
        <f t="shared" si="28"/>
        <v/>
      </c>
      <c r="L120" s="9" t="str">
        <f t="shared" si="28"/>
        <v/>
      </c>
    </row>
    <row r="121" spans="1:18" ht="15" customHeight="1" thickBot="1">
      <c r="A121" s="2" t="s">
        <v>161</v>
      </c>
      <c r="B121" s="55" t="s">
        <v>162</v>
      </c>
      <c r="C121" s="21"/>
      <c r="D121" s="27" t="str">
        <f t="shared" si="27"/>
        <v>Dr Preeti Ramaswamy</v>
      </c>
      <c r="E121" s="22">
        <f>IFERROR(VLOOKUP(D121,'Employee Numbers'!$A$3:$B$84,2,FALSE),"NOT FOUND")</f>
        <v>613891</v>
      </c>
      <c r="F121" s="9" t="str">
        <f t="shared" si="28"/>
        <v/>
      </c>
      <c r="G121" s="9" t="str">
        <f t="shared" si="28"/>
        <v/>
      </c>
      <c r="H121" s="9" t="str">
        <f t="shared" si="28"/>
        <v/>
      </c>
      <c r="I121" s="9" t="str">
        <f t="shared" si="28"/>
        <v/>
      </c>
      <c r="J121" s="9" t="str">
        <f t="shared" si="28"/>
        <v/>
      </c>
      <c r="K121" s="9" t="str">
        <f t="shared" si="28"/>
        <v/>
      </c>
      <c r="L121" s="9" t="str">
        <f t="shared" si="28"/>
        <v/>
      </c>
      <c r="N121" s="2"/>
      <c r="O121" s="2"/>
      <c r="P121" s="2"/>
      <c r="Q121" s="2"/>
      <c r="R121" s="2"/>
    </row>
    <row r="122" spans="1:18" ht="15" customHeight="1" thickBot="1">
      <c r="A122" s="2" t="s">
        <v>161</v>
      </c>
      <c r="B122" s="55" t="s">
        <v>162</v>
      </c>
      <c r="C122" s="21"/>
      <c r="D122" s="27" t="str">
        <f t="shared" si="27"/>
        <v>Dr Erin Mills</v>
      </c>
      <c r="E122" s="22">
        <f>IFERROR(VLOOKUP(D122,'Employee Numbers'!$A$3:$B$84,2,FALSE),"NOT FOUND")</f>
        <v>623657</v>
      </c>
      <c r="F122" s="9" t="str">
        <f t="shared" si="28"/>
        <v/>
      </c>
      <c r="G122" s="9" t="str">
        <f t="shared" si="28"/>
        <v/>
      </c>
      <c r="H122" s="9" t="str">
        <f t="shared" si="28"/>
        <v/>
      </c>
      <c r="I122" s="9" t="str">
        <f t="shared" si="28"/>
        <v/>
      </c>
      <c r="J122" s="9" t="str">
        <f t="shared" si="28"/>
        <v/>
      </c>
      <c r="K122" s="9" t="str">
        <f t="shared" si="28"/>
        <v/>
      </c>
      <c r="L122" s="9" t="str">
        <f t="shared" si="28"/>
        <v/>
      </c>
    </row>
    <row r="123" spans="1:18" ht="15" customHeight="1" thickBot="1">
      <c r="A123" s="2" t="s">
        <v>161</v>
      </c>
      <c r="B123" s="55" t="s">
        <v>162</v>
      </c>
      <c r="C123" s="21"/>
      <c r="D123" s="27" t="str">
        <f t="shared" si="27"/>
        <v>Dr Stella Robinson</v>
      </c>
      <c r="E123" s="22">
        <f>IFERROR(VLOOKUP(D123,'Employee Numbers'!$A$3:$B$84,2,FALSE),"NOT FOUND")</f>
        <v>623708</v>
      </c>
      <c r="F123" s="9" t="str">
        <f t="shared" si="28"/>
        <v/>
      </c>
      <c r="G123" s="9" t="str">
        <f t="shared" si="28"/>
        <v/>
      </c>
      <c r="H123" s="9" t="str">
        <f t="shared" si="28"/>
        <v/>
      </c>
      <c r="I123" s="9" t="str">
        <f t="shared" si="28"/>
        <v/>
      </c>
      <c r="J123" s="9" t="str">
        <f t="shared" si="28"/>
        <v>Con_8_0000</v>
      </c>
      <c r="K123" s="9" t="str">
        <f t="shared" si="28"/>
        <v/>
      </c>
      <c r="L123" s="9" t="str">
        <f t="shared" si="28"/>
        <v/>
      </c>
    </row>
    <row r="124" spans="1:18" ht="15" customHeight="1" thickBot="1">
      <c r="A124" s="2" t="s">
        <v>161</v>
      </c>
      <c r="B124" s="55" t="s">
        <v>162</v>
      </c>
      <c r="C124" s="21"/>
      <c r="D124" s="27" t="str">
        <f t="shared" si="27"/>
        <v>Dr Bev Thompson</v>
      </c>
      <c r="E124" s="22">
        <f>IFERROR(VLOOKUP(D124,'Employee Numbers'!$A$3:$B$84,2,FALSE),"NOT FOUND")</f>
        <v>627680</v>
      </c>
      <c r="F124" s="9" t="str">
        <f t="shared" si="28"/>
        <v/>
      </c>
      <c r="G124" s="9" t="str">
        <f t="shared" si="28"/>
        <v/>
      </c>
      <c r="H124" s="9" t="str">
        <f t="shared" si="28"/>
        <v/>
      </c>
      <c r="I124" s="9" t="str">
        <f t="shared" si="28"/>
        <v/>
      </c>
      <c r="J124" s="9" t="str">
        <f t="shared" si="28"/>
        <v/>
      </c>
      <c r="K124" s="9" t="str">
        <f t="shared" si="28"/>
        <v/>
      </c>
      <c r="L124" s="9" t="str">
        <f t="shared" si="28"/>
        <v/>
      </c>
    </row>
    <row r="125" spans="1:18" ht="15" customHeight="1" thickBot="1">
      <c r="A125" s="2" t="s">
        <v>161</v>
      </c>
      <c r="B125" s="55" t="s">
        <v>162</v>
      </c>
      <c r="C125" s="21"/>
      <c r="D125" s="27" t="str">
        <f t="shared" si="27"/>
        <v>Dr John Unwin</v>
      </c>
      <c r="E125" s="22">
        <f>IFERROR(VLOOKUP(D125,'Employee Numbers'!$A$3:$B$84,2,FALSE),"NOT FOUND")</f>
        <v>633210</v>
      </c>
      <c r="F125" s="9" t="str">
        <f t="shared" si="28"/>
        <v/>
      </c>
      <c r="G125" s="9" t="str">
        <f t="shared" si="28"/>
        <v>Con_8_0000</v>
      </c>
      <c r="H125" s="9" t="str">
        <f t="shared" si="28"/>
        <v/>
      </c>
      <c r="I125" s="9" t="str">
        <f t="shared" si="28"/>
        <v/>
      </c>
      <c r="J125" s="9" t="str">
        <f t="shared" si="28"/>
        <v/>
      </c>
      <c r="K125" s="9" t="str">
        <f t="shared" si="28"/>
        <v/>
      </c>
      <c r="L125" s="9" t="str">
        <f t="shared" si="28"/>
        <v/>
      </c>
    </row>
    <row r="126" spans="1:18" ht="15" customHeight="1" thickBot="1">
      <c r="A126" s="2" t="s">
        <v>161</v>
      </c>
      <c r="B126" s="55" t="s">
        <v>162</v>
      </c>
      <c r="C126" s="21"/>
      <c r="D126" s="27" t="str">
        <f t="shared" si="27"/>
        <v>Dr Siri Samudrala</v>
      </c>
      <c r="E126" s="22">
        <f>IFERROR(VLOOKUP(D126,'Employee Numbers'!$A$3:$B$84,2,FALSE),"NOT FOUND")</f>
        <v>618952</v>
      </c>
      <c r="F126" s="9" t="str">
        <f t="shared" si="28"/>
        <v/>
      </c>
      <c r="G126" s="9" t="str">
        <f t="shared" si="28"/>
        <v/>
      </c>
      <c r="H126" s="9" t="str">
        <f t="shared" si="28"/>
        <v/>
      </c>
      <c r="I126" s="9" t="str">
        <f t="shared" si="28"/>
        <v/>
      </c>
      <c r="J126" s="9" t="str">
        <f t="shared" si="28"/>
        <v/>
      </c>
      <c r="K126" s="9" t="str">
        <f t="shared" si="28"/>
        <v/>
      </c>
      <c r="L126" s="9" t="str">
        <f t="shared" si="28"/>
        <v/>
      </c>
    </row>
    <row r="127" spans="1:18" ht="15" customHeight="1" thickBot="1">
      <c r="A127" s="2" t="s">
        <v>161</v>
      </c>
      <c r="B127" s="55" t="s">
        <v>162</v>
      </c>
      <c r="C127" s="21"/>
      <c r="D127" s="27" t="str">
        <f t="shared" si="27"/>
        <v>Dr Tessa Smith</v>
      </c>
      <c r="E127" s="22">
        <f>IFERROR(VLOOKUP(D127,'Employee Numbers'!$A$3:$B$84,2,FALSE),"NOT FOUND")</f>
        <v>649039</v>
      </c>
      <c r="F127" s="9" t="str">
        <f t="shared" si="28"/>
        <v/>
      </c>
      <c r="G127" s="9" t="str">
        <f t="shared" si="28"/>
        <v/>
      </c>
      <c r="H127" s="9" t="str">
        <f t="shared" si="28"/>
        <v/>
      </c>
      <c r="I127" s="9" t="str">
        <f t="shared" si="28"/>
        <v>Con_8_0000</v>
      </c>
      <c r="J127" s="9" t="str">
        <f t="shared" si="28"/>
        <v/>
      </c>
      <c r="K127" s="9" t="str">
        <f t="shared" si="28"/>
        <v/>
      </c>
      <c r="L127" s="9" t="str">
        <f t="shared" si="28"/>
        <v/>
      </c>
    </row>
    <row r="128" spans="1:18" ht="15" customHeight="1" thickBot="1">
      <c r="A128" s="2" t="s">
        <v>161</v>
      </c>
      <c r="B128" s="55" t="s">
        <v>162</v>
      </c>
      <c r="C128" s="21"/>
      <c r="D128" s="27" t="str">
        <f t="shared" si="27"/>
        <v>Dr Brad Dent</v>
      </c>
      <c r="E128" s="22">
        <f>IFERROR(VLOOKUP(D128,'Employee Numbers'!$A$3:$B$84,2,FALSE),"NOT FOUND")</f>
        <v>649671</v>
      </c>
      <c r="F128" s="9" t="str">
        <f t="shared" si="28"/>
        <v/>
      </c>
      <c r="G128" s="9" t="str">
        <f t="shared" si="28"/>
        <v/>
      </c>
      <c r="H128" s="9" t="str">
        <f t="shared" si="28"/>
        <v/>
      </c>
      <c r="I128" s="9" t="str">
        <f t="shared" si="28"/>
        <v/>
      </c>
      <c r="J128" s="9" t="str">
        <f t="shared" si="28"/>
        <v/>
      </c>
      <c r="K128" s="9" t="str">
        <f t="shared" si="28"/>
        <v/>
      </c>
      <c r="L128" s="9" t="str">
        <f t="shared" si="28"/>
        <v/>
      </c>
    </row>
    <row r="129" spans="1:18" ht="15" customHeight="1" thickBot="1">
      <c r="A129" s="2" t="s">
        <v>161</v>
      </c>
      <c r="B129" s="55" t="s">
        <v>162</v>
      </c>
      <c r="C129" s="21"/>
      <c r="D129" s="27" t="str">
        <f t="shared" si="27"/>
        <v>Dr Marjolein Slaa</v>
      </c>
      <c r="E129" s="22">
        <f>IFERROR(VLOOKUP(D129,'Employee Numbers'!$A$3:$B$84,2,FALSE),"NOT FOUND")</f>
        <v>646047</v>
      </c>
      <c r="F129" s="9" t="str">
        <f t="shared" si="28"/>
        <v/>
      </c>
      <c r="G129" s="9" t="str">
        <f t="shared" si="28"/>
        <v/>
      </c>
      <c r="H129" s="9" t="str">
        <f t="shared" si="28"/>
        <v/>
      </c>
      <c r="I129" s="9" t="str">
        <f t="shared" si="28"/>
        <v/>
      </c>
      <c r="J129" s="9" t="str">
        <f t="shared" si="28"/>
        <v/>
      </c>
      <c r="K129" s="9" t="str">
        <f t="shared" si="28"/>
        <v/>
      </c>
      <c r="L129" s="9" t="str">
        <f t="shared" si="28"/>
        <v/>
      </c>
    </row>
    <row r="130" spans="1:18" ht="15" customHeight="1" thickBot="1">
      <c r="A130" s="2" t="s">
        <v>161</v>
      </c>
      <c r="B130" s="55" t="s">
        <v>162</v>
      </c>
      <c r="C130" s="21"/>
      <c r="D130" s="27" t="str">
        <f t="shared" si="27"/>
        <v>Dr Natalie Hood</v>
      </c>
      <c r="E130" s="22">
        <f>IFERROR(VLOOKUP(D130,'Employee Numbers'!$A$3:$B$84,2,FALSE),"NOT FOUND")</f>
        <v>164003</v>
      </c>
      <c r="F130" s="9" t="str">
        <f t="shared" si="28"/>
        <v>Con_8_0000</v>
      </c>
      <c r="G130" s="9" t="str">
        <f t="shared" si="28"/>
        <v/>
      </c>
      <c r="H130" s="9" t="str">
        <f t="shared" si="28"/>
        <v/>
      </c>
      <c r="I130" s="9" t="str">
        <f t="shared" si="28"/>
        <v/>
      </c>
      <c r="J130" s="9" t="str">
        <f t="shared" si="28"/>
        <v/>
      </c>
      <c r="K130" s="9" t="str">
        <f t="shared" si="28"/>
        <v/>
      </c>
      <c r="L130" s="9" t="str">
        <f t="shared" si="28"/>
        <v/>
      </c>
    </row>
    <row r="131" spans="1:18" ht="15" customHeight="1" thickBot="1">
      <c r="A131" s="2" t="s">
        <v>161</v>
      </c>
      <c r="B131" s="55" t="s">
        <v>162</v>
      </c>
      <c r="C131" s="21"/>
      <c r="D131" s="27" t="str">
        <f t="shared" si="27"/>
        <v>Dr Michael Coman</v>
      </c>
      <c r="E131" s="22">
        <f>IFERROR(VLOOKUP(D131,'Employee Numbers'!$A$3:$B$84,2,FALSE),"NOT FOUND")</f>
        <v>609408</v>
      </c>
      <c r="F131" s="9" t="str">
        <f t="shared" ref="F131:L143" si="29">IF(F$50=$D131,"Con_8_0000","")</f>
        <v/>
      </c>
      <c r="G131" s="9" t="str">
        <f t="shared" si="29"/>
        <v/>
      </c>
      <c r="H131" s="9" t="str">
        <f t="shared" si="29"/>
        <v/>
      </c>
      <c r="I131" s="9" t="str">
        <f t="shared" si="29"/>
        <v/>
      </c>
      <c r="J131" s="9" t="str">
        <f t="shared" si="29"/>
        <v/>
      </c>
      <c r="K131" s="9" t="str">
        <f t="shared" si="29"/>
        <v/>
      </c>
      <c r="L131" s="9" t="str">
        <f t="shared" si="29"/>
        <v/>
      </c>
    </row>
    <row r="132" spans="1:18" ht="15" customHeight="1" thickBot="1">
      <c r="A132" s="2" t="s">
        <v>161</v>
      </c>
      <c r="B132" s="55" t="s">
        <v>162</v>
      </c>
      <c r="C132" s="21"/>
      <c r="D132" s="27" t="str">
        <f t="shared" si="27"/>
        <v>Dr Andrew Hardy</v>
      </c>
      <c r="E132" s="22">
        <f>IFERROR(VLOOKUP(D132,'Employee Numbers'!$A$3:$B$84,2,FALSE),"NOT FOUND")</f>
        <v>627619</v>
      </c>
      <c r="F132" s="9" t="str">
        <f t="shared" si="29"/>
        <v/>
      </c>
      <c r="G132" s="9" t="str">
        <f t="shared" si="29"/>
        <v/>
      </c>
      <c r="H132" s="9" t="str">
        <f t="shared" si="29"/>
        <v/>
      </c>
      <c r="I132" s="9" t="str">
        <f t="shared" si="29"/>
        <v/>
      </c>
      <c r="J132" s="9" t="str">
        <f t="shared" si="29"/>
        <v/>
      </c>
      <c r="K132" s="9" t="str">
        <f t="shared" si="29"/>
        <v/>
      </c>
      <c r="L132" s="9" t="str">
        <f t="shared" si="29"/>
        <v/>
      </c>
    </row>
    <row r="133" spans="1:18" ht="15" customHeight="1" thickBot="1">
      <c r="A133" s="2" t="s">
        <v>161</v>
      </c>
      <c r="B133" s="55" t="s">
        <v>162</v>
      </c>
      <c r="C133" s="21"/>
      <c r="D133" s="27" t="str">
        <f t="shared" si="27"/>
        <v>Dr Gargi Kanabar</v>
      </c>
      <c r="E133" s="22">
        <f>IFERROR(VLOOKUP(D133,'Employee Numbers'!$A$3:$B$84,2,FALSE),"NOT FOUND")</f>
        <v>632646</v>
      </c>
      <c r="F133" s="9" t="str">
        <f t="shared" si="29"/>
        <v/>
      </c>
      <c r="G133" s="9" t="str">
        <f t="shared" si="29"/>
        <v/>
      </c>
      <c r="H133" s="9" t="str">
        <f t="shared" si="29"/>
        <v/>
      </c>
      <c r="I133" s="9" t="str">
        <f t="shared" si="29"/>
        <v/>
      </c>
      <c r="J133" s="9" t="str">
        <f t="shared" si="29"/>
        <v/>
      </c>
      <c r="K133" s="9" t="str">
        <f t="shared" si="29"/>
        <v/>
      </c>
      <c r="L133" s="9" t="str">
        <f t="shared" si="29"/>
        <v/>
      </c>
    </row>
    <row r="134" spans="1:18" ht="15" customHeight="1" thickBot="1">
      <c r="A134" s="2" t="s">
        <v>161</v>
      </c>
      <c r="B134" s="55" t="s">
        <v>162</v>
      </c>
      <c r="C134" s="21"/>
      <c r="D134" s="27" t="str">
        <f t="shared" si="27"/>
        <v>Dr Mandy Parr</v>
      </c>
      <c r="E134" s="22">
        <f>IFERROR(VLOOKUP(D134,'Employee Numbers'!$A$3:$B$84,2,FALSE),"NOT FOUND")</f>
        <v>652844</v>
      </c>
      <c r="F134" s="9" t="str">
        <f t="shared" si="29"/>
        <v/>
      </c>
      <c r="G134" s="9" t="str">
        <f t="shared" si="29"/>
        <v/>
      </c>
      <c r="H134" s="9" t="str">
        <f t="shared" si="29"/>
        <v>Con_8_0000</v>
      </c>
      <c r="I134" s="9" t="str">
        <f t="shared" si="29"/>
        <v/>
      </c>
      <c r="J134" s="9" t="str">
        <f t="shared" si="29"/>
        <v/>
      </c>
      <c r="K134" s="9" t="str">
        <f t="shared" si="29"/>
        <v/>
      </c>
      <c r="L134" s="9" t="str">
        <f t="shared" si="29"/>
        <v/>
      </c>
    </row>
    <row r="135" spans="1:18" ht="15" customHeight="1" thickBot="1">
      <c r="A135" s="2" t="s">
        <v>161</v>
      </c>
      <c r="B135" s="55" t="s">
        <v>162</v>
      </c>
      <c r="C135" s="21"/>
      <c r="D135" s="27" t="str">
        <f t="shared" si="27"/>
        <v>Dr Tecwyn Davies</v>
      </c>
      <c r="E135" s="22">
        <f>IFERROR(VLOOKUP(D135,'Employee Numbers'!$A$3:$B$84,2,FALSE),"NOT FOUND")</f>
        <v>634491</v>
      </c>
      <c r="F135" s="9" t="str">
        <f t="shared" si="29"/>
        <v/>
      </c>
      <c r="G135" s="9" t="str">
        <f t="shared" si="29"/>
        <v/>
      </c>
      <c r="H135" s="9" t="str">
        <f t="shared" si="29"/>
        <v/>
      </c>
      <c r="I135" s="9" t="str">
        <f t="shared" si="29"/>
        <v/>
      </c>
      <c r="J135" s="9" t="str">
        <f t="shared" si="29"/>
        <v/>
      </c>
      <c r="K135" s="9" t="str">
        <f t="shared" si="29"/>
        <v/>
      </c>
      <c r="L135" s="9" t="str">
        <f t="shared" si="29"/>
        <v/>
      </c>
    </row>
    <row r="136" spans="1:18" ht="15" customHeight="1" thickBot="1">
      <c r="A136" s="2" t="s">
        <v>161</v>
      </c>
      <c r="B136" s="55" t="s">
        <v>162</v>
      </c>
      <c r="C136" s="21"/>
      <c r="D136" s="27" t="str">
        <f t="shared" si="27"/>
        <v>Dr Patrick Finn</v>
      </c>
      <c r="E136" s="22">
        <f>IFERROR(VLOOKUP(D136,'Employee Numbers'!$A$3:$B$84,2,FALSE),"NOT FOUND")</f>
        <v>621988</v>
      </c>
      <c r="F136" s="9" t="str">
        <f t="shared" si="29"/>
        <v/>
      </c>
      <c r="G136" s="9" t="str">
        <f t="shared" si="29"/>
        <v/>
      </c>
      <c r="H136" s="9" t="str">
        <f t="shared" si="29"/>
        <v/>
      </c>
      <c r="I136" s="9" t="str">
        <f t="shared" si="29"/>
        <v/>
      </c>
      <c r="J136" s="9" t="str">
        <f t="shared" si="29"/>
        <v/>
      </c>
      <c r="K136" s="9" t="str">
        <f t="shared" si="29"/>
        <v/>
      </c>
      <c r="L136" s="9" t="str">
        <f t="shared" si="29"/>
        <v/>
      </c>
    </row>
    <row r="137" spans="1:18" ht="15" customHeight="1" thickBot="1">
      <c r="A137" s="2" t="s">
        <v>161</v>
      </c>
      <c r="B137" s="55" t="s">
        <v>162</v>
      </c>
      <c r="C137" s="21"/>
      <c r="D137" s="27" t="str">
        <f t="shared" si="27"/>
        <v>Dr Chris Fong</v>
      </c>
      <c r="E137" s="22">
        <f>IFERROR(VLOOKUP(D137,'Employee Numbers'!$A$3:$B$84,2,FALSE),"NOT FOUND")</f>
        <v>409677</v>
      </c>
      <c r="F137" s="9" t="str">
        <f t="shared" si="29"/>
        <v/>
      </c>
      <c r="G137" s="9" t="str">
        <f t="shared" si="29"/>
        <v/>
      </c>
      <c r="H137" s="9" t="str">
        <f t="shared" si="29"/>
        <v/>
      </c>
      <c r="I137" s="9" t="str">
        <f t="shared" si="29"/>
        <v/>
      </c>
      <c r="J137" s="9" t="str">
        <f t="shared" si="29"/>
        <v/>
      </c>
      <c r="K137" s="9" t="str">
        <f t="shared" si="29"/>
        <v/>
      </c>
      <c r="L137" s="9" t="str">
        <f t="shared" si="29"/>
        <v>Con_8_0000</v>
      </c>
    </row>
    <row r="138" spans="1:18" s="13" customFormat="1" ht="15" customHeight="1" thickBot="1">
      <c r="A138" s="2" t="s">
        <v>161</v>
      </c>
      <c r="B138" s="55" t="s">
        <v>162</v>
      </c>
      <c r="C138" s="21"/>
      <c r="D138" s="27" t="str">
        <f t="shared" si="27"/>
        <v>Dr Matthew Tang</v>
      </c>
      <c r="E138" s="22">
        <f>IFERROR(VLOOKUP(D138,'Employee Numbers'!$A$3:$B$84,2,FALSE),"NOT FOUND")</f>
        <v>632590</v>
      </c>
      <c r="F138" s="9" t="str">
        <f t="shared" si="29"/>
        <v/>
      </c>
      <c r="G138" s="9" t="str">
        <f t="shared" si="29"/>
        <v/>
      </c>
      <c r="H138" s="9" t="str">
        <f t="shared" si="29"/>
        <v/>
      </c>
      <c r="I138" s="9" t="str">
        <f t="shared" si="29"/>
        <v/>
      </c>
      <c r="J138" s="9" t="str">
        <f t="shared" si="29"/>
        <v/>
      </c>
      <c r="K138" s="9" t="str">
        <f t="shared" si="29"/>
        <v/>
      </c>
      <c r="L138" s="9" t="str">
        <f t="shared" si="29"/>
        <v/>
      </c>
      <c r="M138" s="5"/>
      <c r="N138" s="5"/>
      <c r="O138" s="5"/>
      <c r="P138" s="5"/>
      <c r="Q138" s="5"/>
      <c r="R138" s="5"/>
    </row>
    <row r="139" spans="1:18" s="13" customFormat="1" ht="15" customHeight="1" thickBot="1">
      <c r="A139" s="2" t="s">
        <v>161</v>
      </c>
      <c r="B139" s="55" t="s">
        <v>162</v>
      </c>
      <c r="C139" s="21"/>
      <c r="D139" s="27" t="str">
        <f t="shared" si="27"/>
        <v>Dr Niki Talic</v>
      </c>
      <c r="E139" s="22">
        <f>IFERROR(VLOOKUP(D139,'Employee Numbers'!$A$3:$B$84,2,FALSE),"NOT FOUND")</f>
        <v>619537</v>
      </c>
      <c r="F139" s="9" t="str">
        <f t="shared" si="29"/>
        <v/>
      </c>
      <c r="G139" s="9" t="str">
        <f t="shared" si="29"/>
        <v/>
      </c>
      <c r="H139" s="9" t="str">
        <f t="shared" si="29"/>
        <v/>
      </c>
      <c r="I139" s="9" t="str">
        <f t="shared" si="29"/>
        <v/>
      </c>
      <c r="J139" s="9" t="str">
        <f t="shared" si="29"/>
        <v/>
      </c>
      <c r="K139" s="9" t="str">
        <f t="shared" si="29"/>
        <v/>
      </c>
      <c r="L139" s="9" t="str">
        <f t="shared" si="29"/>
        <v/>
      </c>
      <c r="M139" s="5"/>
      <c r="N139" s="5"/>
      <c r="O139" s="5"/>
      <c r="P139" s="5"/>
      <c r="Q139" s="5"/>
      <c r="R139" s="5"/>
    </row>
    <row r="140" spans="1:18" s="13" customFormat="1" ht="15" customHeight="1" thickBot="1">
      <c r="A140" s="2" t="s">
        <v>161</v>
      </c>
      <c r="B140" s="55" t="s">
        <v>162</v>
      </c>
      <c r="C140" s="21"/>
      <c r="D140" s="27" t="str">
        <f t="shared" si="27"/>
        <v>Dr Deb Morawetz</v>
      </c>
      <c r="E140" s="22">
        <f>IFERROR(VLOOKUP(D140,'Employee Numbers'!$A$3:$B$84,2,FALSE),"NOT FOUND")</f>
        <v>621953</v>
      </c>
      <c r="F140" s="9" t="str">
        <f t="shared" si="29"/>
        <v/>
      </c>
      <c r="G140" s="9" t="str">
        <f t="shared" si="29"/>
        <v/>
      </c>
      <c r="H140" s="9" t="str">
        <f t="shared" si="29"/>
        <v/>
      </c>
      <c r="I140" s="9" t="str">
        <f t="shared" si="29"/>
        <v/>
      </c>
      <c r="J140" s="9" t="str">
        <f t="shared" si="29"/>
        <v/>
      </c>
      <c r="K140" s="9" t="str">
        <f t="shared" si="29"/>
        <v/>
      </c>
      <c r="L140" s="9" t="str">
        <f t="shared" si="29"/>
        <v/>
      </c>
      <c r="M140" s="5"/>
      <c r="N140" s="5"/>
      <c r="O140" s="5"/>
      <c r="P140" s="5"/>
      <c r="Q140" s="5"/>
      <c r="R140" s="5"/>
    </row>
    <row r="141" spans="1:18" s="13" customFormat="1" ht="15" customHeight="1" thickBot="1">
      <c r="A141" s="2" t="s">
        <v>161</v>
      </c>
      <c r="B141" s="55" t="s">
        <v>162</v>
      </c>
      <c r="C141" s="21"/>
      <c r="D141" s="27" t="str">
        <f t="shared" si="27"/>
        <v>Dr Priya Jeyaveerasingam</v>
      </c>
      <c r="E141" s="22">
        <f>IFERROR(VLOOKUP(D141,'Employee Numbers'!$A$3:$B$84,2,FALSE),"NOT FOUND")</f>
        <v>614504</v>
      </c>
      <c r="F141" s="9" t="str">
        <f t="shared" si="29"/>
        <v/>
      </c>
      <c r="G141" s="9" t="str">
        <f t="shared" si="29"/>
        <v/>
      </c>
      <c r="H141" s="9" t="str">
        <f t="shared" si="29"/>
        <v/>
      </c>
      <c r="I141" s="9" t="str">
        <f t="shared" si="29"/>
        <v/>
      </c>
      <c r="J141" s="9" t="str">
        <f t="shared" si="29"/>
        <v/>
      </c>
      <c r="K141" s="9" t="str">
        <f t="shared" si="29"/>
        <v/>
      </c>
      <c r="L141" s="9" t="str">
        <f t="shared" si="29"/>
        <v/>
      </c>
      <c r="M141" s="5"/>
      <c r="N141" s="5"/>
      <c r="O141" s="5"/>
      <c r="P141" s="5"/>
      <c r="Q141" s="5"/>
      <c r="R141" s="5"/>
    </row>
    <row r="142" spans="1:18" s="13" customFormat="1" ht="15" customHeight="1" thickBot="1">
      <c r="A142" s="2" t="s">
        <v>161</v>
      </c>
      <c r="B142" s="55" t="s">
        <v>162</v>
      </c>
      <c r="C142" s="21"/>
      <c r="D142" s="27" t="str">
        <f t="shared" si="27"/>
        <v>Locum</v>
      </c>
      <c r="E142" s="22" t="str">
        <f>IFERROR(VLOOKUP(D142,'Employee Numbers'!$A$3:$B$84,2,FALSE),"NOT FOUND")</f>
        <v>N/A</v>
      </c>
      <c r="F142" s="9" t="str">
        <f t="shared" si="29"/>
        <v/>
      </c>
      <c r="G142" s="9" t="str">
        <f t="shared" si="29"/>
        <v/>
      </c>
      <c r="H142" s="9" t="str">
        <f t="shared" si="29"/>
        <v/>
      </c>
      <c r="I142" s="9" t="str">
        <f t="shared" si="29"/>
        <v/>
      </c>
      <c r="J142" s="9" t="str">
        <f t="shared" si="29"/>
        <v/>
      </c>
      <c r="K142" s="9" t="str">
        <f t="shared" si="29"/>
        <v/>
      </c>
      <c r="L142" s="9" t="str">
        <f t="shared" si="29"/>
        <v/>
      </c>
      <c r="M142" s="5"/>
      <c r="N142" s="5"/>
      <c r="O142" s="5"/>
      <c r="P142" s="5"/>
      <c r="Q142" s="5"/>
      <c r="R142" s="5"/>
    </row>
    <row r="143" spans="1:18" s="13" customFormat="1" ht="15" customHeight="1">
      <c r="A143" s="2" t="s">
        <v>161</v>
      </c>
      <c r="B143" s="55" t="s">
        <v>162</v>
      </c>
      <c r="C143" s="21"/>
      <c r="D143" s="27" t="str">
        <f t="shared" si="27"/>
        <v>Locum</v>
      </c>
      <c r="E143" s="22" t="str">
        <f>IFERROR(VLOOKUP(D143,'Employee Numbers'!$A$3:$B$84,2,FALSE),"NOT FOUND")</f>
        <v>N/A</v>
      </c>
      <c r="F143" s="9" t="str">
        <f t="shared" si="29"/>
        <v/>
      </c>
      <c r="G143" s="9" t="str">
        <f t="shared" si="29"/>
        <v/>
      </c>
      <c r="H143" s="9" t="str">
        <f t="shared" si="29"/>
        <v/>
      </c>
      <c r="I143" s="9" t="str">
        <f t="shared" si="29"/>
        <v/>
      </c>
      <c r="J143" s="9" t="str">
        <f t="shared" si="29"/>
        <v/>
      </c>
      <c r="K143" s="9" t="str">
        <f t="shared" si="29"/>
        <v/>
      </c>
      <c r="L143" s="9" t="str">
        <f t="shared" si="29"/>
        <v/>
      </c>
      <c r="M143" s="5"/>
      <c r="N143" s="5"/>
      <c r="O143" s="5"/>
      <c r="P143" s="5"/>
      <c r="Q143" s="5"/>
      <c r="R143" s="5"/>
    </row>
    <row r="144" spans="1:18" ht="15" customHeight="1" thickBot="1"/>
    <row r="145" spans="1:18" s="2" customFormat="1" ht="15" customHeight="1" thickBot="1">
      <c r="A145" s="172" t="s">
        <v>86</v>
      </c>
      <c r="B145" s="48" t="s">
        <v>163</v>
      </c>
      <c r="C145" s="49" t="s">
        <v>164</v>
      </c>
      <c r="D145" s="173" t="str">
        <f>D53</f>
        <v xml:space="preserve">Fellow </v>
      </c>
      <c r="E145" s="20" t="s">
        <v>4</v>
      </c>
      <c r="F145" s="12" t="s">
        <v>5</v>
      </c>
      <c r="G145" s="83" t="s">
        <v>6</v>
      </c>
      <c r="H145" s="83" t="s">
        <v>7</v>
      </c>
      <c r="I145" s="83" t="s">
        <v>8</v>
      </c>
      <c r="J145" s="83" t="s">
        <v>9</v>
      </c>
      <c r="K145" s="83" t="s">
        <v>10</v>
      </c>
      <c r="L145" s="23" t="s">
        <v>11</v>
      </c>
      <c r="M145" s="23" t="s">
        <v>165</v>
      </c>
      <c r="N145" s="5"/>
      <c r="O145" s="5"/>
      <c r="P145" s="5"/>
      <c r="Q145" s="5"/>
      <c r="R145" s="5"/>
    </row>
    <row r="146" spans="1:18" ht="15" customHeight="1" thickBot="1">
      <c r="A146" s="2" t="s">
        <v>166</v>
      </c>
      <c r="B146" s="2"/>
      <c r="C146" s="21"/>
      <c r="D146" s="84" t="str">
        <f>D54</f>
        <v>Ellen Scott (0.75)</v>
      </c>
      <c r="E146" s="22">
        <f>IFERROR(VLOOKUP(D146,'Employee Numbers'!$A$3:$B$84,2,FALSE),"NOT FOUND")</f>
        <v>634905</v>
      </c>
      <c r="F146" s="38"/>
      <c r="G146" s="31"/>
      <c r="H146" s="31" t="s">
        <v>167</v>
      </c>
      <c r="I146" s="38"/>
      <c r="J146" s="38"/>
      <c r="K146" s="38"/>
      <c r="L146" s="38"/>
      <c r="M146" s="35" t="s">
        <v>168</v>
      </c>
    </row>
    <row r="147" spans="1:18" ht="15" customHeight="1" thickBot="1">
      <c r="A147" s="2" t="s">
        <v>166</v>
      </c>
      <c r="B147" s="2"/>
      <c r="C147" s="21"/>
      <c r="D147" s="84" t="str">
        <f t="shared" ref="D147:D151" si="30">D55</f>
        <v>Seamus Harrington</v>
      </c>
      <c r="E147" s="22">
        <f>IFERROR(VLOOKUP(D147,'Employee Numbers'!$A$3:$B$84,2,FALSE),"NOT FOUND")</f>
        <v>704751</v>
      </c>
      <c r="F147" s="38"/>
      <c r="G147" s="31"/>
      <c r="H147" s="31" t="str">
        <f t="shared" ref="H147:H148" si="31">IF(COUNTIF(H55,"0800-1730*"),"trg_5_1730","trg_5_0900")</f>
        <v>trg_5_0900</v>
      </c>
      <c r="I147" s="38"/>
      <c r="J147" s="38"/>
      <c r="K147" s="38"/>
      <c r="L147" s="38"/>
      <c r="M147" s="35" t="s">
        <v>168</v>
      </c>
    </row>
    <row r="148" spans="1:18" ht="15" customHeight="1" thickBot="1">
      <c r="A148" s="2" t="s">
        <v>166</v>
      </c>
      <c r="B148" s="2"/>
      <c r="C148" s="21"/>
      <c r="D148" s="84" t="str">
        <f t="shared" si="30"/>
        <v>Antra Ansons</v>
      </c>
      <c r="E148" s="22">
        <f>IFERROR(VLOOKUP(D148,'Employee Numbers'!$A$3:$B$84,2,FALSE),"NOT FOUND")</f>
        <v>637219</v>
      </c>
      <c r="F148" s="38"/>
      <c r="G148" s="31"/>
      <c r="H148" s="31" t="str">
        <f t="shared" si="31"/>
        <v>trg_5_1730</v>
      </c>
      <c r="I148" s="38"/>
      <c r="J148" s="38"/>
      <c r="K148" s="38"/>
      <c r="L148" s="38"/>
      <c r="M148" s="35" t="s">
        <v>168</v>
      </c>
    </row>
    <row r="149" spans="1:18" ht="15" customHeight="1" thickBot="1">
      <c r="A149" s="2" t="s">
        <v>166</v>
      </c>
      <c r="B149" s="2"/>
      <c r="C149" s="21"/>
      <c r="D149" s="84">
        <f t="shared" si="30"/>
        <v>0</v>
      </c>
      <c r="E149" s="22" t="str">
        <f>IFERROR(VLOOKUP(D149,'Employee Numbers'!$A$3:$B$84,2,FALSE),"NOT FOUND")</f>
        <v>NOT FOUND</v>
      </c>
      <c r="F149" s="38"/>
      <c r="G149" s="31"/>
      <c r="H149" s="31" t="str">
        <f t="shared" ref="H149:H151" si="32">IF(COUNTIF(H57,"0800-1730*"),"trg_2.5_1730","trg_2.5_0900")</f>
        <v>trg_2.5_0900</v>
      </c>
      <c r="I149" s="38"/>
      <c r="J149" s="38"/>
      <c r="K149" s="38"/>
      <c r="L149" s="38"/>
      <c r="M149" s="35" t="s">
        <v>168</v>
      </c>
    </row>
    <row r="150" spans="1:18" ht="15" customHeight="1" thickBot="1">
      <c r="A150" s="2" t="s">
        <v>166</v>
      </c>
      <c r="B150" s="2"/>
      <c r="C150" s="21"/>
      <c r="D150" s="84">
        <f t="shared" si="30"/>
        <v>0</v>
      </c>
      <c r="E150" s="22" t="str">
        <f>IFERROR(VLOOKUP(D150,'Employee Numbers'!$A$3:$B$84,2,FALSE),"NOT FOUND")</f>
        <v>NOT FOUND</v>
      </c>
      <c r="F150" s="38"/>
      <c r="G150" s="31"/>
      <c r="H150" s="31" t="str">
        <f t="shared" si="32"/>
        <v>trg_2.5_0900</v>
      </c>
      <c r="I150" s="38"/>
      <c r="J150" s="38"/>
      <c r="K150" s="38"/>
      <c r="L150" s="38"/>
      <c r="M150" s="35" t="s">
        <v>168</v>
      </c>
    </row>
    <row r="151" spans="1:18" ht="15" customHeight="1">
      <c r="A151" s="2" t="s">
        <v>166</v>
      </c>
      <c r="B151" s="2"/>
      <c r="C151" s="21"/>
      <c r="D151" s="84">
        <f t="shared" si="30"/>
        <v>0</v>
      </c>
      <c r="E151" s="22" t="str">
        <f>IFERROR(VLOOKUP(D151,'Employee Numbers'!$A$3:$B$84,2,FALSE),"NOT FOUND")</f>
        <v>NOT FOUND</v>
      </c>
      <c r="F151" s="38"/>
      <c r="G151" s="31"/>
      <c r="H151" s="31" t="str">
        <f t="shared" si="32"/>
        <v>trg_2.5_0900</v>
      </c>
      <c r="I151" s="38"/>
      <c r="J151" s="38"/>
      <c r="K151" s="38"/>
      <c r="L151" s="38"/>
      <c r="M151" s="35" t="s">
        <v>168</v>
      </c>
    </row>
    <row r="152" spans="1:18" s="2" customFormat="1" ht="13.5" customHeight="1" thickBot="1">
      <c r="A152" s="174" t="s">
        <v>96</v>
      </c>
      <c r="B152" s="50"/>
      <c r="C152" s="51"/>
      <c r="D152" s="175" t="s">
        <v>97</v>
      </c>
      <c r="E152" s="105" t="s">
        <v>4</v>
      </c>
      <c r="F152" s="105" t="s">
        <v>5</v>
      </c>
      <c r="G152" s="105" t="s">
        <v>6</v>
      </c>
      <c r="H152" s="106" t="s">
        <v>7</v>
      </c>
      <c r="I152" s="105" t="s">
        <v>8</v>
      </c>
      <c r="J152" s="105" t="s">
        <v>9</v>
      </c>
      <c r="K152" s="105" t="s">
        <v>10</v>
      </c>
      <c r="L152" s="105" t="s">
        <v>11</v>
      </c>
      <c r="N152"/>
      <c r="O152"/>
      <c r="Q152"/>
    </row>
    <row r="153" spans="1:18" s="2" customFormat="1" ht="15" customHeight="1" thickBot="1">
      <c r="A153" s="2" t="s">
        <v>169</v>
      </c>
      <c r="B153" s="5"/>
      <c r="C153" s="8"/>
      <c r="D153" s="84" t="str">
        <f>D61</f>
        <v>Mark Lim</v>
      </c>
      <c r="E153" s="22">
        <f>IFERROR(VLOOKUP(D153,'Employee Numbers'!$A$3:$B$84,2,FALSE),"NOT FOUND")</f>
        <v>638531</v>
      </c>
      <c r="F153" s="31" t="str">
        <f t="shared" ref="F153:G168" si="33">IF(COUNTIF(F61,"*on*call*"),"oncall 2300-0830","")</f>
        <v/>
      </c>
      <c r="G153" s="31" t="str">
        <f t="shared" si="33"/>
        <v/>
      </c>
      <c r="H153" s="37" t="s">
        <v>170</v>
      </c>
      <c r="I153" s="31" t="str">
        <f t="shared" ref="I153:L168" si="34">IF(COUNTIF(I61,"*on*call*"),"oncall 2300-0830","")</f>
        <v/>
      </c>
      <c r="J153" s="31" t="str">
        <f t="shared" si="34"/>
        <v/>
      </c>
      <c r="K153" s="31" t="str">
        <f t="shared" si="34"/>
        <v/>
      </c>
      <c r="L153" s="31" t="str">
        <f t="shared" si="34"/>
        <v/>
      </c>
      <c r="M153" s="35" t="s">
        <v>168</v>
      </c>
      <c r="N153" s="5"/>
      <c r="O153" s="5"/>
      <c r="P153" s="5"/>
      <c r="Q153" s="5"/>
      <c r="R153" s="5"/>
    </row>
    <row r="154" spans="1:18" ht="15" customHeight="1" thickBot="1">
      <c r="A154" s="2" t="s">
        <v>169</v>
      </c>
      <c r="B154" s="2"/>
      <c r="C154" s="47"/>
      <c r="D154" s="84" t="str">
        <f t="shared" ref="D154:D176" si="35">D62</f>
        <v xml:space="preserve">Melanie Engel </v>
      </c>
      <c r="E154" s="22">
        <f>IFERROR(VLOOKUP(D154,'Employee Numbers'!$A$3:$B$84,2,FALSE),"NOT FOUND")</f>
        <v>631715</v>
      </c>
      <c r="F154" s="31" t="str">
        <f t="shared" si="33"/>
        <v/>
      </c>
      <c r="G154" s="31" t="str">
        <f t="shared" si="33"/>
        <v/>
      </c>
      <c r="H154" s="37"/>
      <c r="I154" s="31" t="str">
        <f t="shared" si="34"/>
        <v/>
      </c>
      <c r="J154" s="31" t="str">
        <f t="shared" si="34"/>
        <v/>
      </c>
      <c r="K154" s="31" t="str">
        <f t="shared" si="34"/>
        <v/>
      </c>
      <c r="L154" s="31" t="str">
        <f t="shared" si="34"/>
        <v/>
      </c>
      <c r="M154" s="35" t="s">
        <v>168</v>
      </c>
      <c r="N154" s="2"/>
      <c r="O154" s="2"/>
      <c r="P154" s="2"/>
      <c r="Q154" s="2"/>
      <c r="R154" s="2"/>
    </row>
    <row r="155" spans="1:18" ht="15" customHeight="1" thickBot="1">
      <c r="A155" s="2" t="s">
        <v>169</v>
      </c>
      <c r="B155" s="2"/>
      <c r="C155" s="47"/>
      <c r="D155" s="84" t="str">
        <f t="shared" si="35"/>
        <v>Marian Isaac  (0.75)</v>
      </c>
      <c r="E155" s="22">
        <f>IFERROR(VLOOKUP(D155,'Employee Numbers'!$A$3:$B$84,2,FALSE),"NOT FOUND")</f>
        <v>703719</v>
      </c>
      <c r="F155" s="31" t="str">
        <f t="shared" si="33"/>
        <v/>
      </c>
      <c r="G155" s="31" t="str">
        <f t="shared" si="33"/>
        <v/>
      </c>
      <c r="H155" s="31" t="s">
        <v>167</v>
      </c>
      <c r="I155" s="31" t="str">
        <f t="shared" si="34"/>
        <v/>
      </c>
      <c r="J155" s="31" t="str">
        <f t="shared" si="34"/>
        <v/>
      </c>
      <c r="K155" s="31" t="str">
        <f t="shared" si="34"/>
        <v/>
      </c>
      <c r="L155" s="31" t="str">
        <f t="shared" si="34"/>
        <v/>
      </c>
      <c r="M155" s="35" t="s">
        <v>168</v>
      </c>
    </row>
    <row r="156" spans="1:18" ht="15" customHeight="1" thickBot="1">
      <c r="A156" s="2" t="s">
        <v>169</v>
      </c>
      <c r="B156" s="2"/>
      <c r="C156" s="47"/>
      <c r="D156" s="84" t="str">
        <f t="shared" si="35"/>
        <v xml:space="preserve">Jonathan Wong (0.75) </v>
      </c>
      <c r="E156" s="22">
        <f>IFERROR(VLOOKUP(D156,'Employee Numbers'!$A$3:$B$84,2,FALSE),"NOT FOUND")</f>
        <v>637791</v>
      </c>
      <c r="F156" s="31" t="str">
        <f t="shared" si="33"/>
        <v/>
      </c>
      <c r="G156" s="31" t="str">
        <f t="shared" si="33"/>
        <v/>
      </c>
      <c r="H156" s="31" t="s">
        <v>167</v>
      </c>
      <c r="I156" s="31" t="str">
        <f t="shared" si="34"/>
        <v/>
      </c>
      <c r="J156" s="31" t="str">
        <f t="shared" si="34"/>
        <v/>
      </c>
      <c r="K156" s="31" t="str">
        <f t="shared" si="34"/>
        <v/>
      </c>
      <c r="L156" s="31" t="str">
        <f t="shared" si="34"/>
        <v/>
      </c>
      <c r="M156" s="35" t="s">
        <v>168</v>
      </c>
    </row>
    <row r="157" spans="1:18" ht="15" customHeight="1" thickBot="1">
      <c r="A157" s="2" t="s">
        <v>169</v>
      </c>
      <c r="B157" s="2"/>
      <c r="C157" s="47"/>
      <c r="D157" s="84" t="str">
        <f t="shared" si="35"/>
        <v xml:space="preserve">Joshua Feek </v>
      </c>
      <c r="E157" s="22">
        <f>IFERROR(VLOOKUP(D157,'Employee Numbers'!$A$3:$B$84,2,FALSE),"NOT FOUND")</f>
        <v>652867</v>
      </c>
      <c r="F157" s="31" t="str">
        <f t="shared" si="33"/>
        <v/>
      </c>
      <c r="G157" s="31" t="str">
        <f t="shared" si="33"/>
        <v/>
      </c>
      <c r="H157" s="37" t="s">
        <v>170</v>
      </c>
      <c r="I157" s="31" t="str">
        <f t="shared" si="34"/>
        <v/>
      </c>
      <c r="J157" s="31" t="str">
        <f t="shared" si="34"/>
        <v/>
      </c>
      <c r="K157" s="31" t="str">
        <f t="shared" si="34"/>
        <v/>
      </c>
      <c r="L157" s="31" t="str">
        <f t="shared" si="34"/>
        <v/>
      </c>
      <c r="M157" s="35" t="s">
        <v>168</v>
      </c>
    </row>
    <row r="158" spans="1:18" ht="15" customHeight="1" thickBot="1">
      <c r="A158" s="2" t="s">
        <v>169</v>
      </c>
      <c r="B158" s="2"/>
      <c r="C158" s="47"/>
      <c r="D158" s="84" t="str">
        <f t="shared" si="35"/>
        <v xml:space="preserve">Andrea Lim (0.5) </v>
      </c>
      <c r="E158" s="22">
        <f>IFERROR(VLOOKUP(D158,'Employee Numbers'!$A$3:$B$84,2,FALSE),"NOT FOUND")</f>
        <v>611551</v>
      </c>
      <c r="F158" s="31" t="str">
        <f t="shared" si="33"/>
        <v/>
      </c>
      <c r="G158" s="31" t="str">
        <f t="shared" si="33"/>
        <v/>
      </c>
      <c r="H158" s="31" t="str">
        <f t="shared" ref="H158:H159" si="36">IF(COUNTIF(H66,"0800-1730*"),"trg_2.5_1730","trg_2.5_0900")</f>
        <v>trg_2.5_0900</v>
      </c>
      <c r="I158" s="31" t="str">
        <f t="shared" si="34"/>
        <v/>
      </c>
      <c r="J158" s="31" t="str">
        <f t="shared" si="34"/>
        <v/>
      </c>
      <c r="K158" s="31" t="str">
        <f t="shared" si="34"/>
        <v/>
      </c>
      <c r="L158" s="31" t="str">
        <f t="shared" si="34"/>
        <v/>
      </c>
      <c r="M158" s="35" t="s">
        <v>168</v>
      </c>
      <c r="N158" s="13"/>
      <c r="O158" s="13"/>
      <c r="P158" s="13"/>
      <c r="Q158" s="13"/>
      <c r="R158" s="13"/>
    </row>
    <row r="159" spans="1:18" ht="15" customHeight="1" thickBot="1">
      <c r="A159" s="2" t="s">
        <v>169</v>
      </c>
      <c r="B159" s="2"/>
      <c r="C159" s="47"/>
      <c r="D159" s="84" t="str">
        <f t="shared" si="35"/>
        <v>Jessica Burgess (0.5)</v>
      </c>
      <c r="E159" s="22">
        <f>IFERROR(VLOOKUP(D159,'Employee Numbers'!$A$3:$B$84,2,FALSE),"NOT FOUND")</f>
        <v>615820</v>
      </c>
      <c r="F159" s="31" t="str">
        <f t="shared" si="33"/>
        <v/>
      </c>
      <c r="G159" s="31" t="str">
        <f t="shared" si="33"/>
        <v/>
      </c>
      <c r="H159" s="31" t="str">
        <f t="shared" si="36"/>
        <v>trg_2.5_0900</v>
      </c>
      <c r="I159" s="31" t="str">
        <f t="shared" si="34"/>
        <v/>
      </c>
      <c r="J159" s="31" t="str">
        <f t="shared" si="34"/>
        <v/>
      </c>
      <c r="K159" s="31" t="str">
        <f t="shared" si="34"/>
        <v/>
      </c>
      <c r="L159" s="31" t="str">
        <f t="shared" si="34"/>
        <v/>
      </c>
      <c r="M159" s="35" t="s">
        <v>168</v>
      </c>
      <c r="N159" s="13"/>
      <c r="O159" s="13"/>
      <c r="P159" s="13"/>
      <c r="Q159" s="13"/>
      <c r="R159" s="13"/>
    </row>
    <row r="160" spans="1:18" ht="15" customHeight="1" thickBot="1">
      <c r="A160" s="2" t="s">
        <v>169</v>
      </c>
      <c r="B160" s="2"/>
      <c r="C160" s="47"/>
      <c r="D160" s="84" t="str">
        <f t="shared" si="35"/>
        <v>Leila Dosso</v>
      </c>
      <c r="E160" s="22">
        <f>IFERROR(VLOOKUP(D160,'Employee Numbers'!$A$3:$B$84,2,FALSE),"NOT FOUND")</f>
        <v>702947</v>
      </c>
      <c r="F160" s="31" t="str">
        <f t="shared" si="33"/>
        <v/>
      </c>
      <c r="G160" s="31" t="str">
        <f t="shared" si="33"/>
        <v/>
      </c>
      <c r="H160" s="37" t="s">
        <v>170</v>
      </c>
      <c r="I160" s="31" t="str">
        <f t="shared" si="34"/>
        <v/>
      </c>
      <c r="J160" s="31" t="str">
        <f t="shared" si="34"/>
        <v/>
      </c>
      <c r="K160" s="31" t="str">
        <f t="shared" si="34"/>
        <v/>
      </c>
      <c r="L160" s="31" t="str">
        <f t="shared" si="34"/>
        <v/>
      </c>
      <c r="M160" s="35" t="s">
        <v>168</v>
      </c>
    </row>
    <row r="161" spans="1:18" ht="15" customHeight="1" thickBot="1">
      <c r="A161" s="2" t="s">
        <v>169</v>
      </c>
      <c r="B161" s="2"/>
      <c r="C161" s="47"/>
      <c r="D161" s="84" t="str">
        <f t="shared" si="35"/>
        <v xml:space="preserve">Efi Tsampou </v>
      </c>
      <c r="E161" s="22">
        <f>IFERROR(VLOOKUP(D161,'Employee Numbers'!$A$3:$B$84,2,FALSE),"NOT FOUND")</f>
        <v>654002</v>
      </c>
      <c r="F161" s="31" t="str">
        <f t="shared" si="33"/>
        <v/>
      </c>
      <c r="G161" s="31" t="str">
        <f t="shared" si="33"/>
        <v/>
      </c>
      <c r="H161" s="37" t="s">
        <v>170</v>
      </c>
      <c r="I161" s="31" t="str">
        <f t="shared" si="34"/>
        <v/>
      </c>
      <c r="J161" s="31" t="str">
        <f t="shared" si="34"/>
        <v/>
      </c>
      <c r="K161" s="31" t="str">
        <f t="shared" si="34"/>
        <v/>
      </c>
      <c r="L161" s="31" t="str">
        <f t="shared" si="34"/>
        <v/>
      </c>
      <c r="M161" s="35" t="s">
        <v>168</v>
      </c>
    </row>
    <row r="162" spans="1:18" s="13" customFormat="1" ht="15" customHeight="1" thickBot="1">
      <c r="A162" s="2" t="s">
        <v>169</v>
      </c>
      <c r="B162" s="2"/>
      <c r="C162" s="21"/>
      <c r="D162" s="84" t="str">
        <f t="shared" si="35"/>
        <v>Marian Panlilio</v>
      </c>
      <c r="E162" s="22">
        <f>IFERROR(VLOOKUP(D162,'Employee Numbers'!$A$3:$B$84,2,FALSE),"NOT FOUND")</f>
        <v>703068</v>
      </c>
      <c r="F162" s="31" t="str">
        <f t="shared" si="33"/>
        <v/>
      </c>
      <c r="G162" s="31" t="str">
        <f t="shared" si="33"/>
        <v/>
      </c>
      <c r="H162" s="37" t="s">
        <v>170</v>
      </c>
      <c r="I162" s="31" t="str">
        <f t="shared" si="34"/>
        <v/>
      </c>
      <c r="J162" s="31" t="str">
        <f t="shared" si="34"/>
        <v/>
      </c>
      <c r="K162" s="31" t="str">
        <f t="shared" si="34"/>
        <v/>
      </c>
      <c r="L162" s="31" t="str">
        <f t="shared" si="34"/>
        <v/>
      </c>
      <c r="M162" s="35" t="s">
        <v>168</v>
      </c>
      <c r="N162" s="5"/>
      <c r="O162" s="5"/>
      <c r="P162" s="5"/>
      <c r="Q162" s="5"/>
      <c r="R162" s="5"/>
    </row>
    <row r="163" spans="1:18" ht="15" customHeight="1" thickBot="1">
      <c r="A163" s="2" t="s">
        <v>169</v>
      </c>
      <c r="B163" s="2"/>
      <c r="C163" s="21"/>
      <c r="D163" s="84" t="str">
        <f t="shared" si="35"/>
        <v>Takhfif Othman</v>
      </c>
      <c r="E163" s="22">
        <f>IFERROR(VLOOKUP(D163,'Employee Numbers'!$A$3:$B$84,2,FALSE),"NOT FOUND")</f>
        <v>703911</v>
      </c>
      <c r="F163" s="31" t="str">
        <f t="shared" si="33"/>
        <v/>
      </c>
      <c r="G163" s="31" t="str">
        <f t="shared" si="33"/>
        <v/>
      </c>
      <c r="H163" s="37" t="s">
        <v>170</v>
      </c>
      <c r="I163" s="31" t="str">
        <f t="shared" si="34"/>
        <v/>
      </c>
      <c r="J163" s="31" t="str">
        <f t="shared" si="34"/>
        <v/>
      </c>
      <c r="K163" s="31" t="str">
        <f t="shared" si="34"/>
        <v/>
      </c>
      <c r="L163" s="31" t="str">
        <f t="shared" si="34"/>
        <v/>
      </c>
      <c r="M163" s="35" t="s">
        <v>168</v>
      </c>
    </row>
    <row r="164" spans="1:18" ht="15" customHeight="1" thickBot="1">
      <c r="A164" s="2" t="s">
        <v>169</v>
      </c>
      <c r="B164" s="2"/>
      <c r="C164" s="21"/>
      <c r="D164" s="84" t="str">
        <f t="shared" si="35"/>
        <v xml:space="preserve">Toby Obrien </v>
      </c>
      <c r="E164" s="22">
        <f>IFERROR(VLOOKUP(D164,'Employee Numbers'!$A$3:$B$84,2,FALSE),"NOT FOUND")</f>
        <v>633936</v>
      </c>
      <c r="F164" s="31" t="str">
        <f t="shared" si="33"/>
        <v/>
      </c>
      <c r="G164" s="31" t="str">
        <f t="shared" si="33"/>
        <v/>
      </c>
      <c r="H164" s="37" t="s">
        <v>170</v>
      </c>
      <c r="I164" s="31" t="str">
        <f t="shared" si="34"/>
        <v/>
      </c>
      <c r="J164" s="31" t="str">
        <f t="shared" si="34"/>
        <v/>
      </c>
      <c r="K164" s="31" t="str">
        <f t="shared" si="34"/>
        <v/>
      </c>
      <c r="L164" s="31" t="str">
        <f t="shared" si="34"/>
        <v/>
      </c>
      <c r="M164" s="35" t="s">
        <v>168</v>
      </c>
    </row>
    <row r="165" spans="1:18" ht="15" customHeight="1" thickBot="1">
      <c r="A165" s="2" t="s">
        <v>169</v>
      </c>
      <c r="B165" s="2"/>
      <c r="C165" s="21"/>
      <c r="D165" s="84" t="str">
        <f t="shared" si="35"/>
        <v>William Jiang</v>
      </c>
      <c r="E165" s="22">
        <f>IFERROR(VLOOKUP(D165,'Employee Numbers'!$A$3:$B$84,2,FALSE),"NOT FOUND")</f>
        <v>700755</v>
      </c>
      <c r="F165" s="31" t="str">
        <f t="shared" si="33"/>
        <v/>
      </c>
      <c r="G165" s="31" t="str">
        <f t="shared" si="33"/>
        <v/>
      </c>
      <c r="H165" s="37" t="s">
        <v>170</v>
      </c>
      <c r="I165" s="31" t="str">
        <f t="shared" si="34"/>
        <v/>
      </c>
      <c r="J165" s="31" t="str">
        <f t="shared" si="34"/>
        <v/>
      </c>
      <c r="K165" s="31" t="str">
        <f t="shared" si="34"/>
        <v/>
      </c>
      <c r="L165" s="31" t="str">
        <f t="shared" si="34"/>
        <v/>
      </c>
      <c r="M165" s="35" t="s">
        <v>168</v>
      </c>
    </row>
    <row r="166" spans="1:18" ht="15" customHeight="1" thickBot="1">
      <c r="A166" s="2" t="s">
        <v>169</v>
      </c>
      <c r="B166" s="2"/>
      <c r="C166" s="21"/>
      <c r="D166" s="84" t="str">
        <f t="shared" si="35"/>
        <v>Pam Nelson</v>
      </c>
      <c r="E166" s="22">
        <f>IFERROR(VLOOKUP(D166,'Employee Numbers'!$A$3:$B$84,2,FALSE),"NOT FOUND")</f>
        <v>704872</v>
      </c>
      <c r="F166" s="31" t="str">
        <f t="shared" si="33"/>
        <v/>
      </c>
      <c r="G166" s="31" t="str">
        <f t="shared" si="33"/>
        <v/>
      </c>
      <c r="H166" s="37" t="s">
        <v>170</v>
      </c>
      <c r="I166" s="31" t="str">
        <f t="shared" si="34"/>
        <v/>
      </c>
      <c r="J166" s="31" t="str">
        <f t="shared" si="34"/>
        <v/>
      </c>
      <c r="K166" s="31" t="str">
        <f t="shared" si="34"/>
        <v/>
      </c>
      <c r="L166" s="31" t="str">
        <f t="shared" si="34"/>
        <v/>
      </c>
      <c r="M166" s="35" t="s">
        <v>168</v>
      </c>
    </row>
    <row r="167" spans="1:18" ht="15" customHeight="1" thickBot="1">
      <c r="A167" s="2" t="s">
        <v>169</v>
      </c>
      <c r="B167" s="2"/>
      <c r="C167" s="21"/>
      <c r="D167" s="84" t="str">
        <f t="shared" si="35"/>
        <v xml:space="preserve">Phoebe Franich </v>
      </c>
      <c r="E167" s="22">
        <f>IFERROR(VLOOKUP(D167,'Employee Numbers'!$A$3:$B$84,2,FALSE),"NOT FOUND")</f>
        <v>700712</v>
      </c>
      <c r="F167" s="31" t="str">
        <f t="shared" si="33"/>
        <v/>
      </c>
      <c r="G167" s="31" t="str">
        <f t="shared" si="33"/>
        <v/>
      </c>
      <c r="H167" s="37" t="s">
        <v>170</v>
      </c>
      <c r="I167" s="31" t="str">
        <f t="shared" si="34"/>
        <v/>
      </c>
      <c r="J167" s="31" t="str">
        <f t="shared" si="34"/>
        <v/>
      </c>
      <c r="K167" s="31" t="str">
        <f t="shared" si="34"/>
        <v/>
      </c>
      <c r="L167" s="31" t="str">
        <f t="shared" si="34"/>
        <v/>
      </c>
      <c r="M167" s="35" t="s">
        <v>168</v>
      </c>
    </row>
    <row r="168" spans="1:18" ht="15" customHeight="1" thickBot="1">
      <c r="A168" s="2" t="s">
        <v>169</v>
      </c>
      <c r="B168" s="2"/>
      <c r="C168" s="21"/>
      <c r="D168" s="84" t="str">
        <f t="shared" si="35"/>
        <v xml:space="preserve">Marie Papadopulos </v>
      </c>
      <c r="E168" s="22">
        <f>IFERROR(VLOOKUP(D168,'Employee Numbers'!$A$3:$B$84,2,FALSE),"NOT FOUND")</f>
        <v>700818</v>
      </c>
      <c r="F168" s="31" t="str">
        <f t="shared" si="33"/>
        <v/>
      </c>
      <c r="G168" s="31" t="str">
        <f t="shared" si="33"/>
        <v/>
      </c>
      <c r="H168" s="37" t="s">
        <v>170</v>
      </c>
      <c r="I168" s="31" t="str">
        <f t="shared" si="34"/>
        <v/>
      </c>
      <c r="J168" s="31" t="str">
        <f t="shared" si="34"/>
        <v/>
      </c>
      <c r="K168" s="31" t="str">
        <f t="shared" si="34"/>
        <v/>
      </c>
      <c r="L168" s="31" t="str">
        <f t="shared" si="34"/>
        <v/>
      </c>
      <c r="M168" s="35" t="s">
        <v>168</v>
      </c>
    </row>
    <row r="169" spans="1:18" ht="15" customHeight="1" thickBot="1">
      <c r="A169" s="2" t="s">
        <v>169</v>
      </c>
      <c r="B169" s="2"/>
      <c r="C169" s="21"/>
      <c r="D169" s="84" t="str">
        <f t="shared" si="35"/>
        <v>Stormie de Groot (0.5)</v>
      </c>
      <c r="E169" s="22">
        <f>IFERROR(VLOOKUP(D169,'Employee Numbers'!$A$3:$B$84,2,FALSE),"NOT FOUND")</f>
        <v>650101</v>
      </c>
      <c r="F169" s="31" t="str">
        <f t="shared" ref="F169:G176" si="37">IF(COUNTIF(F77,"*on*call*"),"oncall 2300-0830","")</f>
        <v/>
      </c>
      <c r="G169" s="31" t="str">
        <f t="shared" si="37"/>
        <v/>
      </c>
      <c r="H169" s="31" t="str">
        <f t="shared" ref="H169" si="38">IF(COUNTIF(H77,"0800-1730*"),"trg_2.5_1730","trg_2.5_0900")</f>
        <v>trg_2.5_0900</v>
      </c>
      <c r="I169" s="31" t="str">
        <f t="shared" ref="I169:L176" si="39">IF(COUNTIF(I77,"*on*call*"),"oncall 2300-0830","")</f>
        <v/>
      </c>
      <c r="J169" s="31" t="str">
        <f t="shared" si="39"/>
        <v/>
      </c>
      <c r="K169" s="31" t="str">
        <f t="shared" si="39"/>
        <v/>
      </c>
      <c r="L169" s="31" t="str">
        <f t="shared" si="39"/>
        <v/>
      </c>
      <c r="M169" s="35" t="s">
        <v>168</v>
      </c>
    </row>
    <row r="170" spans="1:18" ht="15" customHeight="1" thickBot="1">
      <c r="A170" s="2" t="s">
        <v>169</v>
      </c>
      <c r="B170" s="2"/>
      <c r="C170" s="21"/>
      <c r="D170" s="84" t="str">
        <f t="shared" si="35"/>
        <v xml:space="preserve">Joanne Eaton </v>
      </c>
      <c r="E170" s="22">
        <f>IFERROR(VLOOKUP(D170,'Employee Numbers'!$A$3:$B$84,2,FALSE),"NOT FOUND")</f>
        <v>654888</v>
      </c>
      <c r="F170" s="31" t="str">
        <f t="shared" si="37"/>
        <v/>
      </c>
      <c r="G170" s="31" t="str">
        <f t="shared" si="37"/>
        <v/>
      </c>
      <c r="H170" s="37" t="s">
        <v>170</v>
      </c>
      <c r="I170" s="31" t="str">
        <f t="shared" si="39"/>
        <v/>
      </c>
      <c r="J170" s="31" t="str">
        <f t="shared" si="39"/>
        <v/>
      </c>
      <c r="K170" s="31" t="str">
        <f t="shared" si="39"/>
        <v/>
      </c>
      <c r="L170" s="31" t="str">
        <f t="shared" si="39"/>
        <v/>
      </c>
      <c r="M170" s="35" t="s">
        <v>168</v>
      </c>
    </row>
    <row r="171" spans="1:18" ht="15" customHeight="1" thickBot="1">
      <c r="A171" s="2" t="s">
        <v>169</v>
      </c>
      <c r="B171" s="2"/>
      <c r="C171" s="21"/>
      <c r="D171" s="84" t="str">
        <f t="shared" si="35"/>
        <v xml:space="preserve">Helena Li </v>
      </c>
      <c r="E171" s="22">
        <f>IFERROR(VLOOKUP(D171,'Employee Numbers'!$A$3:$B$84,2,FALSE),"NOT FOUND")</f>
        <v>703880</v>
      </c>
      <c r="F171" s="31" t="str">
        <f t="shared" si="37"/>
        <v/>
      </c>
      <c r="G171" s="31" t="str">
        <f t="shared" si="37"/>
        <v/>
      </c>
      <c r="H171" s="37" t="s">
        <v>170</v>
      </c>
      <c r="I171" s="31" t="str">
        <f t="shared" si="39"/>
        <v/>
      </c>
      <c r="J171" s="31" t="str">
        <f t="shared" si="39"/>
        <v/>
      </c>
      <c r="K171" s="31" t="str">
        <f t="shared" si="39"/>
        <v/>
      </c>
      <c r="L171" s="31" t="str">
        <f t="shared" si="39"/>
        <v/>
      </c>
      <c r="M171" s="35" t="s">
        <v>168</v>
      </c>
    </row>
    <row r="172" spans="1:18" ht="15" customHeight="1" thickBot="1">
      <c r="A172" s="2" t="s">
        <v>169</v>
      </c>
      <c r="B172" s="2"/>
      <c r="C172" s="21"/>
      <c r="D172" s="84" t="str">
        <f t="shared" si="35"/>
        <v xml:space="preserve">Mustafa Ozkul </v>
      </c>
      <c r="E172" s="22">
        <f>IFERROR(VLOOKUP(D172,'Employee Numbers'!$A$3:$B$84,2,FALSE),"NOT FOUND")</f>
        <v>703334</v>
      </c>
      <c r="F172" s="31" t="str">
        <f t="shared" si="37"/>
        <v/>
      </c>
      <c r="G172" s="31" t="str">
        <f t="shared" si="37"/>
        <v/>
      </c>
      <c r="H172" s="37" t="s">
        <v>170</v>
      </c>
      <c r="I172" s="31" t="str">
        <f t="shared" si="39"/>
        <v/>
      </c>
      <c r="J172" s="31" t="str">
        <f t="shared" si="39"/>
        <v/>
      </c>
      <c r="K172" s="31" t="str">
        <f t="shared" si="39"/>
        <v/>
      </c>
      <c r="L172" s="31" t="str">
        <f t="shared" si="39"/>
        <v/>
      </c>
      <c r="M172" s="35" t="s">
        <v>168</v>
      </c>
    </row>
    <row r="173" spans="1:18" ht="15" customHeight="1" thickBot="1">
      <c r="A173" s="2" t="s">
        <v>169</v>
      </c>
      <c r="B173" s="2"/>
      <c r="C173" s="21"/>
      <c r="D173" s="84" t="str">
        <f t="shared" si="35"/>
        <v>Ritu Chaurasia (0.75)</v>
      </c>
      <c r="E173" s="22">
        <f>IFERROR(VLOOKUP(D173,'Employee Numbers'!$A$3:$B$84,2,FALSE),"NOT FOUND")</f>
        <v>700538</v>
      </c>
      <c r="F173" s="31" t="str">
        <f t="shared" si="37"/>
        <v/>
      </c>
      <c r="G173" s="31" t="str">
        <f t="shared" si="37"/>
        <v/>
      </c>
      <c r="H173" s="31" t="s">
        <v>167</v>
      </c>
      <c r="I173" s="31" t="str">
        <f t="shared" si="39"/>
        <v/>
      </c>
      <c r="J173" s="31" t="str">
        <f t="shared" si="39"/>
        <v/>
      </c>
      <c r="K173" s="31" t="str">
        <f t="shared" si="39"/>
        <v/>
      </c>
      <c r="L173" s="31" t="str">
        <f t="shared" si="39"/>
        <v/>
      </c>
      <c r="M173" s="35" t="s">
        <v>168</v>
      </c>
    </row>
    <row r="174" spans="1:18" ht="15" customHeight="1" thickBot="1">
      <c r="A174" s="2" t="s">
        <v>169</v>
      </c>
      <c r="B174" s="2"/>
      <c r="C174" s="21"/>
      <c r="D174" s="84" t="str">
        <f t="shared" si="35"/>
        <v>Jamie Nicholls (0.5)</v>
      </c>
      <c r="E174" s="22">
        <f>IFERROR(VLOOKUP(D174,'Employee Numbers'!$A$3:$B$84,2,FALSE),"NOT FOUND")</f>
        <v>704862</v>
      </c>
      <c r="F174" s="31" t="str">
        <f t="shared" si="37"/>
        <v/>
      </c>
      <c r="G174" s="31" t="str">
        <f t="shared" si="37"/>
        <v/>
      </c>
      <c r="H174" s="31" t="str">
        <f t="shared" ref="H174:H175" si="40">IF(COUNTIF(H82,"0800-1730*"),"trg_2.5_1730","trg_2.5_0900")</f>
        <v>trg_2.5_0900</v>
      </c>
      <c r="I174" s="31" t="str">
        <f t="shared" si="39"/>
        <v/>
      </c>
      <c r="J174" s="31" t="str">
        <f t="shared" si="39"/>
        <v/>
      </c>
      <c r="K174" s="31" t="str">
        <f t="shared" si="39"/>
        <v/>
      </c>
      <c r="L174" s="31" t="str">
        <f t="shared" si="39"/>
        <v/>
      </c>
      <c r="M174" s="35" t="s">
        <v>168</v>
      </c>
    </row>
    <row r="175" spans="1:18" ht="15" customHeight="1" thickBot="1">
      <c r="A175" s="2" t="s">
        <v>169</v>
      </c>
      <c r="B175" s="2"/>
      <c r="C175" s="21"/>
      <c r="D175" s="84">
        <f t="shared" si="35"/>
        <v>0</v>
      </c>
      <c r="E175" s="22" t="str">
        <f>IFERROR(VLOOKUP(D175,'Employee Numbers'!$A$3:$B$84,2,FALSE),"NOT FOUND")</f>
        <v>NOT FOUND</v>
      </c>
      <c r="F175" s="31" t="str">
        <f t="shared" si="37"/>
        <v/>
      </c>
      <c r="G175" s="31" t="str">
        <f t="shared" si="37"/>
        <v/>
      </c>
      <c r="H175" s="31" t="str">
        <f t="shared" si="40"/>
        <v>trg_2.5_0900</v>
      </c>
      <c r="I175" s="31" t="str">
        <f t="shared" si="39"/>
        <v/>
      </c>
      <c r="J175" s="31" t="str">
        <f t="shared" si="39"/>
        <v/>
      </c>
      <c r="K175" s="31" t="str">
        <f t="shared" si="39"/>
        <v/>
      </c>
      <c r="L175" s="31" t="str">
        <f t="shared" si="39"/>
        <v/>
      </c>
      <c r="M175" s="35" t="s">
        <v>168</v>
      </c>
    </row>
    <row r="176" spans="1:18" ht="15" customHeight="1">
      <c r="A176" s="2" t="s">
        <v>169</v>
      </c>
      <c r="B176" s="2"/>
      <c r="C176" s="21"/>
      <c r="D176" s="84">
        <f t="shared" si="35"/>
        <v>0</v>
      </c>
      <c r="E176" s="22" t="str">
        <f>IFERROR(VLOOKUP(D176,'Employee Numbers'!$A$3:$B$84,2,FALSE),"NOT FOUND")</f>
        <v>NOT FOUND</v>
      </c>
      <c r="F176" s="31" t="str">
        <f t="shared" si="37"/>
        <v/>
      </c>
      <c r="G176" s="31" t="str">
        <f t="shared" si="37"/>
        <v/>
      </c>
      <c r="H176" s="37" t="s">
        <v>170</v>
      </c>
      <c r="I176" s="31" t="str">
        <f t="shared" si="39"/>
        <v/>
      </c>
      <c r="J176" s="31" t="str">
        <f t="shared" si="39"/>
        <v/>
      </c>
      <c r="K176" s="31" t="str">
        <f t="shared" si="39"/>
        <v/>
      </c>
      <c r="L176" s="31" t="str">
        <f t="shared" si="39"/>
        <v/>
      </c>
      <c r="M176" s="35" t="s">
        <v>168</v>
      </c>
    </row>
  </sheetData>
  <mergeCells count="1">
    <mergeCell ref="D4:L4"/>
  </mergeCells>
  <phoneticPr fontId="18" type="noConversion"/>
  <conditionalFormatting sqref="E21:E49 E115:E143">
    <cfRule type="cellIs" dxfId="480" priority="43" operator="equal">
      <formula>0</formula>
    </cfRule>
    <cfRule type="containsText" dxfId="479" priority="42" operator="containsText" text="NOT FOUND">
      <formula>NOT(ISERROR(SEARCH("NOT FOUND",E21)))</formula>
    </cfRule>
  </conditionalFormatting>
  <conditionalFormatting sqref="E54:E59">
    <cfRule type="cellIs" dxfId="478" priority="47" operator="equal">
      <formula>0</formula>
    </cfRule>
    <cfRule type="containsText" dxfId="477" priority="46" operator="containsText" text="NOT FOUND">
      <formula>NOT(ISERROR(SEARCH("NOT FOUND",E54)))</formula>
    </cfRule>
  </conditionalFormatting>
  <conditionalFormatting sqref="E61:E84">
    <cfRule type="cellIs" dxfId="476" priority="41" operator="equal">
      <formula>0</formula>
    </cfRule>
    <cfRule type="containsText" dxfId="475" priority="40" operator="containsText" text="NOT FOUND">
      <formula>NOT(ISERROR(SEARCH("NOT FOUND",E61)))</formula>
    </cfRule>
  </conditionalFormatting>
  <conditionalFormatting sqref="E86:E99">
    <cfRule type="cellIs" dxfId="474" priority="39" operator="equal">
      <formula>0</formula>
    </cfRule>
    <cfRule type="containsText" dxfId="473" priority="38" operator="containsText" text="NOT FOUND">
      <formula>NOT(ISERROR(SEARCH("NOT FOUND",E86)))</formula>
    </cfRule>
  </conditionalFormatting>
  <conditionalFormatting sqref="E101:E102">
    <cfRule type="containsText" dxfId="472" priority="44" operator="containsText" text="NOT FOUND">
      <formula>NOT(ISERROR(SEARCH("NOT FOUND",E101)))</formula>
    </cfRule>
    <cfRule type="cellIs" dxfId="471" priority="45" operator="equal">
      <formula>0</formula>
    </cfRule>
  </conditionalFormatting>
  <conditionalFormatting sqref="E146:E151">
    <cfRule type="containsText" dxfId="470" priority="3" operator="containsText" text="NOT FOUND">
      <formula>NOT(ISERROR(SEARCH("NOT FOUND",E146)))</formula>
    </cfRule>
    <cfRule type="cellIs" dxfId="469" priority="4" operator="equal">
      <formula>0</formula>
    </cfRule>
  </conditionalFormatting>
  <conditionalFormatting sqref="E153:E176">
    <cfRule type="containsText" dxfId="468" priority="1" operator="containsText" text="NOT FOUND">
      <formula>NOT(ISERROR(SEARCH("NOT FOUND",E153)))</formula>
    </cfRule>
    <cfRule type="cellIs" dxfId="467" priority="2" operator="equal">
      <formula>0</formula>
    </cfRule>
  </conditionalFormatting>
  <conditionalFormatting sqref="F6:L6">
    <cfRule type="cellIs" dxfId="466" priority="31" operator="lessThan">
      <formula>2</formula>
    </cfRule>
    <cfRule type="cellIs" dxfId="465" priority="18" operator="greaterThan">
      <formula>3</formula>
    </cfRule>
  </conditionalFormatting>
  <conditionalFormatting sqref="F7:L7">
    <cfRule type="cellIs" dxfId="464" priority="30" operator="lessThan">
      <formula>2</formula>
    </cfRule>
  </conditionalFormatting>
  <conditionalFormatting sqref="F8:L8">
    <cfRule type="cellIs" dxfId="463" priority="36" operator="lessThan">
      <formula>5</formula>
    </cfRule>
    <cfRule type="cellIs" dxfId="462" priority="17" operator="greaterThan">
      <formula>8</formula>
    </cfRule>
    <cfRule type="cellIs" dxfId="461" priority="22" operator="equal">
      <formula>5</formula>
    </cfRule>
    <cfRule type="cellIs" dxfId="460" priority="37" operator="between">
      <formula>6</formula>
      <formula>8</formula>
    </cfRule>
  </conditionalFormatting>
  <conditionalFormatting sqref="F10:L11">
    <cfRule type="cellIs" dxfId="459" priority="33" operator="greaterThan">
      <formula>1</formula>
    </cfRule>
    <cfRule type="cellIs" dxfId="458" priority="21" operator="equal">
      <formula>1</formula>
    </cfRule>
  </conditionalFormatting>
  <conditionalFormatting sqref="F12:L12 F6:L7">
    <cfRule type="cellIs" dxfId="457" priority="32" operator="between">
      <formula>2</formula>
      <formula>3</formula>
    </cfRule>
  </conditionalFormatting>
  <conditionalFormatting sqref="F12:L12">
    <cfRule type="cellIs" dxfId="456" priority="19" operator="greaterThan">
      <formula>2</formula>
    </cfRule>
    <cfRule type="cellIs" dxfId="455" priority="25" operator="lessThan">
      <formula>2</formula>
    </cfRule>
  </conditionalFormatting>
  <conditionalFormatting sqref="F13:L13">
    <cfRule type="cellIs" dxfId="454" priority="26" operator="greaterThanOrEqual">
      <formula>6</formula>
    </cfRule>
    <cfRule type="cellIs" dxfId="453" priority="29" operator="lessThan">
      <formula>6</formula>
    </cfRule>
  </conditionalFormatting>
  <conditionalFormatting sqref="F14:L14">
    <cfRule type="cellIs" dxfId="452" priority="24" operator="equal">
      <formula>9</formula>
    </cfRule>
    <cfRule type="cellIs" dxfId="451" priority="34" operator="between">
      <formula>10</formula>
      <formula>11</formula>
    </cfRule>
    <cfRule type="cellIs" dxfId="450" priority="35" operator="greaterThan">
      <formula>11</formula>
    </cfRule>
    <cfRule type="cellIs" dxfId="449" priority="23" operator="lessThan">
      <formula>9</formula>
    </cfRule>
  </conditionalFormatting>
  <conditionalFormatting sqref="F16:L16">
    <cfRule type="cellIs" dxfId="448" priority="20" operator="greaterThan">
      <formula>4</formula>
    </cfRule>
    <cfRule type="cellIs" dxfId="447" priority="27" operator="equal">
      <formula>4</formula>
    </cfRule>
    <cfRule type="cellIs" dxfId="446" priority="28" operator="lessThan">
      <formula>4</formula>
    </cfRule>
  </conditionalFormatting>
  <conditionalFormatting sqref="R21:R47">
    <cfRule type="cellIs" dxfId="445" priority="14" operator="equal">
      <formula>S21</formula>
    </cfRule>
    <cfRule type="cellIs" dxfId="444" priority="13" operator="notEqual">
      <formula>S21</formula>
    </cfRule>
  </conditionalFormatting>
  <conditionalFormatting sqref="R54:R59 R61:R84">
    <cfRule type="cellIs" dxfId="443" priority="16" operator="equal">
      <formula>(N54+P54)*9.5/38*5</formula>
    </cfRule>
    <cfRule type="cellIs" dxfId="442" priority="15" operator="notEqual">
      <formula>(N54+P54)*9.5/38*5</formula>
    </cfRule>
  </conditionalFormatting>
  <conditionalFormatting sqref="S54:S59">
    <cfRule type="cellIs" dxfId="441" priority="12" operator="equal">
      <formula>T54</formula>
    </cfRule>
    <cfRule type="cellIs" dxfId="440" priority="11" operator="notEqual">
      <formula>T54</formula>
    </cfRule>
  </conditionalFormatting>
  <conditionalFormatting sqref="S61:S84">
    <cfRule type="cellIs" dxfId="439" priority="10" operator="equal">
      <formula>T61</formula>
    </cfRule>
    <cfRule type="cellIs" dxfId="438" priority="9" operator="notEqual">
      <formula>T61</formula>
    </cfRule>
  </conditionalFormatting>
  <conditionalFormatting sqref="S86:S99">
    <cfRule type="cellIs" dxfId="437" priority="8" operator="equal">
      <formula>T86</formula>
    </cfRule>
    <cfRule type="cellIs" dxfId="436" priority="7" operator="notEqual">
      <formula>T86</formula>
    </cfRule>
  </conditionalFormatting>
  <conditionalFormatting sqref="S101:S102">
    <cfRule type="cellIs" dxfId="435" priority="6" operator="equal">
      <formula>T101</formula>
    </cfRule>
    <cfRule type="cellIs" dxfId="434" priority="5" operator="notEqual">
      <formula>T101</formula>
    </cfRule>
  </conditionalFormatting>
  <pageMargins left="0.70866141732283472" right="0.70866141732283472" top="0.15748031496062992" bottom="0.15748031496062992" header="0" footer="0"/>
  <pageSetup paperSize="9" scale="49" fitToWidth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Y176"/>
  <sheetViews>
    <sheetView topLeftCell="D74" workbookViewId="0">
      <selection activeCell="D97" sqref="D97"/>
    </sheetView>
  </sheetViews>
  <sheetFormatPr defaultColWidth="31.28515625" defaultRowHeight="15" customHeight="1"/>
  <cols>
    <col min="1" max="1" width="15.140625" style="5" customWidth="1"/>
    <col min="2" max="2" width="10.42578125" style="5" customWidth="1"/>
    <col min="3" max="3" width="6" style="8" customWidth="1"/>
    <col min="4" max="4" width="26.7109375" style="5" bestFit="1" customWidth="1"/>
    <col min="5" max="5" width="8.42578125" style="8" customWidth="1"/>
    <col min="6" max="7" width="15.85546875" style="5" customWidth="1"/>
    <col min="8" max="8" width="20" style="5" customWidth="1"/>
    <col min="9" max="12" width="15.85546875" style="5" customWidth="1"/>
    <col min="13" max="13" width="31.28515625" style="5"/>
    <col min="14" max="14" width="7.85546875" style="5" customWidth="1"/>
    <col min="15" max="15" width="14.42578125" style="5" customWidth="1"/>
    <col min="16" max="16" width="8.42578125" style="5" customWidth="1"/>
    <col min="17" max="17" width="8.7109375" style="5" customWidth="1"/>
    <col min="18" max="18" width="12.7109375" style="5" customWidth="1"/>
    <col min="19" max="19" width="14.7109375" style="5" bestFit="1" customWidth="1"/>
    <col min="20" max="20" width="14.140625" style="5" bestFit="1" customWidth="1"/>
    <col min="21" max="25" width="7.140625" style="5" customWidth="1"/>
    <col min="26" max="16384" width="31.28515625" style="5"/>
  </cols>
  <sheetData>
    <row r="1" spans="1:13" s="2" customFormat="1" ht="15" customHeight="1">
      <c r="A1" s="34" t="s">
        <v>0</v>
      </c>
      <c r="B1" s="103" t="s">
        <v>1</v>
      </c>
      <c r="C1" s="104" t="s">
        <v>2</v>
      </c>
      <c r="D1" s="104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 t="s">
        <v>8</v>
      </c>
      <c r="J1" s="47" t="s">
        <v>9</v>
      </c>
      <c r="K1" s="47" t="s">
        <v>10</v>
      </c>
      <c r="L1" s="47" t="s">
        <v>11</v>
      </c>
      <c r="M1" s="103" t="s">
        <v>12</v>
      </c>
    </row>
    <row r="2" spans="1:13" s="2" customFormat="1" ht="15" customHeight="1">
      <c r="A2" s="13" t="s">
        <v>13</v>
      </c>
      <c r="B2" s="112"/>
      <c r="C2" s="21"/>
      <c r="E2" s="21"/>
      <c r="F2" s="94">
        <f>'Week 10'!F2+7</f>
        <v>46216</v>
      </c>
      <c r="G2" s="95">
        <f>F2+1</f>
        <v>46217</v>
      </c>
      <c r="H2" s="95">
        <f t="shared" ref="H2:L2" si="0">G2+1</f>
        <v>46218</v>
      </c>
      <c r="I2" s="95">
        <f t="shared" si="0"/>
        <v>46219</v>
      </c>
      <c r="J2" s="95">
        <f t="shared" si="0"/>
        <v>46220</v>
      </c>
      <c r="K2" s="95">
        <f t="shared" si="0"/>
        <v>46221</v>
      </c>
      <c r="L2" s="95">
        <f t="shared" si="0"/>
        <v>46222</v>
      </c>
    </row>
    <row r="3" spans="1:13" s="2" customFormat="1" ht="15" customHeight="1">
      <c r="A3" s="13" t="s">
        <v>14</v>
      </c>
      <c r="B3" s="112">
        <f>1+(F2-'Week 1'!F2)/7</f>
        <v>11</v>
      </c>
      <c r="E3" s="21"/>
      <c r="F3" s="94"/>
      <c r="G3" s="95"/>
      <c r="H3" s="95"/>
      <c r="I3" s="95"/>
      <c r="J3" s="95"/>
      <c r="K3" s="95"/>
      <c r="L3" s="95"/>
    </row>
    <row r="4" spans="1:13" ht="22.5" customHeight="1">
      <c r="A4" s="13" t="s">
        <v>15</v>
      </c>
      <c r="B4" s="2"/>
      <c r="C4" s="21">
        <f ca="1">IF(INDIRECT("'Week "&amp;(B3-1)&amp;"'!C4")=1,2,IF(INDIRECT("'Week "&amp;(B3-1)&amp;"'!C4")=2,1,_xludf.NA))</f>
        <v>1</v>
      </c>
      <c r="D4" s="359" t="str">
        <f>'Week 1'!D4:L4</f>
        <v>PAEDIATRIC EMERGENCY DEPARTMENT ROSTER - Term 2 2026</v>
      </c>
      <c r="E4" s="360"/>
      <c r="F4" s="360"/>
      <c r="G4" s="360"/>
      <c r="H4" s="360"/>
      <c r="I4" s="360"/>
      <c r="J4" s="360"/>
      <c r="K4" s="360"/>
      <c r="L4" s="360"/>
    </row>
    <row r="5" spans="1:13" s="2" customFormat="1" ht="15" customHeight="1" thickBot="1">
      <c r="A5" s="13"/>
      <c r="C5" s="21"/>
      <c r="E5" s="21"/>
      <c r="F5" s="94"/>
      <c r="G5" s="95"/>
      <c r="H5" s="95"/>
      <c r="I5" s="95"/>
      <c r="J5" s="95"/>
      <c r="K5" s="95"/>
      <c r="L5" s="95"/>
    </row>
    <row r="6" spans="1:13" s="2" customFormat="1" ht="15" customHeight="1">
      <c r="A6" s="13"/>
      <c r="C6" s="21"/>
      <c r="D6" s="96" t="s">
        <v>17</v>
      </c>
      <c r="E6" s="97"/>
      <c r="F6" s="101">
        <f>COUNTIF(F$21:F$49,"0800-1???")-COUNTIFS(F$48,"0800-1???",$D$48,"Locum")-COUNTIFS(F$49,"0800-1???",$D$49,"Locum")</f>
        <v>3</v>
      </c>
      <c r="G6" s="101">
        <f t="shared" ref="G6:L6" si="1">COUNTIF(G$21:G$49,"0800-1???")-COUNTIFS(G$48,"0800-1???",$D$48,"Locum")-COUNTIFS(G$49,"0800-1???",$D$49,"Locum")</f>
        <v>3</v>
      </c>
      <c r="H6" s="101">
        <f t="shared" si="1"/>
        <v>3</v>
      </c>
      <c r="I6" s="101">
        <f t="shared" si="1"/>
        <v>3</v>
      </c>
      <c r="J6" s="101">
        <f t="shared" si="1"/>
        <v>3</v>
      </c>
      <c r="K6" s="101">
        <f t="shared" si="1"/>
        <v>2</v>
      </c>
      <c r="L6" s="101">
        <f t="shared" si="1"/>
        <v>2</v>
      </c>
    </row>
    <row r="7" spans="1:13" s="2" customFormat="1" ht="15" customHeight="1" thickBot="1">
      <c r="A7" s="13"/>
      <c r="C7" s="21"/>
      <c r="D7" s="68" t="s">
        <v>18</v>
      </c>
      <c r="E7" s="67"/>
      <c r="F7" s="109">
        <f t="shared" ref="F7:L7" si="2">COUNTIF(F$54:F$102,"0800-1???")</f>
        <v>5</v>
      </c>
      <c r="G7" s="109">
        <f t="shared" si="2"/>
        <v>4</v>
      </c>
      <c r="H7" s="109">
        <f t="shared" si="2"/>
        <v>3</v>
      </c>
      <c r="I7" s="109">
        <f t="shared" si="2"/>
        <v>5</v>
      </c>
      <c r="J7" s="109">
        <f t="shared" si="2"/>
        <v>4</v>
      </c>
      <c r="K7" s="109">
        <f t="shared" si="2"/>
        <v>4</v>
      </c>
      <c r="L7" s="157">
        <f t="shared" si="2"/>
        <v>4</v>
      </c>
    </row>
    <row r="8" spans="1:13" s="2" customFormat="1" ht="15" customHeight="1" thickBot="1">
      <c r="A8" s="13"/>
      <c r="C8" s="21"/>
      <c r="D8" s="98" t="s">
        <v>19</v>
      </c>
      <c r="E8" s="99"/>
      <c r="F8" s="108">
        <f>F6+F7</f>
        <v>8</v>
      </c>
      <c r="G8" s="108">
        <f t="shared" ref="G8:L8" si="3">G6+G7</f>
        <v>7</v>
      </c>
      <c r="H8" s="108">
        <f t="shared" si="3"/>
        <v>6</v>
      </c>
      <c r="I8" s="108">
        <f t="shared" si="3"/>
        <v>8</v>
      </c>
      <c r="J8" s="108">
        <f t="shared" si="3"/>
        <v>7</v>
      </c>
      <c r="K8" s="108">
        <f t="shared" si="3"/>
        <v>6</v>
      </c>
      <c r="L8" s="158">
        <f t="shared" si="3"/>
        <v>6</v>
      </c>
    </row>
    <row r="9" spans="1:13" s="2" customFormat="1" ht="15" customHeight="1" thickBot="1">
      <c r="A9" s="13"/>
      <c r="C9" s="21"/>
      <c r="E9" s="21"/>
      <c r="F9" s="21"/>
      <c r="G9" s="21"/>
      <c r="H9" s="21"/>
      <c r="I9" s="21"/>
      <c r="J9" s="21"/>
      <c r="K9" s="21"/>
      <c r="L9" s="21"/>
    </row>
    <row r="10" spans="1:13" s="2" customFormat="1" ht="15" customHeight="1">
      <c r="A10" s="13"/>
      <c r="C10" s="21"/>
      <c r="D10" s="96" t="s">
        <v>20</v>
      </c>
      <c r="E10" s="97"/>
      <c r="F10" s="101">
        <f>COUNTIF(F$21:F$49,"1100-????")-COUNTIFS(F$48,"1100-????",$D$48,"Locum")-COUNTIFS(F$49,"1100-????",$D$49,"Locum")</f>
        <v>0</v>
      </c>
      <c r="G10" s="101">
        <f t="shared" ref="G10:L10" si="4">COUNTIF(G$21:G$49,"1100-????")-COUNTIFS(G$48,"1100-????",$D$48,"Locum")-COUNTIFS(G$49,"1100-????",$D$49,"Locum")</f>
        <v>0</v>
      </c>
      <c r="H10" s="101">
        <f t="shared" si="4"/>
        <v>0</v>
      </c>
      <c r="I10" s="101">
        <f t="shared" si="4"/>
        <v>0</v>
      </c>
      <c r="J10" s="101">
        <f t="shared" si="4"/>
        <v>0</v>
      </c>
      <c r="K10" s="101">
        <f t="shared" si="4"/>
        <v>0</v>
      </c>
      <c r="L10" s="101">
        <f t="shared" si="4"/>
        <v>0</v>
      </c>
    </row>
    <row r="11" spans="1:13" s="2" customFormat="1" ht="15" customHeight="1">
      <c r="A11" s="13"/>
      <c r="C11" s="21"/>
      <c r="D11" s="68" t="s">
        <v>21</v>
      </c>
      <c r="E11" s="67"/>
      <c r="F11" s="161">
        <f>COUNTIF(F$54:F$102,"1100-????")</f>
        <v>0</v>
      </c>
      <c r="G11" s="161">
        <f t="shared" ref="G11:L11" si="5">COUNTIF(G$54:G$102,"1100-????")</f>
        <v>0</v>
      </c>
      <c r="H11" s="161">
        <f t="shared" si="5"/>
        <v>1</v>
      </c>
      <c r="I11" s="161">
        <f t="shared" si="5"/>
        <v>0</v>
      </c>
      <c r="J11" s="161">
        <f t="shared" si="5"/>
        <v>0</v>
      </c>
      <c r="K11" s="161">
        <f t="shared" si="5"/>
        <v>0</v>
      </c>
      <c r="L11" s="161">
        <f t="shared" si="5"/>
        <v>0</v>
      </c>
    </row>
    <row r="12" spans="1:13" s="2" customFormat="1" ht="15" customHeight="1">
      <c r="A12" s="13"/>
      <c r="C12" s="21"/>
      <c r="D12" s="68" t="s">
        <v>22</v>
      </c>
      <c r="E12" s="67"/>
      <c r="F12" s="102">
        <f>COUNTIF(F$21:F$49,"1???-00?0")-COUNTIFS(F$48,"1???-00?0",$D$48,"Locum")-COUNTIFS(F$49,"1???-00?0",$D$49,"Locum")</f>
        <v>3</v>
      </c>
      <c r="G12" s="102">
        <f t="shared" ref="G12:L12" si="6">COUNTIF(G$21:G$49,"1???-00?0")-COUNTIFS(G$48,"1???-00?0",$D$48,"Locum")-COUNTIFS(G$49,"1???-00?0",$D$49,"Locum")</f>
        <v>2</v>
      </c>
      <c r="H12" s="102">
        <f t="shared" si="6"/>
        <v>3</v>
      </c>
      <c r="I12" s="102">
        <f t="shared" si="6"/>
        <v>2</v>
      </c>
      <c r="J12" s="102">
        <f t="shared" si="6"/>
        <v>2</v>
      </c>
      <c r="K12" s="102">
        <f t="shared" si="6"/>
        <v>2</v>
      </c>
      <c r="L12" s="102">
        <f t="shared" si="6"/>
        <v>2</v>
      </c>
    </row>
    <row r="13" spans="1:13" s="2" customFormat="1" ht="15" customHeight="1" thickBot="1">
      <c r="A13" s="13"/>
      <c r="C13" s="21"/>
      <c r="D13" s="68" t="s">
        <v>23</v>
      </c>
      <c r="E13" s="67"/>
      <c r="F13" s="109">
        <f>COUNTIF(F$54:F$102,"1???-0000*")</f>
        <v>10</v>
      </c>
      <c r="G13" s="109">
        <f t="shared" ref="G13:L13" si="7">COUNTIF(G$54:G$102,"1???-0000*")</f>
        <v>9</v>
      </c>
      <c r="H13" s="109">
        <f t="shared" si="7"/>
        <v>8</v>
      </c>
      <c r="I13" s="109">
        <f t="shared" si="7"/>
        <v>9</v>
      </c>
      <c r="J13" s="109">
        <f t="shared" si="7"/>
        <v>8</v>
      </c>
      <c r="K13" s="109">
        <f t="shared" si="7"/>
        <v>9</v>
      </c>
      <c r="L13" s="157">
        <f t="shared" si="7"/>
        <v>8</v>
      </c>
    </row>
    <row r="14" spans="1:13" s="2" customFormat="1" ht="15" customHeight="1" thickBot="1">
      <c r="A14" s="13"/>
      <c r="C14" s="21"/>
      <c r="D14" s="98" t="s">
        <v>24</v>
      </c>
      <c r="E14" s="99"/>
      <c r="F14" s="108">
        <f>F12+F13</f>
        <v>13</v>
      </c>
      <c r="G14" s="108">
        <f t="shared" ref="G14:L14" si="8">G12+G13</f>
        <v>11</v>
      </c>
      <c r="H14" s="108">
        <f t="shared" si="8"/>
        <v>11</v>
      </c>
      <c r="I14" s="108">
        <f t="shared" si="8"/>
        <v>11</v>
      </c>
      <c r="J14" s="108">
        <f t="shared" si="8"/>
        <v>10</v>
      </c>
      <c r="K14" s="108">
        <f t="shared" si="8"/>
        <v>11</v>
      </c>
      <c r="L14" s="158">
        <f t="shared" si="8"/>
        <v>10</v>
      </c>
    </row>
    <row r="15" spans="1:13" s="2" customFormat="1" ht="15" customHeight="1" thickBot="1">
      <c r="A15" s="13"/>
      <c r="C15" s="21"/>
      <c r="E15" s="21"/>
      <c r="F15" s="21"/>
      <c r="G15" s="21"/>
      <c r="H15" s="21"/>
      <c r="I15" s="21"/>
      <c r="J15" s="21"/>
      <c r="K15" s="21"/>
      <c r="L15" s="21"/>
    </row>
    <row r="16" spans="1:13" s="2" customFormat="1" ht="15" customHeight="1" thickBot="1">
      <c r="A16" s="13"/>
      <c r="C16" s="21"/>
      <c r="D16" s="100" t="s">
        <v>25</v>
      </c>
      <c r="E16" s="72"/>
      <c r="F16" s="66">
        <f t="shared" ref="F16:L16" si="9">COUNTIF(F$54:F$99,"2300-0830")</f>
        <v>5</v>
      </c>
      <c r="G16" s="66">
        <f t="shared" si="9"/>
        <v>5</v>
      </c>
      <c r="H16" s="66">
        <f t="shared" si="9"/>
        <v>5</v>
      </c>
      <c r="I16" s="66">
        <f t="shared" si="9"/>
        <v>5</v>
      </c>
      <c r="J16" s="66">
        <f t="shared" si="9"/>
        <v>4</v>
      </c>
      <c r="K16" s="66">
        <f t="shared" si="9"/>
        <v>4</v>
      </c>
      <c r="L16" s="159">
        <f t="shared" si="9"/>
        <v>4</v>
      </c>
    </row>
    <row r="17" spans="1:25" s="2" customFormat="1" ht="15" customHeight="1" thickBot="1">
      <c r="A17" s="13"/>
      <c r="C17" s="21"/>
      <c r="E17" s="21"/>
      <c r="F17" s="21"/>
      <c r="G17" s="21"/>
      <c r="H17" s="21"/>
      <c r="I17" s="21"/>
      <c r="J17" s="21"/>
      <c r="K17" s="21"/>
      <c r="L17" s="21"/>
    </row>
    <row r="18" spans="1:25" s="2" customFormat="1" ht="15" customHeight="1" thickBot="1">
      <c r="A18" s="13"/>
      <c r="C18" s="21"/>
      <c r="D18" s="61" t="s">
        <v>26</v>
      </c>
      <c r="E18" s="62" t="s">
        <v>4</v>
      </c>
      <c r="F18" s="62" t="s">
        <v>5</v>
      </c>
      <c r="G18" s="62" t="s">
        <v>6</v>
      </c>
      <c r="H18" s="62" t="s">
        <v>7</v>
      </c>
      <c r="I18" s="62" t="s">
        <v>8</v>
      </c>
      <c r="J18" s="62" t="s">
        <v>9</v>
      </c>
      <c r="K18" s="62" t="s">
        <v>10</v>
      </c>
      <c r="L18" s="63" t="s">
        <v>11</v>
      </c>
      <c r="N18" s="145" t="s">
        <v>27</v>
      </c>
      <c r="O18" s="145" t="s">
        <v>28</v>
      </c>
      <c r="P18" s="136" t="s">
        <v>29</v>
      </c>
      <c r="R18" s="146" t="s">
        <v>30</v>
      </c>
      <c r="S18" s="145" t="s">
        <v>31</v>
      </c>
    </row>
    <row r="19" spans="1:25" s="2" customFormat="1" ht="15" customHeight="1" thickBot="1">
      <c r="A19" s="13"/>
      <c r="C19" s="21"/>
      <c r="D19" s="93"/>
      <c r="E19" s="91"/>
      <c r="F19" s="92">
        <f>F2</f>
        <v>46216</v>
      </c>
      <c r="G19" s="64">
        <f t="shared" ref="G19:L19" si="10">F19+1</f>
        <v>46217</v>
      </c>
      <c r="H19" s="64">
        <f t="shared" si="10"/>
        <v>46218</v>
      </c>
      <c r="I19" s="64">
        <f t="shared" si="10"/>
        <v>46219</v>
      </c>
      <c r="J19" s="64">
        <f t="shared" si="10"/>
        <v>46220</v>
      </c>
      <c r="K19" s="64">
        <f t="shared" si="10"/>
        <v>46221</v>
      </c>
      <c r="L19" s="65">
        <f t="shared" si="10"/>
        <v>46222</v>
      </c>
      <c r="N19" s="147" t="s">
        <v>32</v>
      </c>
      <c r="O19" s="21" t="s">
        <v>32</v>
      </c>
      <c r="P19" s="148"/>
      <c r="R19" s="149" t="s">
        <v>32</v>
      </c>
      <c r="S19" s="147" t="s">
        <v>32</v>
      </c>
      <c r="U19" s="2" t="s">
        <v>33</v>
      </c>
      <c r="V19" s="142" t="s">
        <v>34</v>
      </c>
      <c r="W19" s="2" t="s">
        <v>35</v>
      </c>
      <c r="X19" s="2" t="s">
        <v>36</v>
      </c>
      <c r="Y19" s="2" t="s">
        <v>37</v>
      </c>
    </row>
    <row r="20" spans="1:25" s="2" customFormat="1" ht="15.75" customHeight="1" thickBot="1">
      <c r="A20" s="114" t="s">
        <v>38</v>
      </c>
      <c r="B20" s="115"/>
      <c r="C20" s="116"/>
      <c r="D20" s="117" t="s">
        <v>38</v>
      </c>
      <c r="E20" s="155"/>
      <c r="F20" s="118"/>
      <c r="G20" s="119"/>
      <c r="H20" s="119"/>
      <c r="I20" s="119"/>
      <c r="J20" s="119"/>
      <c r="K20" s="119"/>
      <c r="L20" s="120"/>
      <c r="N20" s="160"/>
      <c r="O20" s="160"/>
      <c r="P20" s="150"/>
      <c r="R20" s="151"/>
      <c r="S20" s="160"/>
      <c r="T20" s="160"/>
      <c r="U20" s="160"/>
      <c r="V20" s="142"/>
    </row>
    <row r="21" spans="1:25" s="2" customFormat="1" ht="15" customHeight="1">
      <c r="A21" s="162" t="s">
        <v>39</v>
      </c>
      <c r="B21" s="162"/>
      <c r="C21" s="164"/>
      <c r="D21" s="234" t="s">
        <v>40</v>
      </c>
      <c r="E21" s="165">
        <f>IFERROR(VLOOKUP(D21,'Employee Numbers'!$A$3:$B$84,2,FALSE),"NOT FOUND")</f>
        <v>287628</v>
      </c>
      <c r="F21" s="235" t="s">
        <v>41</v>
      </c>
      <c r="G21" s="236" t="s">
        <v>41</v>
      </c>
      <c r="H21" s="236" t="s">
        <v>41</v>
      </c>
      <c r="I21" s="236"/>
      <c r="J21" s="236" t="s">
        <v>44</v>
      </c>
      <c r="K21" s="236"/>
      <c r="L21" s="237"/>
      <c r="N21">
        <f t="array" ref="N21">((SUM(IFERROR((TEXT(IF(ISNUMBER(SEARCH("-", F21:L21)), MID(F21:L21, SEARCH("-", F21:L21) + 1, 4), ""), "00\:00") - TEXT(IF(ISNUMBER(SEARCH("-", F21:L21)), MID(F21:L21, SEARCH("-", F21:L21) - 4, 4), ""), "00\:00") + IF(TEXT(IF(ISNUMBER(SEARCH("-", F21:L21)), MID(F21:L21, SEARCH("-", F21:L21) + 1, 4), ""), "00\:00") &lt; TEXT(IF(ISNUMBER(SEARCH("-", F21:L21)), MID(F21:L21, SEARCH("-", F21:L21) - 4, 4), ""), "00\:00"), 1, 0))*24,""))))/9.5</f>
        <v>4</v>
      </c>
      <c r="O21"/>
      <c r="P21" s="151">
        <f>N21+O21</f>
        <v>4</v>
      </c>
      <c r="R21" s="4">
        <f ca="1">IF($C$4=1,SUM(P21+INDIRECT("'Week "&amp;($B$3+1)&amp;"'!P"&amp;(ROW()))),IF($C$4=2,SUM(P21+INDIRECT("'Week "&amp;($B$3-1)&amp;"'!P"&amp;(ROW())))))</f>
        <v>8</v>
      </c>
      <c r="S21" s="2">
        <f>(IFERROR(VLOOKUP(D21,'Employee Numbers'!$A$3:$C$84,3,FALSE),"NOT FOUND"))*8</f>
        <v>8</v>
      </c>
      <c r="U21" s="142">
        <f>COUNTIF(E21:K21,"0800-1730")</f>
        <v>1</v>
      </c>
      <c r="V21" s="142">
        <f>COUNTIF(F21:L21,"1???-00?0")</f>
        <v>0</v>
      </c>
      <c r="W21" s="2">
        <f>COUNTIF(F21:L21,"*0800-1730*CS*")+COUNTIF(F21:L21,"*0800-1730*DEMT*")</f>
        <v>3</v>
      </c>
      <c r="Y21" s="2">
        <f>COUNTIF(K21:L21,"???0-*")</f>
        <v>0</v>
      </c>
    </row>
    <row r="22" spans="1:25" s="2" customFormat="1" ht="15" customHeight="1">
      <c r="A22" s="2" t="s">
        <v>39</v>
      </c>
      <c r="B22" s="46"/>
      <c r="C22" s="21"/>
      <c r="D22" s="227" t="s">
        <v>43</v>
      </c>
      <c r="E22" s="226">
        <f>IFERROR(VLOOKUP(D22,'Employee Numbers'!$A$3:$B$84,2,FALSE),"NOT FOUND")</f>
        <v>609660</v>
      </c>
      <c r="F22" s="29" t="s">
        <v>41</v>
      </c>
      <c r="G22" s="31" t="s">
        <v>41</v>
      </c>
      <c r="H22" s="31" t="s">
        <v>44</v>
      </c>
      <c r="I22" s="31" t="s">
        <v>42</v>
      </c>
      <c r="J22" s="31"/>
      <c r="K22" s="31"/>
      <c r="L22" s="228"/>
      <c r="N22">
        <f t="array" ref="N22">((SUM(IFERROR((TEXT(IF(ISNUMBER(SEARCH("-", F22:L22)), MID(F22:L22, SEARCH("-", F22:L22) + 1, 4), ""), "00\:00") - TEXT(IF(ISNUMBER(SEARCH("-", F22:L22)), MID(F22:L22, SEARCH("-", F22:L22) - 4, 4), ""), "00\:00") + IF(TEXT(IF(ISNUMBER(SEARCH("-", F22:L22)), MID(F22:L22, SEARCH("-", F22:L22) + 1, 4), ""), "00\:00") &lt; TEXT(IF(ISNUMBER(SEARCH("-", F22:L22)), MID(F22:L22, SEARCH("-", F22:L22) - 4, 4), ""), "00\:00"), 1, 0))*24,""))))/9.5</f>
        <v>4</v>
      </c>
      <c r="O22"/>
      <c r="P22" s="151">
        <f t="shared" ref="P22:P47" si="11">N22+O22</f>
        <v>4</v>
      </c>
      <c r="R22" s="4">
        <f t="shared" ref="R22:R47" ca="1" si="12">IF($C$4=1,SUM(P22+INDIRECT("'Week "&amp;($B$3+1)&amp;"'!P"&amp;(ROW()))),IF($C$4=2,SUM(P22+INDIRECT("'Week "&amp;($B$3-1)&amp;"'!P"&amp;(ROW())))))</f>
        <v>8</v>
      </c>
      <c r="S22" s="2">
        <f>(IFERROR(VLOOKUP(D22,'Employee Numbers'!$A$3:$C$84,3,FALSE),"NOT FOUND"))*8</f>
        <v>8</v>
      </c>
      <c r="U22" s="142">
        <f t="shared" ref="U22:U47" si="13">COUNTIF(E22:K22,"0800-1730")</f>
        <v>1</v>
      </c>
      <c r="V22" s="142">
        <f t="shared" ref="V22:V47" si="14">COUNTIF(F22:L22,"1???-00?0")</f>
        <v>1</v>
      </c>
      <c r="W22" s="2">
        <f t="shared" ref="W22:W47" si="15">COUNTIF(F22:L22,"*0800-1730*CS*")+COUNTIF(F22:L22,"*0800-1730*DEMT*")</f>
        <v>2</v>
      </c>
      <c r="Y22" s="2">
        <f t="shared" ref="Y22:Y47" si="16">COUNTIF(K22:L22,"???0-*")</f>
        <v>0</v>
      </c>
    </row>
    <row r="23" spans="1:25" s="2" customFormat="1" ht="15" customHeight="1">
      <c r="A23" s="162" t="s">
        <v>39</v>
      </c>
      <c r="B23" s="163"/>
      <c r="C23" s="238"/>
      <c r="D23" s="239" t="s">
        <v>45</v>
      </c>
      <c r="E23" s="165">
        <f>IFERROR(VLOOKUP(D23,'Employee Numbers'!$A$3:$B$84,2,FALSE),"NOT FOUND")</f>
        <v>610036</v>
      </c>
      <c r="F23" s="176" t="s">
        <v>41</v>
      </c>
      <c r="G23" s="166" t="s">
        <v>44</v>
      </c>
      <c r="H23" s="166"/>
      <c r="I23" s="166"/>
      <c r="J23" s="166"/>
      <c r="K23" s="166" t="s">
        <v>54</v>
      </c>
      <c r="L23" s="167" t="s">
        <v>54</v>
      </c>
      <c r="N23">
        <f t="array" ref="N23">((SUM(IFERROR((TEXT(IF(ISNUMBER(SEARCH("-", F23:L23)), MID(F23:L23, SEARCH("-", F23:L23) + 1, 4), ""), "00\:00") - TEXT(IF(ISNUMBER(SEARCH("-", F23:L23)), MID(F23:L23, SEARCH("-", F23:L23) - 4, 4), ""), "00\:00") + IF(TEXT(IF(ISNUMBER(SEARCH("-", F23:L23)), MID(F23:L23, SEARCH("-", F23:L23) + 1, 4), ""), "00\:00") &lt; TEXT(IF(ISNUMBER(SEARCH("-", F23:L23)), MID(F23:L23, SEARCH("-", F23:L23) - 4, 4), ""), "00\:00"), 1, 0))*24,""))))/9.5</f>
        <v>4</v>
      </c>
      <c r="O23"/>
      <c r="P23" s="151">
        <f t="shared" si="11"/>
        <v>4</v>
      </c>
      <c r="R23" s="4">
        <f t="shared" ca="1" si="12"/>
        <v>8</v>
      </c>
      <c r="S23" s="2">
        <f>(IFERROR(VLOOKUP(D23,'Employee Numbers'!$A$3:$C$84,3,FALSE),"NOT FOUND"))*8</f>
        <v>8</v>
      </c>
      <c r="U23" s="142">
        <f t="shared" si="13"/>
        <v>1</v>
      </c>
      <c r="V23" s="142">
        <f t="shared" si="14"/>
        <v>2</v>
      </c>
      <c r="W23" s="2">
        <f t="shared" si="15"/>
        <v>1</v>
      </c>
      <c r="Y23" s="2">
        <f t="shared" si="16"/>
        <v>2</v>
      </c>
    </row>
    <row r="24" spans="1:25" s="2" customFormat="1" ht="15" customHeight="1">
      <c r="A24" s="2" t="s">
        <v>39</v>
      </c>
      <c r="B24" s="46"/>
      <c r="C24" s="47"/>
      <c r="D24" s="227" t="s">
        <v>49</v>
      </c>
      <c r="E24" s="226">
        <f>IFERROR(VLOOKUP(D24,'Employee Numbers'!$A$3:$B$84,2,FALSE),"NOT FOUND")</f>
        <v>533509</v>
      </c>
      <c r="F24" s="250" t="s">
        <v>50</v>
      </c>
      <c r="G24" s="251" t="s">
        <v>50</v>
      </c>
      <c r="H24" s="251" t="s">
        <v>50</v>
      </c>
      <c r="I24" s="251" t="s">
        <v>50</v>
      </c>
      <c r="J24" s="251" t="s">
        <v>50</v>
      </c>
      <c r="K24" s="251" t="s">
        <v>50</v>
      </c>
      <c r="L24" s="252" t="s">
        <v>50</v>
      </c>
      <c r="N24">
        <f t="array" ref="N24">((SUM(IFERROR((TEXT(IF(ISNUMBER(SEARCH("-", F24:L24)), MID(F24:L24, SEARCH("-", F24:L24) + 1, 4), ""), "00\:00") - TEXT(IF(ISNUMBER(SEARCH("-", F24:L24)), MID(F24:L24, SEARCH("-", F24:L24) - 4, 4), ""), "00\:00") + IF(TEXT(IF(ISNUMBER(SEARCH("-", F24:L24)), MID(F24:L24, SEARCH("-", F24:L24) + 1, 4), ""), "00\:00") &lt; TEXT(IF(ISNUMBER(SEARCH("-", F24:L24)), MID(F24:L24, SEARCH("-", F24:L24) - 4, 4), ""), "00\:00"), 1, 0))*24,""))))/9.5</f>
        <v>0</v>
      </c>
      <c r="O24"/>
      <c r="P24" s="151">
        <f t="shared" si="11"/>
        <v>0</v>
      </c>
      <c r="R24" s="4">
        <f t="shared" ca="1" si="12"/>
        <v>0</v>
      </c>
      <c r="S24" s="2">
        <f>(IFERROR(VLOOKUP(D24,'Employee Numbers'!$A$3:$C$84,3,FALSE),"NOT FOUND"))*8</f>
        <v>0</v>
      </c>
      <c r="U24" s="142">
        <f t="shared" si="13"/>
        <v>0</v>
      </c>
      <c r="V24" s="142">
        <f t="shared" si="14"/>
        <v>0</v>
      </c>
      <c r="W24" s="2">
        <f t="shared" si="15"/>
        <v>0</v>
      </c>
      <c r="Y24" s="2">
        <f t="shared" si="16"/>
        <v>0</v>
      </c>
    </row>
    <row r="25" spans="1:25" s="2" customFormat="1" ht="15" customHeight="1">
      <c r="A25" s="162" t="s">
        <v>39</v>
      </c>
      <c r="B25" s="163"/>
      <c r="C25" s="238"/>
      <c r="D25" s="240" t="s">
        <v>51</v>
      </c>
      <c r="E25" s="165">
        <f>IFERROR(VLOOKUP(D25,'Employee Numbers'!$A$3:$B$84,2,FALSE),"NOT FOUND")</f>
        <v>625985</v>
      </c>
      <c r="F25" s="253" t="s">
        <v>181</v>
      </c>
      <c r="G25" s="254" t="s">
        <v>181</v>
      </c>
      <c r="H25" s="254" t="s">
        <v>181</v>
      </c>
      <c r="I25" s="254" t="s">
        <v>181</v>
      </c>
      <c r="J25" s="254" t="s">
        <v>181</v>
      </c>
      <c r="K25" s="254" t="s">
        <v>181</v>
      </c>
      <c r="L25" s="255" t="s">
        <v>181</v>
      </c>
      <c r="N25">
        <f t="array" ref="N25">((SUM(IFERROR((TEXT(IF(ISNUMBER(SEARCH("-", F25:L25)), MID(F25:L25, SEARCH("-", F25:L25) + 1, 4), ""), "00\:00") - TEXT(IF(ISNUMBER(SEARCH("-", F25:L25)), MID(F25:L25, SEARCH("-", F25:L25) - 4, 4), ""), "00\:00") + IF(TEXT(IF(ISNUMBER(SEARCH("-", F25:L25)), MID(F25:L25, SEARCH("-", F25:L25) + 1, 4), ""), "00\:00") &lt; TEXT(IF(ISNUMBER(SEARCH("-", F25:L25)), MID(F25:L25, SEARCH("-", F25:L25) - 4, 4), ""), "00\:00"), 1, 0))*24,""))))/9.5</f>
        <v>0</v>
      </c>
      <c r="O25">
        <v>4</v>
      </c>
      <c r="P25" s="151">
        <f t="shared" si="11"/>
        <v>4</v>
      </c>
      <c r="R25" s="4">
        <f t="shared" ca="1" si="12"/>
        <v>8</v>
      </c>
      <c r="S25" s="2">
        <f>(IFERROR(VLOOKUP(D25,'Employee Numbers'!$A$3:$C$84,3,FALSE),"NOT FOUND"))*8</f>
        <v>8</v>
      </c>
      <c r="U25" s="142">
        <f t="shared" si="13"/>
        <v>0</v>
      </c>
      <c r="V25" s="142">
        <f t="shared" si="14"/>
        <v>0</v>
      </c>
      <c r="W25" s="2">
        <f t="shared" si="15"/>
        <v>0</v>
      </c>
      <c r="Y25" s="2">
        <f t="shared" si="16"/>
        <v>0</v>
      </c>
    </row>
    <row r="26" spans="1:25" s="2" customFormat="1" ht="15" customHeight="1">
      <c r="A26" s="2" t="s">
        <v>39</v>
      </c>
      <c r="B26" s="46"/>
      <c r="C26" s="47"/>
      <c r="D26" s="227" t="s">
        <v>52</v>
      </c>
      <c r="E26" s="226">
        <f>IFERROR(VLOOKUP(D26,'Employee Numbers'!$A$3:$B$84,2,FALSE),"NOT FOUND")</f>
        <v>632301</v>
      </c>
      <c r="F26" s="29"/>
      <c r="G26" s="31" t="s">
        <v>41</v>
      </c>
      <c r="H26" s="31" t="s">
        <v>44</v>
      </c>
      <c r="I26" s="31" t="s">
        <v>44</v>
      </c>
      <c r="J26" s="31" t="s">
        <v>42</v>
      </c>
      <c r="K26" s="31"/>
      <c r="L26" s="228"/>
      <c r="M26" s="13"/>
      <c r="N26">
        <f t="array" ref="N26">((SUM(IFERROR((TEXT(IF(ISNUMBER(SEARCH("-", F26:L26)), MID(F26:L26, SEARCH("-", F26:L26) + 1, 4), ""), "00\:00") - TEXT(IF(ISNUMBER(SEARCH("-", F26:L26)), MID(F26:L26, SEARCH("-", F26:L26) - 4, 4), ""), "00\:00") + IF(TEXT(IF(ISNUMBER(SEARCH("-", F26:L26)), MID(F26:L26, SEARCH("-", F26:L26) + 1, 4), ""), "00\:00") &lt; TEXT(IF(ISNUMBER(SEARCH("-", F26:L26)), MID(F26:L26, SEARCH("-", F26:L26) - 4, 4), ""), "00\:00"), 1, 0))*24,""))))/9.5</f>
        <v>4</v>
      </c>
      <c r="O26"/>
      <c r="P26" s="151">
        <f t="shared" si="11"/>
        <v>4</v>
      </c>
      <c r="R26" s="4">
        <f t="shared" ca="1" si="12"/>
        <v>8</v>
      </c>
      <c r="S26" s="2">
        <f>(IFERROR(VLOOKUP(D26,'Employee Numbers'!$A$3:$C$84,3,FALSE),"NOT FOUND"))*8</f>
        <v>8</v>
      </c>
      <c r="U26" s="142">
        <f t="shared" si="13"/>
        <v>2</v>
      </c>
      <c r="V26" s="142">
        <f t="shared" si="14"/>
        <v>1</v>
      </c>
      <c r="W26" s="2">
        <f t="shared" si="15"/>
        <v>1</v>
      </c>
      <c r="Y26" s="2">
        <f t="shared" si="16"/>
        <v>0</v>
      </c>
    </row>
    <row r="27" spans="1:25" s="2" customFormat="1" ht="15" customHeight="1">
      <c r="A27" s="162" t="s">
        <v>39</v>
      </c>
      <c r="B27" s="163"/>
      <c r="C27" s="238"/>
      <c r="D27" s="240" t="s">
        <v>53</v>
      </c>
      <c r="E27" s="165">
        <f>IFERROR(VLOOKUP(D27,'Employee Numbers'!$A$3:$B$84,2,FALSE),"NOT FOUND")</f>
        <v>613891</v>
      </c>
      <c r="F27" s="176"/>
      <c r="G27" s="166" t="s">
        <v>44</v>
      </c>
      <c r="H27" s="166"/>
      <c r="I27" s="166" t="s">
        <v>44</v>
      </c>
      <c r="J27" s="166"/>
      <c r="K27" s="166" t="s">
        <v>54</v>
      </c>
      <c r="L27" s="167"/>
      <c r="M27" s="13"/>
      <c r="N27">
        <f t="array" ref="N27">((SUM(IFERROR((TEXT(IF(ISNUMBER(SEARCH("-", F27:L27)), MID(F27:L27, SEARCH("-", F27:L27) + 1, 4), ""), "00\:00") - TEXT(IF(ISNUMBER(SEARCH("-", F27:L27)), MID(F27:L27, SEARCH("-", F27:L27) - 4, 4), ""), "00\:00") + IF(TEXT(IF(ISNUMBER(SEARCH("-", F27:L27)), MID(F27:L27, SEARCH("-", F27:L27) + 1, 4), ""), "00\:00") &lt; TEXT(IF(ISNUMBER(SEARCH("-", F27:L27)), MID(F27:L27, SEARCH("-", F27:L27) - 4, 4), ""), "00\:00"), 1, 0))*24,""))))/9.5</f>
        <v>3</v>
      </c>
      <c r="O27"/>
      <c r="P27" s="151">
        <f t="shared" si="11"/>
        <v>3</v>
      </c>
      <c r="R27" s="4">
        <f t="shared" ca="1" si="12"/>
        <v>6</v>
      </c>
      <c r="S27" s="2">
        <f>(IFERROR(VLOOKUP(D27,'Employee Numbers'!$A$3:$C$84,3,FALSE),"NOT FOUND"))*8</f>
        <v>6</v>
      </c>
      <c r="U27" s="142">
        <f t="shared" si="13"/>
        <v>2</v>
      </c>
      <c r="V27" s="142">
        <f t="shared" si="14"/>
        <v>1</v>
      </c>
      <c r="W27" s="2">
        <f t="shared" si="15"/>
        <v>0</v>
      </c>
      <c r="Y27" s="2">
        <f t="shared" si="16"/>
        <v>1</v>
      </c>
    </row>
    <row r="28" spans="1:25" s="2" customFormat="1" ht="15" customHeight="1">
      <c r="A28" s="2" t="s">
        <v>39</v>
      </c>
      <c r="B28" s="46"/>
      <c r="C28" s="21"/>
      <c r="D28" s="227" t="s">
        <v>55</v>
      </c>
      <c r="E28" s="226">
        <f>IFERROR(VLOOKUP(D28,'Employee Numbers'!$A$3:$B$84,2,FALSE),"NOT FOUND")</f>
        <v>623657</v>
      </c>
      <c r="F28" s="29"/>
      <c r="G28" s="31"/>
      <c r="H28" s="31" t="s">
        <v>42</v>
      </c>
      <c r="I28" s="31"/>
      <c r="J28" s="31"/>
      <c r="K28" s="31"/>
      <c r="L28" s="228"/>
      <c r="N28">
        <f t="array" ref="N28">((SUM(IFERROR((TEXT(IF(ISNUMBER(SEARCH("-", F28:L28)), MID(F28:L28, SEARCH("-", F28:L28) + 1, 4), ""), "00\:00") - TEXT(IF(ISNUMBER(SEARCH("-", F28:L28)), MID(F28:L28, SEARCH("-", F28:L28) - 4, 4), ""), "00\:00") + IF(TEXT(IF(ISNUMBER(SEARCH("-", F28:L28)), MID(F28:L28, SEARCH("-", F28:L28) + 1, 4), ""), "00\:00") &lt; TEXT(IF(ISNUMBER(SEARCH("-", F28:L28)), MID(F28:L28, SEARCH("-", F28:L28) - 4, 4), ""), "00\:00"), 1, 0))*24,""))))/9.5</f>
        <v>1</v>
      </c>
      <c r="O28"/>
      <c r="P28" s="151">
        <f t="shared" si="11"/>
        <v>1</v>
      </c>
      <c r="R28" s="4">
        <f t="shared" ca="1" si="12"/>
        <v>2</v>
      </c>
      <c r="S28" s="2">
        <f>(IFERROR(VLOOKUP(D28,'Employee Numbers'!$A$3:$C$84,3,FALSE),"NOT FOUND"))*8</f>
        <v>2</v>
      </c>
      <c r="U28" s="142">
        <f t="shared" si="13"/>
        <v>0</v>
      </c>
      <c r="V28" s="142">
        <f t="shared" si="14"/>
        <v>1</v>
      </c>
      <c r="W28" s="2">
        <f t="shared" si="15"/>
        <v>0</v>
      </c>
      <c r="Y28" s="2">
        <f t="shared" si="16"/>
        <v>0</v>
      </c>
    </row>
    <row r="29" spans="1:25" s="2" customFormat="1" ht="15" customHeight="1">
      <c r="A29" s="162" t="s">
        <v>39</v>
      </c>
      <c r="B29" s="163"/>
      <c r="C29" s="164"/>
      <c r="D29" s="240" t="s">
        <v>56</v>
      </c>
      <c r="E29" s="165">
        <f>IFERROR(VLOOKUP(D29,'Employee Numbers'!$A$3:$B$84,2,FALSE),"NOT FOUND")</f>
        <v>623708</v>
      </c>
      <c r="F29" s="253" t="s">
        <v>176</v>
      </c>
      <c r="G29" s="254" t="s">
        <v>176</v>
      </c>
      <c r="H29" s="254" t="s">
        <v>176</v>
      </c>
      <c r="I29" s="254" t="s">
        <v>176</v>
      </c>
      <c r="J29" s="254" t="s">
        <v>176</v>
      </c>
      <c r="K29" s="254" t="s">
        <v>176</v>
      </c>
      <c r="L29" s="255" t="s">
        <v>176</v>
      </c>
      <c r="N29">
        <f t="array" ref="N29">((SUM(IFERROR((TEXT(IF(ISNUMBER(SEARCH("-", F29:L29)), MID(F29:L29, SEARCH("-", F29:L29) + 1, 4), ""), "00\:00") - TEXT(IF(ISNUMBER(SEARCH("-", F29:L29)), MID(F29:L29, SEARCH("-", F29:L29) - 4, 4), ""), "00\:00") + IF(TEXT(IF(ISNUMBER(SEARCH("-", F29:L29)), MID(F29:L29, SEARCH("-", F29:L29) + 1, 4), ""), "00\:00") &lt; TEXT(IF(ISNUMBER(SEARCH("-", F29:L29)), MID(F29:L29, SEARCH("-", F29:L29) - 4, 4), ""), "00\:00"), 1, 0))*24,""))))/9.5</f>
        <v>0</v>
      </c>
      <c r="O29">
        <v>3</v>
      </c>
      <c r="P29" s="151">
        <f t="shared" si="11"/>
        <v>3</v>
      </c>
      <c r="R29" s="4">
        <f t="shared" ca="1" si="12"/>
        <v>6</v>
      </c>
      <c r="S29" s="2">
        <f>(IFERROR(VLOOKUP(D29,'Employee Numbers'!$A$3:$C$84,3,FALSE),"NOT FOUND"))*8</f>
        <v>6</v>
      </c>
      <c r="U29" s="142">
        <f t="shared" si="13"/>
        <v>0</v>
      </c>
      <c r="V29" s="142">
        <f t="shared" si="14"/>
        <v>0</v>
      </c>
      <c r="W29" s="2">
        <f t="shared" si="15"/>
        <v>0</v>
      </c>
      <c r="Y29" s="2">
        <f t="shared" si="16"/>
        <v>0</v>
      </c>
    </row>
    <row r="30" spans="1:25" s="2" customFormat="1" ht="15" customHeight="1">
      <c r="A30" s="2" t="s">
        <v>39</v>
      </c>
      <c r="B30" s="46"/>
      <c r="C30" s="21"/>
      <c r="D30" s="227" t="s">
        <v>57</v>
      </c>
      <c r="E30" s="226">
        <f>IFERROR(VLOOKUP(D30,'Employee Numbers'!$A$3:$B$84,2,FALSE),"NOT FOUND")</f>
        <v>627680</v>
      </c>
      <c r="F30" s="29" t="s">
        <v>42</v>
      </c>
      <c r="G30" s="31"/>
      <c r="H30" s="31"/>
      <c r="I30" s="31"/>
      <c r="J30" s="31"/>
      <c r="K30" s="31" t="s">
        <v>44</v>
      </c>
      <c r="L30" s="228" t="s">
        <v>44</v>
      </c>
      <c r="N30">
        <f t="array" ref="N30">((SUM(IFERROR((TEXT(IF(ISNUMBER(SEARCH("-", F30:L30)), MID(F30:L30, SEARCH("-", F30:L30) + 1, 4), ""), "00\:00") - TEXT(IF(ISNUMBER(SEARCH("-", F30:L30)), MID(F30:L30, SEARCH("-", F30:L30) - 4, 4), ""), "00\:00") + IF(TEXT(IF(ISNUMBER(SEARCH("-", F30:L30)), MID(F30:L30, SEARCH("-", F30:L30) + 1, 4), ""), "00\:00") &lt; TEXT(IF(ISNUMBER(SEARCH("-", F30:L30)), MID(F30:L30, SEARCH("-", F30:L30) - 4, 4), ""), "00\:00"), 1, 0))*24,""))))/9.5</f>
        <v>3</v>
      </c>
      <c r="O30"/>
      <c r="P30" s="151">
        <f t="shared" si="11"/>
        <v>3</v>
      </c>
      <c r="R30" s="4">
        <f t="shared" ca="1" si="12"/>
        <v>6</v>
      </c>
      <c r="S30" s="2">
        <f>(IFERROR(VLOOKUP(D30,'Employee Numbers'!$A$3:$C$84,3,FALSE),"NOT FOUND"))*8</f>
        <v>6</v>
      </c>
      <c r="U30" s="142">
        <f t="shared" si="13"/>
        <v>1</v>
      </c>
      <c r="V30" s="142">
        <f t="shared" si="14"/>
        <v>1</v>
      </c>
      <c r="W30" s="2">
        <f t="shared" si="15"/>
        <v>0</v>
      </c>
      <c r="Y30" s="2">
        <f t="shared" si="16"/>
        <v>2</v>
      </c>
    </row>
    <row r="31" spans="1:25" s="2" customFormat="1" ht="15" customHeight="1">
      <c r="A31" s="162" t="s">
        <v>39</v>
      </c>
      <c r="B31" s="163"/>
      <c r="C31" s="164"/>
      <c r="D31" s="240" t="s">
        <v>58</v>
      </c>
      <c r="E31" s="165">
        <f>IFERROR(VLOOKUP(D31,'Employee Numbers'!$A$3:$B$84,2,FALSE),"NOT FOUND")</f>
        <v>633210</v>
      </c>
      <c r="F31" s="176"/>
      <c r="G31" s="166"/>
      <c r="H31" s="166" t="s">
        <v>41</v>
      </c>
      <c r="I31" s="166" t="s">
        <v>44</v>
      </c>
      <c r="J31" s="166" t="s">
        <v>42</v>
      </c>
      <c r="K31" s="166"/>
      <c r="L31" s="167"/>
      <c r="N31">
        <f t="array" ref="N31">((SUM(IFERROR((TEXT(IF(ISNUMBER(SEARCH("-", F31:L31)), MID(F31:L31, SEARCH("-", F31:L31) + 1, 4), ""), "00\:00") - TEXT(IF(ISNUMBER(SEARCH("-", F31:L31)), MID(F31:L31, SEARCH("-", F31:L31) - 4, 4), ""), "00\:00") + IF(TEXT(IF(ISNUMBER(SEARCH("-", F31:L31)), MID(F31:L31, SEARCH("-", F31:L31) + 1, 4), ""), "00\:00") &lt; TEXT(IF(ISNUMBER(SEARCH("-", F31:L31)), MID(F31:L31, SEARCH("-", F31:L31) - 4, 4), ""), "00\:00"), 1, 0))*24,""))))/9.5</f>
        <v>3</v>
      </c>
      <c r="O31"/>
      <c r="P31" s="151">
        <f t="shared" si="11"/>
        <v>3</v>
      </c>
      <c r="R31" s="4">
        <f t="shared" ca="1" si="12"/>
        <v>6</v>
      </c>
      <c r="S31" s="2">
        <f>(IFERROR(VLOOKUP(D31,'Employee Numbers'!$A$3:$C$84,3,FALSE),"NOT FOUND"))*8</f>
        <v>6</v>
      </c>
      <c r="U31" s="142">
        <f t="shared" si="13"/>
        <v>1</v>
      </c>
      <c r="V31" s="142">
        <f t="shared" si="14"/>
        <v>1</v>
      </c>
      <c r="W31" s="2">
        <f t="shared" si="15"/>
        <v>1</v>
      </c>
      <c r="Y31" s="2">
        <f t="shared" si="16"/>
        <v>0</v>
      </c>
    </row>
    <row r="32" spans="1:25" s="2" customFormat="1" ht="15" customHeight="1">
      <c r="A32" s="2" t="s">
        <v>39</v>
      </c>
      <c r="B32" s="46"/>
      <c r="C32" s="21"/>
      <c r="D32" s="230" t="s">
        <v>59</v>
      </c>
      <c r="E32" s="226">
        <f>IFERROR(VLOOKUP(D32,'Employee Numbers'!$A$3:$B$84,2,FALSE),"NOT FOUND")</f>
        <v>618952</v>
      </c>
      <c r="F32" s="29" t="s">
        <v>42</v>
      </c>
      <c r="G32" s="31"/>
      <c r="H32" s="31"/>
      <c r="I32" s="31" t="s">
        <v>63</v>
      </c>
      <c r="J32" s="31" t="s">
        <v>44</v>
      </c>
      <c r="K32" s="31"/>
      <c r="L32" s="228"/>
      <c r="N32">
        <f t="array" ref="N32">((SUM(IFERROR((TEXT(IF(ISNUMBER(SEARCH("-", F32:L32)), MID(F32:L32, SEARCH("-", F32:L32) + 1, 4), ""), "00\:00") - TEXT(IF(ISNUMBER(SEARCH("-", F32:L32)), MID(F32:L32, SEARCH("-", F32:L32) - 4, 4), ""), "00\:00") + IF(TEXT(IF(ISNUMBER(SEARCH("-", F32:L32)), MID(F32:L32, SEARCH("-", F32:L32) + 1, 4), ""), "00\:00") &lt; TEXT(IF(ISNUMBER(SEARCH("-", F32:L32)), MID(F32:L32, SEARCH("-", F32:L32) - 4, 4), ""), "00\:00"), 1, 0))*24,""))))/9.5</f>
        <v>3</v>
      </c>
      <c r="O32"/>
      <c r="P32" s="151">
        <f t="shared" si="11"/>
        <v>3</v>
      </c>
      <c r="R32" s="4">
        <f t="shared" ca="1" si="12"/>
        <v>6</v>
      </c>
      <c r="S32" s="2">
        <f>(IFERROR(VLOOKUP(D32,'Employee Numbers'!$A$3:$C$84,3,FALSE),"NOT FOUND"))*8</f>
        <v>6</v>
      </c>
      <c r="U32" s="142">
        <f t="shared" si="13"/>
        <v>1</v>
      </c>
      <c r="V32" s="142">
        <f t="shared" si="14"/>
        <v>1</v>
      </c>
      <c r="W32" s="2">
        <f t="shared" si="15"/>
        <v>1</v>
      </c>
      <c r="Y32" s="2">
        <f t="shared" si="16"/>
        <v>0</v>
      </c>
    </row>
    <row r="33" spans="1:25" s="2" customFormat="1" ht="15" customHeight="1">
      <c r="A33" s="162" t="s">
        <v>39</v>
      </c>
      <c r="B33" s="163"/>
      <c r="C33" s="164"/>
      <c r="D33" s="241" t="s">
        <v>61</v>
      </c>
      <c r="E33" s="165">
        <f>IFERROR(VLOOKUP(D33,'Employee Numbers'!$A$3:$B$84,2,FALSE),"NOT FOUND")</f>
        <v>649039</v>
      </c>
      <c r="F33" s="176"/>
      <c r="G33" s="166"/>
      <c r="H33" s="166" t="s">
        <v>41</v>
      </c>
      <c r="I33" s="166"/>
      <c r="J33" s="166"/>
      <c r="K33" s="166" t="s">
        <v>44</v>
      </c>
      <c r="L33" s="167" t="s">
        <v>54</v>
      </c>
      <c r="N33">
        <f t="array" ref="N33">((SUM(IFERROR((TEXT(IF(ISNUMBER(SEARCH("-", F33:L33)), MID(F33:L33, SEARCH("-", F33:L33) + 1, 4), ""), "00\:00") - TEXT(IF(ISNUMBER(SEARCH("-", F33:L33)), MID(F33:L33, SEARCH("-", F33:L33) - 4, 4), ""), "00\:00") + IF(TEXT(IF(ISNUMBER(SEARCH("-", F33:L33)), MID(F33:L33, SEARCH("-", F33:L33) + 1, 4), ""), "00\:00") &lt; TEXT(IF(ISNUMBER(SEARCH("-", F33:L33)), MID(F33:L33, SEARCH("-", F33:L33) - 4, 4), ""), "00\:00"), 1, 0))*24,""))))/9.5</f>
        <v>3</v>
      </c>
      <c r="O33"/>
      <c r="P33" s="151">
        <f t="shared" si="11"/>
        <v>3</v>
      </c>
      <c r="R33" s="4">
        <f t="shared" ca="1" si="12"/>
        <v>5</v>
      </c>
      <c r="S33" s="2">
        <f>(IFERROR(VLOOKUP(D33,'Employee Numbers'!$A$3:$C$84,3,FALSE),"NOT FOUND"))*8</f>
        <v>5</v>
      </c>
      <c r="U33" s="142">
        <f t="shared" si="13"/>
        <v>1</v>
      </c>
      <c r="V33" s="142">
        <f t="shared" si="14"/>
        <v>1</v>
      </c>
      <c r="W33" s="2">
        <f t="shared" si="15"/>
        <v>1</v>
      </c>
      <c r="Y33" s="2">
        <f t="shared" si="16"/>
        <v>2</v>
      </c>
    </row>
    <row r="34" spans="1:25" s="2" customFormat="1" ht="15" customHeight="1">
      <c r="A34" s="2" t="s">
        <v>39</v>
      </c>
      <c r="B34" s="46"/>
      <c r="C34" s="21"/>
      <c r="D34" s="227" t="s">
        <v>62</v>
      </c>
      <c r="E34" s="226">
        <f>IFERROR(VLOOKUP(D34,'Employee Numbers'!$A$3:$B$84,2,FALSE),"NOT FOUND")</f>
        <v>649671</v>
      </c>
      <c r="F34" s="29" t="s">
        <v>44</v>
      </c>
      <c r="G34" s="31" t="s">
        <v>42</v>
      </c>
      <c r="H34" s="31"/>
      <c r="I34" s="31" t="s">
        <v>41</v>
      </c>
      <c r="J34" s="31"/>
      <c r="K34" s="31"/>
      <c r="L34" s="228"/>
      <c r="N34">
        <f t="array" ref="N34">((SUM(IFERROR((TEXT(IF(ISNUMBER(SEARCH("-", F34:L34)), MID(F34:L34, SEARCH("-", F34:L34) + 1, 4), ""), "00\:00") - TEXT(IF(ISNUMBER(SEARCH("-", F34:L34)), MID(F34:L34, SEARCH("-", F34:L34) - 4, 4), ""), "00\:00") + IF(TEXT(IF(ISNUMBER(SEARCH("-", F34:L34)), MID(F34:L34, SEARCH("-", F34:L34) + 1, 4), ""), "00\:00") &lt; TEXT(IF(ISNUMBER(SEARCH("-", F34:L34)), MID(F34:L34, SEARCH("-", F34:L34) - 4, 4), ""), "00\:00"), 1, 0))*24,""))))/9.5</f>
        <v>3</v>
      </c>
      <c r="O34"/>
      <c r="P34" s="151">
        <f t="shared" si="11"/>
        <v>3</v>
      </c>
      <c r="R34" s="4">
        <f t="shared" ca="1" si="12"/>
        <v>6</v>
      </c>
      <c r="S34" s="2">
        <f>(IFERROR(VLOOKUP(D34,'Employee Numbers'!$A$3:$C$84,3,FALSE),"NOT FOUND"))*8</f>
        <v>6</v>
      </c>
      <c r="U34" s="142">
        <f t="shared" si="13"/>
        <v>1</v>
      </c>
      <c r="V34" s="142">
        <f t="shared" si="14"/>
        <v>1</v>
      </c>
      <c r="W34" s="2">
        <f t="shared" si="15"/>
        <v>1</v>
      </c>
      <c r="Y34" s="2">
        <f t="shared" si="16"/>
        <v>0</v>
      </c>
    </row>
    <row r="35" spans="1:25" s="2" customFormat="1" ht="15" customHeight="1">
      <c r="A35" s="162" t="s">
        <v>39</v>
      </c>
      <c r="B35" s="163"/>
      <c r="C35" s="164"/>
      <c r="D35" s="240" t="s">
        <v>64</v>
      </c>
      <c r="E35" s="165">
        <f>IFERROR(VLOOKUP(D35,'Employee Numbers'!$A$3:$B$84,2,FALSE),"NOT FOUND")</f>
        <v>646047</v>
      </c>
      <c r="F35" s="253" t="s">
        <v>176</v>
      </c>
      <c r="G35" s="254" t="s">
        <v>176</v>
      </c>
      <c r="H35" s="254" t="s">
        <v>176</v>
      </c>
      <c r="I35" s="254" t="s">
        <v>176</v>
      </c>
      <c r="J35" s="254" t="s">
        <v>176</v>
      </c>
      <c r="K35" s="254" t="s">
        <v>176</v>
      </c>
      <c r="L35" s="255" t="s">
        <v>176</v>
      </c>
      <c r="N35">
        <f t="array" ref="N35">((SUM(IFERROR((TEXT(IF(ISNUMBER(SEARCH("-", F35:L35)), MID(F35:L35, SEARCH("-", F35:L35) + 1, 4), ""), "00\:00") - TEXT(IF(ISNUMBER(SEARCH("-", F35:L35)), MID(F35:L35, SEARCH("-", F35:L35) - 4, 4), ""), "00\:00") + IF(TEXT(IF(ISNUMBER(SEARCH("-", F35:L35)), MID(F35:L35, SEARCH("-", F35:L35) + 1, 4), ""), "00\:00") &lt; TEXT(IF(ISNUMBER(SEARCH("-", F35:L35)), MID(F35:L35, SEARCH("-", F35:L35) - 4, 4), ""), "00\:00"), 1, 0))*24,""))))/9.5</f>
        <v>0</v>
      </c>
      <c r="O35">
        <v>3</v>
      </c>
      <c r="P35" s="151">
        <f t="shared" si="11"/>
        <v>3</v>
      </c>
      <c r="R35" s="4">
        <f t="shared" ca="1" si="12"/>
        <v>5</v>
      </c>
      <c r="S35" s="2">
        <f>(IFERROR(VLOOKUP(D35,'Employee Numbers'!$A$3:$C$84,3,FALSE),"NOT FOUND"))*8</f>
        <v>5</v>
      </c>
      <c r="U35" s="142">
        <f t="shared" si="13"/>
        <v>0</v>
      </c>
      <c r="V35" s="142">
        <f t="shared" si="14"/>
        <v>0</v>
      </c>
      <c r="W35" s="2">
        <f t="shared" si="15"/>
        <v>0</v>
      </c>
      <c r="Y35" s="2">
        <f t="shared" si="16"/>
        <v>0</v>
      </c>
    </row>
    <row r="36" spans="1:25" s="2" customFormat="1" ht="15" customHeight="1">
      <c r="A36" s="2" t="s">
        <v>39</v>
      </c>
      <c r="B36" s="46"/>
      <c r="C36" s="21"/>
      <c r="D36" s="229" t="s">
        <v>66</v>
      </c>
      <c r="E36" s="226">
        <f>IFERROR(VLOOKUP(D36,'Employee Numbers'!$A$3:$B$84,2,FALSE),"NOT FOUND")</f>
        <v>164003</v>
      </c>
      <c r="F36" s="29" t="s">
        <v>44</v>
      </c>
      <c r="G36" s="31"/>
      <c r="H36" s="31" t="s">
        <v>42</v>
      </c>
      <c r="I36" s="31"/>
      <c r="J36" s="29" t="s">
        <v>44</v>
      </c>
      <c r="K36" s="31"/>
      <c r="L36" s="228"/>
      <c r="N36">
        <f t="array" ref="N36">((SUM(IFERROR((TEXT(IF(ISNUMBER(SEARCH("-", F36:L36)), MID(F36:L36, SEARCH("-", F36:L36) + 1, 4), ""), "00\:00") - TEXT(IF(ISNUMBER(SEARCH("-", F36:L36)), MID(F36:L36, SEARCH("-", F36:L36) - 4, 4), ""), "00\:00") + IF(TEXT(IF(ISNUMBER(SEARCH("-", F36:L36)), MID(F36:L36, SEARCH("-", F36:L36) + 1, 4), ""), "00\:00") &lt; TEXT(IF(ISNUMBER(SEARCH("-", F36:L36)), MID(F36:L36, SEARCH("-", F36:L36) - 4, 4), ""), "00\:00"), 1, 0))*24,""))))/9.5</f>
        <v>3</v>
      </c>
      <c r="O36"/>
      <c r="P36" s="151">
        <f t="shared" si="11"/>
        <v>3</v>
      </c>
      <c r="R36" s="4">
        <f t="shared" ca="1" si="12"/>
        <v>4</v>
      </c>
      <c r="S36" s="2">
        <f>(IFERROR(VLOOKUP(D36,'Employee Numbers'!$A$3:$C$84,3,FALSE),"NOT FOUND"))*8</f>
        <v>4</v>
      </c>
      <c r="U36" s="142">
        <f t="shared" si="13"/>
        <v>2</v>
      </c>
      <c r="V36" s="142">
        <f t="shared" si="14"/>
        <v>1</v>
      </c>
      <c r="W36" s="2">
        <f t="shared" si="15"/>
        <v>0</v>
      </c>
      <c r="Y36" s="2">
        <f t="shared" si="16"/>
        <v>0</v>
      </c>
    </row>
    <row r="37" spans="1:25" s="2" customFormat="1" ht="15" customHeight="1">
      <c r="A37" s="162" t="s">
        <v>39</v>
      </c>
      <c r="B37" s="163"/>
      <c r="C37" s="164"/>
      <c r="D37" s="240" t="s">
        <v>67</v>
      </c>
      <c r="E37" s="165">
        <f>IFERROR(VLOOKUP(D37,'Employee Numbers'!$A$3:$B$84,2,FALSE),"NOT FOUND")</f>
        <v>609408</v>
      </c>
      <c r="F37" s="253" t="s">
        <v>176</v>
      </c>
      <c r="G37" s="254" t="s">
        <v>176</v>
      </c>
      <c r="H37" s="254" t="s">
        <v>176</v>
      </c>
      <c r="I37" s="254" t="s">
        <v>176</v>
      </c>
      <c r="J37" s="254" t="s">
        <v>176</v>
      </c>
      <c r="K37" s="254" t="s">
        <v>176</v>
      </c>
      <c r="L37" s="255" t="s">
        <v>176</v>
      </c>
      <c r="N37">
        <f t="array" ref="N37">((SUM(IFERROR((TEXT(IF(ISNUMBER(SEARCH("-", F37:L37)), MID(F37:L37, SEARCH("-", F37:L37) + 1, 4), ""), "00\:00") - TEXT(IF(ISNUMBER(SEARCH("-", F37:L37)), MID(F37:L37, SEARCH("-", F37:L37) - 4, 4), ""), "00\:00") + IF(TEXT(IF(ISNUMBER(SEARCH("-", F37:L37)), MID(F37:L37, SEARCH("-", F37:L37) + 1, 4), ""), "00\:00") &lt; TEXT(IF(ISNUMBER(SEARCH("-", F37:L37)), MID(F37:L37, SEARCH("-", F37:L37) - 4, 4), ""), "00\:00"), 1, 0))*24,""))))/9.5</f>
        <v>0</v>
      </c>
      <c r="O37">
        <v>4</v>
      </c>
      <c r="P37" s="151">
        <f t="shared" si="11"/>
        <v>4</v>
      </c>
      <c r="R37" s="4">
        <f t="shared" ca="1" si="12"/>
        <v>4</v>
      </c>
      <c r="S37" s="2">
        <f>(IFERROR(VLOOKUP(D37,'Employee Numbers'!$A$3:$C$84,3,FALSE),"NOT FOUND"))*8</f>
        <v>4</v>
      </c>
      <c r="U37" s="142">
        <f t="shared" si="13"/>
        <v>0</v>
      </c>
      <c r="V37" s="142">
        <f t="shared" si="14"/>
        <v>0</v>
      </c>
      <c r="W37" s="2">
        <f t="shared" si="15"/>
        <v>0</v>
      </c>
      <c r="Y37" s="2">
        <f t="shared" si="16"/>
        <v>0</v>
      </c>
    </row>
    <row r="38" spans="1:25" s="2" customFormat="1" ht="15" customHeight="1">
      <c r="A38" s="2" t="s">
        <v>39</v>
      </c>
      <c r="B38" s="46"/>
      <c r="C38" s="21"/>
      <c r="D38" s="227" t="s">
        <v>68</v>
      </c>
      <c r="E38" s="226">
        <f>IFERROR(VLOOKUP(D38,'Employee Numbers'!$A$3:$B$84,2,FALSE),"NOT FOUND")</f>
        <v>627619</v>
      </c>
      <c r="F38" s="29"/>
      <c r="G38" s="31" t="s">
        <v>44</v>
      </c>
      <c r="H38" s="31" t="s">
        <v>42</v>
      </c>
      <c r="I38" s="31"/>
      <c r="J38" s="31"/>
      <c r="K38" s="31"/>
      <c r="L38" s="228"/>
      <c r="N38">
        <f t="array" ref="N38">((SUM(IFERROR((TEXT(IF(ISNUMBER(SEARCH("-", F38:L38)), MID(F38:L38, SEARCH("-", F38:L38) + 1, 4), ""), "00\:00") - TEXT(IF(ISNUMBER(SEARCH("-", F38:L38)), MID(F38:L38, SEARCH("-", F38:L38) - 4, 4), ""), "00\:00") + IF(TEXT(IF(ISNUMBER(SEARCH("-", F38:L38)), MID(F38:L38, SEARCH("-", F38:L38) + 1, 4), ""), "00\:00") &lt; TEXT(IF(ISNUMBER(SEARCH("-", F38:L38)), MID(F38:L38, SEARCH("-", F38:L38) - 4, 4), ""), "00\:00"), 1, 0))*24,""))))/9.5</f>
        <v>2</v>
      </c>
      <c r="O38"/>
      <c r="P38" s="151">
        <f t="shared" si="11"/>
        <v>2</v>
      </c>
      <c r="R38" s="4">
        <f t="shared" ca="1" si="12"/>
        <v>4</v>
      </c>
      <c r="S38" s="2">
        <f>(IFERROR(VLOOKUP(D38,'Employee Numbers'!$A$3:$C$84,3,FALSE),"NOT FOUND"))*8</f>
        <v>4</v>
      </c>
      <c r="U38" s="142">
        <f t="shared" si="13"/>
        <v>1</v>
      </c>
      <c r="V38" s="142">
        <f t="shared" si="14"/>
        <v>1</v>
      </c>
      <c r="W38" s="2">
        <f t="shared" si="15"/>
        <v>0</v>
      </c>
      <c r="Y38" s="2">
        <f t="shared" si="16"/>
        <v>0</v>
      </c>
    </row>
    <row r="39" spans="1:25" s="2" customFormat="1" ht="15" customHeight="1">
      <c r="A39" s="162" t="s">
        <v>39</v>
      </c>
      <c r="B39" s="163"/>
      <c r="C39" s="164"/>
      <c r="D39" s="240" t="s">
        <v>71</v>
      </c>
      <c r="E39" s="165">
        <f>IFERROR(VLOOKUP(D39,'Employee Numbers'!$A$3:$B$84,2,FALSE),"NOT FOUND")</f>
        <v>632646</v>
      </c>
      <c r="F39" s="253" t="s">
        <v>69</v>
      </c>
      <c r="G39" s="254" t="s">
        <v>69</v>
      </c>
      <c r="H39" s="254" t="s">
        <v>69</v>
      </c>
      <c r="I39" s="254" t="s">
        <v>69</v>
      </c>
      <c r="J39" s="254" t="s">
        <v>69</v>
      </c>
      <c r="K39" s="254" t="s">
        <v>69</v>
      </c>
      <c r="L39" s="255" t="s">
        <v>69</v>
      </c>
      <c r="N39">
        <f t="array" ref="N39">((SUM(IFERROR((TEXT(IF(ISNUMBER(SEARCH("-", F39:L39)), MID(F39:L39, SEARCH("-", F39:L39) + 1, 4), ""), "00\:00") - TEXT(IF(ISNUMBER(SEARCH("-", F39:L39)), MID(F39:L39, SEARCH("-", F39:L39) - 4, 4), ""), "00\:00") + IF(TEXT(IF(ISNUMBER(SEARCH("-", F39:L39)), MID(F39:L39, SEARCH("-", F39:L39) + 1, 4), ""), "00\:00") &lt; TEXT(IF(ISNUMBER(SEARCH("-", F39:L39)), MID(F39:L39, SEARCH("-", F39:L39) - 4, 4), ""), "00\:00"), 1, 0))*24,""))))/9.5</f>
        <v>0</v>
      </c>
      <c r="O39">
        <v>4</v>
      </c>
      <c r="P39" s="151">
        <f t="shared" si="11"/>
        <v>4</v>
      </c>
      <c r="R39" s="4">
        <f t="shared" ca="1" si="12"/>
        <v>4</v>
      </c>
      <c r="S39" s="2">
        <f>(IFERROR(VLOOKUP(D39,'Employee Numbers'!$A$3:$C$84,3,FALSE),"NOT FOUND"))*8</f>
        <v>4</v>
      </c>
      <c r="U39" s="142">
        <f t="shared" si="13"/>
        <v>0</v>
      </c>
      <c r="V39" s="142">
        <f t="shared" si="14"/>
        <v>0</v>
      </c>
      <c r="W39" s="2">
        <f t="shared" si="15"/>
        <v>0</v>
      </c>
      <c r="Y39" s="2">
        <f t="shared" si="16"/>
        <v>0</v>
      </c>
    </row>
    <row r="40" spans="1:25" s="2" customFormat="1" ht="15" customHeight="1">
      <c r="A40" s="2" t="s">
        <v>39</v>
      </c>
      <c r="B40" s="46"/>
      <c r="C40" s="21"/>
      <c r="D40" s="229" t="s">
        <v>72</v>
      </c>
      <c r="E40" s="226">
        <f>IFERROR(VLOOKUP(D40,'Employee Numbers'!$A$3:$B$84,2,FALSE),"NOT FOUND")</f>
        <v>652844</v>
      </c>
      <c r="F40" s="29"/>
      <c r="G40" s="31"/>
      <c r="H40" s="31"/>
      <c r="I40" s="31"/>
      <c r="J40" s="31"/>
      <c r="K40" s="31"/>
      <c r="L40" s="228"/>
      <c r="N40">
        <f t="array" ref="N40">((SUM(IFERROR((TEXT(IF(ISNUMBER(SEARCH("-", F40:L40)), MID(F40:L40, SEARCH("-", F40:L40) + 1, 4), ""), "00\:00") - TEXT(IF(ISNUMBER(SEARCH("-", F40:L40)), MID(F40:L40, SEARCH("-", F40:L40) - 4, 4), ""), "00\:00") + IF(TEXT(IF(ISNUMBER(SEARCH("-", F40:L40)), MID(F40:L40, SEARCH("-", F40:L40) + 1, 4), ""), "00\:00") &lt; TEXT(IF(ISNUMBER(SEARCH("-", F40:L40)), MID(F40:L40, SEARCH("-", F40:L40) - 4, 4), ""), "00\:00"), 1, 0))*24,""))))/9.5</f>
        <v>0</v>
      </c>
      <c r="O40"/>
      <c r="P40" s="151">
        <f t="shared" si="11"/>
        <v>0</v>
      </c>
      <c r="R40" s="4">
        <f t="shared" ca="1" si="12"/>
        <v>4</v>
      </c>
      <c r="S40" s="2">
        <f>(IFERROR(VLOOKUP(D40,'Employee Numbers'!$A$3:$C$84,3,FALSE),"NOT FOUND"))*8</f>
        <v>4</v>
      </c>
      <c r="U40" s="142">
        <f t="shared" si="13"/>
        <v>0</v>
      </c>
      <c r="V40" s="142">
        <f t="shared" si="14"/>
        <v>0</v>
      </c>
      <c r="W40" s="2">
        <f t="shared" si="15"/>
        <v>0</v>
      </c>
      <c r="Y40" s="2">
        <f t="shared" si="16"/>
        <v>0</v>
      </c>
    </row>
    <row r="41" spans="1:25" s="2" customFormat="1" ht="15" customHeight="1">
      <c r="A41" s="162" t="s">
        <v>39</v>
      </c>
      <c r="B41" s="163"/>
      <c r="C41" s="164"/>
      <c r="D41" s="241" t="s">
        <v>73</v>
      </c>
      <c r="E41" s="165">
        <f>IFERROR(VLOOKUP(D41,'Employee Numbers'!$A$3:$B$84,2,FALSE),"NOT FOUND")</f>
        <v>634491</v>
      </c>
      <c r="F41" s="176"/>
      <c r="G41" s="166"/>
      <c r="H41" s="166"/>
      <c r="I41" s="166"/>
      <c r="J41" s="166"/>
      <c r="K41" s="166"/>
      <c r="L41" s="167"/>
      <c r="N41">
        <f t="array" ref="N41">((SUM(IFERROR((TEXT(IF(ISNUMBER(SEARCH("-", F41:L41)), MID(F41:L41, SEARCH("-", F41:L41) + 1, 4), ""), "00\:00") - TEXT(IF(ISNUMBER(SEARCH("-", F41:L41)), MID(F41:L41, SEARCH("-", F41:L41) - 4, 4), ""), "00\:00") + IF(TEXT(IF(ISNUMBER(SEARCH("-", F41:L41)), MID(F41:L41, SEARCH("-", F41:L41) + 1, 4), ""), "00\:00") &lt; TEXT(IF(ISNUMBER(SEARCH("-", F41:L41)), MID(F41:L41, SEARCH("-", F41:L41) - 4, 4), ""), "00\:00"), 1, 0))*24,""))))/9.5</f>
        <v>0</v>
      </c>
      <c r="O41"/>
      <c r="P41" s="151">
        <f t="shared" si="11"/>
        <v>0</v>
      </c>
      <c r="R41" s="4">
        <f t="shared" ca="1" si="12"/>
        <v>4</v>
      </c>
      <c r="S41" s="2">
        <f>(IFERROR(VLOOKUP(D41,'Employee Numbers'!$A$3:$C$84,3,FALSE),"NOT FOUND"))*8</f>
        <v>4</v>
      </c>
      <c r="U41" s="142">
        <f t="shared" si="13"/>
        <v>0</v>
      </c>
      <c r="V41" s="142">
        <f t="shared" si="14"/>
        <v>0</v>
      </c>
      <c r="W41" s="2">
        <f t="shared" si="15"/>
        <v>0</v>
      </c>
      <c r="Y41" s="2">
        <f t="shared" si="16"/>
        <v>0</v>
      </c>
    </row>
    <row r="42" spans="1:25" s="2" customFormat="1" ht="15" customHeight="1">
      <c r="A42" s="2" t="s">
        <v>39</v>
      </c>
      <c r="B42" s="46"/>
      <c r="C42" s="47"/>
      <c r="D42" s="227" t="s">
        <v>74</v>
      </c>
      <c r="E42" s="226">
        <f>IFERROR(VLOOKUP(D42,'Employee Numbers'!$A$3:$B$84,2,FALSE),"NOT FOUND")</f>
        <v>621988</v>
      </c>
      <c r="F42" s="31"/>
      <c r="G42" s="31"/>
      <c r="H42" s="31"/>
      <c r="I42" s="31"/>
      <c r="J42" s="136"/>
      <c r="K42" s="31"/>
      <c r="L42" s="228"/>
      <c r="N42">
        <f t="array" ref="N42">((SUM(IFERROR((TEXT(IF(ISNUMBER(SEARCH("-", F42:L42)), MID(F42:L42, SEARCH("-", F42:L42) + 1, 4), ""), "00\:00") - TEXT(IF(ISNUMBER(SEARCH("-", F42:L42)), MID(F42:L42, SEARCH("-", F42:L42) - 4, 4), ""), "00\:00") + IF(TEXT(IF(ISNUMBER(SEARCH("-", F42:L42)), MID(F42:L42, SEARCH("-", F42:L42) + 1, 4), ""), "00\:00") &lt; TEXT(IF(ISNUMBER(SEARCH("-", F42:L42)), MID(F42:L42, SEARCH("-", F42:L42) - 4, 4), ""), "00\:00"), 1, 0))*24,""))))/9.5</f>
        <v>0</v>
      </c>
      <c r="O42"/>
      <c r="P42" s="151">
        <f t="shared" si="11"/>
        <v>0</v>
      </c>
      <c r="R42" s="4">
        <f t="shared" ca="1" si="12"/>
        <v>4</v>
      </c>
      <c r="S42" s="2">
        <f>(IFERROR(VLOOKUP(D42,'Employee Numbers'!$A$3:$C$84,3,FALSE),"NOT FOUND"))*8</f>
        <v>4</v>
      </c>
      <c r="U42" s="142">
        <f t="shared" si="13"/>
        <v>0</v>
      </c>
      <c r="V42" s="142">
        <f t="shared" si="14"/>
        <v>0</v>
      </c>
      <c r="W42" s="2">
        <f t="shared" si="15"/>
        <v>0</v>
      </c>
      <c r="Y42" s="2">
        <f t="shared" si="16"/>
        <v>0</v>
      </c>
    </row>
    <row r="43" spans="1:25" s="2" customFormat="1" ht="15" customHeight="1">
      <c r="A43" s="162" t="s">
        <v>39</v>
      </c>
      <c r="B43" s="163"/>
      <c r="C43" s="238"/>
      <c r="D43" s="239" t="s">
        <v>76</v>
      </c>
      <c r="E43" s="165">
        <f>IFERROR(VLOOKUP(D43,'Employee Numbers'!$A$3:$B$84,2,FALSE),"NOT FOUND")</f>
        <v>409677</v>
      </c>
      <c r="F43" s="176" t="s">
        <v>44</v>
      </c>
      <c r="G43" s="166"/>
      <c r="H43" s="166"/>
      <c r="I43" s="166"/>
      <c r="J43" s="166"/>
      <c r="K43" s="166"/>
      <c r="L43" s="167"/>
      <c r="N43">
        <f t="array" ref="N43">((SUM(IFERROR((TEXT(IF(ISNUMBER(SEARCH("-", F43:L43)), MID(F43:L43, SEARCH("-", F43:L43) + 1, 4), ""), "00\:00") - TEXT(IF(ISNUMBER(SEARCH("-", F43:L43)), MID(F43:L43, SEARCH("-", F43:L43) - 4, 4), ""), "00\:00") + IF(TEXT(IF(ISNUMBER(SEARCH("-", F43:L43)), MID(F43:L43, SEARCH("-", F43:L43) + 1, 4), ""), "00\:00") &lt; TEXT(IF(ISNUMBER(SEARCH("-", F43:L43)), MID(F43:L43, SEARCH("-", F43:L43) - 4, 4), ""), "00\:00"), 1, 0))*24,""))))/9.5</f>
        <v>1</v>
      </c>
      <c r="O43"/>
      <c r="P43" s="151">
        <f t="shared" si="11"/>
        <v>1</v>
      </c>
      <c r="R43" s="4">
        <f t="shared" ca="1" si="12"/>
        <v>3</v>
      </c>
      <c r="S43" s="2">
        <f>(IFERROR(VLOOKUP(D43,'Employee Numbers'!$A$3:$C$84,3,FALSE),"NOT FOUND"))*8</f>
        <v>3</v>
      </c>
      <c r="U43" s="142">
        <f t="shared" si="13"/>
        <v>1</v>
      </c>
      <c r="V43" s="142">
        <f t="shared" si="14"/>
        <v>0</v>
      </c>
      <c r="W43" s="2">
        <f t="shared" si="15"/>
        <v>0</v>
      </c>
      <c r="Y43" s="2">
        <f t="shared" si="16"/>
        <v>0</v>
      </c>
    </row>
    <row r="44" spans="1:25" s="2" customFormat="1" ht="15" customHeight="1">
      <c r="A44" s="2" t="s">
        <v>39</v>
      </c>
      <c r="B44" s="46"/>
      <c r="C44" s="47"/>
      <c r="D44" s="249" t="s">
        <v>77</v>
      </c>
      <c r="E44" s="226">
        <f>IFERROR(VLOOKUP(D44,'Employee Numbers'!$A$3:$B$84,2,FALSE),"NOT FOUND")</f>
        <v>632590</v>
      </c>
      <c r="F44" s="29" t="s">
        <v>42</v>
      </c>
      <c r="G44" s="31" t="s">
        <v>63</v>
      </c>
      <c r="H44" s="31" t="s">
        <v>44</v>
      </c>
      <c r="I44" s="31" t="s">
        <v>42</v>
      </c>
      <c r="J44" s="31"/>
      <c r="K44" s="31"/>
      <c r="L44" s="228"/>
      <c r="N44">
        <f t="array" ref="N44">((SUM(IFERROR((TEXT(IF(ISNUMBER(SEARCH("-", F44:L44)), MID(F44:L44, SEARCH("-", F44:L44) + 1, 4), ""), "00\:00") - TEXT(IF(ISNUMBER(SEARCH("-", F44:L44)), MID(F44:L44, SEARCH("-", F44:L44) - 4, 4), ""), "00\:00") + IF(TEXT(IF(ISNUMBER(SEARCH("-", F44:L44)), MID(F44:L44, SEARCH("-", F44:L44) + 1, 4), ""), "00\:00") &lt; TEXT(IF(ISNUMBER(SEARCH("-", F44:L44)), MID(F44:L44, SEARCH("-", F44:L44) - 4, 4), ""), "00\:00"), 1, 0))*24,""))))/9.5</f>
        <v>4</v>
      </c>
      <c r="O44"/>
      <c r="P44" s="151">
        <f t="shared" si="11"/>
        <v>4</v>
      </c>
      <c r="R44" s="4">
        <f t="shared" ca="1" si="12"/>
        <v>4</v>
      </c>
      <c r="S44" s="2">
        <f>(IFERROR(VLOOKUP(D44,'Employee Numbers'!$A$3:$C$84,3,FALSE),"NOT FOUND"))*8</f>
        <v>4</v>
      </c>
      <c r="U44" s="142">
        <f t="shared" si="13"/>
        <v>1</v>
      </c>
      <c r="V44" s="142">
        <f t="shared" si="14"/>
        <v>2</v>
      </c>
      <c r="W44" s="2">
        <f t="shared" si="15"/>
        <v>1</v>
      </c>
      <c r="Y44" s="2">
        <f t="shared" si="16"/>
        <v>0</v>
      </c>
    </row>
    <row r="45" spans="1:25" s="2" customFormat="1" ht="15" customHeight="1">
      <c r="A45" s="162" t="s">
        <v>39</v>
      </c>
      <c r="B45" s="163"/>
      <c r="C45" s="238"/>
      <c r="D45" s="240" t="s">
        <v>78</v>
      </c>
      <c r="E45" s="165">
        <f>IFERROR(VLOOKUP(D45,'Employee Numbers'!$A$3:$B$84,2,FALSE),"NOT FOUND")</f>
        <v>619537</v>
      </c>
      <c r="F45" s="253" t="s">
        <v>176</v>
      </c>
      <c r="G45" s="254" t="s">
        <v>176</v>
      </c>
      <c r="H45" s="254" t="s">
        <v>176</v>
      </c>
      <c r="I45" s="254" t="s">
        <v>176</v>
      </c>
      <c r="J45" s="254" t="s">
        <v>176</v>
      </c>
      <c r="K45" s="254" t="s">
        <v>176</v>
      </c>
      <c r="L45" s="255" t="s">
        <v>176</v>
      </c>
      <c r="N45">
        <f t="array" ref="N45">((SUM(IFERROR((TEXT(IF(ISNUMBER(SEARCH("-", F45:L45)), MID(F45:L45, SEARCH("-", F45:L45) + 1, 4), ""), "00\:00") - TEXT(IF(ISNUMBER(SEARCH("-", F45:L45)), MID(F45:L45, SEARCH("-", F45:L45) - 4, 4), ""), "00\:00") + IF(TEXT(IF(ISNUMBER(SEARCH("-", F45:L45)), MID(F45:L45, SEARCH("-", F45:L45) + 1, 4), ""), "00\:00") &lt; TEXT(IF(ISNUMBER(SEARCH("-", F45:L45)), MID(F45:L45, SEARCH("-", F45:L45) - 4, 4), ""), "00\:00"), 1, 0))*24,""))))/9.5</f>
        <v>0</v>
      </c>
      <c r="O45">
        <v>1</v>
      </c>
      <c r="P45" s="151">
        <f t="shared" si="11"/>
        <v>1</v>
      </c>
      <c r="R45" s="4">
        <f t="shared" ca="1" si="12"/>
        <v>1</v>
      </c>
      <c r="S45" s="2">
        <f>(IFERROR(VLOOKUP(D45,'Employee Numbers'!$A$3:$C$84,3,FALSE),"NOT FOUND"))*8</f>
        <v>1</v>
      </c>
      <c r="U45" s="142">
        <f t="shared" si="13"/>
        <v>0</v>
      </c>
      <c r="V45" s="142">
        <f t="shared" si="14"/>
        <v>0</v>
      </c>
      <c r="W45" s="2">
        <f t="shared" si="15"/>
        <v>0</v>
      </c>
      <c r="Y45" s="2">
        <f t="shared" si="16"/>
        <v>0</v>
      </c>
    </row>
    <row r="46" spans="1:25" s="2" customFormat="1" ht="15" customHeight="1">
      <c r="A46" s="2" t="s">
        <v>39</v>
      </c>
      <c r="B46" s="46"/>
      <c r="C46" s="47"/>
      <c r="D46" s="229" t="s">
        <v>79</v>
      </c>
      <c r="E46" s="226">
        <f>IFERROR(VLOOKUP(D46,'Employee Numbers'!$A$3:$B$84,2,FALSE),"NOT FOUND")</f>
        <v>621953</v>
      </c>
      <c r="F46" s="231"/>
      <c r="G46" s="136"/>
      <c r="H46" s="136"/>
      <c r="I46" s="136"/>
      <c r="J46" s="136"/>
      <c r="K46" s="136"/>
      <c r="L46" s="232" t="s">
        <v>44</v>
      </c>
      <c r="N46">
        <f t="array" ref="N46">((SUM(IFERROR((TEXT(IF(ISNUMBER(SEARCH("-", F46:L46)), MID(F46:L46, SEARCH("-", F46:L46) + 1, 4), ""), "00\:00") - TEXT(IF(ISNUMBER(SEARCH("-", F46:L46)), MID(F46:L46, SEARCH("-", F46:L46) - 4, 4), ""), "00\:00") + IF(TEXT(IF(ISNUMBER(SEARCH("-", F46:L46)), MID(F46:L46, SEARCH("-", F46:L46) + 1, 4), ""), "00\:00") &lt; TEXT(IF(ISNUMBER(SEARCH("-", F46:L46)), MID(F46:L46, SEARCH("-", F46:L46) - 4, 4), ""), "00\:00"), 1, 0))*24,""))))/9.5</f>
        <v>1</v>
      </c>
      <c r="O46"/>
      <c r="P46" s="151">
        <f t="shared" si="11"/>
        <v>1</v>
      </c>
      <c r="R46" s="4">
        <f t="shared" ca="1" si="12"/>
        <v>1</v>
      </c>
      <c r="S46" s="2">
        <f>(IFERROR(VLOOKUP(D46,'Employee Numbers'!$A$3:$C$84,3,FALSE),"NOT FOUND"))*8</f>
        <v>1</v>
      </c>
      <c r="U46" s="142">
        <f t="shared" si="13"/>
        <v>0</v>
      </c>
      <c r="V46" s="142">
        <f t="shared" si="14"/>
        <v>0</v>
      </c>
      <c r="W46" s="2">
        <f t="shared" si="15"/>
        <v>0</v>
      </c>
      <c r="Y46" s="2">
        <f t="shared" si="16"/>
        <v>1</v>
      </c>
    </row>
    <row r="47" spans="1:25" s="2" customFormat="1" ht="15" customHeight="1">
      <c r="A47" s="162" t="s">
        <v>39</v>
      </c>
      <c r="B47" s="163"/>
      <c r="C47" s="164"/>
      <c r="D47" s="242" t="s">
        <v>80</v>
      </c>
      <c r="E47" s="165">
        <f>IFERROR(VLOOKUP(D47,'Employee Numbers'!$A$3:$B$84,2,FALSE),"NOT FOUND")</f>
        <v>614504</v>
      </c>
      <c r="F47" s="176"/>
      <c r="G47" s="166" t="s">
        <v>42</v>
      </c>
      <c r="H47" s="166"/>
      <c r="I47" s="166"/>
      <c r="J47" s="166"/>
      <c r="K47" s="166"/>
      <c r="L47" s="167"/>
      <c r="N47">
        <f t="array" ref="N47">((SUM(IFERROR((TEXT(IF(ISNUMBER(SEARCH("-", F47:L47)), MID(F47:L47, SEARCH("-", F47:L47) + 1, 4), ""), "00\:00") - TEXT(IF(ISNUMBER(SEARCH("-", F47:L47)), MID(F47:L47, SEARCH("-", F47:L47) - 4, 4), ""), "00\:00") + IF(TEXT(IF(ISNUMBER(SEARCH("-", F47:L47)), MID(F47:L47, SEARCH("-", F47:L47) + 1, 4), ""), "00\:00") &lt; TEXT(IF(ISNUMBER(SEARCH("-", F47:L47)), MID(F47:L47, SEARCH("-", F47:L47) - 4, 4), ""), "00\:00"), 1, 0))*24,""))))/9.5</f>
        <v>1</v>
      </c>
      <c r="O47"/>
      <c r="P47" s="178">
        <f t="shared" si="11"/>
        <v>1</v>
      </c>
      <c r="R47" s="3">
        <f t="shared" ca="1" si="12"/>
        <v>1</v>
      </c>
      <c r="S47" s="2">
        <f>(IFERROR(VLOOKUP(D47,'Employee Numbers'!$A$3:$C$84,3,FALSE),"NOT FOUND"))*8</f>
        <v>1</v>
      </c>
      <c r="U47" s="142">
        <f t="shared" si="13"/>
        <v>0</v>
      </c>
      <c r="V47" s="142">
        <f t="shared" si="14"/>
        <v>1</v>
      </c>
      <c r="W47" s="2">
        <f t="shared" si="15"/>
        <v>0</v>
      </c>
      <c r="Y47" s="2">
        <f t="shared" si="16"/>
        <v>0</v>
      </c>
    </row>
    <row r="48" spans="1:25" s="2" customFormat="1" ht="15" customHeight="1">
      <c r="A48" s="2" t="s">
        <v>39</v>
      </c>
      <c r="B48" s="46"/>
      <c r="C48" s="21"/>
      <c r="D48" s="230" t="s">
        <v>81</v>
      </c>
      <c r="E48" s="226" t="str">
        <f>IFERROR(VLOOKUP(D48,'Employee Numbers'!$A$3:$B$84,2,FALSE),"NOT FOUND")</f>
        <v>N/A</v>
      </c>
      <c r="F48" s="29"/>
      <c r="G48" s="31"/>
      <c r="H48" s="31"/>
      <c r="I48" s="136"/>
      <c r="J48" s="31"/>
      <c r="K48" s="136"/>
      <c r="L48" s="228"/>
    </row>
    <row r="49" spans="1:21" s="2" customFormat="1" ht="15" customHeight="1" thickBot="1">
      <c r="A49" s="162" t="s">
        <v>39</v>
      </c>
      <c r="B49" s="163"/>
      <c r="C49" s="238"/>
      <c r="D49" s="243" t="s">
        <v>81</v>
      </c>
      <c r="E49" s="248" t="str">
        <f>IFERROR(VLOOKUP(D49,'Employee Numbers'!$A$3:$B$84,2,FALSE),"NOT FOUND")</f>
        <v>N/A</v>
      </c>
      <c r="F49" s="245"/>
      <c r="G49" s="246"/>
      <c r="H49" s="246"/>
      <c r="I49" s="246"/>
      <c r="J49" s="246"/>
      <c r="K49" s="246"/>
      <c r="L49" s="247"/>
    </row>
    <row r="50" spans="1:21" s="2" customFormat="1" ht="15" customHeight="1" thickBot="1">
      <c r="B50" s="46"/>
      <c r="C50" s="21"/>
      <c r="D50" s="16" t="s">
        <v>82</v>
      </c>
      <c r="E50" s="58"/>
      <c r="F50" s="28" t="s">
        <v>62</v>
      </c>
      <c r="G50" s="59" t="s">
        <v>45</v>
      </c>
      <c r="H50" s="59" t="s">
        <v>43</v>
      </c>
      <c r="I50" s="59" t="s">
        <v>53</v>
      </c>
      <c r="J50" s="59" t="s">
        <v>59</v>
      </c>
      <c r="K50" s="59" t="s">
        <v>61</v>
      </c>
      <c r="L50" s="60" t="s">
        <v>57</v>
      </c>
    </row>
    <row r="51" spans="1:21" s="2" customFormat="1" ht="15" customHeight="1">
      <c r="B51" s="46"/>
      <c r="C51" s="21"/>
      <c r="E51" s="21"/>
      <c r="R51" s="2">
        <f>(N54+P54)*9.5/38*5</f>
        <v>3.75</v>
      </c>
    </row>
    <row r="52" spans="1:21" s="2" customFormat="1" ht="15.75" customHeight="1">
      <c r="B52" s="46"/>
      <c r="C52" s="21"/>
      <c r="E52" s="21"/>
      <c r="F52" s="126">
        <f t="shared" ref="F52:L52" si="17">F2</f>
        <v>46216</v>
      </c>
      <c r="G52" s="126">
        <f t="shared" si="17"/>
        <v>46217</v>
      </c>
      <c r="H52" s="126">
        <f t="shared" si="17"/>
        <v>46218</v>
      </c>
      <c r="I52" s="126">
        <f t="shared" si="17"/>
        <v>46219</v>
      </c>
      <c r="J52" s="126">
        <f t="shared" si="17"/>
        <v>46220</v>
      </c>
      <c r="K52" s="126">
        <f t="shared" si="17"/>
        <v>46221</v>
      </c>
      <c r="L52" s="126">
        <f t="shared" si="17"/>
        <v>46222</v>
      </c>
      <c r="M52" s="34"/>
      <c r="N52" s="152" t="s">
        <v>27</v>
      </c>
      <c r="O52" s="152" t="s">
        <v>83</v>
      </c>
      <c r="P52" s="152" t="s">
        <v>84</v>
      </c>
      <c r="Q52" s="2" t="s">
        <v>29</v>
      </c>
      <c r="R52" s="152" t="s">
        <v>85</v>
      </c>
      <c r="S52" s="152" t="s">
        <v>30</v>
      </c>
      <c r="T52" s="152" t="s">
        <v>31</v>
      </c>
      <c r="U52" s="152"/>
    </row>
    <row r="53" spans="1:21" s="2" customFormat="1" ht="30" customHeight="1">
      <c r="A53" s="168" t="s">
        <v>86</v>
      </c>
      <c r="B53" s="169"/>
      <c r="C53" s="169"/>
      <c r="D53" s="169" t="s">
        <v>86</v>
      </c>
      <c r="E53" s="127" t="s">
        <v>4</v>
      </c>
      <c r="F53" s="266" t="s">
        <v>5</v>
      </c>
      <c r="G53" s="267" t="s">
        <v>6</v>
      </c>
      <c r="H53" s="268" t="s">
        <v>87</v>
      </c>
      <c r="I53" s="267" t="s">
        <v>8</v>
      </c>
      <c r="J53" s="267" t="s">
        <v>9</v>
      </c>
      <c r="K53" s="267" t="s">
        <v>10</v>
      </c>
      <c r="L53" s="269" t="s">
        <v>11</v>
      </c>
      <c r="M53" s="34"/>
      <c r="N53" s="147" t="s">
        <v>32</v>
      </c>
      <c r="O53" s="147" t="s">
        <v>88</v>
      </c>
      <c r="P53" s="147" t="s">
        <v>89</v>
      </c>
      <c r="R53" s="145" t="s">
        <v>90</v>
      </c>
      <c r="S53" s="147" t="s">
        <v>32</v>
      </c>
      <c r="T53" s="147" t="s">
        <v>32</v>
      </c>
      <c r="U53" s="147"/>
    </row>
    <row r="54" spans="1:21" s="2" customFormat="1" ht="15" customHeight="1">
      <c r="A54" s="44" t="s">
        <v>91</v>
      </c>
      <c r="B54" s="44"/>
      <c r="C54" s="45"/>
      <c r="D54" s="123" t="s">
        <v>92</v>
      </c>
      <c r="E54" s="284">
        <f>IFERROR(VLOOKUP(D54,'Employee Numbers'!$A$3:$B$84,2,FALSE),"NOT FOUND")</f>
        <v>634905</v>
      </c>
      <c r="F54" s="264" t="s">
        <v>42</v>
      </c>
      <c r="G54" s="264"/>
      <c r="H54" s="264" t="s">
        <v>44</v>
      </c>
      <c r="I54" s="264" t="s">
        <v>42</v>
      </c>
      <c r="J54" s="275"/>
      <c r="K54" s="264"/>
      <c r="L54" s="264"/>
      <c r="N54">
        <f t="array" ref="N54">((SUM(IFERROR((TEXT(IF(ISNUMBER(SEARCH("-", F54:L54)), MID(F54:L54, SEARCH("-", F54:L54) + 1, 4), ""), "00\:00") - TEXT(IF(ISNUMBER(SEARCH("-", F54:L54)), MID(F54:L54, SEARCH("-", F54:L54) - 4, 4), ""), "00\:00") + IF(TEXT(IF(ISNUMBER(SEARCH("-", F54:L54)), MID(F54:L54, SEARCH("-", F54:L54) + 1, 4), ""), "00\:00") &lt; TEXT(IF(ISNUMBER(SEARCH("-", F54:L54)), MID(F54:L54, SEARCH("-", F54:L54) - 4, 4), ""), "00\:00"), 1, 0))*24,""))))/9.5</f>
        <v>3</v>
      </c>
      <c r="O54"/>
      <c r="P54"/>
      <c r="Q54" s="2">
        <f>P54+O54+N54</f>
        <v>3</v>
      </c>
      <c r="R54" s="2">
        <f>IF(ISNUMBER(SEARCH("trg_5",H146)),5,IF(ISNUMBER(SEARCH("trg_3.75",H146)),3.75,IF(ISNUMBER(SEARCH("trg_2.5",H146)),2.5,IF(ISNUMBER(SEARCH("trg_1.75",H146)),1.75,0))))</f>
        <v>3.75</v>
      </c>
      <c r="S54">
        <f ca="1">IF($C$4=1,SUM(Q54+INDIRECT("'Week "&amp;($B$3+1)&amp;"'!Q"&amp;(ROW()))),IF($C$4=2,SUM(Q54+INDIRECT("'Week "&amp;($B$3-1)&amp;"'!Q"&amp;(ROW())))))</f>
        <v>6</v>
      </c>
      <c r="T54" s="2">
        <f>(IFERROR(VLOOKUP(D54,'Employee Numbers'!$A$3:$C$84,3,FALSE),"NOT FOUND"))*8</f>
        <v>8</v>
      </c>
    </row>
    <row r="55" spans="1:21" s="13" customFormat="1" ht="15" customHeight="1">
      <c r="A55" s="2" t="s">
        <v>91</v>
      </c>
      <c r="B55" s="2"/>
      <c r="C55" s="21"/>
      <c r="D55" s="86" t="s">
        <v>93</v>
      </c>
      <c r="E55" s="285">
        <f>IFERROR(VLOOKUP(D55,'Employee Numbers'!$A$3:$B$84,2,FALSE),"NOT FOUND")</f>
        <v>704751</v>
      </c>
      <c r="F55" s="264"/>
      <c r="G55" s="264" t="s">
        <v>41</v>
      </c>
      <c r="H55" s="264" t="s">
        <v>42</v>
      </c>
      <c r="I55" s="264"/>
      <c r="J55" s="264"/>
      <c r="K55" s="264" t="s">
        <v>42</v>
      </c>
      <c r="L55" s="264" t="s">
        <v>42</v>
      </c>
      <c r="N55">
        <f t="array" ref="N55">((SUM(IFERROR((TEXT(IF(ISNUMBER(SEARCH("-", F55:L55)), MID(F55:L55, SEARCH("-", F55:L55) + 1, 4), ""), "00\:00") - TEXT(IF(ISNUMBER(SEARCH("-", F55:L55)), MID(F55:L55, SEARCH("-", F55:L55) - 4, 4), ""), "00\:00") + IF(TEXT(IF(ISNUMBER(SEARCH("-", F55:L55)), MID(F55:L55, SEARCH("-", F55:L55) + 1, 4), ""), "00\:00") &lt; TEXT(IF(ISNUMBER(SEARCH("-", F55:L55)), MID(F55:L55, SEARCH("-", F55:L55) - 4, 4), ""), "00\:00"), 1, 0))*24,""))))/9.5</f>
        <v>4</v>
      </c>
      <c r="O55"/>
      <c r="P55"/>
      <c r="Q55" s="2">
        <f t="shared" ref="Q55:Q59" si="18">P55+O55+N55</f>
        <v>4</v>
      </c>
      <c r="R55" s="2">
        <f t="shared" ref="R55:R59" si="19">IF(ISNUMBER(SEARCH("trg_5",H147)),5,IF(ISNUMBER(SEARCH("trg_3.75",H147)),3.75,IF(ISNUMBER(SEARCH("trg_2.5",H147)),2.5,IF(ISNUMBER(SEARCH("trg_1.75",H147)),1.75,0))))</f>
        <v>5</v>
      </c>
      <c r="S55">
        <f t="shared" ref="S55:S59" ca="1" si="20">IF($C$4=1,SUM(Q55+INDIRECT("'Week "&amp;($B$3+1)&amp;"'!Q"&amp;(ROW()))),IF($C$4=2,SUM(Q55+INDIRECT("'Week "&amp;($B$3-1)&amp;"'!Q"&amp;(ROW())))))</f>
        <v>8</v>
      </c>
      <c r="T55" s="2">
        <f>(IFERROR(VLOOKUP(D55,'Employee Numbers'!$A$3:$C$84,3,FALSE),"NOT FOUND"))*8</f>
        <v>0</v>
      </c>
      <c r="U55" s="2"/>
    </row>
    <row r="56" spans="1:21" s="2" customFormat="1" ht="15" customHeight="1">
      <c r="A56" s="44" t="s">
        <v>91</v>
      </c>
      <c r="B56" s="44"/>
      <c r="C56" s="45"/>
      <c r="D56" s="85" t="s">
        <v>94</v>
      </c>
      <c r="E56" s="285">
        <f>IFERROR(VLOOKUP(D56,'Employee Numbers'!$A$3:$B$84,2,FALSE),"NOT FOUND")</f>
        <v>637219</v>
      </c>
      <c r="F56" s="264" t="s">
        <v>42</v>
      </c>
      <c r="G56" s="264" t="s">
        <v>42</v>
      </c>
      <c r="H56" s="264"/>
      <c r="I56" s="264"/>
      <c r="J56" s="264"/>
      <c r="K56" s="264" t="s">
        <v>42</v>
      </c>
      <c r="L56" s="264" t="s">
        <v>42</v>
      </c>
      <c r="N56">
        <f t="array" ref="N56">((SUM(IFERROR((TEXT(IF(ISNUMBER(SEARCH("-", F56:L56)), MID(F56:L56, SEARCH("-", F56:L56) + 1, 4), ""), "00\:00") - TEXT(IF(ISNUMBER(SEARCH("-", F56:L56)), MID(F56:L56, SEARCH("-", F56:L56) - 4, 4), ""), "00\:00") + IF(TEXT(IF(ISNUMBER(SEARCH("-", F56:L56)), MID(F56:L56, SEARCH("-", F56:L56) + 1, 4), ""), "00\:00") &lt; TEXT(IF(ISNUMBER(SEARCH("-", F56:L56)), MID(F56:L56, SEARCH("-", F56:L56) - 4, 4), ""), "00\:00"), 1, 0))*24,""))))/9.5</f>
        <v>4</v>
      </c>
      <c r="O56"/>
      <c r="P56"/>
      <c r="Q56" s="2">
        <f t="shared" si="18"/>
        <v>4</v>
      </c>
      <c r="R56" s="2">
        <f t="shared" si="19"/>
        <v>5</v>
      </c>
      <c r="S56">
        <f t="shared" ca="1" si="20"/>
        <v>8</v>
      </c>
      <c r="T56" s="2">
        <f>(IFERROR(VLOOKUP(D56,'Employee Numbers'!$A$3:$C$84,3,FALSE),"NOT FOUND"))*8</f>
        <v>0</v>
      </c>
    </row>
    <row r="57" spans="1:21" s="13" customFormat="1" ht="15" customHeight="1">
      <c r="A57" s="2" t="s">
        <v>91</v>
      </c>
      <c r="B57" s="2"/>
      <c r="C57" s="21"/>
      <c r="D57" s="86"/>
      <c r="E57" s="39" t="str">
        <f>IFERROR(VLOOKUP(D57,'Employee Numbers'!$A$3:$B$84,2,FALSE),"NOT FOUND")</f>
        <v>NOT FOUND</v>
      </c>
      <c r="F57" s="125"/>
      <c r="G57" s="125"/>
      <c r="H57" s="125"/>
      <c r="I57" s="125"/>
      <c r="J57" s="125"/>
      <c r="K57" s="125"/>
      <c r="L57" s="125"/>
      <c r="N57">
        <f t="array" ref="N57">((SUM(IFERROR((TEXT(IF(ISNUMBER(SEARCH("-", F57:L57)), MID(F57:L57, SEARCH("-", F57:L57) + 1, 4), ""), "00\:00") - TEXT(IF(ISNUMBER(SEARCH("-", F57:L57)), MID(F57:L57, SEARCH("-", F57:L57) - 4, 4), ""), "00\:00") + IF(TEXT(IF(ISNUMBER(SEARCH("-", F57:L57)), MID(F57:L57, SEARCH("-", F57:L57) + 1, 4), ""), "00\:00") &lt; TEXT(IF(ISNUMBER(SEARCH("-", F57:L57)), MID(F57:L57, SEARCH("-", F57:L57) - 4, 4), ""), "00\:00"), 1, 0))*24,""))))/9.5</f>
        <v>0</v>
      </c>
      <c r="O57"/>
      <c r="P57"/>
      <c r="Q57" s="2">
        <f t="shared" si="18"/>
        <v>0</v>
      </c>
      <c r="R57" s="2">
        <f t="shared" si="19"/>
        <v>2.5</v>
      </c>
      <c r="S57">
        <f t="shared" ca="1" si="20"/>
        <v>0</v>
      </c>
      <c r="T57" s="2" t="e">
        <f>(IFERROR(VLOOKUP(D57,'Employee Numbers'!$A$3:$C$84,3,FALSE),"NOT FOUND"))*8</f>
        <v>#VALUE!</v>
      </c>
      <c r="U57" s="2"/>
    </row>
    <row r="58" spans="1:21" s="2" customFormat="1" ht="15" customHeight="1">
      <c r="A58" s="44" t="s">
        <v>91</v>
      </c>
      <c r="B58" s="44"/>
      <c r="C58" s="45"/>
      <c r="D58" s="85"/>
      <c r="E58" s="39" t="str">
        <f>IFERROR(VLOOKUP(D58,'Employee Numbers'!$A$3:$B$84,2,FALSE),"NOT FOUND")</f>
        <v>NOT FOUND</v>
      </c>
      <c r="F58" s="110"/>
      <c r="G58" s="110"/>
      <c r="H58" s="110"/>
      <c r="I58" s="110"/>
      <c r="J58" s="110"/>
      <c r="K58" s="110"/>
      <c r="L58" s="110"/>
      <c r="N58">
        <f t="array" ref="N58">((SUM(IFERROR((TEXT(IF(ISNUMBER(SEARCH("-", F58:L58)), MID(F58:L58, SEARCH("-", F58:L58) + 1, 4), ""), "00\:00") - TEXT(IF(ISNUMBER(SEARCH("-", F58:L58)), MID(F58:L58, SEARCH("-", F58:L58) - 4, 4), ""), "00\:00") + IF(TEXT(IF(ISNUMBER(SEARCH("-", F58:L58)), MID(F58:L58, SEARCH("-", F58:L58) + 1, 4), ""), "00\:00") &lt; TEXT(IF(ISNUMBER(SEARCH("-", F58:L58)), MID(F58:L58, SEARCH("-", F58:L58) - 4, 4), ""), "00\:00"), 1, 0))*24,""))))/9.5</f>
        <v>0</v>
      </c>
      <c r="O58"/>
      <c r="P58"/>
      <c r="Q58" s="2">
        <f t="shared" si="18"/>
        <v>0</v>
      </c>
      <c r="R58" s="2">
        <f t="shared" si="19"/>
        <v>2.5</v>
      </c>
      <c r="S58">
        <f t="shared" ca="1" si="20"/>
        <v>0</v>
      </c>
      <c r="T58" s="2" t="e">
        <f>(IFERROR(VLOOKUP(D58,'Employee Numbers'!$A$3:$C$84,3,FALSE),"NOT FOUND"))*8</f>
        <v>#VALUE!</v>
      </c>
    </row>
    <row r="59" spans="1:21" s="13" customFormat="1" ht="15" customHeight="1">
      <c r="A59" s="2" t="s">
        <v>91</v>
      </c>
      <c r="B59" s="2"/>
      <c r="C59" s="21"/>
      <c r="D59" s="86"/>
      <c r="E59" s="39" t="str">
        <f>IFERROR(VLOOKUP(D59,'Employee Numbers'!$A$3:$B$84,2,FALSE),"NOT FOUND")</f>
        <v>NOT FOUND</v>
      </c>
      <c r="F59" s="110"/>
      <c r="G59" s="110"/>
      <c r="H59" s="110"/>
      <c r="I59" s="110"/>
      <c r="J59" s="110"/>
      <c r="K59" s="110"/>
      <c r="L59" s="110"/>
      <c r="N59">
        <f t="array" ref="N59">((SUM(IFERROR((TEXT(IF(ISNUMBER(SEARCH("-", F59:L59)), MID(F59:L59, SEARCH("-", F59:L59) + 1, 4), ""), "00\:00") - TEXT(IF(ISNUMBER(SEARCH("-", F59:L59)), MID(F59:L59, SEARCH("-", F59:L59) - 4, 4), ""), "00\:00") + IF(TEXT(IF(ISNUMBER(SEARCH("-", F59:L59)), MID(F59:L59, SEARCH("-", F59:L59) + 1, 4), ""), "00\:00") &lt; TEXT(IF(ISNUMBER(SEARCH("-", F59:L59)), MID(F59:L59, SEARCH("-", F59:L59) - 4, 4), ""), "00\:00"), 1, 0))*24,""))))/9.5</f>
        <v>0</v>
      </c>
      <c r="O59"/>
      <c r="P59"/>
      <c r="Q59" s="2">
        <f t="shared" si="18"/>
        <v>0</v>
      </c>
      <c r="R59" s="2">
        <f t="shared" si="19"/>
        <v>2.5</v>
      </c>
      <c r="S59">
        <f t="shared" ca="1" si="20"/>
        <v>0</v>
      </c>
      <c r="T59" s="2" t="e">
        <f>(IFERROR(VLOOKUP(D59,'Employee Numbers'!$A$3:$C$84,3,FALSE),"NOT FOUND"))*8</f>
        <v>#VALUE!</v>
      </c>
      <c r="U59" s="2"/>
    </row>
    <row r="60" spans="1:21" s="2" customFormat="1" ht="30" customHeight="1">
      <c r="A60" s="170" t="s">
        <v>96</v>
      </c>
      <c r="B60" s="131"/>
      <c r="C60" s="132"/>
      <c r="D60" s="171" t="s">
        <v>97</v>
      </c>
      <c r="E60" s="133" t="s">
        <v>4</v>
      </c>
      <c r="F60" s="270" t="s">
        <v>5</v>
      </c>
      <c r="G60" s="270" t="s">
        <v>6</v>
      </c>
      <c r="H60" s="271" t="s">
        <v>87</v>
      </c>
      <c r="I60" s="270" t="s">
        <v>8</v>
      </c>
      <c r="J60" s="270" t="s">
        <v>9</v>
      </c>
      <c r="K60" s="270" t="s">
        <v>10</v>
      </c>
      <c r="L60" s="272" t="s">
        <v>11</v>
      </c>
      <c r="N60"/>
      <c r="O60"/>
      <c r="P60"/>
    </row>
    <row r="61" spans="1:21" s="2" customFormat="1" ht="15" customHeight="1">
      <c r="A61" s="2" t="s">
        <v>98</v>
      </c>
      <c r="C61" s="47"/>
      <c r="D61" s="262" t="s">
        <v>99</v>
      </c>
      <c r="E61" s="284">
        <f>IFERROR(VLOOKUP(D61,'Employee Numbers'!$A$3:$B$84,2,FALSE),"NOT FOUND")</f>
        <v>638531</v>
      </c>
      <c r="F61" s="274" t="s">
        <v>176</v>
      </c>
      <c r="G61" s="274"/>
      <c r="H61" s="274"/>
      <c r="I61" s="274"/>
      <c r="J61" s="274"/>
      <c r="K61" s="274"/>
      <c r="L61" s="274"/>
      <c r="N61">
        <f t="array" ref="N61">((SUM(IFERROR((TEXT(IF(ISNUMBER(SEARCH("-", F61:L61)), MID(F61:L61, SEARCH("-", F61:L61) + 1, 4), ""), "00\:00") - TEXT(IF(ISNUMBER(SEARCH("-", F61:L61)), MID(F61:L61, SEARCH("-", F61:L61) - 4, 4), ""), "00\:00") + IF(TEXT(IF(ISNUMBER(SEARCH("-", F61:L61)), MID(F61:L61, SEARCH("-", F61:L61) + 1, 4), ""), "00\:00") &lt; TEXT(IF(ISNUMBER(SEARCH("-", F61:L61)), MID(F61:L61, SEARCH("-", F61:L61) - 4, 4), ""), "00\:00"), 1, 0))*24,""))))/9.5</f>
        <v>0</v>
      </c>
      <c r="O61"/>
      <c r="P61"/>
      <c r="Q61" s="2">
        <f>P61+O61+N61</f>
        <v>0</v>
      </c>
      <c r="R61" s="2">
        <f>IF(ISNUMBER(SEARCH("trg_5",H153)),5,IF(ISNUMBER(SEARCH("trg_3.75",H153)),3.75,IF(ISNUMBER(SEARCH("trg_2.5",H153)),2.5,IF(ISNUMBER(SEARCH("trg_1.75",H153)),1.75,0))))</f>
        <v>0</v>
      </c>
      <c r="S61">
        <f ca="1">IF($C$4=1,SUM(Q61+INDIRECT("'Week "&amp;($B$3+1)&amp;"'!Q"&amp;(ROW()))),IF($C$4=2,SUM(Q61+INDIRECT("'Week "&amp;($B$3-1)&amp;"'!Q"&amp;(ROW())))))</f>
        <v>0</v>
      </c>
      <c r="T61" s="2">
        <f>(IFERROR(VLOOKUP(D61,'Employee Numbers'!$A$3:$C$84,3,FALSE),"NOT FOUND"))*8</f>
        <v>0</v>
      </c>
    </row>
    <row r="62" spans="1:21" s="2" customFormat="1" ht="15" customHeight="1">
      <c r="A62" s="44" t="s">
        <v>98</v>
      </c>
      <c r="B62" s="44"/>
      <c r="C62" s="45"/>
      <c r="D62" s="262" t="s">
        <v>101</v>
      </c>
      <c r="E62" s="285">
        <f>IFERROR(VLOOKUP(D62,'Employee Numbers'!$A$3:$B$84,2,FALSE),"NOT FOUND")</f>
        <v>631715</v>
      </c>
      <c r="F62" s="264"/>
      <c r="G62" s="264"/>
      <c r="H62" s="264"/>
      <c r="I62" s="355" t="s">
        <v>44</v>
      </c>
      <c r="J62" s="264" t="s">
        <v>100</v>
      </c>
      <c r="K62" s="264" t="s">
        <v>100</v>
      </c>
      <c r="L62" s="264" t="s">
        <v>100</v>
      </c>
      <c r="N62">
        <f t="array" ref="N62">((SUM(IFERROR((TEXT(IF(ISNUMBER(SEARCH("-", F62:L62)), MID(F62:L62, SEARCH("-", F62:L62) + 1, 4), ""), "00\:00") - TEXT(IF(ISNUMBER(SEARCH("-", F62:L62)), MID(F62:L62, SEARCH("-", F62:L62) - 4, 4), ""), "00\:00") + IF(TEXT(IF(ISNUMBER(SEARCH("-", F62:L62)), MID(F62:L62, SEARCH("-", F62:L62) + 1, 4), ""), "00\:00") &lt; TEXT(IF(ISNUMBER(SEARCH("-", F62:L62)), MID(F62:L62, SEARCH("-", F62:L62) - 4, 4), ""), "00\:00"), 1, 0))*24,""))))/9.5</f>
        <v>4</v>
      </c>
      <c r="O62"/>
      <c r="P62"/>
      <c r="Q62" s="2">
        <f t="shared" ref="Q62:Q80" si="21">P62+O62+N62</f>
        <v>4</v>
      </c>
      <c r="R62" s="2">
        <f t="shared" ref="R62:R80" si="22">IF(ISNUMBER(SEARCH("trg_5",H154)),5,IF(ISNUMBER(SEARCH("trg_3.75",H154)),3.75,IF(ISNUMBER(SEARCH("trg_2.5",H154)),2.5,IF(ISNUMBER(SEARCH("trg_1.75",H154)),1.75,0))))</f>
        <v>5</v>
      </c>
      <c r="S62">
        <f t="shared" ref="S62:S84" ca="1" si="23">IF($C$4=1,SUM(Q62+INDIRECT("'Week "&amp;($B$3+1)&amp;"'!Q"&amp;(ROW()))),IF($C$4=2,SUM(Q62+INDIRECT("'Week "&amp;($B$3-1)&amp;"'!Q"&amp;(ROW())))))</f>
        <v>8</v>
      </c>
      <c r="T62" s="2">
        <f>(IFERROR(VLOOKUP(D62,'Employee Numbers'!$A$3:$C$84,3,FALSE),"NOT FOUND"))*8</f>
        <v>0</v>
      </c>
    </row>
    <row r="63" spans="1:21" s="13" customFormat="1" ht="15" customHeight="1">
      <c r="A63" s="2" t="s">
        <v>98</v>
      </c>
      <c r="B63" s="2"/>
      <c r="C63" s="21"/>
      <c r="D63" s="262" t="s">
        <v>103</v>
      </c>
      <c r="E63" s="285">
        <f>IFERROR(VLOOKUP(D63,'Employee Numbers'!$A$3:$B$84,2,FALSE),"NOT FOUND")</f>
        <v>703719</v>
      </c>
      <c r="F63" s="264"/>
      <c r="G63" s="264"/>
      <c r="H63" s="264"/>
      <c r="I63" s="275"/>
      <c r="J63" s="264" t="s">
        <v>100</v>
      </c>
      <c r="K63" s="264" t="s">
        <v>100</v>
      </c>
      <c r="L63" s="264" t="s">
        <v>100</v>
      </c>
      <c r="N63">
        <f t="array" ref="N63">((SUM(IFERROR((TEXT(IF(ISNUMBER(SEARCH("-", F63:L63)), MID(F63:L63, SEARCH("-", F63:L63) + 1, 4), ""), "00\:00") - TEXT(IF(ISNUMBER(SEARCH("-", F63:L63)), MID(F63:L63, SEARCH("-", F63:L63) - 4, 4), ""), "00\:00") + IF(TEXT(IF(ISNUMBER(SEARCH("-", F63:L63)), MID(F63:L63, SEARCH("-", F63:L63) + 1, 4), ""), "00\:00") &lt; TEXT(IF(ISNUMBER(SEARCH("-", F63:L63)), MID(F63:L63, SEARCH("-", F63:L63) - 4, 4), ""), "00\:00"), 1, 0))*24,""))))/9.5</f>
        <v>2.9999999999999991</v>
      </c>
      <c r="O63"/>
      <c r="P63"/>
      <c r="Q63" s="2">
        <f t="shared" si="21"/>
        <v>2.9999999999999991</v>
      </c>
      <c r="R63" s="2">
        <f t="shared" si="22"/>
        <v>3.75</v>
      </c>
      <c r="S63">
        <f t="shared" ca="1" si="23"/>
        <v>5.9999999999999991</v>
      </c>
      <c r="T63" s="2">
        <f>(IFERROR(VLOOKUP(D63,'Employee Numbers'!$A$3:$C$84,3,FALSE),"NOT FOUND"))*8</f>
        <v>0</v>
      </c>
      <c r="U63" s="2"/>
    </row>
    <row r="64" spans="1:21" s="2" customFormat="1" ht="15" customHeight="1">
      <c r="A64" s="44" t="s">
        <v>98</v>
      </c>
      <c r="B64" s="44"/>
      <c r="C64" s="45"/>
      <c r="D64" s="262" t="s">
        <v>104</v>
      </c>
      <c r="E64" s="285">
        <f>IFERROR(VLOOKUP(D64,'Employee Numbers'!$A$3:$B$84,2,FALSE),"NOT FOUND")</f>
        <v>637791</v>
      </c>
      <c r="F64" s="264"/>
      <c r="G64" s="264"/>
      <c r="H64" s="264"/>
      <c r="I64" s="264"/>
      <c r="J64" s="264" t="s">
        <v>42</v>
      </c>
      <c r="K64" s="264" t="s">
        <v>42</v>
      </c>
      <c r="L64" s="264" t="s">
        <v>42</v>
      </c>
      <c r="N64">
        <f t="array" ref="N64">((SUM(IFERROR((TEXT(IF(ISNUMBER(SEARCH("-", F64:L64)), MID(F64:L64, SEARCH("-", F64:L64) + 1, 4), ""), "00\:00") - TEXT(IF(ISNUMBER(SEARCH("-", F64:L64)), MID(F64:L64, SEARCH("-", F64:L64) - 4, 4), ""), "00\:00") + IF(TEXT(IF(ISNUMBER(SEARCH("-", F64:L64)), MID(F64:L64, SEARCH("-", F64:L64) + 1, 4), ""), "00\:00") &lt; TEXT(IF(ISNUMBER(SEARCH("-", F64:L64)), MID(F64:L64, SEARCH("-", F64:L64) - 4, 4), ""), "00\:00"), 1, 0))*24,""))))/9.5</f>
        <v>3</v>
      </c>
      <c r="O64"/>
      <c r="P64"/>
      <c r="Q64" s="2">
        <f t="shared" si="21"/>
        <v>3</v>
      </c>
      <c r="R64" s="2">
        <f t="shared" si="22"/>
        <v>3.75</v>
      </c>
      <c r="S64">
        <f t="shared" ca="1" si="23"/>
        <v>5.9999999999999991</v>
      </c>
      <c r="T64" s="2">
        <f>(IFERROR(VLOOKUP(D64,'Employee Numbers'!$A$3:$C$84,3,FALSE),"NOT FOUND"))*8</f>
        <v>0</v>
      </c>
    </row>
    <row r="65" spans="1:20" s="2" customFormat="1" ht="15" customHeight="1">
      <c r="A65" s="2" t="s">
        <v>98</v>
      </c>
      <c r="C65" s="21"/>
      <c r="D65" s="262" t="s">
        <v>105</v>
      </c>
      <c r="E65" s="285">
        <f>IFERROR(VLOOKUP(D65,'Employee Numbers'!$A$3:$B$84,2,FALSE),"NOT FOUND")</f>
        <v>652867</v>
      </c>
      <c r="F65" s="264"/>
      <c r="G65" s="264" t="s">
        <v>42</v>
      </c>
      <c r="H65" s="264" t="s">
        <v>42</v>
      </c>
      <c r="I65" s="264"/>
      <c r="J65" s="264"/>
      <c r="K65" s="355" t="s">
        <v>44</v>
      </c>
      <c r="L65" s="264" t="s">
        <v>44</v>
      </c>
      <c r="N65">
        <f t="array" ref="N65">((SUM(IFERROR((TEXT(IF(ISNUMBER(SEARCH("-", F65:L65)), MID(F65:L65, SEARCH("-", F65:L65) + 1, 4), ""), "00\:00") - TEXT(IF(ISNUMBER(SEARCH("-", F65:L65)), MID(F65:L65, SEARCH("-", F65:L65) - 4, 4), ""), "00\:00") + IF(TEXT(IF(ISNUMBER(SEARCH("-", F65:L65)), MID(F65:L65, SEARCH("-", F65:L65) + 1, 4), ""), "00\:00") &lt; TEXT(IF(ISNUMBER(SEARCH("-", F65:L65)), MID(F65:L65, SEARCH("-", F65:L65) - 4, 4), ""), "00\:00"), 1, 0))*24,""))))/9.5</f>
        <v>4</v>
      </c>
      <c r="O65"/>
      <c r="P65"/>
      <c r="Q65" s="2">
        <f t="shared" si="21"/>
        <v>4</v>
      </c>
      <c r="R65" s="2">
        <f t="shared" si="22"/>
        <v>5</v>
      </c>
      <c r="S65">
        <f t="shared" ca="1" si="23"/>
        <v>8</v>
      </c>
      <c r="T65" s="2">
        <f>(IFERROR(VLOOKUP(D65,'Employee Numbers'!$A$3:$C$84,3,FALSE),"NOT FOUND"))*8</f>
        <v>0</v>
      </c>
    </row>
    <row r="66" spans="1:20" s="2" customFormat="1" ht="15" customHeight="1">
      <c r="A66" s="44" t="s">
        <v>98</v>
      </c>
      <c r="B66" s="44"/>
      <c r="C66" s="45"/>
      <c r="D66" s="262" t="s">
        <v>106</v>
      </c>
      <c r="E66" s="285">
        <f>IFERROR(VLOOKUP(D66,'Employee Numbers'!$A$3:$B$84,2,FALSE),"NOT FOUND")</f>
        <v>611551</v>
      </c>
      <c r="F66" s="264"/>
      <c r="G66" s="264"/>
      <c r="H66" s="264"/>
      <c r="I66" s="264"/>
      <c r="J66" s="264" t="s">
        <v>42</v>
      </c>
      <c r="K66" s="264" t="s">
        <v>42</v>
      </c>
      <c r="L66" s="264"/>
      <c r="N66">
        <f t="array" ref="N66">((SUM(IFERROR((TEXT(IF(ISNUMBER(SEARCH("-", F66:L66)), MID(F66:L66, SEARCH("-", F66:L66) + 1, 4), ""), "00\:00") - TEXT(IF(ISNUMBER(SEARCH("-", F66:L66)), MID(F66:L66, SEARCH("-", F66:L66) - 4, 4), ""), "00\:00") + IF(TEXT(IF(ISNUMBER(SEARCH("-", F66:L66)), MID(F66:L66, SEARCH("-", F66:L66) + 1, 4), ""), "00\:00") &lt; TEXT(IF(ISNUMBER(SEARCH("-", F66:L66)), MID(F66:L66, SEARCH("-", F66:L66) - 4, 4), ""), "00\:00"), 1, 0))*24,""))))/9.5</f>
        <v>2</v>
      </c>
      <c r="O66"/>
      <c r="P66"/>
      <c r="Q66" s="2">
        <f t="shared" si="21"/>
        <v>2</v>
      </c>
      <c r="R66" s="2">
        <f t="shared" si="22"/>
        <v>2.5</v>
      </c>
      <c r="S66">
        <f t="shared" ca="1" si="23"/>
        <v>4</v>
      </c>
      <c r="T66" s="2">
        <f>(IFERROR(VLOOKUP(D66,'Employee Numbers'!$A$3:$C$84,3,FALSE),"NOT FOUND"))*8</f>
        <v>0</v>
      </c>
    </row>
    <row r="67" spans="1:20" s="2" customFormat="1" ht="15" customHeight="1">
      <c r="A67" s="2" t="s">
        <v>98</v>
      </c>
      <c r="C67" s="21"/>
      <c r="D67" s="262" t="s">
        <v>107</v>
      </c>
      <c r="E67" s="285">
        <f>IFERROR(VLOOKUP(D67,'Employee Numbers'!$A$3:$B$84,2,FALSE),"NOT FOUND")</f>
        <v>615820</v>
      </c>
      <c r="F67" s="279"/>
      <c r="G67" s="279"/>
      <c r="H67" s="279" t="s">
        <v>100</v>
      </c>
      <c r="I67" s="279" t="s">
        <v>100</v>
      </c>
      <c r="J67" s="279"/>
      <c r="K67" s="279"/>
      <c r="L67" s="279"/>
      <c r="N67">
        <f t="array" ref="N67">((SUM(IFERROR((TEXT(IF(ISNUMBER(SEARCH("-", F67:L67)), MID(F67:L67, SEARCH("-", F67:L67) + 1, 4), ""), "00\:00") - TEXT(IF(ISNUMBER(SEARCH("-", F67:L67)), MID(F67:L67, SEARCH("-", F67:L67) - 4, 4), ""), "00\:00") + IF(TEXT(IF(ISNUMBER(SEARCH("-", F67:L67)), MID(F67:L67, SEARCH("-", F67:L67) + 1, 4), ""), "00\:00") &lt; TEXT(IF(ISNUMBER(SEARCH("-", F67:L67)), MID(F67:L67, SEARCH("-", F67:L67) - 4, 4), ""), "00\:00"), 1, 0))*24,""))))/9.5</f>
        <v>1.9999999999999996</v>
      </c>
      <c r="O67"/>
      <c r="P67"/>
      <c r="Q67" s="2">
        <f t="shared" si="21"/>
        <v>1.9999999999999996</v>
      </c>
      <c r="R67" s="2">
        <f t="shared" si="22"/>
        <v>2.5</v>
      </c>
      <c r="S67">
        <f t="shared" ca="1" si="23"/>
        <v>3.9999999999999991</v>
      </c>
      <c r="T67" s="2">
        <f>(IFERROR(VLOOKUP(D67,'Employee Numbers'!$A$3:$C$84,3,FALSE),"NOT FOUND"))*8</f>
        <v>0</v>
      </c>
    </row>
    <row r="68" spans="1:20" s="2" customFormat="1" ht="15" customHeight="1">
      <c r="A68" s="44" t="s">
        <v>98</v>
      </c>
      <c r="B68" s="44"/>
      <c r="C68" s="45"/>
      <c r="D68" s="262" t="s">
        <v>109</v>
      </c>
      <c r="E68" s="285">
        <f>IFERROR(VLOOKUP(D68,'Employee Numbers'!$A$3:$B$84,2,FALSE),"NOT FOUND")</f>
        <v>702947</v>
      </c>
      <c r="F68" s="264" t="s">
        <v>100</v>
      </c>
      <c r="G68" s="264" t="s">
        <v>100</v>
      </c>
      <c r="H68" s="264"/>
      <c r="I68" s="264"/>
      <c r="J68" s="264"/>
      <c r="K68" s="264" t="s">
        <v>42</v>
      </c>
      <c r="L68" s="264" t="s">
        <v>42</v>
      </c>
      <c r="N68">
        <f t="array" ref="N68">((SUM(IFERROR((TEXT(IF(ISNUMBER(SEARCH("-", F68:L68)), MID(F68:L68, SEARCH("-", F68:L68) + 1, 4), ""), "00\:00") - TEXT(IF(ISNUMBER(SEARCH("-", F68:L68)), MID(F68:L68, SEARCH("-", F68:L68) - 4, 4), ""), "00\:00") + IF(TEXT(IF(ISNUMBER(SEARCH("-", F68:L68)), MID(F68:L68, SEARCH("-", F68:L68) + 1, 4), ""), "00\:00") &lt; TEXT(IF(ISNUMBER(SEARCH("-", F68:L68)), MID(F68:L68, SEARCH("-", F68:L68) - 4, 4), ""), "00\:00"), 1, 0))*24,""))))/9.5</f>
        <v>4</v>
      </c>
      <c r="O68"/>
      <c r="P68"/>
      <c r="Q68" s="2">
        <f t="shared" si="21"/>
        <v>4</v>
      </c>
      <c r="R68" s="2">
        <f t="shared" si="22"/>
        <v>5</v>
      </c>
      <c r="S68">
        <f t="shared" ca="1" si="23"/>
        <v>8</v>
      </c>
      <c r="T68" s="2">
        <f>(IFERROR(VLOOKUP(D68,'Employee Numbers'!$A$3:$C$84,3,FALSE),"NOT FOUND"))*8</f>
        <v>0</v>
      </c>
    </row>
    <row r="69" spans="1:20" s="2" customFormat="1" ht="15" customHeight="1">
      <c r="A69" s="2" t="s">
        <v>98</v>
      </c>
      <c r="C69" s="47"/>
      <c r="D69" s="262" t="s">
        <v>110</v>
      </c>
      <c r="E69" s="285">
        <f>IFERROR(VLOOKUP(D69,'Employee Numbers'!$A$3:$B$84,2,FALSE),"NOT FOUND")</f>
        <v>654002</v>
      </c>
      <c r="F69" s="264" t="s">
        <v>42</v>
      </c>
      <c r="G69" s="264"/>
      <c r="H69" s="264" t="s">
        <v>42</v>
      </c>
      <c r="I69" s="264" t="s">
        <v>42</v>
      </c>
      <c r="J69" s="264" t="s">
        <v>42</v>
      </c>
      <c r="K69" s="264"/>
      <c r="L69" s="264"/>
      <c r="N69">
        <f t="array" ref="N69">((SUM(IFERROR((TEXT(IF(ISNUMBER(SEARCH("-", F69:L69)), MID(F69:L69, SEARCH("-", F69:L69) + 1, 4), ""), "00\:00") - TEXT(IF(ISNUMBER(SEARCH("-", F69:L69)), MID(F69:L69, SEARCH("-", F69:L69) - 4, 4), ""), "00\:00") + IF(TEXT(IF(ISNUMBER(SEARCH("-", F69:L69)), MID(F69:L69, SEARCH("-", F69:L69) + 1, 4), ""), "00\:00") &lt; TEXT(IF(ISNUMBER(SEARCH("-", F69:L69)), MID(F69:L69, SEARCH("-", F69:L69) - 4, 4), ""), "00\:00"), 1, 0))*24,""))))/9.5</f>
        <v>4</v>
      </c>
      <c r="O69"/>
      <c r="P69"/>
      <c r="Q69" s="2">
        <f t="shared" si="21"/>
        <v>4</v>
      </c>
      <c r="R69" s="2">
        <f t="shared" si="22"/>
        <v>5</v>
      </c>
      <c r="S69">
        <f t="shared" ca="1" si="23"/>
        <v>8</v>
      </c>
      <c r="T69" s="2">
        <f>(IFERROR(VLOOKUP(D69,'Employee Numbers'!$A$3:$C$84,3,FALSE),"NOT FOUND"))*8</f>
        <v>0</v>
      </c>
    </row>
    <row r="70" spans="1:20" s="2" customFormat="1" ht="15" customHeight="1">
      <c r="A70" s="44" t="s">
        <v>98</v>
      </c>
      <c r="B70" s="44"/>
      <c r="C70" s="45"/>
      <c r="D70" s="262" t="s">
        <v>111</v>
      </c>
      <c r="E70" s="285">
        <f>IFERROR(VLOOKUP(D70,'Employee Numbers'!$A$3:$B$84,2,FALSE),"NOT FOUND")</f>
        <v>703068</v>
      </c>
      <c r="F70" s="264" t="s">
        <v>100</v>
      </c>
      <c r="G70" s="264" t="s">
        <v>100</v>
      </c>
      <c r="H70" s="264" t="s">
        <v>100</v>
      </c>
      <c r="I70" s="264" t="s">
        <v>100</v>
      </c>
      <c r="J70" s="264"/>
      <c r="K70" s="264"/>
      <c r="L70" s="264"/>
      <c r="N70">
        <f t="array" ref="N70">((SUM(IFERROR((TEXT(IF(ISNUMBER(SEARCH("-", F70:L70)), MID(F70:L70, SEARCH("-", F70:L70) + 1, 4), ""), "00\:00") - TEXT(IF(ISNUMBER(SEARCH("-", F70:L70)), MID(F70:L70, SEARCH("-", F70:L70) - 4, 4), ""), "00\:00") + IF(TEXT(IF(ISNUMBER(SEARCH("-", F70:L70)), MID(F70:L70, SEARCH("-", F70:L70) + 1, 4), ""), "00\:00") &lt; TEXT(IF(ISNUMBER(SEARCH("-", F70:L70)), MID(F70:L70, SEARCH("-", F70:L70) - 4, 4), ""), "00\:00"), 1, 0))*24,""))))/9.5</f>
        <v>3.9999999999999991</v>
      </c>
      <c r="O70"/>
      <c r="P70"/>
      <c r="Q70" s="2">
        <f t="shared" si="21"/>
        <v>3.9999999999999991</v>
      </c>
      <c r="R70" s="2">
        <f t="shared" si="22"/>
        <v>5</v>
      </c>
      <c r="S70">
        <f t="shared" ca="1" si="23"/>
        <v>7.9999999999999991</v>
      </c>
      <c r="T70" s="2">
        <f>(IFERROR(VLOOKUP(D70,'Employee Numbers'!$A$3:$C$84,3,FALSE),"NOT FOUND"))*8</f>
        <v>0</v>
      </c>
    </row>
    <row r="71" spans="1:20" s="2" customFormat="1" ht="15" customHeight="1">
      <c r="A71" s="2" t="s">
        <v>98</v>
      </c>
      <c r="C71" s="21"/>
      <c r="D71" s="262" t="s">
        <v>113</v>
      </c>
      <c r="E71" s="285">
        <f>IFERROR(VLOOKUP(D71,'Employee Numbers'!$A$3:$B$84,2,FALSE),"NOT FOUND")</f>
        <v>703911</v>
      </c>
      <c r="F71" s="355" t="s">
        <v>44</v>
      </c>
      <c r="G71" s="264" t="s">
        <v>42</v>
      </c>
      <c r="H71" s="264" t="s">
        <v>42</v>
      </c>
      <c r="I71" s="264" t="s">
        <v>42</v>
      </c>
      <c r="J71" s="264"/>
      <c r="K71" s="264"/>
      <c r="L71" s="264"/>
      <c r="N71">
        <f t="array" ref="N71">((SUM(IFERROR((TEXT(IF(ISNUMBER(SEARCH("-", F71:L71)), MID(F71:L71, SEARCH("-", F71:L71) + 1, 4), ""), "00\:00") - TEXT(IF(ISNUMBER(SEARCH("-", F71:L71)), MID(F71:L71, SEARCH("-", F71:L71) - 4, 4), ""), "00\:00") + IF(TEXT(IF(ISNUMBER(SEARCH("-", F71:L71)), MID(F71:L71, SEARCH("-", F71:L71) + 1, 4), ""), "00\:00") &lt; TEXT(IF(ISNUMBER(SEARCH("-", F71:L71)), MID(F71:L71, SEARCH("-", F71:L71) - 4, 4), ""), "00\:00"), 1, 0))*24,""))))/9.5</f>
        <v>4</v>
      </c>
      <c r="O71"/>
      <c r="P71"/>
      <c r="Q71" s="2">
        <f t="shared" si="21"/>
        <v>4</v>
      </c>
      <c r="R71" s="2">
        <f t="shared" si="22"/>
        <v>5</v>
      </c>
      <c r="S71">
        <f t="shared" ca="1" si="23"/>
        <v>8</v>
      </c>
      <c r="T71" s="2">
        <f>(IFERROR(VLOOKUP(D71,'Employee Numbers'!$A$3:$C$84,3,FALSE),"NOT FOUND"))*8</f>
        <v>0</v>
      </c>
    </row>
    <row r="72" spans="1:20" s="2" customFormat="1" ht="15" customHeight="1">
      <c r="A72" s="44" t="s">
        <v>98</v>
      </c>
      <c r="B72" s="44"/>
      <c r="C72" s="45"/>
      <c r="D72" s="262" t="s">
        <v>114</v>
      </c>
      <c r="E72" s="285">
        <f>IFERROR(VLOOKUP(D72,'Employee Numbers'!$A$3:$B$84,2,FALSE),"NOT FOUND")</f>
        <v>633936</v>
      </c>
      <c r="F72" s="264" t="s">
        <v>42</v>
      </c>
      <c r="G72" s="264" t="s">
        <v>42</v>
      </c>
      <c r="H72" s="264"/>
      <c r="I72" s="264" t="s">
        <v>44</v>
      </c>
      <c r="J72" s="355" t="s">
        <v>44</v>
      </c>
      <c r="K72" s="264"/>
      <c r="L72" s="264"/>
      <c r="N72">
        <f t="array" ref="N72">((SUM(IFERROR((TEXT(IF(ISNUMBER(SEARCH("-", F72:L72)), MID(F72:L72, SEARCH("-", F72:L72) + 1, 4), ""), "00\:00") - TEXT(IF(ISNUMBER(SEARCH("-", F72:L72)), MID(F72:L72, SEARCH("-", F72:L72) - 4, 4), ""), "00\:00") + IF(TEXT(IF(ISNUMBER(SEARCH("-", F72:L72)), MID(F72:L72, SEARCH("-", F72:L72) + 1, 4), ""), "00\:00") &lt; TEXT(IF(ISNUMBER(SEARCH("-", F72:L72)), MID(F72:L72, SEARCH("-", F72:L72) - 4, 4), ""), "00\:00"), 1, 0))*24,""))))/9.5</f>
        <v>4</v>
      </c>
      <c r="O72"/>
      <c r="P72"/>
      <c r="Q72" s="2">
        <f t="shared" si="21"/>
        <v>4</v>
      </c>
      <c r="R72" s="2">
        <f t="shared" si="22"/>
        <v>5</v>
      </c>
      <c r="S72">
        <f t="shared" ca="1" si="23"/>
        <v>5</v>
      </c>
      <c r="T72" s="2">
        <f>(IFERROR(VLOOKUP(D72,'Employee Numbers'!$A$3:$C$84,3,FALSE),"NOT FOUND"))*8</f>
        <v>0</v>
      </c>
    </row>
    <row r="73" spans="1:20" s="2" customFormat="1" ht="15" customHeight="1">
      <c r="A73" s="2" t="s">
        <v>98</v>
      </c>
      <c r="C73" s="21"/>
      <c r="D73" s="262" t="s">
        <v>115</v>
      </c>
      <c r="E73" s="285">
        <f>IFERROR(VLOOKUP(D73,'Employee Numbers'!$A$3:$B$84,2,FALSE),"NOT FOUND")</f>
        <v>700755</v>
      </c>
      <c r="F73" s="264" t="s">
        <v>100</v>
      </c>
      <c r="G73" s="264" t="s">
        <v>100</v>
      </c>
      <c r="H73" s="264" t="s">
        <v>100</v>
      </c>
      <c r="I73" s="264" t="s">
        <v>100</v>
      </c>
      <c r="J73" s="264"/>
      <c r="K73" s="264"/>
      <c r="L73" s="264"/>
      <c r="N73">
        <f t="array" ref="N73">((SUM(IFERROR((TEXT(IF(ISNUMBER(SEARCH("-", F73:L73)), MID(F73:L73, SEARCH("-", F73:L73) + 1, 4), ""), "00\:00") - TEXT(IF(ISNUMBER(SEARCH("-", F73:L73)), MID(F73:L73, SEARCH("-", F73:L73) - 4, 4), ""), "00\:00") + IF(TEXT(IF(ISNUMBER(SEARCH("-", F73:L73)), MID(F73:L73, SEARCH("-", F73:L73) + 1, 4), ""), "00\:00") &lt; TEXT(IF(ISNUMBER(SEARCH("-", F73:L73)), MID(F73:L73, SEARCH("-", F73:L73) - 4, 4), ""), "00\:00"), 1, 0))*24,""))))/9.5</f>
        <v>3.9999999999999991</v>
      </c>
      <c r="O73"/>
      <c r="P73"/>
      <c r="Q73" s="2">
        <f t="shared" si="21"/>
        <v>3.9999999999999991</v>
      </c>
      <c r="R73" s="2">
        <f t="shared" si="22"/>
        <v>5</v>
      </c>
      <c r="S73">
        <f t="shared" ca="1" si="23"/>
        <v>7.9999999999999991</v>
      </c>
      <c r="T73" s="2">
        <f>(IFERROR(VLOOKUP(D73,'Employee Numbers'!$A$3:$C$84,3,FALSE),"NOT FOUND"))*8</f>
        <v>0</v>
      </c>
    </row>
    <row r="74" spans="1:20" s="2" customFormat="1" ht="15" customHeight="1">
      <c r="A74" s="44" t="s">
        <v>98</v>
      </c>
      <c r="B74" s="44"/>
      <c r="C74" s="45"/>
      <c r="D74" s="262" t="s">
        <v>116</v>
      </c>
      <c r="E74" s="285">
        <f>IFERROR(VLOOKUP(D74,'Employee Numbers'!$A$3:$B$84,2,FALSE),"NOT FOUND")</f>
        <v>704872</v>
      </c>
      <c r="F74" s="279" t="s">
        <v>44</v>
      </c>
      <c r="G74" s="279" t="s">
        <v>42</v>
      </c>
      <c r="H74" s="279"/>
      <c r="I74" s="279"/>
      <c r="J74" s="279"/>
      <c r="K74" s="279" t="s">
        <v>42</v>
      </c>
      <c r="L74" s="279" t="s">
        <v>42</v>
      </c>
      <c r="N74">
        <f t="array" ref="N74">((SUM(IFERROR((TEXT(IF(ISNUMBER(SEARCH("-", F74:L74)), MID(F74:L74, SEARCH("-", F74:L74) + 1, 4), ""), "00\:00") - TEXT(IF(ISNUMBER(SEARCH("-", F74:L74)), MID(F74:L74, SEARCH("-", F74:L74) - 4, 4), ""), "00\:00") + IF(TEXT(IF(ISNUMBER(SEARCH("-", F74:L74)), MID(F74:L74, SEARCH("-", F74:L74) + 1, 4), ""), "00\:00") &lt; TEXT(IF(ISNUMBER(SEARCH("-", F74:L74)), MID(F74:L74, SEARCH("-", F74:L74) - 4, 4), ""), "00\:00"), 1, 0))*24,""))))/9.5</f>
        <v>4</v>
      </c>
      <c r="O74"/>
      <c r="P74"/>
      <c r="Q74" s="2">
        <f t="shared" si="21"/>
        <v>4</v>
      </c>
      <c r="R74" s="2">
        <f t="shared" si="22"/>
        <v>5</v>
      </c>
      <c r="S74">
        <f t="shared" ca="1" si="23"/>
        <v>8</v>
      </c>
      <c r="T74" s="2">
        <f>(IFERROR(VLOOKUP(D74,'Employee Numbers'!$A$3:$C$84,3,FALSE),"NOT FOUND"))*8</f>
        <v>0</v>
      </c>
    </row>
    <row r="75" spans="1:20" s="2" customFormat="1" ht="15" customHeight="1">
      <c r="A75" s="2" t="s">
        <v>98</v>
      </c>
      <c r="C75" s="21"/>
      <c r="D75" s="262" t="s">
        <v>117</v>
      </c>
      <c r="E75" s="285">
        <f>IFERROR(VLOOKUP(D75,'Employee Numbers'!$A$3:$B$84,2,FALSE),"NOT FOUND")</f>
        <v>700712</v>
      </c>
      <c r="F75" s="264" t="s">
        <v>42</v>
      </c>
      <c r="G75" s="264"/>
      <c r="H75" s="264" t="s">
        <v>42</v>
      </c>
      <c r="I75" s="264" t="s">
        <v>42</v>
      </c>
      <c r="J75" s="264" t="s">
        <v>42</v>
      </c>
      <c r="K75" s="264"/>
      <c r="L75" s="264"/>
      <c r="N75">
        <f t="array" ref="N75">((SUM(IFERROR((TEXT(IF(ISNUMBER(SEARCH("-", F75:L75)), MID(F75:L75, SEARCH("-", F75:L75) + 1, 4), ""), "00\:00") - TEXT(IF(ISNUMBER(SEARCH("-", F75:L75)), MID(F75:L75, SEARCH("-", F75:L75) - 4, 4), ""), "00\:00") + IF(TEXT(IF(ISNUMBER(SEARCH("-", F75:L75)), MID(F75:L75, SEARCH("-", F75:L75) + 1, 4), ""), "00\:00") &lt; TEXT(IF(ISNUMBER(SEARCH("-", F75:L75)), MID(F75:L75, SEARCH("-", F75:L75) - 4, 4), ""), "00\:00"), 1, 0))*24,""))))/9.5</f>
        <v>4</v>
      </c>
      <c r="O75"/>
      <c r="P75"/>
      <c r="Q75" s="2">
        <f t="shared" si="21"/>
        <v>4</v>
      </c>
      <c r="R75" s="2">
        <f t="shared" si="22"/>
        <v>5</v>
      </c>
      <c r="S75">
        <f t="shared" ca="1" si="23"/>
        <v>8</v>
      </c>
      <c r="T75" s="2">
        <f>(IFERROR(VLOOKUP(D75,'Employee Numbers'!$A$3:$C$84,3,FALSE),"NOT FOUND"))*8</f>
        <v>0</v>
      </c>
    </row>
    <row r="76" spans="1:20" s="2" customFormat="1" ht="15" customHeight="1">
      <c r="A76" s="44" t="s">
        <v>98</v>
      </c>
      <c r="B76" s="44"/>
      <c r="C76" s="45"/>
      <c r="D76" s="262" t="s">
        <v>119</v>
      </c>
      <c r="E76" s="285">
        <f>IFERROR(VLOOKUP(D76,'Employee Numbers'!$A$3:$B$84,2,FALSE),"NOT FOUND")</f>
        <v>700818</v>
      </c>
      <c r="F76" s="264" t="s">
        <v>42</v>
      </c>
      <c r="G76" s="264" t="s">
        <v>42</v>
      </c>
      <c r="H76" s="264"/>
      <c r="I76" s="264"/>
      <c r="J76" s="264"/>
      <c r="K76" s="264" t="s">
        <v>42</v>
      </c>
      <c r="L76" s="264" t="s">
        <v>42</v>
      </c>
      <c r="N76">
        <f t="array" ref="N76">((SUM(IFERROR((TEXT(IF(ISNUMBER(SEARCH("-", F76:L76)), MID(F76:L76, SEARCH("-", F76:L76) + 1, 4), ""), "00\:00") - TEXT(IF(ISNUMBER(SEARCH("-", F76:L76)), MID(F76:L76, SEARCH("-", F76:L76) - 4, 4), ""), "00\:00") + IF(TEXT(IF(ISNUMBER(SEARCH("-", F76:L76)), MID(F76:L76, SEARCH("-", F76:L76) + 1, 4), ""), "00\:00") &lt; TEXT(IF(ISNUMBER(SEARCH("-", F76:L76)), MID(F76:L76, SEARCH("-", F76:L76) - 4, 4), ""), "00\:00"), 1, 0))*24,""))))/9.5</f>
        <v>4</v>
      </c>
      <c r="O76"/>
      <c r="P76"/>
      <c r="Q76" s="2">
        <f t="shared" si="21"/>
        <v>4</v>
      </c>
      <c r="R76" s="2">
        <f t="shared" si="22"/>
        <v>5</v>
      </c>
      <c r="S76">
        <f t="shared" ca="1" si="23"/>
        <v>8</v>
      </c>
      <c r="T76" s="2">
        <f>(IFERROR(VLOOKUP(D76,'Employee Numbers'!$A$3:$C$84,3,FALSE),"NOT FOUND"))*8</f>
        <v>0</v>
      </c>
    </row>
    <row r="77" spans="1:20" s="2" customFormat="1" ht="15" customHeight="1">
      <c r="A77" s="2" t="s">
        <v>98</v>
      </c>
      <c r="C77" s="47"/>
      <c r="D77" s="262" t="s">
        <v>120</v>
      </c>
      <c r="E77" s="285">
        <f>IFERROR(VLOOKUP(D77,'Employee Numbers'!$A$3:$B$84,2,FALSE),"NOT FOUND")</f>
        <v>650101</v>
      </c>
      <c r="F77" s="264"/>
      <c r="G77" s="355" t="s">
        <v>44</v>
      </c>
      <c r="H77" s="264" t="s">
        <v>42</v>
      </c>
      <c r="I77" s="264" t="s">
        <v>42</v>
      </c>
      <c r="J77" s="264" t="s">
        <v>42</v>
      </c>
      <c r="K77" s="264"/>
      <c r="L77" s="264"/>
      <c r="N77">
        <f t="array" ref="N77">((SUM(IFERROR((TEXT(IF(ISNUMBER(SEARCH("-", F77:L77)), MID(F77:L77, SEARCH("-", F77:L77) + 1, 4), ""), "00\:00") - TEXT(IF(ISNUMBER(SEARCH("-", F77:L77)), MID(F77:L77, SEARCH("-", F77:L77) - 4, 4), ""), "00\:00") + IF(TEXT(IF(ISNUMBER(SEARCH("-", F77:L77)), MID(F77:L77, SEARCH("-", F77:L77) + 1, 4), ""), "00\:00") &lt; TEXT(IF(ISNUMBER(SEARCH("-", F77:L77)), MID(F77:L77, SEARCH("-", F77:L77) - 4, 4), ""), "00\:00"), 1, 0))*24,""))))/9.5</f>
        <v>4</v>
      </c>
      <c r="O77"/>
      <c r="P77"/>
      <c r="Q77" s="2">
        <f t="shared" si="21"/>
        <v>4</v>
      </c>
      <c r="R77" s="2">
        <f t="shared" si="22"/>
        <v>2.5</v>
      </c>
      <c r="S77">
        <f t="shared" ca="1" si="23"/>
        <v>4</v>
      </c>
      <c r="T77" s="2">
        <f>(IFERROR(VLOOKUP(D77,'Employee Numbers'!$A$3:$C$84,3,FALSE),"NOT FOUND"))*8</f>
        <v>0</v>
      </c>
    </row>
    <row r="78" spans="1:20" s="2" customFormat="1" ht="15" customHeight="1">
      <c r="A78" s="44" t="s">
        <v>98</v>
      </c>
      <c r="B78" s="44"/>
      <c r="C78" s="45"/>
      <c r="D78" s="262" t="s">
        <v>122</v>
      </c>
      <c r="E78" s="285">
        <f>IFERROR(VLOOKUP(D78,'Employee Numbers'!$A$3:$B$84,2,FALSE),"NOT FOUND")</f>
        <v>654888</v>
      </c>
      <c r="F78" s="264" t="s">
        <v>42</v>
      </c>
      <c r="G78" s="264"/>
      <c r="H78" s="264" t="s">
        <v>42</v>
      </c>
      <c r="I78" s="264" t="s">
        <v>42</v>
      </c>
      <c r="J78" s="264" t="s">
        <v>42</v>
      </c>
      <c r="K78" s="264"/>
      <c r="L78" s="264"/>
      <c r="N78">
        <f t="array" ref="N78">((SUM(IFERROR((TEXT(IF(ISNUMBER(SEARCH("-", F78:L78)), MID(F78:L78, SEARCH("-", F78:L78) + 1, 4), ""), "00\:00") - TEXT(IF(ISNUMBER(SEARCH("-", F78:L78)), MID(F78:L78, SEARCH("-", F78:L78) - 4, 4), ""), "00\:00") + IF(TEXT(IF(ISNUMBER(SEARCH("-", F78:L78)), MID(F78:L78, SEARCH("-", F78:L78) + 1, 4), ""), "00\:00") &lt; TEXT(IF(ISNUMBER(SEARCH("-", F78:L78)), MID(F78:L78, SEARCH("-", F78:L78) - 4, 4), ""), "00\:00"), 1, 0))*24,""))))/9.5</f>
        <v>4</v>
      </c>
      <c r="O78"/>
      <c r="P78"/>
      <c r="Q78" s="2">
        <f t="shared" si="21"/>
        <v>4</v>
      </c>
      <c r="R78" s="2">
        <f t="shared" si="22"/>
        <v>5</v>
      </c>
      <c r="S78">
        <f t="shared" ca="1" si="23"/>
        <v>8</v>
      </c>
      <c r="T78" s="2">
        <f>(IFERROR(VLOOKUP(D78,'Employee Numbers'!$A$3:$C$84,3,FALSE),"NOT FOUND"))*8</f>
        <v>0</v>
      </c>
    </row>
    <row r="79" spans="1:20" s="2" customFormat="1" ht="15" customHeight="1">
      <c r="A79" s="2" t="s">
        <v>98</v>
      </c>
      <c r="C79" s="21"/>
      <c r="D79" s="262" t="s">
        <v>123</v>
      </c>
      <c r="E79" s="285">
        <f>IFERROR(VLOOKUP(D79,'Employee Numbers'!$A$3:$B$84,2,FALSE),"NOT FOUND")</f>
        <v>703880</v>
      </c>
      <c r="F79" s="264" t="s">
        <v>42</v>
      </c>
      <c r="G79" s="264" t="s">
        <v>42</v>
      </c>
      <c r="H79" s="264"/>
      <c r="I79" s="264"/>
      <c r="J79" s="264"/>
      <c r="K79" s="264" t="s">
        <v>44</v>
      </c>
      <c r="L79" s="264" t="s">
        <v>44</v>
      </c>
      <c r="N79">
        <f t="array" ref="N79">((SUM(IFERROR((TEXT(IF(ISNUMBER(SEARCH("-", F79:L79)), MID(F79:L79, SEARCH("-", F79:L79) + 1, 4), ""), "00\:00") - TEXT(IF(ISNUMBER(SEARCH("-", F79:L79)), MID(F79:L79, SEARCH("-", F79:L79) - 4, 4), ""), "00\:00") + IF(TEXT(IF(ISNUMBER(SEARCH("-", F79:L79)), MID(F79:L79, SEARCH("-", F79:L79) + 1, 4), ""), "00\:00") &lt; TEXT(IF(ISNUMBER(SEARCH("-", F79:L79)), MID(F79:L79, SEARCH("-", F79:L79) - 4, 4), ""), "00\:00"), 1, 0))*24,""))))/9.5</f>
        <v>4</v>
      </c>
      <c r="O79"/>
      <c r="P79"/>
      <c r="Q79" s="2">
        <f t="shared" si="21"/>
        <v>4</v>
      </c>
      <c r="R79" s="2">
        <f t="shared" si="22"/>
        <v>5</v>
      </c>
      <c r="S79">
        <f t="shared" ca="1" si="23"/>
        <v>8</v>
      </c>
      <c r="T79" s="2">
        <f>(IFERROR(VLOOKUP(D79,'Employee Numbers'!$A$3:$C$84,3,FALSE),"NOT FOUND"))*8</f>
        <v>0</v>
      </c>
    </row>
    <row r="80" spans="1:20" s="2" customFormat="1" ht="15" customHeight="1">
      <c r="A80" s="44" t="s">
        <v>98</v>
      </c>
      <c r="B80" s="44"/>
      <c r="C80" s="45"/>
      <c r="D80" s="262" t="s">
        <v>124</v>
      </c>
      <c r="E80" s="285">
        <f>IFERROR(VLOOKUP(D80,'Employee Numbers'!$A$3:$B$84,2,FALSE),"NOT FOUND")</f>
        <v>703334</v>
      </c>
      <c r="F80" s="264" t="s">
        <v>100</v>
      </c>
      <c r="G80" s="264" t="s">
        <v>100</v>
      </c>
      <c r="H80" s="264" t="s">
        <v>100</v>
      </c>
      <c r="I80" s="264" t="s">
        <v>100</v>
      </c>
      <c r="J80" s="264"/>
      <c r="K80" s="264"/>
      <c r="L80" s="264"/>
      <c r="N80">
        <f t="array" ref="N80">((SUM(IFERROR((TEXT(IF(ISNUMBER(SEARCH("-", F80:L80)), MID(F80:L80, SEARCH("-", F80:L80) + 1, 4), ""), "00\:00") - TEXT(IF(ISNUMBER(SEARCH("-", F80:L80)), MID(F80:L80, SEARCH("-", F80:L80) - 4, 4), ""), "00\:00") + IF(TEXT(IF(ISNUMBER(SEARCH("-", F80:L80)), MID(F80:L80, SEARCH("-", F80:L80) + 1, 4), ""), "00\:00") &lt; TEXT(IF(ISNUMBER(SEARCH("-", F80:L80)), MID(F80:L80, SEARCH("-", F80:L80) - 4, 4), ""), "00\:00"), 1, 0))*24,""))))/9.5</f>
        <v>3.9999999999999991</v>
      </c>
      <c r="O80"/>
      <c r="P80"/>
      <c r="Q80" s="2">
        <f t="shared" si="21"/>
        <v>3.9999999999999991</v>
      </c>
      <c r="R80" s="2">
        <f t="shared" si="22"/>
        <v>5</v>
      </c>
      <c r="S80">
        <f t="shared" ca="1" si="23"/>
        <v>7.9999999999999991</v>
      </c>
      <c r="T80" s="2">
        <f>(IFERROR(VLOOKUP(D80,'Employee Numbers'!$A$3:$C$84,3,FALSE),"NOT FOUND"))*8</f>
        <v>0</v>
      </c>
    </row>
    <row r="81" spans="1:21" s="13" customFormat="1" ht="15" customHeight="1">
      <c r="A81" s="2" t="s">
        <v>98</v>
      </c>
      <c r="B81" s="2"/>
      <c r="C81" s="21"/>
      <c r="D81" s="262" t="s">
        <v>125</v>
      </c>
      <c r="E81" s="285">
        <f>IFERROR(VLOOKUP(D81,'Employee Numbers'!$A$3:$B$84,2,FALSE),"NOT FOUND")</f>
        <v>700538</v>
      </c>
      <c r="F81" s="264"/>
      <c r="G81" s="264"/>
      <c r="H81" s="264"/>
      <c r="I81" s="264"/>
      <c r="J81" s="264" t="s">
        <v>44</v>
      </c>
      <c r="K81" s="264" t="s">
        <v>42</v>
      </c>
      <c r="L81" s="264" t="s">
        <v>42</v>
      </c>
      <c r="N81">
        <f t="array" ref="N81">((SUM(IFERROR((TEXT(IF(ISNUMBER(SEARCH("-", F81:L81)), MID(F81:L81, SEARCH("-", F81:L81) + 1, 4), ""), "00\:00") - TEXT(IF(ISNUMBER(SEARCH("-", F81:L81)), MID(F81:L81, SEARCH("-", F81:L81) - 4, 4), ""), "00\:00") + IF(TEXT(IF(ISNUMBER(SEARCH("-", F81:L81)), MID(F81:L81, SEARCH("-", F81:L81) + 1, 4), ""), "00\:00") &lt; TEXT(IF(ISNUMBER(SEARCH("-", F81:L81)), MID(F81:L81, SEARCH("-", F81:L81) - 4, 4), ""), "00\:00"), 1, 0))*24,""))))/9.5</f>
        <v>3</v>
      </c>
      <c r="O81"/>
      <c r="P81"/>
      <c r="Q81" s="2">
        <f>P81+O81+N81</f>
        <v>3</v>
      </c>
      <c r="R81" s="2">
        <f>IF(ISNUMBER(SEARCH("trg_5",H173)),5,IF(ISNUMBER(SEARCH("trg_3.75",H173)),3.75,IF(ISNUMBER(SEARCH("trg_2.5",H173)),2.5,IF(ISNUMBER(SEARCH("trg_1.75",H173)),1.75,0))))</f>
        <v>3.75</v>
      </c>
      <c r="S81">
        <f t="shared" ca="1" si="23"/>
        <v>6</v>
      </c>
      <c r="T81" s="2">
        <f>(IFERROR(VLOOKUP(D81,'Employee Numbers'!$A$3:$C$84,3,FALSE),"NOT FOUND"))*8</f>
        <v>0</v>
      </c>
      <c r="U81" s="2"/>
    </row>
    <row r="82" spans="1:21" s="2" customFormat="1" ht="15" customHeight="1">
      <c r="A82" s="44" t="s">
        <v>98</v>
      </c>
      <c r="B82" s="44"/>
      <c r="C82" s="45"/>
      <c r="D82" s="262" t="s">
        <v>126</v>
      </c>
      <c r="E82" s="285">
        <f>IFERROR(VLOOKUP(D82,'Employee Numbers'!$A$3:$B$84,2,FALSE),"NOT FOUND")</f>
        <v>704862</v>
      </c>
      <c r="F82" s="264"/>
      <c r="G82" s="264"/>
      <c r="H82" s="264"/>
      <c r="I82" s="264"/>
      <c r="J82" s="264"/>
      <c r="K82" s="264"/>
      <c r="L82" s="264"/>
      <c r="N82">
        <f t="array" ref="N82">((SUM(IFERROR((TEXT(IF(ISNUMBER(SEARCH("-", F82:L82)), MID(F82:L82, SEARCH("-", F82:L82) + 1, 4), ""), "00\:00") - TEXT(IF(ISNUMBER(SEARCH("-", F82:L82)), MID(F82:L82, SEARCH("-", F82:L82) - 4, 4), ""), "00\:00") + IF(TEXT(IF(ISNUMBER(SEARCH("-", F82:L82)), MID(F82:L82, SEARCH("-", F82:L82) + 1, 4), ""), "00\:00") &lt; TEXT(IF(ISNUMBER(SEARCH("-", F82:L82)), MID(F82:L82, SEARCH("-", F82:L82) - 4, 4), ""), "00\:00"), 1, 0))*24,""))))/9.5</f>
        <v>0</v>
      </c>
      <c r="O82"/>
      <c r="P82"/>
      <c r="Q82" s="2">
        <f>P82+O82+N82</f>
        <v>0</v>
      </c>
      <c r="R82" s="2">
        <f>IF(ISNUMBER(SEARCH("trg_5",H174)),5,IF(ISNUMBER(SEARCH("trg_3.75",H174)),3.75,IF(ISNUMBER(SEARCH("trg_2.5",H174)),2.5,IF(ISNUMBER(SEARCH("trg_1.75",H174)),1.75,0))))</f>
        <v>2.5</v>
      </c>
      <c r="S82">
        <f t="shared" ca="1" si="23"/>
        <v>3.9999999999999991</v>
      </c>
      <c r="T82" s="2">
        <f>(IFERROR(VLOOKUP(D82,'Employee Numbers'!$A$3:$C$84,3,FALSE),"NOT FOUND"))*8</f>
        <v>0</v>
      </c>
    </row>
    <row r="83" spans="1:21" s="2" customFormat="1" ht="15" customHeight="1">
      <c r="A83" s="2" t="s">
        <v>98</v>
      </c>
      <c r="C83" s="21"/>
      <c r="D83" s="262"/>
      <c r="E83" s="39" t="str">
        <f>IFERROR(VLOOKUP(D83,'Employee Numbers'!$A$3:$B$84,2,FALSE),"NOT FOUND")</f>
        <v>NOT FOUND</v>
      </c>
      <c r="F83" s="178"/>
      <c r="G83" s="178"/>
      <c r="H83" s="178"/>
      <c r="I83" s="178"/>
      <c r="J83" s="178"/>
      <c r="K83" s="178"/>
      <c r="L83" s="178"/>
      <c r="N83">
        <f t="array" ref="N83">((SUM(IFERROR((TEXT(IF(ISNUMBER(SEARCH("-", F83:L83)), MID(F83:L83, SEARCH("-", F83:L83) + 1, 4), ""), "00\:00") - TEXT(IF(ISNUMBER(SEARCH("-", F83:L83)), MID(F83:L83, SEARCH("-", F83:L83) - 4, 4), ""), "00\:00") + IF(TEXT(IF(ISNUMBER(SEARCH("-", F83:L83)), MID(F83:L83, SEARCH("-", F83:L83) + 1, 4), ""), "00\:00") &lt; TEXT(IF(ISNUMBER(SEARCH("-", F83:L83)), MID(F83:L83, SEARCH("-", F83:L83) - 4, 4), ""), "00\:00"), 1, 0))*24,""))))/9.5</f>
        <v>0</v>
      </c>
      <c r="O83"/>
      <c r="P83"/>
      <c r="Q83" s="2">
        <f>P83+O83+N83</f>
        <v>0</v>
      </c>
      <c r="R83" s="2">
        <f>IF(ISNUMBER(SEARCH("trg_5",H175)),5,IF(ISNUMBER(SEARCH("trg_3.75",H175)),3.75,IF(ISNUMBER(SEARCH("trg_2.5",H175)),2.5,IF(ISNUMBER(SEARCH("trg_1.75",H175)),1.75,0))))</f>
        <v>2.5</v>
      </c>
      <c r="S83">
        <f t="shared" ca="1" si="23"/>
        <v>0</v>
      </c>
      <c r="T83" s="2" t="e">
        <f>(IFERROR(VLOOKUP(D83,'Employee Numbers'!$A$3:$C$84,3,FALSE),"NOT FOUND"))*8</f>
        <v>#VALUE!</v>
      </c>
    </row>
    <row r="84" spans="1:21" s="2" customFormat="1" ht="15" customHeight="1">
      <c r="A84" s="44" t="s">
        <v>98</v>
      </c>
      <c r="B84" s="44"/>
      <c r="C84" s="45"/>
      <c r="D84" s="128"/>
      <c r="E84" s="129" t="str">
        <f>IFERROR(VLOOKUP(D84,'Employee Numbers'!$A$3:$B$84,2,FALSE),"NOT FOUND")</f>
        <v>NOT FOUND</v>
      </c>
      <c r="F84" s="136"/>
      <c r="G84" s="136"/>
      <c r="H84" s="136"/>
      <c r="I84" s="136"/>
      <c r="J84" s="136"/>
      <c r="K84" s="136"/>
      <c r="L84" s="136"/>
      <c r="N84">
        <f t="array" ref="N84">((SUM(IFERROR((TEXT(IF(ISNUMBER(SEARCH("-", F84:L84)), MID(F84:L84, SEARCH("-", F84:L84) + 1, 4), ""), "00\:00") - TEXT(IF(ISNUMBER(SEARCH("-", F84:L84)), MID(F84:L84, SEARCH("-", F84:L84) - 4, 4), ""), "00\:00") + IF(TEXT(IF(ISNUMBER(SEARCH("-", F84:L84)), MID(F84:L84, SEARCH("-", F84:L84) + 1, 4), ""), "00\:00") &lt; TEXT(IF(ISNUMBER(SEARCH("-", F84:L84)), MID(F84:L84, SEARCH("-", F84:L84) - 4, 4), ""), "00\:00"), 1, 0))*24,""))))/9.5</f>
        <v>0</v>
      </c>
      <c r="O84"/>
      <c r="P84"/>
      <c r="Q84" s="2">
        <f>P84+O84+N84</f>
        <v>0</v>
      </c>
      <c r="R84" s="2">
        <f>IF(ISNUMBER(SEARCH("trg_5",H176)),5,IF(ISNUMBER(SEARCH("trg_3.75",H176)),3.75,IF(ISNUMBER(SEARCH("trg_2.5",H176)),2.5,IF(ISNUMBER(SEARCH("trg_1.75",H176)),1.75,0))))</f>
        <v>5</v>
      </c>
      <c r="S84">
        <f t="shared" ca="1" si="23"/>
        <v>0</v>
      </c>
      <c r="T84" s="2" t="e">
        <f>(IFERROR(VLOOKUP(D84,'Employee Numbers'!$A$3:$C$84,3,FALSE),"NOT FOUND"))*8</f>
        <v>#VALUE!</v>
      </c>
    </row>
    <row r="85" spans="1:21" s="2" customFormat="1" ht="15" customHeight="1">
      <c r="A85" s="137" t="s">
        <v>128</v>
      </c>
      <c r="B85" s="138"/>
      <c r="C85" s="139"/>
      <c r="D85" s="140" t="s">
        <v>128</v>
      </c>
      <c r="E85" s="141" t="s">
        <v>4</v>
      </c>
      <c r="F85" s="281" t="s">
        <v>5</v>
      </c>
      <c r="G85" s="281" t="s">
        <v>6</v>
      </c>
      <c r="H85" s="281" t="s">
        <v>7</v>
      </c>
      <c r="I85" s="281" t="s">
        <v>8</v>
      </c>
      <c r="J85" s="281" t="s">
        <v>9</v>
      </c>
      <c r="K85" s="281" t="s">
        <v>10</v>
      </c>
      <c r="L85" s="282" t="s">
        <v>11</v>
      </c>
      <c r="M85" s="34"/>
      <c r="N85"/>
      <c r="O85"/>
      <c r="P85"/>
    </row>
    <row r="86" spans="1:21" s="2" customFormat="1" ht="15" customHeight="1">
      <c r="A86" s="44" t="s">
        <v>129</v>
      </c>
      <c r="B86" s="44"/>
      <c r="C86" s="45"/>
      <c r="D86" s="263" t="s">
        <v>130</v>
      </c>
      <c r="E86" s="284">
        <f>IFERROR(VLOOKUP(D86,'Employee Numbers'!$A$3:$B$84,2,FALSE),"NOT FOUND")</f>
        <v>703066</v>
      </c>
      <c r="F86" s="264" t="s">
        <v>44</v>
      </c>
      <c r="G86" s="264" t="s">
        <v>44</v>
      </c>
      <c r="H86" s="264" t="s">
        <v>44</v>
      </c>
      <c r="I86" s="264" t="s">
        <v>42</v>
      </c>
      <c r="J86" s="264"/>
      <c r="K86" s="264"/>
      <c r="L86" s="264"/>
      <c r="N86">
        <f t="array" ref="N86">((SUM(IFERROR((TEXT(IF(ISNUMBER(SEARCH("-", F86:L86)), MID(F86:L86, SEARCH("-", F86:L86) + 1, 4), ""), "00\:00") - TEXT(IF(ISNUMBER(SEARCH("-", F86:L86)), MID(F86:L86, SEARCH("-", F86:L86) - 4, 4), ""), "00\:00") + IF(TEXT(IF(ISNUMBER(SEARCH("-", F86:L86)), MID(F86:L86, SEARCH("-", F86:L86) + 1, 4), ""), "00\:00") &lt; TEXT(IF(ISNUMBER(SEARCH("-", F86:L86)), MID(F86:L86, SEARCH("-", F86:L86) - 4, 4), ""), "00\:00"), 1, 0))*24,""))))/9.5</f>
        <v>4</v>
      </c>
      <c r="O86"/>
      <c r="P86"/>
      <c r="Q86" s="2">
        <f>P86+O86+N86</f>
        <v>4</v>
      </c>
      <c r="S86">
        <f t="shared" ref="S86:S99" ca="1" si="24">IF($C$4=1,SUM(Q86+INDIRECT("'Week "&amp;($B$3+1)&amp;"'!Q"&amp;(ROW()))),IF($C$4=2,SUM(Q86+INDIRECT("'Week "&amp;($B$3-1)&amp;"'!Q"&amp;(ROW())))))</f>
        <v>8</v>
      </c>
      <c r="T86" s="2" t="e">
        <f>(IFERROR(VLOOKUP(D86,'Employee Numbers'!$A$3:$C$84,3,FALSE),"NOT FOUND"))*8</f>
        <v>#VALUE!</v>
      </c>
    </row>
    <row r="87" spans="1:21" s="2" customFormat="1" ht="15" customHeight="1">
      <c r="A87" s="2" t="s">
        <v>129</v>
      </c>
      <c r="C87" s="21"/>
      <c r="D87" s="263" t="s">
        <v>131</v>
      </c>
      <c r="E87" s="285">
        <f>IFERROR(VLOOKUP(D87,'Employee Numbers'!$A$3:$B$84,2,FALSE),"NOT FOUND")</f>
        <v>648637</v>
      </c>
      <c r="F87" s="264" t="s">
        <v>44</v>
      </c>
      <c r="G87" s="264" t="s">
        <v>44</v>
      </c>
      <c r="H87" s="264" t="s">
        <v>42</v>
      </c>
      <c r="I87" s="264" t="s">
        <v>42</v>
      </c>
      <c r="J87" s="264"/>
      <c r="K87" s="264"/>
      <c r="L87" s="264"/>
      <c r="N87">
        <f t="array" ref="N87">((SUM(IFERROR((TEXT(IF(ISNUMBER(SEARCH("-", F87:L87)), MID(F87:L87, SEARCH("-", F87:L87) + 1, 4), ""), "00\:00") - TEXT(IF(ISNUMBER(SEARCH("-", F87:L87)), MID(F87:L87, SEARCH("-", F87:L87) - 4, 4), ""), "00\:00") + IF(TEXT(IF(ISNUMBER(SEARCH("-", F87:L87)), MID(F87:L87, SEARCH("-", F87:L87) + 1, 4), ""), "00\:00") &lt; TEXT(IF(ISNUMBER(SEARCH("-", F87:L87)), MID(F87:L87, SEARCH("-", F87:L87) - 4, 4), ""), "00\:00"), 1, 0))*24,""))))/9.5</f>
        <v>4</v>
      </c>
      <c r="O87"/>
      <c r="P87"/>
      <c r="Q87" s="2">
        <f t="shared" ref="Q87:Q96" si="25">P87+O87+N87</f>
        <v>4</v>
      </c>
      <c r="S87">
        <f t="shared" ca="1" si="24"/>
        <v>8</v>
      </c>
      <c r="T87" s="2" t="e">
        <f>(IFERROR(VLOOKUP(D87,'Employee Numbers'!$A$3:$C$84,3,FALSE),"NOT FOUND"))*8</f>
        <v>#VALUE!</v>
      </c>
    </row>
    <row r="88" spans="1:21" s="13" customFormat="1" ht="15" customHeight="1">
      <c r="A88" s="44" t="s">
        <v>129</v>
      </c>
      <c r="B88" s="44"/>
      <c r="C88" s="45"/>
      <c r="D88" s="263" t="s">
        <v>132</v>
      </c>
      <c r="E88" s="285">
        <f>IFERROR(VLOOKUP(D88,'Employee Numbers'!$A$3:$B$84,2,FALSE),"NOT FOUND")</f>
        <v>703161</v>
      </c>
      <c r="F88" s="274" t="s">
        <v>176</v>
      </c>
      <c r="G88" s="274"/>
      <c r="H88" s="274"/>
      <c r="I88" s="274"/>
      <c r="J88" s="274"/>
      <c r="K88" s="274"/>
      <c r="L88" s="274"/>
      <c r="M88" s="2"/>
      <c r="N88">
        <f t="array" ref="N88">((SUM(IFERROR((TEXT(IF(ISNUMBER(SEARCH("-", F88:L88)), MID(F88:L88, SEARCH("-", F88:L88) + 1, 4), ""), "00\:00") - TEXT(IF(ISNUMBER(SEARCH("-", F88:L88)), MID(F88:L88, SEARCH("-", F88:L88) - 4, 4), ""), "00\:00") + IF(TEXT(IF(ISNUMBER(SEARCH("-", F88:L88)), MID(F88:L88, SEARCH("-", F88:L88) + 1, 4), ""), "00\:00") &lt; TEXT(IF(ISNUMBER(SEARCH("-", F88:L88)), MID(F88:L88, SEARCH("-", F88:L88) - 4, 4), ""), "00\:00"), 1, 0))*24,""))))/9.5</f>
        <v>0</v>
      </c>
      <c r="O88"/>
      <c r="P88"/>
      <c r="Q88" s="2">
        <f t="shared" si="25"/>
        <v>0</v>
      </c>
      <c r="R88" s="2"/>
      <c r="S88">
        <f t="shared" ca="1" si="24"/>
        <v>0</v>
      </c>
      <c r="T88" s="2" t="e">
        <f>(IFERROR(VLOOKUP(D88,'Employee Numbers'!$A$3:$C$84,3,FALSE),"NOT FOUND"))*8</f>
        <v>#VALUE!</v>
      </c>
      <c r="U88" s="2"/>
    </row>
    <row r="89" spans="1:21" s="2" customFormat="1" ht="15" customHeight="1">
      <c r="A89" s="2" t="s">
        <v>129</v>
      </c>
      <c r="C89" s="21"/>
      <c r="D89" s="263" t="s">
        <v>133</v>
      </c>
      <c r="E89" s="285">
        <f>IFERROR(VLOOKUP(D89,'Employee Numbers'!$A$3:$B$84,2,FALSE),"NOT FOUND")</f>
        <v>655179</v>
      </c>
      <c r="F89" s="264"/>
      <c r="G89" s="264"/>
      <c r="H89" s="264"/>
      <c r="I89" s="264"/>
      <c r="J89" s="264"/>
      <c r="K89" s="264"/>
      <c r="L89" s="264"/>
      <c r="N89">
        <f t="array" ref="N89">((SUM(IFERROR((TEXT(IF(ISNUMBER(SEARCH("-", F89:L89)), MID(F89:L89, SEARCH("-", F89:L89) + 1, 4), ""), "00\:00") - TEXT(IF(ISNUMBER(SEARCH("-", F89:L89)), MID(F89:L89, SEARCH("-", F89:L89) - 4, 4), ""), "00\:00") + IF(TEXT(IF(ISNUMBER(SEARCH("-", F89:L89)), MID(F89:L89, SEARCH("-", F89:L89) + 1, 4), ""), "00\:00") &lt; TEXT(IF(ISNUMBER(SEARCH("-", F89:L89)), MID(F89:L89, SEARCH("-", F89:L89) - 4, 4), ""), "00\:00"), 1, 0))*24,""))))/9.5</f>
        <v>0</v>
      </c>
      <c r="O89"/>
      <c r="P89"/>
      <c r="Q89" s="2">
        <f t="shared" si="25"/>
        <v>0</v>
      </c>
      <c r="S89">
        <f t="shared" ca="1" si="24"/>
        <v>0</v>
      </c>
      <c r="T89" s="2" t="e">
        <f>(IFERROR(VLOOKUP(D89,'Employee Numbers'!$A$3:$C$84,3,FALSE),"NOT FOUND"))*8</f>
        <v>#VALUE!</v>
      </c>
    </row>
    <row r="90" spans="1:21" s="2" customFormat="1" ht="15" customHeight="1">
      <c r="A90" s="44" t="s">
        <v>129</v>
      </c>
      <c r="B90" s="44"/>
      <c r="C90" s="45"/>
      <c r="D90" s="263" t="s">
        <v>134</v>
      </c>
      <c r="E90" s="285">
        <f>IFERROR(VLOOKUP(D90,'Employee Numbers'!$A$3:$B$84,2,FALSE),"NOT FOUND")</f>
        <v>700812</v>
      </c>
      <c r="F90" s="264"/>
      <c r="G90" s="264"/>
      <c r="H90" s="264"/>
      <c r="I90" s="264" t="s">
        <v>44</v>
      </c>
      <c r="J90" s="264" t="s">
        <v>44</v>
      </c>
      <c r="K90" s="264" t="s">
        <v>44</v>
      </c>
      <c r="L90" s="264" t="s">
        <v>44</v>
      </c>
      <c r="N90">
        <f t="array" ref="N90">((SUM(IFERROR((TEXT(IF(ISNUMBER(SEARCH("-", F90:L90)), MID(F90:L90, SEARCH("-", F90:L90) + 1, 4), ""), "00\:00") - TEXT(IF(ISNUMBER(SEARCH("-", F90:L90)), MID(F90:L90, SEARCH("-", F90:L90) - 4, 4), ""), "00\:00") + IF(TEXT(IF(ISNUMBER(SEARCH("-", F90:L90)), MID(F90:L90, SEARCH("-", F90:L90) + 1, 4), ""), "00\:00") &lt; TEXT(IF(ISNUMBER(SEARCH("-", F90:L90)), MID(F90:L90, SEARCH("-", F90:L90) - 4, 4), ""), "00\:00"), 1, 0))*24,""))))/9.5</f>
        <v>4</v>
      </c>
      <c r="O90"/>
      <c r="P90"/>
      <c r="Q90" s="2">
        <f t="shared" si="25"/>
        <v>4</v>
      </c>
      <c r="S90">
        <f t="shared" ca="1" si="24"/>
        <v>8</v>
      </c>
      <c r="T90" s="2" t="e">
        <f>(IFERROR(VLOOKUP(D90,'Employee Numbers'!$A$3:$C$84,3,FALSE),"NOT FOUND"))*8</f>
        <v>#VALUE!</v>
      </c>
    </row>
    <row r="91" spans="1:21" s="2" customFormat="1" ht="15" customHeight="1">
      <c r="A91" s="2" t="s">
        <v>129</v>
      </c>
      <c r="D91" s="263" t="s">
        <v>135</v>
      </c>
      <c r="E91" s="285">
        <f>IFERROR(VLOOKUP(D91,'Employee Numbers'!$A$3:$B$84,2,FALSE),"NOT FOUND")</f>
        <v>703157</v>
      </c>
      <c r="F91" s="264" t="s">
        <v>44</v>
      </c>
      <c r="G91" s="264" t="s">
        <v>42</v>
      </c>
      <c r="H91" s="264"/>
      <c r="I91" s="264" t="s">
        <v>44</v>
      </c>
      <c r="J91" s="264" t="s">
        <v>42</v>
      </c>
      <c r="K91" s="275"/>
      <c r="L91" s="275"/>
      <c r="N91">
        <f t="array" ref="N91">((SUM(IFERROR((TEXT(IF(ISNUMBER(SEARCH("-", F91:L91)), MID(F91:L91, SEARCH("-", F91:L91) + 1, 4), ""), "00\:00") - TEXT(IF(ISNUMBER(SEARCH("-", F91:L91)), MID(F91:L91, SEARCH("-", F91:L91) - 4, 4), ""), "00\:00") + IF(TEXT(IF(ISNUMBER(SEARCH("-", F91:L91)), MID(F91:L91, SEARCH("-", F91:L91) + 1, 4), ""), "00\:00") &lt; TEXT(IF(ISNUMBER(SEARCH("-", F91:L91)), MID(F91:L91, SEARCH("-", F91:L91) - 4, 4), ""), "00\:00"), 1, 0))*24,""))))/9.5</f>
        <v>4</v>
      </c>
      <c r="O91"/>
      <c r="P91"/>
      <c r="Q91" s="2">
        <f t="shared" si="25"/>
        <v>4</v>
      </c>
      <c r="S91">
        <f t="shared" ca="1" si="24"/>
        <v>7.9999999999999991</v>
      </c>
      <c r="T91" s="2" t="e">
        <f>(IFERROR(VLOOKUP(D91,'Employee Numbers'!$A$3:$C$84,3,FALSE),"NOT FOUND"))*8</f>
        <v>#VALUE!</v>
      </c>
    </row>
    <row r="92" spans="1:21" s="2" customFormat="1" ht="15" customHeight="1">
      <c r="A92" s="44" t="s">
        <v>129</v>
      </c>
      <c r="B92" s="44"/>
      <c r="C92" s="44"/>
      <c r="D92" s="263" t="s">
        <v>136</v>
      </c>
      <c r="E92" s="285">
        <f>IFERROR(VLOOKUP(D92,'Employee Numbers'!$A$3:$B$84,2,FALSE),"NOT FOUND")</f>
        <v>655173</v>
      </c>
      <c r="F92" s="264"/>
      <c r="G92" s="264" t="s">
        <v>42</v>
      </c>
      <c r="H92" s="264" t="s">
        <v>174</v>
      </c>
      <c r="I92" s="264"/>
      <c r="J92" s="264"/>
      <c r="K92" s="264" t="s">
        <v>42</v>
      </c>
      <c r="L92" s="264" t="s">
        <v>42</v>
      </c>
      <c r="N92">
        <f t="array" ref="N92">((SUM(IFERROR((TEXT(IF(ISNUMBER(SEARCH("-", F92:L92)), MID(F92:L92, SEARCH("-", F92:L92) + 1, 4), ""), "00\:00") - TEXT(IF(ISNUMBER(SEARCH("-", F92:L92)), MID(F92:L92, SEARCH("-", F92:L92) - 4, 4), ""), "00\:00") + IF(TEXT(IF(ISNUMBER(SEARCH("-", F92:L92)), MID(F92:L92, SEARCH("-", F92:L92) + 1, 4), ""), "00\:00") &lt; TEXT(IF(ISNUMBER(SEARCH("-", F92:L92)), MID(F92:L92, SEARCH("-", F92:L92) - 4, 4), ""), "00\:00"), 1, 0))*24,""))))/9.5</f>
        <v>4</v>
      </c>
      <c r="O92"/>
      <c r="P92"/>
      <c r="Q92" s="2">
        <f t="shared" si="25"/>
        <v>4</v>
      </c>
      <c r="S92">
        <f t="shared" ca="1" si="24"/>
        <v>8</v>
      </c>
      <c r="T92" s="2" t="e">
        <f>(IFERROR(VLOOKUP(D92,'Employee Numbers'!$A$3:$C$84,3,FALSE),"NOT FOUND"))*8</f>
        <v>#VALUE!</v>
      </c>
    </row>
    <row r="93" spans="1:21" s="2" customFormat="1" ht="15" customHeight="1">
      <c r="A93" s="44" t="s">
        <v>129</v>
      </c>
      <c r="B93" s="44"/>
      <c r="C93" s="45"/>
      <c r="D93" s="263" t="s">
        <v>137</v>
      </c>
      <c r="E93" s="285">
        <f>IFERROR(VLOOKUP(D93,'Employee Numbers'!$A$3:$B$84,2,FALSE),"NOT FOUND")</f>
        <v>705273</v>
      </c>
      <c r="F93" s="264" t="s">
        <v>42</v>
      </c>
      <c r="G93" s="264" t="s">
        <v>100</v>
      </c>
      <c r="H93" s="264" t="s">
        <v>100</v>
      </c>
      <c r="I93" s="264" t="s">
        <v>100</v>
      </c>
      <c r="J93" s="264"/>
      <c r="K93" s="264"/>
      <c r="L93" s="264"/>
      <c r="N93">
        <f t="array" ref="N93">((SUM(IFERROR((TEXT(IF(ISNUMBER(SEARCH("-", F93:L93)), MID(F93:L93, SEARCH("-", F93:L93) + 1, 4), ""), "00\:00") - TEXT(IF(ISNUMBER(SEARCH("-", F93:L93)), MID(F93:L93, SEARCH("-", F93:L93) - 4, 4), ""), "00\:00") + IF(TEXT(IF(ISNUMBER(SEARCH("-", F93:L93)), MID(F93:L93, SEARCH("-", F93:L93) + 1, 4), ""), "00\:00") &lt; TEXT(IF(ISNUMBER(SEARCH("-", F93:L93)), MID(F93:L93, SEARCH("-", F93:L93) - 4, 4), ""), "00\:00"), 1, 0))*24,""))))/9.5</f>
        <v>4</v>
      </c>
      <c r="O93"/>
      <c r="P93"/>
      <c r="Q93" s="2">
        <f t="shared" si="25"/>
        <v>4</v>
      </c>
      <c r="S93">
        <f t="shared" ca="1" si="24"/>
        <v>8</v>
      </c>
      <c r="T93" s="2" t="e">
        <f>(IFERROR(VLOOKUP(D93,'Employee Numbers'!$A$3:$C$84,3,FALSE),"NOT FOUND"))*8</f>
        <v>#VALUE!</v>
      </c>
    </row>
    <row r="94" spans="1:21" s="2" customFormat="1" ht="15" customHeight="1">
      <c r="A94" s="2" t="s">
        <v>129</v>
      </c>
      <c r="C94" s="21"/>
      <c r="D94" s="263" t="s">
        <v>138</v>
      </c>
      <c r="E94" s="285">
        <f>IFERROR(VLOOKUP(D94,'Employee Numbers'!$A$3:$B$84,2,FALSE),"NOT FOUND")</f>
        <v>703418</v>
      </c>
      <c r="F94" s="264" t="s">
        <v>42</v>
      </c>
      <c r="G94" s="264"/>
      <c r="H94" s="264"/>
      <c r="I94" s="264"/>
      <c r="J94" s="264" t="s">
        <v>100</v>
      </c>
      <c r="K94" s="264" t="s">
        <v>100</v>
      </c>
      <c r="L94" s="264" t="s">
        <v>100</v>
      </c>
      <c r="N94">
        <f t="array" ref="N94">((SUM(IFERROR((TEXT(IF(ISNUMBER(SEARCH("-", F94:L94)), MID(F94:L94, SEARCH("-", F94:L94) + 1, 4), ""), "00\:00") - TEXT(IF(ISNUMBER(SEARCH("-", F94:L94)), MID(F94:L94, SEARCH("-", F94:L94) - 4, 4), ""), "00\:00") + IF(TEXT(IF(ISNUMBER(SEARCH("-", F94:L94)), MID(F94:L94, SEARCH("-", F94:L94) + 1, 4), ""), "00\:00") &lt; TEXT(IF(ISNUMBER(SEARCH("-", F94:L94)), MID(F94:L94, SEARCH("-", F94:L94) - 4, 4), ""), "00\:00"), 1, 0))*24,""))))/9.5</f>
        <v>4</v>
      </c>
      <c r="O94"/>
      <c r="P94"/>
      <c r="Q94" s="2">
        <f t="shared" si="25"/>
        <v>4</v>
      </c>
      <c r="S94">
        <f t="shared" ca="1" si="24"/>
        <v>8</v>
      </c>
      <c r="T94" s="2" t="e">
        <f>(IFERROR(VLOOKUP(D94,'Employee Numbers'!$A$3:$C$84,3,FALSE),"NOT FOUND"))*8</f>
        <v>#VALUE!</v>
      </c>
    </row>
    <row r="95" spans="1:21" s="13" customFormat="1" ht="15" customHeight="1">
      <c r="A95" s="44" t="s">
        <v>129</v>
      </c>
      <c r="B95" s="44"/>
      <c r="C95" s="45"/>
      <c r="D95" s="263" t="s">
        <v>139</v>
      </c>
      <c r="E95" s="285">
        <f>IFERROR(VLOOKUP(D95,'Employee Numbers'!$A$3:$B$84,2,FALSE),"NOT FOUND")</f>
        <v>704108</v>
      </c>
      <c r="F95" s="264"/>
      <c r="G95" s="264" t="s">
        <v>44</v>
      </c>
      <c r="H95" s="264" t="s">
        <v>44</v>
      </c>
      <c r="I95" s="264" t="s">
        <v>44</v>
      </c>
      <c r="J95" s="264" t="s">
        <v>42</v>
      </c>
      <c r="K95" s="275"/>
      <c r="L95" s="275"/>
      <c r="M95" s="2"/>
      <c r="N95">
        <f t="array" ref="N95">((SUM(IFERROR((TEXT(IF(ISNUMBER(SEARCH("-", F95:L95)), MID(F95:L95, SEARCH("-", F95:L95) + 1, 4), ""), "00\:00") - TEXT(IF(ISNUMBER(SEARCH("-", F95:L95)), MID(F95:L95, SEARCH("-", F95:L95) - 4, 4), ""), "00\:00") + IF(TEXT(IF(ISNUMBER(SEARCH("-", F95:L95)), MID(F95:L95, SEARCH("-", F95:L95) + 1, 4), ""), "00\:00") &lt; TEXT(IF(ISNUMBER(SEARCH("-", F95:L95)), MID(F95:L95, SEARCH("-", F95:L95) - 4, 4), ""), "00\:00"), 1, 0))*24,""))))/9.5</f>
        <v>4</v>
      </c>
      <c r="O95"/>
      <c r="P95"/>
      <c r="Q95" s="2">
        <f t="shared" si="25"/>
        <v>4</v>
      </c>
      <c r="R95" s="2"/>
      <c r="S95">
        <f t="shared" ca="1" si="24"/>
        <v>7.9999999999999991</v>
      </c>
      <c r="T95" s="2" t="e">
        <f>(IFERROR(VLOOKUP(D95,'Employee Numbers'!$A$3:$C$84,3,FALSE),"NOT FOUND"))*8</f>
        <v>#VALUE!</v>
      </c>
      <c r="U95" s="2"/>
    </row>
    <row r="96" spans="1:21" s="2" customFormat="1" ht="15" customHeight="1">
      <c r="A96" s="2" t="s">
        <v>129</v>
      </c>
      <c r="C96" s="21"/>
      <c r="D96" s="263" t="s">
        <v>140</v>
      </c>
      <c r="E96" s="285">
        <f>IFERROR(VLOOKUP(D96,'Employee Numbers'!$A$3:$B$84,2,FALSE),"NOT FOUND")</f>
        <v>651515</v>
      </c>
      <c r="F96" s="264"/>
      <c r="G96" s="264"/>
      <c r="H96" s="264"/>
      <c r="I96" s="264" t="s">
        <v>42</v>
      </c>
      <c r="J96" s="264" t="s">
        <v>100</v>
      </c>
      <c r="K96" s="264" t="s">
        <v>100</v>
      </c>
      <c r="L96" s="264" t="s">
        <v>100</v>
      </c>
      <c r="N96">
        <f t="array" ref="N96">((SUM(IFERROR((TEXT(IF(ISNUMBER(SEARCH("-", F96:L96)), MID(F96:L96, SEARCH("-", F96:L96) + 1, 4), ""), "00\:00") - TEXT(IF(ISNUMBER(SEARCH("-", F96:L96)), MID(F96:L96, SEARCH("-", F96:L96) - 4, 4), ""), "00\:00") + IF(TEXT(IF(ISNUMBER(SEARCH("-", F96:L96)), MID(F96:L96, SEARCH("-", F96:L96) + 1, 4), ""), "00\:00") &lt; TEXT(IF(ISNUMBER(SEARCH("-", F96:L96)), MID(F96:L96, SEARCH("-", F96:L96) - 4, 4), ""), "00\:00"), 1, 0))*24,""))))/9.5</f>
        <v>4</v>
      </c>
      <c r="O96"/>
      <c r="P96"/>
      <c r="Q96" s="2">
        <f t="shared" si="25"/>
        <v>4</v>
      </c>
      <c r="S96">
        <f t="shared" ca="1" si="24"/>
        <v>8</v>
      </c>
      <c r="T96" s="2" t="e">
        <f>(IFERROR(VLOOKUP(D96,'Employee Numbers'!$A$3:$C$84,3,FALSE),"NOT FOUND"))*8</f>
        <v>#VALUE!</v>
      </c>
    </row>
    <row r="97" spans="1:20" s="2" customFormat="1" ht="15" customHeight="1">
      <c r="A97" s="44" t="s">
        <v>129</v>
      </c>
      <c r="B97" s="44"/>
      <c r="C97" s="45"/>
      <c r="D97" s="263" t="s">
        <v>141</v>
      </c>
      <c r="E97" s="285">
        <f>IFERROR(VLOOKUP(D97,'Employee Numbers'!$A$3:$B$84,2,FALSE),"NOT FOUND")</f>
        <v>705199</v>
      </c>
      <c r="F97" s="264" t="s">
        <v>100</v>
      </c>
      <c r="G97" s="264"/>
      <c r="H97" s="264"/>
      <c r="I97" s="264"/>
      <c r="J97" s="264" t="s">
        <v>44</v>
      </c>
      <c r="K97" s="264" t="s">
        <v>44</v>
      </c>
      <c r="L97" s="264" t="s">
        <v>44</v>
      </c>
      <c r="N97">
        <f t="array" ref="N97">((SUM(IFERROR((TEXT(IF(ISNUMBER(SEARCH("-", F97:L97)), MID(F97:L97, SEARCH("-", F97:L97) + 1, 4), ""), "00\:00") - TEXT(IF(ISNUMBER(SEARCH("-", F97:L97)), MID(F97:L97, SEARCH("-", F97:L97) - 4, 4), ""), "00\:00") + IF(TEXT(IF(ISNUMBER(SEARCH("-", F97:L97)), MID(F97:L97, SEARCH("-", F97:L97) + 1, 4), ""), "00\:00") &lt; TEXT(IF(ISNUMBER(SEARCH("-", F97:L97)), MID(F97:L97, SEARCH("-", F97:L97) - 4, 4), ""), "00\:00"), 1, 0))*24,""))))/9.5</f>
        <v>4</v>
      </c>
      <c r="O97"/>
      <c r="P97"/>
      <c r="Q97" s="2">
        <f>P97+O97+N97</f>
        <v>4</v>
      </c>
      <c r="S97">
        <f t="shared" ca="1" si="24"/>
        <v>8</v>
      </c>
      <c r="T97" s="2" t="e">
        <f>(IFERROR(VLOOKUP(D97,'Employee Numbers'!$A$3:$C$84,3,FALSE),"NOT FOUND"))*8</f>
        <v>#VALUE!</v>
      </c>
    </row>
    <row r="98" spans="1:20" s="2" customFormat="1" ht="15" customHeight="1">
      <c r="A98" s="2" t="s">
        <v>129</v>
      </c>
      <c r="D98" s="31"/>
      <c r="E98" s="39" t="str">
        <f>IFERROR(VLOOKUP(D98,'Employee Numbers'!$A$3:$B$84,2,FALSE),"NOT FOUND")</f>
        <v>NOT FOUND</v>
      </c>
      <c r="F98" s="130"/>
      <c r="G98" s="130"/>
      <c r="H98" s="130"/>
      <c r="I98" s="130"/>
      <c r="J98" s="130"/>
      <c r="K98" s="130"/>
      <c r="L98" s="130"/>
      <c r="N98">
        <f t="array" ref="N98">((SUM(IFERROR((TEXT(IF(ISNUMBER(SEARCH("-", F98:L98)), MID(F98:L98, SEARCH("-", F98:L98) + 1, 4), ""), "00\:00") - TEXT(IF(ISNUMBER(SEARCH("-", F98:L98)), MID(F98:L98, SEARCH("-", F98:L98) - 4, 4), ""), "00\:00") + IF(TEXT(IF(ISNUMBER(SEARCH("-", F98:L98)), MID(F98:L98, SEARCH("-", F98:L98) + 1, 4), ""), "00\:00") &lt; TEXT(IF(ISNUMBER(SEARCH("-", F98:L98)), MID(F98:L98, SEARCH("-", F98:L98) - 4, 4), ""), "00\:00"), 1, 0))*24,""))))/9.5</f>
        <v>0</v>
      </c>
      <c r="O98"/>
      <c r="P98"/>
      <c r="Q98" s="2">
        <f>P98+O98+N98</f>
        <v>0</v>
      </c>
      <c r="S98">
        <f t="shared" ca="1" si="24"/>
        <v>0</v>
      </c>
      <c r="T98" s="2" t="e">
        <f>(IFERROR(VLOOKUP(D98,'Employee Numbers'!$A$3:$C$84,3,FALSE),"NOT FOUND"))*8</f>
        <v>#VALUE!</v>
      </c>
    </row>
    <row r="99" spans="1:20" s="2" customFormat="1" ht="15" customHeight="1">
      <c r="A99" s="44" t="s">
        <v>129</v>
      </c>
      <c r="B99" s="44"/>
      <c r="C99" s="44"/>
      <c r="D99" s="30"/>
      <c r="E99" s="39" t="str">
        <f>IFERROR(VLOOKUP(D99,'Employee Numbers'!$A$3:$B$84,2,FALSE),"NOT FOUND")</f>
        <v>NOT FOUND</v>
      </c>
      <c r="F99" s="37"/>
      <c r="G99" s="37"/>
      <c r="H99" s="37"/>
      <c r="I99" s="37"/>
      <c r="J99" s="37"/>
      <c r="K99" s="37"/>
      <c r="L99" s="37"/>
      <c r="N99">
        <f t="array" ref="N99">((SUM(IFERROR((TEXT(IF(ISNUMBER(SEARCH("-", F99:L99)), MID(F99:L99, SEARCH("-", F99:L99) + 1, 4), ""), "00\:00") - TEXT(IF(ISNUMBER(SEARCH("-", F99:L99)), MID(F99:L99, SEARCH("-", F99:L99) - 4, 4), ""), "00\:00") + IF(TEXT(IF(ISNUMBER(SEARCH("-", F99:L99)), MID(F99:L99, SEARCH("-", F99:L99) + 1, 4), ""), "00\:00") &lt; TEXT(IF(ISNUMBER(SEARCH("-", F99:L99)), MID(F99:L99, SEARCH("-", F99:L99) - 4, 4), ""), "00\:00"), 1, 0))*24,""))))/9.5</f>
        <v>0</v>
      </c>
      <c r="O99"/>
      <c r="P99"/>
      <c r="Q99" s="2">
        <f>P99+O99+N99</f>
        <v>0</v>
      </c>
      <c r="S99">
        <f t="shared" ca="1" si="24"/>
        <v>0</v>
      </c>
      <c r="T99" s="2" t="e">
        <f>(IFERROR(VLOOKUP(D99,'Employee Numbers'!$A$3:$C$84,3,FALSE),"NOT FOUND"))*8</f>
        <v>#VALUE!</v>
      </c>
    </row>
    <row r="100" spans="1:20" s="2" customFormat="1" ht="15" customHeight="1">
      <c r="A100" s="56" t="s">
        <v>142</v>
      </c>
      <c r="B100" s="52"/>
      <c r="C100" s="53"/>
      <c r="D100" s="56" t="s">
        <v>142</v>
      </c>
      <c r="E100" s="41" t="s">
        <v>4</v>
      </c>
      <c r="F100" s="40" t="s">
        <v>5</v>
      </c>
      <c r="G100" s="40" t="s">
        <v>6</v>
      </c>
      <c r="H100" s="40" t="s">
        <v>7</v>
      </c>
      <c r="I100" s="40" t="s">
        <v>8</v>
      </c>
      <c r="J100" s="40" t="s">
        <v>9</v>
      </c>
      <c r="K100" s="40" t="s">
        <v>10</v>
      </c>
      <c r="L100" s="40" t="s">
        <v>11</v>
      </c>
      <c r="M100" s="5"/>
    </row>
    <row r="101" spans="1:20" s="2" customFormat="1" ht="15" customHeight="1">
      <c r="A101" s="2" t="s">
        <v>143</v>
      </c>
      <c r="B101" s="5"/>
      <c r="C101" s="8"/>
      <c r="D101" s="31"/>
      <c r="E101" s="39" t="str">
        <f>IFERROR(VLOOKUP(D101,'Employee Numbers'!$A$3:$B$84,2,FALSE),"NOT FOUND")</f>
        <v>NOT FOUND</v>
      </c>
      <c r="F101" s="31"/>
      <c r="G101" s="31"/>
      <c r="H101" s="31"/>
      <c r="I101" s="31"/>
      <c r="J101" s="31"/>
      <c r="K101" s="31"/>
      <c r="L101" s="31"/>
      <c r="M101" s="5"/>
      <c r="N101">
        <f t="array" ref="N101">((SUM(IFERROR((TEXT(IF(ISNUMBER(SEARCH("-", F101:L101)), MID(F101:L101, SEARCH("-", F101:L101) + 1, 4), ""), "00\:00") - TEXT(IF(ISNUMBER(SEARCH("-", F101:L101)), MID(F101:L101, SEARCH("-", F101:L101) - 4, 4), ""), "00\:00") + IF(TEXT(IF(ISNUMBER(SEARCH("-", F101:L101)), MID(F101:L101, SEARCH("-", F101:L101) + 1, 4), ""), "00\:00") &lt; TEXT(IF(ISNUMBER(SEARCH("-", F101:L101)), MID(F101:L101, SEARCH("-", F101:L101) - 4, 4), ""), "00\:00"), 1, 0))*24,""))))/9.5</f>
        <v>0</v>
      </c>
      <c r="O101"/>
      <c r="P101"/>
      <c r="Q101" s="2">
        <f>P101+O101+N101</f>
        <v>0</v>
      </c>
      <c r="S101">
        <f t="shared" ref="S101:S102" ca="1" si="26">IF($C$4=1,SUM(Q101+INDIRECT("'Week "&amp;($B$3+1)&amp;"'!Q"&amp;(ROW()))),IF($C$4=2,SUM(Q101+INDIRECT("'Week "&amp;($B$3-1)&amp;"'!Q"&amp;(ROW())))))</f>
        <v>0</v>
      </c>
      <c r="T101" s="2" t="e">
        <f>(IFERROR(VLOOKUP(D101,'Employee Numbers'!$A$3:$C$84,3,FALSE),"NOT FOUND"))*8</f>
        <v>#VALUE!</v>
      </c>
    </row>
    <row r="102" spans="1:20" s="2" customFormat="1" ht="15" customHeight="1">
      <c r="A102" s="44" t="s">
        <v>143</v>
      </c>
      <c r="B102" s="5"/>
      <c r="C102" s="8"/>
      <c r="D102" s="31"/>
      <c r="E102" s="39" t="str">
        <f>IFERROR(VLOOKUP(D102,'Employee Numbers'!$A$3:$B$84,2,FALSE),"NOT FOUND")</f>
        <v>NOT FOUND</v>
      </c>
      <c r="F102" s="31"/>
      <c r="G102" s="31"/>
      <c r="H102" s="31"/>
      <c r="I102" s="31"/>
      <c r="J102" s="31"/>
      <c r="K102" s="31"/>
      <c r="L102" s="31"/>
      <c r="M102" s="5"/>
      <c r="N102">
        <f t="array" ref="N102">((SUM(IFERROR((TEXT(IF(ISNUMBER(SEARCH("-", F102:L102)), MID(F102:L102, SEARCH("-", F102:L102) + 1, 4), ""), "00\:00") - TEXT(IF(ISNUMBER(SEARCH("-", F102:L102)), MID(F102:L102, SEARCH("-", F102:L102) - 4, 4), ""), "00\:00") + IF(TEXT(IF(ISNUMBER(SEARCH("-", F102:L102)), MID(F102:L102, SEARCH("-", F102:L102) + 1, 4), ""), "00\:00") &lt; TEXT(IF(ISNUMBER(SEARCH("-", F102:L102)), MID(F102:L102, SEARCH("-", F102:L102) - 4, 4), ""), "00\:00"), 1, 0))*24,""))))/9.5</f>
        <v>0</v>
      </c>
      <c r="O102"/>
      <c r="P102"/>
      <c r="Q102" s="2">
        <f>P102+O102+N102</f>
        <v>0</v>
      </c>
      <c r="S102">
        <f t="shared" ca="1" si="26"/>
        <v>0</v>
      </c>
      <c r="T102" s="2" t="e">
        <f>(IFERROR(VLOOKUP(D102,'Employee Numbers'!$A$3:$C$84,3,FALSE),"NOT FOUND"))*8</f>
        <v>#VALUE!</v>
      </c>
    </row>
    <row r="103" spans="1:20" s="2" customFormat="1" ht="15" customHeight="1">
      <c r="A103" s="54" t="s">
        <v>148</v>
      </c>
      <c r="B103" s="54"/>
      <c r="C103" s="54"/>
      <c r="D103" s="57" t="s">
        <v>148</v>
      </c>
      <c r="E103" s="107"/>
      <c r="F103" s="57"/>
      <c r="G103" s="57"/>
      <c r="H103" s="57"/>
      <c r="I103" s="57"/>
      <c r="J103" s="57"/>
      <c r="K103" s="57"/>
      <c r="L103" s="57"/>
      <c r="M103" s="5"/>
      <c r="N103"/>
      <c r="O103"/>
      <c r="Q103"/>
    </row>
    <row r="104" spans="1:20" ht="15" customHeight="1">
      <c r="B104" s="2"/>
      <c r="C104" s="21"/>
      <c r="D104" s="31"/>
      <c r="E104" s="154" t="s">
        <v>149</v>
      </c>
      <c r="F104" s="31"/>
      <c r="G104" s="31"/>
      <c r="H104" s="31"/>
      <c r="I104" s="31"/>
      <c r="J104" s="31"/>
      <c r="K104" s="31"/>
      <c r="L104" s="31"/>
      <c r="N104"/>
      <c r="O104"/>
      <c r="P104" s="2"/>
      <c r="Q104"/>
      <c r="R104" s="2"/>
    </row>
    <row r="105" spans="1:20" ht="15" customHeight="1" thickBot="1">
      <c r="L105" s="6"/>
      <c r="N105"/>
      <c r="O105"/>
      <c r="P105" s="2"/>
      <c r="Q105"/>
      <c r="R105" s="2"/>
    </row>
    <row r="106" spans="1:20" ht="15" customHeight="1">
      <c r="D106" s="77" t="s">
        <v>150</v>
      </c>
      <c r="F106" s="88" t="s">
        <v>151</v>
      </c>
      <c r="G106" s="89"/>
      <c r="H106" s="89"/>
      <c r="I106" s="89"/>
      <c r="J106" s="89"/>
      <c r="K106" s="89"/>
      <c r="L106" s="90"/>
      <c r="N106"/>
      <c r="O106"/>
      <c r="P106" s="2"/>
      <c r="Q106"/>
      <c r="R106" s="2"/>
    </row>
    <row r="107" spans="1:20" ht="15" customHeight="1">
      <c r="D107" s="78" t="s">
        <v>152</v>
      </c>
      <c r="F107" s="24" t="s">
        <v>153</v>
      </c>
      <c r="G107"/>
      <c r="L107" s="6"/>
      <c r="N107" s="2"/>
      <c r="O107" s="2"/>
      <c r="P107" s="2"/>
      <c r="Q107" s="2"/>
      <c r="R107" s="2"/>
    </row>
    <row r="108" spans="1:20" ht="15" customHeight="1">
      <c r="D108" s="79" t="s">
        <v>154</v>
      </c>
      <c r="F108" s="24" t="s">
        <v>155</v>
      </c>
      <c r="G108"/>
      <c r="L108" s="6"/>
      <c r="N108"/>
      <c r="O108"/>
      <c r="P108" s="2"/>
      <c r="Q108"/>
      <c r="R108" s="2"/>
    </row>
    <row r="109" spans="1:20" ht="15" customHeight="1">
      <c r="D109" s="80" t="s">
        <v>156</v>
      </c>
      <c r="F109" s="24" t="s">
        <v>157</v>
      </c>
      <c r="G109"/>
      <c r="L109" s="6"/>
      <c r="N109"/>
      <c r="O109"/>
      <c r="P109" s="2"/>
      <c r="Q109"/>
      <c r="R109" s="2"/>
    </row>
    <row r="110" spans="1:20" ht="15" customHeight="1">
      <c r="D110" s="81" t="s">
        <v>158</v>
      </c>
      <c r="F110" s="24" t="s">
        <v>159</v>
      </c>
      <c r="G110"/>
      <c r="L110" s="6"/>
      <c r="N110" s="2"/>
      <c r="O110" s="2"/>
      <c r="P110" s="2"/>
      <c r="Q110" s="2"/>
      <c r="R110" s="2"/>
    </row>
    <row r="111" spans="1:20" ht="15" customHeight="1" thickBot="1">
      <c r="A111" s="2"/>
      <c r="F111" s="25" t="s">
        <v>160</v>
      </c>
      <c r="G111" s="17"/>
      <c r="H111" s="7"/>
      <c r="I111" s="7"/>
      <c r="J111" s="7"/>
      <c r="K111" s="7"/>
      <c r="L111" s="18"/>
      <c r="N111" s="2"/>
      <c r="O111" s="2"/>
      <c r="P111" s="2"/>
      <c r="Q111" s="2"/>
      <c r="R111" s="2"/>
    </row>
    <row r="112" spans="1:20" ht="15" customHeight="1">
      <c r="G112" s="14"/>
    </row>
    <row r="113" spans="1:18" s="2" customFormat="1" ht="15" customHeight="1">
      <c r="A113" s="42" t="s">
        <v>38</v>
      </c>
      <c r="B113" s="33"/>
      <c r="C113" s="43"/>
      <c r="D113" s="82" t="s">
        <v>38</v>
      </c>
      <c r="E113" s="19"/>
      <c r="F113" s="10"/>
      <c r="G113" s="11"/>
      <c r="H113" s="11"/>
      <c r="I113" s="11"/>
      <c r="J113" s="11"/>
      <c r="K113" s="11"/>
      <c r="L113" s="15"/>
      <c r="M113" s="5"/>
      <c r="N113" s="5"/>
      <c r="O113" s="5"/>
      <c r="P113" s="5"/>
      <c r="Q113" s="5"/>
      <c r="R113" s="5"/>
    </row>
    <row r="114" spans="1:18" ht="15" customHeight="1" thickBot="1"/>
    <row r="115" spans="1:18" ht="15" customHeight="1" thickBot="1">
      <c r="A115" s="2" t="s">
        <v>161</v>
      </c>
      <c r="B115" s="55" t="s">
        <v>162</v>
      </c>
      <c r="C115" s="21"/>
      <c r="D115" s="27" t="str">
        <f t="shared" ref="D115:D143" si="27">D21</f>
        <v>Dr Adam West</v>
      </c>
      <c r="E115" s="22">
        <f>IFERROR(VLOOKUP(D115,'Employee Numbers'!$A$3:$B$84,2,FALSE),"NOT FOUND")</f>
        <v>287628</v>
      </c>
      <c r="F115" s="9" t="str">
        <f t="shared" ref="F115:L130" si="28">IF(F$50=$D115,"Con_8_0000","")</f>
        <v/>
      </c>
      <c r="G115" s="9" t="str">
        <f t="shared" si="28"/>
        <v/>
      </c>
      <c r="H115" s="9" t="str">
        <f t="shared" si="28"/>
        <v/>
      </c>
      <c r="I115" s="9" t="str">
        <f t="shared" si="28"/>
        <v/>
      </c>
      <c r="J115" s="9" t="str">
        <f t="shared" si="28"/>
        <v/>
      </c>
      <c r="K115" s="9" t="str">
        <f t="shared" si="28"/>
        <v/>
      </c>
      <c r="L115" s="9" t="str">
        <f t="shared" si="28"/>
        <v/>
      </c>
    </row>
    <row r="116" spans="1:18" ht="15" customHeight="1" thickBot="1">
      <c r="A116" s="2" t="s">
        <v>161</v>
      </c>
      <c r="B116" s="55" t="s">
        <v>162</v>
      </c>
      <c r="C116" s="21"/>
      <c r="D116" s="27" t="str">
        <f t="shared" si="27"/>
        <v>Dr Toby VanHest</v>
      </c>
      <c r="E116" s="22">
        <f>IFERROR(VLOOKUP(D116,'Employee Numbers'!$A$3:$B$84,2,FALSE),"NOT FOUND")</f>
        <v>609660</v>
      </c>
      <c r="F116" s="9" t="str">
        <f t="shared" si="28"/>
        <v/>
      </c>
      <c r="G116" s="9" t="str">
        <f t="shared" si="28"/>
        <v/>
      </c>
      <c r="H116" s="9" t="str">
        <f t="shared" si="28"/>
        <v>Con_8_0000</v>
      </c>
      <c r="I116" s="9" t="str">
        <f t="shared" si="28"/>
        <v/>
      </c>
      <c r="J116" s="9" t="str">
        <f t="shared" si="28"/>
        <v/>
      </c>
      <c r="K116" s="9" t="str">
        <f t="shared" si="28"/>
        <v/>
      </c>
      <c r="L116" s="9" t="str">
        <f t="shared" si="28"/>
        <v/>
      </c>
    </row>
    <row r="117" spans="1:18" ht="15" customHeight="1" thickBot="1">
      <c r="A117" s="2" t="s">
        <v>161</v>
      </c>
      <c r="B117" s="55" t="s">
        <v>162</v>
      </c>
      <c r="C117" s="21"/>
      <c r="D117" s="27" t="str">
        <f t="shared" si="27"/>
        <v>Dr Bob Seith</v>
      </c>
      <c r="E117" s="22">
        <f>IFERROR(VLOOKUP(D117,'Employee Numbers'!$A$3:$B$84,2,FALSE),"NOT FOUND")</f>
        <v>610036</v>
      </c>
      <c r="F117" s="9" t="str">
        <f t="shared" si="28"/>
        <v/>
      </c>
      <c r="G117" s="9" t="str">
        <f t="shared" si="28"/>
        <v>Con_8_0000</v>
      </c>
      <c r="H117" s="9" t="str">
        <f t="shared" si="28"/>
        <v/>
      </c>
      <c r="I117" s="9" t="str">
        <f t="shared" si="28"/>
        <v/>
      </c>
      <c r="J117" s="9" t="str">
        <f t="shared" si="28"/>
        <v/>
      </c>
      <c r="K117" s="9" t="str">
        <f t="shared" si="28"/>
        <v/>
      </c>
      <c r="L117" s="9" t="str">
        <f t="shared" si="28"/>
        <v/>
      </c>
    </row>
    <row r="118" spans="1:18" ht="15" customHeight="1" thickBot="1">
      <c r="A118" s="2" t="s">
        <v>161</v>
      </c>
      <c r="B118" s="55" t="s">
        <v>162</v>
      </c>
      <c r="C118" s="21"/>
      <c r="D118" s="27" t="str">
        <f t="shared" si="27"/>
        <v>Dr Simon Craig</v>
      </c>
      <c r="E118" s="22">
        <f>IFERROR(VLOOKUP(D118,'Employee Numbers'!$A$3:$B$84,2,FALSE),"NOT FOUND")</f>
        <v>533509</v>
      </c>
      <c r="F118" s="9" t="str">
        <f t="shared" si="28"/>
        <v/>
      </c>
      <c r="G118" s="9" t="str">
        <f t="shared" si="28"/>
        <v/>
      </c>
      <c r="H118" s="9" t="str">
        <f t="shared" si="28"/>
        <v/>
      </c>
      <c r="I118" s="9" t="str">
        <f t="shared" si="28"/>
        <v/>
      </c>
      <c r="J118" s="9" t="str">
        <f t="shared" si="28"/>
        <v/>
      </c>
      <c r="K118" s="9" t="str">
        <f t="shared" si="28"/>
        <v/>
      </c>
      <c r="L118" s="9" t="str">
        <f t="shared" si="28"/>
        <v/>
      </c>
    </row>
    <row r="119" spans="1:18" ht="15" customHeight="1" thickBot="1">
      <c r="A119" s="2" t="s">
        <v>161</v>
      </c>
      <c r="B119" s="55" t="s">
        <v>162</v>
      </c>
      <c r="C119" s="21"/>
      <c r="D119" s="27" t="str">
        <f t="shared" si="27"/>
        <v>Dr Celia Bagshaw</v>
      </c>
      <c r="E119" s="22">
        <f>IFERROR(VLOOKUP(D119,'Employee Numbers'!$A$3:$B$84,2,FALSE),"NOT FOUND")</f>
        <v>625985</v>
      </c>
      <c r="F119" s="9" t="str">
        <f t="shared" si="28"/>
        <v/>
      </c>
      <c r="G119" s="9" t="str">
        <f t="shared" si="28"/>
        <v/>
      </c>
      <c r="H119" s="9" t="str">
        <f t="shared" si="28"/>
        <v/>
      </c>
      <c r="I119" s="9" t="str">
        <f t="shared" si="28"/>
        <v/>
      </c>
      <c r="J119" s="9" t="str">
        <f t="shared" si="28"/>
        <v/>
      </c>
      <c r="K119" s="9" t="str">
        <f t="shared" si="28"/>
        <v/>
      </c>
      <c r="L119" s="9" t="str">
        <f t="shared" si="28"/>
        <v/>
      </c>
    </row>
    <row r="120" spans="1:18" ht="15" customHeight="1" thickBot="1">
      <c r="A120" s="2" t="s">
        <v>161</v>
      </c>
      <c r="B120" s="55" t="s">
        <v>162</v>
      </c>
      <c r="C120" s="21"/>
      <c r="D120" s="27" t="str">
        <f t="shared" si="27"/>
        <v>Dr Adnan Bilgrami</v>
      </c>
      <c r="E120" s="22">
        <f>IFERROR(VLOOKUP(D120,'Employee Numbers'!$A$3:$B$84,2,FALSE),"NOT FOUND")</f>
        <v>632301</v>
      </c>
      <c r="F120" s="9" t="str">
        <f t="shared" si="28"/>
        <v/>
      </c>
      <c r="G120" s="9" t="str">
        <f t="shared" si="28"/>
        <v/>
      </c>
      <c r="H120" s="9" t="str">
        <f t="shared" si="28"/>
        <v/>
      </c>
      <c r="I120" s="9" t="str">
        <f t="shared" si="28"/>
        <v/>
      </c>
      <c r="J120" s="9" t="str">
        <f t="shared" si="28"/>
        <v/>
      </c>
      <c r="K120" s="9" t="str">
        <f t="shared" si="28"/>
        <v/>
      </c>
      <c r="L120" s="9" t="str">
        <f t="shared" si="28"/>
        <v/>
      </c>
    </row>
    <row r="121" spans="1:18" ht="15" customHeight="1" thickBot="1">
      <c r="A121" s="2" t="s">
        <v>161</v>
      </c>
      <c r="B121" s="55" t="s">
        <v>162</v>
      </c>
      <c r="C121" s="21"/>
      <c r="D121" s="27" t="str">
        <f t="shared" si="27"/>
        <v>Dr Preeti Ramaswamy</v>
      </c>
      <c r="E121" s="22">
        <f>IFERROR(VLOOKUP(D121,'Employee Numbers'!$A$3:$B$84,2,FALSE),"NOT FOUND")</f>
        <v>613891</v>
      </c>
      <c r="F121" s="9" t="str">
        <f t="shared" si="28"/>
        <v/>
      </c>
      <c r="G121" s="9" t="str">
        <f t="shared" si="28"/>
        <v/>
      </c>
      <c r="H121" s="9" t="str">
        <f t="shared" si="28"/>
        <v/>
      </c>
      <c r="I121" s="9" t="str">
        <f t="shared" si="28"/>
        <v>Con_8_0000</v>
      </c>
      <c r="J121" s="9" t="str">
        <f t="shared" si="28"/>
        <v/>
      </c>
      <c r="K121" s="9" t="str">
        <f t="shared" si="28"/>
        <v/>
      </c>
      <c r="L121" s="9" t="str">
        <f t="shared" si="28"/>
        <v/>
      </c>
      <c r="N121" s="2"/>
      <c r="O121" s="2"/>
      <c r="P121" s="2"/>
      <c r="Q121" s="2"/>
      <c r="R121" s="2"/>
    </row>
    <row r="122" spans="1:18" ht="15" customHeight="1" thickBot="1">
      <c r="A122" s="2" t="s">
        <v>161</v>
      </c>
      <c r="B122" s="55" t="s">
        <v>162</v>
      </c>
      <c r="C122" s="21"/>
      <c r="D122" s="27" t="str">
        <f t="shared" si="27"/>
        <v>Dr Erin Mills</v>
      </c>
      <c r="E122" s="22">
        <f>IFERROR(VLOOKUP(D122,'Employee Numbers'!$A$3:$B$84,2,FALSE),"NOT FOUND")</f>
        <v>623657</v>
      </c>
      <c r="F122" s="9" t="str">
        <f t="shared" si="28"/>
        <v/>
      </c>
      <c r="G122" s="9" t="str">
        <f t="shared" si="28"/>
        <v/>
      </c>
      <c r="H122" s="9" t="str">
        <f t="shared" si="28"/>
        <v/>
      </c>
      <c r="I122" s="9" t="str">
        <f t="shared" si="28"/>
        <v/>
      </c>
      <c r="J122" s="9" t="str">
        <f t="shared" si="28"/>
        <v/>
      </c>
      <c r="K122" s="9" t="str">
        <f t="shared" si="28"/>
        <v/>
      </c>
      <c r="L122" s="9" t="str">
        <f t="shared" si="28"/>
        <v/>
      </c>
    </row>
    <row r="123" spans="1:18" ht="15" customHeight="1" thickBot="1">
      <c r="A123" s="2" t="s">
        <v>161</v>
      </c>
      <c r="B123" s="55" t="s">
        <v>162</v>
      </c>
      <c r="C123" s="21"/>
      <c r="D123" s="27" t="str">
        <f t="shared" si="27"/>
        <v>Dr Stella Robinson</v>
      </c>
      <c r="E123" s="22">
        <f>IFERROR(VLOOKUP(D123,'Employee Numbers'!$A$3:$B$84,2,FALSE),"NOT FOUND")</f>
        <v>623708</v>
      </c>
      <c r="F123" s="9" t="str">
        <f t="shared" si="28"/>
        <v/>
      </c>
      <c r="G123" s="9" t="str">
        <f t="shared" si="28"/>
        <v/>
      </c>
      <c r="H123" s="9" t="str">
        <f t="shared" si="28"/>
        <v/>
      </c>
      <c r="I123" s="9" t="str">
        <f t="shared" si="28"/>
        <v/>
      </c>
      <c r="J123" s="9" t="str">
        <f t="shared" si="28"/>
        <v/>
      </c>
      <c r="K123" s="9" t="str">
        <f t="shared" si="28"/>
        <v/>
      </c>
      <c r="L123" s="9" t="str">
        <f t="shared" si="28"/>
        <v/>
      </c>
    </row>
    <row r="124" spans="1:18" ht="15" customHeight="1" thickBot="1">
      <c r="A124" s="2" t="s">
        <v>161</v>
      </c>
      <c r="B124" s="55" t="s">
        <v>162</v>
      </c>
      <c r="C124" s="21"/>
      <c r="D124" s="27" t="str">
        <f t="shared" si="27"/>
        <v>Dr Bev Thompson</v>
      </c>
      <c r="E124" s="22">
        <f>IFERROR(VLOOKUP(D124,'Employee Numbers'!$A$3:$B$84,2,FALSE),"NOT FOUND")</f>
        <v>627680</v>
      </c>
      <c r="F124" s="9" t="str">
        <f t="shared" si="28"/>
        <v/>
      </c>
      <c r="G124" s="9" t="str">
        <f t="shared" si="28"/>
        <v/>
      </c>
      <c r="H124" s="9" t="str">
        <f t="shared" si="28"/>
        <v/>
      </c>
      <c r="I124" s="9" t="str">
        <f t="shared" si="28"/>
        <v/>
      </c>
      <c r="J124" s="9" t="str">
        <f t="shared" si="28"/>
        <v/>
      </c>
      <c r="K124" s="9" t="str">
        <f t="shared" si="28"/>
        <v/>
      </c>
      <c r="L124" s="9" t="str">
        <f t="shared" si="28"/>
        <v>Con_8_0000</v>
      </c>
    </row>
    <row r="125" spans="1:18" ht="15" customHeight="1" thickBot="1">
      <c r="A125" s="2" t="s">
        <v>161</v>
      </c>
      <c r="B125" s="55" t="s">
        <v>162</v>
      </c>
      <c r="C125" s="21"/>
      <c r="D125" s="27" t="str">
        <f t="shared" si="27"/>
        <v>Dr John Unwin</v>
      </c>
      <c r="E125" s="22">
        <f>IFERROR(VLOOKUP(D125,'Employee Numbers'!$A$3:$B$84,2,FALSE),"NOT FOUND")</f>
        <v>633210</v>
      </c>
      <c r="F125" s="9" t="str">
        <f t="shared" si="28"/>
        <v/>
      </c>
      <c r="G125" s="9" t="str">
        <f t="shared" si="28"/>
        <v/>
      </c>
      <c r="H125" s="9" t="str">
        <f t="shared" si="28"/>
        <v/>
      </c>
      <c r="I125" s="9" t="str">
        <f t="shared" si="28"/>
        <v/>
      </c>
      <c r="J125" s="9" t="str">
        <f t="shared" si="28"/>
        <v/>
      </c>
      <c r="K125" s="9" t="str">
        <f t="shared" si="28"/>
        <v/>
      </c>
      <c r="L125" s="9" t="str">
        <f t="shared" si="28"/>
        <v/>
      </c>
    </row>
    <row r="126" spans="1:18" ht="15" customHeight="1" thickBot="1">
      <c r="A126" s="2" t="s">
        <v>161</v>
      </c>
      <c r="B126" s="55" t="s">
        <v>162</v>
      </c>
      <c r="C126" s="21"/>
      <c r="D126" s="27" t="str">
        <f t="shared" si="27"/>
        <v>Dr Siri Samudrala</v>
      </c>
      <c r="E126" s="22">
        <f>IFERROR(VLOOKUP(D126,'Employee Numbers'!$A$3:$B$84,2,FALSE),"NOT FOUND")</f>
        <v>618952</v>
      </c>
      <c r="F126" s="9" t="str">
        <f t="shared" si="28"/>
        <v/>
      </c>
      <c r="G126" s="9" t="str">
        <f t="shared" si="28"/>
        <v/>
      </c>
      <c r="H126" s="9" t="str">
        <f t="shared" si="28"/>
        <v/>
      </c>
      <c r="I126" s="9" t="str">
        <f t="shared" si="28"/>
        <v/>
      </c>
      <c r="J126" s="9" t="str">
        <f t="shared" si="28"/>
        <v>Con_8_0000</v>
      </c>
      <c r="K126" s="9" t="str">
        <f t="shared" si="28"/>
        <v/>
      </c>
      <c r="L126" s="9" t="str">
        <f t="shared" si="28"/>
        <v/>
      </c>
    </row>
    <row r="127" spans="1:18" ht="15" customHeight="1" thickBot="1">
      <c r="A127" s="2" t="s">
        <v>161</v>
      </c>
      <c r="B127" s="55" t="s">
        <v>162</v>
      </c>
      <c r="C127" s="21"/>
      <c r="D127" s="27" t="str">
        <f t="shared" si="27"/>
        <v>Dr Tessa Smith</v>
      </c>
      <c r="E127" s="22">
        <f>IFERROR(VLOOKUP(D127,'Employee Numbers'!$A$3:$B$84,2,FALSE),"NOT FOUND")</f>
        <v>649039</v>
      </c>
      <c r="F127" s="9" t="str">
        <f t="shared" si="28"/>
        <v/>
      </c>
      <c r="G127" s="9" t="str">
        <f t="shared" si="28"/>
        <v/>
      </c>
      <c r="H127" s="9" t="str">
        <f t="shared" si="28"/>
        <v/>
      </c>
      <c r="I127" s="9" t="str">
        <f t="shared" si="28"/>
        <v/>
      </c>
      <c r="J127" s="9" t="str">
        <f t="shared" si="28"/>
        <v/>
      </c>
      <c r="K127" s="9" t="str">
        <f t="shared" si="28"/>
        <v>Con_8_0000</v>
      </c>
      <c r="L127" s="9" t="str">
        <f t="shared" si="28"/>
        <v/>
      </c>
    </row>
    <row r="128" spans="1:18" ht="15" customHeight="1" thickBot="1">
      <c r="A128" s="2" t="s">
        <v>161</v>
      </c>
      <c r="B128" s="55" t="s">
        <v>162</v>
      </c>
      <c r="C128" s="21"/>
      <c r="D128" s="27" t="str">
        <f t="shared" si="27"/>
        <v>Dr Brad Dent</v>
      </c>
      <c r="E128" s="22">
        <f>IFERROR(VLOOKUP(D128,'Employee Numbers'!$A$3:$B$84,2,FALSE),"NOT FOUND")</f>
        <v>649671</v>
      </c>
      <c r="F128" s="9" t="str">
        <f t="shared" si="28"/>
        <v>Con_8_0000</v>
      </c>
      <c r="G128" s="9" t="str">
        <f t="shared" si="28"/>
        <v/>
      </c>
      <c r="H128" s="9" t="str">
        <f t="shared" si="28"/>
        <v/>
      </c>
      <c r="I128" s="9" t="str">
        <f t="shared" si="28"/>
        <v/>
      </c>
      <c r="J128" s="9" t="str">
        <f t="shared" si="28"/>
        <v/>
      </c>
      <c r="K128" s="9" t="str">
        <f t="shared" si="28"/>
        <v/>
      </c>
      <c r="L128" s="9" t="str">
        <f t="shared" si="28"/>
        <v/>
      </c>
    </row>
    <row r="129" spans="1:18" ht="15" customHeight="1" thickBot="1">
      <c r="A129" s="2" t="s">
        <v>161</v>
      </c>
      <c r="B129" s="55" t="s">
        <v>162</v>
      </c>
      <c r="C129" s="21"/>
      <c r="D129" s="27" t="str">
        <f t="shared" si="27"/>
        <v>Dr Marjolein Slaa</v>
      </c>
      <c r="E129" s="22">
        <f>IFERROR(VLOOKUP(D129,'Employee Numbers'!$A$3:$B$84,2,FALSE),"NOT FOUND")</f>
        <v>646047</v>
      </c>
      <c r="F129" s="9" t="str">
        <f t="shared" si="28"/>
        <v/>
      </c>
      <c r="G129" s="9" t="str">
        <f t="shared" si="28"/>
        <v/>
      </c>
      <c r="H129" s="9" t="str">
        <f t="shared" si="28"/>
        <v/>
      </c>
      <c r="I129" s="9" t="str">
        <f t="shared" si="28"/>
        <v/>
      </c>
      <c r="J129" s="9" t="str">
        <f t="shared" si="28"/>
        <v/>
      </c>
      <c r="K129" s="9" t="str">
        <f t="shared" si="28"/>
        <v/>
      </c>
      <c r="L129" s="9" t="str">
        <f t="shared" si="28"/>
        <v/>
      </c>
    </row>
    <row r="130" spans="1:18" ht="15" customHeight="1" thickBot="1">
      <c r="A130" s="2" t="s">
        <v>161</v>
      </c>
      <c r="B130" s="55" t="s">
        <v>162</v>
      </c>
      <c r="C130" s="21"/>
      <c r="D130" s="27" t="str">
        <f t="shared" si="27"/>
        <v>Dr Natalie Hood</v>
      </c>
      <c r="E130" s="22">
        <f>IFERROR(VLOOKUP(D130,'Employee Numbers'!$A$3:$B$84,2,FALSE),"NOT FOUND")</f>
        <v>164003</v>
      </c>
      <c r="F130" s="9" t="str">
        <f t="shared" si="28"/>
        <v/>
      </c>
      <c r="G130" s="9" t="str">
        <f t="shared" si="28"/>
        <v/>
      </c>
      <c r="H130" s="9" t="str">
        <f t="shared" si="28"/>
        <v/>
      </c>
      <c r="I130" s="9" t="str">
        <f t="shared" si="28"/>
        <v/>
      </c>
      <c r="J130" s="9" t="str">
        <f t="shared" si="28"/>
        <v/>
      </c>
      <c r="K130" s="9" t="str">
        <f t="shared" si="28"/>
        <v/>
      </c>
      <c r="L130" s="9" t="str">
        <f t="shared" si="28"/>
        <v/>
      </c>
    </row>
    <row r="131" spans="1:18" ht="15" customHeight="1" thickBot="1">
      <c r="A131" s="2" t="s">
        <v>161</v>
      </c>
      <c r="B131" s="55" t="s">
        <v>162</v>
      </c>
      <c r="C131" s="21"/>
      <c r="D131" s="27" t="str">
        <f t="shared" si="27"/>
        <v>Dr Michael Coman</v>
      </c>
      <c r="E131" s="22">
        <f>IFERROR(VLOOKUP(D131,'Employee Numbers'!$A$3:$B$84,2,FALSE),"NOT FOUND")</f>
        <v>609408</v>
      </c>
      <c r="F131" s="9" t="str">
        <f t="shared" ref="F131:L143" si="29">IF(F$50=$D131,"Con_8_0000","")</f>
        <v/>
      </c>
      <c r="G131" s="9" t="str">
        <f t="shared" si="29"/>
        <v/>
      </c>
      <c r="H131" s="9" t="str">
        <f t="shared" si="29"/>
        <v/>
      </c>
      <c r="I131" s="9" t="str">
        <f t="shared" si="29"/>
        <v/>
      </c>
      <c r="J131" s="9" t="str">
        <f t="shared" si="29"/>
        <v/>
      </c>
      <c r="K131" s="9" t="str">
        <f t="shared" si="29"/>
        <v/>
      </c>
      <c r="L131" s="9" t="str">
        <f t="shared" si="29"/>
        <v/>
      </c>
    </row>
    <row r="132" spans="1:18" ht="15" customHeight="1" thickBot="1">
      <c r="A132" s="2" t="s">
        <v>161</v>
      </c>
      <c r="B132" s="55" t="s">
        <v>162</v>
      </c>
      <c r="C132" s="21"/>
      <c r="D132" s="27" t="str">
        <f t="shared" si="27"/>
        <v>Dr Andrew Hardy</v>
      </c>
      <c r="E132" s="22">
        <f>IFERROR(VLOOKUP(D132,'Employee Numbers'!$A$3:$B$84,2,FALSE),"NOT FOUND")</f>
        <v>627619</v>
      </c>
      <c r="F132" s="9" t="str">
        <f t="shared" si="29"/>
        <v/>
      </c>
      <c r="G132" s="9" t="str">
        <f t="shared" si="29"/>
        <v/>
      </c>
      <c r="H132" s="9" t="str">
        <f t="shared" si="29"/>
        <v/>
      </c>
      <c r="I132" s="9" t="str">
        <f t="shared" si="29"/>
        <v/>
      </c>
      <c r="J132" s="9" t="str">
        <f t="shared" si="29"/>
        <v/>
      </c>
      <c r="K132" s="9" t="str">
        <f t="shared" si="29"/>
        <v/>
      </c>
      <c r="L132" s="9" t="str">
        <f t="shared" si="29"/>
        <v/>
      </c>
    </row>
    <row r="133" spans="1:18" ht="15" customHeight="1" thickBot="1">
      <c r="A133" s="2" t="s">
        <v>161</v>
      </c>
      <c r="B133" s="55" t="s">
        <v>162</v>
      </c>
      <c r="C133" s="21"/>
      <c r="D133" s="27" t="str">
        <f t="shared" si="27"/>
        <v>Dr Gargi Kanabar</v>
      </c>
      <c r="E133" s="22">
        <f>IFERROR(VLOOKUP(D133,'Employee Numbers'!$A$3:$B$84,2,FALSE),"NOT FOUND")</f>
        <v>632646</v>
      </c>
      <c r="F133" s="9" t="str">
        <f t="shared" si="29"/>
        <v/>
      </c>
      <c r="G133" s="9" t="str">
        <f t="shared" si="29"/>
        <v/>
      </c>
      <c r="H133" s="9" t="str">
        <f t="shared" si="29"/>
        <v/>
      </c>
      <c r="I133" s="9" t="str">
        <f t="shared" si="29"/>
        <v/>
      </c>
      <c r="J133" s="9" t="str">
        <f t="shared" si="29"/>
        <v/>
      </c>
      <c r="K133" s="9" t="str">
        <f t="shared" si="29"/>
        <v/>
      </c>
      <c r="L133" s="9" t="str">
        <f t="shared" si="29"/>
        <v/>
      </c>
    </row>
    <row r="134" spans="1:18" ht="15" customHeight="1" thickBot="1">
      <c r="A134" s="2" t="s">
        <v>161</v>
      </c>
      <c r="B134" s="55" t="s">
        <v>162</v>
      </c>
      <c r="C134" s="21"/>
      <c r="D134" s="27" t="str">
        <f t="shared" si="27"/>
        <v>Dr Mandy Parr</v>
      </c>
      <c r="E134" s="22">
        <f>IFERROR(VLOOKUP(D134,'Employee Numbers'!$A$3:$B$84,2,FALSE),"NOT FOUND")</f>
        <v>652844</v>
      </c>
      <c r="F134" s="9" t="str">
        <f t="shared" si="29"/>
        <v/>
      </c>
      <c r="G134" s="9" t="str">
        <f t="shared" si="29"/>
        <v/>
      </c>
      <c r="H134" s="9" t="str">
        <f t="shared" si="29"/>
        <v/>
      </c>
      <c r="I134" s="9" t="str">
        <f t="shared" si="29"/>
        <v/>
      </c>
      <c r="J134" s="9" t="str">
        <f t="shared" si="29"/>
        <v/>
      </c>
      <c r="K134" s="9" t="str">
        <f t="shared" si="29"/>
        <v/>
      </c>
      <c r="L134" s="9" t="str">
        <f t="shared" si="29"/>
        <v/>
      </c>
    </row>
    <row r="135" spans="1:18" ht="15" customHeight="1" thickBot="1">
      <c r="A135" s="2" t="s">
        <v>161</v>
      </c>
      <c r="B135" s="55" t="s">
        <v>162</v>
      </c>
      <c r="C135" s="21"/>
      <c r="D135" s="27" t="str">
        <f t="shared" si="27"/>
        <v>Dr Tecwyn Davies</v>
      </c>
      <c r="E135" s="22">
        <f>IFERROR(VLOOKUP(D135,'Employee Numbers'!$A$3:$B$84,2,FALSE),"NOT FOUND")</f>
        <v>634491</v>
      </c>
      <c r="F135" s="9" t="str">
        <f t="shared" si="29"/>
        <v/>
      </c>
      <c r="G135" s="9" t="str">
        <f t="shared" si="29"/>
        <v/>
      </c>
      <c r="H135" s="9" t="str">
        <f t="shared" si="29"/>
        <v/>
      </c>
      <c r="I135" s="9" t="str">
        <f t="shared" si="29"/>
        <v/>
      </c>
      <c r="J135" s="9" t="str">
        <f t="shared" si="29"/>
        <v/>
      </c>
      <c r="K135" s="9" t="str">
        <f t="shared" si="29"/>
        <v/>
      </c>
      <c r="L135" s="9" t="str">
        <f t="shared" si="29"/>
        <v/>
      </c>
    </row>
    <row r="136" spans="1:18" ht="15" customHeight="1" thickBot="1">
      <c r="A136" s="2" t="s">
        <v>161</v>
      </c>
      <c r="B136" s="55" t="s">
        <v>162</v>
      </c>
      <c r="C136" s="21"/>
      <c r="D136" s="27" t="str">
        <f t="shared" si="27"/>
        <v>Dr Patrick Finn</v>
      </c>
      <c r="E136" s="22">
        <f>IFERROR(VLOOKUP(D136,'Employee Numbers'!$A$3:$B$84,2,FALSE),"NOT FOUND")</f>
        <v>621988</v>
      </c>
      <c r="F136" s="9" t="str">
        <f t="shared" si="29"/>
        <v/>
      </c>
      <c r="G136" s="9" t="str">
        <f t="shared" si="29"/>
        <v/>
      </c>
      <c r="H136" s="9" t="str">
        <f t="shared" si="29"/>
        <v/>
      </c>
      <c r="I136" s="9" t="str">
        <f t="shared" si="29"/>
        <v/>
      </c>
      <c r="J136" s="9" t="str">
        <f t="shared" si="29"/>
        <v/>
      </c>
      <c r="K136" s="9" t="str">
        <f t="shared" si="29"/>
        <v/>
      </c>
      <c r="L136" s="9" t="str">
        <f t="shared" si="29"/>
        <v/>
      </c>
    </row>
    <row r="137" spans="1:18" ht="15" customHeight="1" thickBot="1">
      <c r="A137" s="2" t="s">
        <v>161</v>
      </c>
      <c r="B137" s="55" t="s">
        <v>162</v>
      </c>
      <c r="C137" s="21"/>
      <c r="D137" s="27" t="str">
        <f t="shared" si="27"/>
        <v>Dr Chris Fong</v>
      </c>
      <c r="E137" s="22">
        <f>IFERROR(VLOOKUP(D137,'Employee Numbers'!$A$3:$B$84,2,FALSE),"NOT FOUND")</f>
        <v>409677</v>
      </c>
      <c r="F137" s="9" t="str">
        <f t="shared" si="29"/>
        <v/>
      </c>
      <c r="G137" s="9" t="str">
        <f t="shared" si="29"/>
        <v/>
      </c>
      <c r="H137" s="9" t="str">
        <f t="shared" si="29"/>
        <v/>
      </c>
      <c r="I137" s="9" t="str">
        <f t="shared" si="29"/>
        <v/>
      </c>
      <c r="J137" s="9" t="str">
        <f t="shared" si="29"/>
        <v/>
      </c>
      <c r="K137" s="9" t="str">
        <f t="shared" si="29"/>
        <v/>
      </c>
      <c r="L137" s="9" t="str">
        <f t="shared" si="29"/>
        <v/>
      </c>
    </row>
    <row r="138" spans="1:18" s="13" customFormat="1" ht="15" customHeight="1" thickBot="1">
      <c r="A138" s="2" t="s">
        <v>161</v>
      </c>
      <c r="B138" s="55" t="s">
        <v>162</v>
      </c>
      <c r="C138" s="21"/>
      <c r="D138" s="27" t="str">
        <f t="shared" si="27"/>
        <v>Dr Matthew Tang</v>
      </c>
      <c r="E138" s="22">
        <f>IFERROR(VLOOKUP(D138,'Employee Numbers'!$A$3:$B$84,2,FALSE),"NOT FOUND")</f>
        <v>632590</v>
      </c>
      <c r="F138" s="9" t="str">
        <f t="shared" si="29"/>
        <v/>
      </c>
      <c r="G138" s="9" t="str">
        <f t="shared" si="29"/>
        <v/>
      </c>
      <c r="H138" s="9" t="str">
        <f t="shared" si="29"/>
        <v/>
      </c>
      <c r="I138" s="9" t="str">
        <f t="shared" si="29"/>
        <v/>
      </c>
      <c r="J138" s="9" t="str">
        <f t="shared" si="29"/>
        <v/>
      </c>
      <c r="K138" s="9" t="str">
        <f t="shared" si="29"/>
        <v/>
      </c>
      <c r="L138" s="9" t="str">
        <f t="shared" si="29"/>
        <v/>
      </c>
      <c r="M138" s="5"/>
      <c r="N138" s="5"/>
      <c r="O138" s="5"/>
      <c r="P138" s="5"/>
      <c r="Q138" s="5"/>
      <c r="R138" s="5"/>
    </row>
    <row r="139" spans="1:18" s="13" customFormat="1" ht="15" customHeight="1" thickBot="1">
      <c r="A139" s="2" t="s">
        <v>161</v>
      </c>
      <c r="B139" s="55" t="s">
        <v>162</v>
      </c>
      <c r="C139" s="21"/>
      <c r="D139" s="27" t="str">
        <f t="shared" si="27"/>
        <v>Dr Niki Talic</v>
      </c>
      <c r="E139" s="22">
        <f>IFERROR(VLOOKUP(D139,'Employee Numbers'!$A$3:$B$84,2,FALSE),"NOT FOUND")</f>
        <v>619537</v>
      </c>
      <c r="F139" s="9" t="str">
        <f t="shared" si="29"/>
        <v/>
      </c>
      <c r="G139" s="9" t="str">
        <f t="shared" si="29"/>
        <v/>
      </c>
      <c r="H139" s="9" t="str">
        <f t="shared" si="29"/>
        <v/>
      </c>
      <c r="I139" s="9" t="str">
        <f t="shared" si="29"/>
        <v/>
      </c>
      <c r="J139" s="9" t="str">
        <f t="shared" si="29"/>
        <v/>
      </c>
      <c r="K139" s="9" t="str">
        <f t="shared" si="29"/>
        <v/>
      </c>
      <c r="L139" s="9" t="str">
        <f t="shared" si="29"/>
        <v/>
      </c>
      <c r="M139" s="5"/>
      <c r="N139" s="5"/>
      <c r="O139" s="5"/>
      <c r="P139" s="5"/>
      <c r="Q139" s="5"/>
      <c r="R139" s="5"/>
    </row>
    <row r="140" spans="1:18" s="13" customFormat="1" ht="15" customHeight="1" thickBot="1">
      <c r="A140" s="2" t="s">
        <v>161</v>
      </c>
      <c r="B140" s="55" t="s">
        <v>162</v>
      </c>
      <c r="C140" s="21"/>
      <c r="D140" s="27" t="str">
        <f t="shared" si="27"/>
        <v>Dr Deb Morawetz</v>
      </c>
      <c r="E140" s="22">
        <f>IFERROR(VLOOKUP(D140,'Employee Numbers'!$A$3:$B$84,2,FALSE),"NOT FOUND")</f>
        <v>621953</v>
      </c>
      <c r="F140" s="9" t="str">
        <f t="shared" si="29"/>
        <v/>
      </c>
      <c r="G140" s="9" t="str">
        <f t="shared" si="29"/>
        <v/>
      </c>
      <c r="H140" s="9" t="str">
        <f t="shared" si="29"/>
        <v/>
      </c>
      <c r="I140" s="9" t="str">
        <f t="shared" si="29"/>
        <v/>
      </c>
      <c r="J140" s="9" t="str">
        <f t="shared" si="29"/>
        <v/>
      </c>
      <c r="K140" s="9" t="str">
        <f t="shared" si="29"/>
        <v/>
      </c>
      <c r="L140" s="9" t="str">
        <f t="shared" si="29"/>
        <v/>
      </c>
      <c r="M140" s="5"/>
      <c r="N140" s="5"/>
      <c r="O140" s="5"/>
      <c r="P140" s="5"/>
      <c r="Q140" s="5"/>
      <c r="R140" s="5"/>
    </row>
    <row r="141" spans="1:18" s="13" customFormat="1" ht="15" customHeight="1" thickBot="1">
      <c r="A141" s="2" t="s">
        <v>161</v>
      </c>
      <c r="B141" s="55" t="s">
        <v>162</v>
      </c>
      <c r="C141" s="21"/>
      <c r="D141" s="27" t="str">
        <f t="shared" si="27"/>
        <v>Dr Priya Jeyaveerasingam</v>
      </c>
      <c r="E141" s="22">
        <f>IFERROR(VLOOKUP(D141,'Employee Numbers'!$A$3:$B$84,2,FALSE),"NOT FOUND")</f>
        <v>614504</v>
      </c>
      <c r="F141" s="9" t="str">
        <f t="shared" si="29"/>
        <v/>
      </c>
      <c r="G141" s="9" t="str">
        <f t="shared" si="29"/>
        <v/>
      </c>
      <c r="H141" s="9" t="str">
        <f t="shared" si="29"/>
        <v/>
      </c>
      <c r="I141" s="9" t="str">
        <f t="shared" si="29"/>
        <v/>
      </c>
      <c r="J141" s="9" t="str">
        <f t="shared" si="29"/>
        <v/>
      </c>
      <c r="K141" s="9" t="str">
        <f t="shared" si="29"/>
        <v/>
      </c>
      <c r="L141" s="9" t="str">
        <f t="shared" si="29"/>
        <v/>
      </c>
      <c r="M141" s="5"/>
      <c r="N141" s="5"/>
      <c r="O141" s="5"/>
      <c r="P141" s="5"/>
      <c r="Q141" s="5"/>
      <c r="R141" s="5"/>
    </row>
    <row r="142" spans="1:18" s="13" customFormat="1" ht="15" customHeight="1" thickBot="1">
      <c r="A142" s="2" t="s">
        <v>161</v>
      </c>
      <c r="B142" s="55" t="s">
        <v>162</v>
      </c>
      <c r="C142" s="21"/>
      <c r="D142" s="27" t="str">
        <f t="shared" si="27"/>
        <v>Locum</v>
      </c>
      <c r="E142" s="22" t="str">
        <f>IFERROR(VLOOKUP(D142,'Employee Numbers'!$A$3:$B$84,2,FALSE),"NOT FOUND")</f>
        <v>N/A</v>
      </c>
      <c r="F142" s="9" t="str">
        <f t="shared" si="29"/>
        <v/>
      </c>
      <c r="G142" s="9" t="str">
        <f t="shared" si="29"/>
        <v/>
      </c>
      <c r="H142" s="9" t="str">
        <f t="shared" si="29"/>
        <v/>
      </c>
      <c r="I142" s="9" t="str">
        <f t="shared" si="29"/>
        <v/>
      </c>
      <c r="J142" s="9" t="str">
        <f t="shared" si="29"/>
        <v/>
      </c>
      <c r="K142" s="9" t="str">
        <f t="shared" si="29"/>
        <v/>
      </c>
      <c r="L142" s="9" t="str">
        <f t="shared" si="29"/>
        <v/>
      </c>
      <c r="M142" s="5"/>
      <c r="N142" s="5"/>
      <c r="O142" s="5"/>
      <c r="P142" s="5"/>
      <c r="Q142" s="5"/>
      <c r="R142" s="5"/>
    </row>
    <row r="143" spans="1:18" s="13" customFormat="1" ht="15" customHeight="1">
      <c r="A143" s="2" t="s">
        <v>161</v>
      </c>
      <c r="B143" s="55" t="s">
        <v>162</v>
      </c>
      <c r="C143" s="21"/>
      <c r="D143" s="27" t="str">
        <f t="shared" si="27"/>
        <v>Locum</v>
      </c>
      <c r="E143" s="22" t="str">
        <f>IFERROR(VLOOKUP(D143,'Employee Numbers'!$A$3:$B$84,2,FALSE),"NOT FOUND")</f>
        <v>N/A</v>
      </c>
      <c r="F143" s="9" t="str">
        <f t="shared" si="29"/>
        <v/>
      </c>
      <c r="G143" s="9" t="str">
        <f t="shared" si="29"/>
        <v/>
      </c>
      <c r="H143" s="9" t="str">
        <f t="shared" si="29"/>
        <v/>
      </c>
      <c r="I143" s="9" t="str">
        <f t="shared" si="29"/>
        <v/>
      </c>
      <c r="J143" s="9" t="str">
        <f t="shared" si="29"/>
        <v/>
      </c>
      <c r="K143" s="9" t="str">
        <f t="shared" si="29"/>
        <v/>
      </c>
      <c r="L143" s="9" t="str">
        <f t="shared" si="29"/>
        <v/>
      </c>
      <c r="M143" s="5"/>
      <c r="N143" s="5"/>
      <c r="O143" s="5"/>
      <c r="P143" s="5"/>
      <c r="Q143" s="5"/>
      <c r="R143" s="5"/>
    </row>
    <row r="144" spans="1:18" ht="15" customHeight="1" thickBot="1"/>
    <row r="145" spans="1:18" s="2" customFormat="1" ht="15" customHeight="1" thickBot="1">
      <c r="A145" s="172" t="s">
        <v>86</v>
      </c>
      <c r="B145" s="48" t="s">
        <v>163</v>
      </c>
      <c r="C145" s="49" t="s">
        <v>164</v>
      </c>
      <c r="D145" s="173" t="str">
        <f>D53</f>
        <v xml:space="preserve">Fellow </v>
      </c>
      <c r="E145" s="20" t="s">
        <v>4</v>
      </c>
      <c r="F145" s="12" t="s">
        <v>5</v>
      </c>
      <c r="G145" s="83" t="s">
        <v>6</v>
      </c>
      <c r="H145" s="83" t="s">
        <v>7</v>
      </c>
      <c r="I145" s="83" t="s">
        <v>8</v>
      </c>
      <c r="J145" s="83" t="s">
        <v>9</v>
      </c>
      <c r="K145" s="83" t="s">
        <v>10</v>
      </c>
      <c r="L145" s="23" t="s">
        <v>11</v>
      </c>
      <c r="M145" s="23" t="s">
        <v>165</v>
      </c>
      <c r="N145" s="5"/>
      <c r="O145" s="5"/>
      <c r="P145" s="5"/>
      <c r="Q145" s="5"/>
      <c r="R145" s="5"/>
    </row>
    <row r="146" spans="1:18" ht="15" customHeight="1" thickBot="1">
      <c r="A146" s="2" t="s">
        <v>166</v>
      </c>
      <c r="B146" s="2"/>
      <c r="C146" s="21"/>
      <c r="D146" s="84" t="str">
        <f>D54</f>
        <v>Ellen Scott (0.75)</v>
      </c>
      <c r="E146" s="22">
        <f>IFERROR(VLOOKUP(D146,'Employee Numbers'!$A$3:$B$84,2,FALSE),"NOT FOUND")</f>
        <v>634905</v>
      </c>
      <c r="F146" s="38"/>
      <c r="G146" s="31"/>
      <c r="H146" s="31" t="s">
        <v>167</v>
      </c>
      <c r="I146" s="38"/>
      <c r="J146" s="38"/>
      <c r="K146" s="38"/>
      <c r="L146" s="38"/>
      <c r="M146" s="35" t="s">
        <v>168</v>
      </c>
    </row>
    <row r="147" spans="1:18" ht="15" customHeight="1" thickBot="1">
      <c r="A147" s="2" t="s">
        <v>166</v>
      </c>
      <c r="B147" s="2"/>
      <c r="C147" s="21"/>
      <c r="D147" s="84" t="str">
        <f t="shared" ref="D147:D151" si="30">D55</f>
        <v>Seamus Harrington</v>
      </c>
      <c r="E147" s="22">
        <f>IFERROR(VLOOKUP(D147,'Employee Numbers'!$A$3:$B$84,2,FALSE),"NOT FOUND")</f>
        <v>704751</v>
      </c>
      <c r="F147" s="38"/>
      <c r="G147" s="31"/>
      <c r="H147" s="31" t="str">
        <f t="shared" ref="H147:H148" si="31">IF(COUNTIF(H55,"0800-1730*"),"trg_5_1730","trg_5_0900")</f>
        <v>trg_5_0900</v>
      </c>
      <c r="I147" s="38"/>
      <c r="J147" s="38"/>
      <c r="K147" s="38"/>
      <c r="L147" s="38"/>
      <c r="M147" s="35" t="s">
        <v>168</v>
      </c>
    </row>
    <row r="148" spans="1:18" ht="15" customHeight="1" thickBot="1">
      <c r="A148" s="2" t="s">
        <v>166</v>
      </c>
      <c r="B148" s="2"/>
      <c r="C148" s="21"/>
      <c r="D148" s="84" t="str">
        <f t="shared" si="30"/>
        <v>Antra Ansons</v>
      </c>
      <c r="E148" s="22">
        <f>IFERROR(VLOOKUP(D148,'Employee Numbers'!$A$3:$B$84,2,FALSE),"NOT FOUND")</f>
        <v>637219</v>
      </c>
      <c r="F148" s="38"/>
      <c r="G148" s="31"/>
      <c r="H148" s="31" t="str">
        <f t="shared" si="31"/>
        <v>trg_5_0900</v>
      </c>
      <c r="I148" s="38"/>
      <c r="J148" s="38"/>
      <c r="K148" s="38"/>
      <c r="L148" s="38"/>
      <c r="M148" s="35" t="s">
        <v>168</v>
      </c>
    </row>
    <row r="149" spans="1:18" ht="15" customHeight="1" thickBot="1">
      <c r="A149" s="2" t="s">
        <v>166</v>
      </c>
      <c r="B149" s="2"/>
      <c r="C149" s="21"/>
      <c r="D149" s="84">
        <f t="shared" si="30"/>
        <v>0</v>
      </c>
      <c r="E149" s="22" t="str">
        <f>IFERROR(VLOOKUP(D149,'Employee Numbers'!$A$3:$B$84,2,FALSE),"NOT FOUND")</f>
        <v>NOT FOUND</v>
      </c>
      <c r="F149" s="38"/>
      <c r="G149" s="31"/>
      <c r="H149" s="31" t="str">
        <f t="shared" ref="H149:H151" si="32">IF(COUNTIF(H57,"0800-1730*"),"trg_2.5_1730","trg_2.5_0900")</f>
        <v>trg_2.5_0900</v>
      </c>
      <c r="I149" s="38"/>
      <c r="J149" s="38"/>
      <c r="K149" s="38"/>
      <c r="L149" s="38"/>
      <c r="M149" s="35" t="s">
        <v>168</v>
      </c>
    </row>
    <row r="150" spans="1:18" ht="15" customHeight="1" thickBot="1">
      <c r="A150" s="2" t="s">
        <v>166</v>
      </c>
      <c r="B150" s="2"/>
      <c r="C150" s="21"/>
      <c r="D150" s="84">
        <f t="shared" si="30"/>
        <v>0</v>
      </c>
      <c r="E150" s="22" t="str">
        <f>IFERROR(VLOOKUP(D150,'Employee Numbers'!$A$3:$B$84,2,FALSE),"NOT FOUND")</f>
        <v>NOT FOUND</v>
      </c>
      <c r="F150" s="38"/>
      <c r="G150" s="31"/>
      <c r="H150" s="31" t="str">
        <f t="shared" si="32"/>
        <v>trg_2.5_0900</v>
      </c>
      <c r="I150" s="38"/>
      <c r="J150" s="38"/>
      <c r="K150" s="38"/>
      <c r="L150" s="38"/>
      <c r="M150" s="35" t="s">
        <v>168</v>
      </c>
    </row>
    <row r="151" spans="1:18" ht="15" customHeight="1">
      <c r="A151" s="2" t="s">
        <v>166</v>
      </c>
      <c r="B151" s="2"/>
      <c r="C151" s="21"/>
      <c r="D151" s="84">
        <f t="shared" si="30"/>
        <v>0</v>
      </c>
      <c r="E151" s="22" t="str">
        <f>IFERROR(VLOOKUP(D151,'Employee Numbers'!$A$3:$B$84,2,FALSE),"NOT FOUND")</f>
        <v>NOT FOUND</v>
      </c>
      <c r="F151" s="38"/>
      <c r="G151" s="31"/>
      <c r="H151" s="31" t="str">
        <f t="shared" si="32"/>
        <v>trg_2.5_0900</v>
      </c>
      <c r="I151" s="38"/>
      <c r="J151" s="38"/>
      <c r="K151" s="38"/>
      <c r="L151" s="38"/>
      <c r="M151" s="35" t="s">
        <v>168</v>
      </c>
    </row>
    <row r="152" spans="1:18" s="2" customFormat="1" ht="13.5" customHeight="1" thickBot="1">
      <c r="A152" s="174" t="s">
        <v>96</v>
      </c>
      <c r="B152" s="50"/>
      <c r="C152" s="51"/>
      <c r="D152" s="175" t="s">
        <v>97</v>
      </c>
      <c r="E152" s="105" t="s">
        <v>4</v>
      </c>
      <c r="F152" s="105" t="s">
        <v>5</v>
      </c>
      <c r="G152" s="105" t="s">
        <v>6</v>
      </c>
      <c r="H152" s="106" t="s">
        <v>7</v>
      </c>
      <c r="I152" s="105" t="s">
        <v>8</v>
      </c>
      <c r="J152" s="105" t="s">
        <v>9</v>
      </c>
      <c r="K152" s="105" t="s">
        <v>10</v>
      </c>
      <c r="L152" s="105" t="s">
        <v>11</v>
      </c>
      <c r="N152"/>
      <c r="O152"/>
      <c r="Q152"/>
    </row>
    <row r="153" spans="1:18" s="2" customFormat="1" ht="15" customHeight="1" thickBot="1">
      <c r="A153" s="2" t="s">
        <v>169</v>
      </c>
      <c r="B153" s="5"/>
      <c r="C153" s="8"/>
      <c r="D153" s="84" t="str">
        <f>D61</f>
        <v>Mark Lim</v>
      </c>
      <c r="E153" s="22">
        <f>IFERROR(VLOOKUP(D153,'Employee Numbers'!$A$3:$B$84,2,FALSE),"NOT FOUND")</f>
        <v>638531</v>
      </c>
      <c r="F153" s="31" t="str">
        <f t="shared" ref="F153:G168" si="33">IF(COUNTIF(F61,"*on*call*"),"oncall 2300-0830","")</f>
        <v/>
      </c>
      <c r="G153" s="31" t="str">
        <f t="shared" si="33"/>
        <v/>
      </c>
      <c r="H153" s="37"/>
      <c r="I153" s="31" t="str">
        <f t="shared" ref="I153:L168" si="34">IF(COUNTIF(I61,"*on*call*"),"oncall 2300-0830","")</f>
        <v/>
      </c>
      <c r="J153" s="31" t="str">
        <f t="shared" si="34"/>
        <v/>
      </c>
      <c r="K153" s="31" t="str">
        <f t="shared" si="34"/>
        <v/>
      </c>
      <c r="L153" s="31" t="str">
        <f t="shared" si="34"/>
        <v/>
      </c>
      <c r="M153" s="35" t="s">
        <v>168</v>
      </c>
      <c r="N153" s="5"/>
      <c r="O153" s="5"/>
      <c r="P153" s="5"/>
      <c r="Q153" s="5"/>
      <c r="R153" s="5"/>
    </row>
    <row r="154" spans="1:18" ht="15" customHeight="1" thickBot="1">
      <c r="A154" s="2" t="s">
        <v>169</v>
      </c>
      <c r="B154" s="2"/>
      <c r="C154" s="47"/>
      <c r="D154" s="84" t="str">
        <f t="shared" ref="D154:D176" si="35">D62</f>
        <v xml:space="preserve">Melanie Engel </v>
      </c>
      <c r="E154" s="22">
        <f>IFERROR(VLOOKUP(D154,'Employee Numbers'!$A$3:$B$84,2,FALSE),"NOT FOUND")</f>
        <v>631715</v>
      </c>
      <c r="F154" s="31" t="str">
        <f t="shared" si="33"/>
        <v/>
      </c>
      <c r="G154" s="31" t="str">
        <f t="shared" si="33"/>
        <v/>
      </c>
      <c r="H154" s="37" t="s">
        <v>170</v>
      </c>
      <c r="I154" s="31" t="str">
        <f t="shared" si="34"/>
        <v/>
      </c>
      <c r="J154" s="31" t="str">
        <f t="shared" si="34"/>
        <v/>
      </c>
      <c r="K154" s="31" t="str">
        <f t="shared" si="34"/>
        <v/>
      </c>
      <c r="L154" s="31" t="str">
        <f t="shared" si="34"/>
        <v/>
      </c>
      <c r="M154" s="35" t="s">
        <v>168</v>
      </c>
      <c r="N154" s="2"/>
      <c r="O154" s="2"/>
      <c r="P154" s="2"/>
      <c r="Q154" s="2"/>
      <c r="R154" s="2"/>
    </row>
    <row r="155" spans="1:18" ht="15" customHeight="1" thickBot="1">
      <c r="A155" s="2" t="s">
        <v>169</v>
      </c>
      <c r="B155" s="2"/>
      <c r="C155" s="47"/>
      <c r="D155" s="84" t="str">
        <f t="shared" si="35"/>
        <v>Marian Isaac  (0.75)</v>
      </c>
      <c r="E155" s="22">
        <f>IFERROR(VLOOKUP(D155,'Employee Numbers'!$A$3:$B$84,2,FALSE),"NOT FOUND")</f>
        <v>703719</v>
      </c>
      <c r="F155" s="31" t="str">
        <f t="shared" si="33"/>
        <v/>
      </c>
      <c r="G155" s="31" t="str">
        <f t="shared" si="33"/>
        <v/>
      </c>
      <c r="H155" s="31" t="s">
        <v>167</v>
      </c>
      <c r="I155" s="31" t="str">
        <f t="shared" si="34"/>
        <v/>
      </c>
      <c r="J155" s="31" t="str">
        <f t="shared" si="34"/>
        <v/>
      </c>
      <c r="K155" s="31" t="str">
        <f t="shared" si="34"/>
        <v/>
      </c>
      <c r="L155" s="31" t="str">
        <f t="shared" si="34"/>
        <v/>
      </c>
      <c r="M155" s="35" t="s">
        <v>168</v>
      </c>
    </row>
    <row r="156" spans="1:18" ht="15" customHeight="1" thickBot="1">
      <c r="A156" s="2" t="s">
        <v>169</v>
      </c>
      <c r="B156" s="2"/>
      <c r="C156" s="47"/>
      <c r="D156" s="84" t="str">
        <f t="shared" si="35"/>
        <v xml:space="preserve">Jonathan Wong (0.75) </v>
      </c>
      <c r="E156" s="22">
        <f>IFERROR(VLOOKUP(D156,'Employee Numbers'!$A$3:$B$84,2,FALSE),"NOT FOUND")</f>
        <v>637791</v>
      </c>
      <c r="F156" s="31" t="str">
        <f t="shared" si="33"/>
        <v/>
      </c>
      <c r="G156" s="31" t="str">
        <f t="shared" si="33"/>
        <v/>
      </c>
      <c r="H156" s="31" t="s">
        <v>167</v>
      </c>
      <c r="I156" s="31" t="str">
        <f t="shared" si="34"/>
        <v/>
      </c>
      <c r="J156" s="31" t="str">
        <f t="shared" si="34"/>
        <v/>
      </c>
      <c r="K156" s="31" t="str">
        <f t="shared" si="34"/>
        <v/>
      </c>
      <c r="L156" s="31" t="str">
        <f t="shared" si="34"/>
        <v/>
      </c>
      <c r="M156" s="35" t="s">
        <v>168</v>
      </c>
    </row>
    <row r="157" spans="1:18" ht="15" customHeight="1" thickBot="1">
      <c r="A157" s="2" t="s">
        <v>169</v>
      </c>
      <c r="B157" s="2"/>
      <c r="C157" s="47"/>
      <c r="D157" s="84" t="str">
        <f t="shared" si="35"/>
        <v xml:space="preserve">Joshua Feek </v>
      </c>
      <c r="E157" s="22">
        <f>IFERROR(VLOOKUP(D157,'Employee Numbers'!$A$3:$B$84,2,FALSE),"NOT FOUND")</f>
        <v>652867</v>
      </c>
      <c r="F157" s="31" t="str">
        <f t="shared" si="33"/>
        <v/>
      </c>
      <c r="G157" s="31" t="str">
        <f t="shared" si="33"/>
        <v/>
      </c>
      <c r="H157" s="37" t="s">
        <v>170</v>
      </c>
      <c r="I157" s="31" t="str">
        <f t="shared" si="34"/>
        <v/>
      </c>
      <c r="J157" s="31" t="str">
        <f t="shared" si="34"/>
        <v/>
      </c>
      <c r="K157" s="31" t="str">
        <f t="shared" si="34"/>
        <v/>
      </c>
      <c r="L157" s="31" t="str">
        <f t="shared" si="34"/>
        <v/>
      </c>
      <c r="M157" s="35" t="s">
        <v>168</v>
      </c>
    </row>
    <row r="158" spans="1:18" ht="15" customHeight="1" thickBot="1">
      <c r="A158" s="2" t="s">
        <v>169</v>
      </c>
      <c r="B158" s="2"/>
      <c r="C158" s="47"/>
      <c r="D158" s="84" t="str">
        <f t="shared" si="35"/>
        <v xml:space="preserve">Andrea Lim (0.5) </v>
      </c>
      <c r="E158" s="22">
        <f>IFERROR(VLOOKUP(D158,'Employee Numbers'!$A$3:$B$84,2,FALSE),"NOT FOUND")</f>
        <v>611551</v>
      </c>
      <c r="F158" s="31" t="str">
        <f t="shared" si="33"/>
        <v/>
      </c>
      <c r="G158" s="31" t="str">
        <f t="shared" si="33"/>
        <v/>
      </c>
      <c r="H158" s="31" t="str">
        <f t="shared" ref="H158:H159" si="36">IF(COUNTIF(H66,"0800-1730*"),"trg_2.5_1730","trg_2.5_0900")</f>
        <v>trg_2.5_0900</v>
      </c>
      <c r="I158" s="31" t="str">
        <f t="shared" si="34"/>
        <v/>
      </c>
      <c r="J158" s="31" t="str">
        <f t="shared" si="34"/>
        <v/>
      </c>
      <c r="K158" s="31" t="str">
        <f t="shared" si="34"/>
        <v/>
      </c>
      <c r="L158" s="31" t="str">
        <f t="shared" si="34"/>
        <v/>
      </c>
      <c r="M158" s="35" t="s">
        <v>168</v>
      </c>
      <c r="N158" s="13"/>
      <c r="O158" s="13"/>
      <c r="P158" s="13"/>
      <c r="Q158" s="13"/>
      <c r="R158" s="13"/>
    </row>
    <row r="159" spans="1:18" ht="15" customHeight="1" thickBot="1">
      <c r="A159" s="2" t="s">
        <v>169</v>
      </c>
      <c r="B159" s="2"/>
      <c r="C159" s="47"/>
      <c r="D159" s="84" t="str">
        <f t="shared" si="35"/>
        <v>Jessica Burgess (0.5)</v>
      </c>
      <c r="E159" s="22">
        <f>IFERROR(VLOOKUP(D159,'Employee Numbers'!$A$3:$B$84,2,FALSE),"NOT FOUND")</f>
        <v>615820</v>
      </c>
      <c r="F159" s="31" t="str">
        <f t="shared" si="33"/>
        <v/>
      </c>
      <c r="G159" s="31" t="str">
        <f t="shared" si="33"/>
        <v/>
      </c>
      <c r="H159" s="31" t="str">
        <f t="shared" si="36"/>
        <v>trg_2.5_0900</v>
      </c>
      <c r="I159" s="31" t="str">
        <f t="shared" si="34"/>
        <v/>
      </c>
      <c r="J159" s="31" t="str">
        <f t="shared" si="34"/>
        <v/>
      </c>
      <c r="K159" s="31" t="str">
        <f t="shared" si="34"/>
        <v/>
      </c>
      <c r="L159" s="31" t="str">
        <f t="shared" si="34"/>
        <v/>
      </c>
      <c r="M159" s="35" t="s">
        <v>168</v>
      </c>
      <c r="N159" s="13"/>
      <c r="O159" s="13"/>
      <c r="P159" s="13"/>
      <c r="Q159" s="13"/>
      <c r="R159" s="13"/>
    </row>
    <row r="160" spans="1:18" ht="15" customHeight="1" thickBot="1">
      <c r="A160" s="2" t="s">
        <v>169</v>
      </c>
      <c r="B160" s="2"/>
      <c r="C160" s="47"/>
      <c r="D160" s="84" t="str">
        <f t="shared" si="35"/>
        <v>Leila Dosso</v>
      </c>
      <c r="E160" s="22">
        <f>IFERROR(VLOOKUP(D160,'Employee Numbers'!$A$3:$B$84,2,FALSE),"NOT FOUND")</f>
        <v>702947</v>
      </c>
      <c r="F160" s="31" t="str">
        <f t="shared" si="33"/>
        <v/>
      </c>
      <c r="G160" s="31" t="str">
        <f t="shared" si="33"/>
        <v/>
      </c>
      <c r="H160" s="37" t="s">
        <v>170</v>
      </c>
      <c r="I160" s="31" t="str">
        <f t="shared" si="34"/>
        <v/>
      </c>
      <c r="J160" s="31" t="str">
        <f t="shared" si="34"/>
        <v/>
      </c>
      <c r="K160" s="31" t="str">
        <f t="shared" si="34"/>
        <v/>
      </c>
      <c r="L160" s="31" t="str">
        <f t="shared" si="34"/>
        <v/>
      </c>
      <c r="M160" s="35" t="s">
        <v>168</v>
      </c>
    </row>
    <row r="161" spans="1:18" ht="15" customHeight="1" thickBot="1">
      <c r="A161" s="2" t="s">
        <v>169</v>
      </c>
      <c r="B161" s="2"/>
      <c r="C161" s="47"/>
      <c r="D161" s="84" t="str">
        <f t="shared" si="35"/>
        <v xml:space="preserve">Efi Tsampou </v>
      </c>
      <c r="E161" s="22">
        <f>IFERROR(VLOOKUP(D161,'Employee Numbers'!$A$3:$B$84,2,FALSE),"NOT FOUND")</f>
        <v>654002</v>
      </c>
      <c r="F161" s="31" t="str">
        <f t="shared" si="33"/>
        <v/>
      </c>
      <c r="G161" s="31" t="str">
        <f t="shared" si="33"/>
        <v/>
      </c>
      <c r="H161" s="37" t="s">
        <v>170</v>
      </c>
      <c r="I161" s="31" t="str">
        <f t="shared" si="34"/>
        <v/>
      </c>
      <c r="J161" s="31" t="str">
        <f t="shared" si="34"/>
        <v/>
      </c>
      <c r="K161" s="31" t="str">
        <f t="shared" si="34"/>
        <v/>
      </c>
      <c r="L161" s="31" t="str">
        <f t="shared" si="34"/>
        <v/>
      </c>
      <c r="M161" s="35" t="s">
        <v>168</v>
      </c>
    </row>
    <row r="162" spans="1:18" s="13" customFormat="1" ht="15" customHeight="1" thickBot="1">
      <c r="A162" s="2" t="s">
        <v>169</v>
      </c>
      <c r="B162" s="2"/>
      <c r="C162" s="21"/>
      <c r="D162" s="84" t="str">
        <f t="shared" si="35"/>
        <v>Marian Panlilio</v>
      </c>
      <c r="E162" s="22">
        <f>IFERROR(VLOOKUP(D162,'Employee Numbers'!$A$3:$B$84,2,FALSE),"NOT FOUND")</f>
        <v>703068</v>
      </c>
      <c r="F162" s="31" t="str">
        <f t="shared" si="33"/>
        <v/>
      </c>
      <c r="G162" s="31" t="str">
        <f t="shared" si="33"/>
        <v/>
      </c>
      <c r="H162" s="37" t="s">
        <v>170</v>
      </c>
      <c r="I162" s="31" t="str">
        <f t="shared" si="34"/>
        <v/>
      </c>
      <c r="J162" s="31" t="str">
        <f t="shared" si="34"/>
        <v/>
      </c>
      <c r="K162" s="31" t="str">
        <f t="shared" si="34"/>
        <v/>
      </c>
      <c r="L162" s="31" t="str">
        <f t="shared" si="34"/>
        <v/>
      </c>
      <c r="M162" s="35" t="s">
        <v>168</v>
      </c>
      <c r="N162" s="5"/>
      <c r="O162" s="5"/>
      <c r="P162" s="5"/>
      <c r="Q162" s="5"/>
      <c r="R162" s="5"/>
    </row>
    <row r="163" spans="1:18" ht="15" customHeight="1" thickBot="1">
      <c r="A163" s="2" t="s">
        <v>169</v>
      </c>
      <c r="B163" s="2"/>
      <c r="C163" s="21"/>
      <c r="D163" s="84" t="str">
        <f t="shared" si="35"/>
        <v>Takhfif Othman</v>
      </c>
      <c r="E163" s="22">
        <f>IFERROR(VLOOKUP(D163,'Employee Numbers'!$A$3:$B$84,2,FALSE),"NOT FOUND")</f>
        <v>703911</v>
      </c>
      <c r="F163" s="31" t="str">
        <f t="shared" si="33"/>
        <v/>
      </c>
      <c r="G163" s="31" t="str">
        <f t="shared" si="33"/>
        <v/>
      </c>
      <c r="H163" s="37" t="s">
        <v>170</v>
      </c>
      <c r="I163" s="31" t="str">
        <f t="shared" si="34"/>
        <v/>
      </c>
      <c r="J163" s="31" t="str">
        <f t="shared" si="34"/>
        <v/>
      </c>
      <c r="K163" s="31" t="str">
        <f t="shared" si="34"/>
        <v/>
      </c>
      <c r="L163" s="31" t="str">
        <f t="shared" si="34"/>
        <v/>
      </c>
      <c r="M163" s="35" t="s">
        <v>168</v>
      </c>
    </row>
    <row r="164" spans="1:18" ht="15" customHeight="1" thickBot="1">
      <c r="A164" s="2" t="s">
        <v>169</v>
      </c>
      <c r="B164" s="2"/>
      <c r="C164" s="21"/>
      <c r="D164" s="84" t="str">
        <f t="shared" si="35"/>
        <v xml:space="preserve">Toby Obrien </v>
      </c>
      <c r="E164" s="22">
        <f>IFERROR(VLOOKUP(D164,'Employee Numbers'!$A$3:$B$84,2,FALSE),"NOT FOUND")</f>
        <v>633936</v>
      </c>
      <c r="F164" s="31" t="str">
        <f t="shared" si="33"/>
        <v/>
      </c>
      <c r="G164" s="31" t="str">
        <f t="shared" si="33"/>
        <v/>
      </c>
      <c r="H164" s="37" t="s">
        <v>170</v>
      </c>
      <c r="I164" s="31" t="str">
        <f t="shared" si="34"/>
        <v/>
      </c>
      <c r="J164" s="31" t="str">
        <f t="shared" si="34"/>
        <v/>
      </c>
      <c r="K164" s="31" t="str">
        <f t="shared" si="34"/>
        <v/>
      </c>
      <c r="L164" s="31" t="str">
        <f t="shared" si="34"/>
        <v/>
      </c>
      <c r="M164" s="35" t="s">
        <v>168</v>
      </c>
    </row>
    <row r="165" spans="1:18" ht="15" customHeight="1" thickBot="1">
      <c r="A165" s="2" t="s">
        <v>169</v>
      </c>
      <c r="B165" s="2"/>
      <c r="C165" s="21"/>
      <c r="D165" s="84" t="str">
        <f t="shared" si="35"/>
        <v>William Jiang</v>
      </c>
      <c r="E165" s="22">
        <f>IFERROR(VLOOKUP(D165,'Employee Numbers'!$A$3:$B$84,2,FALSE),"NOT FOUND")</f>
        <v>700755</v>
      </c>
      <c r="F165" s="31" t="str">
        <f t="shared" si="33"/>
        <v/>
      </c>
      <c r="G165" s="31" t="str">
        <f t="shared" si="33"/>
        <v/>
      </c>
      <c r="H165" s="37" t="s">
        <v>170</v>
      </c>
      <c r="I165" s="31" t="str">
        <f t="shared" si="34"/>
        <v/>
      </c>
      <c r="J165" s="31" t="str">
        <f t="shared" si="34"/>
        <v/>
      </c>
      <c r="K165" s="31" t="str">
        <f t="shared" si="34"/>
        <v/>
      </c>
      <c r="L165" s="31" t="str">
        <f t="shared" si="34"/>
        <v/>
      </c>
      <c r="M165" s="35" t="s">
        <v>168</v>
      </c>
    </row>
    <row r="166" spans="1:18" ht="15" customHeight="1" thickBot="1">
      <c r="A166" s="2" t="s">
        <v>169</v>
      </c>
      <c r="B166" s="2"/>
      <c r="C166" s="21"/>
      <c r="D166" s="84" t="str">
        <f t="shared" si="35"/>
        <v>Pam Nelson</v>
      </c>
      <c r="E166" s="22">
        <f>IFERROR(VLOOKUP(D166,'Employee Numbers'!$A$3:$B$84,2,FALSE),"NOT FOUND")</f>
        <v>704872</v>
      </c>
      <c r="F166" s="31" t="str">
        <f t="shared" si="33"/>
        <v/>
      </c>
      <c r="G166" s="31" t="str">
        <f t="shared" si="33"/>
        <v/>
      </c>
      <c r="H166" s="37" t="s">
        <v>170</v>
      </c>
      <c r="I166" s="31" t="str">
        <f t="shared" si="34"/>
        <v/>
      </c>
      <c r="J166" s="31" t="str">
        <f t="shared" si="34"/>
        <v/>
      </c>
      <c r="K166" s="31" t="str">
        <f t="shared" si="34"/>
        <v/>
      </c>
      <c r="L166" s="31" t="str">
        <f t="shared" si="34"/>
        <v/>
      </c>
      <c r="M166" s="35" t="s">
        <v>168</v>
      </c>
    </row>
    <row r="167" spans="1:18" ht="15" customHeight="1" thickBot="1">
      <c r="A167" s="2" t="s">
        <v>169</v>
      </c>
      <c r="B167" s="2"/>
      <c r="C167" s="21"/>
      <c r="D167" s="84" t="str">
        <f t="shared" si="35"/>
        <v xml:space="preserve">Phoebe Franich </v>
      </c>
      <c r="E167" s="22">
        <f>IFERROR(VLOOKUP(D167,'Employee Numbers'!$A$3:$B$84,2,FALSE),"NOT FOUND")</f>
        <v>700712</v>
      </c>
      <c r="F167" s="31" t="str">
        <f t="shared" si="33"/>
        <v/>
      </c>
      <c r="G167" s="31" t="str">
        <f t="shared" si="33"/>
        <v/>
      </c>
      <c r="H167" s="37" t="s">
        <v>170</v>
      </c>
      <c r="I167" s="31" t="str">
        <f t="shared" si="34"/>
        <v/>
      </c>
      <c r="J167" s="31" t="str">
        <f t="shared" si="34"/>
        <v/>
      </c>
      <c r="K167" s="31" t="str">
        <f t="shared" si="34"/>
        <v/>
      </c>
      <c r="L167" s="31" t="str">
        <f t="shared" si="34"/>
        <v/>
      </c>
      <c r="M167" s="35" t="s">
        <v>168</v>
      </c>
    </row>
    <row r="168" spans="1:18" ht="15" customHeight="1" thickBot="1">
      <c r="A168" s="2" t="s">
        <v>169</v>
      </c>
      <c r="B168" s="2"/>
      <c r="C168" s="21"/>
      <c r="D168" s="84" t="str">
        <f t="shared" si="35"/>
        <v xml:space="preserve">Marie Papadopulos </v>
      </c>
      <c r="E168" s="22">
        <f>IFERROR(VLOOKUP(D168,'Employee Numbers'!$A$3:$B$84,2,FALSE),"NOT FOUND")</f>
        <v>700818</v>
      </c>
      <c r="F168" s="31" t="str">
        <f t="shared" si="33"/>
        <v/>
      </c>
      <c r="G168" s="31" t="str">
        <f t="shared" si="33"/>
        <v/>
      </c>
      <c r="H168" s="37" t="s">
        <v>170</v>
      </c>
      <c r="I168" s="31" t="str">
        <f t="shared" si="34"/>
        <v/>
      </c>
      <c r="J168" s="31" t="str">
        <f t="shared" si="34"/>
        <v/>
      </c>
      <c r="K168" s="31" t="str">
        <f t="shared" si="34"/>
        <v/>
      </c>
      <c r="L168" s="31" t="str">
        <f t="shared" si="34"/>
        <v/>
      </c>
      <c r="M168" s="35" t="s">
        <v>168</v>
      </c>
    </row>
    <row r="169" spans="1:18" ht="15" customHeight="1" thickBot="1">
      <c r="A169" s="2" t="s">
        <v>169</v>
      </c>
      <c r="B169" s="2"/>
      <c r="C169" s="21"/>
      <c r="D169" s="84" t="str">
        <f t="shared" si="35"/>
        <v>Stormie de Groot (0.5)</v>
      </c>
      <c r="E169" s="22">
        <f>IFERROR(VLOOKUP(D169,'Employee Numbers'!$A$3:$B$84,2,FALSE),"NOT FOUND")</f>
        <v>650101</v>
      </c>
      <c r="F169" s="31" t="str">
        <f t="shared" ref="F169:G176" si="37">IF(COUNTIF(F77,"*on*call*"),"oncall 2300-0830","")</f>
        <v/>
      </c>
      <c r="G169" s="31" t="str">
        <f t="shared" si="37"/>
        <v/>
      </c>
      <c r="H169" s="31" t="str">
        <f t="shared" ref="H169" si="38">IF(COUNTIF(H77,"0800-1730*"),"trg_2.5_1730","trg_2.5_0900")</f>
        <v>trg_2.5_0900</v>
      </c>
      <c r="I169" s="31" t="str">
        <f t="shared" ref="I169:L176" si="39">IF(COUNTIF(I77,"*on*call*"),"oncall 2300-0830","")</f>
        <v/>
      </c>
      <c r="J169" s="31" t="str">
        <f t="shared" si="39"/>
        <v/>
      </c>
      <c r="K169" s="31" t="str">
        <f t="shared" si="39"/>
        <v/>
      </c>
      <c r="L169" s="31" t="str">
        <f t="shared" si="39"/>
        <v/>
      </c>
      <c r="M169" s="35" t="s">
        <v>168</v>
      </c>
    </row>
    <row r="170" spans="1:18" ht="15" customHeight="1" thickBot="1">
      <c r="A170" s="2" t="s">
        <v>169</v>
      </c>
      <c r="B170" s="2"/>
      <c r="C170" s="21"/>
      <c r="D170" s="84" t="str">
        <f t="shared" si="35"/>
        <v xml:space="preserve">Joanne Eaton </v>
      </c>
      <c r="E170" s="22">
        <f>IFERROR(VLOOKUP(D170,'Employee Numbers'!$A$3:$B$84,2,FALSE),"NOT FOUND")</f>
        <v>654888</v>
      </c>
      <c r="F170" s="31" t="str">
        <f t="shared" si="37"/>
        <v/>
      </c>
      <c r="G170" s="31" t="str">
        <f t="shared" si="37"/>
        <v/>
      </c>
      <c r="H170" s="37" t="s">
        <v>170</v>
      </c>
      <c r="I170" s="31" t="str">
        <f t="shared" si="39"/>
        <v/>
      </c>
      <c r="J170" s="31" t="str">
        <f t="shared" si="39"/>
        <v/>
      </c>
      <c r="K170" s="31" t="str">
        <f t="shared" si="39"/>
        <v/>
      </c>
      <c r="L170" s="31" t="str">
        <f t="shared" si="39"/>
        <v/>
      </c>
      <c r="M170" s="35" t="s">
        <v>168</v>
      </c>
    </row>
    <row r="171" spans="1:18" ht="15" customHeight="1" thickBot="1">
      <c r="A171" s="2" t="s">
        <v>169</v>
      </c>
      <c r="B171" s="2"/>
      <c r="C171" s="21"/>
      <c r="D171" s="84" t="str">
        <f t="shared" si="35"/>
        <v xml:space="preserve">Helena Li </v>
      </c>
      <c r="E171" s="22">
        <f>IFERROR(VLOOKUP(D171,'Employee Numbers'!$A$3:$B$84,2,FALSE),"NOT FOUND")</f>
        <v>703880</v>
      </c>
      <c r="F171" s="31" t="str">
        <f t="shared" si="37"/>
        <v/>
      </c>
      <c r="G171" s="31" t="str">
        <f t="shared" si="37"/>
        <v/>
      </c>
      <c r="H171" s="37" t="s">
        <v>170</v>
      </c>
      <c r="I171" s="31" t="str">
        <f t="shared" si="39"/>
        <v/>
      </c>
      <c r="J171" s="31" t="str">
        <f t="shared" si="39"/>
        <v/>
      </c>
      <c r="K171" s="31" t="str">
        <f t="shared" si="39"/>
        <v/>
      </c>
      <c r="L171" s="31" t="str">
        <f t="shared" si="39"/>
        <v/>
      </c>
      <c r="M171" s="35" t="s">
        <v>168</v>
      </c>
    </row>
    <row r="172" spans="1:18" ht="15" customHeight="1" thickBot="1">
      <c r="A172" s="2" t="s">
        <v>169</v>
      </c>
      <c r="B172" s="2"/>
      <c r="C172" s="21"/>
      <c r="D172" s="84" t="str">
        <f t="shared" si="35"/>
        <v xml:space="preserve">Mustafa Ozkul </v>
      </c>
      <c r="E172" s="22">
        <f>IFERROR(VLOOKUP(D172,'Employee Numbers'!$A$3:$B$84,2,FALSE),"NOT FOUND")</f>
        <v>703334</v>
      </c>
      <c r="F172" s="31" t="str">
        <f t="shared" si="37"/>
        <v/>
      </c>
      <c r="G172" s="31" t="str">
        <f t="shared" si="37"/>
        <v/>
      </c>
      <c r="H172" s="37" t="s">
        <v>170</v>
      </c>
      <c r="I172" s="31" t="str">
        <f t="shared" si="39"/>
        <v/>
      </c>
      <c r="J172" s="31" t="str">
        <f t="shared" si="39"/>
        <v/>
      </c>
      <c r="K172" s="31" t="str">
        <f t="shared" si="39"/>
        <v/>
      </c>
      <c r="L172" s="31" t="str">
        <f t="shared" si="39"/>
        <v/>
      </c>
      <c r="M172" s="35" t="s">
        <v>168</v>
      </c>
    </row>
    <row r="173" spans="1:18" ht="15" customHeight="1" thickBot="1">
      <c r="A173" s="2" t="s">
        <v>169</v>
      </c>
      <c r="B173" s="2"/>
      <c r="C173" s="21"/>
      <c r="D173" s="84" t="str">
        <f t="shared" si="35"/>
        <v>Ritu Chaurasia (0.75)</v>
      </c>
      <c r="E173" s="22">
        <f>IFERROR(VLOOKUP(D173,'Employee Numbers'!$A$3:$B$84,2,FALSE),"NOT FOUND")</f>
        <v>700538</v>
      </c>
      <c r="F173" s="31" t="str">
        <f t="shared" si="37"/>
        <v/>
      </c>
      <c r="G173" s="31" t="str">
        <f t="shared" si="37"/>
        <v/>
      </c>
      <c r="H173" s="31" t="s">
        <v>167</v>
      </c>
      <c r="I173" s="31" t="str">
        <f t="shared" si="39"/>
        <v/>
      </c>
      <c r="J173" s="31" t="str">
        <f t="shared" si="39"/>
        <v/>
      </c>
      <c r="K173" s="31" t="str">
        <f t="shared" si="39"/>
        <v/>
      </c>
      <c r="L173" s="31" t="str">
        <f t="shared" si="39"/>
        <v/>
      </c>
      <c r="M173" s="35" t="s">
        <v>168</v>
      </c>
    </row>
    <row r="174" spans="1:18" ht="15" customHeight="1" thickBot="1">
      <c r="A174" s="2" t="s">
        <v>169</v>
      </c>
      <c r="B174" s="2"/>
      <c r="C174" s="21"/>
      <c r="D174" s="84" t="str">
        <f t="shared" si="35"/>
        <v>Jamie Nicholls (0.5)</v>
      </c>
      <c r="E174" s="22">
        <f>IFERROR(VLOOKUP(D174,'Employee Numbers'!$A$3:$B$84,2,FALSE),"NOT FOUND")</f>
        <v>704862</v>
      </c>
      <c r="F174" s="31" t="str">
        <f t="shared" si="37"/>
        <v/>
      </c>
      <c r="G174" s="31" t="str">
        <f t="shared" si="37"/>
        <v/>
      </c>
      <c r="H174" s="31" t="str">
        <f t="shared" ref="H174:H175" si="40">IF(COUNTIF(H82,"0800-1730*"),"trg_2.5_1730","trg_2.5_0900")</f>
        <v>trg_2.5_0900</v>
      </c>
      <c r="I174" s="31" t="str">
        <f t="shared" si="39"/>
        <v/>
      </c>
      <c r="J174" s="31" t="str">
        <f t="shared" si="39"/>
        <v/>
      </c>
      <c r="K174" s="31" t="str">
        <f t="shared" si="39"/>
        <v/>
      </c>
      <c r="L174" s="31" t="str">
        <f t="shared" si="39"/>
        <v/>
      </c>
      <c r="M174" s="35" t="s">
        <v>168</v>
      </c>
    </row>
    <row r="175" spans="1:18" ht="15" customHeight="1" thickBot="1">
      <c r="A175" s="2" t="s">
        <v>169</v>
      </c>
      <c r="B175" s="2"/>
      <c r="C175" s="21"/>
      <c r="D175" s="84">
        <f t="shared" si="35"/>
        <v>0</v>
      </c>
      <c r="E175" s="22" t="str">
        <f>IFERROR(VLOOKUP(D175,'Employee Numbers'!$A$3:$B$84,2,FALSE),"NOT FOUND")</f>
        <v>NOT FOUND</v>
      </c>
      <c r="F175" s="31" t="str">
        <f t="shared" si="37"/>
        <v/>
      </c>
      <c r="G175" s="31" t="str">
        <f t="shared" si="37"/>
        <v/>
      </c>
      <c r="H175" s="31" t="str">
        <f t="shared" si="40"/>
        <v>trg_2.5_0900</v>
      </c>
      <c r="I175" s="31" t="str">
        <f t="shared" si="39"/>
        <v/>
      </c>
      <c r="J175" s="31" t="str">
        <f t="shared" si="39"/>
        <v/>
      </c>
      <c r="K175" s="31" t="str">
        <f t="shared" si="39"/>
        <v/>
      </c>
      <c r="L175" s="31" t="str">
        <f t="shared" si="39"/>
        <v/>
      </c>
      <c r="M175" s="35" t="s">
        <v>168</v>
      </c>
    </row>
    <row r="176" spans="1:18" ht="15" customHeight="1">
      <c r="A176" s="2" t="s">
        <v>169</v>
      </c>
      <c r="B176" s="2"/>
      <c r="C176" s="21"/>
      <c r="D176" s="84">
        <f t="shared" si="35"/>
        <v>0</v>
      </c>
      <c r="E176" s="22" t="str">
        <f>IFERROR(VLOOKUP(D176,'Employee Numbers'!$A$3:$B$84,2,FALSE),"NOT FOUND")</f>
        <v>NOT FOUND</v>
      </c>
      <c r="F176" s="31" t="str">
        <f t="shared" si="37"/>
        <v/>
      </c>
      <c r="G176" s="31" t="str">
        <f t="shared" si="37"/>
        <v/>
      </c>
      <c r="H176" s="37" t="s">
        <v>170</v>
      </c>
      <c r="I176" s="31" t="str">
        <f t="shared" si="39"/>
        <v/>
      </c>
      <c r="J176" s="31" t="str">
        <f t="shared" si="39"/>
        <v/>
      </c>
      <c r="K176" s="31" t="str">
        <f t="shared" si="39"/>
        <v/>
      </c>
      <c r="L176" s="31" t="str">
        <f t="shared" si="39"/>
        <v/>
      </c>
      <c r="M176" s="35" t="s">
        <v>168</v>
      </c>
    </row>
  </sheetData>
  <mergeCells count="1">
    <mergeCell ref="D4:L4"/>
  </mergeCells>
  <phoneticPr fontId="18" type="noConversion"/>
  <conditionalFormatting sqref="E21:E49 E115:E143">
    <cfRule type="cellIs" dxfId="433" priority="43" operator="equal">
      <formula>0</formula>
    </cfRule>
    <cfRule type="containsText" dxfId="432" priority="42" operator="containsText" text="NOT FOUND">
      <formula>NOT(ISERROR(SEARCH("NOT FOUND",E21)))</formula>
    </cfRule>
  </conditionalFormatting>
  <conditionalFormatting sqref="E54:E59">
    <cfRule type="cellIs" dxfId="431" priority="47" operator="equal">
      <formula>0</formula>
    </cfRule>
    <cfRule type="containsText" dxfId="430" priority="46" operator="containsText" text="NOT FOUND">
      <formula>NOT(ISERROR(SEARCH("NOT FOUND",E54)))</formula>
    </cfRule>
  </conditionalFormatting>
  <conditionalFormatting sqref="E61:E84">
    <cfRule type="cellIs" dxfId="429" priority="41" operator="equal">
      <formula>0</formula>
    </cfRule>
    <cfRule type="containsText" dxfId="428" priority="40" operator="containsText" text="NOT FOUND">
      <formula>NOT(ISERROR(SEARCH("NOT FOUND",E61)))</formula>
    </cfRule>
  </conditionalFormatting>
  <conditionalFormatting sqref="E86:E99">
    <cfRule type="cellIs" dxfId="427" priority="39" operator="equal">
      <formula>0</formula>
    </cfRule>
    <cfRule type="containsText" dxfId="426" priority="38" operator="containsText" text="NOT FOUND">
      <formula>NOT(ISERROR(SEARCH("NOT FOUND",E86)))</formula>
    </cfRule>
  </conditionalFormatting>
  <conditionalFormatting sqref="E101:E102">
    <cfRule type="containsText" dxfId="425" priority="44" operator="containsText" text="NOT FOUND">
      <formula>NOT(ISERROR(SEARCH("NOT FOUND",E101)))</formula>
    </cfRule>
    <cfRule type="cellIs" dxfId="424" priority="45" operator="equal">
      <formula>0</formula>
    </cfRule>
  </conditionalFormatting>
  <conditionalFormatting sqref="E146:E151">
    <cfRule type="containsText" dxfId="423" priority="3" operator="containsText" text="NOT FOUND">
      <formula>NOT(ISERROR(SEARCH("NOT FOUND",E146)))</formula>
    </cfRule>
    <cfRule type="cellIs" dxfId="422" priority="4" operator="equal">
      <formula>0</formula>
    </cfRule>
  </conditionalFormatting>
  <conditionalFormatting sqref="E153:E176">
    <cfRule type="containsText" dxfId="421" priority="1" operator="containsText" text="NOT FOUND">
      <formula>NOT(ISERROR(SEARCH("NOT FOUND",E153)))</formula>
    </cfRule>
    <cfRule type="cellIs" dxfId="420" priority="2" operator="equal">
      <formula>0</formula>
    </cfRule>
  </conditionalFormatting>
  <conditionalFormatting sqref="F6:L6">
    <cfRule type="cellIs" dxfId="419" priority="31" operator="lessThan">
      <formula>2</formula>
    </cfRule>
    <cfRule type="cellIs" dxfId="418" priority="18" operator="greaterThan">
      <formula>3</formula>
    </cfRule>
  </conditionalFormatting>
  <conditionalFormatting sqref="F7:L7">
    <cfRule type="cellIs" dxfId="417" priority="30" operator="lessThan">
      <formula>2</formula>
    </cfRule>
  </conditionalFormatting>
  <conditionalFormatting sqref="F8:L8">
    <cfRule type="cellIs" dxfId="416" priority="36" operator="lessThan">
      <formula>5</formula>
    </cfRule>
    <cfRule type="cellIs" dxfId="415" priority="17" operator="greaterThan">
      <formula>8</formula>
    </cfRule>
    <cfRule type="cellIs" dxfId="414" priority="22" operator="equal">
      <formula>5</formula>
    </cfRule>
    <cfRule type="cellIs" dxfId="413" priority="37" operator="between">
      <formula>6</formula>
      <formula>8</formula>
    </cfRule>
  </conditionalFormatting>
  <conditionalFormatting sqref="F10:L11">
    <cfRule type="cellIs" dxfId="412" priority="33" operator="greaterThan">
      <formula>1</formula>
    </cfRule>
    <cfRule type="cellIs" dxfId="411" priority="21" operator="equal">
      <formula>1</formula>
    </cfRule>
  </conditionalFormatting>
  <conditionalFormatting sqref="F12:L12 F6:L7">
    <cfRule type="cellIs" dxfId="410" priority="32" operator="between">
      <formula>2</formula>
      <formula>3</formula>
    </cfRule>
  </conditionalFormatting>
  <conditionalFormatting sqref="F12:L12">
    <cfRule type="cellIs" dxfId="409" priority="19" operator="greaterThan">
      <formula>2</formula>
    </cfRule>
    <cfRule type="cellIs" dxfId="408" priority="25" operator="lessThan">
      <formula>2</formula>
    </cfRule>
  </conditionalFormatting>
  <conditionalFormatting sqref="F13:L13">
    <cfRule type="cellIs" dxfId="407" priority="26" operator="greaterThanOrEqual">
      <formula>6</formula>
    </cfRule>
    <cfRule type="cellIs" dxfId="406" priority="29" operator="lessThan">
      <formula>6</formula>
    </cfRule>
  </conditionalFormatting>
  <conditionalFormatting sqref="F14:L14">
    <cfRule type="cellIs" dxfId="405" priority="24" operator="equal">
      <formula>9</formula>
    </cfRule>
    <cfRule type="cellIs" dxfId="404" priority="34" operator="between">
      <formula>10</formula>
      <formula>11</formula>
    </cfRule>
    <cfRule type="cellIs" dxfId="403" priority="35" operator="greaterThan">
      <formula>11</formula>
    </cfRule>
    <cfRule type="cellIs" dxfId="402" priority="23" operator="lessThan">
      <formula>9</formula>
    </cfRule>
  </conditionalFormatting>
  <conditionalFormatting sqref="F16:L16">
    <cfRule type="cellIs" dxfId="401" priority="20" operator="greaterThan">
      <formula>4</formula>
    </cfRule>
    <cfRule type="cellIs" dxfId="400" priority="27" operator="equal">
      <formula>4</formula>
    </cfRule>
    <cfRule type="cellIs" dxfId="399" priority="28" operator="lessThan">
      <formula>4</formula>
    </cfRule>
  </conditionalFormatting>
  <conditionalFormatting sqref="R21:R47">
    <cfRule type="cellIs" dxfId="398" priority="14" operator="equal">
      <formula>S21</formula>
    </cfRule>
    <cfRule type="cellIs" dxfId="397" priority="13" operator="notEqual">
      <formula>S21</formula>
    </cfRule>
  </conditionalFormatting>
  <conditionalFormatting sqref="R54:R59 R61:R84">
    <cfRule type="cellIs" dxfId="396" priority="16" operator="equal">
      <formula>(N54+P54)*9.5/38*5</formula>
    </cfRule>
    <cfRule type="cellIs" dxfId="395" priority="15" operator="notEqual">
      <formula>(N54+P54)*9.5/38*5</formula>
    </cfRule>
  </conditionalFormatting>
  <conditionalFormatting sqref="S54:S59">
    <cfRule type="cellIs" dxfId="394" priority="12" operator="equal">
      <formula>T54</formula>
    </cfRule>
    <cfRule type="cellIs" dxfId="393" priority="11" operator="notEqual">
      <formula>T54</formula>
    </cfRule>
  </conditionalFormatting>
  <conditionalFormatting sqref="S61:S84">
    <cfRule type="cellIs" dxfId="392" priority="10" operator="equal">
      <formula>T61</formula>
    </cfRule>
    <cfRule type="cellIs" dxfId="391" priority="9" operator="notEqual">
      <formula>T61</formula>
    </cfRule>
  </conditionalFormatting>
  <conditionalFormatting sqref="S86:S99">
    <cfRule type="cellIs" dxfId="390" priority="8" operator="equal">
      <formula>T86</formula>
    </cfRule>
    <cfRule type="cellIs" dxfId="389" priority="7" operator="notEqual">
      <formula>T86</formula>
    </cfRule>
  </conditionalFormatting>
  <conditionalFormatting sqref="S101:S102">
    <cfRule type="cellIs" dxfId="388" priority="6" operator="equal">
      <formula>T101</formula>
    </cfRule>
    <cfRule type="cellIs" dxfId="387" priority="5" operator="notEqual">
      <formula>T101</formula>
    </cfRule>
  </conditionalFormatting>
  <pageMargins left="0.70866141732283472" right="0.70866141732283472" top="0.15748031496062992" bottom="0.15748031496062992" header="0" footer="0"/>
  <pageSetup paperSize="9" scale="48" fitToWidth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Y176"/>
  <sheetViews>
    <sheetView topLeftCell="A78" workbookViewId="0">
      <selection activeCell="D97" sqref="D97"/>
    </sheetView>
  </sheetViews>
  <sheetFormatPr defaultColWidth="31.28515625" defaultRowHeight="15" customHeight="1"/>
  <cols>
    <col min="1" max="1" width="15.140625" style="5" customWidth="1"/>
    <col min="2" max="2" width="10.42578125" style="5" customWidth="1"/>
    <col min="3" max="3" width="6" style="8" customWidth="1"/>
    <col min="4" max="4" width="26.7109375" style="5" bestFit="1" customWidth="1"/>
    <col min="5" max="5" width="8.42578125" style="8" customWidth="1"/>
    <col min="6" max="7" width="15.85546875" style="5" customWidth="1"/>
    <col min="8" max="8" width="20" style="5" customWidth="1"/>
    <col min="9" max="12" width="15.85546875" style="5" customWidth="1"/>
    <col min="13" max="13" width="31.28515625" style="5"/>
    <col min="14" max="14" width="7.85546875" style="5" customWidth="1"/>
    <col min="15" max="15" width="14.42578125" style="5" customWidth="1"/>
    <col min="16" max="16" width="8.42578125" style="5" customWidth="1"/>
    <col min="17" max="17" width="8.7109375" style="5" customWidth="1"/>
    <col min="18" max="18" width="12.7109375" style="5" customWidth="1"/>
    <col min="19" max="19" width="14.7109375" style="5" bestFit="1" customWidth="1"/>
    <col min="20" max="20" width="14.140625" style="5" bestFit="1" customWidth="1"/>
    <col min="21" max="25" width="7.140625" style="5" customWidth="1"/>
    <col min="26" max="16384" width="31.28515625" style="5"/>
  </cols>
  <sheetData>
    <row r="1" spans="1:13" s="2" customFormat="1" ht="15" customHeight="1">
      <c r="A1" s="34" t="s">
        <v>0</v>
      </c>
      <c r="B1" s="103" t="s">
        <v>1</v>
      </c>
      <c r="C1" s="104" t="s">
        <v>2</v>
      </c>
      <c r="D1" s="104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 t="s">
        <v>8</v>
      </c>
      <c r="J1" s="47" t="s">
        <v>9</v>
      </c>
      <c r="K1" s="47" t="s">
        <v>10</v>
      </c>
      <c r="L1" s="47" t="s">
        <v>11</v>
      </c>
      <c r="M1" s="103" t="s">
        <v>12</v>
      </c>
    </row>
    <row r="2" spans="1:13" s="2" customFormat="1" ht="15" customHeight="1">
      <c r="A2" s="13" t="s">
        <v>13</v>
      </c>
      <c r="B2" s="112"/>
      <c r="C2" s="21"/>
      <c r="E2" s="21"/>
      <c r="F2" s="94">
        <f>'Week 11'!F2+7</f>
        <v>46223</v>
      </c>
      <c r="G2" s="95">
        <f>F2+1</f>
        <v>46224</v>
      </c>
      <c r="H2" s="95">
        <f t="shared" ref="H2:L2" si="0">G2+1</f>
        <v>46225</v>
      </c>
      <c r="I2" s="95">
        <f t="shared" si="0"/>
        <v>46226</v>
      </c>
      <c r="J2" s="95">
        <f t="shared" si="0"/>
        <v>46227</v>
      </c>
      <c r="K2" s="95">
        <f t="shared" si="0"/>
        <v>46228</v>
      </c>
      <c r="L2" s="95">
        <f t="shared" si="0"/>
        <v>46229</v>
      </c>
    </row>
    <row r="3" spans="1:13" s="2" customFormat="1" ht="15" customHeight="1">
      <c r="A3" s="13" t="s">
        <v>14</v>
      </c>
      <c r="B3" s="112">
        <f>1+(F2-'Week 1'!F2)/7</f>
        <v>12</v>
      </c>
      <c r="E3" s="21"/>
      <c r="F3" s="94"/>
      <c r="G3" s="95"/>
      <c r="H3" s="95"/>
      <c r="I3" s="95"/>
      <c r="J3" s="95"/>
      <c r="K3" s="95"/>
      <c r="L3" s="95"/>
    </row>
    <row r="4" spans="1:13" ht="22.5" customHeight="1">
      <c r="A4" s="13" t="s">
        <v>15</v>
      </c>
      <c r="B4" s="2"/>
      <c r="C4" s="21">
        <f ca="1">IF(INDIRECT("'Week "&amp;(B3-1)&amp;"'!C4")=1,2,IF(INDIRECT("'Week "&amp;(B3-1)&amp;"'!C4")=2,1,_xludf.NA))</f>
        <v>2</v>
      </c>
      <c r="D4" s="359" t="str">
        <f>'Week 1'!D4:L4</f>
        <v>PAEDIATRIC EMERGENCY DEPARTMENT ROSTER - Term 2 2026</v>
      </c>
      <c r="E4" s="360"/>
      <c r="F4" s="360"/>
      <c r="G4" s="360"/>
      <c r="H4" s="360"/>
      <c r="I4" s="360"/>
      <c r="J4" s="360"/>
      <c r="K4" s="360"/>
      <c r="L4" s="360"/>
    </row>
    <row r="5" spans="1:13" s="2" customFormat="1" ht="15" customHeight="1" thickBot="1">
      <c r="A5" s="13"/>
      <c r="C5" s="21"/>
      <c r="E5" s="21"/>
      <c r="F5" s="94"/>
      <c r="G5" s="95"/>
      <c r="H5" s="95"/>
      <c r="I5" s="95"/>
      <c r="J5" s="95"/>
      <c r="K5" s="95"/>
      <c r="L5" s="95"/>
    </row>
    <row r="6" spans="1:13" s="2" customFormat="1" ht="15" customHeight="1">
      <c r="A6" s="13"/>
      <c r="C6" s="21"/>
      <c r="D6" s="96" t="s">
        <v>17</v>
      </c>
      <c r="E6" s="97"/>
      <c r="F6" s="101">
        <f>COUNTIF(F$21:F$49,"0800-1???")-COUNTIFS(F$48,"0800-1???",$D$48,"Locum")-COUNTIFS(F$49,"0800-1???",$D$49,"Locum")</f>
        <v>3</v>
      </c>
      <c r="G6" s="101">
        <f t="shared" ref="G6:L6" si="1">COUNTIF(G$21:G$49,"0800-1???")-COUNTIFS(G$48,"0800-1???",$D$48,"Locum")-COUNTIFS(G$49,"0800-1???",$D$49,"Locum")</f>
        <v>3</v>
      </c>
      <c r="H6" s="101">
        <f t="shared" si="1"/>
        <v>3</v>
      </c>
      <c r="I6" s="101">
        <f t="shared" si="1"/>
        <v>3</v>
      </c>
      <c r="J6" s="101">
        <f t="shared" si="1"/>
        <v>3</v>
      </c>
      <c r="K6" s="101">
        <f t="shared" si="1"/>
        <v>2</v>
      </c>
      <c r="L6" s="101">
        <f t="shared" si="1"/>
        <v>2</v>
      </c>
    </row>
    <row r="7" spans="1:13" s="2" customFormat="1" ht="15" customHeight="1" thickBot="1">
      <c r="A7" s="13"/>
      <c r="C7" s="21"/>
      <c r="D7" s="68" t="s">
        <v>18</v>
      </c>
      <c r="E7" s="67"/>
      <c r="F7" s="109">
        <f t="shared" ref="F7:L7" si="2">COUNTIF(F$54:F$102,"0800-1???")</f>
        <v>5</v>
      </c>
      <c r="G7" s="109">
        <f t="shared" si="2"/>
        <v>4</v>
      </c>
      <c r="H7" s="109">
        <f t="shared" si="2"/>
        <v>3</v>
      </c>
      <c r="I7" s="109">
        <f t="shared" si="2"/>
        <v>5</v>
      </c>
      <c r="J7" s="109">
        <f t="shared" si="2"/>
        <v>4</v>
      </c>
      <c r="K7" s="109">
        <f t="shared" si="2"/>
        <v>5</v>
      </c>
      <c r="L7" s="157">
        <f t="shared" si="2"/>
        <v>5</v>
      </c>
    </row>
    <row r="8" spans="1:13" s="2" customFormat="1" ht="15" customHeight="1" thickBot="1">
      <c r="A8" s="13"/>
      <c r="C8" s="21"/>
      <c r="D8" s="98" t="s">
        <v>19</v>
      </c>
      <c r="E8" s="99"/>
      <c r="F8" s="108">
        <f>F6+F7</f>
        <v>8</v>
      </c>
      <c r="G8" s="108">
        <f t="shared" ref="G8:L8" si="3">G6+G7</f>
        <v>7</v>
      </c>
      <c r="H8" s="108">
        <f t="shared" si="3"/>
        <v>6</v>
      </c>
      <c r="I8" s="108">
        <f t="shared" si="3"/>
        <v>8</v>
      </c>
      <c r="J8" s="108">
        <f t="shared" si="3"/>
        <v>7</v>
      </c>
      <c r="K8" s="108">
        <f t="shared" si="3"/>
        <v>7</v>
      </c>
      <c r="L8" s="158">
        <f t="shared" si="3"/>
        <v>7</v>
      </c>
    </row>
    <row r="9" spans="1:13" s="2" customFormat="1" ht="15" customHeight="1" thickBot="1">
      <c r="A9" s="13"/>
      <c r="C9" s="21"/>
      <c r="E9" s="21"/>
      <c r="F9" s="21"/>
      <c r="G9" s="21"/>
      <c r="H9" s="21"/>
      <c r="I9" s="21"/>
      <c r="J9" s="21"/>
      <c r="K9" s="21"/>
      <c r="L9" s="21"/>
    </row>
    <row r="10" spans="1:13" s="2" customFormat="1" ht="15" customHeight="1">
      <c r="A10" s="13"/>
      <c r="C10" s="21"/>
      <c r="D10" s="96" t="s">
        <v>20</v>
      </c>
      <c r="E10" s="97"/>
      <c r="F10" s="101">
        <f>COUNTIF(F$21:F$49,"1100-????")-COUNTIFS(F$48,"1100-????",$D$48,"Locum")-COUNTIFS(F$49,"1100-????",$D$49,"Locum")</f>
        <v>0</v>
      </c>
      <c r="G10" s="101">
        <f t="shared" ref="G10:L10" si="4">COUNTIF(G$21:G$49,"1100-????")-COUNTIFS(G$48,"1100-????",$D$48,"Locum")-COUNTIFS(G$49,"1100-????",$D$49,"Locum")</f>
        <v>0</v>
      </c>
      <c r="H10" s="101">
        <f t="shared" si="4"/>
        <v>0</v>
      </c>
      <c r="I10" s="101">
        <f t="shared" si="4"/>
        <v>0</v>
      </c>
      <c r="J10" s="101">
        <f t="shared" si="4"/>
        <v>0</v>
      </c>
      <c r="K10" s="101">
        <f t="shared" si="4"/>
        <v>0</v>
      </c>
      <c r="L10" s="101">
        <f t="shared" si="4"/>
        <v>0</v>
      </c>
    </row>
    <row r="11" spans="1:13" s="2" customFormat="1" ht="15" customHeight="1">
      <c r="A11" s="13"/>
      <c r="C11" s="21"/>
      <c r="D11" s="68" t="s">
        <v>21</v>
      </c>
      <c r="E11" s="67"/>
      <c r="F11" s="161">
        <f>COUNTIF(F$54:F$102,"1100-????")</f>
        <v>0</v>
      </c>
      <c r="G11" s="161">
        <f t="shared" ref="G11:L11" si="5">COUNTIF(G$54:G$102,"1100-????")</f>
        <v>1</v>
      </c>
      <c r="H11" s="161">
        <f t="shared" si="5"/>
        <v>1</v>
      </c>
      <c r="I11" s="161">
        <f t="shared" si="5"/>
        <v>0</v>
      </c>
      <c r="J11" s="161">
        <f t="shared" si="5"/>
        <v>0</v>
      </c>
      <c r="K11" s="161">
        <f t="shared" si="5"/>
        <v>0</v>
      </c>
      <c r="L11" s="161">
        <f t="shared" si="5"/>
        <v>0</v>
      </c>
    </row>
    <row r="12" spans="1:13" s="2" customFormat="1" ht="15" customHeight="1">
      <c r="A12" s="13"/>
      <c r="C12" s="21"/>
      <c r="D12" s="68" t="s">
        <v>22</v>
      </c>
      <c r="E12" s="67"/>
      <c r="F12" s="102">
        <f>COUNTIF(F$21:F$49,"1???-00?0")-COUNTIFS(F$48,"1???-00?0",$D$48,"Locum")-COUNTIFS(F$49,"1???-00?0",$D$49,"Locum")</f>
        <v>3</v>
      </c>
      <c r="G12" s="102">
        <f t="shared" ref="G12:L12" si="6">COUNTIF(G$21:G$49,"1???-00?0")-COUNTIFS(G$48,"1???-00?0",$D$48,"Locum")-COUNTIFS(G$49,"1???-00?0",$D$49,"Locum")</f>
        <v>3</v>
      </c>
      <c r="H12" s="102">
        <f t="shared" si="6"/>
        <v>3</v>
      </c>
      <c r="I12" s="102">
        <f t="shared" si="6"/>
        <v>3</v>
      </c>
      <c r="J12" s="102">
        <f t="shared" si="6"/>
        <v>3</v>
      </c>
      <c r="K12" s="102">
        <f t="shared" si="6"/>
        <v>2</v>
      </c>
      <c r="L12" s="102">
        <f t="shared" si="6"/>
        <v>2</v>
      </c>
    </row>
    <row r="13" spans="1:13" s="2" customFormat="1" ht="15" customHeight="1" thickBot="1">
      <c r="A13" s="13"/>
      <c r="C13" s="21"/>
      <c r="D13" s="68" t="s">
        <v>23</v>
      </c>
      <c r="E13" s="67"/>
      <c r="F13" s="109">
        <f>COUNTIF(F$54:F$102,"1???-0000*")</f>
        <v>9</v>
      </c>
      <c r="G13" s="109">
        <f t="shared" ref="G13:L13" si="7">COUNTIF(G$54:G$102,"1???-0000*")</f>
        <v>8</v>
      </c>
      <c r="H13" s="109">
        <f t="shared" si="7"/>
        <v>7</v>
      </c>
      <c r="I13" s="109">
        <f t="shared" si="7"/>
        <v>8</v>
      </c>
      <c r="J13" s="109">
        <f t="shared" si="7"/>
        <v>8</v>
      </c>
      <c r="K13" s="109">
        <f t="shared" si="7"/>
        <v>8</v>
      </c>
      <c r="L13" s="157">
        <f t="shared" si="7"/>
        <v>8</v>
      </c>
    </row>
    <row r="14" spans="1:13" s="2" customFormat="1" ht="15" customHeight="1" thickBot="1">
      <c r="A14" s="13"/>
      <c r="C14" s="21"/>
      <c r="D14" s="98" t="s">
        <v>24</v>
      </c>
      <c r="E14" s="99"/>
      <c r="F14" s="108">
        <f>F12+F13</f>
        <v>12</v>
      </c>
      <c r="G14" s="108">
        <f t="shared" ref="G14:L14" si="8">G12+G13</f>
        <v>11</v>
      </c>
      <c r="H14" s="108">
        <f t="shared" si="8"/>
        <v>10</v>
      </c>
      <c r="I14" s="108">
        <f t="shared" si="8"/>
        <v>11</v>
      </c>
      <c r="J14" s="108">
        <f t="shared" si="8"/>
        <v>11</v>
      </c>
      <c r="K14" s="108">
        <f t="shared" si="8"/>
        <v>10</v>
      </c>
      <c r="L14" s="158">
        <f t="shared" si="8"/>
        <v>10</v>
      </c>
    </row>
    <row r="15" spans="1:13" s="2" customFormat="1" ht="15" customHeight="1" thickBot="1">
      <c r="A15" s="13"/>
      <c r="C15" s="21"/>
      <c r="E15" s="21"/>
      <c r="F15" s="21"/>
      <c r="G15" s="21"/>
      <c r="H15" s="21"/>
      <c r="I15" s="21"/>
      <c r="J15" s="21"/>
      <c r="K15" s="21"/>
      <c r="L15" s="21"/>
    </row>
    <row r="16" spans="1:13" s="2" customFormat="1" ht="15" customHeight="1" thickBot="1">
      <c r="A16" s="13"/>
      <c r="C16" s="21"/>
      <c r="D16" s="100" t="s">
        <v>25</v>
      </c>
      <c r="E16" s="72"/>
      <c r="F16" s="66">
        <f t="shared" ref="F16:L16" si="9">COUNTIF(F$54:F$99,"2300-0830")</f>
        <v>4</v>
      </c>
      <c r="G16" s="66">
        <f t="shared" si="9"/>
        <v>4</v>
      </c>
      <c r="H16" s="66">
        <f t="shared" si="9"/>
        <v>4</v>
      </c>
      <c r="I16" s="66">
        <f t="shared" si="9"/>
        <v>4</v>
      </c>
      <c r="J16" s="66">
        <f t="shared" si="9"/>
        <v>5</v>
      </c>
      <c r="K16" s="66">
        <f t="shared" si="9"/>
        <v>5</v>
      </c>
      <c r="L16" s="159">
        <f t="shared" si="9"/>
        <v>5</v>
      </c>
    </row>
    <row r="17" spans="1:25" s="2" customFormat="1" ht="15" customHeight="1" thickBot="1">
      <c r="A17" s="13"/>
      <c r="C17" s="21"/>
      <c r="E17" s="21"/>
      <c r="F17" s="21"/>
      <c r="G17" s="21"/>
      <c r="H17" s="21"/>
      <c r="I17" s="21"/>
      <c r="J17" s="21"/>
      <c r="K17" s="21"/>
      <c r="L17" s="21"/>
    </row>
    <row r="18" spans="1:25" s="2" customFormat="1" ht="15" customHeight="1" thickBot="1">
      <c r="A18" s="13"/>
      <c r="C18" s="21"/>
      <c r="D18" s="61" t="s">
        <v>26</v>
      </c>
      <c r="E18" s="62" t="s">
        <v>4</v>
      </c>
      <c r="F18" s="62" t="s">
        <v>5</v>
      </c>
      <c r="G18" s="62" t="s">
        <v>6</v>
      </c>
      <c r="H18" s="62" t="s">
        <v>7</v>
      </c>
      <c r="I18" s="62" t="s">
        <v>8</v>
      </c>
      <c r="J18" s="62" t="s">
        <v>9</v>
      </c>
      <c r="K18" s="62" t="s">
        <v>10</v>
      </c>
      <c r="L18" s="63" t="s">
        <v>11</v>
      </c>
      <c r="N18" s="145" t="s">
        <v>27</v>
      </c>
      <c r="O18" s="145" t="s">
        <v>28</v>
      </c>
      <c r="P18" s="136" t="s">
        <v>29</v>
      </c>
      <c r="R18" s="146" t="s">
        <v>30</v>
      </c>
      <c r="S18" s="145" t="s">
        <v>31</v>
      </c>
    </row>
    <row r="19" spans="1:25" s="2" customFormat="1" ht="15" customHeight="1" thickBot="1">
      <c r="A19" s="13"/>
      <c r="C19" s="21"/>
      <c r="D19" s="93"/>
      <c r="E19" s="91"/>
      <c r="F19" s="92">
        <f>F2</f>
        <v>46223</v>
      </c>
      <c r="G19" s="64">
        <f t="shared" ref="G19:L19" si="10">F19+1</f>
        <v>46224</v>
      </c>
      <c r="H19" s="64">
        <f t="shared" si="10"/>
        <v>46225</v>
      </c>
      <c r="I19" s="64">
        <f t="shared" si="10"/>
        <v>46226</v>
      </c>
      <c r="J19" s="64">
        <f t="shared" si="10"/>
        <v>46227</v>
      </c>
      <c r="K19" s="64">
        <f t="shared" si="10"/>
        <v>46228</v>
      </c>
      <c r="L19" s="65">
        <f t="shared" si="10"/>
        <v>46229</v>
      </c>
      <c r="N19" s="147" t="s">
        <v>32</v>
      </c>
      <c r="O19" s="21" t="s">
        <v>32</v>
      </c>
      <c r="P19" s="148"/>
      <c r="R19" s="149" t="s">
        <v>32</v>
      </c>
      <c r="S19" s="147" t="s">
        <v>32</v>
      </c>
      <c r="U19" s="2" t="s">
        <v>33</v>
      </c>
      <c r="V19" s="142" t="s">
        <v>34</v>
      </c>
      <c r="W19" s="2" t="s">
        <v>35</v>
      </c>
      <c r="X19" s="2" t="s">
        <v>36</v>
      </c>
      <c r="Y19" s="2" t="s">
        <v>37</v>
      </c>
    </row>
    <row r="20" spans="1:25" s="2" customFormat="1" ht="15.75" customHeight="1" thickBot="1">
      <c r="A20" s="114" t="s">
        <v>38</v>
      </c>
      <c r="B20" s="115"/>
      <c r="C20" s="116"/>
      <c r="D20" s="117" t="s">
        <v>38</v>
      </c>
      <c r="E20" s="155"/>
      <c r="F20" s="118"/>
      <c r="G20" s="119"/>
      <c r="H20" s="119"/>
      <c r="I20" s="119"/>
      <c r="J20" s="119"/>
      <c r="K20" s="119"/>
      <c r="L20" s="120"/>
      <c r="N20" s="160"/>
      <c r="O20" s="160"/>
      <c r="P20" s="150"/>
      <c r="R20" s="151"/>
      <c r="S20" s="160"/>
      <c r="T20" s="160"/>
      <c r="U20" s="160"/>
      <c r="V20" s="142"/>
    </row>
    <row r="21" spans="1:25" s="2" customFormat="1" ht="15" customHeight="1">
      <c r="A21" s="162" t="s">
        <v>39</v>
      </c>
      <c r="B21" s="162"/>
      <c r="C21" s="164"/>
      <c r="D21" s="234" t="s">
        <v>40</v>
      </c>
      <c r="E21" s="165">
        <f>IFERROR(VLOOKUP(D21,'Employee Numbers'!$A$3:$B$84,2,FALSE),"NOT FOUND")</f>
        <v>287628</v>
      </c>
      <c r="F21" s="235" t="s">
        <v>41</v>
      </c>
      <c r="G21" s="236" t="s">
        <v>41</v>
      </c>
      <c r="H21" s="236" t="s">
        <v>41</v>
      </c>
      <c r="I21" s="236" t="s">
        <v>44</v>
      </c>
      <c r="J21" s="236"/>
      <c r="K21" s="236"/>
      <c r="L21" s="237"/>
      <c r="N21">
        <f t="array" ref="N21">((SUM(IFERROR((TEXT(IF(ISNUMBER(SEARCH("-", F21:L21)), MID(F21:L21, SEARCH("-", F21:L21) + 1, 4), ""), "00\:00") - TEXT(IF(ISNUMBER(SEARCH("-", F21:L21)), MID(F21:L21, SEARCH("-", F21:L21) - 4, 4), ""), "00\:00") + IF(TEXT(IF(ISNUMBER(SEARCH("-", F21:L21)), MID(F21:L21, SEARCH("-", F21:L21) + 1, 4), ""), "00\:00") &lt; TEXT(IF(ISNUMBER(SEARCH("-", F21:L21)), MID(F21:L21, SEARCH("-", F21:L21) - 4, 4), ""), "00\:00"), 1, 0))*24,""))))/9.5</f>
        <v>4</v>
      </c>
      <c r="O21"/>
      <c r="P21" s="151">
        <f>N21+O21</f>
        <v>4</v>
      </c>
      <c r="R21" s="4">
        <f ca="1">IF($C$4=1,SUM(P21+INDIRECT("'Week "&amp;($B$3+1)&amp;"'!P"&amp;(ROW()))),IF($C$4=2,SUM(P21+INDIRECT("'Week "&amp;($B$3-1)&amp;"'!P"&amp;(ROW())))))</f>
        <v>8</v>
      </c>
      <c r="S21" s="2">
        <f>(IFERROR(VLOOKUP(D21,'Employee Numbers'!$A$3:$C$84,3,FALSE),"NOT FOUND"))*8</f>
        <v>8</v>
      </c>
      <c r="U21" s="142">
        <f>COUNTIF(E21:K21,"0800-1730")</f>
        <v>1</v>
      </c>
      <c r="V21" s="142">
        <f>COUNTIF(F21:L21,"1???-00?0")</f>
        <v>0</v>
      </c>
      <c r="W21" s="2">
        <f>COUNTIF(F21:L21,"*0800-1730*CS*")+COUNTIF(F21:L21,"*0800-1730*DEMT*")</f>
        <v>3</v>
      </c>
      <c r="Y21" s="2">
        <f>COUNTIF(K21:L21,"???0-*")</f>
        <v>0</v>
      </c>
    </row>
    <row r="22" spans="1:25" s="2" customFormat="1" ht="15" customHeight="1">
      <c r="A22" s="2" t="s">
        <v>39</v>
      </c>
      <c r="B22" s="46"/>
      <c r="C22" s="21"/>
      <c r="D22" s="227" t="s">
        <v>43</v>
      </c>
      <c r="E22" s="226">
        <f>IFERROR(VLOOKUP(D22,'Employee Numbers'!$A$3:$B$84,2,FALSE),"NOT FOUND")</f>
        <v>609660</v>
      </c>
      <c r="F22" s="29" t="s">
        <v>41</v>
      </c>
      <c r="G22" s="31" t="s">
        <v>41</v>
      </c>
      <c r="H22" s="31" t="s">
        <v>42</v>
      </c>
      <c r="I22" s="31" t="s">
        <v>42</v>
      </c>
      <c r="J22" s="31"/>
      <c r="K22" s="31"/>
      <c r="L22" s="228"/>
      <c r="N22">
        <f t="array" ref="N22">((SUM(IFERROR((TEXT(IF(ISNUMBER(SEARCH("-", F22:L22)), MID(F22:L22, SEARCH("-", F22:L22) + 1, 4), ""), "00\:00") - TEXT(IF(ISNUMBER(SEARCH("-", F22:L22)), MID(F22:L22, SEARCH("-", F22:L22) - 4, 4), ""), "00\:00") + IF(TEXT(IF(ISNUMBER(SEARCH("-", F22:L22)), MID(F22:L22, SEARCH("-", F22:L22) + 1, 4), ""), "00\:00") &lt; TEXT(IF(ISNUMBER(SEARCH("-", F22:L22)), MID(F22:L22, SEARCH("-", F22:L22) - 4, 4), ""), "00\:00"), 1, 0))*24,""))))/9.5</f>
        <v>4</v>
      </c>
      <c r="O22"/>
      <c r="P22" s="151">
        <f t="shared" ref="P22:P47" si="11">N22+O22</f>
        <v>4</v>
      </c>
      <c r="R22" s="4">
        <f t="shared" ref="R22:R47" ca="1" si="12">IF($C$4=1,SUM(P22+INDIRECT("'Week "&amp;($B$3+1)&amp;"'!P"&amp;(ROW()))),IF($C$4=2,SUM(P22+INDIRECT("'Week "&amp;($B$3-1)&amp;"'!P"&amp;(ROW())))))</f>
        <v>8</v>
      </c>
      <c r="S22" s="2">
        <f>(IFERROR(VLOOKUP(D22,'Employee Numbers'!$A$3:$C$84,3,FALSE),"NOT FOUND"))*8</f>
        <v>8</v>
      </c>
      <c r="U22" s="142">
        <f t="shared" ref="U22:U47" si="13">COUNTIF(E22:K22,"0800-1730")</f>
        <v>0</v>
      </c>
      <c r="V22" s="142">
        <f t="shared" ref="V22:V47" si="14">COUNTIF(F22:L22,"1???-00?0")</f>
        <v>2</v>
      </c>
      <c r="W22" s="2">
        <f t="shared" ref="W22:W47" si="15">COUNTIF(F22:L22,"*0800-1730*CS*")+COUNTIF(F22:L22,"*0800-1730*DEMT*")</f>
        <v>2</v>
      </c>
      <c r="Y22" s="2">
        <f t="shared" ref="Y22:Y47" si="16">COUNTIF(K22:L22,"???0-*")</f>
        <v>0</v>
      </c>
    </row>
    <row r="23" spans="1:25" s="2" customFormat="1" ht="15" customHeight="1">
      <c r="A23" s="162" t="s">
        <v>39</v>
      </c>
      <c r="B23" s="163"/>
      <c r="C23" s="238"/>
      <c r="D23" s="239" t="s">
        <v>45</v>
      </c>
      <c r="E23" s="165">
        <f>IFERROR(VLOOKUP(D23,'Employee Numbers'!$A$3:$B$84,2,FALSE),"NOT FOUND")</f>
        <v>610036</v>
      </c>
      <c r="F23" s="176" t="s">
        <v>41</v>
      </c>
      <c r="G23" s="166" t="s">
        <v>42</v>
      </c>
      <c r="H23" s="166" t="s">
        <v>46</v>
      </c>
      <c r="I23" s="166"/>
      <c r="J23" s="166" t="s">
        <v>44</v>
      </c>
      <c r="K23" s="166"/>
      <c r="L23" s="167"/>
      <c r="N23">
        <f t="array" ref="N23">((SUM(IFERROR((TEXT(IF(ISNUMBER(SEARCH("-", F23:L23)), MID(F23:L23, SEARCH("-", F23:L23) + 1, 4), ""), "00\:00") - TEXT(IF(ISNUMBER(SEARCH("-", F23:L23)), MID(F23:L23, SEARCH("-", F23:L23) - 4, 4), ""), "00\:00") + IF(TEXT(IF(ISNUMBER(SEARCH("-", F23:L23)), MID(F23:L23, SEARCH("-", F23:L23) + 1, 4), ""), "00\:00") &lt; TEXT(IF(ISNUMBER(SEARCH("-", F23:L23)), MID(F23:L23, SEARCH("-", F23:L23) - 4, 4), ""), "00\:00"), 1, 0))*24,""))))/9.5</f>
        <v>4</v>
      </c>
      <c r="O23"/>
      <c r="P23" s="151">
        <f t="shared" si="11"/>
        <v>4</v>
      </c>
      <c r="R23" s="4">
        <f t="shared" ca="1" si="12"/>
        <v>8</v>
      </c>
      <c r="S23" s="2">
        <f>(IFERROR(VLOOKUP(D23,'Employee Numbers'!$A$3:$C$84,3,FALSE),"NOT FOUND"))*8</f>
        <v>8</v>
      </c>
      <c r="U23" s="142">
        <f t="shared" si="13"/>
        <v>1</v>
      </c>
      <c r="V23" s="142">
        <f t="shared" si="14"/>
        <v>1</v>
      </c>
      <c r="W23" s="2">
        <f t="shared" si="15"/>
        <v>2</v>
      </c>
      <c r="Y23" s="2">
        <f t="shared" si="16"/>
        <v>0</v>
      </c>
    </row>
    <row r="24" spans="1:25" s="2" customFormat="1" ht="15" customHeight="1">
      <c r="A24" s="2" t="s">
        <v>39</v>
      </c>
      <c r="B24" s="46"/>
      <c r="C24" s="47"/>
      <c r="D24" s="227" t="s">
        <v>49</v>
      </c>
      <c r="E24" s="226">
        <f>IFERROR(VLOOKUP(D24,'Employee Numbers'!$A$3:$B$84,2,FALSE),"NOT FOUND")</f>
        <v>533509</v>
      </c>
      <c r="F24" s="250" t="s">
        <v>50</v>
      </c>
      <c r="G24" s="251" t="s">
        <v>50</v>
      </c>
      <c r="H24" s="251" t="s">
        <v>50</v>
      </c>
      <c r="I24" s="251" t="s">
        <v>50</v>
      </c>
      <c r="J24" s="251" t="s">
        <v>50</v>
      </c>
      <c r="K24" s="251" t="s">
        <v>50</v>
      </c>
      <c r="L24" s="252" t="s">
        <v>50</v>
      </c>
      <c r="N24">
        <f t="array" ref="N24">((SUM(IFERROR((TEXT(IF(ISNUMBER(SEARCH("-", F24:L24)), MID(F24:L24, SEARCH("-", F24:L24) + 1, 4), ""), "00\:00") - TEXT(IF(ISNUMBER(SEARCH("-", F24:L24)), MID(F24:L24, SEARCH("-", F24:L24) - 4, 4), ""), "00\:00") + IF(TEXT(IF(ISNUMBER(SEARCH("-", F24:L24)), MID(F24:L24, SEARCH("-", F24:L24) + 1, 4), ""), "00\:00") &lt; TEXT(IF(ISNUMBER(SEARCH("-", F24:L24)), MID(F24:L24, SEARCH("-", F24:L24) - 4, 4), ""), "00\:00"), 1, 0))*24,""))))/9.5</f>
        <v>0</v>
      </c>
      <c r="O24"/>
      <c r="P24" s="151">
        <f t="shared" si="11"/>
        <v>0</v>
      </c>
      <c r="R24" s="4">
        <f t="shared" ca="1" si="12"/>
        <v>0</v>
      </c>
      <c r="S24" s="2">
        <f>(IFERROR(VLOOKUP(D24,'Employee Numbers'!$A$3:$C$84,3,FALSE),"NOT FOUND"))*8</f>
        <v>0</v>
      </c>
      <c r="U24" s="142">
        <f t="shared" si="13"/>
        <v>0</v>
      </c>
      <c r="V24" s="142">
        <f t="shared" si="14"/>
        <v>0</v>
      </c>
      <c r="W24" s="2">
        <f t="shared" si="15"/>
        <v>0</v>
      </c>
      <c r="Y24" s="2">
        <f t="shared" si="16"/>
        <v>0</v>
      </c>
    </row>
    <row r="25" spans="1:25" s="2" customFormat="1" ht="15" customHeight="1">
      <c r="A25" s="162" t="s">
        <v>39</v>
      </c>
      <c r="B25" s="163"/>
      <c r="C25" s="238"/>
      <c r="D25" s="240" t="s">
        <v>51</v>
      </c>
      <c r="E25" s="165">
        <f>IFERROR(VLOOKUP(D25,'Employee Numbers'!$A$3:$B$84,2,FALSE),"NOT FOUND")</f>
        <v>625985</v>
      </c>
      <c r="F25" s="253" t="s">
        <v>181</v>
      </c>
      <c r="G25" s="254" t="s">
        <v>181</v>
      </c>
      <c r="H25" s="254" t="s">
        <v>181</v>
      </c>
      <c r="I25" s="254" t="s">
        <v>181</v>
      </c>
      <c r="J25" s="254" t="s">
        <v>181</v>
      </c>
      <c r="K25" s="254" t="s">
        <v>181</v>
      </c>
      <c r="L25" s="255" t="s">
        <v>181</v>
      </c>
      <c r="N25">
        <f t="array" ref="N25">((SUM(IFERROR((TEXT(IF(ISNUMBER(SEARCH("-", F25:L25)), MID(F25:L25, SEARCH("-", F25:L25) + 1, 4), ""), "00\:00") - TEXT(IF(ISNUMBER(SEARCH("-", F25:L25)), MID(F25:L25, SEARCH("-", F25:L25) - 4, 4), ""), "00\:00") + IF(TEXT(IF(ISNUMBER(SEARCH("-", F25:L25)), MID(F25:L25, SEARCH("-", F25:L25) + 1, 4), ""), "00\:00") &lt; TEXT(IF(ISNUMBER(SEARCH("-", F25:L25)), MID(F25:L25, SEARCH("-", F25:L25) - 4, 4), ""), "00\:00"), 1, 0))*24,""))))/9.5</f>
        <v>0</v>
      </c>
      <c r="O25">
        <v>4</v>
      </c>
      <c r="P25" s="151">
        <f t="shared" si="11"/>
        <v>4</v>
      </c>
      <c r="R25" s="4">
        <f t="shared" ca="1" si="12"/>
        <v>8</v>
      </c>
      <c r="S25" s="2">
        <f>(IFERROR(VLOOKUP(D25,'Employee Numbers'!$A$3:$C$84,3,FALSE),"NOT FOUND"))*8</f>
        <v>8</v>
      </c>
      <c r="U25" s="142">
        <f t="shared" si="13"/>
        <v>0</v>
      </c>
      <c r="V25" s="142">
        <f t="shared" si="14"/>
        <v>0</v>
      </c>
      <c r="W25" s="2">
        <f t="shared" si="15"/>
        <v>0</v>
      </c>
      <c r="Y25" s="2">
        <f t="shared" si="16"/>
        <v>0</v>
      </c>
    </row>
    <row r="26" spans="1:25" s="2" customFormat="1" ht="15" customHeight="1">
      <c r="A26" s="2" t="s">
        <v>39</v>
      </c>
      <c r="B26" s="46"/>
      <c r="C26" s="47"/>
      <c r="D26" s="227" t="s">
        <v>52</v>
      </c>
      <c r="E26" s="226">
        <f>IFERROR(VLOOKUP(D26,'Employee Numbers'!$A$3:$B$84,2,FALSE),"NOT FOUND")</f>
        <v>632301</v>
      </c>
      <c r="F26" s="29" t="s">
        <v>63</v>
      </c>
      <c r="G26" s="31" t="s">
        <v>44</v>
      </c>
      <c r="H26" s="31"/>
      <c r="I26" s="31"/>
      <c r="J26" s="31"/>
      <c r="K26" s="31" t="s">
        <v>54</v>
      </c>
      <c r="L26" s="228" t="s">
        <v>54</v>
      </c>
      <c r="M26" s="13"/>
      <c r="N26">
        <f t="array" ref="N26">((SUM(IFERROR((TEXT(IF(ISNUMBER(SEARCH("-", F26:L26)), MID(F26:L26, SEARCH("-", F26:L26) + 1, 4), ""), "00\:00") - TEXT(IF(ISNUMBER(SEARCH("-", F26:L26)), MID(F26:L26, SEARCH("-", F26:L26) - 4, 4), ""), "00\:00") + IF(TEXT(IF(ISNUMBER(SEARCH("-", F26:L26)), MID(F26:L26, SEARCH("-", F26:L26) + 1, 4), ""), "00\:00") &lt; TEXT(IF(ISNUMBER(SEARCH("-", F26:L26)), MID(F26:L26, SEARCH("-", F26:L26) - 4, 4), ""), "00\:00"), 1, 0))*24,""))))/9.5</f>
        <v>4</v>
      </c>
      <c r="O26"/>
      <c r="P26" s="151">
        <f t="shared" si="11"/>
        <v>4</v>
      </c>
      <c r="R26" s="4">
        <f t="shared" ca="1" si="12"/>
        <v>8</v>
      </c>
      <c r="S26" s="2">
        <f>(IFERROR(VLOOKUP(D26,'Employee Numbers'!$A$3:$C$84,3,FALSE),"NOT FOUND"))*8</f>
        <v>8</v>
      </c>
      <c r="U26" s="142">
        <f t="shared" si="13"/>
        <v>1</v>
      </c>
      <c r="V26" s="142">
        <f t="shared" si="14"/>
        <v>2</v>
      </c>
      <c r="W26" s="2">
        <f t="shared" si="15"/>
        <v>1</v>
      </c>
      <c r="Y26" s="2">
        <f t="shared" si="16"/>
        <v>2</v>
      </c>
    </row>
    <row r="27" spans="1:25" s="2" customFormat="1" ht="15" customHeight="1">
      <c r="A27" s="162" t="s">
        <v>39</v>
      </c>
      <c r="B27" s="163"/>
      <c r="C27" s="238"/>
      <c r="D27" s="240" t="s">
        <v>53</v>
      </c>
      <c r="E27" s="165">
        <f>IFERROR(VLOOKUP(D27,'Employee Numbers'!$A$3:$B$84,2,FALSE),"NOT FOUND")</f>
        <v>613891</v>
      </c>
      <c r="F27" s="176" t="s">
        <v>44</v>
      </c>
      <c r="G27" s="166"/>
      <c r="H27" s="166" t="s">
        <v>44</v>
      </c>
      <c r="I27" s="166" t="s">
        <v>42</v>
      </c>
      <c r="J27" s="166"/>
      <c r="K27" s="166"/>
      <c r="L27" s="167"/>
      <c r="M27" s="13"/>
      <c r="N27">
        <f t="array" ref="N27">((SUM(IFERROR((TEXT(IF(ISNUMBER(SEARCH("-", F27:L27)), MID(F27:L27, SEARCH("-", F27:L27) + 1, 4), ""), "00\:00") - TEXT(IF(ISNUMBER(SEARCH("-", F27:L27)), MID(F27:L27, SEARCH("-", F27:L27) - 4, 4), ""), "00\:00") + IF(TEXT(IF(ISNUMBER(SEARCH("-", F27:L27)), MID(F27:L27, SEARCH("-", F27:L27) + 1, 4), ""), "00\:00") &lt; TEXT(IF(ISNUMBER(SEARCH("-", F27:L27)), MID(F27:L27, SEARCH("-", F27:L27) - 4, 4), ""), "00\:00"), 1, 0))*24,""))))/9.5</f>
        <v>3</v>
      </c>
      <c r="O27"/>
      <c r="P27" s="151">
        <f t="shared" si="11"/>
        <v>3</v>
      </c>
      <c r="R27" s="4">
        <f t="shared" ca="1" si="12"/>
        <v>6</v>
      </c>
      <c r="S27" s="2">
        <f>(IFERROR(VLOOKUP(D27,'Employee Numbers'!$A$3:$C$84,3,FALSE),"NOT FOUND"))*8</f>
        <v>6</v>
      </c>
      <c r="U27" s="142">
        <f t="shared" si="13"/>
        <v>2</v>
      </c>
      <c r="V27" s="142">
        <f t="shared" si="14"/>
        <v>1</v>
      </c>
      <c r="W27" s="2">
        <f t="shared" si="15"/>
        <v>0</v>
      </c>
      <c r="Y27" s="2">
        <f t="shared" si="16"/>
        <v>0</v>
      </c>
    </row>
    <row r="28" spans="1:25" s="2" customFormat="1" ht="15" customHeight="1">
      <c r="A28" s="2" t="s">
        <v>39</v>
      </c>
      <c r="B28" s="46"/>
      <c r="C28" s="21"/>
      <c r="D28" s="227" t="s">
        <v>55</v>
      </c>
      <c r="E28" s="226">
        <f>IFERROR(VLOOKUP(D28,'Employee Numbers'!$A$3:$B$84,2,FALSE),"NOT FOUND")</f>
        <v>623657</v>
      </c>
      <c r="F28" s="29"/>
      <c r="G28" s="31"/>
      <c r="H28" s="31" t="s">
        <v>42</v>
      </c>
      <c r="I28" s="31"/>
      <c r="J28" s="31"/>
      <c r="K28" s="31"/>
      <c r="L28" s="228"/>
      <c r="N28">
        <f t="array" ref="N28">((SUM(IFERROR((TEXT(IF(ISNUMBER(SEARCH("-", F28:L28)), MID(F28:L28, SEARCH("-", F28:L28) + 1, 4), ""), "00\:00") - TEXT(IF(ISNUMBER(SEARCH("-", F28:L28)), MID(F28:L28, SEARCH("-", F28:L28) - 4, 4), ""), "00\:00") + IF(TEXT(IF(ISNUMBER(SEARCH("-", F28:L28)), MID(F28:L28, SEARCH("-", F28:L28) + 1, 4), ""), "00\:00") &lt; TEXT(IF(ISNUMBER(SEARCH("-", F28:L28)), MID(F28:L28, SEARCH("-", F28:L28) - 4, 4), ""), "00\:00"), 1, 0))*24,""))))/9.5</f>
        <v>1</v>
      </c>
      <c r="O28"/>
      <c r="P28" s="151">
        <f t="shared" si="11"/>
        <v>1</v>
      </c>
      <c r="R28" s="4">
        <f t="shared" ca="1" si="12"/>
        <v>2</v>
      </c>
      <c r="S28" s="2">
        <f>(IFERROR(VLOOKUP(D28,'Employee Numbers'!$A$3:$C$84,3,FALSE),"NOT FOUND"))*8</f>
        <v>2</v>
      </c>
      <c r="U28" s="142">
        <f t="shared" si="13"/>
        <v>0</v>
      </c>
      <c r="V28" s="142">
        <f t="shared" si="14"/>
        <v>1</v>
      </c>
      <c r="W28" s="2">
        <f t="shared" si="15"/>
        <v>0</v>
      </c>
      <c r="Y28" s="2">
        <f t="shared" si="16"/>
        <v>0</v>
      </c>
    </row>
    <row r="29" spans="1:25" s="2" customFormat="1" ht="15" customHeight="1">
      <c r="A29" s="162" t="s">
        <v>39</v>
      </c>
      <c r="B29" s="163"/>
      <c r="C29" s="164"/>
      <c r="D29" s="240" t="s">
        <v>56</v>
      </c>
      <c r="E29" s="165">
        <f>IFERROR(VLOOKUP(D29,'Employee Numbers'!$A$3:$B$84,2,FALSE),"NOT FOUND")</f>
        <v>623708</v>
      </c>
      <c r="F29" s="176"/>
      <c r="G29" s="166"/>
      <c r="H29" s="166" t="s">
        <v>63</v>
      </c>
      <c r="I29" s="166"/>
      <c r="J29" s="166"/>
      <c r="K29" s="166" t="s">
        <v>44</v>
      </c>
      <c r="L29" s="167" t="s">
        <v>44</v>
      </c>
      <c r="N29">
        <f t="array" ref="N29">((SUM(IFERROR((TEXT(IF(ISNUMBER(SEARCH("-", F29:L29)), MID(F29:L29, SEARCH("-", F29:L29) + 1, 4), ""), "00\:00") - TEXT(IF(ISNUMBER(SEARCH("-", F29:L29)), MID(F29:L29, SEARCH("-", F29:L29) - 4, 4), ""), "00\:00") + IF(TEXT(IF(ISNUMBER(SEARCH("-", F29:L29)), MID(F29:L29, SEARCH("-", F29:L29) + 1, 4), ""), "00\:00") &lt; TEXT(IF(ISNUMBER(SEARCH("-", F29:L29)), MID(F29:L29, SEARCH("-", F29:L29) - 4, 4), ""), "00\:00"), 1, 0))*24,""))))/9.5</f>
        <v>3</v>
      </c>
      <c r="O29"/>
      <c r="P29" s="151">
        <f t="shared" si="11"/>
        <v>3</v>
      </c>
      <c r="R29" s="4">
        <f t="shared" ca="1" si="12"/>
        <v>6</v>
      </c>
      <c r="S29" s="2">
        <f>(IFERROR(VLOOKUP(D29,'Employee Numbers'!$A$3:$C$84,3,FALSE),"NOT FOUND"))*8</f>
        <v>6</v>
      </c>
      <c r="U29" s="142">
        <f t="shared" si="13"/>
        <v>1</v>
      </c>
      <c r="V29" s="142">
        <f t="shared" si="14"/>
        <v>0</v>
      </c>
      <c r="W29" s="2">
        <f t="shared" si="15"/>
        <v>1</v>
      </c>
      <c r="Y29" s="2">
        <f t="shared" si="16"/>
        <v>2</v>
      </c>
    </row>
    <row r="30" spans="1:25" s="2" customFormat="1" ht="15" customHeight="1">
      <c r="A30" s="2" t="s">
        <v>39</v>
      </c>
      <c r="B30" s="46"/>
      <c r="C30" s="21"/>
      <c r="D30" s="227" t="s">
        <v>57</v>
      </c>
      <c r="E30" s="226">
        <f>IFERROR(VLOOKUP(D30,'Employee Numbers'!$A$3:$B$84,2,FALSE),"NOT FOUND")</f>
        <v>627680</v>
      </c>
      <c r="F30" s="29"/>
      <c r="G30" s="31" t="s">
        <v>44</v>
      </c>
      <c r="H30" s="31" t="s">
        <v>41</v>
      </c>
      <c r="I30" s="31" t="s">
        <v>44</v>
      </c>
      <c r="J30" s="31"/>
      <c r="K30" s="31"/>
      <c r="L30" s="228"/>
      <c r="N30">
        <f t="array" ref="N30">((SUM(IFERROR((TEXT(IF(ISNUMBER(SEARCH("-", F30:L30)), MID(F30:L30, SEARCH("-", F30:L30) + 1, 4), ""), "00\:00") - TEXT(IF(ISNUMBER(SEARCH("-", F30:L30)), MID(F30:L30, SEARCH("-", F30:L30) - 4, 4), ""), "00\:00") + IF(TEXT(IF(ISNUMBER(SEARCH("-", F30:L30)), MID(F30:L30, SEARCH("-", F30:L30) + 1, 4), ""), "00\:00") &lt; TEXT(IF(ISNUMBER(SEARCH("-", F30:L30)), MID(F30:L30, SEARCH("-", F30:L30) - 4, 4), ""), "00\:00"), 1, 0))*24,""))))/9.5</f>
        <v>3</v>
      </c>
      <c r="O30"/>
      <c r="P30" s="151">
        <f t="shared" si="11"/>
        <v>3</v>
      </c>
      <c r="R30" s="4">
        <f t="shared" ca="1" si="12"/>
        <v>6</v>
      </c>
      <c r="S30" s="2">
        <f>(IFERROR(VLOOKUP(D30,'Employee Numbers'!$A$3:$C$84,3,FALSE),"NOT FOUND"))*8</f>
        <v>6</v>
      </c>
      <c r="U30" s="142">
        <f t="shared" si="13"/>
        <v>2</v>
      </c>
      <c r="V30" s="142">
        <f t="shared" si="14"/>
        <v>0</v>
      </c>
      <c r="W30" s="2">
        <f t="shared" si="15"/>
        <v>1</v>
      </c>
      <c r="Y30" s="2">
        <f t="shared" si="16"/>
        <v>0</v>
      </c>
    </row>
    <row r="31" spans="1:25" s="2" customFormat="1" ht="15" customHeight="1">
      <c r="A31" s="162" t="s">
        <v>39</v>
      </c>
      <c r="B31" s="163"/>
      <c r="C31" s="164"/>
      <c r="D31" s="240" t="s">
        <v>58</v>
      </c>
      <c r="E31" s="165">
        <f>IFERROR(VLOOKUP(D31,'Employee Numbers'!$A$3:$B$84,2,FALSE),"NOT FOUND")</f>
        <v>633210</v>
      </c>
      <c r="F31" s="176"/>
      <c r="G31" s="166" t="s">
        <v>44</v>
      </c>
      <c r="H31" s="166" t="s">
        <v>42</v>
      </c>
      <c r="I31" s="166"/>
      <c r="J31" s="166" t="s">
        <v>63</v>
      </c>
      <c r="K31" s="166"/>
      <c r="L31" s="167"/>
      <c r="N31">
        <f t="array" ref="N31">((SUM(IFERROR((TEXT(IF(ISNUMBER(SEARCH("-", F31:L31)), MID(F31:L31, SEARCH("-", F31:L31) + 1, 4), ""), "00\:00") - TEXT(IF(ISNUMBER(SEARCH("-", F31:L31)), MID(F31:L31, SEARCH("-", F31:L31) - 4, 4), ""), "00\:00") + IF(TEXT(IF(ISNUMBER(SEARCH("-", F31:L31)), MID(F31:L31, SEARCH("-", F31:L31) + 1, 4), ""), "00\:00") &lt; TEXT(IF(ISNUMBER(SEARCH("-", F31:L31)), MID(F31:L31, SEARCH("-", F31:L31) - 4, 4), ""), "00\:00"), 1, 0))*24,""))))/9.5</f>
        <v>3</v>
      </c>
      <c r="O31"/>
      <c r="P31" s="151">
        <f t="shared" si="11"/>
        <v>3</v>
      </c>
      <c r="R31" s="4">
        <f t="shared" ca="1" si="12"/>
        <v>6</v>
      </c>
      <c r="S31" s="2">
        <f>(IFERROR(VLOOKUP(D31,'Employee Numbers'!$A$3:$C$84,3,FALSE),"NOT FOUND"))*8</f>
        <v>6</v>
      </c>
      <c r="U31" s="142">
        <f t="shared" si="13"/>
        <v>1</v>
      </c>
      <c r="V31" s="142">
        <f t="shared" si="14"/>
        <v>1</v>
      </c>
      <c r="W31" s="2">
        <f t="shared" si="15"/>
        <v>1</v>
      </c>
      <c r="Y31" s="2">
        <f t="shared" si="16"/>
        <v>0</v>
      </c>
    </row>
    <row r="32" spans="1:25" s="2" customFormat="1" ht="15" customHeight="1">
      <c r="A32" s="2" t="s">
        <v>39</v>
      </c>
      <c r="B32" s="46"/>
      <c r="C32" s="21"/>
      <c r="D32" s="230" t="s">
        <v>59</v>
      </c>
      <c r="E32" s="226">
        <f>IFERROR(VLOOKUP(D32,'Employee Numbers'!$A$3:$B$84,2,FALSE),"NOT FOUND")</f>
        <v>618952</v>
      </c>
      <c r="F32" s="29" t="s">
        <v>44</v>
      </c>
      <c r="G32" s="31"/>
      <c r="H32" s="31"/>
      <c r="I32" s="31" t="s">
        <v>41</v>
      </c>
      <c r="J32" s="31" t="s">
        <v>42</v>
      </c>
      <c r="K32" s="31"/>
      <c r="L32" s="228"/>
      <c r="N32">
        <f t="array" ref="N32">((SUM(IFERROR((TEXT(IF(ISNUMBER(SEARCH("-", F32:L32)), MID(F32:L32, SEARCH("-", F32:L32) + 1, 4), ""), "00\:00") - TEXT(IF(ISNUMBER(SEARCH("-", F32:L32)), MID(F32:L32, SEARCH("-", F32:L32) - 4, 4), ""), "00\:00") + IF(TEXT(IF(ISNUMBER(SEARCH("-", F32:L32)), MID(F32:L32, SEARCH("-", F32:L32) + 1, 4), ""), "00\:00") &lt; TEXT(IF(ISNUMBER(SEARCH("-", F32:L32)), MID(F32:L32, SEARCH("-", F32:L32) - 4, 4), ""), "00\:00"), 1, 0))*24,""))))/9.5</f>
        <v>3</v>
      </c>
      <c r="O32"/>
      <c r="P32" s="151">
        <f t="shared" si="11"/>
        <v>3</v>
      </c>
      <c r="R32" s="4">
        <f t="shared" ca="1" si="12"/>
        <v>6</v>
      </c>
      <c r="S32" s="2">
        <f>(IFERROR(VLOOKUP(D32,'Employee Numbers'!$A$3:$C$84,3,FALSE),"NOT FOUND"))*8</f>
        <v>6</v>
      </c>
      <c r="U32" s="142">
        <f t="shared" si="13"/>
        <v>1</v>
      </c>
      <c r="V32" s="142">
        <f t="shared" si="14"/>
        <v>1</v>
      </c>
      <c r="W32" s="2">
        <f t="shared" si="15"/>
        <v>1</v>
      </c>
      <c r="Y32" s="2">
        <f t="shared" si="16"/>
        <v>0</v>
      </c>
    </row>
    <row r="33" spans="1:25" s="2" customFormat="1" ht="15" customHeight="1">
      <c r="A33" s="162" t="s">
        <v>39</v>
      </c>
      <c r="B33" s="163"/>
      <c r="C33" s="164"/>
      <c r="D33" s="241" t="s">
        <v>61</v>
      </c>
      <c r="E33" s="165">
        <f>IFERROR(VLOOKUP(D33,'Employee Numbers'!$A$3:$B$84,2,FALSE),"NOT FOUND")</f>
        <v>649039</v>
      </c>
      <c r="F33" s="176" t="s">
        <v>42</v>
      </c>
      <c r="G33" s="166"/>
      <c r="H33" s="166"/>
      <c r="I33" s="166"/>
      <c r="J33" s="166" t="s">
        <v>44</v>
      </c>
      <c r="K33" s="166"/>
      <c r="L33" s="167"/>
      <c r="N33">
        <f t="array" ref="N33">((SUM(IFERROR((TEXT(IF(ISNUMBER(SEARCH("-", F33:L33)), MID(F33:L33, SEARCH("-", F33:L33) + 1, 4), ""), "00\:00") - TEXT(IF(ISNUMBER(SEARCH("-", F33:L33)), MID(F33:L33, SEARCH("-", F33:L33) - 4, 4), ""), "00\:00") + IF(TEXT(IF(ISNUMBER(SEARCH("-", F33:L33)), MID(F33:L33, SEARCH("-", F33:L33) + 1, 4), ""), "00\:00") &lt; TEXT(IF(ISNUMBER(SEARCH("-", F33:L33)), MID(F33:L33, SEARCH("-", F33:L33) - 4, 4), ""), "00\:00"), 1, 0))*24,""))))/9.5</f>
        <v>2</v>
      </c>
      <c r="O33"/>
      <c r="P33" s="151">
        <f t="shared" si="11"/>
        <v>2</v>
      </c>
      <c r="R33" s="4">
        <f t="shared" ca="1" si="12"/>
        <v>5</v>
      </c>
      <c r="S33" s="2">
        <f>(IFERROR(VLOOKUP(D33,'Employee Numbers'!$A$3:$C$84,3,FALSE),"NOT FOUND"))*8</f>
        <v>5</v>
      </c>
      <c r="U33" s="142">
        <f t="shared" si="13"/>
        <v>1</v>
      </c>
      <c r="V33" s="142">
        <f t="shared" si="14"/>
        <v>1</v>
      </c>
      <c r="W33" s="2">
        <f t="shared" si="15"/>
        <v>0</v>
      </c>
      <c r="Y33" s="2">
        <f t="shared" si="16"/>
        <v>0</v>
      </c>
    </row>
    <row r="34" spans="1:25" s="2" customFormat="1" ht="15" customHeight="1">
      <c r="A34" s="2" t="s">
        <v>39</v>
      </c>
      <c r="B34" s="46"/>
      <c r="C34" s="21"/>
      <c r="D34" s="227" t="s">
        <v>62</v>
      </c>
      <c r="E34" s="226">
        <f>IFERROR(VLOOKUP(D34,'Employee Numbers'!$A$3:$B$84,2,FALSE),"NOT FOUND")</f>
        <v>649671</v>
      </c>
      <c r="F34" s="29"/>
      <c r="G34" s="31" t="s">
        <v>42</v>
      </c>
      <c r="H34" s="31"/>
      <c r="I34" s="31"/>
      <c r="J34" s="31"/>
      <c r="K34" s="31" t="s">
        <v>44</v>
      </c>
      <c r="L34" s="228" t="s">
        <v>44</v>
      </c>
      <c r="N34">
        <f t="array" ref="N34">((SUM(IFERROR((TEXT(IF(ISNUMBER(SEARCH("-", F34:L34)), MID(F34:L34, SEARCH("-", F34:L34) + 1, 4), ""), "00\:00") - TEXT(IF(ISNUMBER(SEARCH("-", F34:L34)), MID(F34:L34, SEARCH("-", F34:L34) - 4, 4), ""), "00\:00") + IF(TEXT(IF(ISNUMBER(SEARCH("-", F34:L34)), MID(F34:L34, SEARCH("-", F34:L34) + 1, 4), ""), "00\:00") &lt; TEXT(IF(ISNUMBER(SEARCH("-", F34:L34)), MID(F34:L34, SEARCH("-", F34:L34) - 4, 4), ""), "00\:00"), 1, 0))*24,""))))/9.5</f>
        <v>3</v>
      </c>
      <c r="O34"/>
      <c r="P34" s="151">
        <f t="shared" si="11"/>
        <v>3</v>
      </c>
      <c r="R34" s="4">
        <f t="shared" ca="1" si="12"/>
        <v>6</v>
      </c>
      <c r="S34" s="2">
        <f>(IFERROR(VLOOKUP(D34,'Employee Numbers'!$A$3:$C$84,3,FALSE),"NOT FOUND"))*8</f>
        <v>6</v>
      </c>
      <c r="U34" s="142">
        <f t="shared" si="13"/>
        <v>1</v>
      </c>
      <c r="V34" s="142">
        <f t="shared" si="14"/>
        <v>1</v>
      </c>
      <c r="W34" s="2">
        <f t="shared" si="15"/>
        <v>0</v>
      </c>
      <c r="Y34" s="2">
        <f t="shared" si="16"/>
        <v>2</v>
      </c>
    </row>
    <row r="35" spans="1:25" s="2" customFormat="1" ht="15" customHeight="1">
      <c r="A35" s="162" t="s">
        <v>39</v>
      </c>
      <c r="B35" s="163"/>
      <c r="C35" s="164"/>
      <c r="D35" s="240" t="s">
        <v>64</v>
      </c>
      <c r="E35" s="165">
        <f>IFERROR(VLOOKUP(D35,'Employee Numbers'!$A$3:$B$84,2,FALSE),"NOT FOUND")</f>
        <v>646047</v>
      </c>
      <c r="F35" s="253" t="s">
        <v>176</v>
      </c>
      <c r="G35" s="254" t="s">
        <v>176</v>
      </c>
      <c r="H35" s="254" t="s">
        <v>176</v>
      </c>
      <c r="I35" s="254" t="s">
        <v>176</v>
      </c>
      <c r="J35" s="254" t="s">
        <v>176</v>
      </c>
      <c r="K35" s="254" t="s">
        <v>176</v>
      </c>
      <c r="L35" s="255" t="s">
        <v>176</v>
      </c>
      <c r="N35">
        <f t="array" ref="N35">((SUM(IFERROR((TEXT(IF(ISNUMBER(SEARCH("-", F35:L35)), MID(F35:L35, SEARCH("-", F35:L35) + 1, 4), ""), "00\:00") - TEXT(IF(ISNUMBER(SEARCH("-", F35:L35)), MID(F35:L35, SEARCH("-", F35:L35) - 4, 4), ""), "00\:00") + IF(TEXT(IF(ISNUMBER(SEARCH("-", F35:L35)), MID(F35:L35, SEARCH("-", F35:L35) + 1, 4), ""), "00\:00") &lt; TEXT(IF(ISNUMBER(SEARCH("-", F35:L35)), MID(F35:L35, SEARCH("-", F35:L35) - 4, 4), ""), "00\:00"), 1, 0))*24,""))))/9.5</f>
        <v>0</v>
      </c>
      <c r="O35">
        <v>2</v>
      </c>
      <c r="P35" s="151">
        <f t="shared" si="11"/>
        <v>2</v>
      </c>
      <c r="R35" s="4">
        <f t="shared" ca="1" si="12"/>
        <v>5</v>
      </c>
      <c r="S35" s="2">
        <f>(IFERROR(VLOOKUP(D35,'Employee Numbers'!$A$3:$C$84,3,FALSE),"NOT FOUND"))*8</f>
        <v>5</v>
      </c>
      <c r="U35" s="142">
        <f t="shared" si="13"/>
        <v>0</v>
      </c>
      <c r="V35" s="142">
        <f t="shared" si="14"/>
        <v>0</v>
      </c>
      <c r="W35" s="2">
        <f t="shared" si="15"/>
        <v>0</v>
      </c>
      <c r="Y35" s="2">
        <f t="shared" si="16"/>
        <v>0</v>
      </c>
    </row>
    <row r="36" spans="1:25" s="2" customFormat="1" ht="15" customHeight="1">
      <c r="A36" s="2" t="s">
        <v>39</v>
      </c>
      <c r="B36" s="46"/>
      <c r="C36" s="21"/>
      <c r="D36" s="229" t="s">
        <v>66</v>
      </c>
      <c r="E36" s="226">
        <f>IFERROR(VLOOKUP(D36,'Employee Numbers'!$A$3:$B$84,2,FALSE),"NOT FOUND")</f>
        <v>164003</v>
      </c>
      <c r="F36" s="29"/>
      <c r="G36" s="31"/>
      <c r="H36" s="31"/>
      <c r="I36" s="31" t="s">
        <v>63</v>
      </c>
      <c r="J36" s="31"/>
      <c r="K36" s="31"/>
      <c r="L36" s="228"/>
      <c r="N36">
        <f t="array" ref="N36">((SUM(IFERROR((TEXT(IF(ISNUMBER(SEARCH("-", F36:L36)), MID(F36:L36, SEARCH("-", F36:L36) + 1, 4), ""), "00\:00") - TEXT(IF(ISNUMBER(SEARCH("-", F36:L36)), MID(F36:L36, SEARCH("-", F36:L36) - 4, 4), ""), "00\:00") + IF(TEXT(IF(ISNUMBER(SEARCH("-", F36:L36)), MID(F36:L36, SEARCH("-", F36:L36) + 1, 4), ""), "00\:00") &lt; TEXT(IF(ISNUMBER(SEARCH("-", F36:L36)), MID(F36:L36, SEARCH("-", F36:L36) - 4, 4), ""), "00\:00"), 1, 0))*24,""))))/9.5</f>
        <v>1</v>
      </c>
      <c r="O36"/>
      <c r="P36" s="151">
        <f t="shared" si="11"/>
        <v>1</v>
      </c>
      <c r="R36" s="4">
        <f t="shared" ca="1" si="12"/>
        <v>4</v>
      </c>
      <c r="S36" s="2">
        <f>(IFERROR(VLOOKUP(D36,'Employee Numbers'!$A$3:$C$84,3,FALSE),"NOT FOUND"))*8</f>
        <v>4</v>
      </c>
      <c r="U36" s="142">
        <f t="shared" si="13"/>
        <v>0</v>
      </c>
      <c r="V36" s="142">
        <f t="shared" si="14"/>
        <v>0</v>
      </c>
      <c r="W36" s="2">
        <f t="shared" si="15"/>
        <v>1</v>
      </c>
      <c r="Y36" s="2">
        <f t="shared" si="16"/>
        <v>0</v>
      </c>
    </row>
    <row r="37" spans="1:25" s="2" customFormat="1" ht="15" customHeight="1">
      <c r="A37" s="162" t="s">
        <v>39</v>
      </c>
      <c r="B37" s="163"/>
      <c r="C37" s="164"/>
      <c r="D37" s="240" t="s">
        <v>67</v>
      </c>
      <c r="E37" s="165">
        <f>IFERROR(VLOOKUP(D37,'Employee Numbers'!$A$3:$B$84,2,FALSE),"NOT FOUND")</f>
        <v>609408</v>
      </c>
      <c r="F37" s="253" t="s">
        <v>69</v>
      </c>
      <c r="G37" s="254" t="s">
        <v>69</v>
      </c>
      <c r="H37" s="254" t="s">
        <v>69</v>
      </c>
      <c r="I37" s="254" t="s">
        <v>69</v>
      </c>
      <c r="J37" s="254" t="s">
        <v>69</v>
      </c>
      <c r="K37" s="254" t="s">
        <v>69</v>
      </c>
      <c r="L37" s="255" t="s">
        <v>69</v>
      </c>
      <c r="N37">
        <f t="array" ref="N37">((SUM(IFERROR((TEXT(IF(ISNUMBER(SEARCH("-", F37:L37)), MID(F37:L37, SEARCH("-", F37:L37) + 1, 4), ""), "00\:00") - TEXT(IF(ISNUMBER(SEARCH("-", F37:L37)), MID(F37:L37, SEARCH("-", F37:L37) - 4, 4), ""), "00\:00") + IF(TEXT(IF(ISNUMBER(SEARCH("-", F37:L37)), MID(F37:L37, SEARCH("-", F37:L37) + 1, 4), ""), "00\:00") &lt; TEXT(IF(ISNUMBER(SEARCH("-", F37:L37)), MID(F37:L37, SEARCH("-", F37:L37) - 4, 4), ""), "00\:00"), 1, 0))*24,""))))/9.5</f>
        <v>0</v>
      </c>
      <c r="O37"/>
      <c r="P37" s="151">
        <f t="shared" si="11"/>
        <v>0</v>
      </c>
      <c r="R37" s="4">
        <f t="shared" ca="1" si="12"/>
        <v>4</v>
      </c>
      <c r="S37" s="2">
        <f>(IFERROR(VLOOKUP(D37,'Employee Numbers'!$A$3:$C$84,3,FALSE),"NOT FOUND"))*8</f>
        <v>4</v>
      </c>
      <c r="U37" s="142">
        <f t="shared" si="13"/>
        <v>0</v>
      </c>
      <c r="V37" s="142">
        <f t="shared" si="14"/>
        <v>0</v>
      </c>
      <c r="W37" s="2">
        <f t="shared" si="15"/>
        <v>0</v>
      </c>
      <c r="Y37" s="2">
        <f t="shared" si="16"/>
        <v>0</v>
      </c>
    </row>
    <row r="38" spans="1:25" s="2" customFormat="1" ht="15" customHeight="1">
      <c r="A38" s="2" t="s">
        <v>39</v>
      </c>
      <c r="B38" s="46"/>
      <c r="C38" s="21"/>
      <c r="D38" s="227" t="s">
        <v>68</v>
      </c>
      <c r="E38" s="226">
        <f>IFERROR(VLOOKUP(D38,'Employee Numbers'!$A$3:$B$84,2,FALSE),"NOT FOUND")</f>
        <v>627619</v>
      </c>
      <c r="F38" s="29" t="s">
        <v>42</v>
      </c>
      <c r="G38" s="31"/>
      <c r="H38" s="31"/>
      <c r="I38" s="31"/>
      <c r="J38" s="31"/>
      <c r="K38" s="31" t="s">
        <v>54</v>
      </c>
      <c r="L38" s="228"/>
      <c r="N38">
        <f t="array" ref="N38">((SUM(IFERROR((TEXT(IF(ISNUMBER(SEARCH("-", F38:L38)), MID(F38:L38, SEARCH("-", F38:L38) + 1, 4), ""), "00\:00") - TEXT(IF(ISNUMBER(SEARCH("-", F38:L38)), MID(F38:L38, SEARCH("-", F38:L38) - 4, 4), ""), "00\:00") + IF(TEXT(IF(ISNUMBER(SEARCH("-", F38:L38)), MID(F38:L38, SEARCH("-", F38:L38) + 1, 4), ""), "00\:00") &lt; TEXT(IF(ISNUMBER(SEARCH("-", F38:L38)), MID(F38:L38, SEARCH("-", F38:L38) - 4, 4), ""), "00\:00"), 1, 0))*24,""))))/9.5</f>
        <v>2</v>
      </c>
      <c r="O38"/>
      <c r="P38" s="151">
        <f t="shared" si="11"/>
        <v>2</v>
      </c>
      <c r="R38" s="4">
        <f t="shared" ca="1" si="12"/>
        <v>4</v>
      </c>
      <c r="S38" s="2">
        <f>(IFERROR(VLOOKUP(D38,'Employee Numbers'!$A$3:$C$84,3,FALSE),"NOT FOUND"))*8</f>
        <v>4</v>
      </c>
      <c r="U38" s="142">
        <f t="shared" si="13"/>
        <v>0</v>
      </c>
      <c r="V38" s="142">
        <f t="shared" si="14"/>
        <v>2</v>
      </c>
      <c r="W38" s="2">
        <f t="shared" si="15"/>
        <v>0</v>
      </c>
      <c r="Y38" s="2">
        <f t="shared" si="16"/>
        <v>1</v>
      </c>
    </row>
    <row r="39" spans="1:25" s="2" customFormat="1" ht="15" customHeight="1">
      <c r="A39" s="162" t="s">
        <v>39</v>
      </c>
      <c r="B39" s="163"/>
      <c r="C39" s="164"/>
      <c r="D39" s="240" t="s">
        <v>71</v>
      </c>
      <c r="E39" s="165">
        <f>IFERROR(VLOOKUP(D39,'Employee Numbers'!$A$3:$B$84,2,FALSE),"NOT FOUND")</f>
        <v>632646</v>
      </c>
      <c r="F39" s="176"/>
      <c r="G39" s="166"/>
      <c r="H39" s="166"/>
      <c r="I39" s="166"/>
      <c r="J39" s="166"/>
      <c r="K39" s="166"/>
      <c r="L39" s="167"/>
      <c r="N39">
        <f t="array" ref="N39">((SUM(IFERROR((TEXT(IF(ISNUMBER(SEARCH("-", F39:L39)), MID(F39:L39, SEARCH("-", F39:L39) + 1, 4), ""), "00\:00") - TEXT(IF(ISNUMBER(SEARCH("-", F39:L39)), MID(F39:L39, SEARCH("-", F39:L39) - 4, 4), ""), "00\:00") + IF(TEXT(IF(ISNUMBER(SEARCH("-", F39:L39)), MID(F39:L39, SEARCH("-", F39:L39) + 1, 4), ""), "00\:00") &lt; TEXT(IF(ISNUMBER(SEARCH("-", F39:L39)), MID(F39:L39, SEARCH("-", F39:L39) - 4, 4), ""), "00\:00"), 1, 0))*24,""))))/9.5</f>
        <v>0</v>
      </c>
      <c r="O39"/>
      <c r="P39" s="151">
        <f t="shared" si="11"/>
        <v>0</v>
      </c>
      <c r="R39" s="4">
        <f t="shared" ca="1" si="12"/>
        <v>4</v>
      </c>
      <c r="S39" s="2">
        <f>(IFERROR(VLOOKUP(D39,'Employee Numbers'!$A$3:$C$84,3,FALSE),"NOT FOUND"))*8</f>
        <v>4</v>
      </c>
      <c r="U39" s="142">
        <f t="shared" si="13"/>
        <v>0</v>
      </c>
      <c r="V39" s="142">
        <f t="shared" si="14"/>
        <v>0</v>
      </c>
      <c r="W39" s="2">
        <f t="shared" si="15"/>
        <v>0</v>
      </c>
      <c r="Y39" s="2">
        <f t="shared" si="16"/>
        <v>0</v>
      </c>
    </row>
    <row r="40" spans="1:25" s="2" customFormat="1" ht="15" customHeight="1">
      <c r="A40" s="2" t="s">
        <v>39</v>
      </c>
      <c r="B40" s="46"/>
      <c r="C40" s="21"/>
      <c r="D40" s="229" t="s">
        <v>72</v>
      </c>
      <c r="E40" s="226">
        <f>IFERROR(VLOOKUP(D40,'Employee Numbers'!$A$3:$B$84,2,FALSE),"NOT FOUND")</f>
        <v>652844</v>
      </c>
      <c r="F40" s="29"/>
      <c r="G40" s="31" t="s">
        <v>41</v>
      </c>
      <c r="H40" s="31" t="s">
        <v>44</v>
      </c>
      <c r="I40" s="31" t="s">
        <v>44</v>
      </c>
      <c r="J40" s="31" t="s">
        <v>42</v>
      </c>
      <c r="K40" s="31"/>
      <c r="L40" s="228"/>
      <c r="N40">
        <f t="array" ref="N40">((SUM(IFERROR((TEXT(IF(ISNUMBER(SEARCH("-", F40:L40)), MID(F40:L40, SEARCH("-", F40:L40) + 1, 4), ""), "00\:00") - TEXT(IF(ISNUMBER(SEARCH("-", F40:L40)), MID(F40:L40, SEARCH("-", F40:L40) - 4, 4), ""), "00\:00") + IF(TEXT(IF(ISNUMBER(SEARCH("-", F40:L40)), MID(F40:L40, SEARCH("-", F40:L40) + 1, 4), ""), "00\:00") &lt; TEXT(IF(ISNUMBER(SEARCH("-", F40:L40)), MID(F40:L40, SEARCH("-", F40:L40) - 4, 4), ""), "00\:00"), 1, 0))*24,""))))/9.5</f>
        <v>4</v>
      </c>
      <c r="O40"/>
      <c r="P40" s="151">
        <f t="shared" si="11"/>
        <v>4</v>
      </c>
      <c r="R40" s="4">
        <f t="shared" ca="1" si="12"/>
        <v>4</v>
      </c>
      <c r="S40" s="2">
        <f>(IFERROR(VLOOKUP(D40,'Employee Numbers'!$A$3:$C$84,3,FALSE),"NOT FOUND"))*8</f>
        <v>4</v>
      </c>
      <c r="U40" s="142">
        <f t="shared" si="13"/>
        <v>2</v>
      </c>
      <c r="V40" s="142">
        <f t="shared" si="14"/>
        <v>1</v>
      </c>
      <c r="W40" s="2">
        <f t="shared" si="15"/>
        <v>1</v>
      </c>
      <c r="Y40" s="2">
        <f t="shared" si="16"/>
        <v>0</v>
      </c>
    </row>
    <row r="41" spans="1:25" s="2" customFormat="1" ht="15" customHeight="1">
      <c r="A41" s="162" t="s">
        <v>39</v>
      </c>
      <c r="B41" s="163"/>
      <c r="C41" s="164"/>
      <c r="D41" s="241" t="s">
        <v>73</v>
      </c>
      <c r="E41" s="165">
        <f>IFERROR(VLOOKUP(D41,'Employee Numbers'!$A$3:$B$84,2,FALSE),"NOT FOUND")</f>
        <v>634491</v>
      </c>
      <c r="F41" s="176" t="s">
        <v>41</v>
      </c>
      <c r="G41" s="166"/>
      <c r="H41" s="166" t="s">
        <v>44</v>
      </c>
      <c r="I41" s="166"/>
      <c r="J41" s="166" t="s">
        <v>44</v>
      </c>
      <c r="K41" s="166"/>
      <c r="L41" s="167" t="s">
        <v>54</v>
      </c>
      <c r="N41">
        <f t="array" ref="N41">((SUM(IFERROR((TEXT(IF(ISNUMBER(SEARCH("-", F41:L41)), MID(F41:L41, SEARCH("-", F41:L41) + 1, 4), ""), "00\:00") - TEXT(IF(ISNUMBER(SEARCH("-", F41:L41)), MID(F41:L41, SEARCH("-", F41:L41) - 4, 4), ""), "00\:00") + IF(TEXT(IF(ISNUMBER(SEARCH("-", F41:L41)), MID(F41:L41, SEARCH("-", F41:L41) + 1, 4), ""), "00\:00") &lt; TEXT(IF(ISNUMBER(SEARCH("-", F41:L41)), MID(F41:L41, SEARCH("-", F41:L41) - 4, 4), ""), "00\:00"), 1, 0))*24,""))))/9.5</f>
        <v>4</v>
      </c>
      <c r="O41"/>
      <c r="P41" s="151">
        <f t="shared" si="11"/>
        <v>4</v>
      </c>
      <c r="R41" s="4">
        <f t="shared" ca="1" si="12"/>
        <v>4</v>
      </c>
      <c r="S41" s="2">
        <f>(IFERROR(VLOOKUP(D41,'Employee Numbers'!$A$3:$C$84,3,FALSE),"NOT FOUND"))*8</f>
        <v>4</v>
      </c>
      <c r="U41" s="142">
        <f t="shared" si="13"/>
        <v>2</v>
      </c>
      <c r="V41" s="142">
        <f t="shared" si="14"/>
        <v>1</v>
      </c>
      <c r="W41" s="2">
        <f t="shared" si="15"/>
        <v>1</v>
      </c>
      <c r="Y41" s="2">
        <f t="shared" si="16"/>
        <v>1</v>
      </c>
    </row>
    <row r="42" spans="1:25" s="2" customFormat="1" ht="15" customHeight="1">
      <c r="A42" s="2" t="s">
        <v>39</v>
      </c>
      <c r="B42" s="46"/>
      <c r="C42" s="47"/>
      <c r="D42" s="227" t="s">
        <v>74</v>
      </c>
      <c r="E42" s="226">
        <f>IFERROR(VLOOKUP(D42,'Employee Numbers'!$A$3:$B$84,2,FALSE),"NOT FOUND")</f>
        <v>621988</v>
      </c>
      <c r="F42" s="29" t="s">
        <v>44</v>
      </c>
      <c r="G42" s="31" t="s">
        <v>42</v>
      </c>
      <c r="H42" s="31" t="s">
        <v>41</v>
      </c>
      <c r="I42" s="31" t="s">
        <v>42</v>
      </c>
      <c r="J42" s="31"/>
      <c r="K42" s="31"/>
      <c r="L42" s="228"/>
      <c r="N42">
        <f t="array" ref="N42">((SUM(IFERROR((TEXT(IF(ISNUMBER(SEARCH("-", F42:L42)), MID(F42:L42, SEARCH("-", F42:L42) + 1, 4), ""), "00\:00") - TEXT(IF(ISNUMBER(SEARCH("-", F42:L42)), MID(F42:L42, SEARCH("-", F42:L42) - 4, 4), ""), "00\:00") + IF(TEXT(IF(ISNUMBER(SEARCH("-", F42:L42)), MID(F42:L42, SEARCH("-", F42:L42) + 1, 4), ""), "00\:00") &lt; TEXT(IF(ISNUMBER(SEARCH("-", F42:L42)), MID(F42:L42, SEARCH("-", F42:L42) - 4, 4), ""), "00\:00"), 1, 0))*24,""))))/9.5</f>
        <v>4</v>
      </c>
      <c r="O42"/>
      <c r="P42" s="151">
        <f t="shared" si="11"/>
        <v>4</v>
      </c>
      <c r="R42" s="4">
        <f t="shared" ca="1" si="12"/>
        <v>4</v>
      </c>
      <c r="S42" s="2">
        <f>(IFERROR(VLOOKUP(D42,'Employee Numbers'!$A$3:$C$84,3,FALSE),"NOT FOUND"))*8</f>
        <v>4</v>
      </c>
      <c r="U42" s="142">
        <f t="shared" si="13"/>
        <v>1</v>
      </c>
      <c r="V42" s="142">
        <f t="shared" si="14"/>
        <v>2</v>
      </c>
      <c r="W42" s="2">
        <f t="shared" si="15"/>
        <v>1</v>
      </c>
      <c r="Y42" s="2">
        <f t="shared" si="16"/>
        <v>0</v>
      </c>
    </row>
    <row r="43" spans="1:25" s="2" customFormat="1" ht="15" customHeight="1">
      <c r="A43" s="162" t="s">
        <v>39</v>
      </c>
      <c r="B43" s="163"/>
      <c r="C43" s="238"/>
      <c r="D43" s="239" t="s">
        <v>76</v>
      </c>
      <c r="E43" s="165">
        <f>IFERROR(VLOOKUP(D43,'Employee Numbers'!$A$3:$B$84,2,FALSE),"NOT FOUND")</f>
        <v>409677</v>
      </c>
      <c r="F43" s="176" t="s">
        <v>42</v>
      </c>
      <c r="G43" s="166"/>
      <c r="H43" s="166"/>
      <c r="I43" s="166"/>
      <c r="J43" s="166" t="s">
        <v>42</v>
      </c>
      <c r="K43" s="166"/>
      <c r="L43" s="167"/>
      <c r="N43">
        <f t="array" ref="N43">((SUM(IFERROR((TEXT(IF(ISNUMBER(SEARCH("-", F43:L43)), MID(F43:L43, SEARCH("-", F43:L43) + 1, 4), ""), "00\:00") - TEXT(IF(ISNUMBER(SEARCH("-", F43:L43)), MID(F43:L43, SEARCH("-", F43:L43) - 4, 4), ""), "00\:00") + IF(TEXT(IF(ISNUMBER(SEARCH("-", F43:L43)), MID(F43:L43, SEARCH("-", F43:L43) + 1, 4), ""), "00\:00") &lt; TEXT(IF(ISNUMBER(SEARCH("-", F43:L43)), MID(F43:L43, SEARCH("-", F43:L43) - 4, 4), ""), "00\:00"), 1, 0))*24,""))))/9.5</f>
        <v>2</v>
      </c>
      <c r="O43"/>
      <c r="P43" s="151">
        <f t="shared" si="11"/>
        <v>2</v>
      </c>
      <c r="R43" s="4">
        <f t="shared" ca="1" si="12"/>
        <v>3</v>
      </c>
      <c r="S43" s="2">
        <f>(IFERROR(VLOOKUP(D43,'Employee Numbers'!$A$3:$C$84,3,FALSE),"NOT FOUND"))*8</f>
        <v>3</v>
      </c>
      <c r="U43" s="142">
        <f t="shared" si="13"/>
        <v>0</v>
      </c>
      <c r="V43" s="142">
        <f t="shared" si="14"/>
        <v>2</v>
      </c>
      <c r="W43" s="2">
        <f t="shared" si="15"/>
        <v>0</v>
      </c>
      <c r="Y43" s="2">
        <f t="shared" si="16"/>
        <v>0</v>
      </c>
    </row>
    <row r="44" spans="1:25" s="2" customFormat="1" ht="15" customHeight="1">
      <c r="A44" s="2" t="s">
        <v>39</v>
      </c>
      <c r="B44" s="46"/>
      <c r="C44" s="47"/>
      <c r="D44" s="249" t="s">
        <v>77</v>
      </c>
      <c r="E44" s="226">
        <f>IFERROR(VLOOKUP(D44,'Employee Numbers'!$A$3:$B$84,2,FALSE),"NOT FOUND")</f>
        <v>632590</v>
      </c>
      <c r="F44" s="29"/>
      <c r="G44" s="31"/>
      <c r="H44" s="31"/>
      <c r="I44" s="31"/>
      <c r="J44" s="31"/>
      <c r="K44" s="31"/>
      <c r="L44" s="228"/>
      <c r="N44">
        <f t="array" ref="N44">((SUM(IFERROR((TEXT(IF(ISNUMBER(SEARCH("-", F44:L44)), MID(F44:L44, SEARCH("-", F44:L44) + 1, 4), ""), "00\:00") - TEXT(IF(ISNUMBER(SEARCH("-", F44:L44)), MID(F44:L44, SEARCH("-", F44:L44) - 4, 4), ""), "00\:00") + IF(TEXT(IF(ISNUMBER(SEARCH("-", F44:L44)), MID(F44:L44, SEARCH("-", F44:L44) + 1, 4), ""), "00\:00") &lt; TEXT(IF(ISNUMBER(SEARCH("-", F44:L44)), MID(F44:L44, SEARCH("-", F44:L44) - 4, 4), ""), "00\:00"), 1, 0))*24,""))))/9.5</f>
        <v>0</v>
      </c>
      <c r="O44"/>
      <c r="P44" s="151">
        <f t="shared" si="11"/>
        <v>0</v>
      </c>
      <c r="R44" s="4">
        <f t="shared" ca="1" si="12"/>
        <v>4</v>
      </c>
      <c r="S44" s="2">
        <f>(IFERROR(VLOOKUP(D44,'Employee Numbers'!$A$3:$C$84,3,FALSE),"NOT FOUND"))*8</f>
        <v>4</v>
      </c>
      <c r="U44" s="142">
        <f t="shared" si="13"/>
        <v>0</v>
      </c>
      <c r="V44" s="142">
        <f t="shared" si="14"/>
        <v>0</v>
      </c>
      <c r="W44" s="2">
        <f t="shared" si="15"/>
        <v>0</v>
      </c>
      <c r="Y44" s="2">
        <f t="shared" si="16"/>
        <v>0</v>
      </c>
    </row>
    <row r="45" spans="1:25" s="2" customFormat="1" ht="15" customHeight="1">
      <c r="A45" s="162" t="s">
        <v>39</v>
      </c>
      <c r="B45" s="163"/>
      <c r="C45" s="238"/>
      <c r="D45" s="240" t="s">
        <v>78</v>
      </c>
      <c r="E45" s="165">
        <f>IFERROR(VLOOKUP(D45,'Employee Numbers'!$A$3:$B$84,2,FALSE),"NOT FOUND")</f>
        <v>619537</v>
      </c>
      <c r="F45" s="253" t="s">
        <v>176</v>
      </c>
      <c r="G45" s="254" t="s">
        <v>176</v>
      </c>
      <c r="H45" s="254" t="s">
        <v>176</v>
      </c>
      <c r="I45" s="254" t="s">
        <v>176</v>
      </c>
      <c r="J45" s="254" t="s">
        <v>176</v>
      </c>
      <c r="K45" s="254" t="s">
        <v>176</v>
      </c>
      <c r="L45" s="255" t="s">
        <v>176</v>
      </c>
      <c r="N45">
        <f t="array" ref="N45">((SUM(IFERROR((TEXT(IF(ISNUMBER(SEARCH("-", F45:L45)), MID(F45:L45, SEARCH("-", F45:L45) + 1, 4), ""), "00\:00") - TEXT(IF(ISNUMBER(SEARCH("-", F45:L45)), MID(F45:L45, SEARCH("-", F45:L45) - 4, 4), ""), "00\:00") + IF(TEXT(IF(ISNUMBER(SEARCH("-", F45:L45)), MID(F45:L45, SEARCH("-", F45:L45) + 1, 4), ""), "00\:00") &lt; TEXT(IF(ISNUMBER(SEARCH("-", F45:L45)), MID(F45:L45, SEARCH("-", F45:L45) - 4, 4), ""), "00\:00"), 1, 0))*24,""))))/9.5</f>
        <v>0</v>
      </c>
      <c r="O45"/>
      <c r="P45" s="151">
        <f t="shared" si="11"/>
        <v>0</v>
      </c>
      <c r="R45" s="4">
        <f t="shared" ca="1" si="12"/>
        <v>1</v>
      </c>
      <c r="S45" s="2">
        <f>(IFERROR(VLOOKUP(D45,'Employee Numbers'!$A$3:$C$84,3,FALSE),"NOT FOUND"))*8</f>
        <v>1</v>
      </c>
      <c r="U45" s="142">
        <f t="shared" si="13"/>
        <v>0</v>
      </c>
      <c r="V45" s="142">
        <f t="shared" si="14"/>
        <v>0</v>
      </c>
      <c r="W45" s="2">
        <f t="shared" si="15"/>
        <v>0</v>
      </c>
      <c r="Y45" s="2">
        <f t="shared" si="16"/>
        <v>0</v>
      </c>
    </row>
    <row r="46" spans="1:25" s="2" customFormat="1" ht="15" customHeight="1">
      <c r="A46" s="2" t="s">
        <v>39</v>
      </c>
      <c r="B46" s="46"/>
      <c r="C46" s="47"/>
      <c r="D46" s="229" t="s">
        <v>79</v>
      </c>
      <c r="E46" s="226">
        <f>IFERROR(VLOOKUP(D46,'Employee Numbers'!$A$3:$B$84,2,FALSE),"NOT FOUND")</f>
        <v>621953</v>
      </c>
      <c r="F46" s="231"/>
      <c r="G46" s="136"/>
      <c r="H46" s="31"/>
      <c r="I46" s="136"/>
      <c r="J46" s="31"/>
      <c r="K46" s="136"/>
      <c r="L46" s="232"/>
      <c r="N46">
        <f t="array" ref="N46">((SUM(IFERROR((TEXT(IF(ISNUMBER(SEARCH("-", F46:L46)), MID(F46:L46, SEARCH("-", F46:L46) + 1, 4), ""), "00\:00") - TEXT(IF(ISNUMBER(SEARCH("-", F46:L46)), MID(F46:L46, SEARCH("-", F46:L46) - 4, 4), ""), "00\:00") + IF(TEXT(IF(ISNUMBER(SEARCH("-", F46:L46)), MID(F46:L46, SEARCH("-", F46:L46) + 1, 4), ""), "00\:00") &lt; TEXT(IF(ISNUMBER(SEARCH("-", F46:L46)), MID(F46:L46, SEARCH("-", F46:L46) - 4, 4), ""), "00\:00"), 1, 0))*24,""))))/9.5</f>
        <v>0</v>
      </c>
      <c r="O46"/>
      <c r="P46" s="151">
        <f t="shared" si="11"/>
        <v>0</v>
      </c>
      <c r="R46" s="4">
        <f t="shared" ca="1" si="12"/>
        <v>1</v>
      </c>
      <c r="S46" s="2">
        <f>(IFERROR(VLOOKUP(D46,'Employee Numbers'!$A$3:$C$84,3,FALSE),"NOT FOUND"))*8</f>
        <v>1</v>
      </c>
      <c r="U46" s="142">
        <f t="shared" si="13"/>
        <v>0</v>
      </c>
      <c r="V46" s="142">
        <f t="shared" si="14"/>
        <v>0</v>
      </c>
      <c r="W46" s="2">
        <f t="shared" si="15"/>
        <v>0</v>
      </c>
      <c r="Y46" s="2">
        <f t="shared" si="16"/>
        <v>0</v>
      </c>
    </row>
    <row r="47" spans="1:25" s="2" customFormat="1" ht="15" customHeight="1">
      <c r="A47" s="162" t="s">
        <v>39</v>
      </c>
      <c r="B47" s="163"/>
      <c r="C47" s="164"/>
      <c r="D47" s="242" t="s">
        <v>80</v>
      </c>
      <c r="E47" s="165">
        <f>IFERROR(VLOOKUP(D47,'Employee Numbers'!$A$3:$B$84,2,FALSE),"NOT FOUND")</f>
        <v>614504</v>
      </c>
      <c r="F47" s="176"/>
      <c r="G47" s="166"/>
      <c r="H47" s="166"/>
      <c r="I47" s="166"/>
      <c r="J47" s="166"/>
      <c r="K47" s="166"/>
      <c r="L47" s="167"/>
      <c r="N47">
        <f t="array" ref="N47">((SUM(IFERROR((TEXT(IF(ISNUMBER(SEARCH("-", F47:L47)), MID(F47:L47, SEARCH("-", F47:L47) + 1, 4), ""), "00\:00") - TEXT(IF(ISNUMBER(SEARCH("-", F47:L47)), MID(F47:L47, SEARCH("-", F47:L47) - 4, 4), ""), "00\:00") + IF(TEXT(IF(ISNUMBER(SEARCH("-", F47:L47)), MID(F47:L47, SEARCH("-", F47:L47) + 1, 4), ""), "00\:00") &lt; TEXT(IF(ISNUMBER(SEARCH("-", F47:L47)), MID(F47:L47, SEARCH("-", F47:L47) - 4, 4), ""), "00\:00"), 1, 0))*24,""))))/9.5</f>
        <v>0</v>
      </c>
      <c r="O47"/>
      <c r="P47" s="178">
        <f t="shared" si="11"/>
        <v>0</v>
      </c>
      <c r="R47" s="3">
        <f t="shared" ca="1" si="12"/>
        <v>1</v>
      </c>
      <c r="S47" s="2">
        <f>(IFERROR(VLOOKUP(D47,'Employee Numbers'!$A$3:$C$84,3,FALSE),"NOT FOUND"))*8</f>
        <v>1</v>
      </c>
      <c r="U47" s="142">
        <f t="shared" si="13"/>
        <v>0</v>
      </c>
      <c r="V47" s="142">
        <f t="shared" si="14"/>
        <v>0</v>
      </c>
      <c r="W47" s="2">
        <f t="shared" si="15"/>
        <v>0</v>
      </c>
      <c r="Y47" s="2">
        <f t="shared" si="16"/>
        <v>0</v>
      </c>
    </row>
    <row r="48" spans="1:25" s="2" customFormat="1" ht="15" customHeight="1">
      <c r="A48" s="2" t="s">
        <v>39</v>
      </c>
      <c r="B48" s="46"/>
      <c r="C48" s="21"/>
      <c r="D48" s="230" t="s">
        <v>81</v>
      </c>
      <c r="E48" s="226" t="str">
        <f>IFERROR(VLOOKUP(D48,'Employee Numbers'!$A$3:$B$84,2,FALSE),"NOT FOUND")</f>
        <v>N/A</v>
      </c>
      <c r="F48" s="231"/>
      <c r="G48" s="31"/>
      <c r="H48" s="31"/>
      <c r="I48" s="31"/>
      <c r="J48" s="31"/>
      <c r="K48" s="31"/>
      <c r="L48" s="228"/>
    </row>
    <row r="49" spans="1:21" s="2" customFormat="1" ht="15" customHeight="1" thickBot="1">
      <c r="A49" s="162" t="s">
        <v>39</v>
      </c>
      <c r="B49" s="163"/>
      <c r="C49" s="238"/>
      <c r="D49" s="243" t="s">
        <v>81</v>
      </c>
      <c r="E49" s="248" t="str">
        <f>IFERROR(VLOOKUP(D49,'Employee Numbers'!$A$3:$B$84,2,FALSE),"NOT FOUND")</f>
        <v>N/A</v>
      </c>
      <c r="F49" s="245"/>
      <c r="G49" s="246"/>
      <c r="H49" s="246"/>
      <c r="I49" s="246"/>
      <c r="J49" s="246"/>
      <c r="K49" s="246"/>
      <c r="L49" s="247"/>
    </row>
    <row r="50" spans="1:21" s="2" customFormat="1" ht="15" customHeight="1" thickBot="1">
      <c r="B50" s="46"/>
      <c r="C50" s="21"/>
      <c r="D50" s="16" t="s">
        <v>82</v>
      </c>
      <c r="E50" s="58"/>
      <c r="F50" s="28" t="s">
        <v>184</v>
      </c>
      <c r="G50" s="59" t="s">
        <v>58</v>
      </c>
      <c r="H50" s="59" t="s">
        <v>55</v>
      </c>
      <c r="I50" s="59" t="s">
        <v>72</v>
      </c>
      <c r="J50" s="59" t="s">
        <v>73</v>
      </c>
      <c r="K50" s="59" t="s">
        <v>56</v>
      </c>
      <c r="L50" s="60" t="s">
        <v>62</v>
      </c>
    </row>
    <row r="51" spans="1:21" s="2" customFormat="1" ht="15" customHeight="1">
      <c r="B51" s="46"/>
      <c r="C51" s="21"/>
      <c r="E51" s="21"/>
      <c r="R51" s="2">
        <f>(N54+P54)*9.5/38*5</f>
        <v>3.75</v>
      </c>
    </row>
    <row r="52" spans="1:21" s="2" customFormat="1" ht="15.75" customHeight="1">
      <c r="B52" s="46"/>
      <c r="C52" s="21"/>
      <c r="E52" s="21"/>
      <c r="F52" s="126">
        <f t="shared" ref="F52:L52" si="17">F2</f>
        <v>46223</v>
      </c>
      <c r="G52" s="126">
        <f t="shared" si="17"/>
        <v>46224</v>
      </c>
      <c r="H52" s="126">
        <f t="shared" si="17"/>
        <v>46225</v>
      </c>
      <c r="I52" s="126">
        <f t="shared" si="17"/>
        <v>46226</v>
      </c>
      <c r="J52" s="126">
        <f t="shared" si="17"/>
        <v>46227</v>
      </c>
      <c r="K52" s="126">
        <f t="shared" si="17"/>
        <v>46228</v>
      </c>
      <c r="L52" s="126">
        <f t="shared" si="17"/>
        <v>46229</v>
      </c>
      <c r="M52" s="34"/>
      <c r="N52" s="152" t="s">
        <v>27</v>
      </c>
      <c r="O52" s="152" t="s">
        <v>83</v>
      </c>
      <c r="P52" s="152" t="s">
        <v>84</v>
      </c>
      <c r="Q52" s="2" t="s">
        <v>29</v>
      </c>
      <c r="R52" s="152" t="s">
        <v>85</v>
      </c>
      <c r="S52" s="152" t="s">
        <v>30</v>
      </c>
      <c r="T52" s="152" t="s">
        <v>31</v>
      </c>
      <c r="U52" s="152"/>
    </row>
    <row r="53" spans="1:21" s="2" customFormat="1" ht="30" customHeight="1">
      <c r="A53" s="168" t="s">
        <v>86</v>
      </c>
      <c r="B53" s="169"/>
      <c r="C53" s="169"/>
      <c r="D53" s="169" t="s">
        <v>86</v>
      </c>
      <c r="E53" s="127" t="s">
        <v>4</v>
      </c>
      <c r="F53" s="266" t="s">
        <v>5</v>
      </c>
      <c r="G53" s="267" t="s">
        <v>6</v>
      </c>
      <c r="H53" s="268" t="s">
        <v>87</v>
      </c>
      <c r="I53" s="267" t="s">
        <v>8</v>
      </c>
      <c r="J53" s="267" t="s">
        <v>9</v>
      </c>
      <c r="K53" s="267" t="s">
        <v>10</v>
      </c>
      <c r="L53" s="269" t="s">
        <v>11</v>
      </c>
      <c r="M53" s="34"/>
      <c r="N53" s="147" t="s">
        <v>32</v>
      </c>
      <c r="O53" s="147" t="s">
        <v>88</v>
      </c>
      <c r="P53" s="147" t="s">
        <v>89</v>
      </c>
      <c r="R53" s="145" t="s">
        <v>90</v>
      </c>
      <c r="S53" s="147" t="s">
        <v>32</v>
      </c>
      <c r="T53" s="147" t="s">
        <v>32</v>
      </c>
      <c r="U53" s="147"/>
    </row>
    <row r="54" spans="1:21" s="2" customFormat="1" ht="15" customHeight="1">
      <c r="A54" s="44" t="s">
        <v>91</v>
      </c>
      <c r="B54" s="44"/>
      <c r="C54" s="45"/>
      <c r="D54" s="123" t="s">
        <v>92</v>
      </c>
      <c r="E54" s="284">
        <f>IFERROR(VLOOKUP(D54,'Employee Numbers'!$A$3:$B$84,2,FALSE),"NOT FOUND")</f>
        <v>634905</v>
      </c>
      <c r="F54" s="264" t="s">
        <v>42</v>
      </c>
      <c r="G54" s="264" t="s">
        <v>42</v>
      </c>
      <c r="H54" s="264"/>
      <c r="I54" s="264"/>
      <c r="J54" s="275"/>
      <c r="K54" s="264"/>
      <c r="L54" s="264" t="s">
        <v>42</v>
      </c>
      <c r="N54">
        <f t="array" ref="N54">((SUM(IFERROR((TEXT(IF(ISNUMBER(SEARCH("-", F54:L54)), MID(F54:L54, SEARCH("-", F54:L54) + 1, 4), ""), "00\:00") - TEXT(IF(ISNUMBER(SEARCH("-", F54:L54)), MID(F54:L54, SEARCH("-", F54:L54) - 4, 4), ""), "00\:00") + IF(TEXT(IF(ISNUMBER(SEARCH("-", F54:L54)), MID(F54:L54, SEARCH("-", F54:L54) + 1, 4), ""), "00\:00") &lt; TEXT(IF(ISNUMBER(SEARCH("-", F54:L54)), MID(F54:L54, SEARCH("-", F54:L54) - 4, 4), ""), "00\:00"), 1, 0))*24,""))))/9.5</f>
        <v>3</v>
      </c>
      <c r="O54"/>
      <c r="P54"/>
      <c r="Q54" s="2">
        <f>P54+O54+N54</f>
        <v>3</v>
      </c>
      <c r="R54" s="2">
        <f>IF(ISNUMBER(SEARCH("trg_5",H146)),5,IF(ISNUMBER(SEARCH("trg_3.75",H146)),3.75,IF(ISNUMBER(SEARCH("trg_2.5",H146)),2.5,IF(ISNUMBER(SEARCH("trg_1.75",H146)),1.75,0))))</f>
        <v>3.75</v>
      </c>
      <c r="S54">
        <f ca="1">IF($C$4=1,SUM(Q54+INDIRECT("'Week "&amp;($B$3+1)&amp;"'!Q"&amp;(ROW()))),IF($C$4=2,SUM(Q54+INDIRECT("'Week "&amp;($B$3-1)&amp;"'!Q"&amp;(ROW())))))</f>
        <v>6</v>
      </c>
      <c r="T54" s="2">
        <f>(IFERROR(VLOOKUP(D54,'Employee Numbers'!$A$3:$C$84,3,FALSE),"NOT FOUND"))*8</f>
        <v>8</v>
      </c>
    </row>
    <row r="55" spans="1:21" s="13" customFormat="1" ht="15" customHeight="1">
      <c r="A55" s="2" t="s">
        <v>91</v>
      </c>
      <c r="B55" s="2"/>
      <c r="C55" s="21"/>
      <c r="D55" s="86" t="s">
        <v>93</v>
      </c>
      <c r="E55" s="285">
        <f>IFERROR(VLOOKUP(D55,'Employee Numbers'!$A$3:$B$84,2,FALSE),"NOT FOUND")</f>
        <v>704751</v>
      </c>
      <c r="F55" s="264" t="s">
        <v>42</v>
      </c>
      <c r="G55" s="264"/>
      <c r="H55" s="349" t="s">
        <v>44</v>
      </c>
      <c r="I55" s="264" t="s">
        <v>42</v>
      </c>
      <c r="J55" s="264" t="s">
        <v>42</v>
      </c>
      <c r="K55" s="264"/>
      <c r="L55" s="264"/>
      <c r="N55">
        <f t="array" ref="N55">((SUM(IFERROR((TEXT(IF(ISNUMBER(SEARCH("-", F55:L55)), MID(F55:L55, SEARCH("-", F55:L55) + 1, 4), ""), "00\:00") - TEXT(IF(ISNUMBER(SEARCH("-", F55:L55)), MID(F55:L55, SEARCH("-", F55:L55) - 4, 4), ""), "00\:00") + IF(TEXT(IF(ISNUMBER(SEARCH("-", F55:L55)), MID(F55:L55, SEARCH("-", F55:L55) + 1, 4), ""), "00\:00") &lt; TEXT(IF(ISNUMBER(SEARCH("-", F55:L55)), MID(F55:L55, SEARCH("-", F55:L55) - 4, 4), ""), "00\:00"), 1, 0))*24,""))))/9.5</f>
        <v>4</v>
      </c>
      <c r="O55"/>
      <c r="P55"/>
      <c r="Q55" s="2">
        <f t="shared" ref="Q55:Q59" si="18">P55+O55+N55</f>
        <v>4</v>
      </c>
      <c r="R55" s="2">
        <f t="shared" ref="R55:R59" si="19">IF(ISNUMBER(SEARCH("trg_5",H147)),5,IF(ISNUMBER(SEARCH("trg_3.75",H147)),3.75,IF(ISNUMBER(SEARCH("trg_2.5",H147)),2.5,IF(ISNUMBER(SEARCH("trg_1.75",H147)),1.75,0))))</f>
        <v>5</v>
      </c>
      <c r="S55">
        <f t="shared" ref="S55:S59" ca="1" si="20">IF($C$4=1,SUM(Q55+INDIRECT("'Week "&amp;($B$3+1)&amp;"'!Q"&amp;(ROW()))),IF($C$4=2,SUM(Q55+INDIRECT("'Week "&amp;($B$3-1)&amp;"'!Q"&amp;(ROW())))))</f>
        <v>8</v>
      </c>
      <c r="T55" s="2">
        <f>(IFERROR(VLOOKUP(D55,'Employee Numbers'!$A$3:$C$84,3,FALSE),"NOT FOUND"))*8</f>
        <v>0</v>
      </c>
      <c r="U55" s="2"/>
    </row>
    <row r="56" spans="1:21" s="2" customFormat="1" ht="15" customHeight="1">
      <c r="A56" s="44" t="s">
        <v>91</v>
      </c>
      <c r="B56" s="44"/>
      <c r="C56" s="45"/>
      <c r="D56" s="85" t="s">
        <v>94</v>
      </c>
      <c r="E56" s="285">
        <f>IFERROR(VLOOKUP(D56,'Employee Numbers'!$A$3:$B$84,2,FALSE),"NOT FOUND")</f>
        <v>637219</v>
      </c>
      <c r="F56" s="264" t="s">
        <v>42</v>
      </c>
      <c r="G56" s="264"/>
      <c r="H56" s="264" t="s">
        <v>41</v>
      </c>
      <c r="I56" s="264"/>
      <c r="J56" s="264"/>
      <c r="K56" s="264" t="s">
        <v>42</v>
      </c>
      <c r="L56" s="264" t="s">
        <v>42</v>
      </c>
      <c r="N56">
        <f t="array" ref="N56">((SUM(IFERROR((TEXT(IF(ISNUMBER(SEARCH("-", F56:L56)), MID(F56:L56, SEARCH("-", F56:L56) + 1, 4), ""), "00\:00") - TEXT(IF(ISNUMBER(SEARCH("-", F56:L56)), MID(F56:L56, SEARCH("-", F56:L56) - 4, 4), ""), "00\:00") + IF(TEXT(IF(ISNUMBER(SEARCH("-", F56:L56)), MID(F56:L56, SEARCH("-", F56:L56) + 1, 4), ""), "00\:00") &lt; TEXT(IF(ISNUMBER(SEARCH("-", F56:L56)), MID(F56:L56, SEARCH("-", F56:L56) - 4, 4), ""), "00\:00"), 1, 0))*24,""))))/9.5</f>
        <v>4</v>
      </c>
      <c r="O56"/>
      <c r="P56"/>
      <c r="Q56" s="2">
        <f t="shared" si="18"/>
        <v>4</v>
      </c>
      <c r="R56" s="2">
        <f t="shared" si="19"/>
        <v>5</v>
      </c>
      <c r="S56">
        <f t="shared" ca="1" si="20"/>
        <v>8</v>
      </c>
      <c r="T56" s="2">
        <f>(IFERROR(VLOOKUP(D56,'Employee Numbers'!$A$3:$C$84,3,FALSE),"NOT FOUND"))*8</f>
        <v>0</v>
      </c>
    </row>
    <row r="57" spans="1:21" s="13" customFormat="1" ht="15" customHeight="1">
      <c r="A57" s="2" t="s">
        <v>91</v>
      </c>
      <c r="B57" s="2"/>
      <c r="C57" s="21"/>
      <c r="D57" s="86"/>
      <c r="E57" s="39" t="str">
        <f>IFERROR(VLOOKUP(D57,'Employee Numbers'!$A$3:$B$84,2,FALSE),"NOT FOUND")</f>
        <v>NOT FOUND</v>
      </c>
      <c r="F57" s="125"/>
      <c r="G57" s="125"/>
      <c r="H57" s="125"/>
      <c r="I57" s="125"/>
      <c r="J57" s="125"/>
      <c r="K57" s="125"/>
      <c r="L57" s="125"/>
      <c r="N57">
        <f t="array" ref="N57">((SUM(IFERROR((TEXT(IF(ISNUMBER(SEARCH("-", F57:L57)), MID(F57:L57, SEARCH("-", F57:L57) + 1, 4), ""), "00\:00") - TEXT(IF(ISNUMBER(SEARCH("-", F57:L57)), MID(F57:L57, SEARCH("-", F57:L57) - 4, 4), ""), "00\:00") + IF(TEXT(IF(ISNUMBER(SEARCH("-", F57:L57)), MID(F57:L57, SEARCH("-", F57:L57) + 1, 4), ""), "00\:00") &lt; TEXT(IF(ISNUMBER(SEARCH("-", F57:L57)), MID(F57:L57, SEARCH("-", F57:L57) - 4, 4), ""), "00\:00"), 1, 0))*24,""))))/9.5</f>
        <v>0</v>
      </c>
      <c r="O57"/>
      <c r="P57"/>
      <c r="Q57" s="2">
        <f t="shared" si="18"/>
        <v>0</v>
      </c>
      <c r="R57" s="2">
        <f t="shared" si="19"/>
        <v>2.5</v>
      </c>
      <c r="S57">
        <f t="shared" ca="1" si="20"/>
        <v>0</v>
      </c>
      <c r="T57" s="2" t="e">
        <f>(IFERROR(VLOOKUP(D57,'Employee Numbers'!$A$3:$C$84,3,FALSE),"NOT FOUND"))*8</f>
        <v>#VALUE!</v>
      </c>
      <c r="U57" s="2"/>
    </row>
    <row r="58" spans="1:21" s="2" customFormat="1" ht="15" customHeight="1">
      <c r="A58" s="44" t="s">
        <v>91</v>
      </c>
      <c r="B58" s="44"/>
      <c r="C58" s="45"/>
      <c r="D58" s="85"/>
      <c r="E58" s="39" t="str">
        <f>IFERROR(VLOOKUP(D58,'Employee Numbers'!$A$3:$B$84,2,FALSE),"NOT FOUND")</f>
        <v>NOT FOUND</v>
      </c>
      <c r="F58" s="110"/>
      <c r="G58" s="110"/>
      <c r="H58" s="110"/>
      <c r="I58" s="110"/>
      <c r="J58" s="110"/>
      <c r="K58" s="110"/>
      <c r="L58" s="110"/>
      <c r="N58">
        <f t="array" ref="N58">((SUM(IFERROR((TEXT(IF(ISNUMBER(SEARCH("-", F58:L58)), MID(F58:L58, SEARCH("-", F58:L58) + 1, 4), ""), "00\:00") - TEXT(IF(ISNUMBER(SEARCH("-", F58:L58)), MID(F58:L58, SEARCH("-", F58:L58) - 4, 4), ""), "00\:00") + IF(TEXT(IF(ISNUMBER(SEARCH("-", F58:L58)), MID(F58:L58, SEARCH("-", F58:L58) + 1, 4), ""), "00\:00") &lt; TEXT(IF(ISNUMBER(SEARCH("-", F58:L58)), MID(F58:L58, SEARCH("-", F58:L58) - 4, 4), ""), "00\:00"), 1, 0))*24,""))))/9.5</f>
        <v>0</v>
      </c>
      <c r="O58"/>
      <c r="P58"/>
      <c r="Q58" s="2">
        <f t="shared" si="18"/>
        <v>0</v>
      </c>
      <c r="R58" s="2">
        <f t="shared" si="19"/>
        <v>2.5</v>
      </c>
      <c r="S58">
        <f t="shared" ca="1" si="20"/>
        <v>0</v>
      </c>
      <c r="T58" s="2" t="e">
        <f>(IFERROR(VLOOKUP(D58,'Employee Numbers'!$A$3:$C$84,3,FALSE),"NOT FOUND"))*8</f>
        <v>#VALUE!</v>
      </c>
    </row>
    <row r="59" spans="1:21" s="13" customFormat="1" ht="15" customHeight="1">
      <c r="A59" s="2" t="s">
        <v>91</v>
      </c>
      <c r="B59" s="2"/>
      <c r="C59" s="21"/>
      <c r="D59" s="86"/>
      <c r="E59" s="39" t="str">
        <f>IFERROR(VLOOKUP(D59,'Employee Numbers'!$A$3:$B$84,2,FALSE),"NOT FOUND")</f>
        <v>NOT FOUND</v>
      </c>
      <c r="F59" s="110"/>
      <c r="G59" s="110"/>
      <c r="H59" s="110"/>
      <c r="I59" s="110"/>
      <c r="J59" s="110"/>
      <c r="K59" s="110"/>
      <c r="L59" s="110"/>
      <c r="N59">
        <f t="array" ref="N59">((SUM(IFERROR((TEXT(IF(ISNUMBER(SEARCH("-", F59:L59)), MID(F59:L59, SEARCH("-", F59:L59) + 1, 4), ""), "00\:00") - TEXT(IF(ISNUMBER(SEARCH("-", F59:L59)), MID(F59:L59, SEARCH("-", F59:L59) - 4, 4), ""), "00\:00") + IF(TEXT(IF(ISNUMBER(SEARCH("-", F59:L59)), MID(F59:L59, SEARCH("-", F59:L59) + 1, 4), ""), "00\:00") &lt; TEXT(IF(ISNUMBER(SEARCH("-", F59:L59)), MID(F59:L59, SEARCH("-", F59:L59) - 4, 4), ""), "00\:00"), 1, 0))*24,""))))/9.5</f>
        <v>0</v>
      </c>
      <c r="O59"/>
      <c r="P59"/>
      <c r="Q59" s="2">
        <f t="shared" si="18"/>
        <v>0</v>
      </c>
      <c r="R59" s="2">
        <f t="shared" si="19"/>
        <v>2.5</v>
      </c>
      <c r="S59">
        <f t="shared" ca="1" si="20"/>
        <v>0</v>
      </c>
      <c r="T59" s="2" t="e">
        <f>(IFERROR(VLOOKUP(D59,'Employee Numbers'!$A$3:$C$84,3,FALSE),"NOT FOUND"))*8</f>
        <v>#VALUE!</v>
      </c>
      <c r="U59" s="2"/>
    </row>
    <row r="60" spans="1:21" s="2" customFormat="1" ht="30" customHeight="1">
      <c r="A60" s="170" t="s">
        <v>96</v>
      </c>
      <c r="B60" s="131"/>
      <c r="C60" s="132"/>
      <c r="D60" s="171" t="s">
        <v>97</v>
      </c>
      <c r="E60" s="133" t="s">
        <v>4</v>
      </c>
      <c r="F60" s="270" t="s">
        <v>5</v>
      </c>
      <c r="G60" s="270" t="s">
        <v>6</v>
      </c>
      <c r="H60" s="271" t="s">
        <v>87</v>
      </c>
      <c r="I60" s="270" t="s">
        <v>8</v>
      </c>
      <c r="J60" s="270" t="s">
        <v>9</v>
      </c>
      <c r="K60" s="270" t="s">
        <v>10</v>
      </c>
      <c r="L60" s="272" t="s">
        <v>11</v>
      </c>
      <c r="N60"/>
      <c r="O60"/>
      <c r="P60"/>
    </row>
    <row r="61" spans="1:21" s="2" customFormat="1" ht="15" customHeight="1">
      <c r="A61" s="2" t="s">
        <v>98</v>
      </c>
      <c r="C61" s="47"/>
      <c r="D61" s="262" t="s">
        <v>99</v>
      </c>
      <c r="E61" s="284">
        <f>IFERROR(VLOOKUP(D61,'Employee Numbers'!$A$3:$B$84,2,FALSE),"NOT FOUND")</f>
        <v>638531</v>
      </c>
      <c r="F61" s="274" t="s">
        <v>176</v>
      </c>
      <c r="G61" s="274"/>
      <c r="H61" s="274"/>
      <c r="I61" s="274"/>
      <c r="J61" s="274"/>
      <c r="K61" s="274"/>
      <c r="L61" s="274"/>
      <c r="N61">
        <f t="array" ref="N61">((SUM(IFERROR((TEXT(IF(ISNUMBER(SEARCH("-", F61:L61)), MID(F61:L61, SEARCH("-", F61:L61) + 1, 4), ""), "00\:00") - TEXT(IF(ISNUMBER(SEARCH("-", F61:L61)), MID(F61:L61, SEARCH("-", F61:L61) - 4, 4), ""), "00\:00") + IF(TEXT(IF(ISNUMBER(SEARCH("-", F61:L61)), MID(F61:L61, SEARCH("-", F61:L61) + 1, 4), ""), "00\:00") &lt; TEXT(IF(ISNUMBER(SEARCH("-", F61:L61)), MID(F61:L61, SEARCH("-", F61:L61) - 4, 4), ""), "00\:00"), 1, 0))*24,""))))/9.5</f>
        <v>0</v>
      </c>
      <c r="O61"/>
      <c r="P61"/>
      <c r="Q61" s="2">
        <f>P61+O61+N61</f>
        <v>0</v>
      </c>
      <c r="R61" s="2">
        <f>IF(ISNUMBER(SEARCH("trg_5",H153)),5,IF(ISNUMBER(SEARCH("trg_3.75",H153)),3.75,IF(ISNUMBER(SEARCH("trg_2.5",H153)),2.5,IF(ISNUMBER(SEARCH("trg_1.75",H153)),1.75,0))))</f>
        <v>0</v>
      </c>
      <c r="S61">
        <f ca="1">IF($C$4=1,SUM(Q61+INDIRECT("'Week "&amp;($B$3+1)&amp;"'!Q"&amp;(ROW()))),IF($C$4=2,SUM(Q61+INDIRECT("'Week "&amp;($B$3-1)&amp;"'!Q"&amp;(ROW())))))</f>
        <v>0</v>
      </c>
      <c r="T61" s="2">
        <f>(IFERROR(VLOOKUP(D61,'Employee Numbers'!$A$3:$C$84,3,FALSE),"NOT FOUND"))*8</f>
        <v>0</v>
      </c>
    </row>
    <row r="62" spans="1:21" s="2" customFormat="1" ht="15" customHeight="1">
      <c r="A62" s="44" t="s">
        <v>98</v>
      </c>
      <c r="B62" s="44"/>
      <c r="C62" s="45"/>
      <c r="D62" s="262" t="s">
        <v>101</v>
      </c>
      <c r="E62" s="285">
        <f>IFERROR(VLOOKUP(D62,'Employee Numbers'!$A$3:$B$84,2,FALSE),"NOT FOUND")</f>
        <v>631715</v>
      </c>
      <c r="F62" s="264"/>
      <c r="G62" s="264"/>
      <c r="H62" s="264"/>
      <c r="I62" s="349" t="s">
        <v>44</v>
      </c>
      <c r="J62" s="264" t="s">
        <v>44</v>
      </c>
      <c r="K62" s="264" t="s">
        <v>42</v>
      </c>
      <c r="L62" s="264" t="s">
        <v>42</v>
      </c>
      <c r="N62">
        <f t="array" ref="N62">((SUM(IFERROR((TEXT(IF(ISNUMBER(SEARCH("-", F62:L62)), MID(F62:L62, SEARCH("-", F62:L62) + 1, 4), ""), "00\:00") - TEXT(IF(ISNUMBER(SEARCH("-", F62:L62)), MID(F62:L62, SEARCH("-", F62:L62) - 4, 4), ""), "00\:00") + IF(TEXT(IF(ISNUMBER(SEARCH("-", F62:L62)), MID(F62:L62, SEARCH("-", F62:L62) + 1, 4), ""), "00\:00") &lt; TEXT(IF(ISNUMBER(SEARCH("-", F62:L62)), MID(F62:L62, SEARCH("-", F62:L62) - 4, 4), ""), "00\:00"), 1, 0))*24,""))))/9.5</f>
        <v>4</v>
      </c>
      <c r="O62"/>
      <c r="P62"/>
      <c r="Q62" s="2">
        <f t="shared" ref="Q62:Q80" si="21">P62+O62+N62</f>
        <v>4</v>
      </c>
      <c r="R62" s="2">
        <f t="shared" ref="R62:R80" si="22">IF(ISNUMBER(SEARCH("trg_5",H154)),5,IF(ISNUMBER(SEARCH("trg_3.75",H154)),3.75,IF(ISNUMBER(SEARCH("trg_2.5",H154)),2.5,IF(ISNUMBER(SEARCH("trg_1.75",H154)),1.75,0))))</f>
        <v>5</v>
      </c>
      <c r="S62">
        <f t="shared" ref="S62:S84" ca="1" si="23">IF($C$4=1,SUM(Q62+INDIRECT("'Week "&amp;($B$3+1)&amp;"'!Q"&amp;(ROW()))),IF($C$4=2,SUM(Q62+INDIRECT("'Week "&amp;($B$3-1)&amp;"'!Q"&amp;(ROW())))))</f>
        <v>8</v>
      </c>
      <c r="T62" s="2">
        <f>(IFERROR(VLOOKUP(D62,'Employee Numbers'!$A$3:$C$84,3,FALSE),"NOT FOUND"))*8</f>
        <v>0</v>
      </c>
    </row>
    <row r="63" spans="1:21" s="13" customFormat="1" ht="15" customHeight="1">
      <c r="A63" s="2" t="s">
        <v>98</v>
      </c>
      <c r="B63" s="2"/>
      <c r="C63" s="21"/>
      <c r="D63" s="262" t="s">
        <v>103</v>
      </c>
      <c r="E63" s="285">
        <f>IFERROR(VLOOKUP(D63,'Employee Numbers'!$A$3:$B$84,2,FALSE),"NOT FOUND")</f>
        <v>703719</v>
      </c>
      <c r="F63" s="264"/>
      <c r="G63" s="264"/>
      <c r="H63" s="264"/>
      <c r="I63" s="275"/>
      <c r="J63" s="264" t="s">
        <v>42</v>
      </c>
      <c r="K63" s="264" t="s">
        <v>42</v>
      </c>
      <c r="L63" s="264" t="s">
        <v>42</v>
      </c>
      <c r="N63">
        <f t="array" ref="N63">((SUM(IFERROR((TEXT(IF(ISNUMBER(SEARCH("-", F63:L63)), MID(F63:L63, SEARCH("-", F63:L63) + 1, 4), ""), "00\:00") - TEXT(IF(ISNUMBER(SEARCH("-", F63:L63)), MID(F63:L63, SEARCH("-", F63:L63) - 4, 4), ""), "00\:00") + IF(TEXT(IF(ISNUMBER(SEARCH("-", F63:L63)), MID(F63:L63, SEARCH("-", F63:L63) + 1, 4), ""), "00\:00") &lt; TEXT(IF(ISNUMBER(SEARCH("-", F63:L63)), MID(F63:L63, SEARCH("-", F63:L63) - 4, 4), ""), "00\:00"), 1, 0))*24,""))))/9.5</f>
        <v>3</v>
      </c>
      <c r="O63"/>
      <c r="P63"/>
      <c r="Q63" s="2">
        <f t="shared" si="21"/>
        <v>3</v>
      </c>
      <c r="R63" s="2">
        <f t="shared" si="22"/>
        <v>3.75</v>
      </c>
      <c r="S63">
        <f t="shared" ca="1" si="23"/>
        <v>5.9999999999999991</v>
      </c>
      <c r="T63" s="2">
        <f>(IFERROR(VLOOKUP(D63,'Employee Numbers'!$A$3:$C$84,3,FALSE),"NOT FOUND"))*8</f>
        <v>0</v>
      </c>
      <c r="U63" s="2"/>
    </row>
    <row r="64" spans="1:21" s="2" customFormat="1" ht="15" customHeight="1">
      <c r="A64" s="44" t="s">
        <v>98</v>
      </c>
      <c r="B64" s="44"/>
      <c r="C64" s="45"/>
      <c r="D64" s="262" t="s">
        <v>104</v>
      </c>
      <c r="E64" s="285">
        <f>IFERROR(VLOOKUP(D64,'Employee Numbers'!$A$3:$B$84,2,FALSE),"NOT FOUND")</f>
        <v>637791</v>
      </c>
      <c r="F64" s="275"/>
      <c r="G64" s="264"/>
      <c r="H64" s="264" t="s">
        <v>100</v>
      </c>
      <c r="I64" s="264" t="s">
        <v>100</v>
      </c>
      <c r="J64" s="264" t="s">
        <v>100</v>
      </c>
      <c r="K64" s="264"/>
      <c r="L64" s="264"/>
      <c r="N64">
        <f t="array" ref="N64">((SUM(IFERROR((TEXT(IF(ISNUMBER(SEARCH("-", F64:L64)), MID(F64:L64, SEARCH("-", F64:L64) + 1, 4), ""), "00\:00") - TEXT(IF(ISNUMBER(SEARCH("-", F64:L64)), MID(F64:L64, SEARCH("-", F64:L64) - 4, 4), ""), "00\:00") + IF(TEXT(IF(ISNUMBER(SEARCH("-", F64:L64)), MID(F64:L64, SEARCH("-", F64:L64) + 1, 4), ""), "00\:00") &lt; TEXT(IF(ISNUMBER(SEARCH("-", F64:L64)), MID(F64:L64, SEARCH("-", F64:L64) - 4, 4), ""), "00\:00"), 1, 0))*24,""))))/9.5</f>
        <v>2.9999999999999991</v>
      </c>
      <c r="O64"/>
      <c r="P64"/>
      <c r="Q64" s="2">
        <f t="shared" si="21"/>
        <v>2.9999999999999991</v>
      </c>
      <c r="R64" s="2">
        <f t="shared" si="22"/>
        <v>3.75</v>
      </c>
      <c r="S64">
        <f t="shared" ca="1" si="23"/>
        <v>5.9999999999999991</v>
      </c>
      <c r="T64" s="2">
        <f>(IFERROR(VLOOKUP(D64,'Employee Numbers'!$A$3:$C$84,3,FALSE),"NOT FOUND"))*8</f>
        <v>0</v>
      </c>
    </row>
    <row r="65" spans="1:20" s="2" customFormat="1" ht="15" customHeight="1">
      <c r="A65" s="2" t="s">
        <v>98</v>
      </c>
      <c r="C65" s="21"/>
      <c r="D65" s="262" t="s">
        <v>105</v>
      </c>
      <c r="E65" s="285">
        <f>IFERROR(VLOOKUP(D65,'Employee Numbers'!$A$3:$B$84,2,FALSE),"NOT FOUND")</f>
        <v>652867</v>
      </c>
      <c r="F65" s="264" t="s">
        <v>42</v>
      </c>
      <c r="G65" s="264" t="s">
        <v>42</v>
      </c>
      <c r="H65" s="264"/>
      <c r="I65" s="264"/>
      <c r="J65" s="264"/>
      <c r="K65" s="264" t="s">
        <v>42</v>
      </c>
      <c r="L65" s="264" t="s">
        <v>42</v>
      </c>
      <c r="N65">
        <f t="array" ref="N65">((SUM(IFERROR((TEXT(IF(ISNUMBER(SEARCH("-", F65:L65)), MID(F65:L65, SEARCH("-", F65:L65) + 1, 4), ""), "00\:00") - TEXT(IF(ISNUMBER(SEARCH("-", F65:L65)), MID(F65:L65, SEARCH("-", F65:L65) - 4, 4), ""), "00\:00") + IF(TEXT(IF(ISNUMBER(SEARCH("-", F65:L65)), MID(F65:L65, SEARCH("-", F65:L65) + 1, 4), ""), "00\:00") &lt; TEXT(IF(ISNUMBER(SEARCH("-", F65:L65)), MID(F65:L65, SEARCH("-", F65:L65) - 4, 4), ""), "00\:00"), 1, 0))*24,""))))/9.5</f>
        <v>4</v>
      </c>
      <c r="O65"/>
      <c r="P65"/>
      <c r="Q65" s="2">
        <f t="shared" si="21"/>
        <v>4</v>
      </c>
      <c r="R65" s="2">
        <f t="shared" si="22"/>
        <v>5</v>
      </c>
      <c r="S65">
        <f t="shared" ca="1" si="23"/>
        <v>8</v>
      </c>
      <c r="T65" s="2">
        <f>(IFERROR(VLOOKUP(D65,'Employee Numbers'!$A$3:$C$84,3,FALSE),"NOT FOUND"))*8</f>
        <v>0</v>
      </c>
    </row>
    <row r="66" spans="1:20" s="2" customFormat="1" ht="15" customHeight="1">
      <c r="A66" s="44" t="s">
        <v>98</v>
      </c>
      <c r="B66" s="44"/>
      <c r="C66" s="45"/>
      <c r="D66" s="262" t="s">
        <v>106</v>
      </c>
      <c r="E66" s="285">
        <f>IFERROR(VLOOKUP(D66,'Employee Numbers'!$A$3:$B$84,2,FALSE),"NOT FOUND")</f>
        <v>611551</v>
      </c>
      <c r="F66" s="264"/>
      <c r="G66" s="264"/>
      <c r="H66" s="264"/>
      <c r="I66" s="264"/>
      <c r="J66" s="264" t="s">
        <v>42</v>
      </c>
      <c r="K66" s="264" t="s">
        <v>100</v>
      </c>
      <c r="L66" s="264"/>
      <c r="N66">
        <f t="array" ref="N66">((SUM(IFERROR((TEXT(IF(ISNUMBER(SEARCH("-", F66:L66)), MID(F66:L66, SEARCH("-", F66:L66) + 1, 4), ""), "00\:00") - TEXT(IF(ISNUMBER(SEARCH("-", F66:L66)), MID(F66:L66, SEARCH("-", F66:L66) - 4, 4), ""), "00\:00") + IF(TEXT(IF(ISNUMBER(SEARCH("-", F66:L66)), MID(F66:L66, SEARCH("-", F66:L66) + 1, 4), ""), "00\:00") &lt; TEXT(IF(ISNUMBER(SEARCH("-", F66:L66)), MID(F66:L66, SEARCH("-", F66:L66) - 4, 4), ""), "00\:00"), 1, 0))*24,""))))/9.5</f>
        <v>2</v>
      </c>
      <c r="O66"/>
      <c r="P66"/>
      <c r="Q66" s="2">
        <f t="shared" si="21"/>
        <v>2</v>
      </c>
      <c r="R66" s="2">
        <f t="shared" si="22"/>
        <v>2.5</v>
      </c>
      <c r="S66">
        <f t="shared" ca="1" si="23"/>
        <v>4</v>
      </c>
      <c r="T66" s="2">
        <f>(IFERROR(VLOOKUP(D66,'Employee Numbers'!$A$3:$C$84,3,FALSE),"NOT FOUND"))*8</f>
        <v>0</v>
      </c>
    </row>
    <row r="67" spans="1:20" s="2" customFormat="1" ht="15" customHeight="1">
      <c r="A67" s="2" t="s">
        <v>98</v>
      </c>
      <c r="C67" s="21"/>
      <c r="D67" s="262" t="s">
        <v>107</v>
      </c>
      <c r="E67" s="285">
        <f>IFERROR(VLOOKUP(D67,'Employee Numbers'!$A$3:$B$84,2,FALSE),"NOT FOUND")</f>
        <v>615820</v>
      </c>
      <c r="F67" s="279" t="s">
        <v>100</v>
      </c>
      <c r="G67" s="279" t="s">
        <v>100</v>
      </c>
      <c r="H67" s="279"/>
      <c r="I67" s="279"/>
      <c r="J67" s="279"/>
      <c r="K67" s="279"/>
      <c r="L67" s="279"/>
      <c r="N67">
        <f t="array" ref="N67">((SUM(IFERROR((TEXT(IF(ISNUMBER(SEARCH("-", F67:L67)), MID(F67:L67, SEARCH("-", F67:L67) + 1, 4), ""), "00\:00") - TEXT(IF(ISNUMBER(SEARCH("-", F67:L67)), MID(F67:L67, SEARCH("-", F67:L67) - 4, 4), ""), "00\:00") + IF(TEXT(IF(ISNUMBER(SEARCH("-", F67:L67)), MID(F67:L67, SEARCH("-", F67:L67) + 1, 4), ""), "00\:00") &lt; TEXT(IF(ISNUMBER(SEARCH("-", F67:L67)), MID(F67:L67, SEARCH("-", F67:L67) - 4, 4), ""), "00\:00"), 1, 0))*24,""))))/9.5</f>
        <v>1.9999999999999996</v>
      </c>
      <c r="O67"/>
      <c r="P67"/>
      <c r="Q67" s="2">
        <f t="shared" si="21"/>
        <v>1.9999999999999996</v>
      </c>
      <c r="R67" s="2">
        <f t="shared" si="22"/>
        <v>2.5</v>
      </c>
      <c r="S67">
        <f t="shared" ca="1" si="23"/>
        <v>3.9999999999999991</v>
      </c>
      <c r="T67" s="2">
        <f>(IFERROR(VLOOKUP(D67,'Employee Numbers'!$A$3:$C$84,3,FALSE),"NOT FOUND"))*8</f>
        <v>0</v>
      </c>
    </row>
    <row r="68" spans="1:20" s="2" customFormat="1" ht="15" customHeight="1">
      <c r="A68" s="44" t="s">
        <v>98</v>
      </c>
      <c r="B68" s="44"/>
      <c r="C68" s="45"/>
      <c r="D68" s="262" t="s">
        <v>109</v>
      </c>
      <c r="E68" s="285">
        <f>IFERROR(VLOOKUP(D68,'Employee Numbers'!$A$3:$B$84,2,FALSE),"NOT FOUND")</f>
        <v>702947</v>
      </c>
      <c r="F68" s="264" t="s">
        <v>42</v>
      </c>
      <c r="G68" s="264" t="s">
        <v>42</v>
      </c>
      <c r="H68" s="264"/>
      <c r="I68" s="264" t="s">
        <v>44</v>
      </c>
      <c r="J68" s="349" t="s">
        <v>44</v>
      </c>
      <c r="K68" s="264"/>
      <c r="L68" s="264"/>
      <c r="N68">
        <f t="array" ref="N68">((SUM(IFERROR((TEXT(IF(ISNUMBER(SEARCH("-", F68:L68)), MID(F68:L68, SEARCH("-", F68:L68) + 1, 4), ""), "00\:00") - TEXT(IF(ISNUMBER(SEARCH("-", F68:L68)), MID(F68:L68, SEARCH("-", F68:L68) - 4, 4), ""), "00\:00") + IF(TEXT(IF(ISNUMBER(SEARCH("-", F68:L68)), MID(F68:L68, SEARCH("-", F68:L68) + 1, 4), ""), "00\:00") &lt; TEXT(IF(ISNUMBER(SEARCH("-", F68:L68)), MID(F68:L68, SEARCH("-", F68:L68) - 4, 4), ""), "00\:00"), 1, 0))*24,""))))/9.5</f>
        <v>4</v>
      </c>
      <c r="O68"/>
      <c r="P68"/>
      <c r="Q68" s="2">
        <f t="shared" si="21"/>
        <v>4</v>
      </c>
      <c r="R68" s="2">
        <f t="shared" si="22"/>
        <v>5</v>
      </c>
      <c r="S68">
        <f t="shared" ca="1" si="23"/>
        <v>8</v>
      </c>
      <c r="T68" s="2">
        <f>(IFERROR(VLOOKUP(D68,'Employee Numbers'!$A$3:$C$84,3,FALSE),"NOT FOUND"))*8</f>
        <v>0</v>
      </c>
    </row>
    <row r="69" spans="1:20" s="2" customFormat="1" ht="15" customHeight="1">
      <c r="A69" s="2" t="s">
        <v>98</v>
      </c>
      <c r="C69" s="47"/>
      <c r="D69" s="262" t="s">
        <v>110</v>
      </c>
      <c r="E69" s="285">
        <f>IFERROR(VLOOKUP(D69,'Employee Numbers'!$A$3:$B$84,2,FALSE),"NOT FOUND")</f>
        <v>654002</v>
      </c>
      <c r="F69" s="264" t="s">
        <v>44</v>
      </c>
      <c r="G69" s="264" t="s">
        <v>44</v>
      </c>
      <c r="H69" s="264" t="s">
        <v>42</v>
      </c>
      <c r="I69" s="264" t="s">
        <v>42</v>
      </c>
      <c r="J69" s="264"/>
      <c r="K69" s="264"/>
      <c r="L69" s="264"/>
      <c r="N69">
        <f t="array" ref="N69">((SUM(IFERROR((TEXT(IF(ISNUMBER(SEARCH("-", F69:L69)), MID(F69:L69, SEARCH("-", F69:L69) + 1, 4), ""), "00\:00") - TEXT(IF(ISNUMBER(SEARCH("-", F69:L69)), MID(F69:L69, SEARCH("-", F69:L69) - 4, 4), ""), "00\:00") + IF(TEXT(IF(ISNUMBER(SEARCH("-", F69:L69)), MID(F69:L69, SEARCH("-", F69:L69) + 1, 4), ""), "00\:00") &lt; TEXT(IF(ISNUMBER(SEARCH("-", F69:L69)), MID(F69:L69, SEARCH("-", F69:L69) - 4, 4), ""), "00\:00"), 1, 0))*24,""))))/9.5</f>
        <v>4</v>
      </c>
      <c r="O69"/>
      <c r="P69"/>
      <c r="Q69" s="2">
        <f t="shared" si="21"/>
        <v>4</v>
      </c>
      <c r="R69" s="2">
        <f t="shared" si="22"/>
        <v>5</v>
      </c>
      <c r="S69">
        <f t="shared" ca="1" si="23"/>
        <v>8</v>
      </c>
      <c r="T69" s="2">
        <f>(IFERROR(VLOOKUP(D69,'Employee Numbers'!$A$3:$C$84,3,FALSE),"NOT FOUND"))*8</f>
        <v>0</v>
      </c>
    </row>
    <row r="70" spans="1:20" s="2" customFormat="1" ht="15" customHeight="1">
      <c r="A70" s="44" t="s">
        <v>98</v>
      </c>
      <c r="B70" s="44"/>
      <c r="C70" s="45"/>
      <c r="D70" s="262" t="s">
        <v>111</v>
      </c>
      <c r="E70" s="285">
        <f>IFERROR(VLOOKUP(D70,'Employee Numbers'!$A$3:$B$84,2,FALSE),"NOT FOUND")</f>
        <v>703068</v>
      </c>
      <c r="F70" s="264"/>
      <c r="G70" s="264" t="s">
        <v>42</v>
      </c>
      <c r="H70" s="264" t="s">
        <v>42</v>
      </c>
      <c r="I70" s="264"/>
      <c r="J70" s="264"/>
      <c r="K70" s="264" t="s">
        <v>44</v>
      </c>
      <c r="L70" s="264" t="s">
        <v>44</v>
      </c>
      <c r="N70">
        <f t="array" ref="N70">((SUM(IFERROR((TEXT(IF(ISNUMBER(SEARCH("-", F70:L70)), MID(F70:L70, SEARCH("-", F70:L70) + 1, 4), ""), "00\:00") - TEXT(IF(ISNUMBER(SEARCH("-", F70:L70)), MID(F70:L70, SEARCH("-", F70:L70) - 4, 4), ""), "00\:00") + IF(TEXT(IF(ISNUMBER(SEARCH("-", F70:L70)), MID(F70:L70, SEARCH("-", F70:L70) + 1, 4), ""), "00\:00") &lt; TEXT(IF(ISNUMBER(SEARCH("-", F70:L70)), MID(F70:L70, SEARCH("-", F70:L70) - 4, 4), ""), "00\:00"), 1, 0))*24,""))))/9.5</f>
        <v>4</v>
      </c>
      <c r="O70"/>
      <c r="P70"/>
      <c r="Q70" s="2">
        <f t="shared" si="21"/>
        <v>4</v>
      </c>
      <c r="R70" s="2">
        <f t="shared" si="22"/>
        <v>5</v>
      </c>
      <c r="S70">
        <f t="shared" ca="1" si="23"/>
        <v>7.9999999999999991</v>
      </c>
      <c r="T70" s="2">
        <f>(IFERROR(VLOOKUP(D70,'Employee Numbers'!$A$3:$C$84,3,FALSE),"NOT FOUND"))*8</f>
        <v>0</v>
      </c>
    </row>
    <row r="71" spans="1:20" s="2" customFormat="1" ht="15" customHeight="1">
      <c r="A71" s="2" t="s">
        <v>98</v>
      </c>
      <c r="C71" s="21"/>
      <c r="D71" s="262" t="s">
        <v>113</v>
      </c>
      <c r="E71" s="285">
        <f>IFERROR(VLOOKUP(D71,'Employee Numbers'!$A$3:$B$84,2,FALSE),"NOT FOUND")</f>
        <v>703911</v>
      </c>
      <c r="F71" s="264"/>
      <c r="G71" s="264"/>
      <c r="H71" s="264"/>
      <c r="I71" s="264" t="s">
        <v>42</v>
      </c>
      <c r="J71" s="264" t="s">
        <v>100</v>
      </c>
      <c r="K71" s="264" t="s">
        <v>100</v>
      </c>
      <c r="L71" s="264" t="s">
        <v>100</v>
      </c>
      <c r="N71">
        <f t="array" ref="N71">((SUM(IFERROR((TEXT(IF(ISNUMBER(SEARCH("-", F71:L71)), MID(F71:L71, SEARCH("-", F71:L71) + 1, 4), ""), "00\:00") - TEXT(IF(ISNUMBER(SEARCH("-", F71:L71)), MID(F71:L71, SEARCH("-", F71:L71) - 4, 4), ""), "00\:00") + IF(TEXT(IF(ISNUMBER(SEARCH("-", F71:L71)), MID(F71:L71, SEARCH("-", F71:L71) + 1, 4), ""), "00\:00") &lt; TEXT(IF(ISNUMBER(SEARCH("-", F71:L71)), MID(F71:L71, SEARCH("-", F71:L71) - 4, 4), ""), "00\:00"), 1, 0))*24,""))))/9.5</f>
        <v>4</v>
      </c>
      <c r="O71"/>
      <c r="P71"/>
      <c r="Q71" s="2">
        <f t="shared" si="21"/>
        <v>4</v>
      </c>
      <c r="R71" s="2">
        <f t="shared" si="22"/>
        <v>5</v>
      </c>
      <c r="S71">
        <f t="shared" ca="1" si="23"/>
        <v>8</v>
      </c>
      <c r="T71" s="2">
        <f>(IFERROR(VLOOKUP(D71,'Employee Numbers'!$A$3:$C$84,3,FALSE),"NOT FOUND"))*8</f>
        <v>0</v>
      </c>
    </row>
    <row r="72" spans="1:20" s="2" customFormat="1" ht="15" customHeight="1">
      <c r="A72" s="44" t="s">
        <v>98</v>
      </c>
      <c r="B72" s="44"/>
      <c r="C72" s="45"/>
      <c r="D72" s="262" t="s">
        <v>114</v>
      </c>
      <c r="E72" s="285">
        <f>IFERROR(VLOOKUP(D72,'Employee Numbers'!$A$3:$B$84,2,FALSE),"NOT FOUND")</f>
        <v>633936</v>
      </c>
      <c r="F72" s="264"/>
      <c r="G72" s="264"/>
      <c r="H72" s="80" t="s">
        <v>180</v>
      </c>
      <c r="I72" s="80"/>
      <c r="J72" s="80"/>
      <c r="K72" s="264"/>
      <c r="L72" s="264" t="s">
        <v>100</v>
      </c>
      <c r="N72">
        <f t="array" ref="N72">((SUM(IFERROR((TEXT(IF(ISNUMBER(SEARCH("-", F72:L72)), MID(F72:L72, SEARCH("-", F72:L72) + 1, 4), ""), "00\:00") - TEXT(IF(ISNUMBER(SEARCH("-", F72:L72)), MID(F72:L72, SEARCH("-", F72:L72) - 4, 4), ""), "00\:00") + IF(TEXT(IF(ISNUMBER(SEARCH("-", F72:L72)), MID(F72:L72, SEARCH("-", F72:L72) + 1, 4), ""), "00\:00") &lt; TEXT(IF(ISNUMBER(SEARCH("-", F72:L72)), MID(F72:L72, SEARCH("-", F72:L72) - 4, 4), ""), "00\:00"), 1, 0))*24,""))))/9.5</f>
        <v>0.99999999999999978</v>
      </c>
      <c r="O72"/>
      <c r="P72"/>
      <c r="Q72" s="2">
        <f t="shared" si="21"/>
        <v>0.99999999999999978</v>
      </c>
      <c r="R72" s="2">
        <f t="shared" si="22"/>
        <v>5</v>
      </c>
      <c r="S72">
        <f t="shared" ca="1" si="23"/>
        <v>5</v>
      </c>
      <c r="T72" s="2">
        <f>(IFERROR(VLOOKUP(D72,'Employee Numbers'!$A$3:$C$84,3,FALSE),"NOT FOUND"))*8</f>
        <v>0</v>
      </c>
    </row>
    <row r="73" spans="1:20" s="2" customFormat="1" ht="15" customHeight="1">
      <c r="A73" s="2" t="s">
        <v>98</v>
      </c>
      <c r="C73" s="21"/>
      <c r="D73" s="262" t="s">
        <v>115</v>
      </c>
      <c r="E73" s="285">
        <f>IFERROR(VLOOKUP(D73,'Employee Numbers'!$A$3:$B$84,2,FALSE),"NOT FOUND")</f>
        <v>700755</v>
      </c>
      <c r="F73" s="264" t="s">
        <v>42</v>
      </c>
      <c r="G73" s="264" t="s">
        <v>42</v>
      </c>
      <c r="H73" s="264"/>
      <c r="I73" s="264"/>
      <c r="J73" s="264"/>
      <c r="K73" s="264" t="s">
        <v>44</v>
      </c>
      <c r="L73" s="349" t="s">
        <v>44</v>
      </c>
      <c r="N73">
        <f t="array" ref="N73">((SUM(IFERROR((TEXT(IF(ISNUMBER(SEARCH("-", F73:L73)), MID(F73:L73, SEARCH("-", F73:L73) + 1, 4), ""), "00\:00") - TEXT(IF(ISNUMBER(SEARCH("-", F73:L73)), MID(F73:L73, SEARCH("-", F73:L73) - 4, 4), ""), "00\:00") + IF(TEXT(IF(ISNUMBER(SEARCH("-", F73:L73)), MID(F73:L73, SEARCH("-", F73:L73) + 1, 4), ""), "00\:00") &lt; TEXT(IF(ISNUMBER(SEARCH("-", F73:L73)), MID(F73:L73, SEARCH("-", F73:L73) - 4, 4), ""), "00\:00"), 1, 0))*24,""))))/9.5</f>
        <v>4</v>
      </c>
      <c r="O73"/>
      <c r="P73"/>
      <c r="Q73" s="2">
        <f t="shared" si="21"/>
        <v>4</v>
      </c>
      <c r="R73" s="2">
        <f t="shared" si="22"/>
        <v>5</v>
      </c>
      <c r="S73">
        <f t="shared" ca="1" si="23"/>
        <v>7.9999999999999991</v>
      </c>
      <c r="T73" s="2">
        <f>(IFERROR(VLOOKUP(D73,'Employee Numbers'!$A$3:$C$84,3,FALSE),"NOT FOUND"))*8</f>
        <v>0</v>
      </c>
    </row>
    <row r="74" spans="1:20" s="2" customFormat="1" ht="15" customHeight="1">
      <c r="A74" s="44" t="s">
        <v>98</v>
      </c>
      <c r="B74" s="44"/>
      <c r="C74" s="45"/>
      <c r="D74" s="262" t="s">
        <v>116</v>
      </c>
      <c r="E74" s="285">
        <f>IFERROR(VLOOKUP(D74,'Employee Numbers'!$A$3:$B$84,2,FALSE),"NOT FOUND")</f>
        <v>704872</v>
      </c>
      <c r="F74" s="279"/>
      <c r="G74" s="279" t="s">
        <v>44</v>
      </c>
      <c r="H74" s="279" t="s">
        <v>42</v>
      </c>
      <c r="I74" s="279" t="s">
        <v>42</v>
      </c>
      <c r="J74" s="279" t="s">
        <v>42</v>
      </c>
      <c r="K74" s="279"/>
      <c r="L74" s="279"/>
      <c r="N74">
        <f t="array" ref="N74">((SUM(IFERROR((TEXT(IF(ISNUMBER(SEARCH("-", F74:L74)), MID(F74:L74, SEARCH("-", F74:L74) + 1, 4), ""), "00\:00") - TEXT(IF(ISNUMBER(SEARCH("-", F74:L74)), MID(F74:L74, SEARCH("-", F74:L74) - 4, 4), ""), "00\:00") + IF(TEXT(IF(ISNUMBER(SEARCH("-", F74:L74)), MID(F74:L74, SEARCH("-", F74:L74) + 1, 4), ""), "00\:00") &lt; TEXT(IF(ISNUMBER(SEARCH("-", F74:L74)), MID(F74:L74, SEARCH("-", F74:L74) - 4, 4), ""), "00\:00"), 1, 0))*24,""))))/9.5</f>
        <v>4</v>
      </c>
      <c r="O74"/>
      <c r="P74"/>
      <c r="Q74" s="2">
        <f t="shared" si="21"/>
        <v>4</v>
      </c>
      <c r="R74" s="2">
        <f t="shared" si="22"/>
        <v>5</v>
      </c>
      <c r="S74">
        <f t="shared" ca="1" si="23"/>
        <v>8</v>
      </c>
      <c r="T74" s="2">
        <f>(IFERROR(VLOOKUP(D74,'Employee Numbers'!$A$3:$C$84,3,FALSE),"NOT FOUND"))*8</f>
        <v>0</v>
      </c>
    </row>
    <row r="75" spans="1:20" s="2" customFormat="1" ht="15" customHeight="1">
      <c r="A75" s="2" t="s">
        <v>98</v>
      </c>
      <c r="C75" s="21"/>
      <c r="D75" s="262" t="s">
        <v>117</v>
      </c>
      <c r="E75" s="285">
        <f>IFERROR(VLOOKUP(D75,'Employee Numbers'!$A$3:$B$84,2,FALSE),"NOT FOUND")</f>
        <v>700712</v>
      </c>
      <c r="F75" s="264" t="s">
        <v>44</v>
      </c>
      <c r="G75" s="264" t="s">
        <v>174</v>
      </c>
      <c r="H75" s="264"/>
      <c r="I75" s="264"/>
      <c r="J75" s="264"/>
      <c r="K75" s="264" t="s">
        <v>42</v>
      </c>
      <c r="L75" s="264" t="s">
        <v>42</v>
      </c>
      <c r="N75">
        <f t="array" ref="N75">((SUM(IFERROR((TEXT(IF(ISNUMBER(SEARCH("-", F75:L75)), MID(F75:L75, SEARCH("-", F75:L75) + 1, 4), ""), "00\:00") - TEXT(IF(ISNUMBER(SEARCH("-", F75:L75)), MID(F75:L75, SEARCH("-", F75:L75) - 4, 4), ""), "00\:00") + IF(TEXT(IF(ISNUMBER(SEARCH("-", F75:L75)), MID(F75:L75, SEARCH("-", F75:L75) + 1, 4), ""), "00\:00") &lt; TEXT(IF(ISNUMBER(SEARCH("-", F75:L75)), MID(F75:L75, SEARCH("-", F75:L75) - 4, 4), ""), "00\:00"), 1, 0))*24,""))))/9.5</f>
        <v>4</v>
      </c>
      <c r="O75"/>
      <c r="P75"/>
      <c r="Q75" s="2">
        <f t="shared" si="21"/>
        <v>4</v>
      </c>
      <c r="R75" s="2">
        <f t="shared" si="22"/>
        <v>5</v>
      </c>
      <c r="S75">
        <f t="shared" ca="1" si="23"/>
        <v>8</v>
      </c>
      <c r="T75" s="2">
        <f>(IFERROR(VLOOKUP(D75,'Employee Numbers'!$A$3:$C$84,3,FALSE),"NOT FOUND"))*8</f>
        <v>0</v>
      </c>
    </row>
    <row r="76" spans="1:20" s="2" customFormat="1" ht="15" customHeight="1">
      <c r="A76" s="44" t="s">
        <v>98</v>
      </c>
      <c r="B76" s="44"/>
      <c r="C76" s="45"/>
      <c r="D76" s="262" t="s">
        <v>119</v>
      </c>
      <c r="E76" s="285">
        <f>IFERROR(VLOOKUP(D76,'Employee Numbers'!$A$3:$B$84,2,FALSE),"NOT FOUND")</f>
        <v>700818</v>
      </c>
      <c r="F76" s="264" t="s">
        <v>42</v>
      </c>
      <c r="G76" s="264"/>
      <c r="H76" s="264" t="s">
        <v>42</v>
      </c>
      <c r="I76" s="264"/>
      <c r="J76" s="264" t="s">
        <v>42</v>
      </c>
      <c r="K76" s="264" t="s">
        <v>42</v>
      </c>
      <c r="L76" s="264"/>
      <c r="N76">
        <f t="array" ref="N76">((SUM(IFERROR((TEXT(IF(ISNUMBER(SEARCH("-", F76:L76)), MID(F76:L76, SEARCH("-", F76:L76) + 1, 4), ""), "00\:00") - TEXT(IF(ISNUMBER(SEARCH("-", F76:L76)), MID(F76:L76, SEARCH("-", F76:L76) - 4, 4), ""), "00\:00") + IF(TEXT(IF(ISNUMBER(SEARCH("-", F76:L76)), MID(F76:L76, SEARCH("-", F76:L76) + 1, 4), ""), "00\:00") &lt; TEXT(IF(ISNUMBER(SEARCH("-", F76:L76)), MID(F76:L76, SEARCH("-", F76:L76) - 4, 4), ""), "00\:00"), 1, 0))*24,""))))/9.5</f>
        <v>4</v>
      </c>
      <c r="O76"/>
      <c r="P76"/>
      <c r="Q76" s="2">
        <f t="shared" si="21"/>
        <v>4</v>
      </c>
      <c r="R76" s="2">
        <f t="shared" si="22"/>
        <v>5</v>
      </c>
      <c r="S76">
        <f t="shared" ca="1" si="23"/>
        <v>8</v>
      </c>
      <c r="T76" s="2">
        <f>(IFERROR(VLOOKUP(D76,'Employee Numbers'!$A$3:$C$84,3,FALSE),"NOT FOUND"))*8</f>
        <v>0</v>
      </c>
    </row>
    <row r="77" spans="1:20" s="2" customFormat="1" ht="15" customHeight="1">
      <c r="A77" s="2" t="s">
        <v>98</v>
      </c>
      <c r="C77" s="47"/>
      <c r="D77" s="262" t="s">
        <v>120</v>
      </c>
      <c r="E77" s="285">
        <f>IFERROR(VLOOKUP(D77,'Employee Numbers'!$A$3:$B$84,2,FALSE),"NOT FOUND")</f>
        <v>650101</v>
      </c>
      <c r="F77" s="264"/>
      <c r="G77" s="264"/>
      <c r="H77" s="264"/>
      <c r="I77" s="264"/>
      <c r="J77" s="264"/>
      <c r="K77" s="264"/>
      <c r="L77" s="264"/>
      <c r="N77">
        <f t="array" ref="N77">((SUM(IFERROR((TEXT(IF(ISNUMBER(SEARCH("-", F77:L77)), MID(F77:L77, SEARCH("-", F77:L77) + 1, 4), ""), "00\:00") - TEXT(IF(ISNUMBER(SEARCH("-", F77:L77)), MID(F77:L77, SEARCH("-", F77:L77) - 4, 4), ""), "00\:00") + IF(TEXT(IF(ISNUMBER(SEARCH("-", F77:L77)), MID(F77:L77, SEARCH("-", F77:L77) + 1, 4), ""), "00\:00") &lt; TEXT(IF(ISNUMBER(SEARCH("-", F77:L77)), MID(F77:L77, SEARCH("-", F77:L77) - 4, 4), ""), "00\:00"), 1, 0))*24,""))))/9.5</f>
        <v>0</v>
      </c>
      <c r="O77"/>
      <c r="P77"/>
      <c r="Q77" s="2">
        <f t="shared" si="21"/>
        <v>0</v>
      </c>
      <c r="R77" s="2">
        <f t="shared" si="22"/>
        <v>2.5</v>
      </c>
      <c r="S77">
        <f t="shared" ca="1" si="23"/>
        <v>4</v>
      </c>
      <c r="T77" s="2">
        <f>(IFERROR(VLOOKUP(D77,'Employee Numbers'!$A$3:$C$84,3,FALSE),"NOT FOUND"))*8</f>
        <v>0</v>
      </c>
    </row>
    <row r="78" spans="1:20" s="2" customFormat="1" ht="15" customHeight="1">
      <c r="A78" s="44" t="s">
        <v>98</v>
      </c>
      <c r="B78" s="44"/>
      <c r="C78" s="45"/>
      <c r="D78" s="262" t="s">
        <v>122</v>
      </c>
      <c r="E78" s="285">
        <f>IFERROR(VLOOKUP(D78,'Employee Numbers'!$A$3:$B$84,2,FALSE),"NOT FOUND")</f>
        <v>654888</v>
      </c>
      <c r="F78" s="264"/>
      <c r="G78" s="264"/>
      <c r="H78" s="264"/>
      <c r="I78" s="264" t="s">
        <v>42</v>
      </c>
      <c r="J78" s="264" t="s">
        <v>100</v>
      </c>
      <c r="K78" s="264" t="s">
        <v>100</v>
      </c>
      <c r="L78" s="264" t="s">
        <v>100</v>
      </c>
      <c r="N78">
        <f t="array" ref="N78">((SUM(IFERROR((TEXT(IF(ISNUMBER(SEARCH("-", F78:L78)), MID(F78:L78, SEARCH("-", F78:L78) + 1, 4), ""), "00\:00") - TEXT(IF(ISNUMBER(SEARCH("-", F78:L78)), MID(F78:L78, SEARCH("-", F78:L78) - 4, 4), ""), "00\:00") + IF(TEXT(IF(ISNUMBER(SEARCH("-", F78:L78)), MID(F78:L78, SEARCH("-", F78:L78) + 1, 4), ""), "00\:00") &lt; TEXT(IF(ISNUMBER(SEARCH("-", F78:L78)), MID(F78:L78, SEARCH("-", F78:L78) - 4, 4), ""), "00\:00"), 1, 0))*24,""))))/9.5</f>
        <v>4</v>
      </c>
      <c r="O78"/>
      <c r="P78"/>
      <c r="Q78" s="2">
        <f t="shared" si="21"/>
        <v>4</v>
      </c>
      <c r="R78" s="2">
        <f t="shared" si="22"/>
        <v>5</v>
      </c>
      <c r="S78">
        <f t="shared" ca="1" si="23"/>
        <v>8</v>
      </c>
      <c r="T78" s="2">
        <f>(IFERROR(VLOOKUP(D78,'Employee Numbers'!$A$3:$C$84,3,FALSE),"NOT FOUND"))*8</f>
        <v>0</v>
      </c>
    </row>
    <row r="79" spans="1:20" s="2" customFormat="1" ht="15" customHeight="1">
      <c r="A79" s="2" t="s">
        <v>98</v>
      </c>
      <c r="C79" s="21"/>
      <c r="D79" s="262" t="s">
        <v>123</v>
      </c>
      <c r="E79" s="285">
        <f>IFERROR(VLOOKUP(D79,'Employee Numbers'!$A$3:$B$84,2,FALSE),"NOT FOUND")</f>
        <v>703880</v>
      </c>
      <c r="F79" s="264"/>
      <c r="G79" s="264" t="s">
        <v>44</v>
      </c>
      <c r="H79" s="264" t="s">
        <v>42</v>
      </c>
      <c r="I79" s="264"/>
      <c r="J79" s="264"/>
      <c r="K79" s="264" t="s">
        <v>42</v>
      </c>
      <c r="L79" s="264" t="s">
        <v>42</v>
      </c>
      <c r="N79">
        <f t="array" ref="N79">((SUM(IFERROR((TEXT(IF(ISNUMBER(SEARCH("-", F79:L79)), MID(F79:L79, SEARCH("-", F79:L79) + 1, 4), ""), "00\:00") - TEXT(IF(ISNUMBER(SEARCH("-", F79:L79)), MID(F79:L79, SEARCH("-", F79:L79) - 4, 4), ""), "00\:00") + IF(TEXT(IF(ISNUMBER(SEARCH("-", F79:L79)), MID(F79:L79, SEARCH("-", F79:L79) + 1, 4), ""), "00\:00") &lt; TEXT(IF(ISNUMBER(SEARCH("-", F79:L79)), MID(F79:L79, SEARCH("-", F79:L79) - 4, 4), ""), "00\:00"), 1, 0))*24,""))))/9.5</f>
        <v>4</v>
      </c>
      <c r="O79"/>
      <c r="P79"/>
      <c r="Q79" s="2">
        <f t="shared" si="21"/>
        <v>4</v>
      </c>
      <c r="R79" s="2">
        <f t="shared" si="22"/>
        <v>5</v>
      </c>
      <c r="S79">
        <f t="shared" ca="1" si="23"/>
        <v>8</v>
      </c>
      <c r="T79" s="2">
        <f>(IFERROR(VLOOKUP(D79,'Employee Numbers'!$A$3:$C$84,3,FALSE),"NOT FOUND"))*8</f>
        <v>0</v>
      </c>
    </row>
    <row r="80" spans="1:20" s="2" customFormat="1" ht="15" customHeight="1">
      <c r="A80" s="44" t="s">
        <v>98</v>
      </c>
      <c r="B80" s="44"/>
      <c r="C80" s="45"/>
      <c r="D80" s="262" t="s">
        <v>124</v>
      </c>
      <c r="E80" s="285">
        <f>IFERROR(VLOOKUP(D80,'Employee Numbers'!$A$3:$B$84,2,FALSE),"NOT FOUND")</f>
        <v>703334</v>
      </c>
      <c r="F80" s="264"/>
      <c r="G80" s="264" t="s">
        <v>42</v>
      </c>
      <c r="H80" s="264" t="s">
        <v>42</v>
      </c>
      <c r="I80" s="264"/>
      <c r="J80" s="264"/>
      <c r="K80" s="349" t="s">
        <v>44</v>
      </c>
      <c r="L80" s="264" t="s">
        <v>44</v>
      </c>
      <c r="N80">
        <f t="array" ref="N80">((SUM(IFERROR((TEXT(IF(ISNUMBER(SEARCH("-", F80:L80)), MID(F80:L80, SEARCH("-", F80:L80) + 1, 4), ""), "00\:00") - TEXT(IF(ISNUMBER(SEARCH("-", F80:L80)), MID(F80:L80, SEARCH("-", F80:L80) - 4, 4), ""), "00\:00") + IF(TEXT(IF(ISNUMBER(SEARCH("-", F80:L80)), MID(F80:L80, SEARCH("-", F80:L80) + 1, 4), ""), "00\:00") &lt; TEXT(IF(ISNUMBER(SEARCH("-", F80:L80)), MID(F80:L80, SEARCH("-", F80:L80) - 4, 4), ""), "00\:00"), 1, 0))*24,""))))/9.5</f>
        <v>4</v>
      </c>
      <c r="O80"/>
      <c r="P80"/>
      <c r="Q80" s="2">
        <f t="shared" si="21"/>
        <v>4</v>
      </c>
      <c r="R80" s="2">
        <f t="shared" si="22"/>
        <v>5</v>
      </c>
      <c r="S80">
        <f t="shared" ca="1" si="23"/>
        <v>7.9999999999999991</v>
      </c>
      <c r="T80" s="2">
        <f>(IFERROR(VLOOKUP(D80,'Employee Numbers'!$A$3:$C$84,3,FALSE),"NOT FOUND"))*8</f>
        <v>0</v>
      </c>
    </row>
    <row r="81" spans="1:21" s="13" customFormat="1" ht="15" customHeight="1">
      <c r="A81" s="2" t="s">
        <v>98</v>
      </c>
      <c r="B81" s="2"/>
      <c r="C81" s="21"/>
      <c r="D81" s="262" t="s">
        <v>125</v>
      </c>
      <c r="E81" s="285">
        <f>IFERROR(VLOOKUP(D81,'Employee Numbers'!$A$3:$B$84,2,FALSE),"NOT FOUND")</f>
        <v>700538</v>
      </c>
      <c r="F81" s="264" t="s">
        <v>42</v>
      </c>
      <c r="G81" s="264"/>
      <c r="H81" s="264"/>
      <c r="I81" s="264" t="s">
        <v>44</v>
      </c>
      <c r="J81" s="264" t="s">
        <v>42</v>
      </c>
      <c r="K81" s="264"/>
      <c r="L81" s="264"/>
      <c r="N81">
        <f t="array" ref="N81">((SUM(IFERROR((TEXT(IF(ISNUMBER(SEARCH("-", F81:L81)), MID(F81:L81, SEARCH("-", F81:L81) + 1, 4), ""), "00\:00") - TEXT(IF(ISNUMBER(SEARCH("-", F81:L81)), MID(F81:L81, SEARCH("-", F81:L81) - 4, 4), ""), "00\:00") + IF(TEXT(IF(ISNUMBER(SEARCH("-", F81:L81)), MID(F81:L81, SEARCH("-", F81:L81) + 1, 4), ""), "00\:00") &lt; TEXT(IF(ISNUMBER(SEARCH("-", F81:L81)), MID(F81:L81, SEARCH("-", F81:L81) - 4, 4), ""), "00\:00"), 1, 0))*24,""))))/9.5</f>
        <v>3</v>
      </c>
      <c r="O81"/>
      <c r="P81"/>
      <c r="Q81" s="2">
        <f>P81+O81+N81</f>
        <v>3</v>
      </c>
      <c r="R81" s="2">
        <f>IF(ISNUMBER(SEARCH("trg_5",H173)),5,IF(ISNUMBER(SEARCH("trg_3.75",H173)),3.75,IF(ISNUMBER(SEARCH("trg_2.5",H173)),2.5,IF(ISNUMBER(SEARCH("trg_1.75",H173)),1.75,0))))</f>
        <v>3.75</v>
      </c>
      <c r="S81">
        <f t="shared" ca="1" si="23"/>
        <v>6</v>
      </c>
      <c r="T81" s="2">
        <f>(IFERROR(VLOOKUP(D81,'Employee Numbers'!$A$3:$C$84,3,FALSE),"NOT FOUND"))*8</f>
        <v>0</v>
      </c>
      <c r="U81" s="2"/>
    </row>
    <row r="82" spans="1:21" s="2" customFormat="1" ht="15" customHeight="1">
      <c r="A82" s="44" t="s">
        <v>98</v>
      </c>
      <c r="B82" s="44"/>
      <c r="C82" s="45"/>
      <c r="D82" s="262" t="s">
        <v>126</v>
      </c>
      <c r="E82" s="285">
        <f>IFERROR(VLOOKUP(D82,'Employee Numbers'!$A$3:$B$84,2,FALSE),"NOT FOUND")</f>
        <v>704862</v>
      </c>
      <c r="F82" s="264" t="s">
        <v>100</v>
      </c>
      <c r="G82" s="264" t="s">
        <v>100</v>
      </c>
      <c r="H82" s="264" t="s">
        <v>100</v>
      </c>
      <c r="I82" s="264" t="s">
        <v>100</v>
      </c>
      <c r="J82" s="264"/>
      <c r="K82" s="275"/>
      <c r="L82" s="275"/>
      <c r="N82">
        <f t="array" ref="N82">((SUM(IFERROR((TEXT(IF(ISNUMBER(SEARCH("-", F82:L82)), MID(F82:L82, SEARCH("-", F82:L82) + 1, 4), ""), "00\:00") - TEXT(IF(ISNUMBER(SEARCH("-", F82:L82)), MID(F82:L82, SEARCH("-", F82:L82) - 4, 4), ""), "00\:00") + IF(TEXT(IF(ISNUMBER(SEARCH("-", F82:L82)), MID(F82:L82, SEARCH("-", F82:L82) + 1, 4), ""), "00\:00") &lt; TEXT(IF(ISNUMBER(SEARCH("-", F82:L82)), MID(F82:L82, SEARCH("-", F82:L82) - 4, 4), ""), "00\:00"), 1, 0))*24,""))))/9.5</f>
        <v>3.9999999999999991</v>
      </c>
      <c r="O82"/>
      <c r="P82"/>
      <c r="Q82" s="2">
        <f>P82+O82+N82</f>
        <v>3.9999999999999991</v>
      </c>
      <c r="R82" s="2">
        <f>IF(ISNUMBER(SEARCH("trg_5",H174)),5,IF(ISNUMBER(SEARCH("trg_3.75",H174)),3.75,IF(ISNUMBER(SEARCH("trg_2.5",H174)),2.5,IF(ISNUMBER(SEARCH("trg_1.75",H174)),1.75,0))))</f>
        <v>2.5</v>
      </c>
      <c r="S82">
        <f t="shared" ca="1" si="23"/>
        <v>3.9999999999999991</v>
      </c>
      <c r="T82" s="2">
        <f>(IFERROR(VLOOKUP(D82,'Employee Numbers'!$A$3:$C$84,3,FALSE),"NOT FOUND"))*8</f>
        <v>0</v>
      </c>
    </row>
    <row r="83" spans="1:21" s="2" customFormat="1" ht="15" customHeight="1">
      <c r="A83" s="2" t="s">
        <v>98</v>
      </c>
      <c r="C83" s="21"/>
      <c r="D83" s="262"/>
      <c r="E83" s="39" t="str">
        <f>IFERROR(VLOOKUP(D83,'Employee Numbers'!$A$3:$B$84,2,FALSE),"NOT FOUND")</f>
        <v>NOT FOUND</v>
      </c>
      <c r="F83" s="178"/>
      <c r="G83" s="178"/>
      <c r="H83" s="178"/>
      <c r="I83" s="178"/>
      <c r="J83" s="178"/>
      <c r="K83" s="178"/>
      <c r="L83" s="178"/>
      <c r="N83">
        <f t="array" ref="N83">((SUM(IFERROR((TEXT(IF(ISNUMBER(SEARCH("-", F83:L83)), MID(F83:L83, SEARCH("-", F83:L83) + 1, 4), ""), "00\:00") - TEXT(IF(ISNUMBER(SEARCH("-", F83:L83)), MID(F83:L83, SEARCH("-", F83:L83) - 4, 4), ""), "00\:00") + IF(TEXT(IF(ISNUMBER(SEARCH("-", F83:L83)), MID(F83:L83, SEARCH("-", F83:L83) + 1, 4), ""), "00\:00") &lt; TEXT(IF(ISNUMBER(SEARCH("-", F83:L83)), MID(F83:L83, SEARCH("-", F83:L83) - 4, 4), ""), "00\:00"), 1, 0))*24,""))))/9.5</f>
        <v>0</v>
      </c>
      <c r="O83"/>
      <c r="P83"/>
      <c r="Q83" s="2">
        <f>P83+O83+N83</f>
        <v>0</v>
      </c>
      <c r="R83" s="2">
        <f>IF(ISNUMBER(SEARCH("trg_5",H175)),5,IF(ISNUMBER(SEARCH("trg_3.75",H175)),3.75,IF(ISNUMBER(SEARCH("trg_2.5",H175)),2.5,IF(ISNUMBER(SEARCH("trg_1.75",H175)),1.75,0))))</f>
        <v>2.5</v>
      </c>
      <c r="S83">
        <f t="shared" ca="1" si="23"/>
        <v>0</v>
      </c>
      <c r="T83" s="2" t="e">
        <f>(IFERROR(VLOOKUP(D83,'Employee Numbers'!$A$3:$C$84,3,FALSE),"NOT FOUND"))*8</f>
        <v>#VALUE!</v>
      </c>
    </row>
    <row r="84" spans="1:21" s="2" customFormat="1" ht="15" customHeight="1">
      <c r="A84" s="44" t="s">
        <v>98</v>
      </c>
      <c r="B84" s="44"/>
      <c r="C84" s="45"/>
      <c r="D84" s="128"/>
      <c r="E84" s="129" t="str">
        <f>IFERROR(VLOOKUP(D84,'Employee Numbers'!$A$3:$B$84,2,FALSE),"NOT FOUND")</f>
        <v>NOT FOUND</v>
      </c>
      <c r="F84" s="136"/>
      <c r="G84" s="136"/>
      <c r="H84" s="136"/>
      <c r="I84" s="136"/>
      <c r="J84" s="136"/>
      <c r="K84" s="136"/>
      <c r="L84" s="136"/>
      <c r="N84">
        <f t="array" ref="N84">((SUM(IFERROR((TEXT(IF(ISNUMBER(SEARCH("-", F84:L84)), MID(F84:L84, SEARCH("-", F84:L84) + 1, 4), ""), "00\:00") - TEXT(IF(ISNUMBER(SEARCH("-", F84:L84)), MID(F84:L84, SEARCH("-", F84:L84) - 4, 4), ""), "00\:00") + IF(TEXT(IF(ISNUMBER(SEARCH("-", F84:L84)), MID(F84:L84, SEARCH("-", F84:L84) + 1, 4), ""), "00\:00") &lt; TEXT(IF(ISNUMBER(SEARCH("-", F84:L84)), MID(F84:L84, SEARCH("-", F84:L84) - 4, 4), ""), "00\:00"), 1, 0))*24,""))))/9.5</f>
        <v>0</v>
      </c>
      <c r="O84"/>
      <c r="P84"/>
      <c r="Q84" s="2">
        <f>P84+O84+N84</f>
        <v>0</v>
      </c>
      <c r="R84" s="2">
        <f>IF(ISNUMBER(SEARCH("trg_5",H176)),5,IF(ISNUMBER(SEARCH("trg_3.75",H176)),3.75,IF(ISNUMBER(SEARCH("trg_2.5",H176)),2.5,IF(ISNUMBER(SEARCH("trg_1.75",H176)),1.75,0))))</f>
        <v>5</v>
      </c>
      <c r="S84">
        <f t="shared" ca="1" si="23"/>
        <v>0</v>
      </c>
      <c r="T84" s="2" t="e">
        <f>(IFERROR(VLOOKUP(D84,'Employee Numbers'!$A$3:$C$84,3,FALSE),"NOT FOUND"))*8</f>
        <v>#VALUE!</v>
      </c>
    </row>
    <row r="85" spans="1:21" s="2" customFormat="1" ht="15" customHeight="1">
      <c r="A85" s="137" t="s">
        <v>128</v>
      </c>
      <c r="B85" s="138"/>
      <c r="C85" s="139"/>
      <c r="D85" s="140" t="s">
        <v>128</v>
      </c>
      <c r="E85" s="141" t="s">
        <v>4</v>
      </c>
      <c r="F85" s="281" t="s">
        <v>5</v>
      </c>
      <c r="G85" s="281" t="s">
        <v>6</v>
      </c>
      <c r="H85" s="281" t="s">
        <v>7</v>
      </c>
      <c r="I85" s="281" t="s">
        <v>8</v>
      </c>
      <c r="J85" s="281" t="s">
        <v>9</v>
      </c>
      <c r="K85" s="281" t="s">
        <v>10</v>
      </c>
      <c r="L85" s="282" t="s">
        <v>11</v>
      </c>
      <c r="M85" s="34"/>
      <c r="N85"/>
      <c r="O85"/>
      <c r="P85"/>
    </row>
    <row r="86" spans="1:21" s="2" customFormat="1" ht="15" customHeight="1">
      <c r="A86" s="44" t="s">
        <v>129</v>
      </c>
      <c r="B86" s="44"/>
      <c r="C86" s="45"/>
      <c r="D86" s="263" t="s">
        <v>130</v>
      </c>
      <c r="E86" s="284">
        <f>IFERROR(VLOOKUP(D86,'Employee Numbers'!$A$3:$B$84,2,FALSE),"NOT FOUND")</f>
        <v>703066</v>
      </c>
      <c r="F86" s="264"/>
      <c r="G86" s="264"/>
      <c r="H86" s="264"/>
      <c r="I86" s="264" t="s">
        <v>42</v>
      </c>
      <c r="J86" s="264" t="s">
        <v>100</v>
      </c>
      <c r="K86" s="264" t="s">
        <v>100</v>
      </c>
      <c r="L86" s="264" t="s">
        <v>100</v>
      </c>
      <c r="N86">
        <f t="array" ref="N86">((SUM(IFERROR((TEXT(IF(ISNUMBER(SEARCH("-", F86:L86)), MID(F86:L86, SEARCH("-", F86:L86) + 1, 4), ""), "00\:00") - TEXT(IF(ISNUMBER(SEARCH("-", F86:L86)), MID(F86:L86, SEARCH("-", F86:L86) - 4, 4), ""), "00\:00") + IF(TEXT(IF(ISNUMBER(SEARCH("-", F86:L86)), MID(F86:L86, SEARCH("-", F86:L86) + 1, 4), ""), "00\:00") &lt; TEXT(IF(ISNUMBER(SEARCH("-", F86:L86)), MID(F86:L86, SEARCH("-", F86:L86) - 4, 4), ""), "00\:00"), 1, 0))*24,""))))/9.5</f>
        <v>4</v>
      </c>
      <c r="O86"/>
      <c r="P86"/>
      <c r="Q86" s="2">
        <f>P86+O86+N86</f>
        <v>4</v>
      </c>
      <c r="S86">
        <f t="shared" ref="S86:S99" ca="1" si="24">IF($C$4=1,SUM(Q86+INDIRECT("'Week "&amp;($B$3+1)&amp;"'!Q"&amp;(ROW()))),IF($C$4=2,SUM(Q86+INDIRECT("'Week "&amp;($B$3-1)&amp;"'!Q"&amp;(ROW())))))</f>
        <v>8</v>
      </c>
      <c r="T86" s="2" t="e">
        <f>(IFERROR(VLOOKUP(D86,'Employee Numbers'!$A$3:$C$84,3,FALSE),"NOT FOUND"))*8</f>
        <v>#VALUE!</v>
      </c>
    </row>
    <row r="87" spans="1:21" s="2" customFormat="1" ht="15" customHeight="1">
      <c r="A87" s="2" t="s">
        <v>129</v>
      </c>
      <c r="C87" s="21"/>
      <c r="D87" s="263" t="s">
        <v>131</v>
      </c>
      <c r="E87" s="285">
        <f>IFERROR(VLOOKUP(D87,'Employee Numbers'!$A$3:$B$84,2,FALSE),"NOT FOUND")</f>
        <v>648637</v>
      </c>
      <c r="F87" s="264" t="s">
        <v>44</v>
      </c>
      <c r="G87" s="264" t="s">
        <v>44</v>
      </c>
      <c r="H87" s="264" t="s">
        <v>174</v>
      </c>
      <c r="I87" s="264" t="s">
        <v>42</v>
      </c>
      <c r="J87" s="264"/>
      <c r="K87" s="264"/>
      <c r="L87" s="264"/>
      <c r="N87">
        <f t="array" ref="N87">((SUM(IFERROR((TEXT(IF(ISNUMBER(SEARCH("-", F87:L87)), MID(F87:L87, SEARCH("-", F87:L87) + 1, 4), ""), "00\:00") - TEXT(IF(ISNUMBER(SEARCH("-", F87:L87)), MID(F87:L87, SEARCH("-", F87:L87) - 4, 4), ""), "00\:00") + IF(TEXT(IF(ISNUMBER(SEARCH("-", F87:L87)), MID(F87:L87, SEARCH("-", F87:L87) + 1, 4), ""), "00\:00") &lt; TEXT(IF(ISNUMBER(SEARCH("-", F87:L87)), MID(F87:L87, SEARCH("-", F87:L87) - 4, 4), ""), "00\:00"), 1, 0))*24,""))))/9.5</f>
        <v>4</v>
      </c>
      <c r="O87"/>
      <c r="P87"/>
      <c r="Q87" s="2">
        <f t="shared" ref="Q87:Q96" si="25">P87+O87+N87</f>
        <v>4</v>
      </c>
      <c r="S87">
        <f t="shared" ca="1" si="24"/>
        <v>8</v>
      </c>
      <c r="T87" s="2" t="e">
        <f>(IFERROR(VLOOKUP(D87,'Employee Numbers'!$A$3:$C$84,3,FALSE),"NOT FOUND"))*8</f>
        <v>#VALUE!</v>
      </c>
    </row>
    <row r="88" spans="1:21" s="13" customFormat="1" ht="15" customHeight="1">
      <c r="A88" s="44" t="s">
        <v>129</v>
      </c>
      <c r="B88" s="44"/>
      <c r="C88" s="45"/>
      <c r="D88" s="263" t="s">
        <v>132</v>
      </c>
      <c r="E88" s="285">
        <f>IFERROR(VLOOKUP(D88,'Employee Numbers'!$A$3:$B$84,2,FALSE),"NOT FOUND")</f>
        <v>703161</v>
      </c>
      <c r="F88" s="274" t="s">
        <v>176</v>
      </c>
      <c r="G88" s="274"/>
      <c r="H88" s="274"/>
      <c r="I88" s="274"/>
      <c r="J88" s="274"/>
      <c r="K88" s="274"/>
      <c r="L88" s="274"/>
      <c r="M88" s="2"/>
      <c r="N88">
        <f t="array" ref="N88">((SUM(IFERROR((TEXT(IF(ISNUMBER(SEARCH("-", F88:L88)), MID(F88:L88, SEARCH("-", F88:L88) + 1, 4), ""), "00\:00") - TEXT(IF(ISNUMBER(SEARCH("-", F88:L88)), MID(F88:L88, SEARCH("-", F88:L88) - 4, 4), ""), "00\:00") + IF(TEXT(IF(ISNUMBER(SEARCH("-", F88:L88)), MID(F88:L88, SEARCH("-", F88:L88) + 1, 4), ""), "00\:00") &lt; TEXT(IF(ISNUMBER(SEARCH("-", F88:L88)), MID(F88:L88, SEARCH("-", F88:L88) - 4, 4), ""), "00\:00"), 1, 0))*24,""))))/9.5</f>
        <v>0</v>
      </c>
      <c r="O88"/>
      <c r="P88"/>
      <c r="Q88" s="2">
        <f t="shared" si="25"/>
        <v>0</v>
      </c>
      <c r="R88" s="2"/>
      <c r="S88">
        <f t="shared" ca="1" si="24"/>
        <v>0</v>
      </c>
      <c r="T88" s="2" t="e">
        <f>(IFERROR(VLOOKUP(D88,'Employee Numbers'!$A$3:$C$84,3,FALSE),"NOT FOUND"))*8</f>
        <v>#VALUE!</v>
      </c>
      <c r="U88" s="2"/>
    </row>
    <row r="89" spans="1:21" s="2" customFormat="1" ht="15" customHeight="1">
      <c r="A89" s="2" t="s">
        <v>129</v>
      </c>
      <c r="C89" s="21"/>
      <c r="D89" s="263" t="s">
        <v>133</v>
      </c>
      <c r="E89" s="285">
        <f>IFERROR(VLOOKUP(D89,'Employee Numbers'!$A$3:$B$84,2,FALSE),"NOT FOUND")</f>
        <v>655179</v>
      </c>
      <c r="F89" s="264"/>
      <c r="G89" s="264"/>
      <c r="H89" s="264"/>
      <c r="I89" s="264"/>
      <c r="J89" s="264"/>
      <c r="K89" s="264"/>
      <c r="L89" s="264"/>
      <c r="N89">
        <f t="array" ref="N89">((SUM(IFERROR((TEXT(IF(ISNUMBER(SEARCH("-", F89:L89)), MID(F89:L89, SEARCH("-", F89:L89) + 1, 4), ""), "00\:00") - TEXT(IF(ISNUMBER(SEARCH("-", F89:L89)), MID(F89:L89, SEARCH("-", F89:L89) - 4, 4), ""), "00\:00") + IF(TEXT(IF(ISNUMBER(SEARCH("-", F89:L89)), MID(F89:L89, SEARCH("-", F89:L89) + 1, 4), ""), "00\:00") &lt; TEXT(IF(ISNUMBER(SEARCH("-", F89:L89)), MID(F89:L89, SEARCH("-", F89:L89) - 4, 4), ""), "00\:00"), 1, 0))*24,""))))/9.5</f>
        <v>0</v>
      </c>
      <c r="O89"/>
      <c r="P89"/>
      <c r="Q89" s="2">
        <f t="shared" si="25"/>
        <v>0</v>
      </c>
      <c r="S89">
        <f t="shared" ca="1" si="24"/>
        <v>0</v>
      </c>
      <c r="T89" s="2" t="e">
        <f>(IFERROR(VLOOKUP(D89,'Employee Numbers'!$A$3:$C$84,3,FALSE),"NOT FOUND"))*8</f>
        <v>#VALUE!</v>
      </c>
    </row>
    <row r="90" spans="1:21" s="2" customFormat="1" ht="15" customHeight="1">
      <c r="A90" s="44" t="s">
        <v>129</v>
      </c>
      <c r="B90" s="44"/>
      <c r="C90" s="45"/>
      <c r="D90" s="263" t="s">
        <v>134</v>
      </c>
      <c r="E90" s="285">
        <f>IFERROR(VLOOKUP(D90,'Employee Numbers'!$A$3:$B$84,2,FALSE),"NOT FOUND")</f>
        <v>700812</v>
      </c>
      <c r="F90" s="264" t="s">
        <v>44</v>
      </c>
      <c r="G90" s="264"/>
      <c r="H90" s="264" t="s">
        <v>44</v>
      </c>
      <c r="I90" s="264" t="s">
        <v>42</v>
      </c>
      <c r="J90" s="264" t="s">
        <v>42</v>
      </c>
      <c r="K90" s="264"/>
      <c r="L90" s="264"/>
      <c r="N90">
        <f t="array" ref="N90">((SUM(IFERROR((TEXT(IF(ISNUMBER(SEARCH("-", F90:L90)), MID(F90:L90, SEARCH("-", F90:L90) + 1, 4), ""), "00\:00") - TEXT(IF(ISNUMBER(SEARCH("-", F90:L90)), MID(F90:L90, SEARCH("-", F90:L90) - 4, 4), ""), "00\:00") + IF(TEXT(IF(ISNUMBER(SEARCH("-", F90:L90)), MID(F90:L90, SEARCH("-", F90:L90) + 1, 4), ""), "00\:00") &lt; TEXT(IF(ISNUMBER(SEARCH("-", F90:L90)), MID(F90:L90, SEARCH("-", F90:L90) - 4, 4), ""), "00\:00"), 1, 0))*24,""))))/9.5</f>
        <v>4</v>
      </c>
      <c r="O90"/>
      <c r="P90"/>
      <c r="Q90" s="2">
        <f t="shared" si="25"/>
        <v>4</v>
      </c>
      <c r="S90">
        <f t="shared" ca="1" si="24"/>
        <v>8</v>
      </c>
      <c r="T90" s="2" t="e">
        <f>(IFERROR(VLOOKUP(D90,'Employee Numbers'!$A$3:$C$84,3,FALSE),"NOT FOUND"))*8</f>
        <v>#VALUE!</v>
      </c>
    </row>
    <row r="91" spans="1:21" s="2" customFormat="1" ht="15" customHeight="1">
      <c r="A91" s="2" t="s">
        <v>129</v>
      </c>
      <c r="D91" s="263" t="s">
        <v>135</v>
      </c>
      <c r="E91" s="285">
        <f>IFERROR(VLOOKUP(D91,'Employee Numbers'!$A$3:$B$84,2,FALSE),"NOT FOUND")</f>
        <v>703157</v>
      </c>
      <c r="F91" s="264" t="s">
        <v>100</v>
      </c>
      <c r="G91" s="264" t="s">
        <v>100</v>
      </c>
      <c r="H91" s="264" t="s">
        <v>100</v>
      </c>
      <c r="I91" s="264" t="s">
        <v>100</v>
      </c>
      <c r="J91" s="264"/>
      <c r="K91" s="264"/>
      <c r="L91" s="264"/>
      <c r="N91">
        <f t="array" ref="N91">((SUM(IFERROR((TEXT(IF(ISNUMBER(SEARCH("-", F91:L91)), MID(F91:L91, SEARCH("-", F91:L91) + 1, 4), ""), "00\:00") - TEXT(IF(ISNUMBER(SEARCH("-", F91:L91)), MID(F91:L91, SEARCH("-", F91:L91) - 4, 4), ""), "00\:00") + IF(TEXT(IF(ISNUMBER(SEARCH("-", F91:L91)), MID(F91:L91, SEARCH("-", F91:L91) + 1, 4), ""), "00\:00") &lt; TEXT(IF(ISNUMBER(SEARCH("-", F91:L91)), MID(F91:L91, SEARCH("-", F91:L91) - 4, 4), ""), "00\:00"), 1, 0))*24,""))))/9.5</f>
        <v>3.9999999999999991</v>
      </c>
      <c r="O91"/>
      <c r="P91"/>
      <c r="Q91" s="2">
        <f t="shared" si="25"/>
        <v>3.9999999999999991</v>
      </c>
      <c r="S91">
        <f t="shared" ca="1" si="24"/>
        <v>7.9999999999999991</v>
      </c>
      <c r="T91" s="2" t="e">
        <f>(IFERROR(VLOOKUP(D91,'Employee Numbers'!$A$3:$C$84,3,FALSE),"NOT FOUND"))*8</f>
        <v>#VALUE!</v>
      </c>
    </row>
    <row r="92" spans="1:21" s="2" customFormat="1" ht="15" customHeight="1">
      <c r="A92" s="44" t="s">
        <v>129</v>
      </c>
      <c r="B92" s="44"/>
      <c r="C92" s="44"/>
      <c r="D92" s="263" t="s">
        <v>136</v>
      </c>
      <c r="E92" s="285">
        <f>IFERROR(VLOOKUP(D92,'Employee Numbers'!$A$3:$B$84,2,FALSE),"NOT FOUND")</f>
        <v>655173</v>
      </c>
      <c r="F92" s="264" t="s">
        <v>42</v>
      </c>
      <c r="G92" s="264"/>
      <c r="H92" s="264"/>
      <c r="I92" s="264"/>
      <c r="J92" s="264" t="s">
        <v>100</v>
      </c>
      <c r="K92" s="264" t="s">
        <v>100</v>
      </c>
      <c r="L92" s="264" t="s">
        <v>100</v>
      </c>
      <c r="N92">
        <f t="array" ref="N92">((SUM(IFERROR((TEXT(IF(ISNUMBER(SEARCH("-", F92:L92)), MID(F92:L92, SEARCH("-", F92:L92) + 1, 4), ""), "00\:00") - TEXT(IF(ISNUMBER(SEARCH("-", F92:L92)), MID(F92:L92, SEARCH("-", F92:L92) - 4, 4), ""), "00\:00") + IF(TEXT(IF(ISNUMBER(SEARCH("-", F92:L92)), MID(F92:L92, SEARCH("-", F92:L92) + 1, 4), ""), "00\:00") &lt; TEXT(IF(ISNUMBER(SEARCH("-", F92:L92)), MID(F92:L92, SEARCH("-", F92:L92) - 4, 4), ""), "00\:00"), 1, 0))*24,""))))/9.5</f>
        <v>4</v>
      </c>
      <c r="O92"/>
      <c r="P92"/>
      <c r="Q92" s="2">
        <f t="shared" si="25"/>
        <v>4</v>
      </c>
      <c r="S92">
        <f t="shared" ca="1" si="24"/>
        <v>8</v>
      </c>
      <c r="T92" s="2" t="e">
        <f>(IFERROR(VLOOKUP(D92,'Employee Numbers'!$A$3:$C$84,3,FALSE),"NOT FOUND"))*8</f>
        <v>#VALUE!</v>
      </c>
    </row>
    <row r="93" spans="1:21" s="2" customFormat="1" ht="15" customHeight="1">
      <c r="A93" s="44" t="s">
        <v>129</v>
      </c>
      <c r="B93" s="44"/>
      <c r="C93" s="45"/>
      <c r="D93" s="263" t="s">
        <v>137</v>
      </c>
      <c r="E93" s="285">
        <f>IFERROR(VLOOKUP(D93,'Employee Numbers'!$A$3:$B$84,2,FALSE),"NOT FOUND")</f>
        <v>705273</v>
      </c>
      <c r="F93" s="264"/>
      <c r="G93" s="264" t="s">
        <v>42</v>
      </c>
      <c r="H93" s="264" t="s">
        <v>42</v>
      </c>
      <c r="I93" s="264"/>
      <c r="J93" s="264"/>
      <c r="K93" s="264" t="s">
        <v>42</v>
      </c>
      <c r="L93" s="264" t="s">
        <v>42</v>
      </c>
      <c r="N93">
        <f t="array" ref="N93">((SUM(IFERROR((TEXT(IF(ISNUMBER(SEARCH("-", F93:L93)), MID(F93:L93, SEARCH("-", F93:L93) + 1, 4), ""), "00\:00") - TEXT(IF(ISNUMBER(SEARCH("-", F93:L93)), MID(F93:L93, SEARCH("-", F93:L93) - 4, 4), ""), "00\:00") + IF(TEXT(IF(ISNUMBER(SEARCH("-", F93:L93)), MID(F93:L93, SEARCH("-", F93:L93) + 1, 4), ""), "00\:00") &lt; TEXT(IF(ISNUMBER(SEARCH("-", F93:L93)), MID(F93:L93, SEARCH("-", F93:L93) - 4, 4), ""), "00\:00"), 1, 0))*24,""))))/9.5</f>
        <v>4</v>
      </c>
      <c r="O93"/>
      <c r="P93"/>
      <c r="Q93" s="2">
        <f t="shared" si="25"/>
        <v>4</v>
      </c>
      <c r="S93">
        <f t="shared" ca="1" si="24"/>
        <v>8</v>
      </c>
      <c r="T93" s="2" t="e">
        <f>(IFERROR(VLOOKUP(D93,'Employee Numbers'!$A$3:$C$84,3,FALSE),"NOT FOUND"))*8</f>
        <v>#VALUE!</v>
      </c>
    </row>
    <row r="94" spans="1:21" s="2" customFormat="1" ht="15" customHeight="1">
      <c r="A94" s="2" t="s">
        <v>129</v>
      </c>
      <c r="C94" s="21"/>
      <c r="D94" s="263" t="s">
        <v>138</v>
      </c>
      <c r="E94" s="285">
        <f>IFERROR(VLOOKUP(D94,'Employee Numbers'!$A$3:$B$84,2,FALSE),"NOT FOUND")</f>
        <v>703418</v>
      </c>
      <c r="F94" s="264" t="s">
        <v>100</v>
      </c>
      <c r="G94" s="264"/>
      <c r="H94" s="264"/>
      <c r="I94" s="264"/>
      <c r="J94" s="264" t="s">
        <v>44</v>
      </c>
      <c r="K94" s="264" t="s">
        <v>44</v>
      </c>
      <c r="L94" s="264" t="s">
        <v>44</v>
      </c>
      <c r="N94">
        <f t="array" ref="N94">((SUM(IFERROR((TEXT(IF(ISNUMBER(SEARCH("-", F94:L94)), MID(F94:L94, SEARCH("-", F94:L94) + 1, 4), ""), "00\:00") - TEXT(IF(ISNUMBER(SEARCH("-", F94:L94)), MID(F94:L94, SEARCH("-", F94:L94) - 4, 4), ""), "00\:00") + IF(TEXT(IF(ISNUMBER(SEARCH("-", F94:L94)), MID(F94:L94, SEARCH("-", F94:L94) + 1, 4), ""), "00\:00") &lt; TEXT(IF(ISNUMBER(SEARCH("-", F94:L94)), MID(F94:L94, SEARCH("-", F94:L94) - 4, 4), ""), "00\:00"), 1, 0))*24,""))))/9.5</f>
        <v>4</v>
      </c>
      <c r="O94"/>
      <c r="P94"/>
      <c r="Q94" s="2">
        <f t="shared" si="25"/>
        <v>4</v>
      </c>
      <c r="S94">
        <f t="shared" ca="1" si="24"/>
        <v>8</v>
      </c>
      <c r="T94" s="2" t="e">
        <f>(IFERROR(VLOOKUP(D94,'Employee Numbers'!$A$3:$C$84,3,FALSE),"NOT FOUND"))*8</f>
        <v>#VALUE!</v>
      </c>
    </row>
    <row r="95" spans="1:21" s="13" customFormat="1" ht="15" customHeight="1">
      <c r="A95" s="44" t="s">
        <v>129</v>
      </c>
      <c r="B95" s="44"/>
      <c r="C95" s="45"/>
      <c r="D95" s="263" t="s">
        <v>139</v>
      </c>
      <c r="E95" s="285">
        <f>IFERROR(VLOOKUP(D95,'Employee Numbers'!$A$3:$B$84,2,FALSE),"NOT FOUND")</f>
        <v>704108</v>
      </c>
      <c r="F95" s="264"/>
      <c r="G95" s="264" t="s">
        <v>100</v>
      </c>
      <c r="H95" s="264" t="s">
        <v>100</v>
      </c>
      <c r="I95" s="264" t="s">
        <v>100</v>
      </c>
      <c r="J95" s="264"/>
      <c r="K95" s="264"/>
      <c r="L95" s="264" t="s">
        <v>44</v>
      </c>
      <c r="M95" s="2"/>
      <c r="N95">
        <f t="array" ref="N95">((SUM(IFERROR((TEXT(IF(ISNUMBER(SEARCH("-", F95:L95)), MID(F95:L95, SEARCH("-", F95:L95) + 1, 4), ""), "00\:00") - TEXT(IF(ISNUMBER(SEARCH("-", F95:L95)), MID(F95:L95, SEARCH("-", F95:L95) - 4, 4), ""), "00\:00") + IF(TEXT(IF(ISNUMBER(SEARCH("-", F95:L95)), MID(F95:L95, SEARCH("-", F95:L95) + 1, 4), ""), "00\:00") &lt; TEXT(IF(ISNUMBER(SEARCH("-", F95:L95)), MID(F95:L95, SEARCH("-", F95:L95) - 4, 4), ""), "00\:00"), 1, 0))*24,""))))/9.5</f>
        <v>3.9999999999999991</v>
      </c>
      <c r="O95"/>
      <c r="P95"/>
      <c r="Q95" s="2">
        <f t="shared" si="25"/>
        <v>3.9999999999999991</v>
      </c>
      <c r="R95" s="2"/>
      <c r="S95">
        <f t="shared" ca="1" si="24"/>
        <v>7.9999999999999991</v>
      </c>
      <c r="T95" s="2" t="e">
        <f>(IFERROR(VLOOKUP(D95,'Employee Numbers'!$A$3:$C$84,3,FALSE),"NOT FOUND"))*8</f>
        <v>#VALUE!</v>
      </c>
      <c r="U95" s="2"/>
    </row>
    <row r="96" spans="1:21" s="2" customFormat="1" ht="15" customHeight="1">
      <c r="A96" s="2" t="s">
        <v>129</v>
      </c>
      <c r="C96" s="21"/>
      <c r="D96" s="263" t="s">
        <v>140</v>
      </c>
      <c r="E96" s="285">
        <f>IFERROR(VLOOKUP(D96,'Employee Numbers'!$A$3:$B$84,2,FALSE),"NOT FOUND")</f>
        <v>651515</v>
      </c>
      <c r="F96" s="264"/>
      <c r="G96" s="264"/>
      <c r="H96" s="264" t="s">
        <v>44</v>
      </c>
      <c r="I96" s="264" t="s">
        <v>44</v>
      </c>
      <c r="J96" s="264" t="s">
        <v>44</v>
      </c>
      <c r="K96" s="264" t="s">
        <v>44</v>
      </c>
      <c r="L96" s="264"/>
      <c r="N96">
        <f t="array" ref="N96">((SUM(IFERROR((TEXT(IF(ISNUMBER(SEARCH("-", F96:L96)), MID(F96:L96, SEARCH("-", F96:L96) + 1, 4), ""), "00\:00") - TEXT(IF(ISNUMBER(SEARCH("-", F96:L96)), MID(F96:L96, SEARCH("-", F96:L96) - 4, 4), ""), "00\:00") + IF(TEXT(IF(ISNUMBER(SEARCH("-", F96:L96)), MID(F96:L96, SEARCH("-", F96:L96) + 1, 4), ""), "00\:00") &lt; TEXT(IF(ISNUMBER(SEARCH("-", F96:L96)), MID(F96:L96, SEARCH("-", F96:L96) - 4, 4), ""), "00\:00"), 1, 0))*24,""))))/9.5</f>
        <v>4</v>
      </c>
      <c r="O96"/>
      <c r="P96"/>
      <c r="Q96" s="2">
        <f t="shared" si="25"/>
        <v>4</v>
      </c>
      <c r="S96">
        <f t="shared" ca="1" si="24"/>
        <v>8</v>
      </c>
      <c r="T96" s="2" t="e">
        <f>(IFERROR(VLOOKUP(D96,'Employee Numbers'!$A$3:$C$84,3,FALSE),"NOT FOUND"))*8</f>
        <v>#VALUE!</v>
      </c>
    </row>
    <row r="97" spans="1:20" s="2" customFormat="1" ht="15" customHeight="1">
      <c r="A97" s="44" t="s">
        <v>129</v>
      </c>
      <c r="B97" s="44"/>
      <c r="C97" s="45"/>
      <c r="D97" s="263" t="s">
        <v>141</v>
      </c>
      <c r="E97" s="285">
        <f>IFERROR(VLOOKUP(D97,'Employee Numbers'!$A$3:$B$84,2,FALSE),"NOT FOUND")</f>
        <v>705199</v>
      </c>
      <c r="F97" s="264" t="s">
        <v>44</v>
      </c>
      <c r="G97" s="264" t="s">
        <v>42</v>
      </c>
      <c r="H97" s="264"/>
      <c r="I97" s="264" t="s">
        <v>44</v>
      </c>
      <c r="J97" s="264" t="s">
        <v>42</v>
      </c>
      <c r="K97" s="264"/>
      <c r="L97" s="264"/>
      <c r="N97">
        <f t="array" ref="N97">((SUM(IFERROR((TEXT(IF(ISNUMBER(SEARCH("-", F97:L97)), MID(F97:L97, SEARCH("-", F97:L97) + 1, 4), ""), "00\:00") - TEXT(IF(ISNUMBER(SEARCH("-", F97:L97)), MID(F97:L97, SEARCH("-", F97:L97) - 4, 4), ""), "00\:00") + IF(TEXT(IF(ISNUMBER(SEARCH("-", F97:L97)), MID(F97:L97, SEARCH("-", F97:L97) + 1, 4), ""), "00\:00") &lt; TEXT(IF(ISNUMBER(SEARCH("-", F97:L97)), MID(F97:L97, SEARCH("-", F97:L97) - 4, 4), ""), "00\:00"), 1, 0))*24,""))))/9.5</f>
        <v>4</v>
      </c>
      <c r="O97"/>
      <c r="P97"/>
      <c r="Q97" s="2">
        <f>P97+O97+N97</f>
        <v>4</v>
      </c>
      <c r="S97">
        <f t="shared" ca="1" si="24"/>
        <v>8</v>
      </c>
      <c r="T97" s="2" t="e">
        <f>(IFERROR(VLOOKUP(D97,'Employee Numbers'!$A$3:$C$84,3,FALSE),"NOT FOUND"))*8</f>
        <v>#VALUE!</v>
      </c>
    </row>
    <row r="98" spans="1:20" s="2" customFormat="1" ht="15" customHeight="1">
      <c r="A98" s="2" t="s">
        <v>129</v>
      </c>
      <c r="D98" s="31"/>
      <c r="E98" s="39" t="str">
        <f>IFERROR(VLOOKUP(D98,'Employee Numbers'!$A$3:$B$84,2,FALSE),"NOT FOUND")</f>
        <v>NOT FOUND</v>
      </c>
      <c r="F98" s="130"/>
      <c r="G98" s="130"/>
      <c r="H98" s="130"/>
      <c r="I98" s="130"/>
      <c r="J98" s="130"/>
      <c r="K98" s="130"/>
      <c r="L98" s="130"/>
      <c r="N98">
        <f t="array" ref="N98">((SUM(IFERROR((TEXT(IF(ISNUMBER(SEARCH("-", F98:L98)), MID(F98:L98, SEARCH("-", F98:L98) + 1, 4), ""), "00\:00") - TEXT(IF(ISNUMBER(SEARCH("-", F98:L98)), MID(F98:L98, SEARCH("-", F98:L98) - 4, 4), ""), "00\:00") + IF(TEXT(IF(ISNUMBER(SEARCH("-", F98:L98)), MID(F98:L98, SEARCH("-", F98:L98) + 1, 4), ""), "00\:00") &lt; TEXT(IF(ISNUMBER(SEARCH("-", F98:L98)), MID(F98:L98, SEARCH("-", F98:L98) - 4, 4), ""), "00\:00"), 1, 0))*24,""))))/9.5</f>
        <v>0</v>
      </c>
      <c r="O98"/>
      <c r="P98"/>
      <c r="Q98" s="2">
        <f>P98+O98+N98</f>
        <v>0</v>
      </c>
      <c r="S98">
        <f t="shared" ca="1" si="24"/>
        <v>0</v>
      </c>
      <c r="T98" s="2" t="e">
        <f>(IFERROR(VLOOKUP(D98,'Employee Numbers'!$A$3:$C$84,3,FALSE),"NOT FOUND"))*8</f>
        <v>#VALUE!</v>
      </c>
    </row>
    <row r="99" spans="1:20" s="2" customFormat="1" ht="15" customHeight="1">
      <c r="A99" s="44" t="s">
        <v>129</v>
      </c>
      <c r="B99" s="44"/>
      <c r="C99" s="44"/>
      <c r="D99" s="30"/>
      <c r="E99" s="39" t="str">
        <f>IFERROR(VLOOKUP(D99,'Employee Numbers'!$A$3:$B$84,2,FALSE),"NOT FOUND")</f>
        <v>NOT FOUND</v>
      </c>
      <c r="F99" s="37"/>
      <c r="G99" s="37"/>
      <c r="H99" s="37"/>
      <c r="I99" s="37"/>
      <c r="J99" s="37"/>
      <c r="K99" s="37"/>
      <c r="L99" s="37"/>
      <c r="N99">
        <f t="array" ref="N99">((SUM(IFERROR((TEXT(IF(ISNUMBER(SEARCH("-", F99:L99)), MID(F99:L99, SEARCH("-", F99:L99) + 1, 4), ""), "00\:00") - TEXT(IF(ISNUMBER(SEARCH("-", F99:L99)), MID(F99:L99, SEARCH("-", F99:L99) - 4, 4), ""), "00\:00") + IF(TEXT(IF(ISNUMBER(SEARCH("-", F99:L99)), MID(F99:L99, SEARCH("-", F99:L99) + 1, 4), ""), "00\:00") &lt; TEXT(IF(ISNUMBER(SEARCH("-", F99:L99)), MID(F99:L99, SEARCH("-", F99:L99) - 4, 4), ""), "00\:00"), 1, 0))*24,""))))/9.5</f>
        <v>0</v>
      </c>
      <c r="O99"/>
      <c r="P99"/>
      <c r="Q99" s="2">
        <f>P99+O99+N99</f>
        <v>0</v>
      </c>
      <c r="S99">
        <f t="shared" ca="1" si="24"/>
        <v>0</v>
      </c>
      <c r="T99" s="2" t="e">
        <f>(IFERROR(VLOOKUP(D99,'Employee Numbers'!$A$3:$C$84,3,FALSE),"NOT FOUND"))*8</f>
        <v>#VALUE!</v>
      </c>
    </row>
    <row r="100" spans="1:20" s="2" customFormat="1" ht="15" customHeight="1">
      <c r="A100" s="56" t="s">
        <v>142</v>
      </c>
      <c r="B100" s="52"/>
      <c r="C100" s="53"/>
      <c r="D100" s="56" t="s">
        <v>142</v>
      </c>
      <c r="E100" s="41" t="s">
        <v>4</v>
      </c>
      <c r="F100" s="40" t="s">
        <v>5</v>
      </c>
      <c r="G100" s="40" t="s">
        <v>6</v>
      </c>
      <c r="H100" s="40" t="s">
        <v>7</v>
      </c>
      <c r="I100" s="40" t="s">
        <v>8</v>
      </c>
      <c r="J100" s="40" t="s">
        <v>9</v>
      </c>
      <c r="K100" s="40" t="s">
        <v>10</v>
      </c>
      <c r="L100" s="40" t="s">
        <v>11</v>
      </c>
      <c r="M100" s="5"/>
    </row>
    <row r="101" spans="1:20" s="2" customFormat="1" ht="15" customHeight="1">
      <c r="A101" s="2" t="s">
        <v>143</v>
      </c>
      <c r="B101" s="5"/>
      <c r="C101" s="8"/>
      <c r="D101" s="31"/>
      <c r="E101" s="39" t="str">
        <f>IFERROR(VLOOKUP(D101,'Employee Numbers'!$A$3:$B$84,2,FALSE),"NOT FOUND")</f>
        <v>NOT FOUND</v>
      </c>
      <c r="F101" s="31"/>
      <c r="G101" s="31"/>
      <c r="H101" s="31"/>
      <c r="I101" s="31"/>
      <c r="J101" s="31"/>
      <c r="K101" s="31"/>
      <c r="L101" s="31"/>
      <c r="M101" s="5"/>
      <c r="N101">
        <f t="array" ref="N101">((SUM(IFERROR((TEXT(IF(ISNUMBER(SEARCH("-", F101:L101)), MID(F101:L101, SEARCH("-", F101:L101) + 1, 4), ""), "00\:00") - TEXT(IF(ISNUMBER(SEARCH("-", F101:L101)), MID(F101:L101, SEARCH("-", F101:L101) - 4, 4), ""), "00\:00") + IF(TEXT(IF(ISNUMBER(SEARCH("-", F101:L101)), MID(F101:L101, SEARCH("-", F101:L101) + 1, 4), ""), "00\:00") &lt; TEXT(IF(ISNUMBER(SEARCH("-", F101:L101)), MID(F101:L101, SEARCH("-", F101:L101) - 4, 4), ""), "00\:00"), 1, 0))*24,""))))/9.5</f>
        <v>0</v>
      </c>
      <c r="O101"/>
      <c r="P101"/>
      <c r="Q101" s="2">
        <f>P101+O101+N101</f>
        <v>0</v>
      </c>
      <c r="S101">
        <f t="shared" ref="S101:S102" ca="1" si="26">IF($C$4=1,SUM(Q101+INDIRECT("'Week "&amp;($B$3+1)&amp;"'!Q"&amp;(ROW()))),IF($C$4=2,SUM(Q101+INDIRECT("'Week "&amp;($B$3-1)&amp;"'!Q"&amp;(ROW())))))</f>
        <v>0</v>
      </c>
      <c r="T101" s="2" t="e">
        <f>(IFERROR(VLOOKUP(D101,'Employee Numbers'!$A$3:$C$84,3,FALSE),"NOT FOUND"))*8</f>
        <v>#VALUE!</v>
      </c>
    </row>
    <row r="102" spans="1:20" s="2" customFormat="1" ht="15" customHeight="1">
      <c r="A102" s="44" t="s">
        <v>143</v>
      </c>
      <c r="B102" s="5"/>
      <c r="C102" s="8"/>
      <c r="D102" s="31"/>
      <c r="E102" s="39" t="str">
        <f>IFERROR(VLOOKUP(D102,'Employee Numbers'!$A$3:$B$84,2,FALSE),"NOT FOUND")</f>
        <v>NOT FOUND</v>
      </c>
      <c r="F102" s="31"/>
      <c r="G102" s="31"/>
      <c r="H102" s="31"/>
      <c r="I102" s="31"/>
      <c r="J102" s="31"/>
      <c r="K102" s="31"/>
      <c r="L102" s="31"/>
      <c r="M102" s="5"/>
      <c r="N102">
        <f t="array" ref="N102">((SUM(IFERROR((TEXT(IF(ISNUMBER(SEARCH("-", F102:L102)), MID(F102:L102, SEARCH("-", F102:L102) + 1, 4), ""), "00\:00") - TEXT(IF(ISNUMBER(SEARCH("-", F102:L102)), MID(F102:L102, SEARCH("-", F102:L102) - 4, 4), ""), "00\:00") + IF(TEXT(IF(ISNUMBER(SEARCH("-", F102:L102)), MID(F102:L102, SEARCH("-", F102:L102) + 1, 4), ""), "00\:00") &lt; TEXT(IF(ISNUMBER(SEARCH("-", F102:L102)), MID(F102:L102, SEARCH("-", F102:L102) - 4, 4), ""), "00\:00"), 1, 0))*24,""))))/9.5</f>
        <v>0</v>
      </c>
      <c r="O102"/>
      <c r="P102"/>
      <c r="Q102" s="2">
        <f>P102+O102+N102</f>
        <v>0</v>
      </c>
      <c r="S102">
        <f t="shared" ca="1" si="26"/>
        <v>0</v>
      </c>
      <c r="T102" s="2" t="e">
        <f>(IFERROR(VLOOKUP(D102,'Employee Numbers'!$A$3:$C$84,3,FALSE),"NOT FOUND"))*8</f>
        <v>#VALUE!</v>
      </c>
    </row>
    <row r="103" spans="1:20" s="2" customFormat="1" ht="15" customHeight="1">
      <c r="A103" s="54" t="s">
        <v>148</v>
      </c>
      <c r="B103" s="54"/>
      <c r="C103" s="54"/>
      <c r="D103" s="57" t="s">
        <v>148</v>
      </c>
      <c r="E103" s="107"/>
      <c r="F103" s="57"/>
      <c r="G103" s="57"/>
      <c r="H103" s="57"/>
      <c r="I103" s="57"/>
      <c r="J103" s="57"/>
      <c r="K103" s="57"/>
      <c r="L103" s="57"/>
      <c r="M103" s="5"/>
      <c r="N103"/>
      <c r="O103"/>
      <c r="Q103"/>
    </row>
    <row r="104" spans="1:20" ht="15" customHeight="1">
      <c r="B104" s="2"/>
      <c r="C104" s="21"/>
      <c r="D104" s="31"/>
      <c r="E104" s="154" t="s">
        <v>149</v>
      </c>
      <c r="F104" s="31"/>
      <c r="G104" s="31"/>
      <c r="H104" s="31"/>
      <c r="I104" s="31"/>
      <c r="J104" s="31"/>
      <c r="K104" s="31"/>
      <c r="L104" s="31"/>
      <c r="N104"/>
      <c r="O104"/>
      <c r="P104" s="2"/>
      <c r="Q104"/>
      <c r="R104" s="2"/>
    </row>
    <row r="105" spans="1:20" ht="15" customHeight="1" thickBot="1">
      <c r="L105" s="6"/>
      <c r="N105"/>
      <c r="O105"/>
      <c r="P105" s="2"/>
      <c r="Q105"/>
      <c r="R105" s="2"/>
    </row>
    <row r="106" spans="1:20" ht="15" customHeight="1">
      <c r="D106" s="77" t="s">
        <v>150</v>
      </c>
      <c r="F106" s="88" t="s">
        <v>151</v>
      </c>
      <c r="G106" s="89"/>
      <c r="H106" s="89"/>
      <c r="I106" s="89"/>
      <c r="J106" s="89"/>
      <c r="K106" s="89"/>
      <c r="L106" s="90"/>
      <c r="N106"/>
      <c r="O106"/>
      <c r="P106" s="2"/>
      <c r="Q106"/>
      <c r="R106" s="2"/>
    </row>
    <row r="107" spans="1:20" ht="15" customHeight="1">
      <c r="D107" s="78" t="s">
        <v>152</v>
      </c>
      <c r="F107" s="24" t="s">
        <v>153</v>
      </c>
      <c r="G107"/>
      <c r="L107" s="6"/>
      <c r="N107" s="2"/>
      <c r="O107" s="2"/>
      <c r="P107" s="2"/>
      <c r="Q107" s="2"/>
      <c r="R107" s="2"/>
    </row>
    <row r="108" spans="1:20" ht="15" customHeight="1">
      <c r="D108" s="79" t="s">
        <v>154</v>
      </c>
      <c r="F108" s="24" t="s">
        <v>155</v>
      </c>
      <c r="G108"/>
      <c r="L108" s="6"/>
      <c r="N108"/>
      <c r="O108"/>
      <c r="P108" s="2"/>
      <c r="Q108"/>
      <c r="R108" s="2"/>
    </row>
    <row r="109" spans="1:20" ht="15" customHeight="1">
      <c r="D109" s="80" t="s">
        <v>156</v>
      </c>
      <c r="F109" s="24" t="s">
        <v>157</v>
      </c>
      <c r="G109"/>
      <c r="L109" s="6"/>
      <c r="N109"/>
      <c r="O109"/>
      <c r="P109" s="2"/>
      <c r="Q109"/>
      <c r="R109" s="2"/>
    </row>
    <row r="110" spans="1:20" ht="15" customHeight="1">
      <c r="D110" s="81" t="s">
        <v>158</v>
      </c>
      <c r="F110" s="24" t="s">
        <v>159</v>
      </c>
      <c r="G110"/>
      <c r="L110" s="6"/>
      <c r="N110" s="2"/>
      <c r="O110" s="2"/>
      <c r="P110" s="2"/>
      <c r="Q110" s="2"/>
      <c r="R110" s="2"/>
    </row>
    <row r="111" spans="1:20" ht="15" customHeight="1" thickBot="1">
      <c r="A111" s="2"/>
      <c r="F111" s="25" t="s">
        <v>160</v>
      </c>
      <c r="G111" s="17"/>
      <c r="H111" s="7"/>
      <c r="I111" s="7"/>
      <c r="J111" s="7"/>
      <c r="K111" s="7"/>
      <c r="L111" s="18"/>
      <c r="N111" s="2"/>
      <c r="O111" s="2"/>
      <c r="P111" s="2"/>
      <c r="Q111" s="2"/>
      <c r="R111" s="2"/>
    </row>
    <row r="112" spans="1:20" ht="15" customHeight="1">
      <c r="G112" s="14"/>
    </row>
    <row r="113" spans="1:18" s="2" customFormat="1" ht="15" customHeight="1">
      <c r="A113" s="42" t="s">
        <v>38</v>
      </c>
      <c r="B113" s="33"/>
      <c r="C113" s="43"/>
      <c r="D113" s="82" t="s">
        <v>38</v>
      </c>
      <c r="E113" s="19"/>
      <c r="F113" s="10"/>
      <c r="G113" s="11"/>
      <c r="H113" s="11"/>
      <c r="I113" s="11"/>
      <c r="J113" s="11"/>
      <c r="K113" s="11"/>
      <c r="L113" s="15"/>
      <c r="M113" s="5"/>
      <c r="N113" s="5"/>
      <c r="O113" s="5"/>
      <c r="P113" s="5"/>
      <c r="Q113" s="5"/>
      <c r="R113" s="5"/>
    </row>
    <row r="114" spans="1:18" ht="15" customHeight="1" thickBot="1"/>
    <row r="115" spans="1:18" ht="15" customHeight="1" thickBot="1">
      <c r="A115" s="2" t="s">
        <v>161</v>
      </c>
      <c r="B115" s="55" t="s">
        <v>162</v>
      </c>
      <c r="C115" s="21"/>
      <c r="D115" s="27" t="str">
        <f t="shared" ref="D115:D143" si="27">D21</f>
        <v>Dr Adam West</v>
      </c>
      <c r="E115" s="22">
        <f>IFERROR(VLOOKUP(D115,'Employee Numbers'!$A$3:$B$84,2,FALSE),"NOT FOUND")</f>
        <v>287628</v>
      </c>
      <c r="F115" s="9" t="str">
        <f t="shared" ref="F115:L130" si="28">IF(F$50=$D115,"Con_8_0000","")</f>
        <v/>
      </c>
      <c r="G115" s="9" t="str">
        <f t="shared" si="28"/>
        <v/>
      </c>
      <c r="H115" s="9" t="str">
        <f t="shared" si="28"/>
        <v/>
      </c>
      <c r="I115" s="9" t="str">
        <f t="shared" si="28"/>
        <v/>
      </c>
      <c r="J115" s="9" t="str">
        <f t="shared" si="28"/>
        <v/>
      </c>
      <c r="K115" s="9" t="str">
        <f t="shared" si="28"/>
        <v/>
      </c>
      <c r="L115" s="9" t="str">
        <f t="shared" si="28"/>
        <v/>
      </c>
    </row>
    <row r="116" spans="1:18" ht="15" customHeight="1" thickBot="1">
      <c r="A116" s="2" t="s">
        <v>161</v>
      </c>
      <c r="B116" s="55" t="s">
        <v>162</v>
      </c>
      <c r="C116" s="21"/>
      <c r="D116" s="27" t="str">
        <f t="shared" si="27"/>
        <v>Dr Toby VanHest</v>
      </c>
      <c r="E116" s="22">
        <f>IFERROR(VLOOKUP(D116,'Employee Numbers'!$A$3:$B$84,2,FALSE),"NOT FOUND")</f>
        <v>609660</v>
      </c>
      <c r="F116" s="9" t="str">
        <f t="shared" si="28"/>
        <v/>
      </c>
      <c r="G116" s="9" t="str">
        <f t="shared" si="28"/>
        <v/>
      </c>
      <c r="H116" s="9" t="str">
        <f t="shared" si="28"/>
        <v/>
      </c>
      <c r="I116" s="9" t="str">
        <f t="shared" si="28"/>
        <v/>
      </c>
      <c r="J116" s="9" t="str">
        <f t="shared" si="28"/>
        <v/>
      </c>
      <c r="K116" s="9" t="str">
        <f t="shared" si="28"/>
        <v/>
      </c>
      <c r="L116" s="9" t="str">
        <f t="shared" si="28"/>
        <v/>
      </c>
    </row>
    <row r="117" spans="1:18" ht="15" customHeight="1" thickBot="1">
      <c r="A117" s="2" t="s">
        <v>161</v>
      </c>
      <c r="B117" s="55" t="s">
        <v>162</v>
      </c>
      <c r="C117" s="21"/>
      <c r="D117" s="27" t="str">
        <f t="shared" si="27"/>
        <v>Dr Bob Seith</v>
      </c>
      <c r="E117" s="22">
        <f>IFERROR(VLOOKUP(D117,'Employee Numbers'!$A$3:$B$84,2,FALSE),"NOT FOUND")</f>
        <v>610036</v>
      </c>
      <c r="F117" s="9" t="str">
        <f t="shared" si="28"/>
        <v/>
      </c>
      <c r="G117" s="9" t="str">
        <f t="shared" si="28"/>
        <v/>
      </c>
      <c r="H117" s="9" t="str">
        <f t="shared" si="28"/>
        <v/>
      </c>
      <c r="I117" s="9" t="str">
        <f t="shared" si="28"/>
        <v/>
      </c>
      <c r="J117" s="9" t="str">
        <f t="shared" si="28"/>
        <v/>
      </c>
      <c r="K117" s="9" t="str">
        <f t="shared" si="28"/>
        <v/>
      </c>
      <c r="L117" s="9" t="str">
        <f t="shared" si="28"/>
        <v/>
      </c>
    </row>
    <row r="118" spans="1:18" ht="15" customHeight="1" thickBot="1">
      <c r="A118" s="2" t="s">
        <v>161</v>
      </c>
      <c r="B118" s="55" t="s">
        <v>162</v>
      </c>
      <c r="C118" s="21"/>
      <c r="D118" s="27" t="str">
        <f t="shared" si="27"/>
        <v>Dr Simon Craig</v>
      </c>
      <c r="E118" s="22">
        <f>IFERROR(VLOOKUP(D118,'Employee Numbers'!$A$3:$B$84,2,FALSE),"NOT FOUND")</f>
        <v>533509</v>
      </c>
      <c r="F118" s="9" t="str">
        <f t="shared" si="28"/>
        <v/>
      </c>
      <c r="G118" s="9" t="str">
        <f t="shared" si="28"/>
        <v/>
      </c>
      <c r="H118" s="9" t="str">
        <f t="shared" si="28"/>
        <v/>
      </c>
      <c r="I118" s="9" t="str">
        <f t="shared" si="28"/>
        <v/>
      </c>
      <c r="J118" s="9" t="str">
        <f t="shared" si="28"/>
        <v/>
      </c>
      <c r="K118" s="9" t="str">
        <f t="shared" si="28"/>
        <v/>
      </c>
      <c r="L118" s="9" t="str">
        <f t="shared" si="28"/>
        <v/>
      </c>
    </row>
    <row r="119" spans="1:18" ht="15" customHeight="1" thickBot="1">
      <c r="A119" s="2" t="s">
        <v>161</v>
      </c>
      <c r="B119" s="55" t="s">
        <v>162</v>
      </c>
      <c r="C119" s="21"/>
      <c r="D119" s="27" t="str">
        <f t="shared" si="27"/>
        <v>Dr Celia Bagshaw</v>
      </c>
      <c r="E119" s="22">
        <f>IFERROR(VLOOKUP(D119,'Employee Numbers'!$A$3:$B$84,2,FALSE),"NOT FOUND")</f>
        <v>625985</v>
      </c>
      <c r="F119" s="9" t="str">
        <f t="shared" si="28"/>
        <v/>
      </c>
      <c r="G119" s="9" t="str">
        <f t="shared" si="28"/>
        <v/>
      </c>
      <c r="H119" s="9" t="str">
        <f t="shared" si="28"/>
        <v/>
      </c>
      <c r="I119" s="9" t="str">
        <f t="shared" si="28"/>
        <v/>
      </c>
      <c r="J119" s="9" t="str">
        <f t="shared" si="28"/>
        <v/>
      </c>
      <c r="K119" s="9" t="str">
        <f t="shared" si="28"/>
        <v/>
      </c>
      <c r="L119" s="9" t="str">
        <f t="shared" si="28"/>
        <v/>
      </c>
    </row>
    <row r="120" spans="1:18" ht="15" customHeight="1" thickBot="1">
      <c r="A120" s="2" t="s">
        <v>161</v>
      </c>
      <c r="B120" s="55" t="s">
        <v>162</v>
      </c>
      <c r="C120" s="21"/>
      <c r="D120" s="27" t="str">
        <f t="shared" si="27"/>
        <v>Dr Adnan Bilgrami</v>
      </c>
      <c r="E120" s="22">
        <f>IFERROR(VLOOKUP(D120,'Employee Numbers'!$A$3:$B$84,2,FALSE),"NOT FOUND")</f>
        <v>632301</v>
      </c>
      <c r="F120" s="9" t="str">
        <f t="shared" si="28"/>
        <v/>
      </c>
      <c r="G120" s="9" t="str">
        <f t="shared" si="28"/>
        <v/>
      </c>
      <c r="H120" s="9" t="str">
        <f t="shared" si="28"/>
        <v/>
      </c>
      <c r="I120" s="9" t="str">
        <f t="shared" si="28"/>
        <v/>
      </c>
      <c r="J120" s="9" t="str">
        <f t="shared" si="28"/>
        <v/>
      </c>
      <c r="K120" s="9" t="str">
        <f t="shared" si="28"/>
        <v/>
      </c>
      <c r="L120" s="9" t="str">
        <f t="shared" si="28"/>
        <v/>
      </c>
    </row>
    <row r="121" spans="1:18" ht="15" customHeight="1" thickBot="1">
      <c r="A121" s="2" t="s">
        <v>161</v>
      </c>
      <c r="B121" s="55" t="s">
        <v>162</v>
      </c>
      <c r="C121" s="21"/>
      <c r="D121" s="27" t="str">
        <f t="shared" si="27"/>
        <v>Dr Preeti Ramaswamy</v>
      </c>
      <c r="E121" s="22">
        <f>IFERROR(VLOOKUP(D121,'Employee Numbers'!$A$3:$B$84,2,FALSE),"NOT FOUND")</f>
        <v>613891</v>
      </c>
      <c r="F121" s="9" t="str">
        <f t="shared" si="28"/>
        <v/>
      </c>
      <c r="G121" s="9" t="str">
        <f t="shared" si="28"/>
        <v/>
      </c>
      <c r="H121" s="9" t="str">
        <f t="shared" si="28"/>
        <v/>
      </c>
      <c r="I121" s="9" t="str">
        <f t="shared" si="28"/>
        <v/>
      </c>
      <c r="J121" s="9" t="str">
        <f t="shared" si="28"/>
        <v/>
      </c>
      <c r="K121" s="9" t="str">
        <f t="shared" si="28"/>
        <v/>
      </c>
      <c r="L121" s="9" t="str">
        <f t="shared" si="28"/>
        <v/>
      </c>
      <c r="N121" s="2"/>
      <c r="O121" s="2"/>
      <c r="P121" s="2"/>
      <c r="Q121" s="2"/>
      <c r="R121" s="2"/>
    </row>
    <row r="122" spans="1:18" ht="15" customHeight="1" thickBot="1">
      <c r="A122" s="2" t="s">
        <v>161</v>
      </c>
      <c r="B122" s="55" t="s">
        <v>162</v>
      </c>
      <c r="C122" s="21"/>
      <c r="D122" s="27" t="str">
        <f t="shared" si="27"/>
        <v>Dr Erin Mills</v>
      </c>
      <c r="E122" s="22">
        <f>IFERROR(VLOOKUP(D122,'Employee Numbers'!$A$3:$B$84,2,FALSE),"NOT FOUND")</f>
        <v>623657</v>
      </c>
      <c r="F122" s="9" t="str">
        <f t="shared" si="28"/>
        <v/>
      </c>
      <c r="G122" s="9" t="str">
        <f t="shared" si="28"/>
        <v/>
      </c>
      <c r="H122" s="9" t="str">
        <f t="shared" si="28"/>
        <v>Con_8_0000</v>
      </c>
      <c r="I122" s="9" t="str">
        <f t="shared" si="28"/>
        <v/>
      </c>
      <c r="J122" s="9" t="str">
        <f t="shared" si="28"/>
        <v/>
      </c>
      <c r="K122" s="9" t="str">
        <f t="shared" si="28"/>
        <v/>
      </c>
      <c r="L122" s="9" t="str">
        <f t="shared" si="28"/>
        <v/>
      </c>
    </row>
    <row r="123" spans="1:18" ht="15" customHeight="1" thickBot="1">
      <c r="A123" s="2" t="s">
        <v>161</v>
      </c>
      <c r="B123" s="55" t="s">
        <v>162</v>
      </c>
      <c r="C123" s="21"/>
      <c r="D123" s="27" t="str">
        <f t="shared" si="27"/>
        <v>Dr Stella Robinson</v>
      </c>
      <c r="E123" s="22">
        <f>IFERROR(VLOOKUP(D123,'Employee Numbers'!$A$3:$B$84,2,FALSE),"NOT FOUND")</f>
        <v>623708</v>
      </c>
      <c r="F123" s="9" t="str">
        <f t="shared" si="28"/>
        <v/>
      </c>
      <c r="G123" s="9" t="str">
        <f t="shared" si="28"/>
        <v/>
      </c>
      <c r="H123" s="9" t="str">
        <f t="shared" si="28"/>
        <v/>
      </c>
      <c r="I123" s="9" t="str">
        <f t="shared" si="28"/>
        <v/>
      </c>
      <c r="J123" s="9" t="str">
        <f t="shared" si="28"/>
        <v/>
      </c>
      <c r="K123" s="9" t="str">
        <f t="shared" si="28"/>
        <v>Con_8_0000</v>
      </c>
      <c r="L123" s="9" t="str">
        <f t="shared" si="28"/>
        <v/>
      </c>
    </row>
    <row r="124" spans="1:18" ht="15" customHeight="1" thickBot="1">
      <c r="A124" s="2" t="s">
        <v>161</v>
      </c>
      <c r="B124" s="55" t="s">
        <v>162</v>
      </c>
      <c r="C124" s="21"/>
      <c r="D124" s="27" t="str">
        <f t="shared" si="27"/>
        <v>Dr Bev Thompson</v>
      </c>
      <c r="E124" s="22">
        <f>IFERROR(VLOOKUP(D124,'Employee Numbers'!$A$3:$B$84,2,FALSE),"NOT FOUND")</f>
        <v>627680</v>
      </c>
      <c r="F124" s="9" t="str">
        <f t="shared" si="28"/>
        <v/>
      </c>
      <c r="G124" s="9" t="str">
        <f t="shared" si="28"/>
        <v/>
      </c>
      <c r="H124" s="9" t="str">
        <f t="shared" si="28"/>
        <v/>
      </c>
      <c r="I124" s="9" t="str">
        <f t="shared" si="28"/>
        <v/>
      </c>
      <c r="J124" s="9" t="str">
        <f t="shared" si="28"/>
        <v/>
      </c>
      <c r="K124" s="9" t="str">
        <f t="shared" si="28"/>
        <v/>
      </c>
      <c r="L124" s="9" t="str">
        <f t="shared" si="28"/>
        <v/>
      </c>
    </row>
    <row r="125" spans="1:18" ht="15" customHeight="1" thickBot="1">
      <c r="A125" s="2" t="s">
        <v>161</v>
      </c>
      <c r="B125" s="55" t="s">
        <v>162</v>
      </c>
      <c r="C125" s="21"/>
      <c r="D125" s="27" t="str">
        <f t="shared" si="27"/>
        <v>Dr John Unwin</v>
      </c>
      <c r="E125" s="22">
        <f>IFERROR(VLOOKUP(D125,'Employee Numbers'!$A$3:$B$84,2,FALSE),"NOT FOUND")</f>
        <v>633210</v>
      </c>
      <c r="F125" s="9" t="str">
        <f t="shared" si="28"/>
        <v/>
      </c>
      <c r="G125" s="9" t="str">
        <f t="shared" si="28"/>
        <v>Con_8_0000</v>
      </c>
      <c r="H125" s="9" t="str">
        <f t="shared" si="28"/>
        <v/>
      </c>
      <c r="I125" s="9" t="str">
        <f t="shared" si="28"/>
        <v/>
      </c>
      <c r="J125" s="9" t="str">
        <f t="shared" si="28"/>
        <v/>
      </c>
      <c r="K125" s="9" t="str">
        <f t="shared" si="28"/>
        <v/>
      </c>
      <c r="L125" s="9" t="str">
        <f t="shared" si="28"/>
        <v/>
      </c>
    </row>
    <row r="126" spans="1:18" ht="15" customHeight="1" thickBot="1">
      <c r="A126" s="2" t="s">
        <v>161</v>
      </c>
      <c r="B126" s="55" t="s">
        <v>162</v>
      </c>
      <c r="C126" s="21"/>
      <c r="D126" s="27" t="str">
        <f t="shared" si="27"/>
        <v>Dr Siri Samudrala</v>
      </c>
      <c r="E126" s="22">
        <f>IFERROR(VLOOKUP(D126,'Employee Numbers'!$A$3:$B$84,2,FALSE),"NOT FOUND")</f>
        <v>618952</v>
      </c>
      <c r="F126" s="9" t="str">
        <f t="shared" si="28"/>
        <v/>
      </c>
      <c r="G126" s="9" t="str">
        <f t="shared" si="28"/>
        <v/>
      </c>
      <c r="H126" s="9" t="str">
        <f t="shared" si="28"/>
        <v/>
      </c>
      <c r="I126" s="9" t="str">
        <f t="shared" si="28"/>
        <v/>
      </c>
      <c r="J126" s="9" t="str">
        <f t="shared" si="28"/>
        <v/>
      </c>
      <c r="K126" s="9" t="str">
        <f t="shared" si="28"/>
        <v/>
      </c>
      <c r="L126" s="9" t="str">
        <f t="shared" si="28"/>
        <v/>
      </c>
    </row>
    <row r="127" spans="1:18" ht="15" customHeight="1" thickBot="1">
      <c r="A127" s="2" t="s">
        <v>161</v>
      </c>
      <c r="B127" s="55" t="s">
        <v>162</v>
      </c>
      <c r="C127" s="21"/>
      <c r="D127" s="27" t="str">
        <f t="shared" si="27"/>
        <v>Dr Tessa Smith</v>
      </c>
      <c r="E127" s="22">
        <f>IFERROR(VLOOKUP(D127,'Employee Numbers'!$A$3:$B$84,2,FALSE),"NOT FOUND")</f>
        <v>649039</v>
      </c>
      <c r="F127" s="9" t="str">
        <f t="shared" si="28"/>
        <v/>
      </c>
      <c r="G127" s="9" t="str">
        <f t="shared" si="28"/>
        <v/>
      </c>
      <c r="H127" s="9" t="str">
        <f t="shared" si="28"/>
        <v/>
      </c>
      <c r="I127" s="9" t="str">
        <f t="shared" si="28"/>
        <v/>
      </c>
      <c r="J127" s="9" t="str">
        <f t="shared" si="28"/>
        <v/>
      </c>
      <c r="K127" s="9" t="str">
        <f t="shared" si="28"/>
        <v/>
      </c>
      <c r="L127" s="9" t="str">
        <f t="shared" si="28"/>
        <v/>
      </c>
    </row>
    <row r="128" spans="1:18" ht="15" customHeight="1" thickBot="1">
      <c r="A128" s="2" t="s">
        <v>161</v>
      </c>
      <c r="B128" s="55" t="s">
        <v>162</v>
      </c>
      <c r="C128" s="21"/>
      <c r="D128" s="27" t="str">
        <f t="shared" si="27"/>
        <v>Dr Brad Dent</v>
      </c>
      <c r="E128" s="22">
        <f>IFERROR(VLOOKUP(D128,'Employee Numbers'!$A$3:$B$84,2,FALSE),"NOT FOUND")</f>
        <v>649671</v>
      </c>
      <c r="F128" s="9" t="str">
        <f t="shared" si="28"/>
        <v/>
      </c>
      <c r="G128" s="9" t="str">
        <f t="shared" si="28"/>
        <v/>
      </c>
      <c r="H128" s="9" t="str">
        <f t="shared" si="28"/>
        <v/>
      </c>
      <c r="I128" s="9" t="str">
        <f t="shared" si="28"/>
        <v/>
      </c>
      <c r="J128" s="9" t="str">
        <f t="shared" si="28"/>
        <v/>
      </c>
      <c r="K128" s="9" t="str">
        <f t="shared" si="28"/>
        <v/>
      </c>
      <c r="L128" s="9" t="str">
        <f t="shared" si="28"/>
        <v>Con_8_0000</v>
      </c>
    </row>
    <row r="129" spans="1:18" ht="15" customHeight="1" thickBot="1">
      <c r="A129" s="2" t="s">
        <v>161</v>
      </c>
      <c r="B129" s="55" t="s">
        <v>162</v>
      </c>
      <c r="C129" s="21"/>
      <c r="D129" s="27" t="str">
        <f t="shared" si="27"/>
        <v>Dr Marjolein Slaa</v>
      </c>
      <c r="E129" s="22">
        <f>IFERROR(VLOOKUP(D129,'Employee Numbers'!$A$3:$B$84,2,FALSE),"NOT FOUND")</f>
        <v>646047</v>
      </c>
      <c r="F129" s="9" t="str">
        <f t="shared" si="28"/>
        <v/>
      </c>
      <c r="G129" s="9" t="str">
        <f t="shared" si="28"/>
        <v/>
      </c>
      <c r="H129" s="9" t="str">
        <f t="shared" si="28"/>
        <v/>
      </c>
      <c r="I129" s="9" t="str">
        <f t="shared" si="28"/>
        <v/>
      </c>
      <c r="J129" s="9" t="str">
        <f t="shared" si="28"/>
        <v/>
      </c>
      <c r="K129" s="9" t="str">
        <f t="shared" si="28"/>
        <v/>
      </c>
      <c r="L129" s="9" t="str">
        <f t="shared" si="28"/>
        <v/>
      </c>
    </row>
    <row r="130" spans="1:18" ht="15" customHeight="1" thickBot="1">
      <c r="A130" s="2" t="s">
        <v>161</v>
      </c>
      <c r="B130" s="55" t="s">
        <v>162</v>
      </c>
      <c r="C130" s="21"/>
      <c r="D130" s="27" t="str">
        <f t="shared" si="27"/>
        <v>Dr Natalie Hood</v>
      </c>
      <c r="E130" s="22">
        <f>IFERROR(VLOOKUP(D130,'Employee Numbers'!$A$3:$B$84,2,FALSE),"NOT FOUND")</f>
        <v>164003</v>
      </c>
      <c r="F130" s="9" t="str">
        <f t="shared" si="28"/>
        <v/>
      </c>
      <c r="G130" s="9" t="str">
        <f t="shared" si="28"/>
        <v/>
      </c>
      <c r="H130" s="9" t="str">
        <f t="shared" si="28"/>
        <v/>
      </c>
      <c r="I130" s="9" t="str">
        <f t="shared" si="28"/>
        <v/>
      </c>
      <c r="J130" s="9" t="str">
        <f t="shared" si="28"/>
        <v/>
      </c>
      <c r="K130" s="9" t="str">
        <f t="shared" si="28"/>
        <v/>
      </c>
      <c r="L130" s="9" t="str">
        <f t="shared" si="28"/>
        <v/>
      </c>
    </row>
    <row r="131" spans="1:18" ht="15" customHeight="1" thickBot="1">
      <c r="A131" s="2" t="s">
        <v>161</v>
      </c>
      <c r="B131" s="55" t="s">
        <v>162</v>
      </c>
      <c r="C131" s="21"/>
      <c r="D131" s="27" t="str">
        <f t="shared" si="27"/>
        <v>Dr Michael Coman</v>
      </c>
      <c r="E131" s="22">
        <f>IFERROR(VLOOKUP(D131,'Employee Numbers'!$A$3:$B$84,2,FALSE),"NOT FOUND")</f>
        <v>609408</v>
      </c>
      <c r="F131" s="9" t="str">
        <f t="shared" ref="F131:L143" si="29">IF(F$50=$D131,"Con_8_0000","")</f>
        <v/>
      </c>
      <c r="G131" s="9" t="str">
        <f t="shared" si="29"/>
        <v/>
      </c>
      <c r="H131" s="9" t="str">
        <f t="shared" si="29"/>
        <v/>
      </c>
      <c r="I131" s="9" t="str">
        <f t="shared" si="29"/>
        <v/>
      </c>
      <c r="J131" s="9" t="str">
        <f t="shared" si="29"/>
        <v/>
      </c>
      <c r="K131" s="9" t="str">
        <f t="shared" si="29"/>
        <v/>
      </c>
      <c r="L131" s="9" t="str">
        <f t="shared" si="29"/>
        <v/>
      </c>
    </row>
    <row r="132" spans="1:18" ht="15" customHeight="1" thickBot="1">
      <c r="A132" s="2" t="s">
        <v>161</v>
      </c>
      <c r="B132" s="55" t="s">
        <v>162</v>
      </c>
      <c r="C132" s="21"/>
      <c r="D132" s="27" t="str">
        <f t="shared" si="27"/>
        <v>Dr Andrew Hardy</v>
      </c>
      <c r="E132" s="22">
        <f>IFERROR(VLOOKUP(D132,'Employee Numbers'!$A$3:$B$84,2,FALSE),"NOT FOUND")</f>
        <v>627619</v>
      </c>
      <c r="F132" s="9" t="str">
        <f t="shared" si="29"/>
        <v/>
      </c>
      <c r="G132" s="9" t="str">
        <f t="shared" si="29"/>
        <v/>
      </c>
      <c r="H132" s="9" t="str">
        <f t="shared" si="29"/>
        <v/>
      </c>
      <c r="I132" s="9" t="str">
        <f t="shared" si="29"/>
        <v/>
      </c>
      <c r="J132" s="9" t="str">
        <f t="shared" si="29"/>
        <v/>
      </c>
      <c r="K132" s="9" t="str">
        <f t="shared" si="29"/>
        <v/>
      </c>
      <c r="L132" s="9" t="str">
        <f t="shared" si="29"/>
        <v/>
      </c>
    </row>
    <row r="133" spans="1:18" ht="15" customHeight="1" thickBot="1">
      <c r="A133" s="2" t="s">
        <v>161</v>
      </c>
      <c r="B133" s="55" t="s">
        <v>162</v>
      </c>
      <c r="C133" s="21"/>
      <c r="D133" s="27" t="str">
        <f t="shared" si="27"/>
        <v>Dr Gargi Kanabar</v>
      </c>
      <c r="E133" s="22">
        <f>IFERROR(VLOOKUP(D133,'Employee Numbers'!$A$3:$B$84,2,FALSE),"NOT FOUND")</f>
        <v>632646</v>
      </c>
      <c r="F133" s="9" t="str">
        <f t="shared" si="29"/>
        <v/>
      </c>
      <c r="G133" s="9" t="str">
        <f t="shared" si="29"/>
        <v/>
      </c>
      <c r="H133" s="9" t="str">
        <f t="shared" si="29"/>
        <v/>
      </c>
      <c r="I133" s="9" t="str">
        <f t="shared" si="29"/>
        <v/>
      </c>
      <c r="J133" s="9" t="str">
        <f t="shared" si="29"/>
        <v/>
      </c>
      <c r="K133" s="9" t="str">
        <f t="shared" si="29"/>
        <v/>
      </c>
      <c r="L133" s="9" t="str">
        <f t="shared" si="29"/>
        <v/>
      </c>
    </row>
    <row r="134" spans="1:18" ht="15" customHeight="1" thickBot="1">
      <c r="A134" s="2" t="s">
        <v>161</v>
      </c>
      <c r="B134" s="55" t="s">
        <v>162</v>
      </c>
      <c r="C134" s="21"/>
      <c r="D134" s="27" t="str">
        <f t="shared" si="27"/>
        <v>Dr Mandy Parr</v>
      </c>
      <c r="E134" s="22">
        <f>IFERROR(VLOOKUP(D134,'Employee Numbers'!$A$3:$B$84,2,FALSE),"NOT FOUND")</f>
        <v>652844</v>
      </c>
      <c r="F134" s="9" t="str">
        <f t="shared" si="29"/>
        <v/>
      </c>
      <c r="G134" s="9" t="str">
        <f t="shared" si="29"/>
        <v/>
      </c>
      <c r="H134" s="9" t="str">
        <f t="shared" si="29"/>
        <v/>
      </c>
      <c r="I134" s="9" t="str">
        <f t="shared" si="29"/>
        <v>Con_8_0000</v>
      </c>
      <c r="J134" s="9" t="str">
        <f t="shared" si="29"/>
        <v/>
      </c>
      <c r="K134" s="9" t="str">
        <f t="shared" si="29"/>
        <v/>
      </c>
      <c r="L134" s="9" t="str">
        <f t="shared" si="29"/>
        <v/>
      </c>
    </row>
    <row r="135" spans="1:18" ht="15" customHeight="1" thickBot="1">
      <c r="A135" s="2" t="s">
        <v>161</v>
      </c>
      <c r="B135" s="55" t="s">
        <v>162</v>
      </c>
      <c r="C135" s="21"/>
      <c r="D135" s="27" t="str">
        <f t="shared" si="27"/>
        <v>Dr Tecwyn Davies</v>
      </c>
      <c r="E135" s="22">
        <f>IFERROR(VLOOKUP(D135,'Employee Numbers'!$A$3:$B$84,2,FALSE),"NOT FOUND")</f>
        <v>634491</v>
      </c>
      <c r="F135" s="9" t="str">
        <f t="shared" si="29"/>
        <v/>
      </c>
      <c r="G135" s="9" t="str">
        <f t="shared" si="29"/>
        <v/>
      </c>
      <c r="H135" s="9" t="str">
        <f t="shared" si="29"/>
        <v/>
      </c>
      <c r="I135" s="9" t="str">
        <f t="shared" si="29"/>
        <v/>
      </c>
      <c r="J135" s="9" t="str">
        <f t="shared" si="29"/>
        <v>Con_8_0000</v>
      </c>
      <c r="K135" s="9" t="str">
        <f t="shared" si="29"/>
        <v/>
      </c>
      <c r="L135" s="9" t="str">
        <f t="shared" si="29"/>
        <v/>
      </c>
    </row>
    <row r="136" spans="1:18" ht="15" customHeight="1" thickBot="1">
      <c r="A136" s="2" t="s">
        <v>161</v>
      </c>
      <c r="B136" s="55" t="s">
        <v>162</v>
      </c>
      <c r="C136" s="21"/>
      <c r="D136" s="27" t="str">
        <f t="shared" si="27"/>
        <v>Dr Patrick Finn</v>
      </c>
      <c r="E136" s="22">
        <f>IFERROR(VLOOKUP(D136,'Employee Numbers'!$A$3:$B$84,2,FALSE),"NOT FOUND")</f>
        <v>621988</v>
      </c>
      <c r="F136" s="9" t="str">
        <f t="shared" si="29"/>
        <v/>
      </c>
      <c r="G136" s="9" t="str">
        <f t="shared" si="29"/>
        <v/>
      </c>
      <c r="H136" s="9" t="str">
        <f t="shared" si="29"/>
        <v/>
      </c>
      <c r="I136" s="9" t="str">
        <f t="shared" si="29"/>
        <v/>
      </c>
      <c r="J136" s="9" t="str">
        <f t="shared" si="29"/>
        <v/>
      </c>
      <c r="K136" s="9" t="str">
        <f t="shared" si="29"/>
        <v/>
      </c>
      <c r="L136" s="9" t="str">
        <f t="shared" si="29"/>
        <v/>
      </c>
    </row>
    <row r="137" spans="1:18" ht="15" customHeight="1" thickBot="1">
      <c r="A137" s="2" t="s">
        <v>161</v>
      </c>
      <c r="B137" s="55" t="s">
        <v>162</v>
      </c>
      <c r="C137" s="21"/>
      <c r="D137" s="27" t="str">
        <f t="shared" si="27"/>
        <v>Dr Chris Fong</v>
      </c>
      <c r="E137" s="22">
        <f>IFERROR(VLOOKUP(D137,'Employee Numbers'!$A$3:$B$84,2,FALSE),"NOT FOUND")</f>
        <v>409677</v>
      </c>
      <c r="F137" s="9" t="str">
        <f t="shared" si="29"/>
        <v/>
      </c>
      <c r="G137" s="9" t="str">
        <f t="shared" si="29"/>
        <v/>
      </c>
      <c r="H137" s="9" t="str">
        <f t="shared" si="29"/>
        <v/>
      </c>
      <c r="I137" s="9" t="str">
        <f t="shared" si="29"/>
        <v/>
      </c>
      <c r="J137" s="9" t="str">
        <f t="shared" si="29"/>
        <v/>
      </c>
      <c r="K137" s="9" t="str">
        <f t="shared" si="29"/>
        <v/>
      </c>
      <c r="L137" s="9" t="str">
        <f t="shared" si="29"/>
        <v/>
      </c>
    </row>
    <row r="138" spans="1:18" s="13" customFormat="1" ht="15" customHeight="1" thickBot="1">
      <c r="A138" s="2" t="s">
        <v>161</v>
      </c>
      <c r="B138" s="55" t="s">
        <v>162</v>
      </c>
      <c r="C138" s="21"/>
      <c r="D138" s="27" t="str">
        <f t="shared" si="27"/>
        <v>Dr Matthew Tang</v>
      </c>
      <c r="E138" s="22">
        <f>IFERROR(VLOOKUP(D138,'Employee Numbers'!$A$3:$B$84,2,FALSE),"NOT FOUND")</f>
        <v>632590</v>
      </c>
      <c r="F138" s="9" t="str">
        <f t="shared" si="29"/>
        <v/>
      </c>
      <c r="G138" s="9" t="str">
        <f t="shared" si="29"/>
        <v/>
      </c>
      <c r="H138" s="9" t="str">
        <f t="shared" si="29"/>
        <v/>
      </c>
      <c r="I138" s="9" t="str">
        <f t="shared" si="29"/>
        <v/>
      </c>
      <c r="J138" s="9" t="str">
        <f t="shared" si="29"/>
        <v/>
      </c>
      <c r="K138" s="9" t="str">
        <f t="shared" si="29"/>
        <v/>
      </c>
      <c r="L138" s="9" t="str">
        <f t="shared" si="29"/>
        <v/>
      </c>
      <c r="M138" s="5"/>
      <c r="N138" s="5"/>
      <c r="O138" s="5"/>
      <c r="P138" s="5"/>
      <c r="Q138" s="5"/>
      <c r="R138" s="5"/>
    </row>
    <row r="139" spans="1:18" s="13" customFormat="1" ht="15" customHeight="1" thickBot="1">
      <c r="A139" s="2" t="s">
        <v>161</v>
      </c>
      <c r="B139" s="55" t="s">
        <v>162</v>
      </c>
      <c r="C139" s="21"/>
      <c r="D139" s="27" t="str">
        <f t="shared" si="27"/>
        <v>Dr Niki Talic</v>
      </c>
      <c r="E139" s="22">
        <f>IFERROR(VLOOKUP(D139,'Employee Numbers'!$A$3:$B$84,2,FALSE),"NOT FOUND")</f>
        <v>619537</v>
      </c>
      <c r="F139" s="9" t="str">
        <f t="shared" si="29"/>
        <v/>
      </c>
      <c r="G139" s="9" t="str">
        <f t="shared" si="29"/>
        <v/>
      </c>
      <c r="H139" s="9" t="str">
        <f t="shared" si="29"/>
        <v/>
      </c>
      <c r="I139" s="9" t="str">
        <f t="shared" si="29"/>
        <v/>
      </c>
      <c r="J139" s="9" t="str">
        <f t="shared" si="29"/>
        <v/>
      </c>
      <c r="K139" s="9" t="str">
        <f t="shared" si="29"/>
        <v/>
      </c>
      <c r="L139" s="9" t="str">
        <f t="shared" si="29"/>
        <v/>
      </c>
      <c r="M139" s="5"/>
      <c r="N139" s="5"/>
      <c r="O139" s="5"/>
      <c r="P139" s="5"/>
      <c r="Q139" s="5"/>
      <c r="R139" s="5"/>
    </row>
    <row r="140" spans="1:18" s="13" customFormat="1" ht="15" customHeight="1" thickBot="1">
      <c r="A140" s="2" t="s">
        <v>161</v>
      </c>
      <c r="B140" s="55" t="s">
        <v>162</v>
      </c>
      <c r="C140" s="21"/>
      <c r="D140" s="27" t="str">
        <f t="shared" si="27"/>
        <v>Dr Deb Morawetz</v>
      </c>
      <c r="E140" s="22">
        <f>IFERROR(VLOOKUP(D140,'Employee Numbers'!$A$3:$B$84,2,FALSE),"NOT FOUND")</f>
        <v>621953</v>
      </c>
      <c r="F140" s="9" t="str">
        <f t="shared" si="29"/>
        <v/>
      </c>
      <c r="G140" s="9" t="str">
        <f t="shared" si="29"/>
        <v/>
      </c>
      <c r="H140" s="9" t="str">
        <f t="shared" si="29"/>
        <v/>
      </c>
      <c r="I140" s="9" t="str">
        <f t="shared" si="29"/>
        <v/>
      </c>
      <c r="J140" s="9" t="str">
        <f t="shared" si="29"/>
        <v/>
      </c>
      <c r="K140" s="9" t="str">
        <f t="shared" si="29"/>
        <v/>
      </c>
      <c r="L140" s="9" t="str">
        <f t="shared" si="29"/>
        <v/>
      </c>
      <c r="M140" s="5"/>
      <c r="N140" s="5"/>
      <c r="O140" s="5"/>
      <c r="P140" s="5"/>
      <c r="Q140" s="5"/>
      <c r="R140" s="5"/>
    </row>
    <row r="141" spans="1:18" s="13" customFormat="1" ht="15" customHeight="1" thickBot="1">
      <c r="A141" s="2" t="s">
        <v>161</v>
      </c>
      <c r="B141" s="55" t="s">
        <v>162</v>
      </c>
      <c r="C141" s="21"/>
      <c r="D141" s="27" t="str">
        <f t="shared" si="27"/>
        <v>Dr Priya Jeyaveerasingam</v>
      </c>
      <c r="E141" s="22">
        <f>IFERROR(VLOOKUP(D141,'Employee Numbers'!$A$3:$B$84,2,FALSE),"NOT FOUND")</f>
        <v>614504</v>
      </c>
      <c r="F141" s="9" t="str">
        <f t="shared" si="29"/>
        <v/>
      </c>
      <c r="G141" s="9" t="str">
        <f t="shared" si="29"/>
        <v/>
      </c>
      <c r="H141" s="9" t="str">
        <f t="shared" si="29"/>
        <v/>
      </c>
      <c r="I141" s="9" t="str">
        <f t="shared" si="29"/>
        <v/>
      </c>
      <c r="J141" s="9" t="str">
        <f t="shared" si="29"/>
        <v/>
      </c>
      <c r="K141" s="9" t="str">
        <f t="shared" si="29"/>
        <v/>
      </c>
      <c r="L141" s="9" t="str">
        <f t="shared" si="29"/>
        <v/>
      </c>
      <c r="M141" s="5"/>
      <c r="N141" s="5"/>
      <c r="O141" s="5"/>
      <c r="P141" s="5"/>
      <c r="Q141" s="5"/>
      <c r="R141" s="5"/>
    </row>
    <row r="142" spans="1:18" s="13" customFormat="1" ht="15" customHeight="1" thickBot="1">
      <c r="A142" s="2" t="s">
        <v>161</v>
      </c>
      <c r="B142" s="55" t="s">
        <v>162</v>
      </c>
      <c r="C142" s="21"/>
      <c r="D142" s="27" t="str">
        <f t="shared" si="27"/>
        <v>Locum</v>
      </c>
      <c r="E142" s="22" t="str">
        <f>IFERROR(VLOOKUP(D142,'Employee Numbers'!$A$3:$B$84,2,FALSE),"NOT FOUND")</f>
        <v>N/A</v>
      </c>
      <c r="F142" s="9" t="str">
        <f t="shared" si="29"/>
        <v/>
      </c>
      <c r="G142" s="9" t="str">
        <f t="shared" si="29"/>
        <v/>
      </c>
      <c r="H142" s="9" t="str">
        <f t="shared" si="29"/>
        <v/>
      </c>
      <c r="I142" s="9" t="str">
        <f t="shared" si="29"/>
        <v/>
      </c>
      <c r="J142" s="9" t="str">
        <f t="shared" si="29"/>
        <v/>
      </c>
      <c r="K142" s="9" t="str">
        <f t="shared" si="29"/>
        <v/>
      </c>
      <c r="L142" s="9" t="str">
        <f t="shared" si="29"/>
        <v/>
      </c>
      <c r="M142" s="5"/>
      <c r="N142" s="5"/>
      <c r="O142" s="5"/>
      <c r="P142" s="5"/>
      <c r="Q142" s="5"/>
      <c r="R142" s="5"/>
    </row>
    <row r="143" spans="1:18" s="13" customFormat="1" ht="15" customHeight="1">
      <c r="A143" s="2" t="s">
        <v>161</v>
      </c>
      <c r="B143" s="55" t="s">
        <v>162</v>
      </c>
      <c r="C143" s="21"/>
      <c r="D143" s="27" t="str">
        <f t="shared" si="27"/>
        <v>Locum</v>
      </c>
      <c r="E143" s="22" t="str">
        <f>IFERROR(VLOOKUP(D143,'Employee Numbers'!$A$3:$B$84,2,FALSE),"NOT FOUND")</f>
        <v>N/A</v>
      </c>
      <c r="F143" s="9" t="str">
        <f t="shared" si="29"/>
        <v/>
      </c>
      <c r="G143" s="9" t="str">
        <f t="shared" si="29"/>
        <v/>
      </c>
      <c r="H143" s="9" t="str">
        <f t="shared" si="29"/>
        <v/>
      </c>
      <c r="I143" s="9" t="str">
        <f t="shared" si="29"/>
        <v/>
      </c>
      <c r="J143" s="9" t="str">
        <f t="shared" si="29"/>
        <v/>
      </c>
      <c r="K143" s="9" t="str">
        <f t="shared" si="29"/>
        <v/>
      </c>
      <c r="L143" s="9" t="str">
        <f t="shared" si="29"/>
        <v/>
      </c>
      <c r="M143" s="5"/>
      <c r="N143" s="5"/>
      <c r="O143" s="5"/>
      <c r="P143" s="5"/>
      <c r="Q143" s="5"/>
      <c r="R143" s="5"/>
    </row>
    <row r="144" spans="1:18" ht="15" customHeight="1" thickBot="1"/>
    <row r="145" spans="1:18" s="2" customFormat="1" ht="15" customHeight="1" thickBot="1">
      <c r="A145" s="172" t="s">
        <v>86</v>
      </c>
      <c r="B145" s="48" t="s">
        <v>163</v>
      </c>
      <c r="C145" s="49" t="s">
        <v>164</v>
      </c>
      <c r="D145" s="173" t="str">
        <f>D53</f>
        <v xml:space="preserve">Fellow </v>
      </c>
      <c r="E145" s="20" t="s">
        <v>4</v>
      </c>
      <c r="F145" s="12" t="s">
        <v>5</v>
      </c>
      <c r="G145" s="83" t="s">
        <v>6</v>
      </c>
      <c r="H145" s="83" t="s">
        <v>7</v>
      </c>
      <c r="I145" s="83" t="s">
        <v>8</v>
      </c>
      <c r="J145" s="83" t="s">
        <v>9</v>
      </c>
      <c r="K145" s="83" t="s">
        <v>10</v>
      </c>
      <c r="L145" s="23" t="s">
        <v>11</v>
      </c>
      <c r="M145" s="23" t="s">
        <v>165</v>
      </c>
      <c r="N145" s="5"/>
      <c r="O145" s="5"/>
      <c r="P145" s="5"/>
      <c r="Q145" s="5"/>
      <c r="R145" s="5"/>
    </row>
    <row r="146" spans="1:18" ht="15" customHeight="1" thickBot="1">
      <c r="A146" s="2" t="s">
        <v>166</v>
      </c>
      <c r="B146" s="2"/>
      <c r="C146" s="21"/>
      <c r="D146" s="84" t="str">
        <f>D54</f>
        <v>Ellen Scott (0.75)</v>
      </c>
      <c r="E146" s="22">
        <f>IFERROR(VLOOKUP(D146,'Employee Numbers'!$A$3:$B$84,2,FALSE),"NOT FOUND")</f>
        <v>634905</v>
      </c>
      <c r="F146" s="38"/>
      <c r="G146" s="31"/>
      <c r="H146" s="31" t="s">
        <v>167</v>
      </c>
      <c r="I146" s="38"/>
      <c r="J146" s="38"/>
      <c r="K146" s="38"/>
      <c r="L146" s="38"/>
      <c r="M146" s="35" t="s">
        <v>168</v>
      </c>
    </row>
    <row r="147" spans="1:18" ht="15" customHeight="1" thickBot="1">
      <c r="A147" s="2" t="s">
        <v>166</v>
      </c>
      <c r="B147" s="2"/>
      <c r="C147" s="21"/>
      <c r="D147" s="84" t="str">
        <f t="shared" ref="D147:D151" si="30">D55</f>
        <v>Seamus Harrington</v>
      </c>
      <c r="E147" s="22">
        <f>IFERROR(VLOOKUP(D147,'Employee Numbers'!$A$3:$B$84,2,FALSE),"NOT FOUND")</f>
        <v>704751</v>
      </c>
      <c r="F147" s="38"/>
      <c r="G147" s="31"/>
      <c r="H147" s="31" t="str">
        <f t="shared" ref="H147:H148" si="31">IF(COUNTIF(H55,"0800-1730*"),"trg_5_1730","trg_5_0900")</f>
        <v>trg_5_1730</v>
      </c>
      <c r="I147" s="38"/>
      <c r="J147" s="38"/>
      <c r="K147" s="38"/>
      <c r="L147" s="38"/>
      <c r="M147" s="35" t="s">
        <v>168</v>
      </c>
    </row>
    <row r="148" spans="1:18" ht="15" customHeight="1" thickBot="1">
      <c r="A148" s="2" t="s">
        <v>166</v>
      </c>
      <c r="B148" s="2"/>
      <c r="C148" s="21"/>
      <c r="D148" s="84" t="str">
        <f t="shared" si="30"/>
        <v>Antra Ansons</v>
      </c>
      <c r="E148" s="22">
        <f>IFERROR(VLOOKUP(D148,'Employee Numbers'!$A$3:$B$84,2,FALSE),"NOT FOUND")</f>
        <v>637219</v>
      </c>
      <c r="F148" s="38"/>
      <c r="G148" s="31"/>
      <c r="H148" s="31" t="str">
        <f t="shared" si="31"/>
        <v>trg_5_1730</v>
      </c>
      <c r="I148" s="38"/>
      <c r="J148" s="38"/>
      <c r="K148" s="38"/>
      <c r="L148" s="38"/>
      <c r="M148" s="35" t="s">
        <v>168</v>
      </c>
    </row>
    <row r="149" spans="1:18" ht="15" customHeight="1" thickBot="1">
      <c r="A149" s="2" t="s">
        <v>166</v>
      </c>
      <c r="B149" s="2"/>
      <c r="C149" s="21"/>
      <c r="D149" s="84">
        <f t="shared" si="30"/>
        <v>0</v>
      </c>
      <c r="E149" s="22" t="str">
        <f>IFERROR(VLOOKUP(D149,'Employee Numbers'!$A$3:$B$84,2,FALSE),"NOT FOUND")</f>
        <v>NOT FOUND</v>
      </c>
      <c r="F149" s="38"/>
      <c r="G149" s="31"/>
      <c r="H149" s="31" t="str">
        <f t="shared" ref="H149:H151" si="32">IF(COUNTIF(H57,"0800-1730*"),"trg_2.5_1730","trg_2.5_0900")</f>
        <v>trg_2.5_0900</v>
      </c>
      <c r="I149" s="38"/>
      <c r="J149" s="38"/>
      <c r="K149" s="38"/>
      <c r="L149" s="38"/>
      <c r="M149" s="35" t="s">
        <v>168</v>
      </c>
    </row>
    <row r="150" spans="1:18" ht="15" customHeight="1" thickBot="1">
      <c r="A150" s="2" t="s">
        <v>166</v>
      </c>
      <c r="B150" s="2"/>
      <c r="C150" s="21"/>
      <c r="D150" s="84">
        <f t="shared" si="30"/>
        <v>0</v>
      </c>
      <c r="E150" s="22" t="str">
        <f>IFERROR(VLOOKUP(D150,'Employee Numbers'!$A$3:$B$84,2,FALSE),"NOT FOUND")</f>
        <v>NOT FOUND</v>
      </c>
      <c r="F150" s="38"/>
      <c r="G150" s="31"/>
      <c r="H150" s="31" t="str">
        <f t="shared" si="32"/>
        <v>trg_2.5_0900</v>
      </c>
      <c r="I150" s="38"/>
      <c r="J150" s="38"/>
      <c r="K150" s="38"/>
      <c r="L150" s="38"/>
      <c r="M150" s="35" t="s">
        <v>168</v>
      </c>
    </row>
    <row r="151" spans="1:18" ht="15" customHeight="1">
      <c r="A151" s="2" t="s">
        <v>166</v>
      </c>
      <c r="B151" s="2"/>
      <c r="C151" s="21"/>
      <c r="D151" s="84">
        <f t="shared" si="30"/>
        <v>0</v>
      </c>
      <c r="E151" s="22" t="str">
        <f>IFERROR(VLOOKUP(D151,'Employee Numbers'!$A$3:$B$84,2,FALSE),"NOT FOUND")</f>
        <v>NOT FOUND</v>
      </c>
      <c r="F151" s="38"/>
      <c r="G151" s="31"/>
      <c r="H151" s="31" t="str">
        <f t="shared" si="32"/>
        <v>trg_2.5_0900</v>
      </c>
      <c r="I151" s="38"/>
      <c r="J151" s="38"/>
      <c r="K151" s="38"/>
      <c r="L151" s="38"/>
      <c r="M151" s="35" t="s">
        <v>168</v>
      </c>
    </row>
    <row r="152" spans="1:18" s="2" customFormat="1" ht="13.5" customHeight="1" thickBot="1">
      <c r="A152" s="174" t="s">
        <v>96</v>
      </c>
      <c r="B152" s="50"/>
      <c r="C152" s="51"/>
      <c r="D152" s="175" t="s">
        <v>97</v>
      </c>
      <c r="E152" s="105" t="s">
        <v>4</v>
      </c>
      <c r="F152" s="105" t="s">
        <v>5</v>
      </c>
      <c r="G152" s="105" t="s">
        <v>6</v>
      </c>
      <c r="H152" s="106" t="s">
        <v>7</v>
      </c>
      <c r="I152" s="105" t="s">
        <v>8</v>
      </c>
      <c r="J152" s="105" t="s">
        <v>9</v>
      </c>
      <c r="K152" s="105" t="s">
        <v>10</v>
      </c>
      <c r="L152" s="105" t="s">
        <v>11</v>
      </c>
      <c r="N152"/>
      <c r="O152"/>
      <c r="Q152"/>
    </row>
    <row r="153" spans="1:18" s="2" customFormat="1" ht="15" customHeight="1" thickBot="1">
      <c r="A153" s="2" t="s">
        <v>169</v>
      </c>
      <c r="B153" s="5"/>
      <c r="C153" s="8"/>
      <c r="D153" s="84" t="str">
        <f>D61</f>
        <v>Mark Lim</v>
      </c>
      <c r="E153" s="22">
        <f>IFERROR(VLOOKUP(D153,'Employee Numbers'!$A$3:$B$84,2,FALSE),"NOT FOUND")</f>
        <v>638531</v>
      </c>
      <c r="F153" s="31" t="str">
        <f t="shared" ref="F153:G168" si="33">IF(COUNTIF(F61,"*on*call*"),"oncall 2300-0830","")</f>
        <v/>
      </c>
      <c r="G153" s="31" t="str">
        <f t="shared" si="33"/>
        <v/>
      </c>
      <c r="H153" s="37"/>
      <c r="I153" s="31" t="str">
        <f t="shared" ref="I153:L168" si="34">IF(COUNTIF(I61,"*on*call*"),"oncall 2300-0830","")</f>
        <v/>
      </c>
      <c r="J153" s="31" t="str">
        <f t="shared" si="34"/>
        <v/>
      </c>
      <c r="K153" s="31" t="str">
        <f t="shared" si="34"/>
        <v/>
      </c>
      <c r="L153" s="31" t="str">
        <f t="shared" si="34"/>
        <v/>
      </c>
      <c r="M153" s="35" t="s">
        <v>168</v>
      </c>
      <c r="N153" s="5"/>
      <c r="O153" s="5"/>
      <c r="P153" s="5"/>
      <c r="Q153" s="5"/>
      <c r="R153" s="5"/>
    </row>
    <row r="154" spans="1:18" ht="15" customHeight="1" thickBot="1">
      <c r="A154" s="2" t="s">
        <v>169</v>
      </c>
      <c r="B154" s="2"/>
      <c r="C154" s="47"/>
      <c r="D154" s="84" t="str">
        <f t="shared" ref="D154:D176" si="35">D62</f>
        <v xml:space="preserve">Melanie Engel </v>
      </c>
      <c r="E154" s="22">
        <f>IFERROR(VLOOKUP(D154,'Employee Numbers'!$A$3:$B$84,2,FALSE),"NOT FOUND")</f>
        <v>631715</v>
      </c>
      <c r="F154" s="31" t="str">
        <f t="shared" si="33"/>
        <v/>
      </c>
      <c r="G154" s="31" t="str">
        <f t="shared" si="33"/>
        <v/>
      </c>
      <c r="H154" s="37" t="s">
        <v>170</v>
      </c>
      <c r="I154" s="31" t="str">
        <f t="shared" si="34"/>
        <v/>
      </c>
      <c r="J154" s="31" t="str">
        <f t="shared" si="34"/>
        <v/>
      </c>
      <c r="K154" s="31" t="str">
        <f t="shared" si="34"/>
        <v/>
      </c>
      <c r="L154" s="31" t="str">
        <f t="shared" si="34"/>
        <v/>
      </c>
      <c r="M154" s="35" t="s">
        <v>168</v>
      </c>
      <c r="N154" s="2"/>
      <c r="O154" s="2"/>
      <c r="P154" s="2"/>
      <c r="Q154" s="2"/>
      <c r="R154" s="2"/>
    </row>
    <row r="155" spans="1:18" ht="15" customHeight="1" thickBot="1">
      <c r="A155" s="2" t="s">
        <v>169</v>
      </c>
      <c r="B155" s="2"/>
      <c r="C155" s="47"/>
      <c r="D155" s="84" t="str">
        <f t="shared" si="35"/>
        <v>Marian Isaac  (0.75)</v>
      </c>
      <c r="E155" s="22">
        <f>IFERROR(VLOOKUP(D155,'Employee Numbers'!$A$3:$B$84,2,FALSE),"NOT FOUND")</f>
        <v>703719</v>
      </c>
      <c r="F155" s="31" t="str">
        <f t="shared" si="33"/>
        <v/>
      </c>
      <c r="G155" s="31" t="str">
        <f t="shared" si="33"/>
        <v/>
      </c>
      <c r="H155" s="31" t="s">
        <v>167</v>
      </c>
      <c r="I155" s="31" t="str">
        <f t="shared" si="34"/>
        <v/>
      </c>
      <c r="J155" s="31" t="str">
        <f t="shared" si="34"/>
        <v/>
      </c>
      <c r="K155" s="31" t="str">
        <f t="shared" si="34"/>
        <v/>
      </c>
      <c r="L155" s="31" t="str">
        <f t="shared" si="34"/>
        <v/>
      </c>
      <c r="M155" s="35" t="s">
        <v>168</v>
      </c>
    </row>
    <row r="156" spans="1:18" ht="15" customHeight="1" thickBot="1">
      <c r="A156" s="2" t="s">
        <v>169</v>
      </c>
      <c r="B156" s="2"/>
      <c r="C156" s="47"/>
      <c r="D156" s="84" t="str">
        <f t="shared" si="35"/>
        <v xml:space="preserve">Jonathan Wong (0.75) </v>
      </c>
      <c r="E156" s="22">
        <f>IFERROR(VLOOKUP(D156,'Employee Numbers'!$A$3:$B$84,2,FALSE),"NOT FOUND")</f>
        <v>637791</v>
      </c>
      <c r="F156" s="31" t="str">
        <f t="shared" si="33"/>
        <v/>
      </c>
      <c r="G156" s="31" t="str">
        <f t="shared" si="33"/>
        <v/>
      </c>
      <c r="H156" s="31" t="s">
        <v>167</v>
      </c>
      <c r="I156" s="31" t="str">
        <f t="shared" si="34"/>
        <v/>
      </c>
      <c r="J156" s="31" t="str">
        <f t="shared" si="34"/>
        <v/>
      </c>
      <c r="K156" s="31" t="str">
        <f t="shared" si="34"/>
        <v/>
      </c>
      <c r="L156" s="31" t="str">
        <f t="shared" si="34"/>
        <v/>
      </c>
      <c r="M156" s="35" t="s">
        <v>168</v>
      </c>
    </row>
    <row r="157" spans="1:18" ht="15" customHeight="1" thickBot="1">
      <c r="A157" s="2" t="s">
        <v>169</v>
      </c>
      <c r="B157" s="2"/>
      <c r="C157" s="47"/>
      <c r="D157" s="84" t="str">
        <f t="shared" si="35"/>
        <v xml:space="preserve">Joshua Feek </v>
      </c>
      <c r="E157" s="22">
        <f>IFERROR(VLOOKUP(D157,'Employee Numbers'!$A$3:$B$84,2,FALSE),"NOT FOUND")</f>
        <v>652867</v>
      </c>
      <c r="F157" s="31" t="str">
        <f t="shared" si="33"/>
        <v/>
      </c>
      <c r="G157" s="31" t="str">
        <f t="shared" si="33"/>
        <v/>
      </c>
      <c r="H157" s="37" t="s">
        <v>170</v>
      </c>
      <c r="I157" s="31" t="str">
        <f t="shared" si="34"/>
        <v/>
      </c>
      <c r="J157" s="31" t="str">
        <f t="shared" si="34"/>
        <v/>
      </c>
      <c r="K157" s="31" t="str">
        <f t="shared" si="34"/>
        <v/>
      </c>
      <c r="L157" s="31" t="str">
        <f t="shared" si="34"/>
        <v/>
      </c>
      <c r="M157" s="35" t="s">
        <v>168</v>
      </c>
    </row>
    <row r="158" spans="1:18" ht="15" customHeight="1" thickBot="1">
      <c r="A158" s="2" t="s">
        <v>169</v>
      </c>
      <c r="B158" s="2"/>
      <c r="C158" s="47"/>
      <c r="D158" s="84" t="str">
        <f t="shared" si="35"/>
        <v xml:space="preserve">Andrea Lim (0.5) </v>
      </c>
      <c r="E158" s="22">
        <f>IFERROR(VLOOKUP(D158,'Employee Numbers'!$A$3:$B$84,2,FALSE),"NOT FOUND")</f>
        <v>611551</v>
      </c>
      <c r="F158" s="31" t="str">
        <f t="shared" si="33"/>
        <v/>
      </c>
      <c r="G158" s="31" t="str">
        <f t="shared" si="33"/>
        <v/>
      </c>
      <c r="H158" s="31" t="str">
        <f t="shared" ref="H158:H159" si="36">IF(COUNTIF(H66,"0800-1730*"),"trg_2.5_1730","trg_2.5_0900")</f>
        <v>trg_2.5_0900</v>
      </c>
      <c r="I158" s="31" t="str">
        <f t="shared" si="34"/>
        <v/>
      </c>
      <c r="J158" s="31" t="str">
        <f t="shared" si="34"/>
        <v/>
      </c>
      <c r="K158" s="31" t="str">
        <f t="shared" si="34"/>
        <v/>
      </c>
      <c r="L158" s="31" t="str">
        <f t="shared" si="34"/>
        <v/>
      </c>
      <c r="M158" s="35" t="s">
        <v>168</v>
      </c>
      <c r="N158" s="13"/>
      <c r="O158" s="13"/>
      <c r="P158" s="13"/>
      <c r="Q158" s="13"/>
      <c r="R158" s="13"/>
    </row>
    <row r="159" spans="1:18" ht="15" customHeight="1" thickBot="1">
      <c r="A159" s="2" t="s">
        <v>169</v>
      </c>
      <c r="B159" s="2"/>
      <c r="C159" s="47"/>
      <c r="D159" s="84" t="str">
        <f t="shared" si="35"/>
        <v>Jessica Burgess (0.5)</v>
      </c>
      <c r="E159" s="22">
        <f>IFERROR(VLOOKUP(D159,'Employee Numbers'!$A$3:$B$84,2,FALSE),"NOT FOUND")</f>
        <v>615820</v>
      </c>
      <c r="F159" s="31" t="str">
        <f t="shared" si="33"/>
        <v/>
      </c>
      <c r="G159" s="31" t="str">
        <f t="shared" si="33"/>
        <v/>
      </c>
      <c r="H159" s="31" t="str">
        <f t="shared" si="36"/>
        <v>trg_2.5_0900</v>
      </c>
      <c r="I159" s="31" t="str">
        <f t="shared" si="34"/>
        <v/>
      </c>
      <c r="J159" s="31" t="str">
        <f t="shared" si="34"/>
        <v/>
      </c>
      <c r="K159" s="31" t="str">
        <f t="shared" si="34"/>
        <v/>
      </c>
      <c r="L159" s="31" t="str">
        <f t="shared" si="34"/>
        <v/>
      </c>
      <c r="M159" s="35" t="s">
        <v>168</v>
      </c>
      <c r="N159" s="13"/>
      <c r="O159" s="13"/>
      <c r="P159" s="13"/>
      <c r="Q159" s="13"/>
      <c r="R159" s="13"/>
    </row>
    <row r="160" spans="1:18" ht="15" customHeight="1" thickBot="1">
      <c r="A160" s="2" t="s">
        <v>169</v>
      </c>
      <c r="B160" s="2"/>
      <c r="C160" s="47"/>
      <c r="D160" s="84" t="str">
        <f t="shared" si="35"/>
        <v>Leila Dosso</v>
      </c>
      <c r="E160" s="22">
        <f>IFERROR(VLOOKUP(D160,'Employee Numbers'!$A$3:$B$84,2,FALSE),"NOT FOUND")</f>
        <v>702947</v>
      </c>
      <c r="F160" s="31" t="str">
        <f t="shared" si="33"/>
        <v/>
      </c>
      <c r="G160" s="31" t="str">
        <f t="shared" si="33"/>
        <v/>
      </c>
      <c r="H160" s="37" t="s">
        <v>170</v>
      </c>
      <c r="I160" s="31" t="str">
        <f t="shared" si="34"/>
        <v/>
      </c>
      <c r="J160" s="31" t="str">
        <f t="shared" si="34"/>
        <v/>
      </c>
      <c r="K160" s="31" t="str">
        <f t="shared" si="34"/>
        <v/>
      </c>
      <c r="L160" s="31" t="str">
        <f t="shared" si="34"/>
        <v/>
      </c>
      <c r="M160" s="35" t="s">
        <v>168</v>
      </c>
    </row>
    <row r="161" spans="1:18" ht="15" customHeight="1" thickBot="1">
      <c r="A161" s="2" t="s">
        <v>169</v>
      </c>
      <c r="B161" s="2"/>
      <c r="C161" s="47"/>
      <c r="D161" s="84" t="str">
        <f t="shared" si="35"/>
        <v xml:space="preserve">Efi Tsampou </v>
      </c>
      <c r="E161" s="22">
        <f>IFERROR(VLOOKUP(D161,'Employee Numbers'!$A$3:$B$84,2,FALSE),"NOT FOUND")</f>
        <v>654002</v>
      </c>
      <c r="F161" s="31" t="str">
        <f t="shared" si="33"/>
        <v/>
      </c>
      <c r="G161" s="31" t="str">
        <f t="shared" si="33"/>
        <v/>
      </c>
      <c r="H161" s="37" t="s">
        <v>170</v>
      </c>
      <c r="I161" s="31" t="str">
        <f t="shared" si="34"/>
        <v/>
      </c>
      <c r="J161" s="31" t="str">
        <f t="shared" si="34"/>
        <v/>
      </c>
      <c r="K161" s="31" t="str">
        <f t="shared" si="34"/>
        <v/>
      </c>
      <c r="L161" s="31" t="str">
        <f t="shared" si="34"/>
        <v/>
      </c>
      <c r="M161" s="35" t="s">
        <v>168</v>
      </c>
    </row>
    <row r="162" spans="1:18" s="13" customFormat="1" ht="15" customHeight="1" thickBot="1">
      <c r="A162" s="2" t="s">
        <v>169</v>
      </c>
      <c r="B162" s="2"/>
      <c r="C162" s="21"/>
      <c r="D162" s="84" t="str">
        <f t="shared" si="35"/>
        <v>Marian Panlilio</v>
      </c>
      <c r="E162" s="22">
        <f>IFERROR(VLOOKUP(D162,'Employee Numbers'!$A$3:$B$84,2,FALSE),"NOT FOUND")</f>
        <v>703068</v>
      </c>
      <c r="F162" s="31" t="str">
        <f t="shared" si="33"/>
        <v/>
      </c>
      <c r="G162" s="31" t="str">
        <f t="shared" si="33"/>
        <v/>
      </c>
      <c r="H162" s="37" t="s">
        <v>170</v>
      </c>
      <c r="I162" s="31" t="str">
        <f t="shared" si="34"/>
        <v/>
      </c>
      <c r="J162" s="31" t="str">
        <f t="shared" si="34"/>
        <v/>
      </c>
      <c r="K162" s="31" t="str">
        <f t="shared" si="34"/>
        <v/>
      </c>
      <c r="L162" s="31" t="str">
        <f t="shared" si="34"/>
        <v/>
      </c>
      <c r="M162" s="35" t="s">
        <v>168</v>
      </c>
      <c r="N162" s="5"/>
      <c r="O162" s="5"/>
      <c r="P162" s="5"/>
      <c r="Q162" s="5"/>
      <c r="R162" s="5"/>
    </row>
    <row r="163" spans="1:18" ht="15" customHeight="1" thickBot="1">
      <c r="A163" s="2" t="s">
        <v>169</v>
      </c>
      <c r="B163" s="2"/>
      <c r="C163" s="21"/>
      <c r="D163" s="84" t="str">
        <f t="shared" si="35"/>
        <v>Takhfif Othman</v>
      </c>
      <c r="E163" s="22">
        <f>IFERROR(VLOOKUP(D163,'Employee Numbers'!$A$3:$B$84,2,FALSE),"NOT FOUND")</f>
        <v>703911</v>
      </c>
      <c r="F163" s="31" t="str">
        <f t="shared" si="33"/>
        <v/>
      </c>
      <c r="G163" s="31" t="str">
        <f t="shared" si="33"/>
        <v/>
      </c>
      <c r="H163" s="37" t="s">
        <v>170</v>
      </c>
      <c r="I163" s="31" t="str">
        <f t="shared" si="34"/>
        <v/>
      </c>
      <c r="J163" s="31" t="str">
        <f t="shared" si="34"/>
        <v/>
      </c>
      <c r="K163" s="31" t="str">
        <f t="shared" si="34"/>
        <v/>
      </c>
      <c r="L163" s="31" t="str">
        <f t="shared" si="34"/>
        <v/>
      </c>
      <c r="M163" s="35" t="s">
        <v>168</v>
      </c>
    </row>
    <row r="164" spans="1:18" ht="15" customHeight="1" thickBot="1">
      <c r="A164" s="2" t="s">
        <v>169</v>
      </c>
      <c r="B164" s="2"/>
      <c r="C164" s="21"/>
      <c r="D164" s="84" t="str">
        <f t="shared" si="35"/>
        <v xml:space="preserve">Toby Obrien </v>
      </c>
      <c r="E164" s="22">
        <f>IFERROR(VLOOKUP(D164,'Employee Numbers'!$A$3:$B$84,2,FALSE),"NOT FOUND")</f>
        <v>633936</v>
      </c>
      <c r="F164" s="31" t="str">
        <f t="shared" si="33"/>
        <v/>
      </c>
      <c r="G164" s="31" t="str">
        <f t="shared" si="33"/>
        <v/>
      </c>
      <c r="H164" s="37" t="s">
        <v>170</v>
      </c>
      <c r="I164" s="31" t="str">
        <f t="shared" si="34"/>
        <v/>
      </c>
      <c r="J164" s="31" t="str">
        <f t="shared" si="34"/>
        <v/>
      </c>
      <c r="K164" s="31" t="str">
        <f t="shared" si="34"/>
        <v/>
      </c>
      <c r="L164" s="31" t="str">
        <f t="shared" si="34"/>
        <v/>
      </c>
      <c r="M164" s="35" t="s">
        <v>168</v>
      </c>
    </row>
    <row r="165" spans="1:18" ht="15" customHeight="1" thickBot="1">
      <c r="A165" s="2" t="s">
        <v>169</v>
      </c>
      <c r="B165" s="2"/>
      <c r="C165" s="21"/>
      <c r="D165" s="84" t="str">
        <f t="shared" si="35"/>
        <v>William Jiang</v>
      </c>
      <c r="E165" s="22">
        <f>IFERROR(VLOOKUP(D165,'Employee Numbers'!$A$3:$B$84,2,FALSE),"NOT FOUND")</f>
        <v>700755</v>
      </c>
      <c r="F165" s="31" t="str">
        <f t="shared" si="33"/>
        <v/>
      </c>
      <c r="G165" s="31" t="str">
        <f t="shared" si="33"/>
        <v/>
      </c>
      <c r="H165" s="37" t="s">
        <v>170</v>
      </c>
      <c r="I165" s="31" t="str">
        <f t="shared" si="34"/>
        <v/>
      </c>
      <c r="J165" s="31" t="str">
        <f t="shared" si="34"/>
        <v/>
      </c>
      <c r="K165" s="31" t="str">
        <f t="shared" si="34"/>
        <v/>
      </c>
      <c r="L165" s="31" t="str">
        <f t="shared" si="34"/>
        <v/>
      </c>
      <c r="M165" s="35" t="s">
        <v>168</v>
      </c>
    </row>
    <row r="166" spans="1:18" ht="15" customHeight="1" thickBot="1">
      <c r="A166" s="2" t="s">
        <v>169</v>
      </c>
      <c r="B166" s="2"/>
      <c r="C166" s="21"/>
      <c r="D166" s="84" t="str">
        <f t="shared" si="35"/>
        <v>Pam Nelson</v>
      </c>
      <c r="E166" s="22">
        <f>IFERROR(VLOOKUP(D166,'Employee Numbers'!$A$3:$B$84,2,FALSE),"NOT FOUND")</f>
        <v>704872</v>
      </c>
      <c r="F166" s="31" t="str">
        <f t="shared" si="33"/>
        <v/>
      </c>
      <c r="G166" s="31" t="str">
        <f t="shared" si="33"/>
        <v/>
      </c>
      <c r="H166" s="37" t="s">
        <v>170</v>
      </c>
      <c r="I166" s="31" t="str">
        <f t="shared" si="34"/>
        <v/>
      </c>
      <c r="J166" s="31" t="str">
        <f t="shared" si="34"/>
        <v/>
      </c>
      <c r="K166" s="31" t="str">
        <f t="shared" si="34"/>
        <v/>
      </c>
      <c r="L166" s="31" t="str">
        <f t="shared" si="34"/>
        <v/>
      </c>
      <c r="M166" s="35" t="s">
        <v>168</v>
      </c>
    </row>
    <row r="167" spans="1:18" ht="15" customHeight="1" thickBot="1">
      <c r="A167" s="2" t="s">
        <v>169</v>
      </c>
      <c r="B167" s="2"/>
      <c r="C167" s="21"/>
      <c r="D167" s="84" t="str">
        <f t="shared" si="35"/>
        <v xml:space="preserve">Phoebe Franich </v>
      </c>
      <c r="E167" s="22">
        <f>IFERROR(VLOOKUP(D167,'Employee Numbers'!$A$3:$B$84,2,FALSE),"NOT FOUND")</f>
        <v>700712</v>
      </c>
      <c r="F167" s="31" t="str">
        <f t="shared" si="33"/>
        <v/>
      </c>
      <c r="G167" s="31" t="str">
        <f t="shared" si="33"/>
        <v/>
      </c>
      <c r="H167" s="37" t="s">
        <v>170</v>
      </c>
      <c r="I167" s="31" t="str">
        <f t="shared" si="34"/>
        <v/>
      </c>
      <c r="J167" s="31" t="str">
        <f t="shared" si="34"/>
        <v/>
      </c>
      <c r="K167" s="31" t="str">
        <f t="shared" si="34"/>
        <v/>
      </c>
      <c r="L167" s="31" t="str">
        <f t="shared" si="34"/>
        <v/>
      </c>
      <c r="M167" s="35" t="s">
        <v>168</v>
      </c>
    </row>
    <row r="168" spans="1:18" ht="15" customHeight="1" thickBot="1">
      <c r="A168" s="2" t="s">
        <v>169</v>
      </c>
      <c r="B168" s="2"/>
      <c r="C168" s="21"/>
      <c r="D168" s="84" t="str">
        <f t="shared" si="35"/>
        <v xml:space="preserve">Marie Papadopulos </v>
      </c>
      <c r="E168" s="22">
        <f>IFERROR(VLOOKUP(D168,'Employee Numbers'!$A$3:$B$84,2,FALSE),"NOT FOUND")</f>
        <v>700818</v>
      </c>
      <c r="F168" s="31" t="str">
        <f t="shared" si="33"/>
        <v/>
      </c>
      <c r="G168" s="31" t="str">
        <f t="shared" si="33"/>
        <v/>
      </c>
      <c r="H168" s="37" t="s">
        <v>170</v>
      </c>
      <c r="I168" s="31" t="str">
        <f t="shared" si="34"/>
        <v/>
      </c>
      <c r="J168" s="31" t="str">
        <f t="shared" si="34"/>
        <v/>
      </c>
      <c r="K168" s="31" t="str">
        <f t="shared" si="34"/>
        <v/>
      </c>
      <c r="L168" s="31" t="str">
        <f t="shared" si="34"/>
        <v/>
      </c>
      <c r="M168" s="35" t="s">
        <v>168</v>
      </c>
    </row>
    <row r="169" spans="1:18" ht="15" customHeight="1" thickBot="1">
      <c r="A169" s="2" t="s">
        <v>169</v>
      </c>
      <c r="B169" s="2"/>
      <c r="C169" s="21"/>
      <c r="D169" s="84" t="str">
        <f t="shared" si="35"/>
        <v>Stormie de Groot (0.5)</v>
      </c>
      <c r="E169" s="22">
        <f>IFERROR(VLOOKUP(D169,'Employee Numbers'!$A$3:$B$84,2,FALSE),"NOT FOUND")</f>
        <v>650101</v>
      </c>
      <c r="F169" s="31" t="str">
        <f t="shared" ref="F169:G176" si="37">IF(COUNTIF(F77,"*on*call*"),"oncall 2300-0830","")</f>
        <v/>
      </c>
      <c r="G169" s="31" t="str">
        <f t="shared" si="37"/>
        <v/>
      </c>
      <c r="H169" s="31" t="str">
        <f t="shared" ref="H169" si="38">IF(COUNTIF(H77,"0800-1730*"),"trg_2.5_1730","trg_2.5_0900")</f>
        <v>trg_2.5_0900</v>
      </c>
      <c r="I169" s="31" t="str">
        <f t="shared" ref="I169:L176" si="39">IF(COUNTIF(I77,"*on*call*"),"oncall 2300-0830","")</f>
        <v/>
      </c>
      <c r="J169" s="31" t="str">
        <f t="shared" si="39"/>
        <v/>
      </c>
      <c r="K169" s="31" t="str">
        <f t="shared" si="39"/>
        <v/>
      </c>
      <c r="L169" s="31" t="str">
        <f t="shared" si="39"/>
        <v/>
      </c>
      <c r="M169" s="35" t="s">
        <v>168</v>
      </c>
    </row>
    <row r="170" spans="1:18" ht="15" customHeight="1" thickBot="1">
      <c r="A170" s="2" t="s">
        <v>169</v>
      </c>
      <c r="B170" s="2"/>
      <c r="C170" s="21"/>
      <c r="D170" s="84" t="str">
        <f t="shared" si="35"/>
        <v xml:space="preserve">Joanne Eaton </v>
      </c>
      <c r="E170" s="22">
        <f>IFERROR(VLOOKUP(D170,'Employee Numbers'!$A$3:$B$84,2,FALSE),"NOT FOUND")</f>
        <v>654888</v>
      </c>
      <c r="F170" s="31" t="str">
        <f t="shared" si="37"/>
        <v/>
      </c>
      <c r="G170" s="31" t="str">
        <f t="shared" si="37"/>
        <v/>
      </c>
      <c r="H170" s="37" t="s">
        <v>170</v>
      </c>
      <c r="I170" s="31" t="str">
        <f t="shared" si="39"/>
        <v/>
      </c>
      <c r="J170" s="31" t="str">
        <f t="shared" si="39"/>
        <v/>
      </c>
      <c r="K170" s="31" t="str">
        <f t="shared" si="39"/>
        <v/>
      </c>
      <c r="L170" s="31" t="str">
        <f t="shared" si="39"/>
        <v/>
      </c>
      <c r="M170" s="35" t="s">
        <v>168</v>
      </c>
    </row>
    <row r="171" spans="1:18" ht="15" customHeight="1" thickBot="1">
      <c r="A171" s="2" t="s">
        <v>169</v>
      </c>
      <c r="B171" s="2"/>
      <c r="C171" s="21"/>
      <c r="D171" s="84" t="str">
        <f t="shared" si="35"/>
        <v xml:space="preserve">Helena Li </v>
      </c>
      <c r="E171" s="22">
        <f>IFERROR(VLOOKUP(D171,'Employee Numbers'!$A$3:$B$84,2,FALSE),"NOT FOUND")</f>
        <v>703880</v>
      </c>
      <c r="F171" s="31" t="str">
        <f t="shared" si="37"/>
        <v/>
      </c>
      <c r="G171" s="31" t="str">
        <f t="shared" si="37"/>
        <v/>
      </c>
      <c r="H171" s="37" t="s">
        <v>170</v>
      </c>
      <c r="I171" s="31" t="str">
        <f t="shared" si="39"/>
        <v/>
      </c>
      <c r="J171" s="31" t="str">
        <f t="shared" si="39"/>
        <v/>
      </c>
      <c r="K171" s="31" t="str">
        <f t="shared" si="39"/>
        <v/>
      </c>
      <c r="L171" s="31" t="str">
        <f t="shared" si="39"/>
        <v/>
      </c>
      <c r="M171" s="35" t="s">
        <v>168</v>
      </c>
    </row>
    <row r="172" spans="1:18" ht="15" customHeight="1" thickBot="1">
      <c r="A172" s="2" t="s">
        <v>169</v>
      </c>
      <c r="B172" s="2"/>
      <c r="C172" s="21"/>
      <c r="D172" s="84" t="str">
        <f t="shared" si="35"/>
        <v xml:space="preserve">Mustafa Ozkul </v>
      </c>
      <c r="E172" s="22">
        <f>IFERROR(VLOOKUP(D172,'Employee Numbers'!$A$3:$B$84,2,FALSE),"NOT FOUND")</f>
        <v>703334</v>
      </c>
      <c r="F172" s="31" t="str">
        <f t="shared" si="37"/>
        <v/>
      </c>
      <c r="G172" s="31" t="str">
        <f t="shared" si="37"/>
        <v/>
      </c>
      <c r="H172" s="37" t="s">
        <v>170</v>
      </c>
      <c r="I172" s="31" t="str">
        <f t="shared" si="39"/>
        <v/>
      </c>
      <c r="J172" s="31" t="str">
        <f t="shared" si="39"/>
        <v/>
      </c>
      <c r="K172" s="31" t="str">
        <f t="shared" si="39"/>
        <v/>
      </c>
      <c r="L172" s="31" t="str">
        <f t="shared" si="39"/>
        <v/>
      </c>
      <c r="M172" s="35" t="s">
        <v>168</v>
      </c>
    </row>
    <row r="173" spans="1:18" ht="15" customHeight="1" thickBot="1">
      <c r="A173" s="2" t="s">
        <v>169</v>
      </c>
      <c r="B173" s="2"/>
      <c r="C173" s="21"/>
      <c r="D173" s="84" t="str">
        <f t="shared" si="35"/>
        <v>Ritu Chaurasia (0.75)</v>
      </c>
      <c r="E173" s="22">
        <f>IFERROR(VLOOKUP(D173,'Employee Numbers'!$A$3:$B$84,2,FALSE),"NOT FOUND")</f>
        <v>700538</v>
      </c>
      <c r="F173" s="31" t="str">
        <f t="shared" si="37"/>
        <v/>
      </c>
      <c r="G173" s="31" t="str">
        <f t="shared" si="37"/>
        <v/>
      </c>
      <c r="H173" s="31" t="s">
        <v>167</v>
      </c>
      <c r="I173" s="31" t="str">
        <f t="shared" si="39"/>
        <v/>
      </c>
      <c r="J173" s="31" t="str">
        <f t="shared" si="39"/>
        <v/>
      </c>
      <c r="K173" s="31" t="str">
        <f t="shared" si="39"/>
        <v/>
      </c>
      <c r="L173" s="31" t="str">
        <f t="shared" si="39"/>
        <v/>
      </c>
      <c r="M173" s="35" t="s">
        <v>168</v>
      </c>
    </row>
    <row r="174" spans="1:18" ht="15" customHeight="1" thickBot="1">
      <c r="A174" s="2" t="s">
        <v>169</v>
      </c>
      <c r="B174" s="2"/>
      <c r="C174" s="21"/>
      <c r="D174" s="84" t="str">
        <f t="shared" si="35"/>
        <v>Jamie Nicholls (0.5)</v>
      </c>
      <c r="E174" s="22">
        <f>IFERROR(VLOOKUP(D174,'Employee Numbers'!$A$3:$B$84,2,FALSE),"NOT FOUND")</f>
        <v>704862</v>
      </c>
      <c r="F174" s="31" t="str">
        <f t="shared" si="37"/>
        <v/>
      </c>
      <c r="G174" s="31" t="str">
        <f t="shared" si="37"/>
        <v/>
      </c>
      <c r="H174" s="31" t="str">
        <f t="shared" ref="H174:H175" si="40">IF(COUNTIF(H82,"0800-1730*"),"trg_2.5_1730","trg_2.5_0900")</f>
        <v>trg_2.5_0900</v>
      </c>
      <c r="I174" s="31" t="str">
        <f t="shared" si="39"/>
        <v/>
      </c>
      <c r="J174" s="31" t="str">
        <f t="shared" si="39"/>
        <v/>
      </c>
      <c r="K174" s="31" t="str">
        <f t="shared" si="39"/>
        <v/>
      </c>
      <c r="L174" s="31" t="str">
        <f t="shared" si="39"/>
        <v/>
      </c>
      <c r="M174" s="35" t="s">
        <v>168</v>
      </c>
    </row>
    <row r="175" spans="1:18" ht="15" customHeight="1" thickBot="1">
      <c r="A175" s="2" t="s">
        <v>169</v>
      </c>
      <c r="B175" s="2"/>
      <c r="C175" s="21"/>
      <c r="D175" s="84">
        <f t="shared" si="35"/>
        <v>0</v>
      </c>
      <c r="E175" s="22" t="str">
        <f>IFERROR(VLOOKUP(D175,'Employee Numbers'!$A$3:$B$84,2,FALSE),"NOT FOUND")</f>
        <v>NOT FOUND</v>
      </c>
      <c r="F175" s="31" t="str">
        <f t="shared" si="37"/>
        <v/>
      </c>
      <c r="G175" s="31" t="str">
        <f t="shared" si="37"/>
        <v/>
      </c>
      <c r="H175" s="31" t="str">
        <f t="shared" si="40"/>
        <v>trg_2.5_0900</v>
      </c>
      <c r="I175" s="31" t="str">
        <f t="shared" si="39"/>
        <v/>
      </c>
      <c r="J175" s="31" t="str">
        <f t="shared" si="39"/>
        <v/>
      </c>
      <c r="K175" s="31" t="str">
        <f t="shared" si="39"/>
        <v/>
      </c>
      <c r="L175" s="31" t="str">
        <f t="shared" si="39"/>
        <v/>
      </c>
      <c r="M175" s="35" t="s">
        <v>168</v>
      </c>
    </row>
    <row r="176" spans="1:18" ht="15" customHeight="1">
      <c r="A176" s="2" t="s">
        <v>169</v>
      </c>
      <c r="B176" s="2"/>
      <c r="C176" s="21"/>
      <c r="D176" s="84">
        <f t="shared" si="35"/>
        <v>0</v>
      </c>
      <c r="E176" s="22" t="str">
        <f>IFERROR(VLOOKUP(D176,'Employee Numbers'!$A$3:$B$84,2,FALSE),"NOT FOUND")</f>
        <v>NOT FOUND</v>
      </c>
      <c r="F176" s="31" t="str">
        <f t="shared" si="37"/>
        <v/>
      </c>
      <c r="G176" s="31" t="str">
        <f t="shared" si="37"/>
        <v/>
      </c>
      <c r="H176" s="37" t="s">
        <v>170</v>
      </c>
      <c r="I176" s="31" t="str">
        <f t="shared" si="39"/>
        <v/>
      </c>
      <c r="J176" s="31" t="str">
        <f t="shared" si="39"/>
        <v/>
      </c>
      <c r="K176" s="31" t="str">
        <f t="shared" si="39"/>
        <v/>
      </c>
      <c r="L176" s="31" t="str">
        <f t="shared" si="39"/>
        <v/>
      </c>
      <c r="M176" s="35" t="s">
        <v>168</v>
      </c>
    </row>
  </sheetData>
  <mergeCells count="1">
    <mergeCell ref="D4:L4"/>
  </mergeCells>
  <phoneticPr fontId="18" type="noConversion"/>
  <conditionalFormatting sqref="E21:E49 E115:E143">
    <cfRule type="cellIs" dxfId="386" priority="43" operator="equal">
      <formula>0</formula>
    </cfRule>
    <cfRule type="containsText" dxfId="385" priority="42" operator="containsText" text="NOT FOUND">
      <formula>NOT(ISERROR(SEARCH("NOT FOUND",E21)))</formula>
    </cfRule>
  </conditionalFormatting>
  <conditionalFormatting sqref="E54:E59">
    <cfRule type="cellIs" dxfId="384" priority="47" operator="equal">
      <formula>0</formula>
    </cfRule>
    <cfRule type="containsText" dxfId="383" priority="46" operator="containsText" text="NOT FOUND">
      <formula>NOT(ISERROR(SEARCH("NOT FOUND",E54)))</formula>
    </cfRule>
  </conditionalFormatting>
  <conditionalFormatting sqref="E61:E84">
    <cfRule type="cellIs" dxfId="382" priority="41" operator="equal">
      <formula>0</formula>
    </cfRule>
    <cfRule type="containsText" dxfId="381" priority="40" operator="containsText" text="NOT FOUND">
      <formula>NOT(ISERROR(SEARCH("NOT FOUND",E61)))</formula>
    </cfRule>
  </conditionalFormatting>
  <conditionalFormatting sqref="E86:E99">
    <cfRule type="cellIs" dxfId="380" priority="39" operator="equal">
      <formula>0</formula>
    </cfRule>
    <cfRule type="containsText" dxfId="379" priority="38" operator="containsText" text="NOT FOUND">
      <formula>NOT(ISERROR(SEARCH("NOT FOUND",E86)))</formula>
    </cfRule>
  </conditionalFormatting>
  <conditionalFormatting sqref="E101:E102">
    <cfRule type="containsText" dxfId="378" priority="44" operator="containsText" text="NOT FOUND">
      <formula>NOT(ISERROR(SEARCH("NOT FOUND",E101)))</formula>
    </cfRule>
    <cfRule type="cellIs" dxfId="377" priority="45" operator="equal">
      <formula>0</formula>
    </cfRule>
  </conditionalFormatting>
  <conditionalFormatting sqref="E146:E151">
    <cfRule type="containsText" dxfId="376" priority="3" operator="containsText" text="NOT FOUND">
      <formula>NOT(ISERROR(SEARCH("NOT FOUND",E146)))</formula>
    </cfRule>
    <cfRule type="cellIs" dxfId="375" priority="4" operator="equal">
      <formula>0</formula>
    </cfRule>
  </conditionalFormatting>
  <conditionalFormatting sqref="E153:E176">
    <cfRule type="containsText" dxfId="374" priority="1" operator="containsText" text="NOT FOUND">
      <formula>NOT(ISERROR(SEARCH("NOT FOUND",E153)))</formula>
    </cfRule>
    <cfRule type="cellIs" dxfId="373" priority="2" operator="equal">
      <formula>0</formula>
    </cfRule>
  </conditionalFormatting>
  <conditionalFormatting sqref="F6:L6">
    <cfRule type="cellIs" dxfId="372" priority="31" operator="lessThan">
      <formula>2</formula>
    </cfRule>
    <cfRule type="cellIs" dxfId="371" priority="18" operator="greaterThan">
      <formula>3</formula>
    </cfRule>
  </conditionalFormatting>
  <conditionalFormatting sqref="F7:L7">
    <cfRule type="cellIs" dxfId="370" priority="30" operator="lessThan">
      <formula>2</formula>
    </cfRule>
  </conditionalFormatting>
  <conditionalFormatting sqref="F8:L8">
    <cfRule type="cellIs" dxfId="369" priority="36" operator="lessThan">
      <formula>5</formula>
    </cfRule>
    <cfRule type="cellIs" dxfId="368" priority="17" operator="greaterThan">
      <formula>8</formula>
    </cfRule>
    <cfRule type="cellIs" dxfId="367" priority="22" operator="equal">
      <formula>5</formula>
    </cfRule>
    <cfRule type="cellIs" dxfId="366" priority="37" operator="between">
      <formula>6</formula>
      <formula>8</formula>
    </cfRule>
  </conditionalFormatting>
  <conditionalFormatting sqref="F10:L11">
    <cfRule type="cellIs" dxfId="365" priority="33" operator="greaterThan">
      <formula>1</formula>
    </cfRule>
    <cfRule type="cellIs" dxfId="364" priority="21" operator="equal">
      <formula>1</formula>
    </cfRule>
  </conditionalFormatting>
  <conditionalFormatting sqref="F12:L12 F6:L7">
    <cfRule type="cellIs" dxfId="363" priority="32" operator="between">
      <formula>2</formula>
      <formula>3</formula>
    </cfRule>
  </conditionalFormatting>
  <conditionalFormatting sqref="F12:L12">
    <cfRule type="cellIs" dxfId="362" priority="19" operator="greaterThan">
      <formula>2</formula>
    </cfRule>
    <cfRule type="cellIs" dxfId="361" priority="25" operator="lessThan">
      <formula>2</formula>
    </cfRule>
  </conditionalFormatting>
  <conditionalFormatting sqref="F13:L13">
    <cfRule type="cellIs" dxfId="360" priority="26" operator="greaterThanOrEqual">
      <formula>6</formula>
    </cfRule>
    <cfRule type="cellIs" dxfId="359" priority="29" operator="lessThan">
      <formula>6</formula>
    </cfRule>
  </conditionalFormatting>
  <conditionalFormatting sqref="F14:L14">
    <cfRule type="cellIs" dxfId="358" priority="24" operator="equal">
      <formula>9</formula>
    </cfRule>
    <cfRule type="cellIs" dxfId="357" priority="34" operator="between">
      <formula>10</formula>
      <formula>11</formula>
    </cfRule>
    <cfRule type="cellIs" dxfId="356" priority="35" operator="greaterThan">
      <formula>11</formula>
    </cfRule>
    <cfRule type="cellIs" dxfId="355" priority="23" operator="lessThan">
      <formula>9</formula>
    </cfRule>
  </conditionalFormatting>
  <conditionalFormatting sqref="F16:L16">
    <cfRule type="cellIs" dxfId="354" priority="20" operator="greaterThan">
      <formula>4</formula>
    </cfRule>
    <cfRule type="cellIs" dxfId="353" priority="27" operator="equal">
      <formula>4</formula>
    </cfRule>
    <cfRule type="cellIs" dxfId="352" priority="28" operator="lessThan">
      <formula>4</formula>
    </cfRule>
  </conditionalFormatting>
  <conditionalFormatting sqref="R21:R47">
    <cfRule type="cellIs" dxfId="351" priority="14" operator="equal">
      <formula>S21</formula>
    </cfRule>
    <cfRule type="cellIs" dxfId="350" priority="13" operator="notEqual">
      <formula>S21</formula>
    </cfRule>
  </conditionalFormatting>
  <conditionalFormatting sqref="R54:R59 R61:R84">
    <cfRule type="cellIs" dxfId="349" priority="16" operator="equal">
      <formula>(N54+P54)*9.5/38*5</formula>
    </cfRule>
    <cfRule type="cellIs" dxfId="348" priority="15" operator="notEqual">
      <formula>(N54+P54)*9.5/38*5</formula>
    </cfRule>
  </conditionalFormatting>
  <conditionalFormatting sqref="S54:S59">
    <cfRule type="cellIs" dxfId="347" priority="12" operator="equal">
      <formula>T54</formula>
    </cfRule>
    <cfRule type="cellIs" dxfId="346" priority="11" operator="notEqual">
      <formula>T54</formula>
    </cfRule>
  </conditionalFormatting>
  <conditionalFormatting sqref="S61:S84">
    <cfRule type="cellIs" dxfId="345" priority="10" operator="equal">
      <formula>T61</formula>
    </cfRule>
    <cfRule type="cellIs" dxfId="344" priority="9" operator="notEqual">
      <formula>T61</formula>
    </cfRule>
  </conditionalFormatting>
  <conditionalFormatting sqref="S86:S99">
    <cfRule type="cellIs" dxfId="343" priority="8" operator="equal">
      <formula>T86</formula>
    </cfRule>
    <cfRule type="cellIs" dxfId="342" priority="7" operator="notEqual">
      <formula>T86</formula>
    </cfRule>
  </conditionalFormatting>
  <conditionalFormatting sqref="S101:S102">
    <cfRule type="cellIs" dxfId="341" priority="6" operator="equal">
      <formula>T101</formula>
    </cfRule>
    <cfRule type="cellIs" dxfId="340" priority="5" operator="notEqual">
      <formula>T101</formula>
    </cfRule>
  </conditionalFormatting>
  <pageMargins left="0.70866141732283472" right="0.70866141732283472" top="0.15748031496062992" bottom="0.15748031496062992" header="0" footer="0"/>
  <pageSetup paperSize="9" scale="48" fitToWidth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Y176"/>
  <sheetViews>
    <sheetView topLeftCell="D71" workbookViewId="0">
      <selection activeCell="D97" sqref="D97"/>
    </sheetView>
  </sheetViews>
  <sheetFormatPr defaultColWidth="31.28515625" defaultRowHeight="15" customHeight="1"/>
  <cols>
    <col min="1" max="1" width="15.140625" style="5" customWidth="1"/>
    <col min="2" max="2" width="10.42578125" style="5" customWidth="1"/>
    <col min="3" max="3" width="6" style="8" customWidth="1"/>
    <col min="4" max="4" width="26.7109375" style="5" bestFit="1" customWidth="1"/>
    <col min="5" max="5" width="8.42578125" style="8" customWidth="1"/>
    <col min="6" max="7" width="15.85546875" style="5" customWidth="1"/>
    <col min="8" max="8" width="20" style="5" customWidth="1"/>
    <col min="9" max="12" width="15.85546875" style="5" customWidth="1"/>
    <col min="13" max="13" width="31.28515625" style="5"/>
    <col min="14" max="14" width="7.85546875" style="5" customWidth="1"/>
    <col min="15" max="15" width="8.42578125" style="5" customWidth="1"/>
    <col min="16" max="16" width="8.7109375" style="5" customWidth="1"/>
    <col min="17" max="17" width="12.7109375" style="5" customWidth="1"/>
    <col min="18" max="20" width="31.28515625" style="5"/>
    <col min="21" max="25" width="7.140625" style="5" customWidth="1"/>
    <col min="26" max="16384" width="31.28515625" style="5"/>
  </cols>
  <sheetData>
    <row r="1" spans="1:13" s="2" customFormat="1" ht="15" customHeight="1">
      <c r="A1" s="34" t="s">
        <v>0</v>
      </c>
      <c r="B1" s="103" t="s">
        <v>1</v>
      </c>
      <c r="C1" s="104" t="s">
        <v>2</v>
      </c>
      <c r="D1" s="104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 t="s">
        <v>8</v>
      </c>
      <c r="J1" s="47" t="s">
        <v>9</v>
      </c>
      <c r="K1" s="47" t="s">
        <v>10</v>
      </c>
      <c r="L1" s="47" t="s">
        <v>11</v>
      </c>
      <c r="M1" s="103" t="s">
        <v>12</v>
      </c>
    </row>
    <row r="2" spans="1:13" s="2" customFormat="1" ht="15" customHeight="1">
      <c r="A2" s="13" t="s">
        <v>13</v>
      </c>
      <c r="B2" s="112"/>
      <c r="C2" s="21"/>
      <c r="E2" s="21"/>
      <c r="F2" s="94">
        <f>'Week 12'!F2+7</f>
        <v>46230</v>
      </c>
      <c r="G2" s="95">
        <f>F2+1</f>
        <v>46231</v>
      </c>
      <c r="H2" s="95">
        <f t="shared" ref="H2:L2" si="0">G2+1</f>
        <v>46232</v>
      </c>
      <c r="I2" s="95">
        <f t="shared" si="0"/>
        <v>46233</v>
      </c>
      <c r="J2" s="95">
        <f t="shared" si="0"/>
        <v>46234</v>
      </c>
      <c r="K2" s="95">
        <f t="shared" si="0"/>
        <v>46235</v>
      </c>
      <c r="L2" s="95">
        <f t="shared" si="0"/>
        <v>46236</v>
      </c>
    </row>
    <row r="3" spans="1:13" s="2" customFormat="1" ht="15" customHeight="1">
      <c r="A3" s="13" t="s">
        <v>14</v>
      </c>
      <c r="B3" s="112">
        <f>1+(F2-'Week 1'!F2)/7</f>
        <v>13</v>
      </c>
      <c r="E3" s="21"/>
      <c r="F3" s="94"/>
      <c r="G3" s="95"/>
      <c r="H3" s="95"/>
      <c r="I3" s="95"/>
      <c r="J3" s="95"/>
      <c r="K3" s="95"/>
      <c r="L3" s="95"/>
    </row>
    <row r="4" spans="1:13" ht="22.5" customHeight="1">
      <c r="A4" s="13" t="s">
        <v>15</v>
      </c>
      <c r="B4" s="2"/>
      <c r="C4" s="21">
        <f ca="1">IF(INDIRECT("'Week "&amp;(B3-1)&amp;"'!C4")=1,2,IF(INDIRECT("'Week "&amp;(B3-1)&amp;"'!C4")=2,1,_xludf.NA))</f>
        <v>1</v>
      </c>
      <c r="D4" s="359" t="str">
        <f>'Week 1'!D4:L4</f>
        <v>PAEDIATRIC EMERGENCY DEPARTMENT ROSTER - Term 2 2026</v>
      </c>
      <c r="E4" s="360"/>
      <c r="F4" s="360"/>
      <c r="G4" s="360"/>
      <c r="H4" s="360"/>
      <c r="I4" s="360"/>
      <c r="J4" s="360"/>
      <c r="K4" s="360"/>
      <c r="L4" s="360"/>
    </row>
    <row r="5" spans="1:13" s="2" customFormat="1" ht="15" customHeight="1" thickBot="1">
      <c r="A5" s="13"/>
      <c r="C5" s="21"/>
      <c r="E5" s="21"/>
      <c r="F5" s="94"/>
      <c r="G5" s="95"/>
      <c r="H5" s="95"/>
      <c r="I5" s="95"/>
      <c r="J5" s="95"/>
      <c r="K5" s="95"/>
      <c r="L5" s="95"/>
    </row>
    <row r="6" spans="1:13" s="2" customFormat="1" ht="15" customHeight="1">
      <c r="A6" s="13"/>
      <c r="C6" s="21"/>
      <c r="D6" s="96" t="s">
        <v>17</v>
      </c>
      <c r="E6" s="97"/>
      <c r="F6" s="101">
        <f>COUNTIF(F$21:F$49,"0800-1???")-COUNTIFS(F$48,"0800-1???",$D$48,"Locum")-COUNTIFS(F$49,"0800-1???",$D$49,"Locum")</f>
        <v>3</v>
      </c>
      <c r="G6" s="101">
        <f t="shared" ref="G6:L6" si="1">COUNTIF(G$21:G$49,"0800-1???")-COUNTIFS(G$48,"0800-1???",$D$48,"Locum")-COUNTIFS(G$49,"0800-1???",$D$49,"Locum")</f>
        <v>3</v>
      </c>
      <c r="H6" s="101">
        <f t="shared" si="1"/>
        <v>3</v>
      </c>
      <c r="I6" s="101">
        <f t="shared" si="1"/>
        <v>3</v>
      </c>
      <c r="J6" s="101">
        <f t="shared" si="1"/>
        <v>3</v>
      </c>
      <c r="K6" s="101">
        <f t="shared" si="1"/>
        <v>2</v>
      </c>
      <c r="L6" s="101">
        <f t="shared" si="1"/>
        <v>2</v>
      </c>
    </row>
    <row r="7" spans="1:13" s="2" customFormat="1" ht="15" customHeight="1" thickBot="1">
      <c r="A7" s="13"/>
      <c r="C7" s="21"/>
      <c r="D7" s="68" t="s">
        <v>18</v>
      </c>
      <c r="E7" s="67"/>
      <c r="F7" s="109">
        <f t="shared" ref="F7:L7" si="2">COUNTIF(F$54:F$102,"0800-1???")</f>
        <v>4</v>
      </c>
      <c r="G7" s="109">
        <f t="shared" si="2"/>
        <v>4</v>
      </c>
      <c r="H7" s="109">
        <f t="shared" si="2"/>
        <v>4</v>
      </c>
      <c r="I7" s="109">
        <f t="shared" si="2"/>
        <v>6</v>
      </c>
      <c r="J7" s="109">
        <f t="shared" si="2"/>
        <v>4</v>
      </c>
      <c r="K7" s="109">
        <f t="shared" si="2"/>
        <v>4</v>
      </c>
      <c r="L7" s="157">
        <f t="shared" si="2"/>
        <v>3</v>
      </c>
    </row>
    <row r="8" spans="1:13" s="2" customFormat="1" ht="15" customHeight="1" thickBot="1">
      <c r="A8" s="13"/>
      <c r="C8" s="21"/>
      <c r="D8" s="98" t="s">
        <v>19</v>
      </c>
      <c r="E8" s="99"/>
      <c r="F8" s="108">
        <f>F6+F7</f>
        <v>7</v>
      </c>
      <c r="G8" s="108">
        <f t="shared" ref="G8:L8" si="3">G6+G7</f>
        <v>7</v>
      </c>
      <c r="H8" s="108">
        <f t="shared" si="3"/>
        <v>7</v>
      </c>
      <c r="I8" s="108">
        <f t="shared" si="3"/>
        <v>9</v>
      </c>
      <c r="J8" s="108">
        <f t="shared" si="3"/>
        <v>7</v>
      </c>
      <c r="K8" s="108">
        <f t="shared" si="3"/>
        <v>6</v>
      </c>
      <c r="L8" s="158">
        <f t="shared" si="3"/>
        <v>5</v>
      </c>
    </row>
    <row r="9" spans="1:13" s="2" customFormat="1" ht="15" customHeight="1" thickBot="1">
      <c r="A9" s="13"/>
      <c r="C9" s="21"/>
      <c r="E9" s="21"/>
      <c r="F9" s="21"/>
      <c r="G9" s="21"/>
      <c r="H9" s="21"/>
      <c r="I9" s="21"/>
      <c r="J9" s="21"/>
      <c r="K9" s="21"/>
      <c r="L9" s="21"/>
    </row>
    <row r="10" spans="1:13" s="2" customFormat="1" ht="15" customHeight="1">
      <c r="A10" s="13"/>
      <c r="C10" s="21"/>
      <c r="D10" s="96" t="s">
        <v>20</v>
      </c>
      <c r="E10" s="97"/>
      <c r="F10" s="101">
        <f>COUNTIF(F$21:F$49,"1100-????")-COUNTIFS(F$48,"1100-????",$D$48,"Locum")-COUNTIFS(F$49,"1100-????",$D$49,"Locum")</f>
        <v>0</v>
      </c>
      <c r="G10" s="101">
        <f t="shared" ref="G10:L10" si="4">COUNTIF(G$21:G$49,"1100-????")-COUNTIFS(G$48,"1100-????",$D$48,"Locum")-COUNTIFS(G$49,"1100-????",$D$49,"Locum")</f>
        <v>0</v>
      </c>
      <c r="H10" s="101">
        <f t="shared" si="4"/>
        <v>0</v>
      </c>
      <c r="I10" s="101">
        <f t="shared" si="4"/>
        <v>0</v>
      </c>
      <c r="J10" s="101">
        <f t="shared" si="4"/>
        <v>0</v>
      </c>
      <c r="K10" s="101">
        <f t="shared" si="4"/>
        <v>0</v>
      </c>
      <c r="L10" s="101">
        <f t="shared" si="4"/>
        <v>0</v>
      </c>
    </row>
    <row r="11" spans="1:13" s="2" customFormat="1" ht="15" customHeight="1">
      <c r="A11" s="13"/>
      <c r="C11" s="21"/>
      <c r="D11" s="68" t="s">
        <v>21</v>
      </c>
      <c r="E11" s="67"/>
      <c r="F11" s="161">
        <f>COUNTIF(F$54:F$102,"1100-????")</f>
        <v>0</v>
      </c>
      <c r="G11" s="161">
        <f t="shared" ref="G11:L11" si="5">COUNTIF(G$54:G$102,"1100-????")</f>
        <v>0</v>
      </c>
      <c r="H11" s="161">
        <f t="shared" si="5"/>
        <v>0</v>
      </c>
      <c r="I11" s="161">
        <f t="shared" si="5"/>
        <v>0</v>
      </c>
      <c r="J11" s="161">
        <f t="shared" si="5"/>
        <v>0</v>
      </c>
      <c r="K11" s="161">
        <f t="shared" si="5"/>
        <v>0</v>
      </c>
      <c r="L11" s="161">
        <f t="shared" si="5"/>
        <v>2</v>
      </c>
    </row>
    <row r="12" spans="1:13" s="2" customFormat="1" ht="15" customHeight="1">
      <c r="A12" s="13"/>
      <c r="C12" s="21"/>
      <c r="D12" s="68" t="s">
        <v>22</v>
      </c>
      <c r="E12" s="67"/>
      <c r="F12" s="102">
        <f>COUNTIF(F$21:F$49,"1???-00?0")-COUNTIFS(F$48,"1???-00?0",$D$48,"Locum")-COUNTIFS(F$49,"1???-00?0",$D$49,"Locum")</f>
        <v>3</v>
      </c>
      <c r="G12" s="102">
        <f t="shared" ref="G12:L12" si="6">COUNTIF(G$21:G$49,"1???-00?0")-COUNTIFS(G$48,"1???-00?0",$D$48,"Locum")-COUNTIFS(G$49,"1???-00?0",$D$49,"Locum")</f>
        <v>2</v>
      </c>
      <c r="H12" s="102">
        <f t="shared" si="6"/>
        <v>3</v>
      </c>
      <c r="I12" s="102">
        <f t="shared" si="6"/>
        <v>3</v>
      </c>
      <c r="J12" s="102">
        <f t="shared" si="6"/>
        <v>3</v>
      </c>
      <c r="K12" s="102">
        <f t="shared" si="6"/>
        <v>2</v>
      </c>
      <c r="L12" s="102">
        <f t="shared" si="6"/>
        <v>2</v>
      </c>
    </row>
    <row r="13" spans="1:13" s="2" customFormat="1" ht="15" customHeight="1" thickBot="1">
      <c r="A13" s="13"/>
      <c r="C13" s="21"/>
      <c r="D13" s="68" t="s">
        <v>23</v>
      </c>
      <c r="E13" s="67"/>
      <c r="F13" s="109">
        <f>COUNTIF(F$54:F$102,"1???-0000*")</f>
        <v>9</v>
      </c>
      <c r="G13" s="109">
        <f t="shared" ref="G13:L13" si="7">COUNTIF(G$54:G$102,"1???-0000*")</f>
        <v>8</v>
      </c>
      <c r="H13" s="109">
        <f t="shared" si="7"/>
        <v>8</v>
      </c>
      <c r="I13" s="109">
        <f t="shared" si="7"/>
        <v>9</v>
      </c>
      <c r="J13" s="109">
        <f t="shared" si="7"/>
        <v>9</v>
      </c>
      <c r="K13" s="109">
        <f t="shared" si="7"/>
        <v>8</v>
      </c>
      <c r="L13" s="157">
        <f t="shared" si="7"/>
        <v>9</v>
      </c>
    </row>
    <row r="14" spans="1:13" s="2" customFormat="1" ht="15" customHeight="1" thickBot="1">
      <c r="A14" s="13"/>
      <c r="C14" s="21"/>
      <c r="D14" s="98" t="s">
        <v>24</v>
      </c>
      <c r="E14" s="99"/>
      <c r="F14" s="108">
        <f>F12+F13</f>
        <v>12</v>
      </c>
      <c r="G14" s="108">
        <f t="shared" ref="G14:L14" si="8">G12+G13</f>
        <v>10</v>
      </c>
      <c r="H14" s="108">
        <f t="shared" si="8"/>
        <v>11</v>
      </c>
      <c r="I14" s="108">
        <f t="shared" si="8"/>
        <v>12</v>
      </c>
      <c r="J14" s="108">
        <f t="shared" si="8"/>
        <v>12</v>
      </c>
      <c r="K14" s="108">
        <f t="shared" si="8"/>
        <v>10</v>
      </c>
      <c r="L14" s="158">
        <f t="shared" si="8"/>
        <v>11</v>
      </c>
    </row>
    <row r="15" spans="1:13" s="2" customFormat="1" ht="15" customHeight="1" thickBot="1">
      <c r="A15" s="13"/>
      <c r="C15" s="21"/>
      <c r="E15" s="21"/>
      <c r="F15" s="21"/>
      <c r="G15" s="21"/>
      <c r="H15" s="21"/>
      <c r="I15" s="21"/>
      <c r="J15" s="21"/>
      <c r="K15" s="21"/>
      <c r="L15" s="21"/>
    </row>
    <row r="16" spans="1:13" s="2" customFormat="1" ht="15" customHeight="1" thickBot="1">
      <c r="A16" s="13"/>
      <c r="C16" s="21"/>
      <c r="D16" s="100" t="s">
        <v>25</v>
      </c>
      <c r="E16" s="72"/>
      <c r="F16" s="66">
        <f t="shared" ref="F16:L16" si="9">COUNTIF(F$54:F$99,"2300-0830")</f>
        <v>4</v>
      </c>
      <c r="G16" s="66">
        <f t="shared" si="9"/>
        <v>4</v>
      </c>
      <c r="H16" s="66">
        <f t="shared" si="9"/>
        <v>4</v>
      </c>
      <c r="I16" s="66">
        <f t="shared" si="9"/>
        <v>4</v>
      </c>
      <c r="J16" s="66">
        <f t="shared" si="9"/>
        <v>5</v>
      </c>
      <c r="K16" s="66">
        <f t="shared" si="9"/>
        <v>5</v>
      </c>
      <c r="L16" s="159">
        <f t="shared" si="9"/>
        <v>5</v>
      </c>
    </row>
    <row r="17" spans="1:25" s="2" customFormat="1" ht="15" customHeight="1" thickBot="1">
      <c r="A17" s="13"/>
      <c r="C17" s="21"/>
      <c r="E17" s="21"/>
      <c r="F17" s="21"/>
      <c r="G17" s="21"/>
      <c r="H17" s="21"/>
      <c r="I17" s="21"/>
      <c r="J17" s="21"/>
      <c r="K17" s="21"/>
      <c r="L17" s="21"/>
    </row>
    <row r="18" spans="1:25" s="2" customFormat="1" ht="15" customHeight="1" thickBot="1">
      <c r="A18" s="13"/>
      <c r="C18" s="21"/>
      <c r="D18" s="61" t="s">
        <v>26</v>
      </c>
      <c r="E18" s="62" t="s">
        <v>4</v>
      </c>
      <c r="F18" s="62" t="s">
        <v>5</v>
      </c>
      <c r="G18" s="62" t="s">
        <v>6</v>
      </c>
      <c r="H18" s="62" t="s">
        <v>7</v>
      </c>
      <c r="I18" s="62" t="s">
        <v>8</v>
      </c>
      <c r="J18" s="62" t="s">
        <v>9</v>
      </c>
      <c r="K18" s="62" t="s">
        <v>10</v>
      </c>
      <c r="L18" s="63" t="s">
        <v>11</v>
      </c>
      <c r="N18" s="145" t="s">
        <v>27</v>
      </c>
      <c r="O18" s="145" t="s">
        <v>28</v>
      </c>
      <c r="P18" s="136" t="s">
        <v>29</v>
      </c>
      <c r="R18" s="146" t="s">
        <v>30</v>
      </c>
      <c r="S18" s="145" t="s">
        <v>31</v>
      </c>
    </row>
    <row r="19" spans="1:25" s="2" customFormat="1" ht="15" customHeight="1" thickBot="1">
      <c r="A19" s="13"/>
      <c r="C19" s="21"/>
      <c r="D19" s="93"/>
      <c r="E19" s="91"/>
      <c r="F19" s="92">
        <f>F2</f>
        <v>46230</v>
      </c>
      <c r="G19" s="64">
        <f t="shared" ref="G19:L19" si="10">F19+1</f>
        <v>46231</v>
      </c>
      <c r="H19" s="64">
        <f t="shared" si="10"/>
        <v>46232</v>
      </c>
      <c r="I19" s="64">
        <f t="shared" si="10"/>
        <v>46233</v>
      </c>
      <c r="J19" s="64">
        <f t="shared" si="10"/>
        <v>46234</v>
      </c>
      <c r="K19" s="64">
        <f t="shared" si="10"/>
        <v>46235</v>
      </c>
      <c r="L19" s="65">
        <f t="shared" si="10"/>
        <v>46236</v>
      </c>
      <c r="N19" s="147" t="s">
        <v>32</v>
      </c>
      <c r="O19" s="21" t="s">
        <v>32</v>
      </c>
      <c r="P19" s="148"/>
      <c r="R19" s="149" t="s">
        <v>32</v>
      </c>
      <c r="S19" s="147" t="s">
        <v>32</v>
      </c>
      <c r="U19" s="2" t="s">
        <v>33</v>
      </c>
      <c r="V19" s="142" t="s">
        <v>34</v>
      </c>
      <c r="W19" s="2" t="s">
        <v>35</v>
      </c>
      <c r="X19" s="2" t="s">
        <v>36</v>
      </c>
      <c r="Y19" s="2" t="s">
        <v>37</v>
      </c>
    </row>
    <row r="20" spans="1:25" s="2" customFormat="1" ht="15.75" customHeight="1" thickBot="1">
      <c r="A20" s="114" t="s">
        <v>38</v>
      </c>
      <c r="B20" s="115"/>
      <c r="C20" s="116"/>
      <c r="D20" s="117" t="s">
        <v>38</v>
      </c>
      <c r="E20" s="155"/>
      <c r="F20" s="118"/>
      <c r="G20" s="119"/>
      <c r="H20" s="119"/>
      <c r="I20" s="119"/>
      <c r="J20" s="119"/>
      <c r="K20" s="119"/>
      <c r="L20" s="120"/>
      <c r="N20" s="160"/>
      <c r="O20" s="160"/>
      <c r="P20" s="150"/>
      <c r="R20" s="151"/>
      <c r="S20" s="160"/>
      <c r="V20" s="142"/>
    </row>
    <row r="21" spans="1:25" s="2" customFormat="1" ht="15" customHeight="1">
      <c r="A21" s="162" t="s">
        <v>39</v>
      </c>
      <c r="B21" s="162"/>
      <c r="C21" s="164"/>
      <c r="D21" s="234" t="s">
        <v>40</v>
      </c>
      <c r="E21" s="165">
        <f>IFERROR(VLOOKUP(D21,'Employee Numbers'!$A$3:$B$84,2,FALSE),"NOT FOUND")</f>
        <v>287628</v>
      </c>
      <c r="F21" s="235" t="s">
        <v>41</v>
      </c>
      <c r="G21" s="236" t="s">
        <v>41</v>
      </c>
      <c r="H21" s="236" t="s">
        <v>41</v>
      </c>
      <c r="I21" s="236"/>
      <c r="J21" s="236" t="s">
        <v>42</v>
      </c>
      <c r="K21" s="236"/>
      <c r="L21" s="237"/>
      <c r="N21">
        <f t="array" ref="N21">((SUM(IFERROR((TEXT(IF(ISNUMBER(SEARCH("-", F21:L21)), MID(F21:L21, SEARCH("-", F21:L21) + 1, 4), ""), "00\:00") - TEXT(IF(ISNUMBER(SEARCH("-", F21:L21)), MID(F21:L21, SEARCH("-", F21:L21) - 4, 4), ""), "00\:00") + IF(TEXT(IF(ISNUMBER(SEARCH("-", F21:L21)), MID(F21:L21, SEARCH("-", F21:L21) + 1, 4), ""), "00\:00") &lt; TEXT(IF(ISNUMBER(SEARCH("-", F21:L21)), MID(F21:L21, SEARCH("-", F21:L21) - 4, 4), ""), "00\:00"), 1, 0))*24,""))))/9.5</f>
        <v>4</v>
      </c>
      <c r="O21"/>
      <c r="P21" s="151">
        <f>N21+O21</f>
        <v>4</v>
      </c>
      <c r="R21" s="4">
        <f ca="1">IF($C$4=1,SUM(P21+INDIRECT("'Week "&amp;($B$3+1)&amp;"'!P"&amp;(ROW()))),IF($C$4=2,SUM(P21+INDIRECT("'Week "&amp;($B$3-1)&amp;"'!P"&amp;(ROW())))))</f>
        <v>4</v>
      </c>
      <c r="S21" s="2">
        <f>(IFERROR(VLOOKUP(D21,'Employee Numbers'!$A$3:$C$84,3,FALSE),"NOT FOUND"))*8</f>
        <v>8</v>
      </c>
      <c r="U21" s="142">
        <f>COUNTIF(E21:K21,"0800-1730")</f>
        <v>0</v>
      </c>
      <c r="V21" s="142">
        <f>COUNTIF(F21:L21,"1???-00?0")</f>
        <v>1</v>
      </c>
      <c r="W21" s="2">
        <f>COUNTIF(F21:L21,"*0800-1730*CS*")+COUNTIF(F21:L21,"*0800-1730*DEMT*")</f>
        <v>3</v>
      </c>
      <c r="Y21" s="2">
        <f>COUNTIF(K21:L21,"???0-*")</f>
        <v>0</v>
      </c>
    </row>
    <row r="22" spans="1:25" s="2" customFormat="1" ht="15" customHeight="1">
      <c r="A22" s="2" t="s">
        <v>39</v>
      </c>
      <c r="B22" s="46"/>
      <c r="C22" s="21"/>
      <c r="D22" s="227" t="s">
        <v>43</v>
      </c>
      <c r="E22" s="226">
        <f>IFERROR(VLOOKUP(D22,'Employee Numbers'!$A$3:$B$84,2,FALSE),"NOT FOUND")</f>
        <v>609660</v>
      </c>
      <c r="F22" s="29" t="s">
        <v>41</v>
      </c>
      <c r="G22" s="31" t="s">
        <v>41</v>
      </c>
      <c r="H22" s="31"/>
      <c r="I22" s="31"/>
      <c r="J22" s="257" t="s">
        <v>44</v>
      </c>
      <c r="K22" s="31" t="s">
        <v>54</v>
      </c>
      <c r="L22" s="228"/>
      <c r="N22">
        <f t="array" ref="N22">((SUM(IFERROR((TEXT(IF(ISNUMBER(SEARCH("-", F22:L22)), MID(F22:L22, SEARCH("-", F22:L22) + 1, 4), ""), "00\:00") - TEXT(IF(ISNUMBER(SEARCH("-", F22:L22)), MID(F22:L22, SEARCH("-", F22:L22) - 4, 4), ""), "00\:00") + IF(TEXT(IF(ISNUMBER(SEARCH("-", F22:L22)), MID(F22:L22, SEARCH("-", F22:L22) + 1, 4), ""), "00\:00") &lt; TEXT(IF(ISNUMBER(SEARCH("-", F22:L22)), MID(F22:L22, SEARCH("-", F22:L22) - 4, 4), ""), "00\:00"), 1, 0))*24,""))))/9.5</f>
        <v>4</v>
      </c>
      <c r="O22"/>
      <c r="P22" s="151">
        <f t="shared" ref="P22:P47" si="11">N22+O22</f>
        <v>4</v>
      </c>
      <c r="R22" s="4">
        <f t="shared" ref="R22:R47" ca="1" si="12">IF($C$4=1,SUM(P22+INDIRECT("'Week "&amp;($B$3+1)&amp;"'!P"&amp;(ROW()))),IF($C$4=2,SUM(P22+INDIRECT("'Week "&amp;($B$3-1)&amp;"'!P"&amp;(ROW())))))</f>
        <v>4</v>
      </c>
      <c r="S22" s="2">
        <f>(IFERROR(VLOOKUP(D22,'Employee Numbers'!$A$3:$C$84,3,FALSE),"NOT FOUND"))*8</f>
        <v>8</v>
      </c>
      <c r="U22" s="142">
        <f t="shared" ref="U22:U47" si="13">COUNTIF(E22:K22,"0800-1730")</f>
        <v>1</v>
      </c>
      <c r="V22" s="142">
        <f t="shared" ref="V22:V47" si="14">COUNTIF(F22:L22,"1???-00?0")</f>
        <v>1</v>
      </c>
      <c r="W22" s="2">
        <f t="shared" ref="W22:W47" si="15">COUNTIF(F22:L22,"*0800-1730*CS*")+COUNTIF(F22:L22,"*0800-1730*DEMT*")</f>
        <v>2</v>
      </c>
      <c r="Y22" s="2">
        <f t="shared" ref="Y22:Y47" si="16">COUNTIF(K22:L22,"???0-*")</f>
        <v>1</v>
      </c>
    </row>
    <row r="23" spans="1:25" s="2" customFormat="1" ht="15" customHeight="1">
      <c r="A23" s="162" t="s">
        <v>39</v>
      </c>
      <c r="B23" s="163"/>
      <c r="C23" s="238"/>
      <c r="D23" s="239" t="s">
        <v>45</v>
      </c>
      <c r="E23" s="165">
        <f>IFERROR(VLOOKUP(D23,'Employee Numbers'!$A$3:$B$84,2,FALSE),"NOT FOUND")</f>
        <v>610036</v>
      </c>
      <c r="F23" s="176" t="s">
        <v>46</v>
      </c>
      <c r="G23" s="166" t="s">
        <v>41</v>
      </c>
      <c r="H23" s="166" t="s">
        <v>42</v>
      </c>
      <c r="I23" s="166"/>
      <c r="J23" s="254" t="s">
        <v>176</v>
      </c>
      <c r="K23" s="166"/>
      <c r="L23" s="167"/>
      <c r="N23">
        <f t="array" ref="N23">((SUM(IFERROR((TEXT(IF(ISNUMBER(SEARCH("-", F23:L23)), MID(F23:L23, SEARCH("-", F23:L23) + 1, 4), ""), "00\:00") - TEXT(IF(ISNUMBER(SEARCH("-", F23:L23)), MID(F23:L23, SEARCH("-", F23:L23) - 4, 4), ""), "00\:00") + IF(TEXT(IF(ISNUMBER(SEARCH("-", F23:L23)), MID(F23:L23, SEARCH("-", F23:L23) + 1, 4), ""), "00\:00") &lt; TEXT(IF(ISNUMBER(SEARCH("-", F23:L23)), MID(F23:L23, SEARCH("-", F23:L23) - 4, 4), ""), "00\:00"), 1, 0))*24,""))))/9.5</f>
        <v>3</v>
      </c>
      <c r="O23"/>
      <c r="P23" s="151">
        <f t="shared" si="11"/>
        <v>3</v>
      </c>
      <c r="R23" s="4">
        <f t="shared" ca="1" si="12"/>
        <v>3</v>
      </c>
      <c r="S23" s="2">
        <f>(IFERROR(VLOOKUP(D23,'Employee Numbers'!$A$3:$C$84,3,FALSE),"NOT FOUND"))*8</f>
        <v>8</v>
      </c>
      <c r="U23" s="142">
        <f t="shared" si="13"/>
        <v>0</v>
      </c>
      <c r="V23" s="142">
        <f t="shared" si="14"/>
        <v>1</v>
      </c>
      <c r="W23" s="2">
        <f t="shared" si="15"/>
        <v>2</v>
      </c>
      <c r="Y23" s="2">
        <f t="shared" si="16"/>
        <v>0</v>
      </c>
    </row>
    <row r="24" spans="1:25" s="2" customFormat="1" ht="15" customHeight="1">
      <c r="A24" s="2" t="s">
        <v>39</v>
      </c>
      <c r="B24" s="46"/>
      <c r="C24" s="47"/>
      <c r="D24" s="227" t="s">
        <v>49</v>
      </c>
      <c r="E24" s="226">
        <f>IFERROR(VLOOKUP(D24,'Employee Numbers'!$A$3:$B$84,2,FALSE),"NOT FOUND")</f>
        <v>533509</v>
      </c>
      <c r="F24" s="250" t="s">
        <v>50</v>
      </c>
      <c r="G24" s="251" t="s">
        <v>50</v>
      </c>
      <c r="H24" s="251" t="s">
        <v>50</v>
      </c>
      <c r="I24" s="251" t="s">
        <v>50</v>
      </c>
      <c r="J24" s="251" t="s">
        <v>50</v>
      </c>
      <c r="K24" s="251" t="s">
        <v>50</v>
      </c>
      <c r="L24" s="252" t="s">
        <v>50</v>
      </c>
      <c r="N24">
        <f t="array" ref="N24">((SUM(IFERROR((TEXT(IF(ISNUMBER(SEARCH("-", F24:L24)), MID(F24:L24, SEARCH("-", F24:L24) + 1, 4), ""), "00\:00") - TEXT(IF(ISNUMBER(SEARCH("-", F24:L24)), MID(F24:L24, SEARCH("-", F24:L24) - 4, 4), ""), "00\:00") + IF(TEXT(IF(ISNUMBER(SEARCH("-", F24:L24)), MID(F24:L24, SEARCH("-", F24:L24) + 1, 4), ""), "00\:00") &lt; TEXT(IF(ISNUMBER(SEARCH("-", F24:L24)), MID(F24:L24, SEARCH("-", F24:L24) - 4, 4), ""), "00\:00"), 1, 0))*24,""))))/9.5</f>
        <v>0</v>
      </c>
      <c r="O24"/>
      <c r="P24" s="151">
        <f t="shared" si="11"/>
        <v>0</v>
      </c>
      <c r="R24" s="4">
        <f t="shared" ca="1" si="12"/>
        <v>0</v>
      </c>
      <c r="S24" s="2">
        <f>(IFERROR(VLOOKUP(D24,'Employee Numbers'!$A$3:$C$84,3,FALSE),"NOT FOUND"))*8</f>
        <v>0</v>
      </c>
      <c r="U24" s="142">
        <f t="shared" si="13"/>
        <v>0</v>
      </c>
      <c r="V24" s="142">
        <f t="shared" si="14"/>
        <v>0</v>
      </c>
      <c r="W24" s="2">
        <f t="shared" si="15"/>
        <v>0</v>
      </c>
      <c r="Y24" s="2">
        <f t="shared" si="16"/>
        <v>0</v>
      </c>
    </row>
    <row r="25" spans="1:25" s="2" customFormat="1" ht="15" customHeight="1">
      <c r="A25" s="162" t="s">
        <v>39</v>
      </c>
      <c r="B25" s="163"/>
      <c r="C25" s="238"/>
      <c r="D25" s="240" t="s">
        <v>51</v>
      </c>
      <c r="E25" s="165">
        <f>IFERROR(VLOOKUP(D25,'Employee Numbers'!$A$3:$B$84,2,FALSE),"NOT FOUND")</f>
        <v>625985</v>
      </c>
      <c r="F25" s="253" t="s">
        <v>181</v>
      </c>
      <c r="G25" s="254" t="s">
        <v>181</v>
      </c>
      <c r="H25" s="254" t="s">
        <v>181</v>
      </c>
      <c r="I25" s="254" t="s">
        <v>181</v>
      </c>
      <c r="J25" s="254" t="s">
        <v>181</v>
      </c>
      <c r="K25" s="254" t="s">
        <v>181</v>
      </c>
      <c r="L25" s="255" t="s">
        <v>181</v>
      </c>
      <c r="N25">
        <f t="array" ref="N25">((SUM(IFERROR((TEXT(IF(ISNUMBER(SEARCH("-", F25:L25)), MID(F25:L25, SEARCH("-", F25:L25) + 1, 4), ""), "00\:00") - TEXT(IF(ISNUMBER(SEARCH("-", F25:L25)), MID(F25:L25, SEARCH("-", F25:L25) - 4, 4), ""), "00\:00") + IF(TEXT(IF(ISNUMBER(SEARCH("-", F25:L25)), MID(F25:L25, SEARCH("-", F25:L25) + 1, 4), ""), "00\:00") &lt; TEXT(IF(ISNUMBER(SEARCH("-", F25:L25)), MID(F25:L25, SEARCH("-", F25:L25) - 4, 4), ""), "00\:00"), 1, 0))*24,""))))/9.5</f>
        <v>0</v>
      </c>
      <c r="O25">
        <v>4</v>
      </c>
      <c r="P25" s="151">
        <f t="shared" si="11"/>
        <v>4</v>
      </c>
      <c r="R25" s="4">
        <f t="shared" ca="1" si="12"/>
        <v>4</v>
      </c>
      <c r="S25" s="2">
        <f>(IFERROR(VLOOKUP(D25,'Employee Numbers'!$A$3:$C$84,3,FALSE),"NOT FOUND"))*8</f>
        <v>8</v>
      </c>
      <c r="U25" s="142">
        <f t="shared" si="13"/>
        <v>0</v>
      </c>
      <c r="V25" s="142">
        <f t="shared" si="14"/>
        <v>0</v>
      </c>
      <c r="W25" s="2">
        <f t="shared" si="15"/>
        <v>0</v>
      </c>
      <c r="Y25" s="2">
        <f t="shared" si="16"/>
        <v>0</v>
      </c>
    </row>
    <row r="26" spans="1:25" s="2" customFormat="1" ht="15" customHeight="1">
      <c r="A26" s="2" t="s">
        <v>39</v>
      </c>
      <c r="B26" s="46"/>
      <c r="C26" s="47"/>
      <c r="D26" s="227" t="s">
        <v>52</v>
      </c>
      <c r="E26" s="226">
        <f>IFERROR(VLOOKUP(D26,'Employee Numbers'!$A$3:$B$84,2,FALSE),"NOT FOUND")</f>
        <v>632301</v>
      </c>
      <c r="F26" s="250"/>
      <c r="G26" s="257" t="s">
        <v>44</v>
      </c>
      <c r="H26" s="257" t="s">
        <v>44</v>
      </c>
      <c r="I26" s="31" t="s">
        <v>42</v>
      </c>
      <c r="J26" s="251" t="s">
        <v>63</v>
      </c>
      <c r="K26" s="251"/>
      <c r="L26" s="252"/>
      <c r="M26" s="13"/>
      <c r="N26">
        <f t="array" ref="N26">((SUM(IFERROR((TEXT(IF(ISNUMBER(SEARCH("-", F26:L26)), MID(F26:L26, SEARCH("-", F26:L26) + 1, 4), ""), "00\:00") - TEXT(IF(ISNUMBER(SEARCH("-", F26:L26)), MID(F26:L26, SEARCH("-", F26:L26) - 4, 4), ""), "00\:00") + IF(TEXT(IF(ISNUMBER(SEARCH("-", F26:L26)), MID(F26:L26, SEARCH("-", F26:L26) + 1, 4), ""), "00\:00") &lt; TEXT(IF(ISNUMBER(SEARCH("-", F26:L26)), MID(F26:L26, SEARCH("-", F26:L26) - 4, 4), ""), "00\:00"), 1, 0))*24,""))))/9.5</f>
        <v>4</v>
      </c>
      <c r="O26"/>
      <c r="P26" s="151">
        <f t="shared" si="11"/>
        <v>4</v>
      </c>
      <c r="R26" s="4">
        <f t="shared" ca="1" si="12"/>
        <v>4</v>
      </c>
      <c r="S26" s="2">
        <f>(IFERROR(VLOOKUP(D26,'Employee Numbers'!$A$3:$C$84,3,FALSE),"NOT FOUND"))*8</f>
        <v>8</v>
      </c>
      <c r="U26" s="142">
        <f t="shared" si="13"/>
        <v>2</v>
      </c>
      <c r="V26" s="142">
        <f t="shared" si="14"/>
        <v>1</v>
      </c>
      <c r="W26" s="2">
        <f t="shared" si="15"/>
        <v>1</v>
      </c>
      <c r="Y26" s="2">
        <f t="shared" si="16"/>
        <v>0</v>
      </c>
    </row>
    <row r="27" spans="1:25" s="2" customFormat="1" ht="15" customHeight="1">
      <c r="A27" s="162" t="s">
        <v>39</v>
      </c>
      <c r="B27" s="163"/>
      <c r="C27" s="238"/>
      <c r="D27" s="240" t="s">
        <v>53</v>
      </c>
      <c r="E27" s="165">
        <f>IFERROR(VLOOKUP(D27,'Employee Numbers'!$A$3:$B$84,2,FALSE),"NOT FOUND")</f>
        <v>613891</v>
      </c>
      <c r="F27" s="176" t="s">
        <v>42</v>
      </c>
      <c r="G27" s="166"/>
      <c r="H27" s="166" t="s">
        <v>41</v>
      </c>
      <c r="I27" s="166" t="s">
        <v>44</v>
      </c>
      <c r="J27" s="166"/>
      <c r="K27" s="166"/>
      <c r="L27" s="167"/>
      <c r="M27" s="13"/>
      <c r="N27">
        <f t="array" ref="N27">((SUM(IFERROR((TEXT(IF(ISNUMBER(SEARCH("-", F27:L27)), MID(F27:L27, SEARCH("-", F27:L27) + 1, 4), ""), "00\:00") - TEXT(IF(ISNUMBER(SEARCH("-", F27:L27)), MID(F27:L27, SEARCH("-", F27:L27) - 4, 4), ""), "00\:00") + IF(TEXT(IF(ISNUMBER(SEARCH("-", F27:L27)), MID(F27:L27, SEARCH("-", F27:L27) + 1, 4), ""), "00\:00") &lt; TEXT(IF(ISNUMBER(SEARCH("-", F27:L27)), MID(F27:L27, SEARCH("-", F27:L27) - 4, 4), ""), "00\:00"), 1, 0))*24,""))))/9.5</f>
        <v>3</v>
      </c>
      <c r="O27"/>
      <c r="P27" s="151">
        <f t="shared" si="11"/>
        <v>3</v>
      </c>
      <c r="R27" s="4">
        <f t="shared" ca="1" si="12"/>
        <v>3</v>
      </c>
      <c r="S27" s="2">
        <f>(IFERROR(VLOOKUP(D27,'Employee Numbers'!$A$3:$C$84,3,FALSE),"NOT FOUND"))*8</f>
        <v>6</v>
      </c>
      <c r="U27" s="142">
        <f t="shared" si="13"/>
        <v>1</v>
      </c>
      <c r="V27" s="142">
        <f t="shared" si="14"/>
        <v>1</v>
      </c>
      <c r="W27" s="2">
        <f t="shared" si="15"/>
        <v>1</v>
      </c>
      <c r="Y27" s="2">
        <f t="shared" si="16"/>
        <v>0</v>
      </c>
    </row>
    <row r="28" spans="1:25" s="2" customFormat="1" ht="15" customHeight="1">
      <c r="A28" s="2" t="s">
        <v>39</v>
      </c>
      <c r="B28" s="46"/>
      <c r="C28" s="21"/>
      <c r="D28" s="227" t="s">
        <v>55</v>
      </c>
      <c r="E28" s="226">
        <f>IFERROR(VLOOKUP(D28,'Employee Numbers'!$A$3:$B$84,2,FALSE),"NOT FOUND")</f>
        <v>623657</v>
      </c>
      <c r="F28" s="29"/>
      <c r="G28" s="31"/>
      <c r="H28" s="31"/>
      <c r="I28" s="31" t="s">
        <v>44</v>
      </c>
      <c r="J28" s="31"/>
      <c r="K28" s="31"/>
      <c r="L28" s="228"/>
      <c r="N28">
        <f t="array" ref="N28">((SUM(IFERROR((TEXT(IF(ISNUMBER(SEARCH("-", F28:L28)), MID(F28:L28, SEARCH("-", F28:L28) + 1, 4), ""), "00\:00") - TEXT(IF(ISNUMBER(SEARCH("-", F28:L28)), MID(F28:L28, SEARCH("-", F28:L28) - 4, 4), ""), "00\:00") + IF(TEXT(IF(ISNUMBER(SEARCH("-", F28:L28)), MID(F28:L28, SEARCH("-", F28:L28) + 1, 4), ""), "00\:00") &lt; TEXT(IF(ISNUMBER(SEARCH("-", F28:L28)), MID(F28:L28, SEARCH("-", F28:L28) - 4, 4), ""), "00\:00"), 1, 0))*24,""))))/9.5</f>
        <v>1</v>
      </c>
      <c r="O28"/>
      <c r="P28" s="151">
        <f t="shared" si="11"/>
        <v>1</v>
      </c>
      <c r="R28" s="4">
        <f t="shared" ca="1" si="12"/>
        <v>1</v>
      </c>
      <c r="S28" s="2">
        <f>(IFERROR(VLOOKUP(D28,'Employee Numbers'!$A$3:$C$84,3,FALSE),"NOT FOUND"))*8</f>
        <v>2</v>
      </c>
      <c r="U28" s="142">
        <f t="shared" si="13"/>
        <v>1</v>
      </c>
      <c r="V28" s="142">
        <f t="shared" si="14"/>
        <v>0</v>
      </c>
      <c r="W28" s="2">
        <f t="shared" si="15"/>
        <v>0</v>
      </c>
      <c r="Y28" s="2">
        <f t="shared" si="16"/>
        <v>0</v>
      </c>
    </row>
    <row r="29" spans="1:25" s="2" customFormat="1" ht="15" customHeight="1">
      <c r="A29" s="162" t="s">
        <v>39</v>
      </c>
      <c r="B29" s="163"/>
      <c r="C29" s="164"/>
      <c r="D29" s="240" t="s">
        <v>56</v>
      </c>
      <c r="E29" s="165">
        <f>IFERROR(VLOOKUP(D29,'Employee Numbers'!$A$3:$B$84,2,FALSE),"NOT FOUND")</f>
        <v>623708</v>
      </c>
      <c r="F29" s="176" t="s">
        <v>44</v>
      </c>
      <c r="G29" s="166" t="s">
        <v>42</v>
      </c>
      <c r="H29" s="166" t="s">
        <v>41</v>
      </c>
      <c r="I29" s="166"/>
      <c r="J29" s="166"/>
      <c r="K29" s="166"/>
      <c r="L29" s="167"/>
      <c r="N29">
        <f t="array" ref="N29">((SUM(IFERROR((TEXT(IF(ISNUMBER(SEARCH("-", F29:L29)), MID(F29:L29, SEARCH("-", F29:L29) + 1, 4), ""), "00\:00") - TEXT(IF(ISNUMBER(SEARCH("-", F29:L29)), MID(F29:L29, SEARCH("-", F29:L29) - 4, 4), ""), "00\:00") + IF(TEXT(IF(ISNUMBER(SEARCH("-", F29:L29)), MID(F29:L29, SEARCH("-", F29:L29) + 1, 4), ""), "00\:00") &lt; TEXT(IF(ISNUMBER(SEARCH("-", F29:L29)), MID(F29:L29, SEARCH("-", F29:L29) - 4, 4), ""), "00\:00"), 1, 0))*24,""))))/9.5</f>
        <v>3</v>
      </c>
      <c r="O29"/>
      <c r="P29" s="151">
        <f t="shared" si="11"/>
        <v>3</v>
      </c>
      <c r="R29" s="4">
        <f t="shared" ca="1" si="12"/>
        <v>3</v>
      </c>
      <c r="S29" s="2">
        <f>(IFERROR(VLOOKUP(D29,'Employee Numbers'!$A$3:$C$84,3,FALSE),"NOT FOUND"))*8</f>
        <v>6</v>
      </c>
      <c r="U29" s="142">
        <f t="shared" si="13"/>
        <v>1</v>
      </c>
      <c r="V29" s="142">
        <f t="shared" si="14"/>
        <v>1</v>
      </c>
      <c r="W29" s="2">
        <f t="shared" si="15"/>
        <v>1</v>
      </c>
      <c r="Y29" s="2">
        <f t="shared" si="16"/>
        <v>0</v>
      </c>
    </row>
    <row r="30" spans="1:25" s="2" customFormat="1" ht="15" customHeight="1">
      <c r="A30" s="2" t="s">
        <v>39</v>
      </c>
      <c r="B30" s="46"/>
      <c r="C30" s="21"/>
      <c r="D30" s="227" t="s">
        <v>57</v>
      </c>
      <c r="E30" s="226">
        <f>IFERROR(VLOOKUP(D30,'Employee Numbers'!$A$3:$B$84,2,FALSE),"NOT FOUND")</f>
        <v>627680</v>
      </c>
      <c r="F30" s="29" t="s">
        <v>42</v>
      </c>
      <c r="G30" s="31"/>
      <c r="H30" s="31" t="s">
        <v>41</v>
      </c>
      <c r="I30" s="257"/>
      <c r="J30" s="31"/>
      <c r="K30" s="31"/>
      <c r="L30" s="228" t="s">
        <v>44</v>
      </c>
      <c r="N30">
        <f t="array" ref="N30">((SUM(IFERROR((TEXT(IF(ISNUMBER(SEARCH("-", F30:L30)), MID(F30:L30, SEARCH("-", F30:L30) + 1, 4), ""), "00\:00") - TEXT(IF(ISNUMBER(SEARCH("-", F30:L30)), MID(F30:L30, SEARCH("-", F30:L30) - 4, 4), ""), "00\:00") + IF(TEXT(IF(ISNUMBER(SEARCH("-", F30:L30)), MID(F30:L30, SEARCH("-", F30:L30) + 1, 4), ""), "00\:00") &lt; TEXT(IF(ISNUMBER(SEARCH("-", F30:L30)), MID(F30:L30, SEARCH("-", F30:L30) - 4, 4), ""), "00\:00"), 1, 0))*24,""))))/9.5</f>
        <v>3</v>
      </c>
      <c r="O30"/>
      <c r="P30" s="151">
        <f t="shared" si="11"/>
        <v>3</v>
      </c>
      <c r="R30" s="4">
        <f t="shared" ca="1" si="12"/>
        <v>3</v>
      </c>
      <c r="S30" s="2">
        <f>(IFERROR(VLOOKUP(D30,'Employee Numbers'!$A$3:$C$84,3,FALSE),"NOT FOUND"))*8</f>
        <v>6</v>
      </c>
      <c r="U30" s="142">
        <f t="shared" si="13"/>
        <v>0</v>
      </c>
      <c r="V30" s="142">
        <f t="shared" si="14"/>
        <v>1</v>
      </c>
      <c r="W30" s="2">
        <f t="shared" si="15"/>
        <v>1</v>
      </c>
      <c r="Y30" s="2">
        <f t="shared" si="16"/>
        <v>1</v>
      </c>
    </row>
    <row r="31" spans="1:25" s="2" customFormat="1" ht="15" customHeight="1">
      <c r="A31" s="162" t="s">
        <v>39</v>
      </c>
      <c r="B31" s="163"/>
      <c r="C31" s="164"/>
      <c r="D31" s="240" t="s">
        <v>58</v>
      </c>
      <c r="E31" s="165">
        <f>IFERROR(VLOOKUP(D31,'Employee Numbers'!$A$3:$B$84,2,FALSE),"NOT FOUND")</f>
        <v>633210</v>
      </c>
      <c r="F31" s="176"/>
      <c r="G31" s="166" t="s">
        <v>44</v>
      </c>
      <c r="H31" s="166"/>
      <c r="I31" s="166" t="s">
        <v>42</v>
      </c>
      <c r="J31" s="166" t="s">
        <v>42</v>
      </c>
      <c r="K31" s="166"/>
      <c r="L31" s="167"/>
      <c r="N31">
        <f t="array" ref="N31">((SUM(IFERROR((TEXT(IF(ISNUMBER(SEARCH("-", F31:L31)), MID(F31:L31, SEARCH("-", F31:L31) + 1, 4), ""), "00\:00") - TEXT(IF(ISNUMBER(SEARCH("-", F31:L31)), MID(F31:L31, SEARCH("-", F31:L31) - 4, 4), ""), "00\:00") + IF(TEXT(IF(ISNUMBER(SEARCH("-", F31:L31)), MID(F31:L31, SEARCH("-", F31:L31) + 1, 4), ""), "00\:00") &lt; TEXT(IF(ISNUMBER(SEARCH("-", F31:L31)), MID(F31:L31, SEARCH("-", F31:L31) - 4, 4), ""), "00\:00"), 1, 0))*24,""))))/9.5</f>
        <v>3</v>
      </c>
      <c r="O31"/>
      <c r="P31" s="151">
        <f t="shared" si="11"/>
        <v>3</v>
      </c>
      <c r="R31" s="4">
        <f t="shared" ca="1" si="12"/>
        <v>3</v>
      </c>
      <c r="S31" s="2">
        <f>(IFERROR(VLOOKUP(D31,'Employee Numbers'!$A$3:$C$84,3,FALSE),"NOT FOUND"))*8</f>
        <v>6</v>
      </c>
      <c r="U31" s="142">
        <f t="shared" si="13"/>
        <v>1</v>
      </c>
      <c r="V31" s="142">
        <f t="shared" si="14"/>
        <v>2</v>
      </c>
      <c r="W31" s="2">
        <f t="shared" si="15"/>
        <v>0</v>
      </c>
      <c r="Y31" s="2">
        <f t="shared" si="16"/>
        <v>0</v>
      </c>
    </row>
    <row r="32" spans="1:25" s="2" customFormat="1" ht="15" customHeight="1">
      <c r="A32" s="2" t="s">
        <v>39</v>
      </c>
      <c r="B32" s="46"/>
      <c r="C32" s="21"/>
      <c r="D32" s="230" t="s">
        <v>59</v>
      </c>
      <c r="E32" s="226">
        <f>IFERROR(VLOOKUP(D32,'Employee Numbers'!$A$3:$B$84,2,FALSE),"NOT FOUND")</f>
        <v>618952</v>
      </c>
      <c r="F32" s="29"/>
      <c r="G32" s="31"/>
      <c r="H32" s="31" t="s">
        <v>42</v>
      </c>
      <c r="I32" s="31" t="s">
        <v>41</v>
      </c>
      <c r="J32" s="257" t="s">
        <v>44</v>
      </c>
      <c r="K32" s="31"/>
      <c r="L32" s="228"/>
      <c r="N32">
        <f t="array" ref="N32">((SUM(IFERROR((TEXT(IF(ISNUMBER(SEARCH("-", F32:L32)), MID(F32:L32, SEARCH("-", F32:L32) + 1, 4), ""), "00\:00") - TEXT(IF(ISNUMBER(SEARCH("-", F32:L32)), MID(F32:L32, SEARCH("-", F32:L32) - 4, 4), ""), "00\:00") + IF(TEXT(IF(ISNUMBER(SEARCH("-", F32:L32)), MID(F32:L32, SEARCH("-", F32:L32) + 1, 4), ""), "00\:00") &lt; TEXT(IF(ISNUMBER(SEARCH("-", F32:L32)), MID(F32:L32, SEARCH("-", F32:L32) - 4, 4), ""), "00\:00"), 1, 0))*24,""))))/9.5</f>
        <v>3</v>
      </c>
      <c r="O32"/>
      <c r="P32" s="151">
        <f t="shared" si="11"/>
        <v>3</v>
      </c>
      <c r="R32" s="4">
        <f t="shared" ca="1" si="12"/>
        <v>3</v>
      </c>
      <c r="S32" s="2">
        <f>(IFERROR(VLOOKUP(D32,'Employee Numbers'!$A$3:$C$84,3,FALSE),"NOT FOUND"))*8</f>
        <v>6</v>
      </c>
      <c r="U32" s="142">
        <f t="shared" si="13"/>
        <v>1</v>
      </c>
      <c r="V32" s="142">
        <f t="shared" si="14"/>
        <v>1</v>
      </c>
      <c r="W32" s="2">
        <f t="shared" si="15"/>
        <v>1</v>
      </c>
      <c r="Y32" s="2">
        <f t="shared" si="16"/>
        <v>0</v>
      </c>
    </row>
    <row r="33" spans="1:25" s="2" customFormat="1" ht="15" customHeight="1">
      <c r="A33" s="162" t="s">
        <v>39</v>
      </c>
      <c r="B33" s="163"/>
      <c r="C33" s="164"/>
      <c r="D33" s="241" t="s">
        <v>61</v>
      </c>
      <c r="E33" s="165">
        <f>IFERROR(VLOOKUP(D33,'Employee Numbers'!$A$3:$B$84,2,FALSE),"NOT FOUND")</f>
        <v>649039</v>
      </c>
      <c r="F33" s="176" t="s">
        <v>42</v>
      </c>
      <c r="G33" s="166"/>
      <c r="H33" s="166" t="s">
        <v>41</v>
      </c>
      <c r="I33" s="166"/>
      <c r="J33" s="166" t="s">
        <v>44</v>
      </c>
      <c r="K33" s="166"/>
      <c r="L33" s="167"/>
      <c r="N33">
        <f t="array" ref="N33">((SUM(IFERROR((TEXT(IF(ISNUMBER(SEARCH("-", F33:L33)), MID(F33:L33, SEARCH("-", F33:L33) + 1, 4), ""), "00\:00") - TEXT(IF(ISNUMBER(SEARCH("-", F33:L33)), MID(F33:L33, SEARCH("-", F33:L33) - 4, 4), ""), "00\:00") + IF(TEXT(IF(ISNUMBER(SEARCH("-", F33:L33)), MID(F33:L33, SEARCH("-", F33:L33) + 1, 4), ""), "00\:00") &lt; TEXT(IF(ISNUMBER(SEARCH("-", F33:L33)), MID(F33:L33, SEARCH("-", F33:L33) - 4, 4), ""), "00\:00"), 1, 0))*24,""))))/9.5</f>
        <v>3</v>
      </c>
      <c r="O33"/>
      <c r="P33" s="151">
        <f t="shared" si="11"/>
        <v>3</v>
      </c>
      <c r="R33" s="4">
        <f t="shared" ca="1" si="12"/>
        <v>3</v>
      </c>
      <c r="S33" s="2">
        <f>(IFERROR(VLOOKUP(D33,'Employee Numbers'!$A$3:$C$84,3,FALSE),"NOT FOUND"))*8</f>
        <v>5</v>
      </c>
      <c r="U33" s="142">
        <f t="shared" si="13"/>
        <v>1</v>
      </c>
      <c r="V33" s="142">
        <f t="shared" si="14"/>
        <v>1</v>
      </c>
      <c r="W33" s="2">
        <f t="shared" si="15"/>
        <v>1</v>
      </c>
      <c r="Y33" s="2">
        <f t="shared" si="16"/>
        <v>0</v>
      </c>
    </row>
    <row r="34" spans="1:25" s="2" customFormat="1" ht="15" customHeight="1">
      <c r="A34" s="2" t="s">
        <v>39</v>
      </c>
      <c r="B34" s="46"/>
      <c r="C34" s="21"/>
      <c r="D34" s="227" t="s">
        <v>62</v>
      </c>
      <c r="E34" s="226">
        <f>IFERROR(VLOOKUP(D34,'Employee Numbers'!$A$3:$B$84,2,FALSE),"NOT FOUND")</f>
        <v>649671</v>
      </c>
      <c r="F34" s="29"/>
      <c r="G34" s="31" t="s">
        <v>41</v>
      </c>
      <c r="H34" s="257" t="s">
        <v>44</v>
      </c>
      <c r="I34" s="31" t="s">
        <v>42</v>
      </c>
      <c r="J34" s="31"/>
      <c r="K34" s="31"/>
      <c r="L34" s="228"/>
      <c r="N34">
        <f t="array" ref="N34">((SUM(IFERROR((TEXT(IF(ISNUMBER(SEARCH("-", F34:L34)), MID(F34:L34, SEARCH("-", F34:L34) + 1, 4), ""), "00\:00") - TEXT(IF(ISNUMBER(SEARCH("-", F34:L34)), MID(F34:L34, SEARCH("-", F34:L34) - 4, 4), ""), "00\:00") + IF(TEXT(IF(ISNUMBER(SEARCH("-", F34:L34)), MID(F34:L34, SEARCH("-", F34:L34) + 1, 4), ""), "00\:00") &lt; TEXT(IF(ISNUMBER(SEARCH("-", F34:L34)), MID(F34:L34, SEARCH("-", F34:L34) - 4, 4), ""), "00\:00"), 1, 0))*24,""))))/9.5</f>
        <v>3</v>
      </c>
      <c r="O34"/>
      <c r="P34" s="151">
        <f t="shared" si="11"/>
        <v>3</v>
      </c>
      <c r="R34" s="4">
        <f t="shared" ca="1" si="12"/>
        <v>3</v>
      </c>
      <c r="S34" s="2">
        <f>(IFERROR(VLOOKUP(D34,'Employee Numbers'!$A$3:$C$84,3,FALSE),"NOT FOUND"))*8</f>
        <v>6</v>
      </c>
      <c r="U34" s="142">
        <f t="shared" si="13"/>
        <v>1</v>
      </c>
      <c r="V34" s="142">
        <f t="shared" si="14"/>
        <v>1</v>
      </c>
      <c r="W34" s="2">
        <f t="shared" si="15"/>
        <v>1</v>
      </c>
      <c r="Y34" s="2">
        <f t="shared" si="16"/>
        <v>0</v>
      </c>
    </row>
    <row r="35" spans="1:25" s="2" customFormat="1" ht="15" customHeight="1">
      <c r="A35" s="162" t="s">
        <v>39</v>
      </c>
      <c r="B35" s="163"/>
      <c r="C35" s="164"/>
      <c r="D35" s="240" t="s">
        <v>64</v>
      </c>
      <c r="E35" s="165">
        <f>IFERROR(VLOOKUP(D35,'Employee Numbers'!$A$3:$B$84,2,FALSE),"NOT FOUND")</f>
        <v>646047</v>
      </c>
      <c r="F35" s="253" t="s">
        <v>176</v>
      </c>
      <c r="G35" s="256" t="s">
        <v>176</v>
      </c>
      <c r="H35" s="256" t="s">
        <v>176</v>
      </c>
      <c r="I35" s="256" t="s">
        <v>176</v>
      </c>
      <c r="J35" s="256" t="s">
        <v>176</v>
      </c>
      <c r="K35" s="256" t="s">
        <v>176</v>
      </c>
      <c r="L35" s="255" t="s">
        <v>176</v>
      </c>
      <c r="N35">
        <f t="array" ref="N35">((SUM(IFERROR((TEXT(IF(ISNUMBER(SEARCH("-", F35:L35)), MID(F35:L35, SEARCH("-", F35:L35) + 1, 4), ""), "00\:00") - TEXT(IF(ISNUMBER(SEARCH("-", F35:L35)), MID(F35:L35, SEARCH("-", F35:L35) - 4, 4), ""), "00\:00") + IF(TEXT(IF(ISNUMBER(SEARCH("-", F35:L35)), MID(F35:L35, SEARCH("-", F35:L35) + 1, 4), ""), "00\:00") &lt; TEXT(IF(ISNUMBER(SEARCH("-", F35:L35)), MID(F35:L35, SEARCH("-", F35:L35) - 4, 4), ""), "00\:00"), 1, 0))*24,""))))/9.5</f>
        <v>0</v>
      </c>
      <c r="O35">
        <v>3</v>
      </c>
      <c r="P35" s="151">
        <f t="shared" si="11"/>
        <v>3</v>
      </c>
      <c r="R35" s="4">
        <f t="shared" ca="1" si="12"/>
        <v>3</v>
      </c>
      <c r="S35" s="2">
        <f>(IFERROR(VLOOKUP(D35,'Employee Numbers'!$A$3:$C$84,3,FALSE),"NOT FOUND"))*8</f>
        <v>5</v>
      </c>
      <c r="U35" s="142">
        <f t="shared" si="13"/>
        <v>0</v>
      </c>
      <c r="V35" s="142">
        <f t="shared" si="14"/>
        <v>0</v>
      </c>
      <c r="W35" s="2">
        <f t="shared" si="15"/>
        <v>0</v>
      </c>
      <c r="Y35" s="2">
        <f t="shared" si="16"/>
        <v>0</v>
      </c>
    </row>
    <row r="36" spans="1:25" s="2" customFormat="1" ht="15" customHeight="1">
      <c r="A36" s="2" t="s">
        <v>39</v>
      </c>
      <c r="B36" s="46"/>
      <c r="C36" s="21"/>
      <c r="D36" s="229" t="s">
        <v>66</v>
      </c>
      <c r="E36" s="226">
        <f>IFERROR(VLOOKUP(D36,'Employee Numbers'!$A$3:$B$84,2,FALSE),"NOT FOUND")</f>
        <v>164003</v>
      </c>
      <c r="F36" s="29"/>
      <c r="G36" s="31"/>
      <c r="H36" s="31" t="s">
        <v>42</v>
      </c>
      <c r="I36" s="31" t="s">
        <v>41</v>
      </c>
      <c r="J36" s="31"/>
      <c r="K36" s="31"/>
      <c r="L36" s="228"/>
      <c r="N36">
        <f t="array" ref="N36">((SUM(IFERROR((TEXT(IF(ISNUMBER(SEARCH("-", F36:L36)), MID(F36:L36, SEARCH("-", F36:L36) + 1, 4), ""), "00\:00") - TEXT(IF(ISNUMBER(SEARCH("-", F36:L36)), MID(F36:L36, SEARCH("-", F36:L36) - 4, 4), ""), "00\:00") + IF(TEXT(IF(ISNUMBER(SEARCH("-", F36:L36)), MID(F36:L36, SEARCH("-", F36:L36) + 1, 4), ""), "00\:00") &lt; TEXT(IF(ISNUMBER(SEARCH("-", F36:L36)), MID(F36:L36, SEARCH("-", F36:L36) - 4, 4), ""), "00\:00"), 1, 0))*24,""))))/9.5</f>
        <v>2</v>
      </c>
      <c r="O36"/>
      <c r="P36" s="151">
        <f t="shared" si="11"/>
        <v>2</v>
      </c>
      <c r="R36" s="4">
        <f t="shared" ca="1" si="12"/>
        <v>2</v>
      </c>
      <c r="S36" s="2">
        <f>(IFERROR(VLOOKUP(D36,'Employee Numbers'!$A$3:$C$84,3,FALSE),"NOT FOUND"))*8</f>
        <v>4</v>
      </c>
      <c r="U36" s="142">
        <f t="shared" si="13"/>
        <v>0</v>
      </c>
      <c r="V36" s="142">
        <f t="shared" si="14"/>
        <v>1</v>
      </c>
      <c r="W36" s="2">
        <f t="shared" si="15"/>
        <v>1</v>
      </c>
      <c r="Y36" s="2">
        <f t="shared" si="16"/>
        <v>0</v>
      </c>
    </row>
    <row r="37" spans="1:25" s="2" customFormat="1" ht="15" customHeight="1">
      <c r="A37" s="162" t="s">
        <v>39</v>
      </c>
      <c r="B37" s="163"/>
      <c r="C37" s="164"/>
      <c r="D37" s="240" t="s">
        <v>67</v>
      </c>
      <c r="E37" s="165">
        <f>IFERROR(VLOOKUP(D37,'Employee Numbers'!$A$3:$B$84,2,FALSE),"NOT FOUND")</f>
        <v>609408</v>
      </c>
      <c r="F37" s="176"/>
      <c r="G37" s="166" t="s">
        <v>42</v>
      </c>
      <c r="H37" s="166" t="s">
        <v>63</v>
      </c>
      <c r="I37" s="166"/>
      <c r="J37" s="166"/>
      <c r="K37" s="166" t="s">
        <v>44</v>
      </c>
      <c r="L37" s="167" t="s">
        <v>44</v>
      </c>
      <c r="N37">
        <f t="array" ref="N37">((SUM(IFERROR((TEXT(IF(ISNUMBER(SEARCH("-", F37:L37)), MID(F37:L37, SEARCH("-", F37:L37) + 1, 4), ""), "00\:00") - TEXT(IF(ISNUMBER(SEARCH("-", F37:L37)), MID(F37:L37, SEARCH("-", F37:L37) - 4, 4), ""), "00\:00") + IF(TEXT(IF(ISNUMBER(SEARCH("-", F37:L37)), MID(F37:L37, SEARCH("-", F37:L37) + 1, 4), ""), "00\:00") &lt; TEXT(IF(ISNUMBER(SEARCH("-", F37:L37)), MID(F37:L37, SEARCH("-", F37:L37) - 4, 4), ""), "00\:00"), 1, 0))*24,""))))/9.5</f>
        <v>4</v>
      </c>
      <c r="O37"/>
      <c r="P37" s="151">
        <f t="shared" si="11"/>
        <v>4</v>
      </c>
      <c r="R37" s="4">
        <f t="shared" ca="1" si="12"/>
        <v>4</v>
      </c>
      <c r="S37" s="2">
        <f>(IFERROR(VLOOKUP(D37,'Employee Numbers'!$A$3:$C$84,3,FALSE),"NOT FOUND"))*8</f>
        <v>4</v>
      </c>
      <c r="U37" s="142">
        <f t="shared" si="13"/>
        <v>1</v>
      </c>
      <c r="V37" s="142">
        <f t="shared" si="14"/>
        <v>1</v>
      </c>
      <c r="W37" s="2">
        <f t="shared" si="15"/>
        <v>1</v>
      </c>
      <c r="Y37" s="2">
        <f t="shared" si="16"/>
        <v>2</v>
      </c>
    </row>
    <row r="38" spans="1:25" s="2" customFormat="1" ht="15" customHeight="1">
      <c r="A38" s="2" t="s">
        <v>39</v>
      </c>
      <c r="B38" s="46"/>
      <c r="C38" s="21"/>
      <c r="D38" s="227" t="s">
        <v>68</v>
      </c>
      <c r="E38" s="226">
        <f>IFERROR(VLOOKUP(D38,'Employee Numbers'!$A$3:$B$84,2,FALSE),"NOT FOUND")</f>
        <v>627619</v>
      </c>
      <c r="F38" s="29" t="s">
        <v>44</v>
      </c>
      <c r="G38" s="31" t="s">
        <v>41</v>
      </c>
      <c r="H38" s="31"/>
      <c r="I38" s="31"/>
      <c r="J38" s="31"/>
      <c r="K38" s="31"/>
      <c r="L38" s="228"/>
      <c r="N38">
        <f t="array" ref="N38">((SUM(IFERROR((TEXT(IF(ISNUMBER(SEARCH("-", F38:L38)), MID(F38:L38, SEARCH("-", F38:L38) + 1, 4), ""), "00\:00") - TEXT(IF(ISNUMBER(SEARCH("-", F38:L38)), MID(F38:L38, SEARCH("-", F38:L38) - 4, 4), ""), "00\:00") + IF(TEXT(IF(ISNUMBER(SEARCH("-", F38:L38)), MID(F38:L38, SEARCH("-", F38:L38) + 1, 4), ""), "00\:00") &lt; TEXT(IF(ISNUMBER(SEARCH("-", F38:L38)), MID(F38:L38, SEARCH("-", F38:L38) - 4, 4), ""), "00\:00"), 1, 0))*24,""))))/9.5</f>
        <v>2</v>
      </c>
      <c r="O38"/>
      <c r="P38" s="151">
        <f t="shared" si="11"/>
        <v>2</v>
      </c>
      <c r="R38" s="4">
        <f t="shared" ca="1" si="12"/>
        <v>2</v>
      </c>
      <c r="S38" s="2">
        <f>(IFERROR(VLOOKUP(D38,'Employee Numbers'!$A$3:$C$84,3,FALSE),"NOT FOUND"))*8</f>
        <v>4</v>
      </c>
      <c r="U38" s="142">
        <f t="shared" si="13"/>
        <v>1</v>
      </c>
      <c r="V38" s="142">
        <f t="shared" si="14"/>
        <v>0</v>
      </c>
      <c r="W38" s="2">
        <f t="shared" si="15"/>
        <v>1</v>
      </c>
      <c r="Y38" s="2">
        <f t="shared" si="16"/>
        <v>0</v>
      </c>
    </row>
    <row r="39" spans="1:25" s="2" customFormat="1" ht="15" customHeight="1">
      <c r="A39" s="162" t="s">
        <v>39</v>
      </c>
      <c r="B39" s="163"/>
      <c r="C39" s="164"/>
      <c r="D39" s="240" t="s">
        <v>71</v>
      </c>
      <c r="E39" s="165">
        <f>IFERROR(VLOOKUP(D39,'Employee Numbers'!$A$3:$B$84,2,FALSE),"NOT FOUND")</f>
        <v>632646</v>
      </c>
      <c r="F39" s="176" t="s">
        <v>41</v>
      </c>
      <c r="G39" s="166"/>
      <c r="H39" s="166" t="s">
        <v>44</v>
      </c>
      <c r="I39" s="166"/>
      <c r="J39" s="166" t="s">
        <v>42</v>
      </c>
      <c r="K39" s="166"/>
      <c r="L39" s="167" t="s">
        <v>54</v>
      </c>
      <c r="N39">
        <f t="array" ref="N39">((SUM(IFERROR((TEXT(IF(ISNUMBER(SEARCH("-", F39:L39)), MID(F39:L39, SEARCH("-", F39:L39) + 1, 4), ""), "00\:00") - TEXT(IF(ISNUMBER(SEARCH("-", F39:L39)), MID(F39:L39, SEARCH("-", F39:L39) - 4, 4), ""), "00\:00") + IF(TEXT(IF(ISNUMBER(SEARCH("-", F39:L39)), MID(F39:L39, SEARCH("-", F39:L39) + 1, 4), ""), "00\:00") &lt; TEXT(IF(ISNUMBER(SEARCH("-", F39:L39)), MID(F39:L39, SEARCH("-", F39:L39) - 4, 4), ""), "00\:00"), 1, 0))*24,""))))/9.5</f>
        <v>4</v>
      </c>
      <c r="O39"/>
      <c r="P39" s="151">
        <f t="shared" si="11"/>
        <v>4</v>
      </c>
      <c r="R39" s="4">
        <f t="shared" ca="1" si="12"/>
        <v>4</v>
      </c>
      <c r="S39" s="2">
        <f>(IFERROR(VLOOKUP(D39,'Employee Numbers'!$A$3:$C$84,3,FALSE),"NOT FOUND"))*8</f>
        <v>4</v>
      </c>
      <c r="U39" s="142">
        <f t="shared" si="13"/>
        <v>1</v>
      </c>
      <c r="V39" s="142">
        <f t="shared" si="14"/>
        <v>2</v>
      </c>
      <c r="W39" s="2">
        <f t="shared" si="15"/>
        <v>1</v>
      </c>
      <c r="Y39" s="2">
        <f t="shared" si="16"/>
        <v>1</v>
      </c>
    </row>
    <row r="40" spans="1:25" s="2" customFormat="1" ht="15" customHeight="1">
      <c r="A40" s="2" t="s">
        <v>39</v>
      </c>
      <c r="B40" s="46"/>
      <c r="C40" s="21"/>
      <c r="D40" s="229" t="s">
        <v>72</v>
      </c>
      <c r="E40" s="226">
        <f>IFERROR(VLOOKUP(D40,'Employee Numbers'!$A$3:$B$84,2,FALSE),"NOT FOUND")</f>
        <v>652844</v>
      </c>
      <c r="F40" s="29"/>
      <c r="G40" s="31"/>
      <c r="H40" s="31"/>
      <c r="I40" s="31"/>
      <c r="J40" s="31"/>
      <c r="K40" s="31"/>
      <c r="L40" s="228"/>
      <c r="N40">
        <f t="array" ref="N40">((SUM(IFERROR((TEXT(IF(ISNUMBER(SEARCH("-", F40:L40)), MID(F40:L40, SEARCH("-", F40:L40) + 1, 4), ""), "00\:00") - TEXT(IF(ISNUMBER(SEARCH("-", F40:L40)), MID(F40:L40, SEARCH("-", F40:L40) - 4, 4), ""), "00\:00") + IF(TEXT(IF(ISNUMBER(SEARCH("-", F40:L40)), MID(F40:L40, SEARCH("-", F40:L40) + 1, 4), ""), "00\:00") &lt; TEXT(IF(ISNUMBER(SEARCH("-", F40:L40)), MID(F40:L40, SEARCH("-", F40:L40) - 4, 4), ""), "00\:00"), 1, 0))*24,""))))/9.5</f>
        <v>0</v>
      </c>
      <c r="O40"/>
      <c r="P40" s="151">
        <f t="shared" si="11"/>
        <v>0</v>
      </c>
      <c r="R40" s="4">
        <f t="shared" ca="1" si="12"/>
        <v>0</v>
      </c>
      <c r="S40" s="2">
        <f>(IFERROR(VLOOKUP(D40,'Employee Numbers'!$A$3:$C$84,3,FALSE),"NOT FOUND"))*8</f>
        <v>4</v>
      </c>
      <c r="U40" s="142">
        <f t="shared" si="13"/>
        <v>0</v>
      </c>
      <c r="V40" s="142">
        <f t="shared" si="14"/>
        <v>0</v>
      </c>
      <c r="W40" s="2">
        <f t="shared" si="15"/>
        <v>0</v>
      </c>
      <c r="Y40" s="2">
        <f t="shared" si="16"/>
        <v>0</v>
      </c>
    </row>
    <row r="41" spans="1:25" s="2" customFormat="1" ht="15" customHeight="1">
      <c r="A41" s="162" t="s">
        <v>39</v>
      </c>
      <c r="B41" s="163"/>
      <c r="C41" s="164"/>
      <c r="D41" s="241" t="s">
        <v>73</v>
      </c>
      <c r="E41" s="165">
        <f>IFERROR(VLOOKUP(D41,'Employee Numbers'!$A$3:$B$84,2,FALSE),"NOT FOUND")</f>
        <v>634491</v>
      </c>
      <c r="F41" s="176"/>
      <c r="G41" s="166"/>
      <c r="H41" s="166"/>
      <c r="I41" s="166"/>
      <c r="J41" s="166"/>
      <c r="K41" s="166"/>
      <c r="L41" s="167"/>
      <c r="N41">
        <f t="array" ref="N41">((SUM(IFERROR((TEXT(IF(ISNUMBER(SEARCH("-", F41:L41)), MID(F41:L41, SEARCH("-", F41:L41) + 1, 4), ""), "00\:00") - TEXT(IF(ISNUMBER(SEARCH("-", F41:L41)), MID(F41:L41, SEARCH("-", F41:L41) - 4, 4), ""), "00\:00") + IF(TEXT(IF(ISNUMBER(SEARCH("-", F41:L41)), MID(F41:L41, SEARCH("-", F41:L41) + 1, 4), ""), "00\:00") &lt; TEXT(IF(ISNUMBER(SEARCH("-", F41:L41)), MID(F41:L41, SEARCH("-", F41:L41) - 4, 4), ""), "00\:00"), 1, 0))*24,""))))/9.5</f>
        <v>0</v>
      </c>
      <c r="O41"/>
      <c r="P41" s="151">
        <f t="shared" si="11"/>
        <v>0</v>
      </c>
      <c r="R41" s="4">
        <f t="shared" ca="1" si="12"/>
        <v>0</v>
      </c>
      <c r="S41" s="2">
        <f>(IFERROR(VLOOKUP(D41,'Employee Numbers'!$A$3:$C$84,3,FALSE),"NOT FOUND"))*8</f>
        <v>4</v>
      </c>
      <c r="U41" s="142">
        <f t="shared" si="13"/>
        <v>0</v>
      </c>
      <c r="V41" s="142">
        <f t="shared" si="14"/>
        <v>0</v>
      </c>
      <c r="W41" s="2">
        <f t="shared" si="15"/>
        <v>0</v>
      </c>
      <c r="Y41" s="2">
        <f t="shared" si="16"/>
        <v>0</v>
      </c>
    </row>
    <row r="42" spans="1:25" s="2" customFormat="1" ht="15" customHeight="1">
      <c r="A42" s="2" t="s">
        <v>39</v>
      </c>
      <c r="B42" s="46"/>
      <c r="C42" s="47"/>
      <c r="D42" s="227" t="s">
        <v>74</v>
      </c>
      <c r="E42" s="226">
        <f>IFERROR(VLOOKUP(D42,'Employee Numbers'!$A$3:$B$84,2,FALSE),"NOT FOUND")</f>
        <v>621988</v>
      </c>
      <c r="F42" s="29"/>
      <c r="G42" s="31"/>
      <c r="H42" s="31"/>
      <c r="I42" s="31"/>
      <c r="J42" s="31"/>
      <c r="K42" s="31"/>
      <c r="L42" s="228"/>
      <c r="N42">
        <f t="array" ref="N42">((SUM(IFERROR((TEXT(IF(ISNUMBER(SEARCH("-", F42:L42)), MID(F42:L42, SEARCH("-", F42:L42) + 1, 4), ""), "00\:00") - TEXT(IF(ISNUMBER(SEARCH("-", F42:L42)), MID(F42:L42, SEARCH("-", F42:L42) - 4, 4), ""), "00\:00") + IF(TEXT(IF(ISNUMBER(SEARCH("-", F42:L42)), MID(F42:L42, SEARCH("-", F42:L42) + 1, 4), ""), "00\:00") &lt; TEXT(IF(ISNUMBER(SEARCH("-", F42:L42)), MID(F42:L42, SEARCH("-", F42:L42) - 4, 4), ""), "00\:00"), 1, 0))*24,""))))/9.5</f>
        <v>0</v>
      </c>
      <c r="O42"/>
      <c r="P42" s="151">
        <f t="shared" si="11"/>
        <v>0</v>
      </c>
      <c r="R42" s="4">
        <f t="shared" ca="1" si="12"/>
        <v>0</v>
      </c>
      <c r="S42" s="2">
        <f>(IFERROR(VLOOKUP(D42,'Employee Numbers'!$A$3:$C$84,3,FALSE),"NOT FOUND"))*8</f>
        <v>4</v>
      </c>
      <c r="U42" s="142">
        <f t="shared" si="13"/>
        <v>0</v>
      </c>
      <c r="V42" s="142">
        <f t="shared" si="14"/>
        <v>0</v>
      </c>
      <c r="W42" s="2">
        <f t="shared" si="15"/>
        <v>0</v>
      </c>
      <c r="Y42" s="2">
        <f t="shared" si="16"/>
        <v>0</v>
      </c>
    </row>
    <row r="43" spans="1:25" s="2" customFormat="1" ht="15" customHeight="1">
      <c r="A43" s="162" t="s">
        <v>39</v>
      </c>
      <c r="B43" s="163"/>
      <c r="C43" s="238"/>
      <c r="D43" s="239" t="s">
        <v>76</v>
      </c>
      <c r="E43" s="165">
        <f>IFERROR(VLOOKUP(D43,'Employee Numbers'!$A$3:$B$84,2,FALSE),"NOT FOUND")</f>
        <v>409677</v>
      </c>
      <c r="F43" s="176" t="s">
        <v>63</v>
      </c>
      <c r="G43" s="166"/>
      <c r="H43" s="166"/>
      <c r="I43" s="166"/>
      <c r="J43" s="166"/>
      <c r="K43" s="166"/>
      <c r="L43" s="167"/>
      <c r="N43">
        <f t="array" ref="N43">((SUM(IFERROR((TEXT(IF(ISNUMBER(SEARCH("-", F43:L43)), MID(F43:L43, SEARCH("-", F43:L43) + 1, 4), ""), "00\:00") - TEXT(IF(ISNUMBER(SEARCH("-", F43:L43)), MID(F43:L43, SEARCH("-", F43:L43) - 4, 4), ""), "00\:00") + IF(TEXT(IF(ISNUMBER(SEARCH("-", F43:L43)), MID(F43:L43, SEARCH("-", F43:L43) + 1, 4), ""), "00\:00") &lt; TEXT(IF(ISNUMBER(SEARCH("-", F43:L43)), MID(F43:L43, SEARCH("-", F43:L43) - 4, 4), ""), "00\:00"), 1, 0))*24,""))))/9.5</f>
        <v>1</v>
      </c>
      <c r="O43"/>
      <c r="P43" s="151">
        <f t="shared" si="11"/>
        <v>1</v>
      </c>
      <c r="R43" s="4">
        <f t="shared" ca="1" si="12"/>
        <v>1</v>
      </c>
      <c r="S43" s="2">
        <f>(IFERROR(VLOOKUP(D43,'Employee Numbers'!$A$3:$C$84,3,FALSE),"NOT FOUND"))*8</f>
        <v>3</v>
      </c>
      <c r="U43" s="142">
        <f t="shared" si="13"/>
        <v>0</v>
      </c>
      <c r="V43" s="142">
        <f t="shared" si="14"/>
        <v>0</v>
      </c>
      <c r="W43" s="2">
        <f t="shared" si="15"/>
        <v>1</v>
      </c>
      <c r="Y43" s="2">
        <f t="shared" si="16"/>
        <v>0</v>
      </c>
    </row>
    <row r="44" spans="1:25" s="2" customFormat="1" ht="15" customHeight="1">
      <c r="A44" s="2" t="s">
        <v>39</v>
      </c>
      <c r="B44" s="46"/>
      <c r="C44" s="47"/>
      <c r="D44" s="249" t="s">
        <v>77</v>
      </c>
      <c r="E44" s="226">
        <f>IFERROR(VLOOKUP(D44,'Employee Numbers'!$A$3:$B$84,2,FALSE),"NOT FOUND")</f>
        <v>632590</v>
      </c>
      <c r="F44" s="29"/>
      <c r="G44" s="31"/>
      <c r="H44" s="31"/>
      <c r="I44" s="257" t="s">
        <v>44</v>
      </c>
      <c r="J44" s="31" t="s">
        <v>41</v>
      </c>
      <c r="K44" s="31" t="s">
        <v>54</v>
      </c>
      <c r="L44" s="228" t="s">
        <v>54</v>
      </c>
      <c r="N44">
        <f t="array" ref="N44">((SUM(IFERROR((TEXT(IF(ISNUMBER(SEARCH("-", F44:L44)), MID(F44:L44, SEARCH("-", F44:L44) + 1, 4), ""), "00\:00") - TEXT(IF(ISNUMBER(SEARCH("-", F44:L44)), MID(F44:L44, SEARCH("-", F44:L44) - 4, 4), ""), "00\:00") + IF(TEXT(IF(ISNUMBER(SEARCH("-", F44:L44)), MID(F44:L44, SEARCH("-", F44:L44) + 1, 4), ""), "00\:00") &lt; TEXT(IF(ISNUMBER(SEARCH("-", F44:L44)), MID(F44:L44, SEARCH("-", F44:L44) - 4, 4), ""), "00\:00"), 1, 0))*24,""))))/9.5</f>
        <v>4</v>
      </c>
      <c r="O44"/>
      <c r="P44" s="151">
        <f t="shared" si="11"/>
        <v>4</v>
      </c>
      <c r="R44" s="4">
        <f t="shared" ca="1" si="12"/>
        <v>4</v>
      </c>
      <c r="S44" s="2">
        <f>(IFERROR(VLOOKUP(D44,'Employee Numbers'!$A$3:$C$84,3,FALSE),"NOT FOUND"))*8</f>
        <v>4</v>
      </c>
      <c r="U44" s="142">
        <f t="shared" si="13"/>
        <v>1</v>
      </c>
      <c r="V44" s="142">
        <f t="shared" si="14"/>
        <v>2</v>
      </c>
      <c r="W44" s="2">
        <f t="shared" si="15"/>
        <v>1</v>
      </c>
      <c r="Y44" s="2">
        <f t="shared" si="16"/>
        <v>2</v>
      </c>
    </row>
    <row r="45" spans="1:25" s="2" customFormat="1" ht="15" customHeight="1">
      <c r="A45" s="162" t="s">
        <v>39</v>
      </c>
      <c r="B45" s="163"/>
      <c r="C45" s="238"/>
      <c r="D45" s="240" t="s">
        <v>78</v>
      </c>
      <c r="E45" s="165">
        <f>IFERROR(VLOOKUP(D45,'Employee Numbers'!$A$3:$B$84,2,FALSE),"NOT FOUND")</f>
        <v>619537</v>
      </c>
      <c r="F45" s="176" t="s">
        <v>44</v>
      </c>
      <c r="G45" s="166"/>
      <c r="H45" s="166"/>
      <c r="I45" s="166"/>
      <c r="J45" s="166"/>
      <c r="K45" s="166"/>
      <c r="L45" s="167"/>
      <c r="N45">
        <f t="array" ref="N45">((SUM(IFERROR((TEXT(IF(ISNUMBER(SEARCH("-", F45:L45)), MID(F45:L45, SEARCH("-", F45:L45) + 1, 4), ""), "00\:00") - TEXT(IF(ISNUMBER(SEARCH("-", F45:L45)), MID(F45:L45, SEARCH("-", F45:L45) - 4, 4), ""), "00\:00") + IF(TEXT(IF(ISNUMBER(SEARCH("-", F45:L45)), MID(F45:L45, SEARCH("-", F45:L45) + 1, 4), ""), "00\:00") &lt; TEXT(IF(ISNUMBER(SEARCH("-", F45:L45)), MID(F45:L45, SEARCH("-", F45:L45) - 4, 4), ""), "00\:00"), 1, 0))*24,""))))/9.5</f>
        <v>1</v>
      </c>
      <c r="O45"/>
      <c r="P45" s="151">
        <f t="shared" si="11"/>
        <v>1</v>
      </c>
      <c r="R45" s="4">
        <f t="shared" ca="1" si="12"/>
        <v>1</v>
      </c>
      <c r="S45" s="2">
        <f>(IFERROR(VLOOKUP(D45,'Employee Numbers'!$A$3:$C$84,3,FALSE),"NOT FOUND"))*8</f>
        <v>1</v>
      </c>
      <c r="U45" s="142">
        <f t="shared" si="13"/>
        <v>1</v>
      </c>
      <c r="V45" s="142">
        <f t="shared" si="14"/>
        <v>0</v>
      </c>
      <c r="W45" s="2">
        <f t="shared" si="15"/>
        <v>0</v>
      </c>
      <c r="Y45" s="2">
        <f t="shared" si="16"/>
        <v>0</v>
      </c>
    </row>
    <row r="46" spans="1:25" s="2" customFormat="1" ht="15" customHeight="1">
      <c r="A46" s="2" t="s">
        <v>39</v>
      </c>
      <c r="B46" s="46"/>
      <c r="C46" s="47"/>
      <c r="D46" s="229" t="s">
        <v>79</v>
      </c>
      <c r="E46" s="226">
        <f>IFERROR(VLOOKUP(D46,'Employee Numbers'!$A$3:$B$84,2,FALSE),"NOT FOUND")</f>
        <v>621953</v>
      </c>
      <c r="F46" s="29"/>
      <c r="G46" s="31"/>
      <c r="H46" s="136"/>
      <c r="I46" s="136"/>
      <c r="J46" s="136"/>
      <c r="K46" s="257" t="s">
        <v>44</v>
      </c>
      <c r="L46" s="232"/>
      <c r="N46">
        <f t="array" ref="N46">((SUM(IFERROR((TEXT(IF(ISNUMBER(SEARCH("-", F46:L46)), MID(F46:L46, SEARCH("-", F46:L46) + 1, 4), ""), "00\:00") - TEXT(IF(ISNUMBER(SEARCH("-", F46:L46)), MID(F46:L46, SEARCH("-", F46:L46) - 4, 4), ""), "00\:00") + IF(TEXT(IF(ISNUMBER(SEARCH("-", F46:L46)), MID(F46:L46, SEARCH("-", F46:L46) + 1, 4), ""), "00\:00") &lt; TEXT(IF(ISNUMBER(SEARCH("-", F46:L46)), MID(F46:L46, SEARCH("-", F46:L46) - 4, 4), ""), "00\:00"), 1, 0))*24,""))))/9.5</f>
        <v>1</v>
      </c>
      <c r="O46"/>
      <c r="P46" s="151">
        <f t="shared" si="11"/>
        <v>1</v>
      </c>
      <c r="R46" s="4">
        <f t="shared" ca="1" si="12"/>
        <v>1</v>
      </c>
      <c r="S46" s="2">
        <f>(IFERROR(VLOOKUP(D46,'Employee Numbers'!$A$3:$C$84,3,FALSE),"NOT FOUND"))*8</f>
        <v>1</v>
      </c>
      <c r="U46" s="142">
        <f t="shared" si="13"/>
        <v>1</v>
      </c>
      <c r="V46" s="142">
        <f t="shared" si="14"/>
        <v>0</v>
      </c>
      <c r="W46" s="2">
        <f t="shared" si="15"/>
        <v>0</v>
      </c>
      <c r="Y46" s="2">
        <f t="shared" si="16"/>
        <v>1</v>
      </c>
    </row>
    <row r="47" spans="1:25" s="2" customFormat="1" ht="15" customHeight="1">
      <c r="A47" s="162" t="s">
        <v>39</v>
      </c>
      <c r="B47" s="163"/>
      <c r="C47" s="164"/>
      <c r="D47" s="242" t="s">
        <v>80</v>
      </c>
      <c r="E47" s="165">
        <f>IFERROR(VLOOKUP(D47,'Employee Numbers'!$A$3:$B$84,2,FALSE),"NOT FOUND")</f>
        <v>614504</v>
      </c>
      <c r="F47" s="176"/>
      <c r="G47" s="166" t="s">
        <v>44</v>
      </c>
      <c r="H47" s="166"/>
      <c r="I47" s="166"/>
      <c r="J47" s="166"/>
      <c r="K47" s="166"/>
      <c r="L47" s="167"/>
      <c r="N47">
        <f t="array" ref="N47">((SUM(IFERROR((TEXT(IF(ISNUMBER(SEARCH("-", F47:L47)), MID(F47:L47, SEARCH("-", F47:L47) + 1, 4), ""), "00\:00") - TEXT(IF(ISNUMBER(SEARCH("-", F47:L47)), MID(F47:L47, SEARCH("-", F47:L47) - 4, 4), ""), "00\:00") + IF(TEXT(IF(ISNUMBER(SEARCH("-", F47:L47)), MID(F47:L47, SEARCH("-", F47:L47) + 1, 4), ""), "00\:00") &lt; TEXT(IF(ISNUMBER(SEARCH("-", F47:L47)), MID(F47:L47, SEARCH("-", F47:L47) - 4, 4), ""), "00\:00"), 1, 0))*24,""))))/9.5</f>
        <v>1</v>
      </c>
      <c r="O47"/>
      <c r="P47" s="178">
        <f t="shared" si="11"/>
        <v>1</v>
      </c>
      <c r="R47" s="3">
        <f t="shared" ca="1" si="12"/>
        <v>1</v>
      </c>
      <c r="S47" s="2">
        <f>(IFERROR(VLOOKUP(D47,'Employee Numbers'!$A$3:$C$84,3,FALSE),"NOT FOUND"))*8</f>
        <v>1</v>
      </c>
      <c r="U47" s="142">
        <f t="shared" si="13"/>
        <v>1</v>
      </c>
      <c r="V47" s="142">
        <f t="shared" si="14"/>
        <v>0</v>
      </c>
      <c r="W47" s="2">
        <f t="shared" si="15"/>
        <v>0</v>
      </c>
      <c r="Y47" s="2">
        <f t="shared" si="16"/>
        <v>0</v>
      </c>
    </row>
    <row r="48" spans="1:25" s="2" customFormat="1" ht="15" customHeight="1">
      <c r="A48" s="2" t="s">
        <v>39</v>
      </c>
      <c r="B48" s="46"/>
      <c r="C48" s="21"/>
      <c r="D48" s="230" t="s">
        <v>81</v>
      </c>
      <c r="E48" s="226" t="str">
        <f>IFERROR(VLOOKUP(D48,'Employee Numbers'!$A$3:$B$84,2,FALSE),"NOT FOUND")</f>
        <v>N/A</v>
      </c>
      <c r="F48" s="29"/>
      <c r="G48" s="31"/>
      <c r="H48" s="31"/>
      <c r="I48" s="31"/>
      <c r="J48" s="31"/>
      <c r="K48" s="31"/>
      <c r="L48" s="228"/>
    </row>
    <row r="49" spans="1:21" s="2" customFormat="1" ht="15" customHeight="1" thickBot="1">
      <c r="A49" s="162" t="s">
        <v>39</v>
      </c>
      <c r="B49" s="163"/>
      <c r="C49" s="238"/>
      <c r="D49" s="243" t="s">
        <v>81</v>
      </c>
      <c r="E49" s="248" t="str">
        <f>IFERROR(VLOOKUP(D49,'Employee Numbers'!$A$3:$B$84,2,FALSE),"NOT FOUND")</f>
        <v>N/A</v>
      </c>
      <c r="F49" s="245"/>
      <c r="G49" s="246"/>
      <c r="H49" s="246"/>
      <c r="I49" s="246"/>
      <c r="J49" s="246"/>
      <c r="K49" s="246"/>
      <c r="L49" s="247"/>
    </row>
    <row r="50" spans="1:21" s="2" customFormat="1" ht="15" customHeight="1" thickBot="1">
      <c r="B50" s="46"/>
      <c r="C50" s="21"/>
      <c r="D50" s="16" t="s">
        <v>82</v>
      </c>
      <c r="E50" s="58"/>
      <c r="F50" s="28" t="s">
        <v>77</v>
      </c>
      <c r="G50" s="59" t="s">
        <v>58</v>
      </c>
      <c r="H50" s="59" t="s">
        <v>52</v>
      </c>
      <c r="I50" s="59" t="s">
        <v>53</v>
      </c>
      <c r="J50" s="59" t="s">
        <v>43</v>
      </c>
      <c r="K50" s="59" t="s">
        <v>67</v>
      </c>
      <c r="L50" s="60" t="s">
        <v>57</v>
      </c>
    </row>
    <row r="51" spans="1:21" s="2" customFormat="1" ht="15" customHeight="1">
      <c r="B51" s="46"/>
      <c r="C51" s="21"/>
      <c r="E51" s="21"/>
      <c r="R51" s="2">
        <f>(N54+P54)*9.5/38*5</f>
        <v>3.75</v>
      </c>
    </row>
    <row r="52" spans="1:21" s="2" customFormat="1" ht="15.75" customHeight="1">
      <c r="B52" s="46"/>
      <c r="C52" s="21"/>
      <c r="E52" s="21"/>
      <c r="F52" s="126">
        <f t="shared" ref="F52:L52" si="17">F2</f>
        <v>46230</v>
      </c>
      <c r="G52" s="126">
        <f t="shared" si="17"/>
        <v>46231</v>
      </c>
      <c r="H52" s="126">
        <f t="shared" si="17"/>
        <v>46232</v>
      </c>
      <c r="I52" s="126">
        <f t="shared" si="17"/>
        <v>46233</v>
      </c>
      <c r="J52" s="126">
        <f t="shared" si="17"/>
        <v>46234</v>
      </c>
      <c r="K52" s="126">
        <f t="shared" si="17"/>
        <v>46235</v>
      </c>
      <c r="L52" s="126">
        <f t="shared" si="17"/>
        <v>46236</v>
      </c>
      <c r="M52" s="34"/>
      <c r="N52" s="152" t="s">
        <v>27</v>
      </c>
      <c r="O52" s="152" t="s">
        <v>83</v>
      </c>
      <c r="P52" s="152" t="s">
        <v>84</v>
      </c>
      <c r="Q52" s="2" t="s">
        <v>29</v>
      </c>
      <c r="R52" s="152" t="s">
        <v>85</v>
      </c>
      <c r="S52" s="152" t="s">
        <v>30</v>
      </c>
    </row>
    <row r="53" spans="1:21" s="2" customFormat="1" ht="30" customHeight="1">
      <c r="A53" s="168" t="s">
        <v>86</v>
      </c>
      <c r="B53" s="169"/>
      <c r="C53" s="169"/>
      <c r="D53" s="169" t="s">
        <v>86</v>
      </c>
      <c r="E53" s="127" t="s">
        <v>4</v>
      </c>
      <c r="F53" s="266" t="s">
        <v>5</v>
      </c>
      <c r="G53" s="267" t="s">
        <v>6</v>
      </c>
      <c r="H53" s="268" t="s">
        <v>87</v>
      </c>
      <c r="I53" s="267" t="s">
        <v>8</v>
      </c>
      <c r="J53" s="267" t="s">
        <v>9</v>
      </c>
      <c r="K53" s="267" t="s">
        <v>10</v>
      </c>
      <c r="L53" s="269" t="s">
        <v>11</v>
      </c>
      <c r="M53" s="34"/>
      <c r="N53" s="147" t="s">
        <v>32</v>
      </c>
      <c r="O53" s="147" t="s">
        <v>88</v>
      </c>
      <c r="P53" s="147" t="s">
        <v>89</v>
      </c>
      <c r="R53" s="145" t="s">
        <v>90</v>
      </c>
      <c r="S53" s="147" t="s">
        <v>32</v>
      </c>
    </row>
    <row r="54" spans="1:21" s="2" customFormat="1" ht="15" customHeight="1">
      <c r="A54" s="44" t="s">
        <v>91</v>
      </c>
      <c r="B54" s="44"/>
      <c r="C54" s="45"/>
      <c r="D54" s="123" t="s">
        <v>92</v>
      </c>
      <c r="E54" s="284">
        <f>IFERROR(VLOOKUP(D54,'Employee Numbers'!$A$3:$B$84,2,FALSE),"NOT FOUND")</f>
        <v>634905</v>
      </c>
      <c r="F54" s="264"/>
      <c r="G54" s="264" t="s">
        <v>41</v>
      </c>
      <c r="H54" s="264" t="s">
        <v>44</v>
      </c>
      <c r="I54" s="264"/>
      <c r="J54" s="275"/>
      <c r="K54" s="264"/>
      <c r="L54" s="264" t="s">
        <v>42</v>
      </c>
      <c r="N54">
        <f t="array" ref="N54">((SUM(IFERROR((TEXT(IF(ISNUMBER(SEARCH("-", F54:L54)), MID(F54:L54, SEARCH("-", F54:L54) + 1, 4), ""), "00\:00") - TEXT(IF(ISNUMBER(SEARCH("-", F54:L54)), MID(F54:L54, SEARCH("-", F54:L54) - 4, 4), ""), "00\:00") + IF(TEXT(IF(ISNUMBER(SEARCH("-", F54:L54)), MID(F54:L54, SEARCH("-", F54:L54) + 1, 4), ""), "00\:00") &lt; TEXT(IF(ISNUMBER(SEARCH("-", F54:L54)), MID(F54:L54, SEARCH("-", F54:L54) - 4, 4), ""), "00\:00"), 1, 0))*24,""))))/9.5</f>
        <v>3</v>
      </c>
      <c r="O54"/>
      <c r="P54"/>
      <c r="Q54" s="2">
        <f>P54+O54+N54</f>
        <v>3</v>
      </c>
      <c r="R54" s="2">
        <f>IF(ISNUMBER(SEARCH("trg_5",H146)),5,IF(ISNUMBER(SEARCH("trg_3.75",H146)),3.75,IF(ISNUMBER(SEARCH("trg_2.5",H146)),2.5,IF(ISNUMBER(SEARCH("trg_1.75",H146)),1.75,0))))</f>
        <v>3.75</v>
      </c>
      <c r="S54">
        <f ca="1">IF($C$4=1,SUM(Q54+INDIRECT("'Week "&amp;($B$3+1)&amp;"'!Q"&amp;(ROW()))),IF($C$4=2,SUM(Q54+INDIRECT("'Week "&amp;($B$3-1)&amp;"'!Q"&amp;(ROW())))))</f>
        <v>3</v>
      </c>
      <c r="T54" s="2">
        <f>(IFERROR(VLOOKUP(D54,'Employee Numbers'!$A$3:$C$84,3,FALSE),"NOT FOUND"))*8</f>
        <v>8</v>
      </c>
    </row>
    <row r="55" spans="1:21" s="13" customFormat="1" ht="15" customHeight="1">
      <c r="A55" s="2" t="s">
        <v>91</v>
      </c>
      <c r="B55" s="2"/>
      <c r="C55" s="21"/>
      <c r="D55" s="86" t="s">
        <v>93</v>
      </c>
      <c r="E55" s="285">
        <f>IFERROR(VLOOKUP(D55,'Employee Numbers'!$A$3:$B$84,2,FALSE),"NOT FOUND")</f>
        <v>704751</v>
      </c>
      <c r="F55" s="264" t="s">
        <v>42</v>
      </c>
      <c r="G55" s="264" t="s">
        <v>42</v>
      </c>
      <c r="H55" s="264"/>
      <c r="I55" s="264"/>
      <c r="J55" s="264"/>
      <c r="K55" s="264" t="s">
        <v>42</v>
      </c>
      <c r="L55" s="264" t="s">
        <v>42</v>
      </c>
      <c r="N55">
        <f t="array" ref="N55">((SUM(IFERROR((TEXT(IF(ISNUMBER(SEARCH("-", F55:L55)), MID(F55:L55, SEARCH("-", F55:L55) + 1, 4), ""), "00\:00") - TEXT(IF(ISNUMBER(SEARCH("-", F55:L55)), MID(F55:L55, SEARCH("-", F55:L55) - 4, 4), ""), "00\:00") + IF(TEXT(IF(ISNUMBER(SEARCH("-", F55:L55)), MID(F55:L55, SEARCH("-", F55:L55) + 1, 4), ""), "00\:00") &lt; TEXT(IF(ISNUMBER(SEARCH("-", F55:L55)), MID(F55:L55, SEARCH("-", F55:L55) - 4, 4), ""), "00\:00"), 1, 0))*24,""))))/9.5</f>
        <v>4</v>
      </c>
      <c r="O55"/>
      <c r="P55"/>
      <c r="Q55" s="2">
        <f t="shared" ref="Q55:Q59" si="18">P55+O55+N55</f>
        <v>4</v>
      </c>
      <c r="R55" s="2">
        <f t="shared" ref="R55:R59" si="19">IF(ISNUMBER(SEARCH("trg_5",H147)),5,IF(ISNUMBER(SEARCH("trg_3.75",H147)),3.75,IF(ISNUMBER(SEARCH("trg_2.5",H147)),2.5,IF(ISNUMBER(SEARCH("trg_1.75",H147)),1.75,0))))</f>
        <v>5</v>
      </c>
      <c r="S55">
        <f t="shared" ref="S55:S59" ca="1" si="20">IF($C$4=1,SUM(Q55+INDIRECT("'Week "&amp;($B$3+1)&amp;"'!Q"&amp;(ROW()))),IF($C$4=2,SUM(Q55+INDIRECT("'Week "&amp;($B$3-1)&amp;"'!Q"&amp;(ROW())))))</f>
        <v>4</v>
      </c>
      <c r="T55" s="2">
        <f>(IFERROR(VLOOKUP(D55,'Employee Numbers'!$A$3:$C$84,3,FALSE),"NOT FOUND"))*8</f>
        <v>0</v>
      </c>
      <c r="U55" s="2"/>
    </row>
    <row r="56" spans="1:21" s="2" customFormat="1" ht="15" customHeight="1">
      <c r="A56" s="44" t="s">
        <v>91</v>
      </c>
      <c r="B56" s="44"/>
      <c r="C56" s="45"/>
      <c r="D56" s="85" t="s">
        <v>94</v>
      </c>
      <c r="E56" s="285">
        <f>IFERROR(VLOOKUP(D56,'Employee Numbers'!$A$3:$B$84,2,FALSE),"NOT FOUND")</f>
        <v>637219</v>
      </c>
      <c r="F56" s="264"/>
      <c r="G56" s="264" t="s">
        <v>41</v>
      </c>
      <c r="H56" s="264" t="s">
        <v>44</v>
      </c>
      <c r="I56" s="264" t="s">
        <v>42</v>
      </c>
      <c r="J56" s="264" t="s">
        <v>42</v>
      </c>
      <c r="K56" s="264"/>
      <c r="L56" s="264"/>
      <c r="N56">
        <f t="array" ref="N56">((SUM(IFERROR((TEXT(IF(ISNUMBER(SEARCH("-", F56:L56)), MID(F56:L56, SEARCH("-", F56:L56) + 1, 4), ""), "00\:00") - TEXT(IF(ISNUMBER(SEARCH("-", F56:L56)), MID(F56:L56, SEARCH("-", F56:L56) - 4, 4), ""), "00\:00") + IF(TEXT(IF(ISNUMBER(SEARCH("-", F56:L56)), MID(F56:L56, SEARCH("-", F56:L56) + 1, 4), ""), "00\:00") &lt; TEXT(IF(ISNUMBER(SEARCH("-", F56:L56)), MID(F56:L56, SEARCH("-", F56:L56) - 4, 4), ""), "00\:00"), 1, 0))*24,""))))/9.5</f>
        <v>4</v>
      </c>
      <c r="O56"/>
      <c r="P56"/>
      <c r="Q56" s="2">
        <f t="shared" si="18"/>
        <v>4</v>
      </c>
      <c r="R56" s="2">
        <f t="shared" si="19"/>
        <v>5</v>
      </c>
      <c r="S56">
        <f t="shared" ca="1" si="20"/>
        <v>4</v>
      </c>
      <c r="T56" s="2">
        <f>(IFERROR(VLOOKUP(D56,'Employee Numbers'!$A$3:$C$84,3,FALSE),"NOT FOUND"))*8</f>
        <v>0</v>
      </c>
    </row>
    <row r="57" spans="1:21" s="13" customFormat="1" ht="15" customHeight="1">
      <c r="A57" s="2" t="s">
        <v>91</v>
      </c>
      <c r="B57" s="2"/>
      <c r="C57" s="21"/>
      <c r="D57" s="86"/>
      <c r="E57" s="39" t="str">
        <f>IFERROR(VLOOKUP(D57,'Employee Numbers'!$A$3:$B$84,2,FALSE),"NOT FOUND")</f>
        <v>NOT FOUND</v>
      </c>
      <c r="F57" s="125"/>
      <c r="G57" s="125"/>
      <c r="H57" s="125"/>
      <c r="I57" s="125"/>
      <c r="J57" s="125"/>
      <c r="K57" s="125"/>
      <c r="L57" s="125"/>
      <c r="N57">
        <f t="array" ref="N57">((SUM(IFERROR((TEXT(IF(ISNUMBER(SEARCH("-", F57:L57)), MID(F57:L57, SEARCH("-", F57:L57) + 1, 4), ""), "00\:00") - TEXT(IF(ISNUMBER(SEARCH("-", F57:L57)), MID(F57:L57, SEARCH("-", F57:L57) - 4, 4), ""), "00\:00") + IF(TEXT(IF(ISNUMBER(SEARCH("-", F57:L57)), MID(F57:L57, SEARCH("-", F57:L57) + 1, 4), ""), "00\:00") &lt; TEXT(IF(ISNUMBER(SEARCH("-", F57:L57)), MID(F57:L57, SEARCH("-", F57:L57) - 4, 4), ""), "00\:00"), 1, 0))*24,""))))/9.5</f>
        <v>0</v>
      </c>
      <c r="O57"/>
      <c r="P57"/>
      <c r="Q57" s="2">
        <f t="shared" si="18"/>
        <v>0</v>
      </c>
      <c r="R57" s="2">
        <f t="shared" si="19"/>
        <v>2.5</v>
      </c>
      <c r="S57">
        <f t="shared" ca="1" si="20"/>
        <v>0</v>
      </c>
      <c r="T57" s="2" t="e">
        <f>(IFERROR(VLOOKUP(D57,'Employee Numbers'!$A$3:$C$84,3,FALSE),"NOT FOUND"))*8</f>
        <v>#VALUE!</v>
      </c>
      <c r="U57" s="2"/>
    </row>
    <row r="58" spans="1:21" s="2" customFormat="1" ht="15" customHeight="1">
      <c r="A58" s="44" t="s">
        <v>91</v>
      </c>
      <c r="B58" s="44"/>
      <c r="C58" s="45"/>
      <c r="D58" s="85"/>
      <c r="E58" s="39" t="str">
        <f>IFERROR(VLOOKUP(D58,'Employee Numbers'!$A$3:$B$84,2,FALSE),"NOT FOUND")</f>
        <v>NOT FOUND</v>
      </c>
      <c r="F58" s="110"/>
      <c r="G58" s="110"/>
      <c r="H58" s="110"/>
      <c r="I58" s="110"/>
      <c r="J58" s="110"/>
      <c r="K58" s="110"/>
      <c r="L58" s="110"/>
      <c r="N58">
        <f t="array" ref="N58">((SUM(IFERROR((TEXT(IF(ISNUMBER(SEARCH("-", F58:L58)), MID(F58:L58, SEARCH("-", F58:L58) + 1, 4), ""), "00\:00") - TEXT(IF(ISNUMBER(SEARCH("-", F58:L58)), MID(F58:L58, SEARCH("-", F58:L58) - 4, 4), ""), "00\:00") + IF(TEXT(IF(ISNUMBER(SEARCH("-", F58:L58)), MID(F58:L58, SEARCH("-", F58:L58) + 1, 4), ""), "00\:00") &lt; TEXT(IF(ISNUMBER(SEARCH("-", F58:L58)), MID(F58:L58, SEARCH("-", F58:L58) - 4, 4), ""), "00\:00"), 1, 0))*24,""))))/9.5</f>
        <v>0</v>
      </c>
      <c r="O58"/>
      <c r="P58"/>
      <c r="Q58" s="2">
        <f t="shared" si="18"/>
        <v>0</v>
      </c>
      <c r="R58" s="2">
        <f t="shared" si="19"/>
        <v>2.5</v>
      </c>
      <c r="S58">
        <f t="shared" ca="1" si="20"/>
        <v>0</v>
      </c>
      <c r="T58" s="2" t="e">
        <f>(IFERROR(VLOOKUP(D58,'Employee Numbers'!$A$3:$C$84,3,FALSE),"NOT FOUND"))*8</f>
        <v>#VALUE!</v>
      </c>
    </row>
    <row r="59" spans="1:21" s="13" customFormat="1" ht="15" customHeight="1">
      <c r="A59" s="2" t="s">
        <v>91</v>
      </c>
      <c r="B59" s="2"/>
      <c r="C59" s="21"/>
      <c r="D59" s="86"/>
      <c r="E59" s="39" t="str">
        <f>IFERROR(VLOOKUP(D59,'Employee Numbers'!$A$3:$B$84,2,FALSE),"NOT FOUND")</f>
        <v>NOT FOUND</v>
      </c>
      <c r="F59" s="110"/>
      <c r="G59" s="110"/>
      <c r="H59" s="110"/>
      <c r="I59" s="110"/>
      <c r="J59" s="110"/>
      <c r="K59" s="110"/>
      <c r="L59" s="110"/>
      <c r="N59">
        <f t="array" ref="N59">((SUM(IFERROR((TEXT(IF(ISNUMBER(SEARCH("-", F59:L59)), MID(F59:L59, SEARCH("-", F59:L59) + 1, 4), ""), "00\:00") - TEXT(IF(ISNUMBER(SEARCH("-", F59:L59)), MID(F59:L59, SEARCH("-", F59:L59) - 4, 4), ""), "00\:00") + IF(TEXT(IF(ISNUMBER(SEARCH("-", F59:L59)), MID(F59:L59, SEARCH("-", F59:L59) + 1, 4), ""), "00\:00") &lt; TEXT(IF(ISNUMBER(SEARCH("-", F59:L59)), MID(F59:L59, SEARCH("-", F59:L59) - 4, 4), ""), "00\:00"), 1, 0))*24,""))))/9.5</f>
        <v>0</v>
      </c>
      <c r="O59"/>
      <c r="P59"/>
      <c r="Q59" s="2">
        <f t="shared" si="18"/>
        <v>0</v>
      </c>
      <c r="R59" s="2">
        <f t="shared" si="19"/>
        <v>2.5</v>
      </c>
      <c r="S59">
        <f t="shared" ca="1" si="20"/>
        <v>0</v>
      </c>
      <c r="T59" s="2" t="e">
        <f>(IFERROR(VLOOKUP(D59,'Employee Numbers'!$A$3:$C$84,3,FALSE),"NOT FOUND"))*8</f>
        <v>#VALUE!</v>
      </c>
      <c r="U59" s="2"/>
    </row>
    <row r="60" spans="1:21" s="2" customFormat="1" ht="30" customHeight="1">
      <c r="A60" s="170" t="s">
        <v>96</v>
      </c>
      <c r="B60" s="131"/>
      <c r="C60" s="132"/>
      <c r="D60" s="171" t="s">
        <v>97</v>
      </c>
      <c r="E60" s="133" t="s">
        <v>4</v>
      </c>
      <c r="F60" s="270" t="s">
        <v>5</v>
      </c>
      <c r="G60" s="270" t="s">
        <v>6</v>
      </c>
      <c r="H60" s="271" t="s">
        <v>87</v>
      </c>
      <c r="I60" s="270" t="s">
        <v>8</v>
      </c>
      <c r="J60" s="270" t="s">
        <v>9</v>
      </c>
      <c r="K60" s="270" t="s">
        <v>10</v>
      </c>
      <c r="L60" s="272" t="s">
        <v>11</v>
      </c>
      <c r="N60"/>
      <c r="O60"/>
      <c r="P60"/>
    </row>
    <row r="61" spans="1:21" s="2" customFormat="1" ht="15" customHeight="1">
      <c r="A61" s="2" t="s">
        <v>98</v>
      </c>
      <c r="C61" s="47"/>
      <c r="D61" s="262" t="s">
        <v>99</v>
      </c>
      <c r="E61" s="284">
        <f>IFERROR(VLOOKUP(D61,'Employee Numbers'!$A$3:$B$84,2,FALSE),"NOT FOUND")</f>
        <v>638531</v>
      </c>
      <c r="F61" s="274" t="s">
        <v>176</v>
      </c>
      <c r="G61" s="274"/>
      <c r="H61" s="274"/>
      <c r="I61" s="274"/>
      <c r="J61" s="274"/>
      <c r="K61" s="274"/>
      <c r="L61" s="274"/>
      <c r="N61">
        <f t="array" ref="N61">((SUM(IFERROR((TEXT(IF(ISNUMBER(SEARCH("-", F61:L61)), MID(F61:L61, SEARCH("-", F61:L61) + 1, 4), ""), "00\:00") - TEXT(IF(ISNUMBER(SEARCH("-", F61:L61)), MID(F61:L61, SEARCH("-", F61:L61) - 4, 4), ""), "00\:00") + IF(TEXT(IF(ISNUMBER(SEARCH("-", F61:L61)), MID(F61:L61, SEARCH("-", F61:L61) + 1, 4), ""), "00\:00") &lt; TEXT(IF(ISNUMBER(SEARCH("-", F61:L61)), MID(F61:L61, SEARCH("-", F61:L61) - 4, 4), ""), "00\:00"), 1, 0))*24,""))))/9.5</f>
        <v>0</v>
      </c>
      <c r="O61"/>
      <c r="P61"/>
      <c r="Q61" s="2">
        <f>P61+O61+N61</f>
        <v>0</v>
      </c>
      <c r="R61" s="2">
        <f>IF(ISNUMBER(SEARCH("trg_5",H153)),5,IF(ISNUMBER(SEARCH("trg_3.75",H153)),3.75,IF(ISNUMBER(SEARCH("trg_2.5",H153)),2.5,IF(ISNUMBER(SEARCH("trg_1.75",H153)),1.75,0))))</f>
        <v>0</v>
      </c>
      <c r="S61">
        <f ca="1">IF($C$4=1,SUM(Q61+INDIRECT("'Week "&amp;($B$3+1)&amp;"'!Q"&amp;(ROW()))),IF($C$4=2,SUM(Q61+INDIRECT("'Week "&amp;($B$3-1)&amp;"'!Q"&amp;(ROW())))))</f>
        <v>0</v>
      </c>
      <c r="T61" s="2">
        <f>(IFERROR(VLOOKUP(D61,'Employee Numbers'!$A$3:$C$84,3,FALSE),"NOT FOUND"))*8</f>
        <v>0</v>
      </c>
    </row>
    <row r="62" spans="1:21" s="2" customFormat="1" ht="15" customHeight="1">
      <c r="A62" s="44" t="s">
        <v>98</v>
      </c>
      <c r="B62" s="44"/>
      <c r="C62" s="45"/>
      <c r="D62" s="262" t="s">
        <v>101</v>
      </c>
      <c r="E62" s="285">
        <f>IFERROR(VLOOKUP(D62,'Employee Numbers'!$A$3:$B$84,2,FALSE),"NOT FOUND")</f>
        <v>631715</v>
      </c>
      <c r="F62" s="264"/>
      <c r="G62" s="264" t="s">
        <v>44</v>
      </c>
      <c r="H62" s="264" t="s">
        <v>42</v>
      </c>
      <c r="I62" s="264" t="s">
        <v>42</v>
      </c>
      <c r="J62" s="264" t="s">
        <v>42</v>
      </c>
      <c r="K62" s="264"/>
      <c r="L62" s="264"/>
      <c r="N62">
        <f t="array" ref="N62">((SUM(IFERROR((TEXT(IF(ISNUMBER(SEARCH("-", F62:L62)), MID(F62:L62, SEARCH("-", F62:L62) + 1, 4), ""), "00\:00") - TEXT(IF(ISNUMBER(SEARCH("-", F62:L62)), MID(F62:L62, SEARCH("-", F62:L62) - 4, 4), ""), "00\:00") + IF(TEXT(IF(ISNUMBER(SEARCH("-", F62:L62)), MID(F62:L62, SEARCH("-", F62:L62) + 1, 4), ""), "00\:00") &lt; TEXT(IF(ISNUMBER(SEARCH("-", F62:L62)), MID(F62:L62, SEARCH("-", F62:L62) - 4, 4), ""), "00\:00"), 1, 0))*24,""))))/9.5</f>
        <v>4</v>
      </c>
      <c r="O62"/>
      <c r="P62"/>
      <c r="Q62" s="2">
        <f t="shared" ref="Q62:Q80" si="21">P62+O62+N62</f>
        <v>4</v>
      </c>
      <c r="R62" s="2">
        <f t="shared" ref="R62:R80" si="22">IF(ISNUMBER(SEARCH("trg_5",H154)),5,IF(ISNUMBER(SEARCH("trg_3.75",H154)),3.75,IF(ISNUMBER(SEARCH("trg_2.5",H154)),2.5,IF(ISNUMBER(SEARCH("trg_1.75",H154)),1.75,0))))</f>
        <v>5</v>
      </c>
      <c r="S62">
        <f t="shared" ref="S62:S84" ca="1" si="23">IF($C$4=1,SUM(Q62+INDIRECT("'Week "&amp;($B$3+1)&amp;"'!Q"&amp;(ROW()))),IF($C$4=2,SUM(Q62+INDIRECT("'Week "&amp;($B$3-1)&amp;"'!Q"&amp;(ROW())))))</f>
        <v>4</v>
      </c>
      <c r="T62" s="2">
        <f>(IFERROR(VLOOKUP(D62,'Employee Numbers'!$A$3:$C$84,3,FALSE),"NOT FOUND"))*8</f>
        <v>0</v>
      </c>
    </row>
    <row r="63" spans="1:21" s="13" customFormat="1" ht="15" customHeight="1">
      <c r="A63" s="2" t="s">
        <v>98</v>
      </c>
      <c r="B63" s="2"/>
      <c r="C63" s="21"/>
      <c r="D63" s="262" t="s">
        <v>103</v>
      </c>
      <c r="E63" s="285">
        <f>IFERROR(VLOOKUP(D63,'Employee Numbers'!$A$3:$B$84,2,FALSE),"NOT FOUND")</f>
        <v>703719</v>
      </c>
      <c r="F63" s="264" t="s">
        <v>44</v>
      </c>
      <c r="G63" s="264" t="s">
        <v>42</v>
      </c>
      <c r="H63" s="264" t="s">
        <v>42</v>
      </c>
      <c r="I63" s="264"/>
      <c r="J63" s="264"/>
      <c r="K63" s="264"/>
      <c r="L63" s="264"/>
      <c r="N63">
        <f t="array" ref="N63">((SUM(IFERROR((TEXT(IF(ISNUMBER(SEARCH("-", F63:L63)), MID(F63:L63, SEARCH("-", F63:L63) + 1, 4), ""), "00\:00") - TEXT(IF(ISNUMBER(SEARCH("-", F63:L63)), MID(F63:L63, SEARCH("-", F63:L63) - 4, 4), ""), "00\:00") + IF(TEXT(IF(ISNUMBER(SEARCH("-", F63:L63)), MID(F63:L63, SEARCH("-", F63:L63) + 1, 4), ""), "00\:00") &lt; TEXT(IF(ISNUMBER(SEARCH("-", F63:L63)), MID(F63:L63, SEARCH("-", F63:L63) - 4, 4), ""), "00\:00"), 1, 0))*24,""))))/9.5</f>
        <v>3</v>
      </c>
      <c r="O63"/>
      <c r="P63"/>
      <c r="Q63" s="2">
        <f t="shared" si="21"/>
        <v>3</v>
      </c>
      <c r="R63" s="2">
        <f t="shared" si="22"/>
        <v>3.75</v>
      </c>
      <c r="S63">
        <f t="shared" ca="1" si="23"/>
        <v>3</v>
      </c>
      <c r="T63" s="2">
        <f>(IFERROR(VLOOKUP(D63,'Employee Numbers'!$A$3:$C$84,3,FALSE),"NOT FOUND"))*8</f>
        <v>0</v>
      </c>
      <c r="U63" s="2"/>
    </row>
    <row r="64" spans="1:21" s="2" customFormat="1" ht="15" customHeight="1">
      <c r="A64" s="44" t="s">
        <v>98</v>
      </c>
      <c r="B64" s="44"/>
      <c r="C64" s="45"/>
      <c r="D64" s="262" t="s">
        <v>104</v>
      </c>
      <c r="E64" s="285">
        <f>IFERROR(VLOOKUP(D64,'Employee Numbers'!$A$3:$B$84,2,FALSE),"NOT FOUND")</f>
        <v>637791</v>
      </c>
      <c r="F64" s="264"/>
      <c r="G64" s="264"/>
      <c r="H64" s="264" t="s">
        <v>42</v>
      </c>
      <c r="I64" s="264"/>
      <c r="J64" s="264"/>
      <c r="K64" s="264" t="s">
        <v>42</v>
      </c>
      <c r="L64" s="264" t="s">
        <v>42</v>
      </c>
      <c r="N64">
        <f t="array" ref="N64">((SUM(IFERROR((TEXT(IF(ISNUMBER(SEARCH("-", F64:L64)), MID(F64:L64, SEARCH("-", F64:L64) + 1, 4), ""), "00\:00") - TEXT(IF(ISNUMBER(SEARCH("-", F64:L64)), MID(F64:L64, SEARCH("-", F64:L64) - 4, 4), ""), "00\:00") + IF(TEXT(IF(ISNUMBER(SEARCH("-", F64:L64)), MID(F64:L64, SEARCH("-", F64:L64) + 1, 4), ""), "00\:00") &lt; TEXT(IF(ISNUMBER(SEARCH("-", F64:L64)), MID(F64:L64, SEARCH("-", F64:L64) - 4, 4), ""), "00\:00"), 1, 0))*24,""))))/9.5</f>
        <v>3</v>
      </c>
      <c r="O64"/>
      <c r="P64"/>
      <c r="Q64" s="2">
        <f t="shared" si="21"/>
        <v>3</v>
      </c>
      <c r="R64" s="2">
        <f t="shared" si="22"/>
        <v>3.75</v>
      </c>
      <c r="S64">
        <f t="shared" ca="1" si="23"/>
        <v>3</v>
      </c>
      <c r="T64" s="2">
        <f>(IFERROR(VLOOKUP(D64,'Employee Numbers'!$A$3:$C$84,3,FALSE),"NOT FOUND"))*8</f>
        <v>0</v>
      </c>
    </row>
    <row r="65" spans="1:20" s="2" customFormat="1" ht="15" customHeight="1">
      <c r="A65" s="2" t="s">
        <v>98</v>
      </c>
      <c r="C65" s="21"/>
      <c r="D65" s="262" t="s">
        <v>105</v>
      </c>
      <c r="E65" s="285">
        <f>IFERROR(VLOOKUP(D65,'Employee Numbers'!$A$3:$B$84,2,FALSE),"NOT FOUND")</f>
        <v>652867</v>
      </c>
      <c r="F65" s="264" t="s">
        <v>42</v>
      </c>
      <c r="G65" s="264"/>
      <c r="H65" s="264" t="s">
        <v>42</v>
      </c>
      <c r="I65" s="264" t="s">
        <v>42</v>
      </c>
      <c r="J65" s="264" t="s">
        <v>42</v>
      </c>
      <c r="K65" s="264"/>
      <c r="L65" s="264"/>
      <c r="N65">
        <f t="array" ref="N65">((SUM(IFERROR((TEXT(IF(ISNUMBER(SEARCH("-", F65:L65)), MID(F65:L65, SEARCH("-", F65:L65) + 1, 4), ""), "00\:00") - TEXT(IF(ISNUMBER(SEARCH("-", F65:L65)), MID(F65:L65, SEARCH("-", F65:L65) - 4, 4), ""), "00\:00") + IF(TEXT(IF(ISNUMBER(SEARCH("-", F65:L65)), MID(F65:L65, SEARCH("-", F65:L65) + 1, 4), ""), "00\:00") &lt; TEXT(IF(ISNUMBER(SEARCH("-", F65:L65)), MID(F65:L65, SEARCH("-", F65:L65) - 4, 4), ""), "00\:00"), 1, 0))*24,""))))/9.5</f>
        <v>4</v>
      </c>
      <c r="O65"/>
      <c r="P65"/>
      <c r="Q65" s="2">
        <f t="shared" si="21"/>
        <v>4</v>
      </c>
      <c r="R65" s="2">
        <f t="shared" si="22"/>
        <v>5</v>
      </c>
      <c r="S65">
        <f t="shared" ca="1" si="23"/>
        <v>4</v>
      </c>
      <c r="T65" s="2">
        <f>(IFERROR(VLOOKUP(D65,'Employee Numbers'!$A$3:$C$84,3,FALSE),"NOT FOUND"))*8</f>
        <v>0</v>
      </c>
    </row>
    <row r="66" spans="1:20" s="2" customFormat="1" ht="15" customHeight="1">
      <c r="A66" s="44" t="s">
        <v>98</v>
      </c>
      <c r="B66" s="44"/>
      <c r="C66" s="45"/>
      <c r="D66" s="262" t="s">
        <v>106</v>
      </c>
      <c r="E66" s="285">
        <f>IFERROR(VLOOKUP(D66,'Employee Numbers'!$A$3:$B$84,2,FALSE),"NOT FOUND")</f>
        <v>611551</v>
      </c>
      <c r="F66" s="264"/>
      <c r="G66" s="264"/>
      <c r="H66" s="264"/>
      <c r="I66" s="264"/>
      <c r="J66" s="264" t="s">
        <v>42</v>
      </c>
      <c r="K66" s="264" t="s">
        <v>42</v>
      </c>
      <c r="L66" s="264"/>
      <c r="N66">
        <f t="array" ref="N66">((SUM(IFERROR((TEXT(IF(ISNUMBER(SEARCH("-", F66:L66)), MID(F66:L66, SEARCH("-", F66:L66) + 1, 4), ""), "00\:00") - TEXT(IF(ISNUMBER(SEARCH("-", F66:L66)), MID(F66:L66, SEARCH("-", F66:L66) - 4, 4), ""), "00\:00") + IF(TEXT(IF(ISNUMBER(SEARCH("-", F66:L66)), MID(F66:L66, SEARCH("-", F66:L66) + 1, 4), ""), "00\:00") &lt; TEXT(IF(ISNUMBER(SEARCH("-", F66:L66)), MID(F66:L66, SEARCH("-", F66:L66) - 4, 4), ""), "00\:00"), 1, 0))*24,""))))/9.5</f>
        <v>2</v>
      </c>
      <c r="O66"/>
      <c r="P66"/>
      <c r="Q66" s="2">
        <f t="shared" si="21"/>
        <v>2</v>
      </c>
      <c r="R66" s="2">
        <f t="shared" si="22"/>
        <v>2.5</v>
      </c>
      <c r="S66">
        <f t="shared" ca="1" si="23"/>
        <v>2</v>
      </c>
      <c r="T66" s="2">
        <f>(IFERROR(VLOOKUP(D66,'Employee Numbers'!$A$3:$C$84,3,FALSE),"NOT FOUND"))*8</f>
        <v>0</v>
      </c>
    </row>
    <row r="67" spans="1:20" s="2" customFormat="1" ht="15" customHeight="1">
      <c r="A67" s="2" t="s">
        <v>98</v>
      </c>
      <c r="C67" s="21"/>
      <c r="D67" s="262" t="s">
        <v>107</v>
      </c>
      <c r="E67" s="285">
        <f>IFERROR(VLOOKUP(D67,'Employee Numbers'!$A$3:$B$84,2,FALSE),"NOT FOUND")</f>
        <v>615820</v>
      </c>
      <c r="F67" s="279"/>
      <c r="G67" s="279"/>
      <c r="H67" s="279" t="s">
        <v>100</v>
      </c>
      <c r="I67" s="279" t="s">
        <v>100</v>
      </c>
      <c r="J67" s="279"/>
      <c r="K67" s="279"/>
      <c r="L67" s="279"/>
      <c r="N67">
        <f t="array" ref="N67">((SUM(IFERROR((TEXT(IF(ISNUMBER(SEARCH("-", F67:L67)), MID(F67:L67, SEARCH("-", F67:L67) + 1, 4), ""), "00\:00") - TEXT(IF(ISNUMBER(SEARCH("-", F67:L67)), MID(F67:L67, SEARCH("-", F67:L67) - 4, 4), ""), "00\:00") + IF(TEXT(IF(ISNUMBER(SEARCH("-", F67:L67)), MID(F67:L67, SEARCH("-", F67:L67) + 1, 4), ""), "00\:00") &lt; TEXT(IF(ISNUMBER(SEARCH("-", F67:L67)), MID(F67:L67, SEARCH("-", F67:L67) - 4, 4), ""), "00\:00"), 1, 0))*24,""))))/9.5</f>
        <v>1.9999999999999996</v>
      </c>
      <c r="O67"/>
      <c r="P67"/>
      <c r="Q67" s="2">
        <f t="shared" si="21"/>
        <v>1.9999999999999996</v>
      </c>
      <c r="R67" s="2">
        <f t="shared" si="22"/>
        <v>2.5</v>
      </c>
      <c r="S67">
        <f t="shared" ca="1" si="23"/>
        <v>1.9999999999999996</v>
      </c>
      <c r="T67" s="2">
        <f>(IFERROR(VLOOKUP(D67,'Employee Numbers'!$A$3:$C$84,3,FALSE),"NOT FOUND"))*8</f>
        <v>0</v>
      </c>
    </row>
    <row r="68" spans="1:20" s="2" customFormat="1" ht="15" customHeight="1">
      <c r="A68" s="44" t="s">
        <v>98</v>
      </c>
      <c r="B68" s="44"/>
      <c r="C68" s="45"/>
      <c r="D68" s="262" t="s">
        <v>109</v>
      </c>
      <c r="E68" s="285">
        <f>IFERROR(VLOOKUP(D68,'Employee Numbers'!$A$3:$B$84,2,FALSE),"NOT FOUND")</f>
        <v>702947</v>
      </c>
      <c r="F68" s="264"/>
      <c r="G68" s="264" t="s">
        <v>44</v>
      </c>
      <c r="H68" s="264" t="s">
        <v>42</v>
      </c>
      <c r="I68" s="264"/>
      <c r="J68" s="264" t="s">
        <v>100</v>
      </c>
      <c r="K68" s="264" t="s">
        <v>100</v>
      </c>
      <c r="L68" s="264" t="s">
        <v>100</v>
      </c>
      <c r="N68">
        <f t="array" ref="N68">((SUM(IFERROR((TEXT(IF(ISNUMBER(SEARCH("-", F68:L68)), MID(F68:L68, SEARCH("-", F68:L68) + 1, 4), ""), "00\:00") - TEXT(IF(ISNUMBER(SEARCH("-", F68:L68)), MID(F68:L68, SEARCH("-", F68:L68) - 4, 4), ""), "00\:00") + IF(TEXT(IF(ISNUMBER(SEARCH("-", F68:L68)), MID(F68:L68, SEARCH("-", F68:L68) + 1, 4), ""), "00\:00") &lt; TEXT(IF(ISNUMBER(SEARCH("-", F68:L68)), MID(F68:L68, SEARCH("-", F68:L68) - 4, 4), ""), "00\:00"), 1, 0))*24,""))))/9.5</f>
        <v>5</v>
      </c>
      <c r="O68"/>
      <c r="P68"/>
      <c r="Q68" s="2">
        <f t="shared" si="21"/>
        <v>5</v>
      </c>
      <c r="R68" s="2">
        <f t="shared" si="22"/>
        <v>5</v>
      </c>
      <c r="S68">
        <f t="shared" ca="1" si="23"/>
        <v>5</v>
      </c>
      <c r="T68" s="2">
        <f>(IFERROR(VLOOKUP(D68,'Employee Numbers'!$A$3:$C$84,3,FALSE),"NOT FOUND"))*8</f>
        <v>0</v>
      </c>
    </row>
    <row r="69" spans="1:20" s="2" customFormat="1" ht="15" customHeight="1">
      <c r="A69" s="2" t="s">
        <v>98</v>
      </c>
      <c r="C69" s="47"/>
      <c r="D69" s="262" t="s">
        <v>110</v>
      </c>
      <c r="E69" s="285">
        <f>IFERROR(VLOOKUP(D69,'Employee Numbers'!$A$3:$B$84,2,FALSE),"NOT FOUND")</f>
        <v>654002</v>
      </c>
      <c r="F69" s="264"/>
      <c r="G69" s="264"/>
      <c r="H69" s="264"/>
      <c r="I69" s="264" t="s">
        <v>42</v>
      </c>
      <c r="J69" s="264" t="s">
        <v>100</v>
      </c>
      <c r="K69" s="264" t="s">
        <v>100</v>
      </c>
      <c r="L69" s="264" t="s">
        <v>100</v>
      </c>
      <c r="N69">
        <f t="array" ref="N69">((SUM(IFERROR((TEXT(IF(ISNUMBER(SEARCH("-", F69:L69)), MID(F69:L69, SEARCH("-", F69:L69) + 1, 4), ""), "00\:00") - TEXT(IF(ISNUMBER(SEARCH("-", F69:L69)), MID(F69:L69, SEARCH("-", F69:L69) - 4, 4), ""), "00\:00") + IF(TEXT(IF(ISNUMBER(SEARCH("-", F69:L69)), MID(F69:L69, SEARCH("-", F69:L69) + 1, 4), ""), "00\:00") &lt; TEXT(IF(ISNUMBER(SEARCH("-", F69:L69)), MID(F69:L69, SEARCH("-", F69:L69) - 4, 4), ""), "00\:00"), 1, 0))*24,""))))/9.5</f>
        <v>4</v>
      </c>
      <c r="O69"/>
      <c r="P69"/>
      <c r="Q69" s="2">
        <f t="shared" si="21"/>
        <v>4</v>
      </c>
      <c r="R69" s="2">
        <f t="shared" si="22"/>
        <v>5</v>
      </c>
      <c r="S69">
        <f t="shared" ca="1" si="23"/>
        <v>4</v>
      </c>
      <c r="T69" s="2">
        <f>(IFERROR(VLOOKUP(D69,'Employee Numbers'!$A$3:$C$84,3,FALSE),"NOT FOUND"))*8</f>
        <v>0</v>
      </c>
    </row>
    <row r="70" spans="1:20" s="2" customFormat="1" ht="15" customHeight="1">
      <c r="A70" s="44" t="s">
        <v>98</v>
      </c>
      <c r="B70" s="44"/>
      <c r="C70" s="45"/>
      <c r="D70" s="262" t="s">
        <v>111</v>
      </c>
      <c r="E70" s="285">
        <f>IFERROR(VLOOKUP(D70,'Employee Numbers'!$A$3:$B$84,2,FALSE),"NOT FOUND")</f>
        <v>703068</v>
      </c>
      <c r="F70" s="264" t="s">
        <v>42</v>
      </c>
      <c r="G70" s="264" t="s">
        <v>42</v>
      </c>
      <c r="H70" s="264"/>
      <c r="I70" s="264"/>
      <c r="J70" s="264"/>
      <c r="K70" s="264"/>
      <c r="L70" s="264" t="s">
        <v>42</v>
      </c>
      <c r="N70">
        <f t="array" ref="N70">((SUM(IFERROR((TEXT(IF(ISNUMBER(SEARCH("-", F70:L70)), MID(F70:L70, SEARCH("-", F70:L70) + 1, 4), ""), "00\:00") - TEXT(IF(ISNUMBER(SEARCH("-", F70:L70)), MID(F70:L70, SEARCH("-", F70:L70) - 4, 4), ""), "00\:00") + IF(TEXT(IF(ISNUMBER(SEARCH("-", F70:L70)), MID(F70:L70, SEARCH("-", F70:L70) + 1, 4), ""), "00\:00") &lt; TEXT(IF(ISNUMBER(SEARCH("-", F70:L70)), MID(F70:L70, SEARCH("-", F70:L70) - 4, 4), ""), "00\:00"), 1, 0))*24,""))))/9.5</f>
        <v>3</v>
      </c>
      <c r="O70"/>
      <c r="P70"/>
      <c r="Q70" s="2">
        <f t="shared" si="21"/>
        <v>3</v>
      </c>
      <c r="R70" s="2">
        <f t="shared" si="22"/>
        <v>5</v>
      </c>
      <c r="S70">
        <f t="shared" ca="1" si="23"/>
        <v>3</v>
      </c>
      <c r="T70" s="2">
        <f>(IFERROR(VLOOKUP(D70,'Employee Numbers'!$A$3:$C$84,3,FALSE),"NOT FOUND"))*8</f>
        <v>0</v>
      </c>
    </row>
    <row r="71" spans="1:20" s="2" customFormat="1" ht="15" customHeight="1">
      <c r="A71" s="2" t="s">
        <v>98</v>
      </c>
      <c r="C71" s="21"/>
      <c r="D71" s="262" t="s">
        <v>113</v>
      </c>
      <c r="E71" s="285">
        <f>IFERROR(VLOOKUP(D71,'Employee Numbers'!$A$3:$B$84,2,FALSE),"NOT FOUND")</f>
        <v>703911</v>
      </c>
      <c r="F71" s="264"/>
      <c r="G71" s="264"/>
      <c r="H71" s="264"/>
      <c r="I71" s="264" t="s">
        <v>44</v>
      </c>
      <c r="J71" s="264" t="s">
        <v>44</v>
      </c>
      <c r="K71" s="264" t="s">
        <v>44</v>
      </c>
      <c r="L71" s="264" t="s">
        <v>42</v>
      </c>
      <c r="N71">
        <f t="array" ref="N71">((SUM(IFERROR((TEXT(IF(ISNUMBER(SEARCH("-", F71:L71)), MID(F71:L71, SEARCH("-", F71:L71) + 1, 4), ""), "00\:00") - TEXT(IF(ISNUMBER(SEARCH("-", F71:L71)), MID(F71:L71, SEARCH("-", F71:L71) - 4, 4), ""), "00\:00") + IF(TEXT(IF(ISNUMBER(SEARCH("-", F71:L71)), MID(F71:L71, SEARCH("-", F71:L71) + 1, 4), ""), "00\:00") &lt; TEXT(IF(ISNUMBER(SEARCH("-", F71:L71)), MID(F71:L71, SEARCH("-", F71:L71) - 4, 4), ""), "00\:00"), 1, 0))*24,""))))/9.5</f>
        <v>4</v>
      </c>
      <c r="O71"/>
      <c r="P71"/>
      <c r="Q71" s="2">
        <f t="shared" si="21"/>
        <v>4</v>
      </c>
      <c r="R71" s="2">
        <f t="shared" si="22"/>
        <v>5</v>
      </c>
      <c r="S71">
        <f t="shared" ca="1" si="23"/>
        <v>4</v>
      </c>
      <c r="T71" s="2">
        <f>(IFERROR(VLOOKUP(D71,'Employee Numbers'!$A$3:$C$84,3,FALSE),"NOT FOUND"))*8</f>
        <v>0</v>
      </c>
    </row>
    <row r="72" spans="1:20" s="2" customFormat="1" ht="15" customHeight="1">
      <c r="A72" s="44" t="s">
        <v>98</v>
      </c>
      <c r="B72" s="44"/>
      <c r="C72" s="45"/>
      <c r="D72" s="262" t="s">
        <v>114</v>
      </c>
      <c r="E72" s="285">
        <f>IFERROR(VLOOKUP(D72,'Employee Numbers'!$A$3:$B$84,2,FALSE),"NOT FOUND")</f>
        <v>633936</v>
      </c>
      <c r="F72" s="264"/>
      <c r="G72" s="264"/>
      <c r="H72" s="264"/>
      <c r="I72" s="264" t="s">
        <v>42</v>
      </c>
      <c r="J72" s="264" t="s">
        <v>42</v>
      </c>
      <c r="K72" s="264" t="s">
        <v>42</v>
      </c>
      <c r="L72" s="264" t="s">
        <v>174</v>
      </c>
      <c r="N72">
        <f t="array" ref="N72">((SUM(IFERROR((TEXT(IF(ISNUMBER(SEARCH("-", F72:L72)), MID(F72:L72, SEARCH("-", F72:L72) + 1, 4), ""), "00\:00") - TEXT(IF(ISNUMBER(SEARCH("-", F72:L72)), MID(F72:L72, SEARCH("-", F72:L72) - 4, 4), ""), "00\:00") + IF(TEXT(IF(ISNUMBER(SEARCH("-", F72:L72)), MID(F72:L72, SEARCH("-", F72:L72) + 1, 4), ""), "00\:00") &lt; TEXT(IF(ISNUMBER(SEARCH("-", F72:L72)), MID(F72:L72, SEARCH("-", F72:L72) - 4, 4), ""), "00\:00"), 1, 0))*24,""))))/9.5</f>
        <v>4</v>
      </c>
      <c r="O72"/>
      <c r="P72"/>
      <c r="Q72" s="2">
        <f t="shared" si="21"/>
        <v>4</v>
      </c>
      <c r="R72" s="2">
        <f t="shared" si="22"/>
        <v>5</v>
      </c>
      <c r="S72">
        <f t="shared" ca="1" si="23"/>
        <v>4</v>
      </c>
      <c r="T72" s="2">
        <f>(IFERROR(VLOOKUP(D72,'Employee Numbers'!$A$3:$C$84,3,FALSE),"NOT FOUND"))*8</f>
        <v>0</v>
      </c>
    </row>
    <row r="73" spans="1:20" s="2" customFormat="1" ht="15" customHeight="1">
      <c r="A73" s="2" t="s">
        <v>98</v>
      </c>
      <c r="C73" s="21"/>
      <c r="D73" s="262" t="s">
        <v>115</v>
      </c>
      <c r="E73" s="285">
        <f>IFERROR(VLOOKUP(D73,'Employee Numbers'!$A$3:$B$84,2,FALSE),"NOT FOUND")</f>
        <v>700755</v>
      </c>
      <c r="F73" s="264" t="s">
        <v>42</v>
      </c>
      <c r="G73" s="264" t="s">
        <v>42</v>
      </c>
      <c r="H73" s="264"/>
      <c r="I73" s="264"/>
      <c r="J73" s="264"/>
      <c r="K73" s="264" t="s">
        <v>42</v>
      </c>
      <c r="L73" s="264" t="s">
        <v>42</v>
      </c>
      <c r="N73">
        <f t="array" ref="N73">((SUM(IFERROR((TEXT(IF(ISNUMBER(SEARCH("-", F73:L73)), MID(F73:L73, SEARCH("-", F73:L73) + 1, 4), ""), "00\:00") - TEXT(IF(ISNUMBER(SEARCH("-", F73:L73)), MID(F73:L73, SEARCH("-", F73:L73) - 4, 4), ""), "00\:00") + IF(TEXT(IF(ISNUMBER(SEARCH("-", F73:L73)), MID(F73:L73, SEARCH("-", F73:L73) + 1, 4), ""), "00\:00") &lt; TEXT(IF(ISNUMBER(SEARCH("-", F73:L73)), MID(F73:L73, SEARCH("-", F73:L73) - 4, 4), ""), "00\:00"), 1, 0))*24,""))))/9.5</f>
        <v>4</v>
      </c>
      <c r="O73"/>
      <c r="P73"/>
      <c r="Q73" s="2">
        <f t="shared" si="21"/>
        <v>4</v>
      </c>
      <c r="R73" s="2">
        <f t="shared" si="22"/>
        <v>5</v>
      </c>
      <c r="S73">
        <f t="shared" ca="1" si="23"/>
        <v>4</v>
      </c>
      <c r="T73" s="2">
        <f>(IFERROR(VLOOKUP(D73,'Employee Numbers'!$A$3:$C$84,3,FALSE),"NOT FOUND"))*8</f>
        <v>0</v>
      </c>
    </row>
    <row r="74" spans="1:20" s="2" customFormat="1" ht="15" customHeight="1">
      <c r="A74" s="44" t="s">
        <v>98</v>
      </c>
      <c r="B74" s="44"/>
      <c r="C74" s="45"/>
      <c r="D74" s="262" t="s">
        <v>116</v>
      </c>
      <c r="E74" s="285">
        <f>IFERROR(VLOOKUP(D74,'Employee Numbers'!$A$3:$B$84,2,FALSE),"NOT FOUND")</f>
        <v>704872</v>
      </c>
      <c r="F74" s="279"/>
      <c r="G74" s="279"/>
      <c r="H74" s="279"/>
      <c r="I74" s="279" t="s">
        <v>44</v>
      </c>
      <c r="J74" s="279" t="s">
        <v>100</v>
      </c>
      <c r="K74" s="279" t="s">
        <v>100</v>
      </c>
      <c r="L74" s="279" t="s">
        <v>100</v>
      </c>
      <c r="N74">
        <f t="array" ref="N74">((SUM(IFERROR((TEXT(IF(ISNUMBER(SEARCH("-", F74:L74)), MID(F74:L74, SEARCH("-", F74:L74) + 1, 4), ""), "00\:00") - TEXT(IF(ISNUMBER(SEARCH("-", F74:L74)), MID(F74:L74, SEARCH("-", F74:L74) - 4, 4), ""), "00\:00") + IF(TEXT(IF(ISNUMBER(SEARCH("-", F74:L74)), MID(F74:L74, SEARCH("-", F74:L74) + 1, 4), ""), "00\:00") &lt; TEXT(IF(ISNUMBER(SEARCH("-", F74:L74)), MID(F74:L74, SEARCH("-", F74:L74) - 4, 4), ""), "00\:00"), 1, 0))*24,""))))/9.5</f>
        <v>4</v>
      </c>
      <c r="O74"/>
      <c r="P74"/>
      <c r="Q74" s="2">
        <f t="shared" si="21"/>
        <v>4</v>
      </c>
      <c r="R74" s="2">
        <f t="shared" si="22"/>
        <v>5</v>
      </c>
      <c r="S74">
        <f t="shared" ca="1" si="23"/>
        <v>4</v>
      </c>
      <c r="T74" s="2">
        <f>(IFERROR(VLOOKUP(D74,'Employee Numbers'!$A$3:$C$84,3,FALSE),"NOT FOUND"))*8</f>
        <v>0</v>
      </c>
    </row>
    <row r="75" spans="1:20" s="2" customFormat="1" ht="15" customHeight="1">
      <c r="A75" s="2" t="s">
        <v>98</v>
      </c>
      <c r="C75" s="21"/>
      <c r="D75" s="262" t="s">
        <v>117</v>
      </c>
      <c r="E75" s="285">
        <f>IFERROR(VLOOKUP(D75,'Employee Numbers'!$A$3:$B$84,2,FALSE),"NOT FOUND")</f>
        <v>700712</v>
      </c>
      <c r="F75" s="264"/>
      <c r="G75" s="264" t="s">
        <v>44</v>
      </c>
      <c r="H75" s="264" t="s">
        <v>42</v>
      </c>
      <c r="I75" s="264" t="s">
        <v>42</v>
      </c>
      <c r="J75" s="264" t="s">
        <v>42</v>
      </c>
      <c r="K75" s="264"/>
      <c r="L75" s="264"/>
      <c r="N75">
        <f t="array" ref="N75">((SUM(IFERROR((TEXT(IF(ISNUMBER(SEARCH("-", F75:L75)), MID(F75:L75, SEARCH("-", F75:L75) + 1, 4), ""), "00\:00") - TEXT(IF(ISNUMBER(SEARCH("-", F75:L75)), MID(F75:L75, SEARCH("-", F75:L75) - 4, 4), ""), "00\:00") + IF(TEXT(IF(ISNUMBER(SEARCH("-", F75:L75)), MID(F75:L75, SEARCH("-", F75:L75) + 1, 4), ""), "00\:00") &lt; TEXT(IF(ISNUMBER(SEARCH("-", F75:L75)), MID(F75:L75, SEARCH("-", F75:L75) - 4, 4), ""), "00\:00"), 1, 0))*24,""))))/9.5</f>
        <v>4</v>
      </c>
      <c r="O75"/>
      <c r="P75"/>
      <c r="Q75" s="2">
        <f t="shared" si="21"/>
        <v>4</v>
      </c>
      <c r="R75" s="2">
        <f t="shared" si="22"/>
        <v>5</v>
      </c>
      <c r="S75">
        <f t="shared" ca="1" si="23"/>
        <v>4</v>
      </c>
      <c r="T75" s="2">
        <f>(IFERROR(VLOOKUP(D75,'Employee Numbers'!$A$3:$C$84,3,FALSE),"NOT FOUND"))*8</f>
        <v>0</v>
      </c>
    </row>
    <row r="76" spans="1:20" s="2" customFormat="1" ht="15" customHeight="1">
      <c r="A76" s="44" t="s">
        <v>98</v>
      </c>
      <c r="B76" s="44"/>
      <c r="C76" s="45"/>
      <c r="D76" s="262" t="s">
        <v>119</v>
      </c>
      <c r="E76" s="285">
        <f>IFERROR(VLOOKUP(D76,'Employee Numbers'!$A$3:$B$84,2,FALSE),"NOT FOUND")</f>
        <v>700818</v>
      </c>
      <c r="F76" s="264" t="s">
        <v>100</v>
      </c>
      <c r="G76" s="264" t="s">
        <v>100</v>
      </c>
      <c r="H76" s="264" t="s">
        <v>100</v>
      </c>
      <c r="I76" s="264" t="s">
        <v>100</v>
      </c>
      <c r="J76" s="275"/>
      <c r="K76" s="275"/>
      <c r="L76" s="275"/>
      <c r="N76">
        <f t="array" ref="N76">((SUM(IFERROR((TEXT(IF(ISNUMBER(SEARCH("-", F76:L76)), MID(F76:L76, SEARCH("-", F76:L76) + 1, 4), ""), "00\:00") - TEXT(IF(ISNUMBER(SEARCH("-", F76:L76)), MID(F76:L76, SEARCH("-", F76:L76) - 4, 4), ""), "00\:00") + IF(TEXT(IF(ISNUMBER(SEARCH("-", F76:L76)), MID(F76:L76, SEARCH("-", F76:L76) + 1, 4), ""), "00\:00") &lt; TEXT(IF(ISNUMBER(SEARCH("-", F76:L76)), MID(F76:L76, SEARCH("-", F76:L76) - 4, 4), ""), "00\:00"), 1, 0))*24,""))))/9.5</f>
        <v>3.9999999999999991</v>
      </c>
      <c r="O76"/>
      <c r="P76"/>
      <c r="Q76" s="2">
        <f t="shared" si="21"/>
        <v>3.9999999999999991</v>
      </c>
      <c r="R76" s="2">
        <f t="shared" si="22"/>
        <v>5</v>
      </c>
      <c r="S76">
        <f t="shared" ca="1" si="23"/>
        <v>3.9999999999999991</v>
      </c>
      <c r="T76" s="2">
        <f>(IFERROR(VLOOKUP(D76,'Employee Numbers'!$A$3:$C$84,3,FALSE),"NOT FOUND"))*8</f>
        <v>0</v>
      </c>
    </row>
    <row r="77" spans="1:20" s="2" customFormat="1" ht="15" customHeight="1">
      <c r="A77" s="2" t="s">
        <v>98</v>
      </c>
      <c r="C77" s="47"/>
      <c r="D77" s="262" t="s">
        <v>120</v>
      </c>
      <c r="E77" s="285">
        <f>IFERROR(VLOOKUP(D77,'Employee Numbers'!$A$3:$B$84,2,FALSE),"NOT FOUND")</f>
        <v>650101</v>
      </c>
      <c r="F77" s="264" t="s">
        <v>42</v>
      </c>
      <c r="G77" s="264" t="s">
        <v>42</v>
      </c>
      <c r="H77" s="264"/>
      <c r="I77" s="264"/>
      <c r="J77" s="264"/>
      <c r="K77" s="264" t="s">
        <v>44</v>
      </c>
      <c r="L77" s="264" t="s">
        <v>44</v>
      </c>
      <c r="N77">
        <f t="array" ref="N77">((SUM(IFERROR((TEXT(IF(ISNUMBER(SEARCH("-", F77:L77)), MID(F77:L77, SEARCH("-", F77:L77) + 1, 4), ""), "00\:00") - TEXT(IF(ISNUMBER(SEARCH("-", F77:L77)), MID(F77:L77, SEARCH("-", F77:L77) - 4, 4), ""), "00\:00") + IF(TEXT(IF(ISNUMBER(SEARCH("-", F77:L77)), MID(F77:L77, SEARCH("-", F77:L77) + 1, 4), ""), "00\:00") &lt; TEXT(IF(ISNUMBER(SEARCH("-", F77:L77)), MID(F77:L77, SEARCH("-", F77:L77) - 4, 4), ""), "00\:00"), 1, 0))*24,""))))/9.5</f>
        <v>4</v>
      </c>
      <c r="O77"/>
      <c r="P77"/>
      <c r="Q77" s="2">
        <f t="shared" si="21"/>
        <v>4</v>
      </c>
      <c r="R77" s="2">
        <f t="shared" si="22"/>
        <v>2.5</v>
      </c>
      <c r="S77">
        <f t="shared" ca="1" si="23"/>
        <v>4</v>
      </c>
      <c r="T77" s="2">
        <f>(IFERROR(VLOOKUP(D77,'Employee Numbers'!$A$3:$C$84,3,FALSE),"NOT FOUND"))*8</f>
        <v>0</v>
      </c>
    </row>
    <row r="78" spans="1:20" s="2" customFormat="1" ht="15" customHeight="1">
      <c r="A78" s="44" t="s">
        <v>98</v>
      </c>
      <c r="B78" s="44"/>
      <c r="C78" s="45"/>
      <c r="D78" s="262" t="s">
        <v>122</v>
      </c>
      <c r="E78" s="285">
        <f>IFERROR(VLOOKUP(D78,'Employee Numbers'!$A$3:$B$84,2,FALSE),"NOT FOUND")</f>
        <v>654888</v>
      </c>
      <c r="F78" s="264"/>
      <c r="G78" s="264"/>
      <c r="H78" s="264"/>
      <c r="I78" s="349" t="s">
        <v>44</v>
      </c>
      <c r="J78" s="264" t="s">
        <v>44</v>
      </c>
      <c r="K78" s="264" t="s">
        <v>42</v>
      </c>
      <c r="L78" s="264" t="s">
        <v>42</v>
      </c>
      <c r="N78">
        <f t="array" ref="N78">((SUM(IFERROR((TEXT(IF(ISNUMBER(SEARCH("-", F78:L78)), MID(F78:L78, SEARCH("-", F78:L78) + 1, 4), ""), "00\:00") - TEXT(IF(ISNUMBER(SEARCH("-", F78:L78)), MID(F78:L78, SEARCH("-", F78:L78) - 4, 4), ""), "00\:00") + IF(TEXT(IF(ISNUMBER(SEARCH("-", F78:L78)), MID(F78:L78, SEARCH("-", F78:L78) + 1, 4), ""), "00\:00") &lt; TEXT(IF(ISNUMBER(SEARCH("-", F78:L78)), MID(F78:L78, SEARCH("-", F78:L78) - 4, 4), ""), "00\:00"), 1, 0))*24,""))))/9.5</f>
        <v>4</v>
      </c>
      <c r="O78"/>
      <c r="P78"/>
      <c r="Q78" s="2">
        <f t="shared" si="21"/>
        <v>4</v>
      </c>
      <c r="R78" s="2">
        <f t="shared" si="22"/>
        <v>5</v>
      </c>
      <c r="S78">
        <f t="shared" ca="1" si="23"/>
        <v>4</v>
      </c>
      <c r="T78" s="2">
        <f>(IFERROR(VLOOKUP(D78,'Employee Numbers'!$A$3:$C$84,3,FALSE),"NOT FOUND"))*8</f>
        <v>0</v>
      </c>
    </row>
    <row r="79" spans="1:20" s="2" customFormat="1" ht="15" customHeight="1">
      <c r="A79" s="2" t="s">
        <v>98</v>
      </c>
      <c r="C79" s="21"/>
      <c r="D79" s="262" t="s">
        <v>123</v>
      </c>
      <c r="E79" s="285">
        <f>IFERROR(VLOOKUP(D79,'Employee Numbers'!$A$3:$B$84,2,FALSE),"NOT FOUND")</f>
        <v>703880</v>
      </c>
      <c r="F79" s="264" t="s">
        <v>42</v>
      </c>
      <c r="G79" s="264"/>
      <c r="H79" s="264" t="s">
        <v>42</v>
      </c>
      <c r="I79" s="264" t="s">
        <v>42</v>
      </c>
      <c r="J79" s="264" t="s">
        <v>42</v>
      </c>
      <c r="K79" s="264"/>
      <c r="L79" s="264"/>
      <c r="N79">
        <f t="array" ref="N79">((SUM(IFERROR((TEXT(IF(ISNUMBER(SEARCH("-", F79:L79)), MID(F79:L79, SEARCH("-", F79:L79) + 1, 4), ""), "00\:00") - TEXT(IF(ISNUMBER(SEARCH("-", F79:L79)), MID(F79:L79, SEARCH("-", F79:L79) - 4, 4), ""), "00\:00") + IF(TEXT(IF(ISNUMBER(SEARCH("-", F79:L79)), MID(F79:L79, SEARCH("-", F79:L79) + 1, 4), ""), "00\:00") &lt; TEXT(IF(ISNUMBER(SEARCH("-", F79:L79)), MID(F79:L79, SEARCH("-", F79:L79) - 4, 4), ""), "00\:00"), 1, 0))*24,""))))/9.5</f>
        <v>4</v>
      </c>
      <c r="O79"/>
      <c r="P79"/>
      <c r="Q79" s="2">
        <f t="shared" si="21"/>
        <v>4</v>
      </c>
      <c r="R79" s="2">
        <f t="shared" si="22"/>
        <v>5</v>
      </c>
      <c r="S79">
        <f t="shared" ca="1" si="23"/>
        <v>4</v>
      </c>
      <c r="T79" s="2">
        <f>(IFERROR(VLOOKUP(D79,'Employee Numbers'!$A$3:$C$84,3,FALSE),"NOT FOUND"))*8</f>
        <v>0</v>
      </c>
    </row>
    <row r="80" spans="1:20" s="2" customFormat="1" ht="15" customHeight="1">
      <c r="A80" s="44" t="s">
        <v>98</v>
      </c>
      <c r="B80" s="44"/>
      <c r="C80" s="45"/>
      <c r="D80" s="262" t="s">
        <v>124</v>
      </c>
      <c r="E80" s="285">
        <f>IFERROR(VLOOKUP(D80,'Employee Numbers'!$A$3:$B$84,2,FALSE),"NOT FOUND")</f>
        <v>703334</v>
      </c>
      <c r="F80" s="264" t="s">
        <v>42</v>
      </c>
      <c r="G80" s="264" t="s">
        <v>42</v>
      </c>
      <c r="H80" s="264"/>
      <c r="I80" s="264"/>
      <c r="J80" s="264"/>
      <c r="K80" s="264" t="s">
        <v>42</v>
      </c>
      <c r="L80" s="264" t="s">
        <v>42</v>
      </c>
      <c r="N80">
        <f t="array" ref="N80">((SUM(IFERROR((TEXT(IF(ISNUMBER(SEARCH("-", F80:L80)), MID(F80:L80, SEARCH("-", F80:L80) + 1, 4), ""), "00\:00") - TEXT(IF(ISNUMBER(SEARCH("-", F80:L80)), MID(F80:L80, SEARCH("-", F80:L80) - 4, 4), ""), "00\:00") + IF(TEXT(IF(ISNUMBER(SEARCH("-", F80:L80)), MID(F80:L80, SEARCH("-", F80:L80) + 1, 4), ""), "00\:00") &lt; TEXT(IF(ISNUMBER(SEARCH("-", F80:L80)), MID(F80:L80, SEARCH("-", F80:L80) - 4, 4), ""), "00\:00"), 1, 0))*24,""))))/9.5</f>
        <v>4</v>
      </c>
      <c r="O80"/>
      <c r="P80"/>
      <c r="Q80" s="2">
        <f t="shared" si="21"/>
        <v>4</v>
      </c>
      <c r="R80" s="2">
        <f t="shared" si="22"/>
        <v>5</v>
      </c>
      <c r="S80">
        <f t="shared" ca="1" si="23"/>
        <v>4</v>
      </c>
      <c r="T80" s="2">
        <f>(IFERROR(VLOOKUP(D80,'Employee Numbers'!$A$3:$C$84,3,FALSE),"NOT FOUND"))*8</f>
        <v>0</v>
      </c>
    </row>
    <row r="81" spans="1:21" s="13" customFormat="1" ht="15" customHeight="1">
      <c r="A81" s="2" t="s">
        <v>98</v>
      </c>
      <c r="B81" s="2"/>
      <c r="C81" s="21"/>
      <c r="D81" s="262" t="s">
        <v>125</v>
      </c>
      <c r="E81" s="285">
        <f>IFERROR(VLOOKUP(D81,'Employee Numbers'!$A$3:$B$84,2,FALSE),"NOT FOUND")</f>
        <v>700538</v>
      </c>
      <c r="F81" s="264" t="s">
        <v>100</v>
      </c>
      <c r="G81" s="264" t="s">
        <v>100</v>
      </c>
      <c r="H81" s="264"/>
      <c r="I81" s="264"/>
      <c r="J81" s="264"/>
      <c r="K81" s="264"/>
      <c r="L81" s="264" t="s">
        <v>42</v>
      </c>
      <c r="N81">
        <f t="array" ref="N81">((SUM(IFERROR((TEXT(IF(ISNUMBER(SEARCH("-", F81:L81)), MID(F81:L81, SEARCH("-", F81:L81) + 1, 4), ""), "00\:00") - TEXT(IF(ISNUMBER(SEARCH("-", F81:L81)), MID(F81:L81, SEARCH("-", F81:L81) - 4, 4), ""), "00\:00") + IF(TEXT(IF(ISNUMBER(SEARCH("-", F81:L81)), MID(F81:L81, SEARCH("-", F81:L81) + 1, 4), ""), "00\:00") &lt; TEXT(IF(ISNUMBER(SEARCH("-", F81:L81)), MID(F81:L81, SEARCH("-", F81:L81) - 4, 4), ""), "00\:00"), 1, 0))*24,""))))/9.5</f>
        <v>2.9999999999999996</v>
      </c>
      <c r="O81"/>
      <c r="P81"/>
      <c r="Q81" s="2">
        <f>P81+O81+N81</f>
        <v>2.9999999999999996</v>
      </c>
      <c r="R81" s="2">
        <f>IF(ISNUMBER(SEARCH("trg_5",H173)),5,IF(ISNUMBER(SEARCH("trg_3.75",H173)),3.75,IF(ISNUMBER(SEARCH("trg_2.5",H173)),2.5,IF(ISNUMBER(SEARCH("trg_1.75",H173)),1.75,0))))</f>
        <v>3.75</v>
      </c>
      <c r="S81">
        <f t="shared" ca="1" si="23"/>
        <v>2.9999999999999996</v>
      </c>
      <c r="T81" s="2">
        <f>(IFERROR(VLOOKUP(D81,'Employee Numbers'!$A$3:$C$84,3,FALSE),"NOT FOUND"))*8</f>
        <v>0</v>
      </c>
      <c r="U81" s="2"/>
    </row>
    <row r="82" spans="1:21" s="2" customFormat="1" ht="15" customHeight="1">
      <c r="A82" s="44" t="s">
        <v>98</v>
      </c>
      <c r="B82" s="44"/>
      <c r="C82" s="45"/>
      <c r="D82" s="262" t="s">
        <v>126</v>
      </c>
      <c r="E82" s="285">
        <f>IFERROR(VLOOKUP(D82,'Employee Numbers'!$A$3:$B$84,2,FALSE),"NOT FOUND")</f>
        <v>704862</v>
      </c>
      <c r="F82" s="264"/>
      <c r="G82" s="264"/>
      <c r="H82" s="264"/>
      <c r="I82" s="264"/>
      <c r="J82" s="264"/>
      <c r="K82" s="264"/>
      <c r="L82" s="264"/>
      <c r="N82">
        <f t="array" ref="N82">((SUM(IFERROR((TEXT(IF(ISNUMBER(SEARCH("-", F82:L82)), MID(F82:L82, SEARCH("-", F82:L82) + 1, 4), ""), "00\:00") - TEXT(IF(ISNUMBER(SEARCH("-", F82:L82)), MID(F82:L82, SEARCH("-", F82:L82) - 4, 4), ""), "00\:00") + IF(TEXT(IF(ISNUMBER(SEARCH("-", F82:L82)), MID(F82:L82, SEARCH("-", F82:L82) + 1, 4), ""), "00\:00") &lt; TEXT(IF(ISNUMBER(SEARCH("-", F82:L82)), MID(F82:L82, SEARCH("-", F82:L82) - 4, 4), ""), "00\:00"), 1, 0))*24,""))))/9.5</f>
        <v>0</v>
      </c>
      <c r="O82"/>
      <c r="P82"/>
      <c r="Q82" s="2">
        <f>P82+O82+N82</f>
        <v>0</v>
      </c>
      <c r="R82" s="2">
        <f>IF(ISNUMBER(SEARCH("trg_5",H174)),5,IF(ISNUMBER(SEARCH("trg_3.75",H174)),3.75,IF(ISNUMBER(SEARCH("trg_2.5",H174)),2.5,IF(ISNUMBER(SEARCH("trg_1.75",H174)),1.75,0))))</f>
        <v>2.5</v>
      </c>
      <c r="S82">
        <f t="shared" ca="1" si="23"/>
        <v>0</v>
      </c>
      <c r="T82" s="2">
        <f>(IFERROR(VLOOKUP(D82,'Employee Numbers'!$A$3:$C$84,3,FALSE),"NOT FOUND"))*8</f>
        <v>0</v>
      </c>
    </row>
    <row r="83" spans="1:21" s="2" customFormat="1" ht="15" customHeight="1">
      <c r="A83" s="2" t="s">
        <v>98</v>
      </c>
      <c r="C83" s="21"/>
      <c r="D83" s="262"/>
      <c r="E83" s="39" t="str">
        <f>IFERROR(VLOOKUP(D83,'Employee Numbers'!$A$3:$B$84,2,FALSE),"NOT FOUND")</f>
        <v>NOT FOUND</v>
      </c>
      <c r="F83" s="178"/>
      <c r="G83" s="178"/>
      <c r="H83" s="178"/>
      <c r="I83" s="178"/>
      <c r="J83" s="178"/>
      <c r="K83" s="178"/>
      <c r="L83" s="178"/>
      <c r="N83">
        <f t="array" ref="N83">((SUM(IFERROR((TEXT(IF(ISNUMBER(SEARCH("-", F83:L83)), MID(F83:L83, SEARCH("-", F83:L83) + 1, 4), ""), "00\:00") - TEXT(IF(ISNUMBER(SEARCH("-", F83:L83)), MID(F83:L83, SEARCH("-", F83:L83) - 4, 4), ""), "00\:00") + IF(TEXT(IF(ISNUMBER(SEARCH("-", F83:L83)), MID(F83:L83, SEARCH("-", F83:L83) + 1, 4), ""), "00\:00") &lt; TEXT(IF(ISNUMBER(SEARCH("-", F83:L83)), MID(F83:L83, SEARCH("-", F83:L83) - 4, 4), ""), "00\:00"), 1, 0))*24,""))))/9.5</f>
        <v>0</v>
      </c>
      <c r="O83"/>
      <c r="P83"/>
      <c r="Q83" s="2">
        <f>P83+O83+N83</f>
        <v>0</v>
      </c>
      <c r="R83" s="2">
        <f>IF(ISNUMBER(SEARCH("trg_5",H175)),5,IF(ISNUMBER(SEARCH("trg_3.75",H175)),3.75,IF(ISNUMBER(SEARCH("trg_2.5",H175)),2.5,IF(ISNUMBER(SEARCH("trg_1.75",H175)),1.75,0))))</f>
        <v>2.5</v>
      </c>
      <c r="S83">
        <f t="shared" ca="1" si="23"/>
        <v>0</v>
      </c>
      <c r="T83" s="2" t="e">
        <f>(IFERROR(VLOOKUP(D83,'Employee Numbers'!$A$3:$C$84,3,FALSE),"NOT FOUND"))*8</f>
        <v>#VALUE!</v>
      </c>
    </row>
    <row r="84" spans="1:21" s="2" customFormat="1" ht="15" customHeight="1">
      <c r="A84" s="44" t="s">
        <v>98</v>
      </c>
      <c r="B84" s="44"/>
      <c r="C84" s="45"/>
      <c r="D84" s="128"/>
      <c r="E84" s="129" t="str">
        <f>IFERROR(VLOOKUP(D84,'Employee Numbers'!$A$3:$B$84,2,FALSE),"NOT FOUND")</f>
        <v>NOT FOUND</v>
      </c>
      <c r="F84" s="136"/>
      <c r="G84" s="136"/>
      <c r="H84" s="136"/>
      <c r="I84" s="136"/>
      <c r="J84" s="136"/>
      <c r="K84" s="136"/>
      <c r="L84" s="136"/>
      <c r="N84">
        <f t="array" ref="N84">((SUM(IFERROR((TEXT(IF(ISNUMBER(SEARCH("-", F84:L84)), MID(F84:L84, SEARCH("-", F84:L84) + 1, 4), ""), "00\:00") - TEXT(IF(ISNUMBER(SEARCH("-", F84:L84)), MID(F84:L84, SEARCH("-", F84:L84) - 4, 4), ""), "00\:00") + IF(TEXT(IF(ISNUMBER(SEARCH("-", F84:L84)), MID(F84:L84, SEARCH("-", F84:L84) + 1, 4), ""), "00\:00") &lt; TEXT(IF(ISNUMBER(SEARCH("-", F84:L84)), MID(F84:L84, SEARCH("-", F84:L84) - 4, 4), ""), "00\:00"), 1, 0))*24,""))))/9.5</f>
        <v>0</v>
      </c>
      <c r="O84"/>
      <c r="P84"/>
      <c r="Q84" s="2">
        <f>P84+O84+N84</f>
        <v>0</v>
      </c>
      <c r="R84" s="2">
        <f>IF(ISNUMBER(SEARCH("trg_5",H176)),5,IF(ISNUMBER(SEARCH("trg_3.75",H176)),3.75,IF(ISNUMBER(SEARCH("trg_2.5",H176)),2.5,IF(ISNUMBER(SEARCH("trg_1.75",H176)),1.75,0))))</f>
        <v>5</v>
      </c>
      <c r="S84">
        <f t="shared" ca="1" si="23"/>
        <v>0</v>
      </c>
      <c r="T84" s="2" t="e">
        <f>(IFERROR(VLOOKUP(D84,'Employee Numbers'!$A$3:$C$84,3,FALSE),"NOT FOUND"))*8</f>
        <v>#VALUE!</v>
      </c>
    </row>
    <row r="85" spans="1:21" s="2" customFormat="1" ht="15" customHeight="1">
      <c r="A85" s="137" t="s">
        <v>128</v>
      </c>
      <c r="B85" s="138"/>
      <c r="C85" s="139"/>
      <c r="D85" s="140" t="s">
        <v>128</v>
      </c>
      <c r="E85" s="141" t="s">
        <v>4</v>
      </c>
      <c r="F85" s="281" t="s">
        <v>5</v>
      </c>
      <c r="G85" s="281" t="s">
        <v>6</v>
      </c>
      <c r="H85" s="281" t="s">
        <v>7</v>
      </c>
      <c r="I85" s="281" t="s">
        <v>8</v>
      </c>
      <c r="J85" s="281" t="s">
        <v>9</v>
      </c>
      <c r="K85" s="281" t="s">
        <v>10</v>
      </c>
      <c r="L85" s="282" t="s">
        <v>11</v>
      </c>
      <c r="M85" s="34"/>
      <c r="N85"/>
      <c r="O85"/>
      <c r="P85"/>
    </row>
    <row r="86" spans="1:21" s="2" customFormat="1" ht="15" customHeight="1">
      <c r="A86" s="44" t="s">
        <v>129</v>
      </c>
      <c r="B86" s="44"/>
      <c r="C86" s="45"/>
      <c r="D86" s="263" t="s">
        <v>130</v>
      </c>
      <c r="E86" s="284">
        <f>IFERROR(VLOOKUP(D86,'Employee Numbers'!$A$3:$B$84,2,FALSE),"NOT FOUND")</f>
        <v>703066</v>
      </c>
      <c r="F86" s="264"/>
      <c r="G86" s="264"/>
      <c r="H86" s="264"/>
      <c r="I86" s="264" t="s">
        <v>44</v>
      </c>
      <c r="J86" s="264" t="s">
        <v>44</v>
      </c>
      <c r="K86" s="264" t="s">
        <v>44</v>
      </c>
      <c r="L86" s="264" t="s">
        <v>44</v>
      </c>
      <c r="N86">
        <f t="array" ref="N86">((SUM(IFERROR((TEXT(IF(ISNUMBER(SEARCH("-", F86:L86)), MID(F86:L86, SEARCH("-", F86:L86) + 1, 4), ""), "00\:00") - TEXT(IF(ISNUMBER(SEARCH("-", F86:L86)), MID(F86:L86, SEARCH("-", F86:L86) - 4, 4), ""), "00\:00") + IF(TEXT(IF(ISNUMBER(SEARCH("-", F86:L86)), MID(F86:L86, SEARCH("-", F86:L86) + 1, 4), ""), "00\:00") &lt; TEXT(IF(ISNUMBER(SEARCH("-", F86:L86)), MID(F86:L86, SEARCH("-", F86:L86) - 4, 4), ""), "00\:00"), 1, 0))*24,""))))/9.5</f>
        <v>4</v>
      </c>
      <c r="O86"/>
      <c r="P86"/>
      <c r="Q86" s="2">
        <f>P86+O86+N86</f>
        <v>4</v>
      </c>
      <c r="S86">
        <f t="shared" ref="S86:S99" ca="1" si="24">IF($C$4=1,SUM(Q86+INDIRECT("'Week "&amp;($B$3+1)&amp;"'!Q"&amp;(ROW()))),IF($C$4=2,SUM(Q86+INDIRECT("'Week "&amp;($B$3-1)&amp;"'!Q"&amp;(ROW())))))</f>
        <v>4</v>
      </c>
      <c r="T86" s="2" t="e">
        <f>(IFERROR(VLOOKUP(D86,'Employee Numbers'!$A$3:$C$84,3,FALSE),"NOT FOUND"))*8</f>
        <v>#VALUE!</v>
      </c>
    </row>
    <row r="87" spans="1:21" s="2" customFormat="1" ht="15" customHeight="1">
      <c r="A87" s="2" t="s">
        <v>129</v>
      </c>
      <c r="C87" s="21"/>
      <c r="D87" s="263" t="s">
        <v>131</v>
      </c>
      <c r="E87" s="285">
        <f>IFERROR(VLOOKUP(D87,'Employee Numbers'!$A$3:$B$84,2,FALSE),"NOT FOUND")</f>
        <v>648637</v>
      </c>
      <c r="F87" s="264"/>
      <c r="G87" s="264"/>
      <c r="H87" s="264"/>
      <c r="I87" s="264" t="s">
        <v>42</v>
      </c>
      <c r="J87" s="264" t="s">
        <v>100</v>
      </c>
      <c r="K87" s="264" t="s">
        <v>100</v>
      </c>
      <c r="L87" s="264" t="s">
        <v>100</v>
      </c>
      <c r="N87">
        <f t="array" ref="N87">((SUM(IFERROR((TEXT(IF(ISNUMBER(SEARCH("-", F87:L87)), MID(F87:L87, SEARCH("-", F87:L87) + 1, 4), ""), "00\:00") - TEXT(IF(ISNUMBER(SEARCH("-", F87:L87)), MID(F87:L87, SEARCH("-", F87:L87) - 4, 4), ""), "00\:00") + IF(TEXT(IF(ISNUMBER(SEARCH("-", F87:L87)), MID(F87:L87, SEARCH("-", F87:L87) + 1, 4), ""), "00\:00") &lt; TEXT(IF(ISNUMBER(SEARCH("-", F87:L87)), MID(F87:L87, SEARCH("-", F87:L87) - 4, 4), ""), "00\:00"), 1, 0))*24,""))))/9.5</f>
        <v>4</v>
      </c>
      <c r="O87"/>
      <c r="P87"/>
      <c r="Q87" s="2">
        <f t="shared" ref="Q87:Q96" si="25">P87+O87+N87</f>
        <v>4</v>
      </c>
      <c r="S87">
        <f t="shared" ca="1" si="24"/>
        <v>4</v>
      </c>
      <c r="T87" s="2" t="e">
        <f>(IFERROR(VLOOKUP(D87,'Employee Numbers'!$A$3:$C$84,3,FALSE),"NOT FOUND"))*8</f>
        <v>#VALUE!</v>
      </c>
    </row>
    <row r="88" spans="1:21" s="13" customFormat="1" ht="15" customHeight="1">
      <c r="A88" s="44" t="s">
        <v>129</v>
      </c>
      <c r="B88" s="44"/>
      <c r="C88" s="45"/>
      <c r="D88" s="263" t="s">
        <v>132</v>
      </c>
      <c r="E88" s="285">
        <f>IFERROR(VLOOKUP(D88,'Employee Numbers'!$A$3:$B$84,2,FALSE),"NOT FOUND")</f>
        <v>703161</v>
      </c>
      <c r="F88" s="274" t="s">
        <v>176</v>
      </c>
      <c r="G88" s="274"/>
      <c r="H88" s="274"/>
      <c r="I88" s="274"/>
      <c r="J88" s="274"/>
      <c r="K88" s="274"/>
      <c r="L88" s="274"/>
      <c r="M88" s="2"/>
      <c r="N88">
        <f t="array" ref="N88">((SUM(IFERROR((TEXT(IF(ISNUMBER(SEARCH("-", F88:L88)), MID(F88:L88, SEARCH("-", F88:L88) + 1, 4), ""), "00\:00") - TEXT(IF(ISNUMBER(SEARCH("-", F88:L88)), MID(F88:L88, SEARCH("-", F88:L88) - 4, 4), ""), "00\:00") + IF(TEXT(IF(ISNUMBER(SEARCH("-", F88:L88)), MID(F88:L88, SEARCH("-", F88:L88) + 1, 4), ""), "00\:00") &lt; TEXT(IF(ISNUMBER(SEARCH("-", F88:L88)), MID(F88:L88, SEARCH("-", F88:L88) - 4, 4), ""), "00\:00"), 1, 0))*24,""))))/9.5</f>
        <v>0</v>
      </c>
      <c r="O88"/>
      <c r="P88"/>
      <c r="Q88" s="2">
        <f t="shared" si="25"/>
        <v>0</v>
      </c>
      <c r="R88" s="2"/>
      <c r="S88">
        <f t="shared" ca="1" si="24"/>
        <v>0</v>
      </c>
      <c r="T88" s="2" t="e">
        <f>(IFERROR(VLOOKUP(D88,'Employee Numbers'!$A$3:$C$84,3,FALSE),"NOT FOUND"))*8</f>
        <v>#VALUE!</v>
      </c>
      <c r="U88" s="2"/>
    </row>
    <row r="89" spans="1:21" s="2" customFormat="1" ht="15" customHeight="1">
      <c r="A89" s="2" t="s">
        <v>129</v>
      </c>
      <c r="C89" s="21"/>
      <c r="D89" s="263" t="s">
        <v>133</v>
      </c>
      <c r="E89" s="285">
        <f>IFERROR(VLOOKUP(D89,'Employee Numbers'!$A$3:$B$84,2,FALSE),"NOT FOUND")</f>
        <v>655179</v>
      </c>
      <c r="F89" s="264"/>
      <c r="G89" s="264"/>
      <c r="H89" s="264"/>
      <c r="I89" s="264"/>
      <c r="J89" s="264"/>
      <c r="K89" s="264"/>
      <c r="L89" s="264"/>
      <c r="N89">
        <f t="array" ref="N89">((SUM(IFERROR((TEXT(IF(ISNUMBER(SEARCH("-", F89:L89)), MID(F89:L89, SEARCH("-", F89:L89) + 1, 4), ""), "00\:00") - TEXT(IF(ISNUMBER(SEARCH("-", F89:L89)), MID(F89:L89, SEARCH("-", F89:L89) - 4, 4), ""), "00\:00") + IF(TEXT(IF(ISNUMBER(SEARCH("-", F89:L89)), MID(F89:L89, SEARCH("-", F89:L89) + 1, 4), ""), "00\:00") &lt; TEXT(IF(ISNUMBER(SEARCH("-", F89:L89)), MID(F89:L89, SEARCH("-", F89:L89) - 4, 4), ""), "00\:00"), 1, 0))*24,""))))/9.5</f>
        <v>0</v>
      </c>
      <c r="O89"/>
      <c r="P89"/>
      <c r="Q89" s="2">
        <f t="shared" si="25"/>
        <v>0</v>
      </c>
      <c r="S89">
        <f t="shared" ca="1" si="24"/>
        <v>0</v>
      </c>
      <c r="T89" s="2" t="e">
        <f>(IFERROR(VLOOKUP(D89,'Employee Numbers'!$A$3:$C$84,3,FALSE),"NOT FOUND"))*8</f>
        <v>#VALUE!</v>
      </c>
    </row>
    <row r="90" spans="1:21" s="2" customFormat="1" ht="15" customHeight="1">
      <c r="A90" s="44" t="s">
        <v>129</v>
      </c>
      <c r="B90" s="44"/>
      <c r="C90" s="45"/>
      <c r="D90" s="263" t="s">
        <v>134</v>
      </c>
      <c r="E90" s="285">
        <f>IFERROR(VLOOKUP(D90,'Employee Numbers'!$A$3:$B$84,2,FALSE),"NOT FOUND")</f>
        <v>700812</v>
      </c>
      <c r="F90" s="264" t="s">
        <v>42</v>
      </c>
      <c r="G90" s="264" t="s">
        <v>100</v>
      </c>
      <c r="H90" s="264" t="s">
        <v>100</v>
      </c>
      <c r="I90" s="264" t="s">
        <v>100</v>
      </c>
      <c r="J90" s="264"/>
      <c r="K90" s="264"/>
      <c r="L90" s="264"/>
      <c r="N90">
        <f t="array" ref="N90">((SUM(IFERROR((TEXT(IF(ISNUMBER(SEARCH("-", F90:L90)), MID(F90:L90, SEARCH("-", F90:L90) + 1, 4), ""), "00\:00") - TEXT(IF(ISNUMBER(SEARCH("-", F90:L90)), MID(F90:L90, SEARCH("-", F90:L90) - 4, 4), ""), "00\:00") + IF(TEXT(IF(ISNUMBER(SEARCH("-", F90:L90)), MID(F90:L90, SEARCH("-", F90:L90) + 1, 4), ""), "00\:00") &lt; TEXT(IF(ISNUMBER(SEARCH("-", F90:L90)), MID(F90:L90, SEARCH("-", F90:L90) - 4, 4), ""), "00\:00"), 1, 0))*24,""))))/9.5</f>
        <v>4</v>
      </c>
      <c r="O90"/>
      <c r="P90"/>
      <c r="Q90" s="2">
        <f t="shared" si="25"/>
        <v>4</v>
      </c>
      <c r="S90">
        <f t="shared" ca="1" si="24"/>
        <v>4</v>
      </c>
      <c r="T90" s="2" t="e">
        <f>(IFERROR(VLOOKUP(D90,'Employee Numbers'!$A$3:$C$84,3,FALSE),"NOT FOUND"))*8</f>
        <v>#VALUE!</v>
      </c>
    </row>
    <row r="91" spans="1:21" s="2" customFormat="1" ht="15" customHeight="1">
      <c r="A91" s="2" t="s">
        <v>129</v>
      </c>
      <c r="D91" s="263" t="s">
        <v>135</v>
      </c>
      <c r="E91" s="285">
        <f>IFERROR(VLOOKUP(D91,'Employee Numbers'!$A$3:$B$84,2,FALSE),"NOT FOUND")</f>
        <v>703157</v>
      </c>
      <c r="F91" s="264" t="s">
        <v>44</v>
      </c>
      <c r="G91" s="264" t="s">
        <v>44</v>
      </c>
      <c r="H91" s="264" t="s">
        <v>44</v>
      </c>
      <c r="I91" s="264" t="s">
        <v>42</v>
      </c>
      <c r="J91" s="264"/>
      <c r="K91" s="264"/>
      <c r="L91" s="264"/>
      <c r="N91">
        <f t="array" ref="N91">((SUM(IFERROR((TEXT(IF(ISNUMBER(SEARCH("-", F91:L91)), MID(F91:L91, SEARCH("-", F91:L91) + 1, 4), ""), "00\:00") - TEXT(IF(ISNUMBER(SEARCH("-", F91:L91)), MID(F91:L91, SEARCH("-", F91:L91) - 4, 4), ""), "00\:00") + IF(TEXT(IF(ISNUMBER(SEARCH("-", F91:L91)), MID(F91:L91, SEARCH("-", F91:L91) + 1, 4), ""), "00\:00") &lt; TEXT(IF(ISNUMBER(SEARCH("-", F91:L91)), MID(F91:L91, SEARCH("-", F91:L91) - 4, 4), ""), "00\:00"), 1, 0))*24,""))))/9.5</f>
        <v>4</v>
      </c>
      <c r="O91"/>
      <c r="P91"/>
      <c r="Q91" s="2">
        <f t="shared" si="25"/>
        <v>4</v>
      </c>
      <c r="S91">
        <f t="shared" ca="1" si="24"/>
        <v>4</v>
      </c>
      <c r="T91" s="2" t="e">
        <f>(IFERROR(VLOOKUP(D91,'Employee Numbers'!$A$3:$C$84,3,FALSE),"NOT FOUND"))*8</f>
        <v>#VALUE!</v>
      </c>
    </row>
    <row r="92" spans="1:21" s="2" customFormat="1" ht="15" customHeight="1">
      <c r="A92" s="44" t="s">
        <v>129</v>
      </c>
      <c r="B92" s="44"/>
      <c r="C92" s="44"/>
      <c r="D92" s="263" t="s">
        <v>136</v>
      </c>
      <c r="E92" s="285">
        <f>IFERROR(VLOOKUP(D92,'Employee Numbers'!$A$3:$B$84,2,FALSE),"NOT FOUND")</f>
        <v>655173</v>
      </c>
      <c r="F92" s="264" t="s">
        <v>100</v>
      </c>
      <c r="G92" s="264"/>
      <c r="H92" s="264"/>
      <c r="I92" s="264"/>
      <c r="J92" s="264" t="s">
        <v>44</v>
      </c>
      <c r="K92" s="264" t="s">
        <v>44</v>
      </c>
      <c r="L92" s="264" t="s">
        <v>44</v>
      </c>
      <c r="N92">
        <f t="array" ref="N92">((SUM(IFERROR((TEXT(IF(ISNUMBER(SEARCH("-", F92:L92)), MID(F92:L92, SEARCH("-", F92:L92) + 1, 4), ""), "00\:00") - TEXT(IF(ISNUMBER(SEARCH("-", F92:L92)), MID(F92:L92, SEARCH("-", F92:L92) - 4, 4), ""), "00\:00") + IF(TEXT(IF(ISNUMBER(SEARCH("-", F92:L92)), MID(F92:L92, SEARCH("-", F92:L92) + 1, 4), ""), "00\:00") &lt; TEXT(IF(ISNUMBER(SEARCH("-", F92:L92)), MID(F92:L92, SEARCH("-", F92:L92) - 4, 4), ""), "00\:00"), 1, 0))*24,""))))/9.5</f>
        <v>4</v>
      </c>
      <c r="O92"/>
      <c r="P92"/>
      <c r="Q92" s="2">
        <f t="shared" si="25"/>
        <v>4</v>
      </c>
      <c r="S92">
        <f t="shared" ca="1" si="24"/>
        <v>4</v>
      </c>
      <c r="T92" s="2" t="e">
        <f>(IFERROR(VLOOKUP(D92,'Employee Numbers'!$A$3:$C$84,3,FALSE),"NOT FOUND"))*8</f>
        <v>#VALUE!</v>
      </c>
    </row>
    <row r="93" spans="1:21" s="2" customFormat="1" ht="15" customHeight="1">
      <c r="A93" s="44" t="s">
        <v>129</v>
      </c>
      <c r="B93" s="44"/>
      <c r="C93" s="45"/>
      <c r="D93" s="263" t="s">
        <v>137</v>
      </c>
      <c r="E93" s="285">
        <f>IFERROR(VLOOKUP(D93,'Employee Numbers'!$A$3:$B$84,2,FALSE),"NOT FOUND")</f>
        <v>705273</v>
      </c>
      <c r="F93" s="264" t="s">
        <v>42</v>
      </c>
      <c r="G93" s="264"/>
      <c r="H93" s="264" t="s">
        <v>44</v>
      </c>
      <c r="I93" s="264" t="s">
        <v>44</v>
      </c>
      <c r="J93" s="264" t="s">
        <v>42</v>
      </c>
      <c r="K93" s="264"/>
      <c r="L93" s="264"/>
      <c r="N93">
        <f t="array" ref="N93">((SUM(IFERROR((TEXT(IF(ISNUMBER(SEARCH("-", F93:L93)), MID(F93:L93, SEARCH("-", F93:L93) + 1, 4), ""), "00\:00") - TEXT(IF(ISNUMBER(SEARCH("-", F93:L93)), MID(F93:L93, SEARCH("-", F93:L93) - 4, 4), ""), "00\:00") + IF(TEXT(IF(ISNUMBER(SEARCH("-", F93:L93)), MID(F93:L93, SEARCH("-", F93:L93) + 1, 4), ""), "00\:00") &lt; TEXT(IF(ISNUMBER(SEARCH("-", F93:L93)), MID(F93:L93, SEARCH("-", F93:L93) - 4, 4), ""), "00\:00"), 1, 0))*24,""))))/9.5</f>
        <v>4</v>
      </c>
      <c r="O93"/>
      <c r="P93"/>
      <c r="Q93" s="2">
        <f t="shared" si="25"/>
        <v>4</v>
      </c>
      <c r="S93">
        <f t="shared" ca="1" si="24"/>
        <v>4</v>
      </c>
      <c r="T93" s="2" t="e">
        <f>(IFERROR(VLOOKUP(D93,'Employee Numbers'!$A$3:$C$84,3,FALSE),"NOT FOUND"))*8</f>
        <v>#VALUE!</v>
      </c>
    </row>
    <row r="94" spans="1:21" s="2" customFormat="1" ht="15" customHeight="1">
      <c r="A94" s="2" t="s">
        <v>129</v>
      </c>
      <c r="C94" s="21"/>
      <c r="D94" s="263" t="s">
        <v>138</v>
      </c>
      <c r="E94" s="285">
        <f>IFERROR(VLOOKUP(D94,'Employee Numbers'!$A$3:$B$84,2,FALSE),"NOT FOUND")</f>
        <v>703418</v>
      </c>
      <c r="F94" s="264" t="s">
        <v>44</v>
      </c>
      <c r="G94" s="264" t="s">
        <v>42</v>
      </c>
      <c r="H94" s="264"/>
      <c r="I94" s="264" t="s">
        <v>44</v>
      </c>
      <c r="J94" s="264" t="s">
        <v>42</v>
      </c>
      <c r="K94" s="264"/>
      <c r="L94" s="264"/>
      <c r="N94">
        <f t="array" ref="N94">((SUM(IFERROR((TEXT(IF(ISNUMBER(SEARCH("-", F94:L94)), MID(F94:L94, SEARCH("-", F94:L94) + 1, 4), ""), "00\:00") - TEXT(IF(ISNUMBER(SEARCH("-", F94:L94)), MID(F94:L94, SEARCH("-", F94:L94) - 4, 4), ""), "00\:00") + IF(TEXT(IF(ISNUMBER(SEARCH("-", F94:L94)), MID(F94:L94, SEARCH("-", F94:L94) + 1, 4), ""), "00\:00") &lt; TEXT(IF(ISNUMBER(SEARCH("-", F94:L94)), MID(F94:L94, SEARCH("-", F94:L94) - 4, 4), ""), "00\:00"), 1, 0))*24,""))))/9.5</f>
        <v>4</v>
      </c>
      <c r="O94"/>
      <c r="P94"/>
      <c r="Q94" s="2">
        <f t="shared" si="25"/>
        <v>4</v>
      </c>
      <c r="S94">
        <f t="shared" ca="1" si="24"/>
        <v>4</v>
      </c>
      <c r="T94" s="2" t="e">
        <f>(IFERROR(VLOOKUP(D94,'Employee Numbers'!$A$3:$C$84,3,FALSE),"NOT FOUND"))*8</f>
        <v>#VALUE!</v>
      </c>
    </row>
    <row r="95" spans="1:21" s="13" customFormat="1" ht="15" customHeight="1">
      <c r="A95" s="44" t="s">
        <v>129</v>
      </c>
      <c r="B95" s="44"/>
      <c r="C95" s="45"/>
      <c r="D95" s="263" t="s">
        <v>139</v>
      </c>
      <c r="E95" s="285">
        <f>IFERROR(VLOOKUP(D95,'Employee Numbers'!$A$3:$B$84,2,FALSE),"NOT FOUND")</f>
        <v>704108</v>
      </c>
      <c r="F95" s="264"/>
      <c r="G95" s="264" t="s">
        <v>42</v>
      </c>
      <c r="H95" s="264" t="s">
        <v>42</v>
      </c>
      <c r="I95" s="264"/>
      <c r="J95" s="264"/>
      <c r="K95" s="264" t="s">
        <v>42</v>
      </c>
      <c r="L95" s="264" t="s">
        <v>174</v>
      </c>
      <c r="M95" s="2"/>
      <c r="N95">
        <f t="array" ref="N95">((SUM(IFERROR((TEXT(IF(ISNUMBER(SEARCH("-", F95:L95)), MID(F95:L95, SEARCH("-", F95:L95) + 1, 4), ""), "00\:00") - TEXT(IF(ISNUMBER(SEARCH("-", F95:L95)), MID(F95:L95, SEARCH("-", F95:L95) - 4, 4), ""), "00\:00") + IF(TEXT(IF(ISNUMBER(SEARCH("-", F95:L95)), MID(F95:L95, SEARCH("-", F95:L95) + 1, 4), ""), "00\:00") &lt; TEXT(IF(ISNUMBER(SEARCH("-", F95:L95)), MID(F95:L95, SEARCH("-", F95:L95) - 4, 4), ""), "00\:00"), 1, 0))*24,""))))/9.5</f>
        <v>4</v>
      </c>
      <c r="O95"/>
      <c r="P95"/>
      <c r="Q95" s="2">
        <f t="shared" si="25"/>
        <v>4</v>
      </c>
      <c r="R95" s="2"/>
      <c r="S95">
        <f t="shared" ca="1" si="24"/>
        <v>4</v>
      </c>
      <c r="T95" s="2" t="e">
        <f>(IFERROR(VLOOKUP(D95,'Employee Numbers'!$A$3:$C$84,3,FALSE),"NOT FOUND"))*8</f>
        <v>#VALUE!</v>
      </c>
      <c r="U95" s="2"/>
    </row>
    <row r="96" spans="1:21" s="2" customFormat="1" ht="15" customHeight="1">
      <c r="A96" s="2" t="s">
        <v>129</v>
      </c>
      <c r="C96" s="21"/>
      <c r="D96" s="263" t="s">
        <v>140</v>
      </c>
      <c r="E96" s="285">
        <f>IFERROR(VLOOKUP(D96,'Employee Numbers'!$A$3:$B$84,2,FALSE),"NOT FOUND")</f>
        <v>651515</v>
      </c>
      <c r="F96" s="264" t="s">
        <v>44</v>
      </c>
      <c r="G96" s="264"/>
      <c r="H96" s="264"/>
      <c r="I96" s="264"/>
      <c r="J96" s="264" t="s">
        <v>100</v>
      </c>
      <c r="K96" s="264" t="s">
        <v>100</v>
      </c>
      <c r="L96" s="264" t="s">
        <v>100</v>
      </c>
      <c r="N96">
        <f t="array" ref="N96">((SUM(IFERROR((TEXT(IF(ISNUMBER(SEARCH("-", F96:L96)), MID(F96:L96, SEARCH("-", F96:L96) + 1, 4), ""), "00\:00") - TEXT(IF(ISNUMBER(SEARCH("-", F96:L96)), MID(F96:L96, SEARCH("-", F96:L96) - 4, 4), ""), "00\:00") + IF(TEXT(IF(ISNUMBER(SEARCH("-", F96:L96)), MID(F96:L96, SEARCH("-", F96:L96) + 1, 4), ""), "00\:00") &lt; TEXT(IF(ISNUMBER(SEARCH("-", F96:L96)), MID(F96:L96, SEARCH("-", F96:L96) - 4, 4), ""), "00\:00"), 1, 0))*24,""))))/9.5</f>
        <v>4</v>
      </c>
      <c r="O96"/>
      <c r="P96"/>
      <c r="Q96" s="2">
        <f t="shared" si="25"/>
        <v>4</v>
      </c>
      <c r="S96">
        <f t="shared" ca="1" si="24"/>
        <v>4</v>
      </c>
      <c r="T96" s="2" t="e">
        <f>(IFERROR(VLOOKUP(D96,'Employee Numbers'!$A$3:$C$84,3,FALSE),"NOT FOUND"))*8</f>
        <v>#VALUE!</v>
      </c>
    </row>
    <row r="97" spans="1:20" s="2" customFormat="1" ht="15" customHeight="1">
      <c r="A97" s="44" t="s">
        <v>129</v>
      </c>
      <c r="B97" s="44"/>
      <c r="C97" s="45"/>
      <c r="D97" s="263" t="s">
        <v>141</v>
      </c>
      <c r="E97" s="285">
        <f>IFERROR(VLOOKUP(D97,'Employee Numbers'!$A$3:$B$84,2,FALSE),"NOT FOUND")</f>
        <v>705199</v>
      </c>
      <c r="F97" s="264" t="s">
        <v>100</v>
      </c>
      <c r="G97" s="264" t="s">
        <v>100</v>
      </c>
      <c r="H97" s="264" t="s">
        <v>100</v>
      </c>
      <c r="I97" s="264" t="s">
        <v>100</v>
      </c>
      <c r="J97" s="264"/>
      <c r="K97" s="264"/>
      <c r="L97" s="264"/>
      <c r="N97">
        <f t="array" ref="N97">((SUM(IFERROR((TEXT(IF(ISNUMBER(SEARCH("-", F97:L97)), MID(F97:L97, SEARCH("-", F97:L97) + 1, 4), ""), "00\:00") - TEXT(IF(ISNUMBER(SEARCH("-", F97:L97)), MID(F97:L97, SEARCH("-", F97:L97) - 4, 4), ""), "00\:00") + IF(TEXT(IF(ISNUMBER(SEARCH("-", F97:L97)), MID(F97:L97, SEARCH("-", F97:L97) + 1, 4), ""), "00\:00") &lt; TEXT(IF(ISNUMBER(SEARCH("-", F97:L97)), MID(F97:L97, SEARCH("-", F97:L97) - 4, 4), ""), "00\:00"), 1, 0))*24,""))))/9.5</f>
        <v>3.9999999999999991</v>
      </c>
      <c r="O97"/>
      <c r="P97"/>
      <c r="Q97" s="2">
        <f>P97+O97+N97</f>
        <v>3.9999999999999991</v>
      </c>
      <c r="S97">
        <f t="shared" ca="1" si="24"/>
        <v>3.9999999999999991</v>
      </c>
      <c r="T97" s="2" t="e">
        <f>(IFERROR(VLOOKUP(D97,'Employee Numbers'!$A$3:$C$84,3,FALSE),"NOT FOUND"))*8</f>
        <v>#VALUE!</v>
      </c>
    </row>
    <row r="98" spans="1:20" s="2" customFormat="1" ht="15" customHeight="1">
      <c r="A98" s="2" t="s">
        <v>129</v>
      </c>
      <c r="D98" s="31"/>
      <c r="E98" s="39" t="str">
        <f>IFERROR(VLOOKUP(D98,'Employee Numbers'!$A$3:$B$84,2,FALSE),"NOT FOUND")</f>
        <v>NOT FOUND</v>
      </c>
      <c r="F98" s="130"/>
      <c r="G98" s="130"/>
      <c r="H98" s="130"/>
      <c r="I98" s="130"/>
      <c r="J98" s="130"/>
      <c r="K98" s="130"/>
      <c r="L98" s="130"/>
      <c r="N98">
        <f t="array" ref="N98">((SUM(IFERROR((TEXT(IF(ISNUMBER(SEARCH("-", F98:L98)), MID(F98:L98, SEARCH("-", F98:L98) + 1, 4), ""), "00\:00") - TEXT(IF(ISNUMBER(SEARCH("-", F98:L98)), MID(F98:L98, SEARCH("-", F98:L98) - 4, 4), ""), "00\:00") + IF(TEXT(IF(ISNUMBER(SEARCH("-", F98:L98)), MID(F98:L98, SEARCH("-", F98:L98) + 1, 4), ""), "00\:00") &lt; TEXT(IF(ISNUMBER(SEARCH("-", F98:L98)), MID(F98:L98, SEARCH("-", F98:L98) - 4, 4), ""), "00\:00"), 1, 0))*24,""))))/9.5</f>
        <v>0</v>
      </c>
      <c r="O98"/>
      <c r="P98"/>
      <c r="Q98" s="2">
        <f>P98+O98+N98</f>
        <v>0</v>
      </c>
      <c r="S98">
        <f t="shared" ca="1" si="24"/>
        <v>0</v>
      </c>
      <c r="T98" s="2" t="e">
        <f>(IFERROR(VLOOKUP(D98,'Employee Numbers'!$A$3:$C$84,3,FALSE),"NOT FOUND"))*8</f>
        <v>#VALUE!</v>
      </c>
    </row>
    <row r="99" spans="1:20" s="2" customFormat="1" ht="15" customHeight="1">
      <c r="A99" s="44" t="s">
        <v>129</v>
      </c>
      <c r="B99" s="44"/>
      <c r="C99" s="44"/>
      <c r="D99" s="30"/>
      <c r="E99" s="39" t="str">
        <f>IFERROR(VLOOKUP(D99,'Employee Numbers'!$A$3:$B$84,2,FALSE),"NOT FOUND")</f>
        <v>NOT FOUND</v>
      </c>
      <c r="F99" s="37"/>
      <c r="G99" s="37"/>
      <c r="H99" s="37"/>
      <c r="I99" s="37"/>
      <c r="J99" s="37"/>
      <c r="K99" s="37"/>
      <c r="L99" s="37"/>
      <c r="N99">
        <f t="array" ref="N99">((SUM(IFERROR((TEXT(IF(ISNUMBER(SEARCH("-", F99:L99)), MID(F99:L99, SEARCH("-", F99:L99) + 1, 4), ""), "00\:00") - TEXT(IF(ISNUMBER(SEARCH("-", F99:L99)), MID(F99:L99, SEARCH("-", F99:L99) - 4, 4), ""), "00\:00") + IF(TEXT(IF(ISNUMBER(SEARCH("-", F99:L99)), MID(F99:L99, SEARCH("-", F99:L99) + 1, 4), ""), "00\:00") &lt; TEXT(IF(ISNUMBER(SEARCH("-", F99:L99)), MID(F99:L99, SEARCH("-", F99:L99) - 4, 4), ""), "00\:00"), 1, 0))*24,""))))/9.5</f>
        <v>0</v>
      </c>
      <c r="O99"/>
      <c r="P99"/>
      <c r="Q99" s="2">
        <f>P99+O99+N99</f>
        <v>0</v>
      </c>
      <c r="S99">
        <f t="shared" ca="1" si="24"/>
        <v>0</v>
      </c>
      <c r="T99" s="2" t="e">
        <f>(IFERROR(VLOOKUP(D99,'Employee Numbers'!$A$3:$C$84,3,FALSE),"NOT FOUND"))*8</f>
        <v>#VALUE!</v>
      </c>
    </row>
    <row r="100" spans="1:20" s="2" customFormat="1" ht="15" customHeight="1">
      <c r="A100" s="56" t="s">
        <v>142</v>
      </c>
      <c r="B100" s="52"/>
      <c r="C100" s="53"/>
      <c r="D100" s="56" t="s">
        <v>142</v>
      </c>
      <c r="E100" s="41" t="s">
        <v>4</v>
      </c>
      <c r="F100" s="40" t="s">
        <v>5</v>
      </c>
      <c r="G100" s="40" t="s">
        <v>6</v>
      </c>
      <c r="H100" s="40" t="s">
        <v>7</v>
      </c>
      <c r="I100" s="40" t="s">
        <v>8</v>
      </c>
      <c r="J100" s="40" t="s">
        <v>9</v>
      </c>
      <c r="K100" s="40" t="s">
        <v>10</v>
      </c>
      <c r="L100" s="40" t="s">
        <v>11</v>
      </c>
      <c r="M100" s="5"/>
    </row>
    <row r="101" spans="1:20" s="2" customFormat="1" ht="15" customHeight="1">
      <c r="A101" s="2" t="s">
        <v>143</v>
      </c>
      <c r="B101" s="5"/>
      <c r="C101" s="8"/>
      <c r="D101" s="31"/>
      <c r="E101" s="39" t="str">
        <f>IFERROR(VLOOKUP(D101,'Employee Numbers'!$A$3:$B$84,2,FALSE),"NOT FOUND")</f>
        <v>NOT FOUND</v>
      </c>
      <c r="F101" s="31"/>
      <c r="G101" s="31"/>
      <c r="H101" s="31"/>
      <c r="I101" s="31"/>
      <c r="J101" s="31"/>
      <c r="K101" s="31"/>
      <c r="L101" s="31"/>
      <c r="M101" s="5"/>
      <c r="N101">
        <f t="array" ref="N101">((SUM(IFERROR((TEXT(IF(ISNUMBER(SEARCH("-", F101:L101)), MID(F101:L101, SEARCH("-", F101:L101) + 1, 4), ""), "00\:00") - TEXT(IF(ISNUMBER(SEARCH("-", F101:L101)), MID(F101:L101, SEARCH("-", F101:L101) - 4, 4), ""), "00\:00") + IF(TEXT(IF(ISNUMBER(SEARCH("-", F101:L101)), MID(F101:L101, SEARCH("-", F101:L101) + 1, 4), ""), "00\:00") &lt; TEXT(IF(ISNUMBER(SEARCH("-", F101:L101)), MID(F101:L101, SEARCH("-", F101:L101) - 4, 4), ""), "00\:00"), 1, 0))*24,""))))/9.5</f>
        <v>0</v>
      </c>
      <c r="O101"/>
      <c r="P101"/>
      <c r="Q101" s="2">
        <f>P101+O101+N101</f>
        <v>0</v>
      </c>
      <c r="S101">
        <f t="shared" ref="S101:S102" ca="1" si="26">IF($C$4=1,SUM(Q101+INDIRECT("'Week "&amp;($B$3+1)&amp;"'!Q"&amp;(ROW()))),IF($C$4=2,SUM(Q101+INDIRECT("'Week "&amp;($B$3-1)&amp;"'!Q"&amp;(ROW())))))</f>
        <v>0</v>
      </c>
      <c r="T101" s="2" t="e">
        <f>(IFERROR(VLOOKUP(D101,'Employee Numbers'!$A$3:$C$84,3,FALSE),"NOT FOUND"))*8</f>
        <v>#VALUE!</v>
      </c>
    </row>
    <row r="102" spans="1:20" s="2" customFormat="1" ht="15" customHeight="1">
      <c r="A102" s="44" t="s">
        <v>143</v>
      </c>
      <c r="B102" s="5"/>
      <c r="C102" s="8"/>
      <c r="D102" s="31"/>
      <c r="E102" s="39" t="str">
        <f>IFERROR(VLOOKUP(D102,'Employee Numbers'!$A$3:$B$84,2,FALSE),"NOT FOUND")</f>
        <v>NOT FOUND</v>
      </c>
      <c r="F102" s="31"/>
      <c r="G102" s="31"/>
      <c r="H102" s="31"/>
      <c r="I102" s="31"/>
      <c r="J102" s="31"/>
      <c r="K102" s="31"/>
      <c r="L102" s="31"/>
      <c r="M102" s="5"/>
      <c r="N102">
        <f t="array" ref="N102">((SUM(IFERROR((TEXT(IF(ISNUMBER(SEARCH("-", F102:L102)), MID(F102:L102, SEARCH("-", F102:L102) + 1, 4), ""), "00\:00") - TEXT(IF(ISNUMBER(SEARCH("-", F102:L102)), MID(F102:L102, SEARCH("-", F102:L102) - 4, 4), ""), "00\:00") + IF(TEXT(IF(ISNUMBER(SEARCH("-", F102:L102)), MID(F102:L102, SEARCH("-", F102:L102) + 1, 4), ""), "00\:00") &lt; TEXT(IF(ISNUMBER(SEARCH("-", F102:L102)), MID(F102:L102, SEARCH("-", F102:L102) - 4, 4), ""), "00\:00"), 1, 0))*24,""))))/9.5</f>
        <v>0</v>
      </c>
      <c r="O102"/>
      <c r="P102"/>
      <c r="Q102" s="2">
        <f>P102+O102+N102</f>
        <v>0</v>
      </c>
      <c r="S102">
        <f t="shared" ca="1" si="26"/>
        <v>0</v>
      </c>
      <c r="T102" s="2" t="e">
        <f>(IFERROR(VLOOKUP(D102,'Employee Numbers'!$A$3:$C$84,3,FALSE),"NOT FOUND"))*8</f>
        <v>#VALUE!</v>
      </c>
    </row>
    <row r="103" spans="1:20" s="2" customFormat="1" ht="15" customHeight="1">
      <c r="A103" s="54" t="s">
        <v>148</v>
      </c>
      <c r="B103" s="54"/>
      <c r="C103" s="54"/>
      <c r="D103" s="57" t="s">
        <v>148</v>
      </c>
      <c r="E103" s="107"/>
      <c r="F103" s="57"/>
      <c r="G103" s="57"/>
      <c r="H103" s="57"/>
      <c r="I103" s="57"/>
      <c r="J103" s="57"/>
      <c r="K103" s="57"/>
      <c r="L103" s="57"/>
      <c r="M103" s="5"/>
      <c r="N103"/>
      <c r="O103"/>
      <c r="Q103"/>
    </row>
    <row r="104" spans="1:20" ht="15" customHeight="1">
      <c r="B104" s="2"/>
      <c r="C104" s="21"/>
      <c r="D104" s="31"/>
      <c r="E104" s="154" t="s">
        <v>149</v>
      </c>
      <c r="F104" s="31"/>
      <c r="G104" s="31"/>
      <c r="H104" s="31"/>
      <c r="I104" s="31"/>
      <c r="J104" s="31"/>
      <c r="K104" s="31"/>
      <c r="L104" s="31"/>
      <c r="N104"/>
      <c r="O104"/>
      <c r="P104" s="2"/>
      <c r="Q104"/>
      <c r="R104" s="2"/>
    </row>
    <row r="105" spans="1:20" ht="15" customHeight="1" thickBot="1">
      <c r="L105" s="6"/>
      <c r="N105"/>
      <c r="O105"/>
      <c r="P105" s="2"/>
      <c r="Q105"/>
      <c r="R105" s="2"/>
    </row>
    <row r="106" spans="1:20" ht="15" customHeight="1">
      <c r="D106" s="77" t="s">
        <v>150</v>
      </c>
      <c r="F106" s="88" t="s">
        <v>151</v>
      </c>
      <c r="G106" s="89"/>
      <c r="H106" s="89"/>
      <c r="I106" s="89"/>
      <c r="J106" s="89"/>
      <c r="K106" s="89"/>
      <c r="L106" s="90"/>
      <c r="N106"/>
      <c r="O106"/>
      <c r="P106" s="2"/>
      <c r="Q106"/>
      <c r="R106" s="2"/>
    </row>
    <row r="107" spans="1:20" ht="15" customHeight="1">
      <c r="D107" s="78" t="s">
        <v>152</v>
      </c>
      <c r="F107" s="24" t="s">
        <v>153</v>
      </c>
      <c r="G107"/>
      <c r="L107" s="6"/>
      <c r="N107" s="2"/>
      <c r="O107" s="2"/>
      <c r="P107" s="2"/>
      <c r="Q107" s="2"/>
      <c r="R107" s="2"/>
    </row>
    <row r="108" spans="1:20" ht="15" customHeight="1">
      <c r="D108" s="79" t="s">
        <v>154</v>
      </c>
      <c r="F108" s="24" t="s">
        <v>155</v>
      </c>
      <c r="G108"/>
      <c r="L108" s="6"/>
      <c r="N108"/>
      <c r="O108"/>
      <c r="P108" s="2"/>
      <c r="Q108"/>
      <c r="R108" s="2"/>
    </row>
    <row r="109" spans="1:20" ht="15" customHeight="1">
      <c r="D109" s="80" t="s">
        <v>156</v>
      </c>
      <c r="F109" s="24" t="s">
        <v>157</v>
      </c>
      <c r="G109"/>
      <c r="L109" s="6"/>
      <c r="N109"/>
      <c r="O109"/>
      <c r="P109" s="2"/>
      <c r="Q109"/>
      <c r="R109" s="2"/>
    </row>
    <row r="110" spans="1:20" ht="15" customHeight="1">
      <c r="D110" s="81" t="s">
        <v>158</v>
      </c>
      <c r="F110" s="24" t="s">
        <v>159</v>
      </c>
      <c r="G110"/>
      <c r="L110" s="6"/>
      <c r="N110" s="2"/>
      <c r="O110" s="2"/>
      <c r="P110" s="2"/>
      <c r="Q110" s="2"/>
      <c r="R110" s="2"/>
    </row>
    <row r="111" spans="1:20" ht="15" customHeight="1" thickBot="1">
      <c r="A111" s="2"/>
      <c r="F111" s="25" t="s">
        <v>160</v>
      </c>
      <c r="G111" s="17"/>
      <c r="H111" s="7"/>
      <c r="I111" s="7"/>
      <c r="J111" s="7"/>
      <c r="K111" s="7"/>
      <c r="L111" s="18"/>
      <c r="N111" s="2"/>
      <c r="O111" s="2"/>
      <c r="P111" s="2"/>
      <c r="Q111" s="2"/>
      <c r="R111" s="2"/>
    </row>
    <row r="112" spans="1:20" ht="15" customHeight="1">
      <c r="G112" s="14"/>
    </row>
    <row r="113" spans="1:18" s="2" customFormat="1" ht="15" customHeight="1">
      <c r="A113" s="42" t="s">
        <v>38</v>
      </c>
      <c r="B113" s="33"/>
      <c r="C113" s="43"/>
      <c r="D113" s="82" t="s">
        <v>38</v>
      </c>
      <c r="E113" s="19"/>
      <c r="F113" s="10"/>
      <c r="G113" s="11"/>
      <c r="H113" s="11"/>
      <c r="I113" s="11"/>
      <c r="J113" s="11"/>
      <c r="K113" s="11"/>
      <c r="L113" s="15"/>
      <c r="M113" s="5"/>
      <c r="N113" s="5"/>
      <c r="O113" s="5"/>
      <c r="P113" s="5"/>
      <c r="Q113" s="5"/>
      <c r="R113" s="5"/>
    </row>
    <row r="114" spans="1:18" ht="15" customHeight="1" thickBot="1"/>
    <row r="115" spans="1:18" ht="15" customHeight="1" thickBot="1">
      <c r="A115" s="2" t="s">
        <v>161</v>
      </c>
      <c r="B115" s="55" t="s">
        <v>162</v>
      </c>
      <c r="C115" s="21"/>
      <c r="D115" s="27" t="str">
        <f t="shared" ref="D115:D143" si="27">D21</f>
        <v>Dr Adam West</v>
      </c>
      <c r="E115" s="22">
        <f>IFERROR(VLOOKUP(D115,'Employee Numbers'!$A$3:$B$84,2,FALSE),"NOT FOUND")</f>
        <v>287628</v>
      </c>
      <c r="F115" s="9" t="str">
        <f t="shared" ref="F115:L130" si="28">IF(F$50=$D115,"Con_8_0000","")</f>
        <v/>
      </c>
      <c r="G115" s="9" t="str">
        <f t="shared" si="28"/>
        <v/>
      </c>
      <c r="H115" s="9" t="str">
        <f t="shared" si="28"/>
        <v/>
      </c>
      <c r="I115" s="9" t="str">
        <f t="shared" si="28"/>
        <v/>
      </c>
      <c r="J115" s="9" t="str">
        <f t="shared" si="28"/>
        <v/>
      </c>
      <c r="K115" s="9" t="str">
        <f t="shared" si="28"/>
        <v/>
      </c>
      <c r="L115" s="9" t="str">
        <f t="shared" si="28"/>
        <v/>
      </c>
    </row>
    <row r="116" spans="1:18" ht="15" customHeight="1" thickBot="1">
      <c r="A116" s="2" t="s">
        <v>161</v>
      </c>
      <c r="B116" s="55" t="s">
        <v>162</v>
      </c>
      <c r="C116" s="21"/>
      <c r="D116" s="27" t="str">
        <f t="shared" si="27"/>
        <v>Dr Toby VanHest</v>
      </c>
      <c r="E116" s="22">
        <f>IFERROR(VLOOKUP(D116,'Employee Numbers'!$A$3:$B$84,2,FALSE),"NOT FOUND")</f>
        <v>609660</v>
      </c>
      <c r="F116" s="9" t="str">
        <f t="shared" si="28"/>
        <v/>
      </c>
      <c r="G116" s="9" t="str">
        <f t="shared" si="28"/>
        <v/>
      </c>
      <c r="H116" s="9" t="str">
        <f t="shared" si="28"/>
        <v/>
      </c>
      <c r="I116" s="9" t="str">
        <f t="shared" si="28"/>
        <v/>
      </c>
      <c r="J116" s="9" t="str">
        <f t="shared" si="28"/>
        <v>Con_8_0000</v>
      </c>
      <c r="K116" s="9" t="str">
        <f t="shared" si="28"/>
        <v/>
      </c>
      <c r="L116" s="9" t="str">
        <f t="shared" si="28"/>
        <v/>
      </c>
    </row>
    <row r="117" spans="1:18" ht="15" customHeight="1" thickBot="1">
      <c r="A117" s="2" t="s">
        <v>161</v>
      </c>
      <c r="B117" s="55" t="s">
        <v>162</v>
      </c>
      <c r="C117" s="21"/>
      <c r="D117" s="27" t="str">
        <f t="shared" si="27"/>
        <v>Dr Bob Seith</v>
      </c>
      <c r="E117" s="22">
        <f>IFERROR(VLOOKUP(D117,'Employee Numbers'!$A$3:$B$84,2,FALSE),"NOT FOUND")</f>
        <v>610036</v>
      </c>
      <c r="F117" s="9" t="str">
        <f t="shared" si="28"/>
        <v/>
      </c>
      <c r="G117" s="9" t="str">
        <f t="shared" si="28"/>
        <v/>
      </c>
      <c r="H117" s="9" t="str">
        <f t="shared" si="28"/>
        <v/>
      </c>
      <c r="I117" s="9" t="str">
        <f t="shared" si="28"/>
        <v/>
      </c>
      <c r="J117" s="9" t="str">
        <f t="shared" si="28"/>
        <v/>
      </c>
      <c r="K117" s="9" t="str">
        <f t="shared" si="28"/>
        <v/>
      </c>
      <c r="L117" s="9" t="str">
        <f t="shared" si="28"/>
        <v/>
      </c>
    </row>
    <row r="118" spans="1:18" ht="15" customHeight="1" thickBot="1">
      <c r="A118" s="2" t="s">
        <v>161</v>
      </c>
      <c r="B118" s="55" t="s">
        <v>162</v>
      </c>
      <c r="C118" s="21"/>
      <c r="D118" s="27" t="str">
        <f t="shared" si="27"/>
        <v>Dr Simon Craig</v>
      </c>
      <c r="E118" s="22">
        <f>IFERROR(VLOOKUP(D118,'Employee Numbers'!$A$3:$B$84,2,FALSE),"NOT FOUND")</f>
        <v>533509</v>
      </c>
      <c r="F118" s="9" t="str">
        <f t="shared" si="28"/>
        <v/>
      </c>
      <c r="G118" s="9" t="str">
        <f t="shared" si="28"/>
        <v/>
      </c>
      <c r="H118" s="9" t="str">
        <f t="shared" si="28"/>
        <v/>
      </c>
      <c r="I118" s="9" t="str">
        <f t="shared" si="28"/>
        <v/>
      </c>
      <c r="J118" s="9" t="str">
        <f t="shared" si="28"/>
        <v/>
      </c>
      <c r="K118" s="9" t="str">
        <f t="shared" si="28"/>
        <v/>
      </c>
      <c r="L118" s="9" t="str">
        <f t="shared" si="28"/>
        <v/>
      </c>
    </row>
    <row r="119" spans="1:18" ht="15" customHeight="1" thickBot="1">
      <c r="A119" s="2" t="s">
        <v>161</v>
      </c>
      <c r="B119" s="55" t="s">
        <v>162</v>
      </c>
      <c r="C119" s="21"/>
      <c r="D119" s="27" t="str">
        <f t="shared" si="27"/>
        <v>Dr Celia Bagshaw</v>
      </c>
      <c r="E119" s="22">
        <f>IFERROR(VLOOKUP(D119,'Employee Numbers'!$A$3:$B$84,2,FALSE),"NOT FOUND")</f>
        <v>625985</v>
      </c>
      <c r="F119" s="9" t="str">
        <f t="shared" si="28"/>
        <v/>
      </c>
      <c r="G119" s="9" t="str">
        <f t="shared" si="28"/>
        <v/>
      </c>
      <c r="H119" s="9" t="str">
        <f t="shared" si="28"/>
        <v/>
      </c>
      <c r="I119" s="9" t="str">
        <f t="shared" si="28"/>
        <v/>
      </c>
      <c r="J119" s="9" t="str">
        <f t="shared" si="28"/>
        <v/>
      </c>
      <c r="K119" s="9" t="str">
        <f t="shared" si="28"/>
        <v/>
      </c>
      <c r="L119" s="9" t="str">
        <f t="shared" si="28"/>
        <v/>
      </c>
    </row>
    <row r="120" spans="1:18" ht="15" customHeight="1" thickBot="1">
      <c r="A120" s="2" t="s">
        <v>161</v>
      </c>
      <c r="B120" s="55" t="s">
        <v>162</v>
      </c>
      <c r="C120" s="21"/>
      <c r="D120" s="27" t="str">
        <f t="shared" si="27"/>
        <v>Dr Adnan Bilgrami</v>
      </c>
      <c r="E120" s="22">
        <f>IFERROR(VLOOKUP(D120,'Employee Numbers'!$A$3:$B$84,2,FALSE),"NOT FOUND")</f>
        <v>632301</v>
      </c>
      <c r="F120" s="9" t="str">
        <f t="shared" si="28"/>
        <v/>
      </c>
      <c r="G120" s="9" t="str">
        <f t="shared" si="28"/>
        <v/>
      </c>
      <c r="H120" s="9" t="str">
        <f t="shared" si="28"/>
        <v>Con_8_0000</v>
      </c>
      <c r="I120" s="9" t="str">
        <f t="shared" si="28"/>
        <v/>
      </c>
      <c r="J120" s="9" t="str">
        <f t="shared" si="28"/>
        <v/>
      </c>
      <c r="K120" s="9" t="str">
        <f t="shared" si="28"/>
        <v/>
      </c>
      <c r="L120" s="9" t="str">
        <f t="shared" si="28"/>
        <v/>
      </c>
    </row>
    <row r="121" spans="1:18" ht="15" customHeight="1" thickBot="1">
      <c r="A121" s="2" t="s">
        <v>161</v>
      </c>
      <c r="B121" s="55" t="s">
        <v>162</v>
      </c>
      <c r="C121" s="21"/>
      <c r="D121" s="27" t="str">
        <f t="shared" si="27"/>
        <v>Dr Preeti Ramaswamy</v>
      </c>
      <c r="E121" s="22">
        <f>IFERROR(VLOOKUP(D121,'Employee Numbers'!$A$3:$B$84,2,FALSE),"NOT FOUND")</f>
        <v>613891</v>
      </c>
      <c r="F121" s="9" t="str">
        <f t="shared" si="28"/>
        <v/>
      </c>
      <c r="G121" s="9" t="str">
        <f t="shared" si="28"/>
        <v/>
      </c>
      <c r="H121" s="9" t="str">
        <f t="shared" si="28"/>
        <v/>
      </c>
      <c r="I121" s="9" t="str">
        <f t="shared" si="28"/>
        <v>Con_8_0000</v>
      </c>
      <c r="J121" s="9" t="str">
        <f t="shared" si="28"/>
        <v/>
      </c>
      <c r="K121" s="9" t="str">
        <f t="shared" si="28"/>
        <v/>
      </c>
      <c r="L121" s="9" t="str">
        <f t="shared" si="28"/>
        <v/>
      </c>
      <c r="N121" s="2"/>
      <c r="O121" s="2"/>
      <c r="P121" s="2"/>
      <c r="Q121" s="2"/>
      <c r="R121" s="2"/>
    </row>
    <row r="122" spans="1:18" ht="15" customHeight="1" thickBot="1">
      <c r="A122" s="2" t="s">
        <v>161</v>
      </c>
      <c r="B122" s="55" t="s">
        <v>162</v>
      </c>
      <c r="C122" s="21"/>
      <c r="D122" s="27" t="str">
        <f t="shared" si="27"/>
        <v>Dr Erin Mills</v>
      </c>
      <c r="E122" s="22">
        <f>IFERROR(VLOOKUP(D122,'Employee Numbers'!$A$3:$B$84,2,FALSE),"NOT FOUND")</f>
        <v>623657</v>
      </c>
      <c r="F122" s="9" t="str">
        <f t="shared" si="28"/>
        <v/>
      </c>
      <c r="G122" s="9" t="str">
        <f t="shared" si="28"/>
        <v/>
      </c>
      <c r="H122" s="9" t="str">
        <f t="shared" si="28"/>
        <v/>
      </c>
      <c r="I122" s="9" t="str">
        <f t="shared" si="28"/>
        <v/>
      </c>
      <c r="J122" s="9" t="str">
        <f t="shared" si="28"/>
        <v/>
      </c>
      <c r="K122" s="9" t="str">
        <f t="shared" si="28"/>
        <v/>
      </c>
      <c r="L122" s="9" t="str">
        <f t="shared" si="28"/>
        <v/>
      </c>
    </row>
    <row r="123" spans="1:18" ht="15" customHeight="1" thickBot="1">
      <c r="A123" s="2" t="s">
        <v>161</v>
      </c>
      <c r="B123" s="55" t="s">
        <v>162</v>
      </c>
      <c r="C123" s="21"/>
      <c r="D123" s="27" t="str">
        <f t="shared" si="27"/>
        <v>Dr Stella Robinson</v>
      </c>
      <c r="E123" s="22">
        <f>IFERROR(VLOOKUP(D123,'Employee Numbers'!$A$3:$B$84,2,FALSE),"NOT FOUND")</f>
        <v>623708</v>
      </c>
      <c r="F123" s="9" t="str">
        <f t="shared" si="28"/>
        <v/>
      </c>
      <c r="G123" s="9" t="str">
        <f t="shared" si="28"/>
        <v/>
      </c>
      <c r="H123" s="9" t="str">
        <f t="shared" si="28"/>
        <v/>
      </c>
      <c r="I123" s="9" t="str">
        <f t="shared" si="28"/>
        <v/>
      </c>
      <c r="J123" s="9" t="str">
        <f t="shared" si="28"/>
        <v/>
      </c>
      <c r="K123" s="9" t="str">
        <f t="shared" si="28"/>
        <v/>
      </c>
      <c r="L123" s="9" t="str">
        <f t="shared" si="28"/>
        <v/>
      </c>
    </row>
    <row r="124" spans="1:18" ht="15" customHeight="1" thickBot="1">
      <c r="A124" s="2" t="s">
        <v>161</v>
      </c>
      <c r="B124" s="55" t="s">
        <v>162</v>
      </c>
      <c r="C124" s="21"/>
      <c r="D124" s="27" t="str">
        <f t="shared" si="27"/>
        <v>Dr Bev Thompson</v>
      </c>
      <c r="E124" s="22">
        <f>IFERROR(VLOOKUP(D124,'Employee Numbers'!$A$3:$B$84,2,FALSE),"NOT FOUND")</f>
        <v>627680</v>
      </c>
      <c r="F124" s="9" t="str">
        <f t="shared" si="28"/>
        <v/>
      </c>
      <c r="G124" s="9" t="str">
        <f t="shared" si="28"/>
        <v/>
      </c>
      <c r="H124" s="9" t="str">
        <f t="shared" si="28"/>
        <v/>
      </c>
      <c r="I124" s="9" t="str">
        <f t="shared" si="28"/>
        <v/>
      </c>
      <c r="J124" s="9" t="str">
        <f t="shared" si="28"/>
        <v/>
      </c>
      <c r="K124" s="9" t="str">
        <f t="shared" si="28"/>
        <v/>
      </c>
      <c r="L124" s="9" t="str">
        <f t="shared" si="28"/>
        <v>Con_8_0000</v>
      </c>
    </row>
    <row r="125" spans="1:18" ht="15" customHeight="1" thickBot="1">
      <c r="A125" s="2" t="s">
        <v>161</v>
      </c>
      <c r="B125" s="55" t="s">
        <v>162</v>
      </c>
      <c r="C125" s="21"/>
      <c r="D125" s="27" t="str">
        <f t="shared" si="27"/>
        <v>Dr John Unwin</v>
      </c>
      <c r="E125" s="22">
        <f>IFERROR(VLOOKUP(D125,'Employee Numbers'!$A$3:$B$84,2,FALSE),"NOT FOUND")</f>
        <v>633210</v>
      </c>
      <c r="F125" s="9" t="str">
        <f t="shared" si="28"/>
        <v/>
      </c>
      <c r="G125" s="9" t="str">
        <f t="shared" si="28"/>
        <v>Con_8_0000</v>
      </c>
      <c r="H125" s="9" t="str">
        <f t="shared" si="28"/>
        <v/>
      </c>
      <c r="I125" s="9" t="str">
        <f t="shared" si="28"/>
        <v/>
      </c>
      <c r="J125" s="9" t="str">
        <f t="shared" si="28"/>
        <v/>
      </c>
      <c r="K125" s="9" t="str">
        <f t="shared" si="28"/>
        <v/>
      </c>
      <c r="L125" s="9" t="str">
        <f t="shared" si="28"/>
        <v/>
      </c>
    </row>
    <row r="126" spans="1:18" ht="15" customHeight="1" thickBot="1">
      <c r="A126" s="2" t="s">
        <v>161</v>
      </c>
      <c r="B126" s="55" t="s">
        <v>162</v>
      </c>
      <c r="C126" s="21"/>
      <c r="D126" s="27" t="str">
        <f t="shared" si="27"/>
        <v>Dr Siri Samudrala</v>
      </c>
      <c r="E126" s="22">
        <f>IFERROR(VLOOKUP(D126,'Employee Numbers'!$A$3:$B$84,2,FALSE),"NOT FOUND")</f>
        <v>618952</v>
      </c>
      <c r="F126" s="9" t="str">
        <f t="shared" si="28"/>
        <v/>
      </c>
      <c r="G126" s="9" t="str">
        <f t="shared" si="28"/>
        <v/>
      </c>
      <c r="H126" s="9" t="str">
        <f t="shared" si="28"/>
        <v/>
      </c>
      <c r="I126" s="9" t="str">
        <f t="shared" si="28"/>
        <v/>
      </c>
      <c r="J126" s="9" t="str">
        <f t="shared" si="28"/>
        <v/>
      </c>
      <c r="K126" s="9" t="str">
        <f t="shared" si="28"/>
        <v/>
      </c>
      <c r="L126" s="9" t="str">
        <f t="shared" si="28"/>
        <v/>
      </c>
    </row>
    <row r="127" spans="1:18" ht="15" customHeight="1" thickBot="1">
      <c r="A127" s="2" t="s">
        <v>161</v>
      </c>
      <c r="B127" s="55" t="s">
        <v>162</v>
      </c>
      <c r="C127" s="21"/>
      <c r="D127" s="27" t="str">
        <f t="shared" si="27"/>
        <v>Dr Tessa Smith</v>
      </c>
      <c r="E127" s="22">
        <f>IFERROR(VLOOKUP(D127,'Employee Numbers'!$A$3:$B$84,2,FALSE),"NOT FOUND")</f>
        <v>649039</v>
      </c>
      <c r="F127" s="9" t="str">
        <f t="shared" si="28"/>
        <v/>
      </c>
      <c r="G127" s="9" t="str">
        <f t="shared" si="28"/>
        <v/>
      </c>
      <c r="H127" s="9" t="str">
        <f t="shared" si="28"/>
        <v/>
      </c>
      <c r="I127" s="9" t="str">
        <f t="shared" si="28"/>
        <v/>
      </c>
      <c r="J127" s="9" t="str">
        <f t="shared" si="28"/>
        <v/>
      </c>
      <c r="K127" s="9" t="str">
        <f t="shared" si="28"/>
        <v/>
      </c>
      <c r="L127" s="9" t="str">
        <f t="shared" si="28"/>
        <v/>
      </c>
    </row>
    <row r="128" spans="1:18" ht="15" customHeight="1" thickBot="1">
      <c r="A128" s="2" t="s">
        <v>161</v>
      </c>
      <c r="B128" s="55" t="s">
        <v>162</v>
      </c>
      <c r="C128" s="21"/>
      <c r="D128" s="27" t="str">
        <f t="shared" si="27"/>
        <v>Dr Brad Dent</v>
      </c>
      <c r="E128" s="22">
        <f>IFERROR(VLOOKUP(D128,'Employee Numbers'!$A$3:$B$84,2,FALSE),"NOT FOUND")</f>
        <v>649671</v>
      </c>
      <c r="F128" s="9" t="str">
        <f t="shared" si="28"/>
        <v/>
      </c>
      <c r="G128" s="9" t="str">
        <f t="shared" si="28"/>
        <v/>
      </c>
      <c r="H128" s="9" t="str">
        <f t="shared" si="28"/>
        <v/>
      </c>
      <c r="I128" s="9" t="str">
        <f t="shared" si="28"/>
        <v/>
      </c>
      <c r="J128" s="9" t="str">
        <f t="shared" si="28"/>
        <v/>
      </c>
      <c r="K128" s="9" t="str">
        <f t="shared" si="28"/>
        <v/>
      </c>
      <c r="L128" s="9" t="str">
        <f t="shared" si="28"/>
        <v/>
      </c>
    </row>
    <row r="129" spans="1:18" ht="15" customHeight="1" thickBot="1">
      <c r="A129" s="2" t="s">
        <v>161</v>
      </c>
      <c r="B129" s="55" t="s">
        <v>162</v>
      </c>
      <c r="C129" s="21"/>
      <c r="D129" s="27" t="str">
        <f t="shared" si="27"/>
        <v>Dr Marjolein Slaa</v>
      </c>
      <c r="E129" s="22">
        <f>IFERROR(VLOOKUP(D129,'Employee Numbers'!$A$3:$B$84,2,FALSE),"NOT FOUND")</f>
        <v>646047</v>
      </c>
      <c r="F129" s="9" t="str">
        <f t="shared" si="28"/>
        <v/>
      </c>
      <c r="G129" s="9" t="str">
        <f t="shared" si="28"/>
        <v/>
      </c>
      <c r="H129" s="9" t="str">
        <f t="shared" si="28"/>
        <v/>
      </c>
      <c r="I129" s="9" t="str">
        <f t="shared" si="28"/>
        <v/>
      </c>
      <c r="J129" s="9" t="str">
        <f t="shared" si="28"/>
        <v/>
      </c>
      <c r="K129" s="9" t="str">
        <f t="shared" si="28"/>
        <v/>
      </c>
      <c r="L129" s="9" t="str">
        <f t="shared" si="28"/>
        <v/>
      </c>
    </row>
    <row r="130" spans="1:18" ht="15" customHeight="1" thickBot="1">
      <c r="A130" s="2" t="s">
        <v>161</v>
      </c>
      <c r="B130" s="55" t="s">
        <v>162</v>
      </c>
      <c r="C130" s="21"/>
      <c r="D130" s="27" t="str">
        <f t="shared" si="27"/>
        <v>Dr Natalie Hood</v>
      </c>
      <c r="E130" s="22">
        <f>IFERROR(VLOOKUP(D130,'Employee Numbers'!$A$3:$B$84,2,FALSE),"NOT FOUND")</f>
        <v>164003</v>
      </c>
      <c r="F130" s="9" t="str">
        <f t="shared" si="28"/>
        <v/>
      </c>
      <c r="G130" s="9" t="str">
        <f t="shared" si="28"/>
        <v/>
      </c>
      <c r="H130" s="9" t="str">
        <f t="shared" si="28"/>
        <v/>
      </c>
      <c r="I130" s="9" t="str">
        <f t="shared" si="28"/>
        <v/>
      </c>
      <c r="J130" s="9" t="str">
        <f t="shared" si="28"/>
        <v/>
      </c>
      <c r="K130" s="9" t="str">
        <f t="shared" si="28"/>
        <v/>
      </c>
      <c r="L130" s="9" t="str">
        <f t="shared" si="28"/>
        <v/>
      </c>
    </row>
    <row r="131" spans="1:18" ht="15" customHeight="1" thickBot="1">
      <c r="A131" s="2" t="s">
        <v>161</v>
      </c>
      <c r="B131" s="55" t="s">
        <v>162</v>
      </c>
      <c r="C131" s="21"/>
      <c r="D131" s="27" t="str">
        <f t="shared" si="27"/>
        <v>Dr Michael Coman</v>
      </c>
      <c r="E131" s="22">
        <f>IFERROR(VLOOKUP(D131,'Employee Numbers'!$A$3:$B$84,2,FALSE),"NOT FOUND")</f>
        <v>609408</v>
      </c>
      <c r="F131" s="9" t="str">
        <f t="shared" ref="F131:L143" si="29">IF(F$50=$D131,"Con_8_0000","")</f>
        <v/>
      </c>
      <c r="G131" s="9" t="str">
        <f t="shared" si="29"/>
        <v/>
      </c>
      <c r="H131" s="9" t="str">
        <f t="shared" si="29"/>
        <v/>
      </c>
      <c r="I131" s="9" t="str">
        <f t="shared" si="29"/>
        <v/>
      </c>
      <c r="J131" s="9" t="str">
        <f t="shared" si="29"/>
        <v/>
      </c>
      <c r="K131" s="9" t="str">
        <f t="shared" si="29"/>
        <v>Con_8_0000</v>
      </c>
      <c r="L131" s="9" t="str">
        <f t="shared" si="29"/>
        <v/>
      </c>
    </row>
    <row r="132" spans="1:18" ht="15" customHeight="1" thickBot="1">
      <c r="A132" s="2" t="s">
        <v>161</v>
      </c>
      <c r="B132" s="55" t="s">
        <v>162</v>
      </c>
      <c r="C132" s="21"/>
      <c r="D132" s="27" t="str">
        <f t="shared" si="27"/>
        <v>Dr Andrew Hardy</v>
      </c>
      <c r="E132" s="22">
        <f>IFERROR(VLOOKUP(D132,'Employee Numbers'!$A$3:$B$84,2,FALSE),"NOT FOUND")</f>
        <v>627619</v>
      </c>
      <c r="F132" s="9" t="str">
        <f t="shared" si="29"/>
        <v/>
      </c>
      <c r="G132" s="9" t="str">
        <f t="shared" si="29"/>
        <v/>
      </c>
      <c r="H132" s="9" t="str">
        <f t="shared" si="29"/>
        <v/>
      </c>
      <c r="I132" s="9" t="str">
        <f t="shared" si="29"/>
        <v/>
      </c>
      <c r="J132" s="9" t="str">
        <f t="shared" si="29"/>
        <v/>
      </c>
      <c r="K132" s="9" t="str">
        <f t="shared" si="29"/>
        <v/>
      </c>
      <c r="L132" s="9" t="str">
        <f t="shared" si="29"/>
        <v/>
      </c>
    </row>
    <row r="133" spans="1:18" ht="15" customHeight="1" thickBot="1">
      <c r="A133" s="2" t="s">
        <v>161</v>
      </c>
      <c r="B133" s="55" t="s">
        <v>162</v>
      </c>
      <c r="C133" s="21"/>
      <c r="D133" s="27" t="str">
        <f t="shared" si="27"/>
        <v>Dr Gargi Kanabar</v>
      </c>
      <c r="E133" s="22">
        <f>IFERROR(VLOOKUP(D133,'Employee Numbers'!$A$3:$B$84,2,FALSE),"NOT FOUND")</f>
        <v>632646</v>
      </c>
      <c r="F133" s="9" t="str">
        <f t="shared" si="29"/>
        <v/>
      </c>
      <c r="G133" s="9" t="str">
        <f t="shared" si="29"/>
        <v/>
      </c>
      <c r="H133" s="9" t="str">
        <f t="shared" si="29"/>
        <v/>
      </c>
      <c r="I133" s="9" t="str">
        <f t="shared" si="29"/>
        <v/>
      </c>
      <c r="J133" s="9" t="str">
        <f t="shared" si="29"/>
        <v/>
      </c>
      <c r="K133" s="9" t="str">
        <f t="shared" si="29"/>
        <v/>
      </c>
      <c r="L133" s="9" t="str">
        <f t="shared" si="29"/>
        <v/>
      </c>
    </row>
    <row r="134" spans="1:18" ht="15" customHeight="1" thickBot="1">
      <c r="A134" s="2" t="s">
        <v>161</v>
      </c>
      <c r="B134" s="55" t="s">
        <v>162</v>
      </c>
      <c r="C134" s="21"/>
      <c r="D134" s="27" t="str">
        <f t="shared" si="27"/>
        <v>Dr Mandy Parr</v>
      </c>
      <c r="E134" s="22">
        <f>IFERROR(VLOOKUP(D134,'Employee Numbers'!$A$3:$B$84,2,FALSE),"NOT FOUND")</f>
        <v>652844</v>
      </c>
      <c r="F134" s="9" t="str">
        <f t="shared" si="29"/>
        <v/>
      </c>
      <c r="G134" s="9" t="str">
        <f t="shared" si="29"/>
        <v/>
      </c>
      <c r="H134" s="9" t="str">
        <f t="shared" si="29"/>
        <v/>
      </c>
      <c r="I134" s="9" t="str">
        <f t="shared" si="29"/>
        <v/>
      </c>
      <c r="J134" s="9" t="str">
        <f t="shared" si="29"/>
        <v/>
      </c>
      <c r="K134" s="9" t="str">
        <f t="shared" si="29"/>
        <v/>
      </c>
      <c r="L134" s="9" t="str">
        <f t="shared" si="29"/>
        <v/>
      </c>
    </row>
    <row r="135" spans="1:18" ht="15" customHeight="1" thickBot="1">
      <c r="A135" s="2" t="s">
        <v>161</v>
      </c>
      <c r="B135" s="55" t="s">
        <v>162</v>
      </c>
      <c r="C135" s="21"/>
      <c r="D135" s="27" t="str">
        <f t="shared" si="27"/>
        <v>Dr Tecwyn Davies</v>
      </c>
      <c r="E135" s="22">
        <f>IFERROR(VLOOKUP(D135,'Employee Numbers'!$A$3:$B$84,2,FALSE),"NOT FOUND")</f>
        <v>634491</v>
      </c>
      <c r="F135" s="9" t="str">
        <f t="shared" si="29"/>
        <v/>
      </c>
      <c r="G135" s="9" t="str">
        <f t="shared" si="29"/>
        <v/>
      </c>
      <c r="H135" s="9" t="str">
        <f t="shared" si="29"/>
        <v/>
      </c>
      <c r="I135" s="9" t="str">
        <f t="shared" si="29"/>
        <v/>
      </c>
      <c r="J135" s="9" t="str">
        <f t="shared" si="29"/>
        <v/>
      </c>
      <c r="K135" s="9" t="str">
        <f t="shared" si="29"/>
        <v/>
      </c>
      <c r="L135" s="9" t="str">
        <f t="shared" si="29"/>
        <v/>
      </c>
    </row>
    <row r="136" spans="1:18" ht="15" customHeight="1" thickBot="1">
      <c r="A136" s="2" t="s">
        <v>161</v>
      </c>
      <c r="B136" s="55" t="s">
        <v>162</v>
      </c>
      <c r="C136" s="21"/>
      <c r="D136" s="27" t="str">
        <f t="shared" si="27"/>
        <v>Dr Patrick Finn</v>
      </c>
      <c r="E136" s="22">
        <f>IFERROR(VLOOKUP(D136,'Employee Numbers'!$A$3:$B$84,2,FALSE),"NOT FOUND")</f>
        <v>621988</v>
      </c>
      <c r="F136" s="9" t="str">
        <f t="shared" si="29"/>
        <v/>
      </c>
      <c r="G136" s="9" t="str">
        <f t="shared" si="29"/>
        <v/>
      </c>
      <c r="H136" s="9" t="str">
        <f t="shared" si="29"/>
        <v/>
      </c>
      <c r="I136" s="9" t="str">
        <f t="shared" si="29"/>
        <v/>
      </c>
      <c r="J136" s="9" t="str">
        <f t="shared" si="29"/>
        <v/>
      </c>
      <c r="K136" s="9" t="str">
        <f t="shared" si="29"/>
        <v/>
      </c>
      <c r="L136" s="9" t="str">
        <f t="shared" si="29"/>
        <v/>
      </c>
    </row>
    <row r="137" spans="1:18" ht="15" customHeight="1" thickBot="1">
      <c r="A137" s="2" t="s">
        <v>161</v>
      </c>
      <c r="B137" s="55" t="s">
        <v>162</v>
      </c>
      <c r="C137" s="21"/>
      <c r="D137" s="27" t="str">
        <f t="shared" si="27"/>
        <v>Dr Chris Fong</v>
      </c>
      <c r="E137" s="22">
        <f>IFERROR(VLOOKUP(D137,'Employee Numbers'!$A$3:$B$84,2,FALSE),"NOT FOUND")</f>
        <v>409677</v>
      </c>
      <c r="F137" s="9" t="str">
        <f t="shared" si="29"/>
        <v/>
      </c>
      <c r="G137" s="9" t="str">
        <f t="shared" si="29"/>
        <v/>
      </c>
      <c r="H137" s="9" t="str">
        <f t="shared" si="29"/>
        <v/>
      </c>
      <c r="I137" s="9" t="str">
        <f t="shared" si="29"/>
        <v/>
      </c>
      <c r="J137" s="9" t="str">
        <f t="shared" si="29"/>
        <v/>
      </c>
      <c r="K137" s="9" t="str">
        <f t="shared" si="29"/>
        <v/>
      </c>
      <c r="L137" s="9" t="str">
        <f t="shared" si="29"/>
        <v/>
      </c>
    </row>
    <row r="138" spans="1:18" s="13" customFormat="1" ht="15" customHeight="1" thickBot="1">
      <c r="A138" s="2" t="s">
        <v>161</v>
      </c>
      <c r="B138" s="55" t="s">
        <v>162</v>
      </c>
      <c r="C138" s="21"/>
      <c r="D138" s="27" t="str">
        <f t="shared" si="27"/>
        <v>Dr Matthew Tang</v>
      </c>
      <c r="E138" s="22">
        <f>IFERROR(VLOOKUP(D138,'Employee Numbers'!$A$3:$B$84,2,FALSE),"NOT FOUND")</f>
        <v>632590</v>
      </c>
      <c r="F138" s="9" t="str">
        <f t="shared" si="29"/>
        <v>Con_8_0000</v>
      </c>
      <c r="G138" s="9" t="str">
        <f t="shared" si="29"/>
        <v/>
      </c>
      <c r="H138" s="9" t="str">
        <f t="shared" si="29"/>
        <v/>
      </c>
      <c r="I138" s="9" t="str">
        <f t="shared" si="29"/>
        <v/>
      </c>
      <c r="J138" s="9" t="str">
        <f t="shared" si="29"/>
        <v/>
      </c>
      <c r="K138" s="9" t="str">
        <f t="shared" si="29"/>
        <v/>
      </c>
      <c r="L138" s="9" t="str">
        <f t="shared" si="29"/>
        <v/>
      </c>
      <c r="M138" s="5"/>
      <c r="N138" s="5"/>
      <c r="O138" s="5"/>
      <c r="P138" s="5"/>
      <c r="Q138" s="5"/>
      <c r="R138" s="5"/>
    </row>
    <row r="139" spans="1:18" s="13" customFormat="1" ht="15" customHeight="1" thickBot="1">
      <c r="A139" s="2" t="s">
        <v>161</v>
      </c>
      <c r="B139" s="55" t="s">
        <v>162</v>
      </c>
      <c r="C139" s="21"/>
      <c r="D139" s="27" t="str">
        <f t="shared" si="27"/>
        <v>Dr Niki Talic</v>
      </c>
      <c r="E139" s="22">
        <f>IFERROR(VLOOKUP(D139,'Employee Numbers'!$A$3:$B$84,2,FALSE),"NOT FOUND")</f>
        <v>619537</v>
      </c>
      <c r="F139" s="9" t="str">
        <f t="shared" si="29"/>
        <v/>
      </c>
      <c r="G139" s="9" t="str">
        <f t="shared" si="29"/>
        <v/>
      </c>
      <c r="H139" s="9" t="str">
        <f t="shared" si="29"/>
        <v/>
      </c>
      <c r="I139" s="9" t="str">
        <f t="shared" si="29"/>
        <v/>
      </c>
      <c r="J139" s="9" t="str">
        <f t="shared" si="29"/>
        <v/>
      </c>
      <c r="K139" s="9" t="str">
        <f t="shared" si="29"/>
        <v/>
      </c>
      <c r="L139" s="9" t="str">
        <f t="shared" si="29"/>
        <v/>
      </c>
      <c r="M139" s="5"/>
      <c r="N139" s="5"/>
      <c r="O139" s="5"/>
      <c r="P139" s="5"/>
      <c r="Q139" s="5"/>
      <c r="R139" s="5"/>
    </row>
    <row r="140" spans="1:18" s="13" customFormat="1" ht="15" customHeight="1" thickBot="1">
      <c r="A140" s="2" t="s">
        <v>161</v>
      </c>
      <c r="B140" s="55" t="s">
        <v>162</v>
      </c>
      <c r="C140" s="21"/>
      <c r="D140" s="27" t="str">
        <f t="shared" si="27"/>
        <v>Dr Deb Morawetz</v>
      </c>
      <c r="E140" s="22">
        <f>IFERROR(VLOOKUP(D140,'Employee Numbers'!$A$3:$B$84,2,FALSE),"NOT FOUND")</f>
        <v>621953</v>
      </c>
      <c r="F140" s="9" t="str">
        <f t="shared" si="29"/>
        <v/>
      </c>
      <c r="G140" s="9" t="str">
        <f t="shared" si="29"/>
        <v/>
      </c>
      <c r="H140" s="9" t="str">
        <f t="shared" si="29"/>
        <v/>
      </c>
      <c r="I140" s="9" t="str">
        <f t="shared" si="29"/>
        <v/>
      </c>
      <c r="J140" s="9" t="str">
        <f t="shared" si="29"/>
        <v/>
      </c>
      <c r="K140" s="9" t="str">
        <f t="shared" si="29"/>
        <v/>
      </c>
      <c r="L140" s="9" t="str">
        <f t="shared" si="29"/>
        <v/>
      </c>
      <c r="M140" s="5"/>
      <c r="N140" s="5"/>
      <c r="O140" s="5"/>
      <c r="P140" s="5"/>
      <c r="Q140" s="5"/>
      <c r="R140" s="5"/>
    </row>
    <row r="141" spans="1:18" s="13" customFormat="1" ht="15" customHeight="1" thickBot="1">
      <c r="A141" s="2" t="s">
        <v>161</v>
      </c>
      <c r="B141" s="55" t="s">
        <v>162</v>
      </c>
      <c r="C141" s="21"/>
      <c r="D141" s="27" t="str">
        <f t="shared" si="27"/>
        <v>Dr Priya Jeyaveerasingam</v>
      </c>
      <c r="E141" s="22">
        <f>IFERROR(VLOOKUP(D141,'Employee Numbers'!$A$3:$B$84,2,FALSE),"NOT FOUND")</f>
        <v>614504</v>
      </c>
      <c r="F141" s="9" t="str">
        <f t="shared" si="29"/>
        <v/>
      </c>
      <c r="G141" s="9" t="str">
        <f t="shared" si="29"/>
        <v/>
      </c>
      <c r="H141" s="9" t="str">
        <f t="shared" si="29"/>
        <v/>
      </c>
      <c r="I141" s="9" t="str">
        <f t="shared" si="29"/>
        <v/>
      </c>
      <c r="J141" s="9" t="str">
        <f t="shared" si="29"/>
        <v/>
      </c>
      <c r="K141" s="9" t="str">
        <f t="shared" si="29"/>
        <v/>
      </c>
      <c r="L141" s="9" t="str">
        <f t="shared" si="29"/>
        <v/>
      </c>
      <c r="M141" s="5"/>
      <c r="N141" s="5"/>
      <c r="O141" s="5"/>
      <c r="P141" s="5"/>
      <c r="Q141" s="5"/>
      <c r="R141" s="5"/>
    </row>
    <row r="142" spans="1:18" s="13" customFormat="1" ht="15" customHeight="1" thickBot="1">
      <c r="A142" s="2" t="s">
        <v>161</v>
      </c>
      <c r="B142" s="55" t="s">
        <v>162</v>
      </c>
      <c r="C142" s="21"/>
      <c r="D142" s="27" t="str">
        <f t="shared" si="27"/>
        <v>Locum</v>
      </c>
      <c r="E142" s="22" t="str">
        <f>IFERROR(VLOOKUP(D142,'Employee Numbers'!$A$3:$B$84,2,FALSE),"NOT FOUND")</f>
        <v>N/A</v>
      </c>
      <c r="F142" s="9" t="str">
        <f t="shared" si="29"/>
        <v/>
      </c>
      <c r="G142" s="9" t="str">
        <f t="shared" si="29"/>
        <v/>
      </c>
      <c r="H142" s="9" t="str">
        <f t="shared" si="29"/>
        <v/>
      </c>
      <c r="I142" s="9" t="str">
        <f t="shared" si="29"/>
        <v/>
      </c>
      <c r="J142" s="9" t="str">
        <f t="shared" si="29"/>
        <v/>
      </c>
      <c r="K142" s="9" t="str">
        <f t="shared" si="29"/>
        <v/>
      </c>
      <c r="L142" s="9" t="str">
        <f t="shared" si="29"/>
        <v/>
      </c>
      <c r="M142" s="5"/>
      <c r="N142" s="5"/>
      <c r="O142" s="5"/>
      <c r="P142" s="5"/>
      <c r="Q142" s="5"/>
      <c r="R142" s="5"/>
    </row>
    <row r="143" spans="1:18" s="13" customFormat="1" ht="15" customHeight="1">
      <c r="A143" s="2" t="s">
        <v>161</v>
      </c>
      <c r="B143" s="55" t="s">
        <v>162</v>
      </c>
      <c r="C143" s="21"/>
      <c r="D143" s="27" t="str">
        <f t="shared" si="27"/>
        <v>Locum</v>
      </c>
      <c r="E143" s="22" t="str">
        <f>IFERROR(VLOOKUP(D143,'Employee Numbers'!$A$3:$B$84,2,FALSE),"NOT FOUND")</f>
        <v>N/A</v>
      </c>
      <c r="F143" s="9" t="str">
        <f t="shared" si="29"/>
        <v/>
      </c>
      <c r="G143" s="9" t="str">
        <f t="shared" si="29"/>
        <v/>
      </c>
      <c r="H143" s="9" t="str">
        <f t="shared" si="29"/>
        <v/>
      </c>
      <c r="I143" s="9" t="str">
        <f t="shared" si="29"/>
        <v/>
      </c>
      <c r="J143" s="9" t="str">
        <f t="shared" si="29"/>
        <v/>
      </c>
      <c r="K143" s="9" t="str">
        <f t="shared" si="29"/>
        <v/>
      </c>
      <c r="L143" s="9" t="str">
        <f t="shared" si="29"/>
        <v/>
      </c>
      <c r="M143" s="5"/>
      <c r="N143" s="5"/>
      <c r="O143" s="5"/>
      <c r="P143" s="5"/>
      <c r="Q143" s="5"/>
      <c r="R143" s="5"/>
    </row>
    <row r="144" spans="1:18" ht="15" customHeight="1" thickBot="1"/>
    <row r="145" spans="1:18" s="2" customFormat="1" ht="15" customHeight="1" thickBot="1">
      <c r="A145" s="172" t="s">
        <v>86</v>
      </c>
      <c r="B145" s="48" t="s">
        <v>163</v>
      </c>
      <c r="C145" s="49" t="s">
        <v>164</v>
      </c>
      <c r="D145" s="173" t="str">
        <f>D53</f>
        <v xml:space="preserve">Fellow </v>
      </c>
      <c r="E145" s="20" t="s">
        <v>4</v>
      </c>
      <c r="F145" s="12" t="s">
        <v>5</v>
      </c>
      <c r="G145" s="83" t="s">
        <v>6</v>
      </c>
      <c r="H145" s="83" t="s">
        <v>7</v>
      </c>
      <c r="I145" s="83" t="s">
        <v>8</v>
      </c>
      <c r="J145" s="83" t="s">
        <v>9</v>
      </c>
      <c r="K145" s="83" t="s">
        <v>10</v>
      </c>
      <c r="L145" s="23" t="s">
        <v>11</v>
      </c>
      <c r="M145" s="23" t="s">
        <v>165</v>
      </c>
      <c r="N145" s="5"/>
      <c r="O145" s="5"/>
      <c r="P145" s="5"/>
      <c r="Q145" s="5"/>
      <c r="R145" s="5"/>
    </row>
    <row r="146" spans="1:18" ht="15" customHeight="1" thickBot="1">
      <c r="A146" s="2" t="s">
        <v>166</v>
      </c>
      <c r="B146" s="2"/>
      <c r="C146" s="21"/>
      <c r="D146" s="84" t="str">
        <f>D54</f>
        <v>Ellen Scott (0.75)</v>
      </c>
      <c r="E146" s="22">
        <f>IFERROR(VLOOKUP(D146,'Employee Numbers'!$A$3:$B$84,2,FALSE),"NOT FOUND")</f>
        <v>634905</v>
      </c>
      <c r="F146" s="38"/>
      <c r="G146" s="31"/>
      <c r="H146" s="31" t="s">
        <v>167</v>
      </c>
      <c r="I146" s="38"/>
      <c r="J146" s="38"/>
      <c r="K146" s="38"/>
      <c r="L146" s="38"/>
      <c r="M146" s="35" t="s">
        <v>168</v>
      </c>
    </row>
    <row r="147" spans="1:18" ht="15" customHeight="1" thickBot="1">
      <c r="A147" s="2" t="s">
        <v>166</v>
      </c>
      <c r="B147" s="2"/>
      <c r="C147" s="21"/>
      <c r="D147" s="84" t="str">
        <f t="shared" ref="D147:D151" si="30">D55</f>
        <v>Seamus Harrington</v>
      </c>
      <c r="E147" s="22">
        <f>IFERROR(VLOOKUP(D147,'Employee Numbers'!$A$3:$B$84,2,FALSE),"NOT FOUND")</f>
        <v>704751</v>
      </c>
      <c r="F147" s="38"/>
      <c r="G147" s="31"/>
      <c r="H147" s="31" t="str">
        <f t="shared" ref="H147:H148" si="31">IF(COUNTIF(H55,"0800-1730*"),"trg_5_1730","trg_5_0900")</f>
        <v>trg_5_0900</v>
      </c>
      <c r="I147" s="38"/>
      <c r="J147" s="38"/>
      <c r="K147" s="38"/>
      <c r="L147" s="38"/>
      <c r="M147" s="35" t="s">
        <v>168</v>
      </c>
    </row>
    <row r="148" spans="1:18" ht="15" customHeight="1" thickBot="1">
      <c r="A148" s="2" t="s">
        <v>166</v>
      </c>
      <c r="B148" s="2"/>
      <c r="C148" s="21"/>
      <c r="D148" s="84" t="str">
        <f t="shared" si="30"/>
        <v>Antra Ansons</v>
      </c>
      <c r="E148" s="22">
        <f>IFERROR(VLOOKUP(D148,'Employee Numbers'!$A$3:$B$84,2,FALSE),"NOT FOUND")</f>
        <v>637219</v>
      </c>
      <c r="F148" s="38"/>
      <c r="G148" s="31"/>
      <c r="H148" s="31" t="str">
        <f t="shared" si="31"/>
        <v>trg_5_1730</v>
      </c>
      <c r="I148" s="38"/>
      <c r="J148" s="38"/>
      <c r="K148" s="38"/>
      <c r="L148" s="38"/>
      <c r="M148" s="35" t="s">
        <v>168</v>
      </c>
    </row>
    <row r="149" spans="1:18" ht="15" customHeight="1" thickBot="1">
      <c r="A149" s="2" t="s">
        <v>166</v>
      </c>
      <c r="B149" s="2"/>
      <c r="C149" s="21"/>
      <c r="D149" s="84">
        <f t="shared" si="30"/>
        <v>0</v>
      </c>
      <c r="E149" s="22" t="str">
        <f>IFERROR(VLOOKUP(D149,'Employee Numbers'!$A$3:$B$84,2,FALSE),"NOT FOUND")</f>
        <v>NOT FOUND</v>
      </c>
      <c r="F149" s="38"/>
      <c r="G149" s="31"/>
      <c r="H149" s="31" t="str">
        <f t="shared" ref="H149:H151" si="32">IF(COUNTIF(H57,"0800-1730*"),"trg_2.5_1730","trg_2.5_0900")</f>
        <v>trg_2.5_0900</v>
      </c>
      <c r="I149" s="38"/>
      <c r="J149" s="38"/>
      <c r="K149" s="38"/>
      <c r="L149" s="38"/>
      <c r="M149" s="35" t="s">
        <v>168</v>
      </c>
    </row>
    <row r="150" spans="1:18" ht="15" customHeight="1" thickBot="1">
      <c r="A150" s="2" t="s">
        <v>166</v>
      </c>
      <c r="B150" s="2"/>
      <c r="C150" s="21"/>
      <c r="D150" s="84">
        <f t="shared" si="30"/>
        <v>0</v>
      </c>
      <c r="E150" s="22" t="str">
        <f>IFERROR(VLOOKUP(D150,'Employee Numbers'!$A$3:$B$84,2,FALSE),"NOT FOUND")</f>
        <v>NOT FOUND</v>
      </c>
      <c r="F150" s="38"/>
      <c r="G150" s="31"/>
      <c r="H150" s="31" t="str">
        <f t="shared" si="32"/>
        <v>trg_2.5_0900</v>
      </c>
      <c r="I150" s="38"/>
      <c r="J150" s="38"/>
      <c r="K150" s="38"/>
      <c r="L150" s="38"/>
      <c r="M150" s="35" t="s">
        <v>168</v>
      </c>
    </row>
    <row r="151" spans="1:18" ht="15" customHeight="1">
      <c r="A151" s="2" t="s">
        <v>166</v>
      </c>
      <c r="B151" s="2"/>
      <c r="C151" s="21"/>
      <c r="D151" s="84">
        <f t="shared" si="30"/>
        <v>0</v>
      </c>
      <c r="E151" s="22" t="str">
        <f>IFERROR(VLOOKUP(D151,'Employee Numbers'!$A$3:$B$84,2,FALSE),"NOT FOUND")</f>
        <v>NOT FOUND</v>
      </c>
      <c r="F151" s="38"/>
      <c r="G151" s="31"/>
      <c r="H151" s="31" t="str">
        <f t="shared" si="32"/>
        <v>trg_2.5_0900</v>
      </c>
      <c r="I151" s="38"/>
      <c r="J151" s="38"/>
      <c r="K151" s="38"/>
      <c r="L151" s="38"/>
      <c r="M151" s="35" t="s">
        <v>168</v>
      </c>
    </row>
    <row r="152" spans="1:18" s="2" customFormat="1" ht="13.5" customHeight="1" thickBot="1">
      <c r="A152" s="174" t="s">
        <v>96</v>
      </c>
      <c r="B152" s="50"/>
      <c r="C152" s="51"/>
      <c r="D152" s="175" t="s">
        <v>97</v>
      </c>
      <c r="E152" s="105" t="s">
        <v>4</v>
      </c>
      <c r="F152" s="105" t="s">
        <v>5</v>
      </c>
      <c r="G152" s="105" t="s">
        <v>6</v>
      </c>
      <c r="H152" s="106" t="s">
        <v>7</v>
      </c>
      <c r="I152" s="105" t="s">
        <v>8</v>
      </c>
      <c r="J152" s="105" t="s">
        <v>9</v>
      </c>
      <c r="K152" s="105" t="s">
        <v>10</v>
      </c>
      <c r="L152" s="105" t="s">
        <v>11</v>
      </c>
      <c r="N152"/>
      <c r="O152"/>
      <c r="Q152"/>
    </row>
    <row r="153" spans="1:18" s="2" customFormat="1" ht="15" customHeight="1" thickBot="1">
      <c r="A153" s="2" t="s">
        <v>169</v>
      </c>
      <c r="B153" s="5"/>
      <c r="C153" s="8"/>
      <c r="D153" s="84" t="str">
        <f t="shared" ref="D153:D176" si="33">D61</f>
        <v>Mark Lim</v>
      </c>
      <c r="E153" s="22">
        <f>IFERROR(VLOOKUP(D153,'Employee Numbers'!$A$3:$B$84,2,FALSE),"NOT FOUND")</f>
        <v>638531</v>
      </c>
      <c r="F153" s="31" t="str">
        <f t="shared" ref="F153:G176" si="34">IF(COUNTIF(F61,"*on*call*"),"oncall 2300-0830","")</f>
        <v/>
      </c>
      <c r="G153" s="31" t="str">
        <f t="shared" si="34"/>
        <v/>
      </c>
      <c r="H153" s="37"/>
      <c r="I153" s="31" t="str">
        <f t="shared" ref="I153:L176" si="35">IF(COUNTIF(I61,"*on*call*"),"oncall 2300-0830","")</f>
        <v/>
      </c>
      <c r="J153" s="31" t="str">
        <f t="shared" si="35"/>
        <v/>
      </c>
      <c r="K153" s="31" t="str">
        <f t="shared" si="35"/>
        <v/>
      </c>
      <c r="L153" s="31" t="str">
        <f t="shared" si="35"/>
        <v/>
      </c>
      <c r="M153" s="35" t="s">
        <v>168</v>
      </c>
      <c r="N153" s="5"/>
      <c r="O153" s="5"/>
      <c r="P153" s="5"/>
      <c r="Q153" s="5"/>
      <c r="R153" s="5"/>
    </row>
    <row r="154" spans="1:18" ht="15" customHeight="1" thickBot="1">
      <c r="A154" s="2" t="s">
        <v>169</v>
      </c>
      <c r="B154" s="2"/>
      <c r="C154" s="47"/>
      <c r="D154" s="84" t="str">
        <f t="shared" si="33"/>
        <v xml:space="preserve">Melanie Engel </v>
      </c>
      <c r="E154" s="22">
        <f>IFERROR(VLOOKUP(D154,'Employee Numbers'!$A$3:$B$84,2,FALSE),"NOT FOUND")</f>
        <v>631715</v>
      </c>
      <c r="F154" s="31" t="str">
        <f t="shared" si="34"/>
        <v/>
      </c>
      <c r="G154" s="31" t="str">
        <f t="shared" si="34"/>
        <v/>
      </c>
      <c r="H154" s="37" t="s">
        <v>170</v>
      </c>
      <c r="I154" s="31" t="str">
        <f t="shared" si="35"/>
        <v/>
      </c>
      <c r="J154" s="31" t="str">
        <f t="shared" si="35"/>
        <v/>
      </c>
      <c r="K154" s="31" t="str">
        <f t="shared" si="35"/>
        <v/>
      </c>
      <c r="L154" s="31" t="str">
        <f t="shared" si="35"/>
        <v/>
      </c>
      <c r="M154" s="35" t="s">
        <v>168</v>
      </c>
      <c r="N154" s="2"/>
      <c r="O154" s="2"/>
      <c r="P154" s="2"/>
      <c r="Q154" s="2"/>
      <c r="R154" s="2"/>
    </row>
    <row r="155" spans="1:18" ht="15" customHeight="1" thickBot="1">
      <c r="A155" s="2" t="s">
        <v>169</v>
      </c>
      <c r="B155" s="2"/>
      <c r="C155" s="47"/>
      <c r="D155" s="84" t="str">
        <f t="shared" si="33"/>
        <v>Marian Isaac  (0.75)</v>
      </c>
      <c r="E155" s="22">
        <f>IFERROR(VLOOKUP(D155,'Employee Numbers'!$A$3:$B$84,2,FALSE),"NOT FOUND")</f>
        <v>703719</v>
      </c>
      <c r="F155" s="31" t="str">
        <f t="shared" si="34"/>
        <v/>
      </c>
      <c r="G155" s="31" t="str">
        <f t="shared" si="34"/>
        <v/>
      </c>
      <c r="H155" s="31" t="s">
        <v>167</v>
      </c>
      <c r="I155" s="31" t="str">
        <f t="shared" si="35"/>
        <v/>
      </c>
      <c r="J155" s="31" t="str">
        <f t="shared" si="35"/>
        <v/>
      </c>
      <c r="K155" s="31" t="str">
        <f t="shared" si="35"/>
        <v/>
      </c>
      <c r="L155" s="31" t="str">
        <f t="shared" si="35"/>
        <v/>
      </c>
      <c r="M155" s="35" t="s">
        <v>168</v>
      </c>
    </row>
    <row r="156" spans="1:18" ht="15" customHeight="1" thickBot="1">
      <c r="A156" s="2" t="s">
        <v>169</v>
      </c>
      <c r="B156" s="2"/>
      <c r="C156" s="47"/>
      <c r="D156" s="84" t="str">
        <f t="shared" si="33"/>
        <v xml:space="preserve">Jonathan Wong (0.75) </v>
      </c>
      <c r="E156" s="22">
        <f>IFERROR(VLOOKUP(D156,'Employee Numbers'!$A$3:$B$84,2,FALSE),"NOT FOUND")</f>
        <v>637791</v>
      </c>
      <c r="F156" s="31" t="str">
        <f t="shared" si="34"/>
        <v/>
      </c>
      <c r="G156" s="31" t="str">
        <f t="shared" si="34"/>
        <v/>
      </c>
      <c r="H156" s="31" t="s">
        <v>167</v>
      </c>
      <c r="I156" s="31" t="str">
        <f t="shared" si="35"/>
        <v/>
      </c>
      <c r="J156" s="31" t="str">
        <f t="shared" si="35"/>
        <v/>
      </c>
      <c r="K156" s="31" t="str">
        <f t="shared" si="35"/>
        <v/>
      </c>
      <c r="L156" s="31" t="str">
        <f t="shared" si="35"/>
        <v/>
      </c>
      <c r="M156" s="35" t="s">
        <v>168</v>
      </c>
    </row>
    <row r="157" spans="1:18" ht="15" customHeight="1" thickBot="1">
      <c r="A157" s="2" t="s">
        <v>169</v>
      </c>
      <c r="B157" s="2"/>
      <c r="C157" s="47"/>
      <c r="D157" s="84" t="str">
        <f t="shared" si="33"/>
        <v xml:space="preserve">Joshua Feek </v>
      </c>
      <c r="E157" s="22">
        <f>IFERROR(VLOOKUP(D157,'Employee Numbers'!$A$3:$B$84,2,FALSE),"NOT FOUND")</f>
        <v>652867</v>
      </c>
      <c r="F157" s="31" t="str">
        <f t="shared" si="34"/>
        <v/>
      </c>
      <c r="G157" s="31" t="str">
        <f t="shared" si="34"/>
        <v/>
      </c>
      <c r="H157" s="37" t="s">
        <v>170</v>
      </c>
      <c r="I157" s="31" t="str">
        <f t="shared" si="35"/>
        <v/>
      </c>
      <c r="J157" s="31" t="str">
        <f t="shared" si="35"/>
        <v/>
      </c>
      <c r="K157" s="31" t="str">
        <f t="shared" si="35"/>
        <v/>
      </c>
      <c r="L157" s="31" t="str">
        <f t="shared" si="35"/>
        <v/>
      </c>
      <c r="M157" s="35" t="s">
        <v>168</v>
      </c>
    </row>
    <row r="158" spans="1:18" ht="15" customHeight="1" thickBot="1">
      <c r="A158" s="2" t="s">
        <v>169</v>
      </c>
      <c r="B158" s="2"/>
      <c r="C158" s="47"/>
      <c r="D158" s="84" t="str">
        <f t="shared" si="33"/>
        <v xml:space="preserve">Andrea Lim (0.5) </v>
      </c>
      <c r="E158" s="22">
        <f>IFERROR(VLOOKUP(D158,'Employee Numbers'!$A$3:$B$84,2,FALSE),"NOT FOUND")</f>
        <v>611551</v>
      </c>
      <c r="F158" s="31" t="str">
        <f t="shared" si="34"/>
        <v/>
      </c>
      <c r="G158" s="31" t="str">
        <f t="shared" si="34"/>
        <v/>
      </c>
      <c r="H158" s="31" t="str">
        <f t="shared" ref="H158:H159" si="36">IF(COUNTIF(H66,"0800-1730*"),"trg_2.5_1730","trg_2.5_0900")</f>
        <v>trg_2.5_0900</v>
      </c>
      <c r="I158" s="31" t="str">
        <f t="shared" si="35"/>
        <v/>
      </c>
      <c r="J158" s="31" t="str">
        <f t="shared" si="35"/>
        <v/>
      </c>
      <c r="K158" s="31" t="str">
        <f t="shared" si="35"/>
        <v/>
      </c>
      <c r="L158" s="31" t="str">
        <f t="shared" si="35"/>
        <v/>
      </c>
      <c r="M158" s="35" t="s">
        <v>168</v>
      </c>
      <c r="N158" s="13"/>
      <c r="O158" s="13"/>
      <c r="P158" s="13"/>
      <c r="Q158" s="13"/>
      <c r="R158" s="13"/>
    </row>
    <row r="159" spans="1:18" ht="15" customHeight="1" thickBot="1">
      <c r="A159" s="2" t="s">
        <v>169</v>
      </c>
      <c r="B159" s="2"/>
      <c r="C159" s="47"/>
      <c r="D159" s="84" t="str">
        <f t="shared" si="33"/>
        <v>Jessica Burgess (0.5)</v>
      </c>
      <c r="E159" s="22">
        <f>IFERROR(VLOOKUP(D159,'Employee Numbers'!$A$3:$B$84,2,FALSE),"NOT FOUND")</f>
        <v>615820</v>
      </c>
      <c r="F159" s="31" t="str">
        <f t="shared" si="34"/>
        <v/>
      </c>
      <c r="G159" s="31" t="str">
        <f t="shared" si="34"/>
        <v/>
      </c>
      <c r="H159" s="31" t="str">
        <f t="shared" si="36"/>
        <v>trg_2.5_0900</v>
      </c>
      <c r="I159" s="31" t="str">
        <f t="shared" si="35"/>
        <v/>
      </c>
      <c r="J159" s="31" t="str">
        <f t="shared" si="35"/>
        <v/>
      </c>
      <c r="K159" s="31" t="str">
        <f t="shared" si="35"/>
        <v/>
      </c>
      <c r="L159" s="31" t="str">
        <f t="shared" si="35"/>
        <v/>
      </c>
      <c r="M159" s="35" t="s">
        <v>168</v>
      </c>
      <c r="N159" s="13"/>
      <c r="O159" s="13"/>
      <c r="P159" s="13"/>
      <c r="Q159" s="13"/>
      <c r="R159" s="13"/>
    </row>
    <row r="160" spans="1:18" ht="15" customHeight="1" thickBot="1">
      <c r="A160" s="2" t="s">
        <v>169</v>
      </c>
      <c r="B160" s="2"/>
      <c r="C160" s="47"/>
      <c r="D160" s="84" t="str">
        <f t="shared" si="33"/>
        <v>Leila Dosso</v>
      </c>
      <c r="E160" s="22">
        <f>IFERROR(VLOOKUP(D160,'Employee Numbers'!$A$3:$B$84,2,FALSE),"NOT FOUND")</f>
        <v>702947</v>
      </c>
      <c r="F160" s="31" t="str">
        <f t="shared" si="34"/>
        <v/>
      </c>
      <c r="G160" s="31" t="str">
        <f t="shared" si="34"/>
        <v/>
      </c>
      <c r="H160" s="37" t="s">
        <v>170</v>
      </c>
      <c r="I160" s="31" t="str">
        <f t="shared" si="35"/>
        <v/>
      </c>
      <c r="J160" s="31" t="str">
        <f t="shared" si="35"/>
        <v/>
      </c>
      <c r="K160" s="31" t="str">
        <f t="shared" si="35"/>
        <v/>
      </c>
      <c r="L160" s="31" t="str">
        <f t="shared" si="35"/>
        <v/>
      </c>
      <c r="M160" s="35" t="s">
        <v>168</v>
      </c>
    </row>
    <row r="161" spans="1:18" ht="15" customHeight="1" thickBot="1">
      <c r="A161" s="2" t="s">
        <v>169</v>
      </c>
      <c r="B161" s="2"/>
      <c r="C161" s="47"/>
      <c r="D161" s="84" t="str">
        <f t="shared" si="33"/>
        <v xml:space="preserve">Efi Tsampou </v>
      </c>
      <c r="E161" s="22">
        <f>IFERROR(VLOOKUP(D161,'Employee Numbers'!$A$3:$B$84,2,FALSE),"NOT FOUND")</f>
        <v>654002</v>
      </c>
      <c r="F161" s="31" t="str">
        <f t="shared" si="34"/>
        <v/>
      </c>
      <c r="G161" s="31" t="str">
        <f t="shared" si="34"/>
        <v/>
      </c>
      <c r="H161" s="37" t="s">
        <v>170</v>
      </c>
      <c r="I161" s="31" t="str">
        <f t="shared" si="35"/>
        <v/>
      </c>
      <c r="J161" s="31" t="str">
        <f t="shared" si="35"/>
        <v/>
      </c>
      <c r="K161" s="31" t="str">
        <f t="shared" si="35"/>
        <v/>
      </c>
      <c r="L161" s="31" t="str">
        <f t="shared" si="35"/>
        <v/>
      </c>
      <c r="M161" s="35" t="s">
        <v>168</v>
      </c>
    </row>
    <row r="162" spans="1:18" s="13" customFormat="1" ht="15" customHeight="1" thickBot="1">
      <c r="A162" s="2" t="s">
        <v>169</v>
      </c>
      <c r="B162" s="2"/>
      <c r="C162" s="21"/>
      <c r="D162" s="84" t="str">
        <f t="shared" si="33"/>
        <v>Marian Panlilio</v>
      </c>
      <c r="E162" s="22">
        <f>IFERROR(VLOOKUP(D162,'Employee Numbers'!$A$3:$B$84,2,FALSE),"NOT FOUND")</f>
        <v>703068</v>
      </c>
      <c r="F162" s="31" t="str">
        <f t="shared" si="34"/>
        <v/>
      </c>
      <c r="G162" s="31" t="str">
        <f t="shared" si="34"/>
        <v/>
      </c>
      <c r="H162" s="37" t="s">
        <v>170</v>
      </c>
      <c r="I162" s="31" t="str">
        <f t="shared" si="35"/>
        <v/>
      </c>
      <c r="J162" s="31" t="str">
        <f t="shared" si="35"/>
        <v/>
      </c>
      <c r="K162" s="31" t="str">
        <f t="shared" si="35"/>
        <v/>
      </c>
      <c r="L162" s="31" t="str">
        <f t="shared" si="35"/>
        <v/>
      </c>
      <c r="M162" s="35" t="s">
        <v>168</v>
      </c>
      <c r="N162" s="5"/>
      <c r="O162" s="5"/>
      <c r="P162" s="5"/>
      <c r="Q162" s="5"/>
      <c r="R162" s="5"/>
    </row>
    <row r="163" spans="1:18" ht="15" customHeight="1" thickBot="1">
      <c r="A163" s="2" t="s">
        <v>169</v>
      </c>
      <c r="B163" s="2"/>
      <c r="C163" s="21"/>
      <c r="D163" s="84" t="str">
        <f t="shared" si="33"/>
        <v>Takhfif Othman</v>
      </c>
      <c r="E163" s="22">
        <f>IFERROR(VLOOKUP(D163,'Employee Numbers'!$A$3:$B$84,2,FALSE),"NOT FOUND")</f>
        <v>703911</v>
      </c>
      <c r="F163" s="31" t="str">
        <f t="shared" si="34"/>
        <v/>
      </c>
      <c r="G163" s="31" t="str">
        <f t="shared" si="34"/>
        <v/>
      </c>
      <c r="H163" s="37" t="s">
        <v>170</v>
      </c>
      <c r="I163" s="31" t="str">
        <f t="shared" si="35"/>
        <v/>
      </c>
      <c r="J163" s="31" t="str">
        <f t="shared" si="35"/>
        <v/>
      </c>
      <c r="K163" s="31" t="str">
        <f t="shared" si="35"/>
        <v/>
      </c>
      <c r="L163" s="31" t="str">
        <f t="shared" si="35"/>
        <v/>
      </c>
      <c r="M163" s="35" t="s">
        <v>168</v>
      </c>
    </row>
    <row r="164" spans="1:18" ht="15" customHeight="1" thickBot="1">
      <c r="A164" s="2" t="s">
        <v>169</v>
      </c>
      <c r="B164" s="2"/>
      <c r="C164" s="21"/>
      <c r="D164" s="84" t="str">
        <f t="shared" si="33"/>
        <v xml:space="preserve">Toby Obrien </v>
      </c>
      <c r="E164" s="22">
        <f>IFERROR(VLOOKUP(D164,'Employee Numbers'!$A$3:$B$84,2,FALSE),"NOT FOUND")</f>
        <v>633936</v>
      </c>
      <c r="F164" s="31" t="str">
        <f t="shared" si="34"/>
        <v/>
      </c>
      <c r="G164" s="31" t="str">
        <f t="shared" si="34"/>
        <v/>
      </c>
      <c r="H164" s="37" t="s">
        <v>170</v>
      </c>
      <c r="I164" s="31" t="str">
        <f t="shared" si="35"/>
        <v/>
      </c>
      <c r="J164" s="31" t="str">
        <f t="shared" si="35"/>
        <v/>
      </c>
      <c r="K164" s="31" t="str">
        <f t="shared" si="35"/>
        <v/>
      </c>
      <c r="L164" s="31" t="str">
        <f t="shared" si="35"/>
        <v/>
      </c>
      <c r="M164" s="35" t="s">
        <v>168</v>
      </c>
    </row>
    <row r="165" spans="1:18" ht="15" customHeight="1" thickBot="1">
      <c r="A165" s="2" t="s">
        <v>169</v>
      </c>
      <c r="B165" s="2"/>
      <c r="C165" s="21"/>
      <c r="D165" s="84" t="str">
        <f t="shared" si="33"/>
        <v>William Jiang</v>
      </c>
      <c r="E165" s="22">
        <f>IFERROR(VLOOKUP(D165,'Employee Numbers'!$A$3:$B$84,2,FALSE),"NOT FOUND")</f>
        <v>700755</v>
      </c>
      <c r="F165" s="31" t="str">
        <f t="shared" si="34"/>
        <v/>
      </c>
      <c r="G165" s="31" t="str">
        <f t="shared" si="34"/>
        <v/>
      </c>
      <c r="H165" s="37" t="s">
        <v>170</v>
      </c>
      <c r="I165" s="31" t="str">
        <f t="shared" si="35"/>
        <v/>
      </c>
      <c r="J165" s="31" t="str">
        <f t="shared" si="35"/>
        <v/>
      </c>
      <c r="K165" s="31" t="str">
        <f t="shared" si="35"/>
        <v/>
      </c>
      <c r="L165" s="31" t="str">
        <f t="shared" si="35"/>
        <v/>
      </c>
      <c r="M165" s="35" t="s">
        <v>168</v>
      </c>
    </row>
    <row r="166" spans="1:18" ht="15" customHeight="1" thickBot="1">
      <c r="A166" s="2" t="s">
        <v>169</v>
      </c>
      <c r="B166" s="2"/>
      <c r="C166" s="21"/>
      <c r="D166" s="84" t="str">
        <f t="shared" si="33"/>
        <v>Pam Nelson</v>
      </c>
      <c r="E166" s="22">
        <f>IFERROR(VLOOKUP(D166,'Employee Numbers'!$A$3:$B$84,2,FALSE),"NOT FOUND")</f>
        <v>704872</v>
      </c>
      <c r="F166" s="31" t="str">
        <f t="shared" si="34"/>
        <v/>
      </c>
      <c r="G166" s="31" t="str">
        <f t="shared" si="34"/>
        <v/>
      </c>
      <c r="H166" s="37" t="s">
        <v>170</v>
      </c>
      <c r="I166" s="31" t="str">
        <f t="shared" si="35"/>
        <v/>
      </c>
      <c r="J166" s="31" t="str">
        <f t="shared" si="35"/>
        <v/>
      </c>
      <c r="K166" s="31" t="str">
        <f t="shared" si="35"/>
        <v/>
      </c>
      <c r="L166" s="31" t="str">
        <f t="shared" si="35"/>
        <v/>
      </c>
      <c r="M166" s="35" t="s">
        <v>168</v>
      </c>
    </row>
    <row r="167" spans="1:18" ht="15" customHeight="1" thickBot="1">
      <c r="A167" s="2" t="s">
        <v>169</v>
      </c>
      <c r="B167" s="2"/>
      <c r="C167" s="21"/>
      <c r="D167" s="84" t="str">
        <f t="shared" si="33"/>
        <v xml:space="preserve">Phoebe Franich </v>
      </c>
      <c r="E167" s="22">
        <f>IFERROR(VLOOKUP(D167,'Employee Numbers'!$A$3:$B$84,2,FALSE),"NOT FOUND")</f>
        <v>700712</v>
      </c>
      <c r="F167" s="31" t="str">
        <f t="shared" si="34"/>
        <v/>
      </c>
      <c r="G167" s="31" t="str">
        <f t="shared" si="34"/>
        <v/>
      </c>
      <c r="H167" s="37" t="s">
        <v>170</v>
      </c>
      <c r="I167" s="31" t="str">
        <f t="shared" si="35"/>
        <v/>
      </c>
      <c r="J167" s="31" t="str">
        <f t="shared" si="35"/>
        <v/>
      </c>
      <c r="K167" s="31" t="str">
        <f t="shared" si="35"/>
        <v/>
      </c>
      <c r="L167" s="31" t="str">
        <f t="shared" si="35"/>
        <v/>
      </c>
      <c r="M167" s="35" t="s">
        <v>168</v>
      </c>
    </row>
    <row r="168" spans="1:18" ht="15" customHeight="1" thickBot="1">
      <c r="A168" s="2" t="s">
        <v>169</v>
      </c>
      <c r="B168" s="2"/>
      <c r="C168" s="21"/>
      <c r="D168" s="84" t="str">
        <f t="shared" si="33"/>
        <v xml:space="preserve">Marie Papadopulos </v>
      </c>
      <c r="E168" s="22">
        <f>IFERROR(VLOOKUP(D168,'Employee Numbers'!$A$3:$B$84,2,FALSE),"NOT FOUND")</f>
        <v>700818</v>
      </c>
      <c r="F168" s="31" t="str">
        <f t="shared" si="34"/>
        <v/>
      </c>
      <c r="G168" s="31" t="str">
        <f t="shared" si="34"/>
        <v/>
      </c>
      <c r="H168" s="37" t="s">
        <v>170</v>
      </c>
      <c r="I168" s="31" t="str">
        <f t="shared" si="35"/>
        <v/>
      </c>
      <c r="J168" s="31" t="str">
        <f t="shared" si="35"/>
        <v/>
      </c>
      <c r="K168" s="31" t="str">
        <f t="shared" si="35"/>
        <v/>
      </c>
      <c r="L168" s="31" t="str">
        <f t="shared" si="35"/>
        <v/>
      </c>
      <c r="M168" s="35" t="s">
        <v>168</v>
      </c>
    </row>
    <row r="169" spans="1:18" ht="15" customHeight="1" thickBot="1">
      <c r="A169" s="2" t="s">
        <v>169</v>
      </c>
      <c r="B169" s="2"/>
      <c r="C169" s="21"/>
      <c r="D169" s="84" t="str">
        <f t="shared" si="33"/>
        <v>Stormie de Groot (0.5)</v>
      </c>
      <c r="E169" s="22">
        <f>IFERROR(VLOOKUP(D169,'Employee Numbers'!$A$3:$B$84,2,FALSE),"NOT FOUND")</f>
        <v>650101</v>
      </c>
      <c r="F169" s="31" t="str">
        <f t="shared" si="34"/>
        <v/>
      </c>
      <c r="G169" s="31" t="str">
        <f t="shared" si="34"/>
        <v/>
      </c>
      <c r="H169" s="31" t="str">
        <f t="shared" ref="H169" si="37">IF(COUNTIF(H77,"0800-1730*"),"trg_2.5_1730","trg_2.5_0900")</f>
        <v>trg_2.5_0900</v>
      </c>
      <c r="I169" s="31" t="str">
        <f t="shared" si="35"/>
        <v/>
      </c>
      <c r="J169" s="31" t="str">
        <f t="shared" si="35"/>
        <v/>
      </c>
      <c r="K169" s="31" t="str">
        <f t="shared" si="35"/>
        <v/>
      </c>
      <c r="L169" s="31" t="str">
        <f t="shared" si="35"/>
        <v/>
      </c>
      <c r="M169" s="35" t="s">
        <v>168</v>
      </c>
    </row>
    <row r="170" spans="1:18" ht="15" customHeight="1" thickBot="1">
      <c r="A170" s="2" t="s">
        <v>169</v>
      </c>
      <c r="B170" s="2"/>
      <c r="C170" s="21"/>
      <c r="D170" s="84" t="str">
        <f t="shared" si="33"/>
        <v xml:space="preserve">Joanne Eaton </v>
      </c>
      <c r="E170" s="22">
        <f>IFERROR(VLOOKUP(D170,'Employee Numbers'!$A$3:$B$84,2,FALSE),"NOT FOUND")</f>
        <v>654888</v>
      </c>
      <c r="F170" s="31" t="str">
        <f t="shared" si="34"/>
        <v/>
      </c>
      <c r="G170" s="31" t="str">
        <f t="shared" si="34"/>
        <v/>
      </c>
      <c r="H170" s="37" t="s">
        <v>170</v>
      </c>
      <c r="I170" s="31" t="str">
        <f t="shared" si="35"/>
        <v/>
      </c>
      <c r="J170" s="31" t="str">
        <f t="shared" si="35"/>
        <v/>
      </c>
      <c r="K170" s="31" t="str">
        <f t="shared" si="35"/>
        <v/>
      </c>
      <c r="L170" s="31" t="str">
        <f t="shared" si="35"/>
        <v/>
      </c>
      <c r="M170" s="35" t="s">
        <v>168</v>
      </c>
    </row>
    <row r="171" spans="1:18" ht="15" customHeight="1" thickBot="1">
      <c r="A171" s="2" t="s">
        <v>169</v>
      </c>
      <c r="B171" s="2"/>
      <c r="C171" s="21"/>
      <c r="D171" s="84" t="str">
        <f t="shared" si="33"/>
        <v xml:space="preserve">Helena Li </v>
      </c>
      <c r="E171" s="22">
        <f>IFERROR(VLOOKUP(D171,'Employee Numbers'!$A$3:$B$84,2,FALSE),"NOT FOUND")</f>
        <v>703880</v>
      </c>
      <c r="F171" s="31" t="str">
        <f t="shared" si="34"/>
        <v/>
      </c>
      <c r="G171" s="31" t="str">
        <f t="shared" si="34"/>
        <v/>
      </c>
      <c r="H171" s="37" t="s">
        <v>170</v>
      </c>
      <c r="I171" s="31" t="str">
        <f t="shared" si="35"/>
        <v/>
      </c>
      <c r="J171" s="31" t="str">
        <f t="shared" si="35"/>
        <v/>
      </c>
      <c r="K171" s="31" t="str">
        <f t="shared" si="35"/>
        <v/>
      </c>
      <c r="L171" s="31" t="str">
        <f t="shared" si="35"/>
        <v/>
      </c>
      <c r="M171" s="35" t="s">
        <v>168</v>
      </c>
    </row>
    <row r="172" spans="1:18" ht="15" customHeight="1" thickBot="1">
      <c r="A172" s="2" t="s">
        <v>169</v>
      </c>
      <c r="B172" s="2"/>
      <c r="C172" s="21"/>
      <c r="D172" s="84" t="str">
        <f t="shared" si="33"/>
        <v xml:space="preserve">Mustafa Ozkul </v>
      </c>
      <c r="E172" s="22">
        <f>IFERROR(VLOOKUP(D172,'Employee Numbers'!$A$3:$B$84,2,FALSE),"NOT FOUND")</f>
        <v>703334</v>
      </c>
      <c r="F172" s="31" t="str">
        <f t="shared" si="34"/>
        <v/>
      </c>
      <c r="G172" s="31" t="str">
        <f t="shared" si="34"/>
        <v/>
      </c>
      <c r="H172" s="37" t="s">
        <v>170</v>
      </c>
      <c r="I172" s="31" t="str">
        <f t="shared" si="35"/>
        <v/>
      </c>
      <c r="J172" s="31" t="str">
        <f t="shared" si="35"/>
        <v/>
      </c>
      <c r="K172" s="31" t="str">
        <f t="shared" si="35"/>
        <v/>
      </c>
      <c r="L172" s="31" t="str">
        <f t="shared" si="35"/>
        <v/>
      </c>
      <c r="M172" s="35" t="s">
        <v>168</v>
      </c>
    </row>
    <row r="173" spans="1:18" ht="15" customHeight="1" thickBot="1">
      <c r="A173" s="2" t="s">
        <v>169</v>
      </c>
      <c r="B173" s="2"/>
      <c r="C173" s="21"/>
      <c r="D173" s="84" t="str">
        <f t="shared" si="33"/>
        <v>Ritu Chaurasia (0.75)</v>
      </c>
      <c r="E173" s="22">
        <f>IFERROR(VLOOKUP(D173,'Employee Numbers'!$A$3:$B$84,2,FALSE),"NOT FOUND")</f>
        <v>700538</v>
      </c>
      <c r="F173" s="31" t="str">
        <f t="shared" si="34"/>
        <v/>
      </c>
      <c r="G173" s="31" t="str">
        <f t="shared" si="34"/>
        <v/>
      </c>
      <c r="H173" s="31" t="s">
        <v>167</v>
      </c>
      <c r="I173" s="31" t="str">
        <f t="shared" si="35"/>
        <v/>
      </c>
      <c r="J173" s="31" t="str">
        <f t="shared" si="35"/>
        <v/>
      </c>
      <c r="K173" s="31" t="str">
        <f t="shared" si="35"/>
        <v/>
      </c>
      <c r="L173" s="31" t="str">
        <f t="shared" si="35"/>
        <v/>
      </c>
      <c r="M173" s="35" t="s">
        <v>168</v>
      </c>
    </row>
    <row r="174" spans="1:18" ht="15" customHeight="1" thickBot="1">
      <c r="A174" s="2" t="s">
        <v>169</v>
      </c>
      <c r="B174" s="2"/>
      <c r="C174" s="21"/>
      <c r="D174" s="84" t="str">
        <f t="shared" si="33"/>
        <v>Jamie Nicholls (0.5)</v>
      </c>
      <c r="E174" s="22">
        <f>IFERROR(VLOOKUP(D174,'Employee Numbers'!$A$3:$B$84,2,FALSE),"NOT FOUND")</f>
        <v>704862</v>
      </c>
      <c r="F174" s="31" t="str">
        <f t="shared" si="34"/>
        <v/>
      </c>
      <c r="G174" s="31" t="str">
        <f t="shared" si="34"/>
        <v/>
      </c>
      <c r="H174" s="31" t="str">
        <f t="shared" ref="H174:H175" si="38">IF(COUNTIF(H82,"0800-1730*"),"trg_2.5_1730","trg_2.5_0900")</f>
        <v>trg_2.5_0900</v>
      </c>
      <c r="I174" s="31" t="str">
        <f t="shared" si="35"/>
        <v/>
      </c>
      <c r="J174" s="31" t="str">
        <f t="shared" si="35"/>
        <v/>
      </c>
      <c r="K174" s="31" t="str">
        <f t="shared" si="35"/>
        <v/>
      </c>
      <c r="L174" s="31" t="str">
        <f t="shared" si="35"/>
        <v/>
      </c>
      <c r="M174" s="35" t="s">
        <v>168</v>
      </c>
    </row>
    <row r="175" spans="1:18" ht="15" customHeight="1" thickBot="1">
      <c r="A175" s="2" t="s">
        <v>169</v>
      </c>
      <c r="B175" s="2"/>
      <c r="C175" s="21"/>
      <c r="D175" s="84">
        <f t="shared" si="33"/>
        <v>0</v>
      </c>
      <c r="E175" s="22" t="str">
        <f>IFERROR(VLOOKUP(D175,'Employee Numbers'!$A$3:$B$84,2,FALSE),"NOT FOUND")</f>
        <v>NOT FOUND</v>
      </c>
      <c r="F175" s="31" t="str">
        <f t="shared" si="34"/>
        <v/>
      </c>
      <c r="G175" s="31" t="str">
        <f t="shared" si="34"/>
        <v/>
      </c>
      <c r="H175" s="31" t="str">
        <f t="shared" si="38"/>
        <v>trg_2.5_0900</v>
      </c>
      <c r="I175" s="31" t="str">
        <f t="shared" si="35"/>
        <v/>
      </c>
      <c r="J175" s="31" t="str">
        <f t="shared" si="35"/>
        <v/>
      </c>
      <c r="K175" s="31" t="str">
        <f t="shared" si="35"/>
        <v/>
      </c>
      <c r="L175" s="31" t="str">
        <f t="shared" si="35"/>
        <v/>
      </c>
      <c r="M175" s="35" t="s">
        <v>168</v>
      </c>
    </row>
    <row r="176" spans="1:18" ht="15" customHeight="1">
      <c r="A176" s="2" t="s">
        <v>169</v>
      </c>
      <c r="B176" s="2"/>
      <c r="C176" s="21"/>
      <c r="D176" s="84">
        <f t="shared" si="33"/>
        <v>0</v>
      </c>
      <c r="E176" s="22" t="str">
        <f>IFERROR(VLOOKUP(D176,'Employee Numbers'!$A$3:$B$84,2,FALSE),"NOT FOUND")</f>
        <v>NOT FOUND</v>
      </c>
      <c r="F176" s="31" t="str">
        <f t="shared" si="34"/>
        <v/>
      </c>
      <c r="G176" s="31" t="str">
        <f t="shared" si="34"/>
        <v/>
      </c>
      <c r="H176" s="37" t="s">
        <v>170</v>
      </c>
      <c r="I176" s="31" t="str">
        <f t="shared" si="35"/>
        <v/>
      </c>
      <c r="J176" s="31" t="str">
        <f t="shared" si="35"/>
        <v/>
      </c>
      <c r="K176" s="31" t="str">
        <f t="shared" si="35"/>
        <v/>
      </c>
      <c r="L176" s="31" t="str">
        <f t="shared" si="35"/>
        <v/>
      </c>
      <c r="M176" s="35" t="s">
        <v>168</v>
      </c>
    </row>
  </sheetData>
  <mergeCells count="1">
    <mergeCell ref="D4:L4"/>
  </mergeCells>
  <phoneticPr fontId="18" type="noConversion"/>
  <conditionalFormatting sqref="E21:E49 E115:E143">
    <cfRule type="cellIs" dxfId="339" priority="43" operator="equal">
      <formula>0</formula>
    </cfRule>
    <cfRule type="containsText" dxfId="338" priority="42" operator="containsText" text="NOT FOUND">
      <formula>NOT(ISERROR(SEARCH("NOT FOUND",E21)))</formula>
    </cfRule>
  </conditionalFormatting>
  <conditionalFormatting sqref="E54:E59">
    <cfRule type="cellIs" dxfId="337" priority="47" operator="equal">
      <formula>0</formula>
    </cfRule>
    <cfRule type="containsText" dxfId="336" priority="46" operator="containsText" text="NOT FOUND">
      <formula>NOT(ISERROR(SEARCH("NOT FOUND",E54)))</formula>
    </cfRule>
  </conditionalFormatting>
  <conditionalFormatting sqref="E61:E84">
    <cfRule type="cellIs" dxfId="335" priority="41" operator="equal">
      <formula>0</formula>
    </cfRule>
    <cfRule type="containsText" dxfId="334" priority="40" operator="containsText" text="NOT FOUND">
      <formula>NOT(ISERROR(SEARCH("NOT FOUND",E61)))</formula>
    </cfRule>
  </conditionalFormatting>
  <conditionalFormatting sqref="E86:E99">
    <cfRule type="cellIs" dxfId="333" priority="39" operator="equal">
      <formula>0</formula>
    </cfRule>
    <cfRule type="containsText" dxfId="332" priority="38" operator="containsText" text="NOT FOUND">
      <formula>NOT(ISERROR(SEARCH("NOT FOUND",E86)))</formula>
    </cfRule>
  </conditionalFormatting>
  <conditionalFormatting sqref="E101:E102">
    <cfRule type="containsText" dxfId="331" priority="44" operator="containsText" text="NOT FOUND">
      <formula>NOT(ISERROR(SEARCH("NOT FOUND",E101)))</formula>
    </cfRule>
    <cfRule type="cellIs" dxfId="330" priority="45" operator="equal">
      <formula>0</formula>
    </cfRule>
  </conditionalFormatting>
  <conditionalFormatting sqref="E146:E151">
    <cfRule type="containsText" dxfId="329" priority="3" operator="containsText" text="NOT FOUND">
      <formula>NOT(ISERROR(SEARCH("NOT FOUND",E146)))</formula>
    </cfRule>
    <cfRule type="cellIs" dxfId="328" priority="4" operator="equal">
      <formula>0</formula>
    </cfRule>
  </conditionalFormatting>
  <conditionalFormatting sqref="E153:E176">
    <cfRule type="containsText" dxfId="327" priority="1" operator="containsText" text="NOT FOUND">
      <formula>NOT(ISERROR(SEARCH("NOT FOUND",E153)))</formula>
    </cfRule>
    <cfRule type="cellIs" dxfId="326" priority="2" operator="equal">
      <formula>0</formula>
    </cfRule>
  </conditionalFormatting>
  <conditionalFormatting sqref="F6:L6">
    <cfRule type="cellIs" dxfId="325" priority="31" operator="lessThan">
      <formula>2</formula>
    </cfRule>
    <cfRule type="cellIs" dxfId="324" priority="18" operator="greaterThan">
      <formula>3</formula>
    </cfRule>
  </conditionalFormatting>
  <conditionalFormatting sqref="F7:L7">
    <cfRule type="cellIs" dxfId="323" priority="30" operator="lessThan">
      <formula>2</formula>
    </cfRule>
  </conditionalFormatting>
  <conditionalFormatting sqref="F8:L8">
    <cfRule type="cellIs" dxfId="322" priority="36" operator="lessThan">
      <formula>5</formula>
    </cfRule>
    <cfRule type="cellIs" dxfId="321" priority="17" operator="greaterThan">
      <formula>8</formula>
    </cfRule>
    <cfRule type="cellIs" dxfId="320" priority="22" operator="equal">
      <formula>5</formula>
    </cfRule>
    <cfRule type="cellIs" dxfId="319" priority="37" operator="between">
      <formula>6</formula>
      <formula>8</formula>
    </cfRule>
  </conditionalFormatting>
  <conditionalFormatting sqref="F10:L11">
    <cfRule type="cellIs" dxfId="318" priority="33" operator="greaterThan">
      <formula>1</formula>
    </cfRule>
    <cfRule type="cellIs" dxfId="317" priority="21" operator="equal">
      <formula>1</formula>
    </cfRule>
  </conditionalFormatting>
  <conditionalFormatting sqref="F12:L12 F6:L7">
    <cfRule type="cellIs" dxfId="316" priority="32" operator="between">
      <formula>2</formula>
      <formula>3</formula>
    </cfRule>
  </conditionalFormatting>
  <conditionalFormatting sqref="F12:L12">
    <cfRule type="cellIs" dxfId="315" priority="19" operator="greaterThan">
      <formula>2</formula>
    </cfRule>
    <cfRule type="cellIs" dxfId="314" priority="25" operator="lessThan">
      <formula>2</formula>
    </cfRule>
  </conditionalFormatting>
  <conditionalFormatting sqref="F13:L13">
    <cfRule type="cellIs" dxfId="313" priority="26" operator="greaterThanOrEqual">
      <formula>6</formula>
    </cfRule>
    <cfRule type="cellIs" dxfId="312" priority="29" operator="lessThan">
      <formula>6</formula>
    </cfRule>
  </conditionalFormatting>
  <conditionalFormatting sqref="F14:L14">
    <cfRule type="cellIs" dxfId="311" priority="24" operator="equal">
      <formula>9</formula>
    </cfRule>
    <cfRule type="cellIs" dxfId="310" priority="34" operator="between">
      <formula>10</formula>
      <formula>11</formula>
    </cfRule>
    <cfRule type="cellIs" dxfId="309" priority="35" operator="greaterThan">
      <formula>11</formula>
    </cfRule>
    <cfRule type="cellIs" dxfId="308" priority="23" operator="lessThan">
      <formula>9</formula>
    </cfRule>
  </conditionalFormatting>
  <conditionalFormatting sqref="F16:L16">
    <cfRule type="cellIs" dxfId="307" priority="20" operator="greaterThan">
      <formula>4</formula>
    </cfRule>
    <cfRule type="cellIs" dxfId="306" priority="27" operator="equal">
      <formula>4</formula>
    </cfRule>
    <cfRule type="cellIs" dxfId="305" priority="28" operator="lessThan">
      <formula>4</formula>
    </cfRule>
  </conditionalFormatting>
  <conditionalFormatting sqref="R21:R47">
    <cfRule type="cellIs" dxfId="304" priority="14" operator="equal">
      <formula>S21</formula>
    </cfRule>
    <cfRule type="cellIs" dxfId="303" priority="13" operator="notEqual">
      <formula>S21</formula>
    </cfRule>
  </conditionalFormatting>
  <conditionalFormatting sqref="R54:R59 R61:R84">
    <cfRule type="cellIs" dxfId="302" priority="16" operator="equal">
      <formula>(N54+P54)*9.5/38*5</formula>
    </cfRule>
    <cfRule type="cellIs" dxfId="301" priority="15" operator="notEqual">
      <formula>(N54+P54)*9.5/38*5</formula>
    </cfRule>
  </conditionalFormatting>
  <conditionalFormatting sqref="S54:S59">
    <cfRule type="cellIs" dxfId="300" priority="12" operator="equal">
      <formula>T54</formula>
    </cfRule>
    <cfRule type="cellIs" dxfId="299" priority="11" operator="notEqual">
      <formula>T54</formula>
    </cfRule>
  </conditionalFormatting>
  <conditionalFormatting sqref="S61:S84">
    <cfRule type="cellIs" dxfId="298" priority="10" operator="equal">
      <formula>T61</formula>
    </cfRule>
    <cfRule type="cellIs" dxfId="297" priority="9" operator="notEqual">
      <formula>T61</formula>
    </cfRule>
  </conditionalFormatting>
  <conditionalFormatting sqref="S86:S99">
    <cfRule type="cellIs" dxfId="296" priority="8" operator="equal">
      <formula>T86</formula>
    </cfRule>
    <cfRule type="cellIs" dxfId="295" priority="7" operator="notEqual">
      <formula>T86</formula>
    </cfRule>
  </conditionalFormatting>
  <conditionalFormatting sqref="S101:S102">
    <cfRule type="cellIs" dxfId="294" priority="6" operator="equal">
      <formula>T101</formula>
    </cfRule>
    <cfRule type="cellIs" dxfId="293" priority="5" operator="notEqual">
      <formula>T101</formula>
    </cfRule>
  </conditionalFormatting>
  <pageMargins left="0.70866141732283472" right="0.70866141732283472" top="0.15748031496062992" bottom="0.15748031496062992" header="0" footer="0"/>
  <pageSetup paperSize="9" scale="48" fitToWidth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S80"/>
  <sheetViews>
    <sheetView topLeftCell="A51" zoomScale="70" zoomScaleNormal="70" workbookViewId="0">
      <selection activeCell="J63" sqref="J63"/>
    </sheetView>
  </sheetViews>
  <sheetFormatPr defaultColWidth="8.85546875" defaultRowHeight="15"/>
  <cols>
    <col min="1" max="1" width="14" bestFit="1" customWidth="1"/>
    <col min="3" max="4" width="10.7109375" bestFit="1" customWidth="1"/>
    <col min="5" max="5" width="11.42578125" bestFit="1" customWidth="1"/>
    <col min="6" max="9" width="10.7109375" bestFit="1" customWidth="1"/>
    <col min="11" max="12" width="10.7109375" bestFit="1" customWidth="1"/>
    <col min="13" max="13" width="11.42578125" bestFit="1" customWidth="1"/>
    <col min="14" max="17" width="10.7109375" bestFit="1" customWidth="1"/>
    <col min="19" max="20" width="10.7109375" bestFit="1" customWidth="1"/>
    <col min="21" max="21" width="11.42578125" bestFit="1" customWidth="1"/>
    <col min="22" max="25" width="10.7109375" bestFit="1" customWidth="1"/>
    <col min="27" max="27" width="10.7109375" bestFit="1" customWidth="1"/>
    <col min="28" max="28" width="9.7109375" bestFit="1" customWidth="1"/>
    <col min="29" max="29" width="11.42578125" bestFit="1" customWidth="1"/>
    <col min="30" max="33" width="9.7109375" bestFit="1" customWidth="1"/>
    <col min="35" max="36" width="9.7109375" bestFit="1" customWidth="1"/>
    <col min="37" max="37" width="11.42578125" bestFit="1" customWidth="1"/>
    <col min="38" max="41" width="10.7109375" bestFit="1" customWidth="1"/>
    <col min="43" max="44" width="10.7109375" bestFit="1" customWidth="1"/>
    <col min="45" max="45" width="11.42578125" bestFit="1" customWidth="1"/>
    <col min="46" max="49" width="10.7109375" bestFit="1" customWidth="1"/>
    <col min="51" max="52" width="10.7109375" bestFit="1" customWidth="1"/>
    <col min="53" max="53" width="11.42578125" bestFit="1" customWidth="1"/>
    <col min="54" max="57" width="10.7109375" bestFit="1" customWidth="1"/>
    <col min="59" max="59" width="10.7109375" bestFit="1" customWidth="1"/>
    <col min="60" max="60" width="9.7109375" bestFit="1" customWidth="1"/>
    <col min="61" max="61" width="11.42578125" bestFit="1" customWidth="1"/>
    <col min="62" max="65" width="9.7109375" bestFit="1" customWidth="1"/>
    <col min="67" max="68" width="9.7109375" bestFit="1" customWidth="1"/>
    <col min="69" max="69" width="11.42578125" bestFit="1" customWidth="1"/>
    <col min="70" max="73" width="10.7109375" bestFit="1" customWidth="1"/>
    <col min="75" max="76" width="10.7109375" bestFit="1" customWidth="1"/>
    <col min="77" max="77" width="11.42578125" bestFit="1" customWidth="1"/>
    <col min="78" max="84" width="10.7109375" bestFit="1" customWidth="1"/>
    <col min="85" max="85" width="11.42578125" bestFit="1" customWidth="1"/>
    <col min="86" max="89" width="10.7109375" bestFit="1" customWidth="1"/>
    <col min="90" max="90" width="9.7109375" bestFit="1" customWidth="1"/>
    <col min="91" max="92" width="10.7109375" bestFit="1" customWidth="1"/>
    <col min="93" max="93" width="11.42578125" bestFit="1" customWidth="1"/>
    <col min="94" max="94" width="10.7109375" bestFit="1" customWidth="1"/>
    <col min="95" max="97" width="9.7109375" bestFit="1" customWidth="1"/>
    <col min="98" max="98" width="10.7109375" bestFit="1" customWidth="1"/>
    <col min="99" max="100" width="9.7109375" bestFit="1" customWidth="1"/>
    <col min="101" max="101" width="11.42578125" bestFit="1" customWidth="1"/>
    <col min="102" max="104" width="9.7109375" bestFit="1" customWidth="1"/>
    <col min="105" max="105" width="10.7109375" bestFit="1" customWidth="1"/>
    <col min="106" max="106" width="9.7109375" bestFit="1" customWidth="1"/>
    <col min="107" max="108" width="10.7109375" bestFit="1" customWidth="1"/>
    <col min="109" max="109" width="11.42578125" bestFit="1" customWidth="1"/>
    <col min="110" max="113" width="10.7109375" bestFit="1" customWidth="1"/>
  </cols>
  <sheetData>
    <row r="1" spans="1:123">
      <c r="C1" t="s">
        <v>185</v>
      </c>
      <c r="K1" t="s">
        <v>186</v>
      </c>
      <c r="S1" t="s">
        <v>187</v>
      </c>
      <c r="AM1" t="s">
        <v>188</v>
      </c>
    </row>
    <row r="2" spans="1:123"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K2" t="s">
        <v>5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S2" t="s">
        <v>5</v>
      </c>
      <c r="T2" t="s">
        <v>6</v>
      </c>
      <c r="U2" t="s">
        <v>7</v>
      </c>
      <c r="V2" t="s">
        <v>8</v>
      </c>
      <c r="W2" t="s">
        <v>9</v>
      </c>
      <c r="X2" t="s">
        <v>10</v>
      </c>
      <c r="Y2" t="s">
        <v>11</v>
      </c>
      <c r="AM2" t="s">
        <v>185</v>
      </c>
    </row>
    <row r="3" spans="1:123">
      <c r="C3" s="70">
        <f>'Week 1'!F2</f>
        <v>46146</v>
      </c>
      <c r="D3" s="70">
        <f t="shared" ref="D3:I3" si="0">C3+1</f>
        <v>46147</v>
      </c>
      <c r="E3" s="70">
        <f t="shared" si="0"/>
        <v>46148</v>
      </c>
      <c r="F3" s="70">
        <f t="shared" si="0"/>
        <v>46149</v>
      </c>
      <c r="G3" s="70">
        <f t="shared" si="0"/>
        <v>46150</v>
      </c>
      <c r="H3" s="70">
        <f t="shared" si="0"/>
        <v>46151</v>
      </c>
      <c r="I3" s="70">
        <f t="shared" si="0"/>
        <v>46152</v>
      </c>
      <c r="K3" s="70">
        <f>C3+7</f>
        <v>46153</v>
      </c>
      <c r="L3" s="70">
        <f t="shared" ref="L3:Q3" si="1">K3+1</f>
        <v>46154</v>
      </c>
      <c r="M3" s="70">
        <f t="shared" si="1"/>
        <v>46155</v>
      </c>
      <c r="N3" s="70">
        <f t="shared" si="1"/>
        <v>46156</v>
      </c>
      <c r="O3" s="70">
        <f t="shared" si="1"/>
        <v>46157</v>
      </c>
      <c r="P3" s="70">
        <f t="shared" si="1"/>
        <v>46158</v>
      </c>
      <c r="Q3" s="70">
        <f t="shared" si="1"/>
        <v>46159</v>
      </c>
      <c r="S3" s="70">
        <f>K3+7</f>
        <v>46160</v>
      </c>
      <c r="T3" s="70">
        <f t="shared" ref="T3:Y3" si="2">S3+1</f>
        <v>46161</v>
      </c>
      <c r="U3" s="70">
        <f t="shared" si="2"/>
        <v>46162</v>
      </c>
      <c r="V3" s="70">
        <f t="shared" si="2"/>
        <v>46163</v>
      </c>
      <c r="W3" s="70">
        <f t="shared" si="2"/>
        <v>46164</v>
      </c>
      <c r="X3" s="70">
        <f t="shared" si="2"/>
        <v>46165</v>
      </c>
      <c r="Y3" s="70">
        <f t="shared" si="2"/>
        <v>46166</v>
      </c>
      <c r="AM3" t="s">
        <v>186</v>
      </c>
      <c r="DJ3" s="70"/>
      <c r="DK3" s="70"/>
      <c r="DM3" s="70"/>
      <c r="DN3" s="70"/>
      <c r="DO3" s="70"/>
      <c r="DP3" s="70"/>
      <c r="DQ3" s="70"/>
      <c r="DR3" s="70"/>
      <c r="DS3" s="70"/>
    </row>
    <row r="4" spans="1:123">
      <c r="AM4" t="s">
        <v>187</v>
      </c>
    </row>
    <row r="5" spans="1:123">
      <c r="A5" s="68" t="s">
        <v>17</v>
      </c>
      <c r="C5">
        <f t="array" aca="1" ref="C5" ca="1">HLOOKUP(C$3, INDIRECT("'"&amp;INDEX(Lookup_Sheets, MATCH(1, --(COUNTIF(INDIRECT("'"&amp; Lookup_Sheets&amp;"'!$F$2:$L$15"), C$3)&gt;0), 0)) &amp;"'!$F$2:$L$15"),5, FALSE)</f>
        <v>3</v>
      </c>
      <c r="D5">
        <f t="array" aca="1" ref="D5" ca="1">HLOOKUP(D$3, INDIRECT("'"&amp;INDEX(Lookup_Sheets, MATCH(1, --(COUNTIF(INDIRECT("'"&amp; Lookup_Sheets&amp;"'!$F$2:$L$15"), D$3)&gt;0), 0)) &amp;"'!$F$2:$L$15"),5, FALSE)</f>
        <v>4</v>
      </c>
      <c r="E5">
        <f t="array" aca="1" ref="E5" ca="1">HLOOKUP(E$3, INDIRECT("'"&amp;INDEX(Lookup_Sheets, MATCH(1, --(COUNTIF(INDIRECT("'"&amp; Lookup_Sheets&amp;"'!$F$2:$L$15"), E$3)&gt;0), 0)) &amp;"'!$F$2:$L$15"),5, FALSE)</f>
        <v>3</v>
      </c>
      <c r="F5">
        <f t="array" aca="1" ref="F5" ca="1">HLOOKUP(F$3, INDIRECT("'"&amp;INDEX(Lookup_Sheets, MATCH(1, --(COUNTIF(INDIRECT("'"&amp; Lookup_Sheets&amp;"'!$F$2:$L$15"), F$3)&gt;0), 0)) &amp;"'!$F$2:$L$15"),5, FALSE)</f>
        <v>2</v>
      </c>
      <c r="G5">
        <f t="array" aca="1" ref="G5" ca="1">HLOOKUP(G$3, INDIRECT("'"&amp;INDEX(Lookup_Sheets, MATCH(1, --(COUNTIF(INDIRECT("'"&amp; Lookup_Sheets&amp;"'!$F$2:$L$15"), G$3)&gt;0), 0)) &amp;"'!$F$2:$L$15"),5, FALSE)</f>
        <v>3</v>
      </c>
      <c r="H5">
        <f t="array" aca="1" ref="H5" ca="1">HLOOKUP(H$3, INDIRECT("'"&amp;INDEX(Lookup_Sheets, MATCH(1, --(COUNTIF(INDIRECT("'"&amp; Lookup_Sheets&amp;"'!$F$2:$L$15"), H$3)&gt;0), 0)) &amp;"'!$F$2:$L$15"),5, FALSE)</f>
        <v>2</v>
      </c>
      <c r="I5">
        <f t="array" aca="1" ref="I5" ca="1">HLOOKUP(I$3, INDIRECT("'"&amp;INDEX(Lookup_Sheets, MATCH(1, --(COUNTIF(INDIRECT("'"&amp; Lookup_Sheets&amp;"'!$F$2:$L$15"), I$3)&gt;0), 0)) &amp;"'!$F$2:$L$15"),5, FALSE)</f>
        <v>2</v>
      </c>
      <c r="K5">
        <f t="array" aca="1" ref="K5" ca="1">HLOOKUP(K$3, INDIRECT("'"&amp;INDEX(Lookup_Sheets, MATCH(1, --(COUNTIF(INDIRECT("'"&amp; Lookup_Sheets&amp;"'!$F$2:$L$15"), K$3)&gt;0), 0)) &amp;"'!$F$2:$L$15"),5, FALSE)</f>
        <v>3</v>
      </c>
      <c r="L5">
        <f t="array" aca="1" ref="L5" ca="1">HLOOKUP(L$3, INDIRECT("'"&amp;INDEX(Lookup_Sheets, MATCH(1, --(COUNTIF(INDIRECT("'"&amp; Lookup_Sheets&amp;"'!$F$2:$L$15"), L$3)&gt;0), 0)) &amp;"'!$F$2:$L$15"),5, FALSE)</f>
        <v>3</v>
      </c>
      <c r="M5">
        <f t="array" aca="1" ref="M5" ca="1">HLOOKUP(M$3, INDIRECT("'"&amp;INDEX(Lookup_Sheets, MATCH(1, --(COUNTIF(INDIRECT("'"&amp; Lookup_Sheets&amp;"'!$F$2:$L$15"), M$3)&gt;0), 0)) &amp;"'!$F$2:$L$15"),5, FALSE)</f>
        <v>3</v>
      </c>
      <c r="N5">
        <f t="array" aca="1" ref="N5" ca="1">HLOOKUP(N$3, INDIRECT("'"&amp;INDEX(Lookup_Sheets, MATCH(1, --(COUNTIF(INDIRECT("'"&amp; Lookup_Sheets&amp;"'!$F$2:$L$15"), N$3)&gt;0), 0)) &amp;"'!$F$2:$L$15"),5, FALSE)</f>
        <v>3</v>
      </c>
      <c r="O5">
        <f t="array" aca="1" ref="O5" ca="1">HLOOKUP(O$3, INDIRECT("'"&amp;INDEX(Lookup_Sheets, MATCH(1, --(COUNTIF(INDIRECT("'"&amp; Lookup_Sheets&amp;"'!$F$2:$L$15"), O$3)&gt;0), 0)) &amp;"'!$F$2:$L$15"),5, FALSE)</f>
        <v>3</v>
      </c>
      <c r="P5">
        <f t="array" aca="1" ref="P5" ca="1">HLOOKUP(P$3, INDIRECT("'"&amp;INDEX(Lookup_Sheets, MATCH(1, --(COUNTIF(INDIRECT("'"&amp; Lookup_Sheets&amp;"'!$F$2:$L$15"), P$3)&gt;0), 0)) &amp;"'!$F$2:$L$15"),5, FALSE)</f>
        <v>2</v>
      </c>
      <c r="Q5">
        <f t="array" aca="1" ref="Q5" ca="1">HLOOKUP(Q$3, INDIRECT("'"&amp;INDEX(Lookup_Sheets, MATCH(1, --(COUNTIF(INDIRECT("'"&amp; Lookup_Sheets&amp;"'!$F$2:$L$15"), Q$3)&gt;0), 0)) &amp;"'!$F$2:$L$15"),5, FALSE)</f>
        <v>2</v>
      </c>
      <c r="S5">
        <f t="array" aca="1" ref="S5" ca="1">HLOOKUP(S$3, INDIRECT("'"&amp;INDEX(Lookup_Sheets, MATCH(1, --(COUNTIF(INDIRECT("'"&amp; Lookup_Sheets&amp;"'!$F$2:$L$15"), S$3)&gt;0), 0)) &amp;"'!$F$2:$L$15"),5, FALSE)</f>
        <v>3</v>
      </c>
      <c r="T5">
        <f t="array" aca="1" ref="T5" ca="1">HLOOKUP(T$3, INDIRECT("'"&amp;INDEX(Lookup_Sheets, MATCH(1, --(COUNTIF(INDIRECT("'"&amp; Lookup_Sheets&amp;"'!$F$2:$L$15"), T$3)&gt;0), 0)) &amp;"'!$F$2:$L$15"),5, FALSE)</f>
        <v>3</v>
      </c>
      <c r="U5">
        <f t="array" aca="1" ref="U5" ca="1">HLOOKUP(U$3, INDIRECT("'"&amp;INDEX(Lookup_Sheets, MATCH(1, --(COUNTIF(INDIRECT("'"&amp; Lookup_Sheets&amp;"'!$F$2:$L$15"), U$3)&gt;0), 0)) &amp;"'!$F$2:$L$15"),5, FALSE)</f>
        <v>3</v>
      </c>
      <c r="V5">
        <f t="array" aca="1" ref="V5" ca="1">HLOOKUP(V$3, INDIRECT("'"&amp;INDEX(Lookup_Sheets, MATCH(1, --(COUNTIF(INDIRECT("'"&amp; Lookup_Sheets&amp;"'!$F$2:$L$15"), V$3)&gt;0), 0)) &amp;"'!$F$2:$L$15"),5, FALSE)</f>
        <v>4</v>
      </c>
      <c r="W5">
        <f t="array" aca="1" ref="W5" ca="1">HLOOKUP(W$3, INDIRECT("'"&amp;INDEX(Lookup_Sheets, MATCH(1, --(COUNTIF(INDIRECT("'"&amp; Lookup_Sheets&amp;"'!$F$2:$L$15"), W$3)&gt;0), 0)) &amp;"'!$F$2:$L$15"),5, FALSE)</f>
        <v>3</v>
      </c>
      <c r="X5">
        <f t="array" aca="1" ref="X5" ca="1">HLOOKUP(X$3, INDIRECT("'"&amp;INDEX(Lookup_Sheets, MATCH(1, --(COUNTIF(INDIRECT("'"&amp; Lookup_Sheets&amp;"'!$F$2:$L$15"), X$3)&gt;0), 0)) &amp;"'!$F$2:$L$15"),5, FALSE)</f>
        <v>2</v>
      </c>
      <c r="Y5">
        <f t="array" aca="1" ref="Y5" ca="1">HLOOKUP(Y$3, INDIRECT("'"&amp;INDEX(Lookup_Sheets, MATCH(1, --(COUNTIF(INDIRECT("'"&amp; Lookup_Sheets&amp;"'!$F$2:$L$15"), Y$3)&gt;0), 0)) &amp;"'!$F$2:$L$15"),5, FALSE)</f>
        <v>2</v>
      </c>
      <c r="AM5" t="s">
        <v>189</v>
      </c>
    </row>
    <row r="6" spans="1:123" ht="15.75" thickBot="1">
      <c r="A6" s="68" t="s">
        <v>18</v>
      </c>
      <c r="C6">
        <f t="array" aca="1" ref="C6" ca="1">HLOOKUP(C$3, INDIRECT("'"&amp;INDEX(Lookup_Sheets, MATCH(1, --(COUNTIF(INDIRECT("'"&amp; Lookup_Sheets&amp;"'!$F$2:$L$15"), C$3)&gt;0), 0)) &amp;"'!$F$2:$L$15"),6, FALSE)</f>
        <v>9</v>
      </c>
      <c r="D6">
        <f t="array" aca="1" ref="D6" ca="1">HLOOKUP(D$3, INDIRECT("'"&amp;INDEX(Lookup_Sheets, MATCH(1, --(COUNTIF(INDIRECT("'"&amp; Lookup_Sheets&amp;"'!$F$2:$L$15"), D$3)&gt;0), 0)) &amp;"'!$F$2:$L$15"),6, FALSE)</f>
        <v>3</v>
      </c>
      <c r="E6">
        <f t="array" aca="1" ref="E6" ca="1">HLOOKUP(E$3, INDIRECT("'"&amp;INDEX(Lookup_Sheets, MATCH(1, --(COUNTIF(INDIRECT("'"&amp; Lookup_Sheets&amp;"'!$F$2:$L$15"), E$3)&gt;0), 0)) &amp;"'!$F$2:$L$15"),6, FALSE)</f>
        <v>4</v>
      </c>
      <c r="F6">
        <f t="array" aca="1" ref="F6" ca="1">HLOOKUP(F$3, INDIRECT("'"&amp;INDEX(Lookup_Sheets, MATCH(1, --(COUNTIF(INDIRECT("'"&amp; Lookup_Sheets&amp;"'!$F$2:$L$15"), F$3)&gt;0), 0)) &amp;"'!$F$2:$L$15"),6, FALSE)</f>
        <v>7</v>
      </c>
      <c r="G6">
        <f t="array" aca="1" ref="G6" ca="1">HLOOKUP(G$3, INDIRECT("'"&amp;INDEX(Lookup_Sheets, MATCH(1, --(COUNTIF(INDIRECT("'"&amp; Lookup_Sheets&amp;"'!$F$2:$L$15"), G$3)&gt;0), 0)) &amp;"'!$F$2:$L$15"),6, FALSE)</f>
        <v>4</v>
      </c>
      <c r="H6">
        <f t="array" aca="1" ref="H6" ca="1">HLOOKUP(H$3, INDIRECT("'"&amp;INDEX(Lookup_Sheets, MATCH(1, --(COUNTIF(INDIRECT("'"&amp; Lookup_Sheets&amp;"'!$F$2:$L$15"), H$3)&gt;0), 0)) &amp;"'!$F$2:$L$15"),6, FALSE)</f>
        <v>4</v>
      </c>
      <c r="I6">
        <f t="array" aca="1" ref="I6" ca="1">HLOOKUP(I$3, INDIRECT("'"&amp;INDEX(Lookup_Sheets, MATCH(1, --(COUNTIF(INDIRECT("'"&amp; Lookup_Sheets&amp;"'!$F$2:$L$15"), I$3)&gt;0), 0)) &amp;"'!$F$2:$L$15"),6, FALSE)</f>
        <v>4</v>
      </c>
      <c r="K6">
        <f t="array" aca="1" ref="K6" ca="1">HLOOKUP(K$3, INDIRECT("'"&amp;INDEX(Lookup_Sheets, MATCH(1, --(COUNTIF(INDIRECT("'"&amp; Lookup_Sheets&amp;"'!$F$2:$L$15"), K$3)&gt;0), 0)) &amp;"'!$F$2:$L$15"),6, FALSE)</f>
        <v>6</v>
      </c>
      <c r="L6">
        <f t="array" aca="1" ref="L6" ca="1">HLOOKUP(L$3, INDIRECT("'"&amp;INDEX(Lookup_Sheets, MATCH(1, --(COUNTIF(INDIRECT("'"&amp; Lookup_Sheets&amp;"'!$F$2:$L$15"), L$3)&gt;0), 0)) &amp;"'!$F$2:$L$15"),6, FALSE)</f>
        <v>7</v>
      </c>
      <c r="M6">
        <f t="array" aca="1" ref="M6" ca="1">HLOOKUP(M$3, INDIRECT("'"&amp;INDEX(Lookup_Sheets, MATCH(1, --(COUNTIF(INDIRECT("'"&amp; Lookup_Sheets&amp;"'!$F$2:$L$15"), M$3)&gt;0), 0)) &amp;"'!$F$2:$L$15"),6, FALSE)</f>
        <v>5</v>
      </c>
      <c r="N6">
        <f t="array" aca="1" ref="N6" ca="1">HLOOKUP(N$3, INDIRECT("'"&amp;INDEX(Lookup_Sheets, MATCH(1, --(COUNTIF(INDIRECT("'"&amp; Lookup_Sheets&amp;"'!$F$2:$L$15"), N$3)&gt;0), 0)) &amp;"'!$F$2:$L$15"),6, FALSE)</f>
        <v>4</v>
      </c>
      <c r="O6">
        <f t="array" aca="1" ref="O6" ca="1">HLOOKUP(O$3, INDIRECT("'"&amp;INDEX(Lookup_Sheets, MATCH(1, --(COUNTIF(INDIRECT("'"&amp; Lookup_Sheets&amp;"'!$F$2:$L$15"), O$3)&gt;0), 0)) &amp;"'!$F$2:$L$15"),6, FALSE)</f>
        <v>4</v>
      </c>
      <c r="P6">
        <f t="array" aca="1" ref="P6" ca="1">HLOOKUP(P$3, INDIRECT("'"&amp;INDEX(Lookup_Sheets, MATCH(1, --(COUNTIF(INDIRECT("'"&amp; Lookup_Sheets&amp;"'!$F$2:$L$15"), P$3)&gt;0), 0)) &amp;"'!$F$2:$L$15"),6, FALSE)</f>
        <v>5</v>
      </c>
      <c r="Q6">
        <f t="array" aca="1" ref="Q6" ca="1">HLOOKUP(Q$3, INDIRECT("'"&amp;INDEX(Lookup_Sheets, MATCH(1, --(COUNTIF(INDIRECT("'"&amp; Lookup_Sheets&amp;"'!$F$2:$L$15"), Q$3)&gt;0), 0)) &amp;"'!$F$2:$L$15"),6, FALSE)</f>
        <v>6</v>
      </c>
      <c r="S6">
        <f t="array" aca="1" ref="S6" ca="1">HLOOKUP(S$3, INDIRECT("'"&amp;INDEX(Lookup_Sheets, MATCH(1, --(COUNTIF(INDIRECT("'"&amp; Lookup_Sheets&amp;"'!$F$2:$L$15"), S$3)&gt;0), 0)) &amp;"'!$F$2:$L$15"),6, FALSE)</f>
        <v>5</v>
      </c>
      <c r="T6">
        <f t="array" aca="1" ref="T6" ca="1">HLOOKUP(T$3, INDIRECT("'"&amp;INDEX(Lookup_Sheets, MATCH(1, --(COUNTIF(INDIRECT("'"&amp; Lookup_Sheets&amp;"'!$F$2:$L$15"), T$3)&gt;0), 0)) &amp;"'!$F$2:$L$15"),6, FALSE)</f>
        <v>5</v>
      </c>
      <c r="U6">
        <f t="array" aca="1" ref="U6" ca="1">HLOOKUP(U$3, INDIRECT("'"&amp;INDEX(Lookup_Sheets, MATCH(1, --(COUNTIF(INDIRECT("'"&amp; Lookup_Sheets&amp;"'!$F$2:$L$15"), U$3)&gt;0), 0)) &amp;"'!$F$2:$L$15"),6, FALSE)</f>
        <v>4</v>
      </c>
      <c r="V6">
        <f t="array" aca="1" ref="V6" ca="1">HLOOKUP(V$3, INDIRECT("'"&amp;INDEX(Lookup_Sheets, MATCH(1, --(COUNTIF(INDIRECT("'"&amp; Lookup_Sheets&amp;"'!$F$2:$L$15"), V$3)&gt;0), 0)) &amp;"'!$F$2:$L$15"),6, FALSE)</f>
        <v>5</v>
      </c>
      <c r="W6">
        <f t="array" aca="1" ref="W6" ca="1">HLOOKUP(W$3, INDIRECT("'"&amp;INDEX(Lookup_Sheets, MATCH(1, --(COUNTIF(INDIRECT("'"&amp; Lookup_Sheets&amp;"'!$F$2:$L$15"), W$3)&gt;0), 0)) &amp;"'!$F$2:$L$15"),6, FALSE)</f>
        <v>6</v>
      </c>
      <c r="X6">
        <f t="array" aca="1" ref="X6" ca="1">HLOOKUP(X$3, INDIRECT("'"&amp;INDEX(Lookup_Sheets, MATCH(1, --(COUNTIF(INDIRECT("'"&amp; Lookup_Sheets&amp;"'!$F$2:$L$15"), X$3)&gt;0), 0)) &amp;"'!$F$2:$L$15"),6, FALSE)</f>
        <v>5</v>
      </c>
      <c r="Y6">
        <f t="array" aca="1" ref="Y6" ca="1">HLOOKUP(Y$3, INDIRECT("'"&amp;INDEX(Lookup_Sheets, MATCH(1, --(COUNTIF(INDIRECT("'"&amp; Lookup_Sheets&amp;"'!$F$2:$L$15"), Y$3)&gt;0), 0)) &amp;"'!$F$2:$L$15"),6, FALSE)</f>
        <v>5</v>
      </c>
      <c r="AM6" t="s">
        <v>190</v>
      </c>
    </row>
    <row r="7" spans="1:123" ht="15.75" thickBot="1">
      <c r="A7" s="69" t="s">
        <v>19</v>
      </c>
      <c r="C7" s="71">
        <f ca="1">C5+C6</f>
        <v>12</v>
      </c>
      <c r="D7" s="72">
        <f t="shared" ref="D7:I7" ca="1" si="3">D5+D6</f>
        <v>7</v>
      </c>
      <c r="E7" s="72">
        <f t="shared" ca="1" si="3"/>
        <v>7</v>
      </c>
      <c r="F7" s="72">
        <f t="shared" ca="1" si="3"/>
        <v>9</v>
      </c>
      <c r="G7" s="72">
        <f t="shared" ca="1" si="3"/>
        <v>7</v>
      </c>
      <c r="H7" s="72">
        <f t="shared" ca="1" si="3"/>
        <v>6</v>
      </c>
      <c r="I7" s="73">
        <f t="shared" ca="1" si="3"/>
        <v>6</v>
      </c>
      <c r="K7" s="71">
        <f ca="1">K5+K6</f>
        <v>9</v>
      </c>
      <c r="L7" s="72">
        <f t="shared" ref="L7:Q7" ca="1" si="4">L5+L6</f>
        <v>10</v>
      </c>
      <c r="M7" s="72">
        <f t="shared" ca="1" si="4"/>
        <v>8</v>
      </c>
      <c r="N7" s="72">
        <f t="shared" ca="1" si="4"/>
        <v>7</v>
      </c>
      <c r="O7" s="72">
        <f t="shared" ca="1" si="4"/>
        <v>7</v>
      </c>
      <c r="P7" s="72">
        <f t="shared" ca="1" si="4"/>
        <v>7</v>
      </c>
      <c r="Q7" s="73">
        <f t="shared" ca="1" si="4"/>
        <v>8</v>
      </c>
      <c r="S7" s="71">
        <f ca="1">S5+S6</f>
        <v>8</v>
      </c>
      <c r="T7" s="72">
        <f t="shared" ref="T7:Y7" ca="1" si="5">T5+T6</f>
        <v>8</v>
      </c>
      <c r="U7" s="72">
        <f t="shared" ca="1" si="5"/>
        <v>7</v>
      </c>
      <c r="V7" s="72">
        <f t="shared" ca="1" si="5"/>
        <v>9</v>
      </c>
      <c r="W7" s="72">
        <f t="shared" ca="1" si="5"/>
        <v>9</v>
      </c>
      <c r="X7" s="72">
        <f t="shared" ca="1" si="5"/>
        <v>7</v>
      </c>
      <c r="Y7" s="73">
        <f t="shared" ca="1" si="5"/>
        <v>7</v>
      </c>
      <c r="AM7" t="s">
        <v>191</v>
      </c>
    </row>
    <row r="8" spans="1:123" ht="15.75">
      <c r="A8" s="2"/>
      <c r="AM8" t="s">
        <v>192</v>
      </c>
    </row>
    <row r="9" spans="1:123">
      <c r="A9" s="177" t="s">
        <v>193</v>
      </c>
      <c r="C9">
        <f t="array" aca="1" ref="C9" ca="1">HLOOKUP(C$3, INDIRECT("'"&amp;INDEX(Lookup_Sheets, MATCH(1, --(COUNTIF(INDIRECT("'"&amp; Lookup_Sheets&amp;"'!$F$2:$L$15"), C$3)&gt;0), 0)) &amp;"'!$F$2:$L$15"),9, FALSE)</f>
        <v>0</v>
      </c>
      <c r="D9">
        <f t="array" aca="1" ref="D9" ca="1">HLOOKUP(D$3, INDIRECT("'"&amp;INDEX(Lookup_Sheets, MATCH(1, --(COUNTIF(INDIRECT("'"&amp; Lookup_Sheets&amp;"'!$F$2:$L$15"), D$3)&gt;0), 0)) &amp;"'!$F$2:$L$15"),9, FALSE)</f>
        <v>0</v>
      </c>
      <c r="E9">
        <f t="array" aca="1" ref="E9" ca="1">HLOOKUP(E$3, INDIRECT("'"&amp;INDEX(Lookup_Sheets, MATCH(1, --(COUNTIF(INDIRECT("'"&amp; Lookup_Sheets&amp;"'!$F$2:$L$15"), E$3)&gt;0), 0)) &amp;"'!$F$2:$L$15"),9, FALSE)</f>
        <v>0</v>
      </c>
      <c r="F9">
        <f t="array" aca="1" ref="F9" ca="1">HLOOKUP(F$3, INDIRECT("'"&amp;INDEX(Lookup_Sheets, MATCH(1, --(COUNTIF(INDIRECT("'"&amp; Lookup_Sheets&amp;"'!$F$2:$L$15"), F$3)&gt;0), 0)) &amp;"'!$F$2:$L$15"),9, FALSE)</f>
        <v>0</v>
      </c>
      <c r="G9">
        <f t="array" aca="1" ref="G9" ca="1">HLOOKUP(G$3, INDIRECT("'"&amp;INDEX(Lookup_Sheets, MATCH(1, --(COUNTIF(INDIRECT("'"&amp; Lookup_Sheets&amp;"'!$F$2:$L$15"), G$3)&gt;0), 0)) &amp;"'!$F$2:$L$15"),9, FALSE)</f>
        <v>0</v>
      </c>
      <c r="H9">
        <f t="array" aca="1" ref="H9" ca="1">HLOOKUP(H$3, INDIRECT("'"&amp;INDEX(Lookup_Sheets, MATCH(1, --(COUNTIF(INDIRECT("'"&amp; Lookup_Sheets&amp;"'!$F$2:$L$15"), H$3)&gt;0), 0)) &amp;"'!$F$2:$L$15"),9, FALSE)</f>
        <v>0</v>
      </c>
      <c r="I9">
        <f t="array" aca="1" ref="I9" ca="1">HLOOKUP(I$3, INDIRECT("'"&amp;INDEX(Lookup_Sheets, MATCH(1, --(COUNTIF(INDIRECT("'"&amp; Lookup_Sheets&amp;"'!$F$2:$L$15"), I$3)&gt;0), 0)) &amp;"'!$F$2:$L$15"),9, FALSE)</f>
        <v>0</v>
      </c>
      <c r="K9">
        <f t="array" aca="1" ref="K9" ca="1">HLOOKUP(K$3, INDIRECT("'"&amp;INDEX(Lookup_Sheets, MATCH(1, --(COUNTIF(INDIRECT("'"&amp; Lookup_Sheets&amp;"'!$F$2:$L$15"), K$3)&gt;0), 0)) &amp;"'!$F$2:$L$15"),9, FALSE)</f>
        <v>0</v>
      </c>
      <c r="L9">
        <f t="array" aca="1" ref="L9" ca="1">HLOOKUP(L$3, INDIRECT("'"&amp;INDEX(Lookup_Sheets, MATCH(1, --(COUNTIF(INDIRECT("'"&amp; Lookup_Sheets&amp;"'!$F$2:$L$15"), L$3)&gt;0), 0)) &amp;"'!$F$2:$L$15"),9, FALSE)</f>
        <v>0</v>
      </c>
      <c r="M9">
        <f t="array" aca="1" ref="M9" ca="1">HLOOKUP(M$3, INDIRECT("'"&amp;INDEX(Lookup_Sheets, MATCH(1, --(COUNTIF(INDIRECT("'"&amp; Lookup_Sheets&amp;"'!$F$2:$L$15"), M$3)&gt;0), 0)) &amp;"'!$F$2:$L$15"),9, FALSE)</f>
        <v>0</v>
      </c>
      <c r="N9">
        <f t="array" aca="1" ref="N9" ca="1">HLOOKUP(N$3, INDIRECT("'"&amp;INDEX(Lookup_Sheets, MATCH(1, --(COUNTIF(INDIRECT("'"&amp; Lookup_Sheets&amp;"'!$F$2:$L$15"), N$3)&gt;0), 0)) &amp;"'!$F$2:$L$15"),9, FALSE)</f>
        <v>0</v>
      </c>
      <c r="O9">
        <f t="array" aca="1" ref="O9" ca="1">HLOOKUP(O$3, INDIRECT("'"&amp;INDEX(Lookup_Sheets, MATCH(1, --(COUNTIF(INDIRECT("'"&amp; Lookup_Sheets&amp;"'!$F$2:$L$15"), O$3)&gt;0), 0)) &amp;"'!$F$2:$L$15"),9, FALSE)</f>
        <v>0</v>
      </c>
      <c r="P9">
        <f t="array" aca="1" ref="P9" ca="1">HLOOKUP(P$3, INDIRECT("'"&amp;INDEX(Lookup_Sheets, MATCH(1, --(COUNTIF(INDIRECT("'"&amp; Lookup_Sheets&amp;"'!$F$2:$L$15"), P$3)&gt;0), 0)) &amp;"'!$F$2:$L$15"),9, FALSE)</f>
        <v>0</v>
      </c>
      <c r="Q9">
        <f t="array" aca="1" ref="Q9" ca="1">HLOOKUP(Q$3, INDIRECT("'"&amp;INDEX(Lookup_Sheets, MATCH(1, --(COUNTIF(INDIRECT("'"&amp; Lookup_Sheets&amp;"'!$F$2:$L$15"), Q$3)&gt;0), 0)) &amp;"'!$F$2:$L$15"),9, FALSE)</f>
        <v>0</v>
      </c>
      <c r="S9">
        <f t="array" aca="1" ref="S9" ca="1">HLOOKUP(S$3, INDIRECT("'"&amp;INDEX(Lookup_Sheets, MATCH(1, --(COUNTIF(INDIRECT("'"&amp; Lookup_Sheets&amp;"'!$F$2:$L$15"), S$3)&gt;0), 0)) &amp;"'!$F$2:$L$15"),9, FALSE)</f>
        <v>0</v>
      </c>
      <c r="T9">
        <f t="array" aca="1" ref="T9" ca="1">HLOOKUP(T$3, INDIRECT("'"&amp;INDEX(Lookup_Sheets, MATCH(1, --(COUNTIF(INDIRECT("'"&amp; Lookup_Sheets&amp;"'!$F$2:$L$15"), T$3)&gt;0), 0)) &amp;"'!$F$2:$L$15"),9, FALSE)</f>
        <v>0</v>
      </c>
      <c r="U9">
        <f t="array" aca="1" ref="U9" ca="1">HLOOKUP(U$3, INDIRECT("'"&amp;INDEX(Lookup_Sheets, MATCH(1, --(COUNTIF(INDIRECT("'"&amp; Lookup_Sheets&amp;"'!$F$2:$L$15"), U$3)&gt;0), 0)) &amp;"'!$F$2:$L$15"),9, FALSE)</f>
        <v>0</v>
      </c>
      <c r="V9">
        <f t="array" aca="1" ref="V9" ca="1">HLOOKUP(V$3, INDIRECT("'"&amp;INDEX(Lookup_Sheets, MATCH(1, --(COUNTIF(INDIRECT("'"&amp; Lookup_Sheets&amp;"'!$F$2:$L$15"), V$3)&gt;0), 0)) &amp;"'!$F$2:$L$15"),9, FALSE)</f>
        <v>0</v>
      </c>
      <c r="W9">
        <f t="array" aca="1" ref="W9" ca="1">HLOOKUP(W$3, INDIRECT("'"&amp;INDEX(Lookup_Sheets, MATCH(1, --(COUNTIF(INDIRECT("'"&amp; Lookup_Sheets&amp;"'!$F$2:$L$15"), W$3)&gt;0), 0)) &amp;"'!$F$2:$L$15"),9, FALSE)</f>
        <v>0</v>
      </c>
      <c r="X9">
        <f t="array" aca="1" ref="X9" ca="1">HLOOKUP(X$3, INDIRECT("'"&amp;INDEX(Lookup_Sheets, MATCH(1, --(COUNTIF(INDIRECT("'"&amp; Lookup_Sheets&amp;"'!$F$2:$L$15"), X$3)&gt;0), 0)) &amp;"'!$F$2:$L$15"),9, FALSE)</f>
        <v>0</v>
      </c>
      <c r="Y9">
        <f t="array" aca="1" ref="Y9" ca="1">HLOOKUP(Y$3, INDIRECT("'"&amp;INDEX(Lookup_Sheets, MATCH(1, --(COUNTIF(INDIRECT("'"&amp; Lookup_Sheets&amp;"'!$F$2:$L$15"), Y$3)&gt;0), 0)) &amp;"'!$F$2:$L$15"),9, FALSE)</f>
        <v>0</v>
      </c>
      <c r="AM9" t="s">
        <v>194</v>
      </c>
    </row>
    <row r="10" spans="1:123">
      <c r="A10" s="68" t="s">
        <v>195</v>
      </c>
      <c r="C10">
        <f t="array" aca="1" ref="C10" ca="1">HLOOKUP(C$3, INDIRECT("'"&amp;INDEX(Lookup_Sheets, MATCH(1, --(COUNTIF(INDIRECT("'"&amp; Lookup_Sheets&amp;"'!$F$2:$L$15"), C$3)&gt;0), 0)) &amp;"'!$F$2:$L$15"),10, FALSE)</f>
        <v>0</v>
      </c>
      <c r="D10">
        <f t="array" aca="1" ref="D10" ca="1">HLOOKUP(D$3, INDIRECT("'"&amp;INDEX(Lookup_Sheets, MATCH(1, --(COUNTIF(INDIRECT("'"&amp; Lookup_Sheets&amp;"'!$F$2:$L$15"), D$3)&gt;0), 0)) &amp;"'!$F$2:$L$15"),10, FALSE)</f>
        <v>0</v>
      </c>
      <c r="E10">
        <f t="array" aca="1" ref="E10" ca="1">HLOOKUP(E$3, INDIRECT("'"&amp;INDEX(Lookup_Sheets, MATCH(1, --(COUNTIF(INDIRECT("'"&amp; Lookup_Sheets&amp;"'!$F$2:$L$15"), E$3)&gt;0), 0)) &amp;"'!$F$2:$L$15"),10, FALSE)</f>
        <v>0</v>
      </c>
      <c r="F10">
        <f t="array" aca="1" ref="F10" ca="1">HLOOKUP(F$3, INDIRECT("'"&amp;INDEX(Lookup_Sheets, MATCH(1, --(COUNTIF(INDIRECT("'"&amp; Lookup_Sheets&amp;"'!$F$2:$L$15"), F$3)&gt;0), 0)) &amp;"'!$F$2:$L$15"),10, FALSE)</f>
        <v>0</v>
      </c>
      <c r="G10">
        <f t="array" aca="1" ref="G10" ca="1">HLOOKUP(G$3, INDIRECT("'"&amp;INDEX(Lookup_Sheets, MATCH(1, --(COUNTIF(INDIRECT("'"&amp; Lookup_Sheets&amp;"'!$F$2:$L$15"), G$3)&gt;0), 0)) &amp;"'!$F$2:$L$15"),10, FALSE)</f>
        <v>0</v>
      </c>
      <c r="H10">
        <f t="array" aca="1" ref="H10" ca="1">HLOOKUP(H$3, INDIRECT("'"&amp;INDEX(Lookup_Sheets, MATCH(1, --(COUNTIF(INDIRECT("'"&amp; Lookup_Sheets&amp;"'!$F$2:$L$15"), H$3)&gt;0), 0)) &amp;"'!$F$2:$L$15"),10, FALSE)</f>
        <v>0</v>
      </c>
      <c r="I10">
        <f t="array" aca="1" ref="I10" ca="1">HLOOKUP(I$3, INDIRECT("'"&amp;INDEX(Lookup_Sheets, MATCH(1, --(COUNTIF(INDIRECT("'"&amp; Lookup_Sheets&amp;"'!$F$2:$L$15"), I$3)&gt;0), 0)) &amp;"'!$F$2:$L$15"),10, FALSE)</f>
        <v>0</v>
      </c>
      <c r="K10">
        <f t="array" aca="1" ref="K10" ca="1">HLOOKUP(K$3, INDIRECT("'"&amp;INDEX(Lookup_Sheets, MATCH(1, --(COUNTIF(INDIRECT("'"&amp; Lookup_Sheets&amp;"'!$F$2:$L$15"), K$3)&gt;0), 0)) &amp;"'!$F$2:$L$15"),10, FALSE)</f>
        <v>0</v>
      </c>
      <c r="L10">
        <f t="array" aca="1" ref="L10" ca="1">HLOOKUP(L$3, INDIRECT("'"&amp;INDEX(Lookup_Sheets, MATCH(1, --(COUNTIF(INDIRECT("'"&amp; Lookup_Sheets&amp;"'!$F$2:$L$15"), L$3)&gt;0), 0)) &amp;"'!$F$2:$L$15"),10, FALSE)</f>
        <v>0</v>
      </c>
      <c r="M10">
        <f t="array" aca="1" ref="M10" ca="1">HLOOKUP(M$3, INDIRECT("'"&amp;INDEX(Lookup_Sheets, MATCH(1, --(COUNTIF(INDIRECT("'"&amp; Lookup_Sheets&amp;"'!$F$2:$L$15"), M$3)&gt;0), 0)) &amp;"'!$F$2:$L$15"),10, FALSE)</f>
        <v>0</v>
      </c>
      <c r="N10">
        <f t="array" aca="1" ref="N10" ca="1">HLOOKUP(N$3, INDIRECT("'"&amp;INDEX(Lookup_Sheets, MATCH(1, --(COUNTIF(INDIRECT("'"&amp; Lookup_Sheets&amp;"'!$F$2:$L$15"), N$3)&gt;0), 0)) &amp;"'!$F$2:$L$15"),10, FALSE)</f>
        <v>0</v>
      </c>
      <c r="O10">
        <f t="array" aca="1" ref="O10" ca="1">HLOOKUP(O$3, INDIRECT("'"&amp;INDEX(Lookup_Sheets, MATCH(1, --(COUNTIF(INDIRECT("'"&amp; Lookup_Sheets&amp;"'!$F$2:$L$15"), O$3)&gt;0), 0)) &amp;"'!$F$2:$L$15"),10, FALSE)</f>
        <v>0</v>
      </c>
      <c r="P10">
        <f t="array" aca="1" ref="P10" ca="1">HLOOKUP(P$3, INDIRECT("'"&amp;INDEX(Lookup_Sheets, MATCH(1, --(COUNTIF(INDIRECT("'"&amp; Lookup_Sheets&amp;"'!$F$2:$L$15"), P$3)&gt;0), 0)) &amp;"'!$F$2:$L$15"),10, FALSE)</f>
        <v>0</v>
      </c>
      <c r="Q10">
        <f t="array" aca="1" ref="Q10" ca="1">HLOOKUP(Q$3, INDIRECT("'"&amp;INDEX(Lookup_Sheets, MATCH(1, --(COUNTIF(INDIRECT("'"&amp; Lookup_Sheets&amp;"'!$F$2:$L$15"), Q$3)&gt;0), 0)) &amp;"'!$F$2:$L$15"),10, FALSE)</f>
        <v>1</v>
      </c>
      <c r="S10">
        <f t="array" aca="1" ref="S10" ca="1">HLOOKUP(S$3, INDIRECT("'"&amp;INDEX(Lookup_Sheets, MATCH(1, --(COUNTIF(INDIRECT("'"&amp; Lookup_Sheets&amp;"'!$F$2:$L$15"), S$3)&gt;0), 0)) &amp;"'!$F$2:$L$15"),10, FALSE)</f>
        <v>0</v>
      </c>
      <c r="T10">
        <f t="array" aca="1" ref="T10" ca="1">HLOOKUP(T$3, INDIRECT("'"&amp;INDEX(Lookup_Sheets, MATCH(1, --(COUNTIF(INDIRECT("'"&amp; Lookup_Sheets&amp;"'!$F$2:$L$15"), T$3)&gt;0), 0)) &amp;"'!$F$2:$L$15"),10, FALSE)</f>
        <v>0</v>
      </c>
      <c r="U10">
        <f t="array" aca="1" ref="U10" ca="1">HLOOKUP(U$3, INDIRECT("'"&amp;INDEX(Lookup_Sheets, MATCH(1, --(COUNTIF(INDIRECT("'"&amp; Lookup_Sheets&amp;"'!$F$2:$L$15"), U$3)&gt;0), 0)) &amp;"'!$F$2:$L$15"),10, FALSE)</f>
        <v>1</v>
      </c>
      <c r="V10">
        <f t="array" aca="1" ref="V10" ca="1">HLOOKUP(V$3, INDIRECT("'"&amp;INDEX(Lookup_Sheets, MATCH(1, --(COUNTIF(INDIRECT("'"&amp; Lookup_Sheets&amp;"'!$F$2:$L$15"), V$3)&gt;0), 0)) &amp;"'!$F$2:$L$15"),10, FALSE)</f>
        <v>0</v>
      </c>
      <c r="W10">
        <f t="array" aca="1" ref="W10" ca="1">HLOOKUP(W$3, INDIRECT("'"&amp;INDEX(Lookup_Sheets, MATCH(1, --(COUNTIF(INDIRECT("'"&amp; Lookup_Sheets&amp;"'!$F$2:$L$15"), W$3)&gt;0), 0)) &amp;"'!$F$2:$L$15"),10, FALSE)</f>
        <v>0</v>
      </c>
      <c r="X10">
        <f t="array" aca="1" ref="X10" ca="1">HLOOKUP(X$3, INDIRECT("'"&amp;INDEX(Lookup_Sheets, MATCH(1, --(COUNTIF(INDIRECT("'"&amp; Lookup_Sheets&amp;"'!$F$2:$L$15"), X$3)&gt;0), 0)) &amp;"'!$F$2:$L$15"),10, FALSE)</f>
        <v>0</v>
      </c>
      <c r="Y10">
        <f t="array" aca="1" ref="Y10" ca="1">HLOOKUP(Y$3, INDIRECT("'"&amp;INDEX(Lookup_Sheets, MATCH(1, --(COUNTIF(INDIRECT("'"&amp; Lookup_Sheets&amp;"'!$F$2:$L$15"), Y$3)&gt;0), 0)) &amp;"'!$F$2:$L$15"),10, FALSE)</f>
        <v>0</v>
      </c>
      <c r="AM10" t="s">
        <v>196</v>
      </c>
    </row>
    <row r="11" spans="1:123">
      <c r="A11" s="68" t="s">
        <v>22</v>
      </c>
      <c r="C11">
        <f t="array" aca="1" ref="C11" ca="1">HLOOKUP(C$3, INDIRECT("'"&amp;INDEX(Lookup_Sheets, MATCH(1, --(COUNTIF(INDIRECT("'"&amp; Lookup_Sheets&amp;"'!$F$2:$L$15"), C$3)&gt;0), 0)) &amp;"'!$F$2:$L$15"),11, FALSE)</f>
        <v>3</v>
      </c>
      <c r="D11">
        <f t="array" aca="1" ref="D11" ca="1">HLOOKUP(D$3, INDIRECT("'"&amp;INDEX(Lookup_Sheets, MATCH(1, --(COUNTIF(INDIRECT("'"&amp; Lookup_Sheets&amp;"'!$F$2:$L$15"), D$3)&gt;0), 0)) &amp;"'!$F$2:$L$15"),11, FALSE)</f>
        <v>3</v>
      </c>
      <c r="E11">
        <f t="array" aca="1" ref="E11" ca="1">HLOOKUP(E$3, INDIRECT("'"&amp;INDEX(Lookup_Sheets, MATCH(1, --(COUNTIF(INDIRECT("'"&amp; Lookup_Sheets&amp;"'!$F$2:$L$15"), E$3)&gt;0), 0)) &amp;"'!$F$2:$L$15"),11, FALSE)</f>
        <v>2</v>
      </c>
      <c r="F11">
        <f t="array" aca="1" ref="F11" ca="1">HLOOKUP(F$3, INDIRECT("'"&amp;INDEX(Lookup_Sheets, MATCH(1, --(COUNTIF(INDIRECT("'"&amp; Lookup_Sheets&amp;"'!$F$2:$L$15"), F$3)&gt;0), 0)) &amp;"'!$F$2:$L$15"),11, FALSE)</f>
        <v>3</v>
      </c>
      <c r="G11">
        <f t="array" aca="1" ref="G11" ca="1">HLOOKUP(G$3, INDIRECT("'"&amp;INDEX(Lookup_Sheets, MATCH(1, --(COUNTIF(INDIRECT("'"&amp; Lookup_Sheets&amp;"'!$F$2:$L$15"), G$3)&gt;0), 0)) &amp;"'!$F$2:$L$15"),11, FALSE)</f>
        <v>3</v>
      </c>
      <c r="H11">
        <f t="array" aca="1" ref="H11" ca="1">HLOOKUP(H$3, INDIRECT("'"&amp;INDEX(Lookup_Sheets, MATCH(1, --(COUNTIF(INDIRECT("'"&amp; Lookup_Sheets&amp;"'!$F$2:$L$15"), H$3)&gt;0), 0)) &amp;"'!$F$2:$L$15"),11, FALSE)</f>
        <v>2</v>
      </c>
      <c r="I11">
        <f t="array" aca="1" ref="I11" ca="1">HLOOKUP(I$3, INDIRECT("'"&amp;INDEX(Lookup_Sheets, MATCH(1, --(COUNTIF(INDIRECT("'"&amp; Lookup_Sheets&amp;"'!$F$2:$L$15"), I$3)&gt;0), 0)) &amp;"'!$F$2:$L$15"),11, FALSE)</f>
        <v>2</v>
      </c>
      <c r="K11">
        <f t="array" aca="1" ref="K11" ca="1">HLOOKUP(K$3, INDIRECT("'"&amp;INDEX(Lookup_Sheets, MATCH(1, --(COUNTIF(INDIRECT("'"&amp; Lookup_Sheets&amp;"'!$F$2:$L$15"), K$3)&gt;0), 0)) &amp;"'!$F$2:$L$15"),11, FALSE)</f>
        <v>3</v>
      </c>
      <c r="L11">
        <f t="array" aca="1" ref="L11" ca="1">HLOOKUP(L$3, INDIRECT("'"&amp;INDEX(Lookup_Sheets, MATCH(1, --(COUNTIF(INDIRECT("'"&amp; Lookup_Sheets&amp;"'!$F$2:$L$15"), L$3)&gt;0), 0)) &amp;"'!$F$2:$L$15"),11, FALSE)</f>
        <v>3</v>
      </c>
      <c r="M11">
        <f t="array" aca="1" ref="M11" ca="1">HLOOKUP(M$3, INDIRECT("'"&amp;INDEX(Lookup_Sheets, MATCH(1, --(COUNTIF(INDIRECT("'"&amp; Lookup_Sheets&amp;"'!$F$2:$L$15"), M$3)&gt;0), 0)) &amp;"'!$F$2:$L$15"),11, FALSE)</f>
        <v>3</v>
      </c>
      <c r="N11">
        <f t="array" aca="1" ref="N11" ca="1">HLOOKUP(N$3, INDIRECT("'"&amp;INDEX(Lookup_Sheets, MATCH(1, --(COUNTIF(INDIRECT("'"&amp; Lookup_Sheets&amp;"'!$F$2:$L$15"), N$3)&gt;0), 0)) &amp;"'!$F$2:$L$15"),11, FALSE)</f>
        <v>3</v>
      </c>
      <c r="O11">
        <f t="array" aca="1" ref="O11" ca="1">HLOOKUP(O$3, INDIRECT("'"&amp;INDEX(Lookup_Sheets, MATCH(1, --(COUNTIF(INDIRECT("'"&amp; Lookup_Sheets&amp;"'!$F$2:$L$15"), O$3)&gt;0), 0)) &amp;"'!$F$2:$L$15"),11, FALSE)</f>
        <v>3</v>
      </c>
      <c r="P11">
        <f t="array" aca="1" ref="P11" ca="1">HLOOKUP(P$3, INDIRECT("'"&amp;INDEX(Lookup_Sheets, MATCH(1, --(COUNTIF(INDIRECT("'"&amp; Lookup_Sheets&amp;"'!$F$2:$L$15"), P$3)&gt;0), 0)) &amp;"'!$F$2:$L$15"),11, FALSE)</f>
        <v>2</v>
      </c>
      <c r="Q11">
        <f t="array" aca="1" ref="Q11" ca="1">HLOOKUP(Q$3, INDIRECT("'"&amp;INDEX(Lookup_Sheets, MATCH(1, --(COUNTIF(INDIRECT("'"&amp; Lookup_Sheets&amp;"'!$F$2:$L$15"), Q$3)&gt;0), 0)) &amp;"'!$F$2:$L$15"),11, FALSE)</f>
        <v>2</v>
      </c>
      <c r="S11">
        <f t="array" aca="1" ref="S11" ca="1">HLOOKUP(S$3, INDIRECT("'"&amp;INDEX(Lookup_Sheets, MATCH(1, --(COUNTIF(INDIRECT("'"&amp; Lookup_Sheets&amp;"'!$F$2:$L$15"), S$3)&gt;0), 0)) &amp;"'!$F$2:$L$15"),11, FALSE)</f>
        <v>3</v>
      </c>
      <c r="T11">
        <f t="array" aca="1" ref="T11" ca="1">HLOOKUP(T$3, INDIRECT("'"&amp;INDEX(Lookup_Sheets, MATCH(1, --(COUNTIF(INDIRECT("'"&amp; Lookup_Sheets&amp;"'!$F$2:$L$15"), T$3)&gt;0), 0)) &amp;"'!$F$2:$L$15"),11, FALSE)</f>
        <v>3</v>
      </c>
      <c r="U11">
        <f t="array" aca="1" ref="U11" ca="1">HLOOKUP(U$3, INDIRECT("'"&amp;INDEX(Lookup_Sheets, MATCH(1, --(COUNTIF(INDIRECT("'"&amp; Lookup_Sheets&amp;"'!$F$2:$L$15"), U$3)&gt;0), 0)) &amp;"'!$F$2:$L$15"),11, FALSE)</f>
        <v>3</v>
      </c>
      <c r="V11">
        <f t="array" aca="1" ref="V11" ca="1">HLOOKUP(V$3, INDIRECT("'"&amp;INDEX(Lookup_Sheets, MATCH(1, --(COUNTIF(INDIRECT("'"&amp; Lookup_Sheets&amp;"'!$F$2:$L$15"), V$3)&gt;0), 0)) &amp;"'!$F$2:$L$15"),11, FALSE)</f>
        <v>2</v>
      </c>
      <c r="W11">
        <f t="array" aca="1" ref="W11" ca="1">HLOOKUP(W$3, INDIRECT("'"&amp;INDEX(Lookup_Sheets, MATCH(1, --(COUNTIF(INDIRECT("'"&amp; Lookup_Sheets&amp;"'!$F$2:$L$15"), W$3)&gt;0), 0)) &amp;"'!$F$2:$L$15"),11, FALSE)</f>
        <v>2</v>
      </c>
      <c r="X11">
        <f t="array" aca="1" ref="X11" ca="1">HLOOKUP(X$3, INDIRECT("'"&amp;INDEX(Lookup_Sheets, MATCH(1, --(COUNTIF(INDIRECT("'"&amp; Lookup_Sheets&amp;"'!$F$2:$L$15"), X$3)&gt;0), 0)) &amp;"'!$F$2:$L$15"),11, FALSE)</f>
        <v>2</v>
      </c>
      <c r="Y11">
        <f t="array" aca="1" ref="Y11" ca="1">HLOOKUP(Y$3, INDIRECT("'"&amp;INDEX(Lookup_Sheets, MATCH(1, --(COUNTIF(INDIRECT("'"&amp; Lookup_Sheets&amp;"'!$F$2:$L$15"), Y$3)&gt;0), 0)) &amp;"'!$F$2:$L$15"),11, FALSE)</f>
        <v>2</v>
      </c>
      <c r="AM11" t="s">
        <v>197</v>
      </c>
    </row>
    <row r="12" spans="1:123" ht="15.75" thickBot="1">
      <c r="A12" s="68" t="s">
        <v>23</v>
      </c>
      <c r="C12">
        <f t="array" aca="1" ref="C12" ca="1">HLOOKUP(C$3, INDIRECT("'"&amp;INDEX(Lookup_Sheets, MATCH(1, --(COUNTIF(INDIRECT("'"&amp; Lookup_Sheets&amp;"'!$F$2:$L$15"), C$3)&gt;0), 0)) &amp;"'!$F$2:$L$15"),12, FALSE)</f>
        <v>9</v>
      </c>
      <c r="D12">
        <f t="array" aca="1" ref="D12" ca="1">HLOOKUP(D$3, INDIRECT("'"&amp;INDEX(Lookup_Sheets, MATCH(1, --(COUNTIF(INDIRECT("'"&amp; Lookup_Sheets&amp;"'!$F$2:$L$15"), D$3)&gt;0), 0)) &amp;"'!$F$2:$L$15"),12, FALSE)</f>
        <v>7</v>
      </c>
      <c r="E12">
        <f t="array" aca="1" ref="E12" ca="1">HLOOKUP(E$3, INDIRECT("'"&amp;INDEX(Lookup_Sheets, MATCH(1, --(COUNTIF(INDIRECT("'"&amp; Lookup_Sheets&amp;"'!$F$2:$L$15"), E$3)&gt;0), 0)) &amp;"'!$F$2:$L$15"),12, FALSE)</f>
        <v>5</v>
      </c>
      <c r="F12">
        <f t="array" aca="1" ref="F12" ca="1">HLOOKUP(F$3, INDIRECT("'"&amp;INDEX(Lookup_Sheets, MATCH(1, --(COUNTIF(INDIRECT("'"&amp; Lookup_Sheets&amp;"'!$F$2:$L$15"), F$3)&gt;0), 0)) &amp;"'!$F$2:$L$15"),12, FALSE)</f>
        <v>7</v>
      </c>
      <c r="G12">
        <f t="array" aca="1" ref="G12" ca="1">HLOOKUP(G$3, INDIRECT("'"&amp;INDEX(Lookup_Sheets, MATCH(1, --(COUNTIF(INDIRECT("'"&amp; Lookup_Sheets&amp;"'!$F$2:$L$15"), G$3)&gt;0), 0)) &amp;"'!$F$2:$L$15"),12, FALSE)</f>
        <v>7</v>
      </c>
      <c r="H12">
        <f t="array" aca="1" ref="H12" ca="1">HLOOKUP(H$3, INDIRECT("'"&amp;INDEX(Lookup_Sheets, MATCH(1, --(COUNTIF(INDIRECT("'"&amp; Lookup_Sheets&amp;"'!$F$2:$L$15"), H$3)&gt;0), 0)) &amp;"'!$F$2:$L$15"),12, FALSE)</f>
        <v>8</v>
      </c>
      <c r="I12">
        <f t="array" aca="1" ref="I12" ca="1">HLOOKUP(I$3, INDIRECT("'"&amp;INDEX(Lookup_Sheets, MATCH(1, --(COUNTIF(INDIRECT("'"&amp; Lookup_Sheets&amp;"'!$F$2:$L$15"), I$3)&gt;0), 0)) &amp;"'!$F$2:$L$15"),12, FALSE)</f>
        <v>8</v>
      </c>
      <c r="K12">
        <f t="array" aca="1" ref="K12" ca="1">HLOOKUP(K$3, INDIRECT("'"&amp;INDEX(Lookup_Sheets, MATCH(1, --(COUNTIF(INDIRECT("'"&amp; Lookup_Sheets&amp;"'!$F$2:$L$15"), K$3)&gt;0), 0)) &amp;"'!$F$2:$L$15"),12, FALSE)</f>
        <v>10</v>
      </c>
      <c r="L12">
        <f t="array" aca="1" ref="L12" ca="1">HLOOKUP(L$3, INDIRECT("'"&amp;INDEX(Lookup_Sheets, MATCH(1, --(COUNTIF(INDIRECT("'"&amp; Lookup_Sheets&amp;"'!$F$2:$L$15"), L$3)&gt;0), 0)) &amp;"'!$F$2:$L$15"),12, FALSE)</f>
        <v>9</v>
      </c>
      <c r="M12">
        <f t="array" aca="1" ref="M12" ca="1">HLOOKUP(M$3, INDIRECT("'"&amp;INDEX(Lookup_Sheets, MATCH(1, --(COUNTIF(INDIRECT("'"&amp; Lookup_Sheets&amp;"'!$F$2:$L$15"), M$3)&gt;0), 0)) &amp;"'!$F$2:$L$15"),12, FALSE)</f>
        <v>8</v>
      </c>
      <c r="N12">
        <f t="array" aca="1" ref="N12" ca="1">HLOOKUP(N$3, INDIRECT("'"&amp;INDEX(Lookup_Sheets, MATCH(1, --(COUNTIF(INDIRECT("'"&amp; Lookup_Sheets&amp;"'!$F$2:$L$15"), N$3)&gt;0), 0)) &amp;"'!$F$2:$L$15"),12, FALSE)</f>
        <v>8</v>
      </c>
      <c r="O12">
        <f t="array" aca="1" ref="O12" ca="1">HLOOKUP(O$3, INDIRECT("'"&amp;INDEX(Lookup_Sheets, MATCH(1, --(COUNTIF(INDIRECT("'"&amp; Lookup_Sheets&amp;"'!$F$2:$L$15"), O$3)&gt;0), 0)) &amp;"'!$F$2:$L$15"),12, FALSE)</f>
        <v>7</v>
      </c>
      <c r="P12">
        <f t="array" aca="1" ref="P12" ca="1">HLOOKUP(P$3, INDIRECT("'"&amp;INDEX(Lookup_Sheets, MATCH(1, --(COUNTIF(INDIRECT("'"&amp; Lookup_Sheets&amp;"'!$F$2:$L$15"), P$3)&gt;0), 0)) &amp;"'!$F$2:$L$15"),12, FALSE)</f>
        <v>7</v>
      </c>
      <c r="Q12">
        <f t="array" aca="1" ref="Q12" ca="1">HLOOKUP(Q$3, INDIRECT("'"&amp;INDEX(Lookup_Sheets, MATCH(1, --(COUNTIF(INDIRECT("'"&amp; Lookup_Sheets&amp;"'!$F$2:$L$15"), Q$3)&gt;0), 0)) &amp;"'!$F$2:$L$15"),12, FALSE)</f>
        <v>9</v>
      </c>
      <c r="S12">
        <f t="array" aca="1" ref="S12" ca="1">HLOOKUP(S$3, INDIRECT("'"&amp;INDEX(Lookup_Sheets, MATCH(1, --(COUNTIF(INDIRECT("'"&amp; Lookup_Sheets&amp;"'!$F$2:$L$15"), S$3)&gt;0), 0)) &amp;"'!$F$2:$L$15"),12, FALSE)</f>
        <v>8</v>
      </c>
      <c r="T12">
        <f t="array" aca="1" ref="T12" ca="1">HLOOKUP(T$3, INDIRECT("'"&amp;INDEX(Lookup_Sheets, MATCH(1, --(COUNTIF(INDIRECT("'"&amp; Lookup_Sheets&amp;"'!$F$2:$L$15"), T$3)&gt;0), 0)) &amp;"'!$F$2:$L$15"),12, FALSE)</f>
        <v>9</v>
      </c>
      <c r="U12">
        <f t="array" aca="1" ref="U12" ca="1">HLOOKUP(U$3, INDIRECT("'"&amp;INDEX(Lookup_Sheets, MATCH(1, --(COUNTIF(INDIRECT("'"&amp; Lookup_Sheets&amp;"'!$F$2:$L$15"), U$3)&gt;0), 0)) &amp;"'!$F$2:$L$15"),12, FALSE)</f>
        <v>8</v>
      </c>
      <c r="V12">
        <f t="array" aca="1" ref="V12" ca="1">HLOOKUP(V$3, INDIRECT("'"&amp;INDEX(Lookup_Sheets, MATCH(1, --(COUNTIF(INDIRECT("'"&amp; Lookup_Sheets&amp;"'!$F$2:$L$15"), V$3)&gt;0), 0)) &amp;"'!$F$2:$L$15"),12, FALSE)</f>
        <v>8</v>
      </c>
      <c r="W12">
        <f t="array" aca="1" ref="W12" ca="1">HLOOKUP(W$3, INDIRECT("'"&amp;INDEX(Lookup_Sheets, MATCH(1, --(COUNTIF(INDIRECT("'"&amp; Lookup_Sheets&amp;"'!$F$2:$L$15"), W$3)&gt;0), 0)) &amp;"'!$F$2:$L$15"),12, FALSE)</f>
        <v>8</v>
      </c>
      <c r="X12">
        <f t="array" aca="1" ref="X12" ca="1">HLOOKUP(X$3, INDIRECT("'"&amp;INDEX(Lookup_Sheets, MATCH(1, --(COUNTIF(INDIRECT("'"&amp; Lookup_Sheets&amp;"'!$F$2:$L$15"), X$3)&gt;0), 0)) &amp;"'!$F$2:$L$15"),12, FALSE)</f>
        <v>8</v>
      </c>
      <c r="Y12">
        <f t="array" aca="1" ref="Y12" ca="1">HLOOKUP(Y$3, INDIRECT("'"&amp;INDEX(Lookup_Sheets, MATCH(1, --(COUNTIF(INDIRECT("'"&amp; Lookup_Sheets&amp;"'!$F$2:$L$15"), Y$3)&gt;0), 0)) &amp;"'!$F$2:$L$15"),12, FALSE)</f>
        <v>9</v>
      </c>
      <c r="AM12" t="s">
        <v>198</v>
      </c>
    </row>
    <row r="13" spans="1:123" ht="15.75" thickBot="1">
      <c r="A13" s="69" t="s">
        <v>24</v>
      </c>
      <c r="C13" s="71">
        <f ca="1">C11+C12</f>
        <v>12</v>
      </c>
      <c r="D13" s="72">
        <f t="shared" ref="D13:I13" ca="1" si="6">D11+D12</f>
        <v>10</v>
      </c>
      <c r="E13" s="72">
        <f t="shared" ca="1" si="6"/>
        <v>7</v>
      </c>
      <c r="F13" s="72">
        <f t="shared" ca="1" si="6"/>
        <v>10</v>
      </c>
      <c r="G13" s="72">
        <f t="shared" ca="1" si="6"/>
        <v>10</v>
      </c>
      <c r="H13" s="72">
        <f t="shared" ca="1" si="6"/>
        <v>10</v>
      </c>
      <c r="I13" s="73">
        <f t="shared" ca="1" si="6"/>
        <v>10</v>
      </c>
      <c r="K13" s="71">
        <f ca="1">K11+K12</f>
        <v>13</v>
      </c>
      <c r="L13" s="72">
        <f t="shared" ref="L13:Q13" ca="1" si="7">L11+L12</f>
        <v>12</v>
      </c>
      <c r="M13" s="72">
        <f t="shared" ca="1" si="7"/>
        <v>11</v>
      </c>
      <c r="N13" s="72">
        <f t="shared" ca="1" si="7"/>
        <v>11</v>
      </c>
      <c r="O13" s="72">
        <f t="shared" ca="1" si="7"/>
        <v>10</v>
      </c>
      <c r="P13" s="72">
        <f t="shared" ca="1" si="7"/>
        <v>9</v>
      </c>
      <c r="Q13" s="73">
        <f t="shared" ca="1" si="7"/>
        <v>11</v>
      </c>
      <c r="S13" s="71">
        <f ca="1">S11+S12</f>
        <v>11</v>
      </c>
      <c r="T13" s="72">
        <f t="shared" ref="T13:Y13" ca="1" si="8">T11+T12</f>
        <v>12</v>
      </c>
      <c r="U13" s="72">
        <f t="shared" ca="1" si="8"/>
        <v>11</v>
      </c>
      <c r="V13" s="72">
        <f t="shared" ca="1" si="8"/>
        <v>10</v>
      </c>
      <c r="W13" s="72">
        <f t="shared" ca="1" si="8"/>
        <v>10</v>
      </c>
      <c r="X13" s="72">
        <f t="shared" ca="1" si="8"/>
        <v>10</v>
      </c>
      <c r="Y13" s="73">
        <f t="shared" ca="1" si="8"/>
        <v>11</v>
      </c>
      <c r="AM13" t="s">
        <v>199</v>
      </c>
    </row>
    <row r="14" spans="1:123" ht="16.5" thickBot="1">
      <c r="A14" s="2"/>
      <c r="AM14" t="s">
        <v>200</v>
      </c>
    </row>
    <row r="15" spans="1:123" ht="15.75" thickBot="1">
      <c r="A15" s="69" t="s">
        <v>25</v>
      </c>
      <c r="C15" s="74">
        <f t="array" aca="1" ref="C15" ca="1">HLOOKUP(C$3, INDIRECT("'"&amp;INDEX(Lookup_Sheets, MATCH(1, --(COUNTIF(INDIRECT("'"&amp; Lookup_Sheets&amp;"'!$F$2:$L$16"), C$3)&gt;0), 0)) &amp;"'!$F$2:$L$16"),15, FALSE)</f>
        <v>4</v>
      </c>
      <c r="D15" s="75">
        <f t="array" aca="1" ref="D15" ca="1">HLOOKUP(D$3, INDIRECT("'"&amp;INDEX(Lookup_Sheets, MATCH(1, --(COUNTIF(INDIRECT("'"&amp; Lookup_Sheets&amp;"'!$F$2:$L$16"), D$3)&gt;0), 0)) &amp;"'!$F$2:$L$16"),15, FALSE)</f>
        <v>4</v>
      </c>
      <c r="E15" s="75">
        <f t="array" aca="1" ref="E15" ca="1">HLOOKUP(E$3, INDIRECT("'"&amp;INDEX(Lookup_Sheets, MATCH(1, --(COUNTIF(INDIRECT("'"&amp; Lookup_Sheets&amp;"'!$F$2:$L$16"), E$3)&gt;0), 0)) &amp;"'!$F$2:$L$16"),15, FALSE)</f>
        <v>4</v>
      </c>
      <c r="F15" s="75">
        <f t="array" aca="1" ref="F15" ca="1">HLOOKUP(F$3, INDIRECT("'"&amp;INDEX(Lookup_Sheets, MATCH(1, --(COUNTIF(INDIRECT("'"&amp; Lookup_Sheets&amp;"'!$F$2:$L$16"), F$3)&gt;0), 0)) &amp;"'!$F$2:$L$16"),15, FALSE)</f>
        <v>4</v>
      </c>
      <c r="G15" s="75">
        <f t="array" aca="1" ref="G15" ca="1">HLOOKUP(G$3, INDIRECT("'"&amp;INDEX(Lookup_Sheets, MATCH(1, --(COUNTIF(INDIRECT("'"&amp; Lookup_Sheets&amp;"'!$F$2:$L$16"), G$3)&gt;0), 0)) &amp;"'!$F$2:$L$16"),15, FALSE)</f>
        <v>5</v>
      </c>
      <c r="H15" s="75">
        <f t="array" aca="1" ref="H15" ca="1">HLOOKUP(H$3, INDIRECT("'"&amp;INDEX(Lookup_Sheets, MATCH(1, --(COUNTIF(INDIRECT("'"&amp; Lookup_Sheets&amp;"'!$F$2:$L$16"), H$3)&gt;0), 0)) &amp;"'!$F$2:$L$16"),15, FALSE)</f>
        <v>5</v>
      </c>
      <c r="I15" s="76">
        <f t="array" aca="1" ref="I15" ca="1">HLOOKUP(I$3, INDIRECT("'"&amp;INDEX(Lookup_Sheets, MATCH(1, --(COUNTIF(INDIRECT("'"&amp; Lookup_Sheets&amp;"'!$F$2:$L$16"), I$3)&gt;0), 0)) &amp;"'!$F$2:$L$16"),15, FALSE)</f>
        <v>5</v>
      </c>
      <c r="K15" s="74">
        <f t="array" aca="1" ref="K15" ca="1">HLOOKUP(K$3, INDIRECT("'"&amp;INDEX(Lookup_Sheets, MATCH(1, --(COUNTIF(INDIRECT("'"&amp; Lookup_Sheets&amp;"'!$F$2:$L$16"), K$3)&gt;0), 0)) &amp;"'!$F$2:$L$16"),15, FALSE)</f>
        <v>4</v>
      </c>
      <c r="L15" s="75">
        <f t="array" aca="1" ref="L15" ca="1">HLOOKUP(L$3, INDIRECT("'"&amp;INDEX(Lookup_Sheets, MATCH(1, --(COUNTIF(INDIRECT("'"&amp; Lookup_Sheets&amp;"'!$F$2:$L$16"), L$3)&gt;0), 0)) &amp;"'!$F$2:$L$16"),15, FALSE)</f>
        <v>4</v>
      </c>
      <c r="M15" s="75">
        <f t="array" aca="1" ref="M15" ca="1">HLOOKUP(M$3, INDIRECT("'"&amp;INDEX(Lookup_Sheets, MATCH(1, --(COUNTIF(INDIRECT("'"&amp; Lookup_Sheets&amp;"'!$F$2:$L$16"), M$3)&gt;0), 0)) &amp;"'!$F$2:$L$16"),15, FALSE)</f>
        <v>5</v>
      </c>
      <c r="N15" s="75">
        <f t="array" aca="1" ref="N15" ca="1">HLOOKUP(N$3, INDIRECT("'"&amp;INDEX(Lookup_Sheets, MATCH(1, --(COUNTIF(INDIRECT("'"&amp; Lookup_Sheets&amp;"'!$F$2:$L$16"), N$3)&gt;0), 0)) &amp;"'!$F$2:$L$16"),15, FALSE)</f>
        <v>5</v>
      </c>
      <c r="O15" s="75">
        <f t="array" aca="1" ref="O15" ca="1">HLOOKUP(O$3, INDIRECT("'"&amp;INDEX(Lookup_Sheets, MATCH(1, --(COUNTIF(INDIRECT("'"&amp; Lookup_Sheets&amp;"'!$F$2:$L$16"), O$3)&gt;0), 0)) &amp;"'!$F$2:$L$16"),15, FALSE)</f>
        <v>4</v>
      </c>
      <c r="P15" s="75">
        <f t="array" aca="1" ref="P15" ca="1">HLOOKUP(P$3, INDIRECT("'"&amp;INDEX(Lookup_Sheets, MATCH(1, --(COUNTIF(INDIRECT("'"&amp; Lookup_Sheets&amp;"'!$F$2:$L$16"), P$3)&gt;0), 0)) &amp;"'!$F$2:$L$16"),15, FALSE)</f>
        <v>4</v>
      </c>
      <c r="Q15" s="76">
        <f t="array" aca="1" ref="Q15" ca="1">HLOOKUP(Q$3, INDIRECT("'"&amp;INDEX(Lookup_Sheets, MATCH(1, --(COUNTIF(INDIRECT("'"&amp; Lookup_Sheets&amp;"'!$F$2:$L$16"), Q$3)&gt;0), 0)) &amp;"'!$F$2:$L$16"),15, FALSE)</f>
        <v>4</v>
      </c>
      <c r="S15" s="74">
        <f t="array" aca="1" ref="S15" ca="1">HLOOKUP(S$3, INDIRECT("'"&amp;INDEX(Lookup_Sheets, MATCH(1, --(COUNTIF(INDIRECT("'"&amp; Lookup_Sheets&amp;"'!$F$2:$L$16"), S$3)&gt;0), 0)) &amp;"'!$F$2:$L$16"),15, FALSE)</f>
        <v>5</v>
      </c>
      <c r="T15" s="75">
        <f t="array" aca="1" ref="T15" ca="1">HLOOKUP(T$3, INDIRECT("'"&amp;INDEX(Lookup_Sheets, MATCH(1, --(COUNTIF(INDIRECT("'"&amp; Lookup_Sheets&amp;"'!$F$2:$L$16"), T$3)&gt;0), 0)) &amp;"'!$F$2:$L$16"),15, FALSE)</f>
        <v>5</v>
      </c>
      <c r="U15" s="75">
        <f t="array" aca="1" ref="U15" ca="1">HLOOKUP(U$3, INDIRECT("'"&amp;INDEX(Lookup_Sheets, MATCH(1, --(COUNTIF(INDIRECT("'"&amp; Lookup_Sheets&amp;"'!$F$2:$L$16"), U$3)&gt;0), 0)) &amp;"'!$F$2:$L$16"),15, FALSE)</f>
        <v>5</v>
      </c>
      <c r="V15" s="75">
        <f t="array" aca="1" ref="V15" ca="1">HLOOKUP(V$3, INDIRECT("'"&amp;INDEX(Lookup_Sheets, MATCH(1, --(COUNTIF(INDIRECT("'"&amp; Lookup_Sheets&amp;"'!$F$2:$L$16"), V$3)&gt;0), 0)) &amp;"'!$F$2:$L$16"),15, FALSE)</f>
        <v>4</v>
      </c>
      <c r="W15" s="75">
        <f t="array" aca="1" ref="W15" ca="1">HLOOKUP(W$3, INDIRECT("'"&amp;INDEX(Lookup_Sheets, MATCH(1, --(COUNTIF(INDIRECT("'"&amp; Lookup_Sheets&amp;"'!$F$2:$L$16"), W$3)&gt;0), 0)) &amp;"'!$F$2:$L$16"),15, FALSE)</f>
        <v>4</v>
      </c>
      <c r="X15" s="75">
        <f t="array" aca="1" ref="X15" ca="1">HLOOKUP(X$3, INDIRECT("'"&amp;INDEX(Lookup_Sheets, MATCH(1, --(COUNTIF(INDIRECT("'"&amp; Lookup_Sheets&amp;"'!$F$2:$L$16"), X$3)&gt;0), 0)) &amp;"'!$F$2:$L$16"),15, FALSE)</f>
        <v>4</v>
      </c>
      <c r="Y15" s="76">
        <f t="array" aca="1" ref="Y15" ca="1">HLOOKUP(Y$3, INDIRECT("'"&amp;INDEX(Lookup_Sheets, MATCH(1, --(COUNTIF(INDIRECT("'"&amp; Lookup_Sheets&amp;"'!$F$2:$L$16"), Y$3)&gt;0), 0)) &amp;"'!$F$2:$L$16"),15, FALSE)</f>
        <v>4</v>
      </c>
      <c r="AM15" t="s">
        <v>201</v>
      </c>
    </row>
    <row r="17" spans="1:25">
      <c r="C17" t="s">
        <v>189</v>
      </c>
      <c r="K17" t="s">
        <v>190</v>
      </c>
      <c r="S17" t="s">
        <v>191</v>
      </c>
    </row>
    <row r="18" spans="1:25">
      <c r="C18" t="s">
        <v>5</v>
      </c>
      <c r="D18" t="s">
        <v>6</v>
      </c>
      <c r="E18" t="s">
        <v>7</v>
      </c>
      <c r="F18" t="s">
        <v>8</v>
      </c>
      <c r="G18" t="s">
        <v>9</v>
      </c>
      <c r="H18" t="s">
        <v>10</v>
      </c>
      <c r="I18" t="s">
        <v>11</v>
      </c>
      <c r="K18" t="s">
        <v>5</v>
      </c>
      <c r="L18" t="s">
        <v>6</v>
      </c>
      <c r="M18" t="s">
        <v>7</v>
      </c>
      <c r="N18" t="s">
        <v>8</v>
      </c>
      <c r="O18" t="s">
        <v>9</v>
      </c>
      <c r="P18" t="s">
        <v>10</v>
      </c>
      <c r="Q18" t="s">
        <v>11</v>
      </c>
      <c r="S18" t="s">
        <v>5</v>
      </c>
      <c r="T18" t="s">
        <v>6</v>
      </c>
      <c r="U18" t="s">
        <v>7</v>
      </c>
      <c r="V18" t="s">
        <v>8</v>
      </c>
      <c r="W18" t="s">
        <v>9</v>
      </c>
      <c r="X18" t="s">
        <v>10</v>
      </c>
      <c r="Y18" t="s">
        <v>11</v>
      </c>
    </row>
    <row r="19" spans="1:25">
      <c r="C19" s="70">
        <f>S3+7</f>
        <v>46167</v>
      </c>
      <c r="D19" s="70">
        <f t="shared" ref="D19:I19" si="9">C19+1</f>
        <v>46168</v>
      </c>
      <c r="E19" s="70">
        <f t="shared" si="9"/>
        <v>46169</v>
      </c>
      <c r="F19" s="70">
        <f t="shared" si="9"/>
        <v>46170</v>
      </c>
      <c r="G19" s="70">
        <f t="shared" si="9"/>
        <v>46171</v>
      </c>
      <c r="H19" s="70">
        <f t="shared" si="9"/>
        <v>46172</v>
      </c>
      <c r="I19" s="70">
        <f t="shared" si="9"/>
        <v>46173</v>
      </c>
      <c r="K19" s="70">
        <f>C19+7</f>
        <v>46174</v>
      </c>
      <c r="L19" s="70">
        <f t="shared" ref="L19:Q19" si="10">K19+1</f>
        <v>46175</v>
      </c>
      <c r="M19" s="70">
        <f t="shared" si="10"/>
        <v>46176</v>
      </c>
      <c r="N19" s="70">
        <f t="shared" si="10"/>
        <v>46177</v>
      </c>
      <c r="O19" s="70">
        <f t="shared" si="10"/>
        <v>46178</v>
      </c>
      <c r="P19" s="70">
        <f t="shared" si="10"/>
        <v>46179</v>
      </c>
      <c r="Q19" s="70">
        <f t="shared" si="10"/>
        <v>46180</v>
      </c>
      <c r="S19" s="70">
        <f>K19+7</f>
        <v>46181</v>
      </c>
      <c r="T19" s="70">
        <f t="shared" ref="T19:Y19" si="11">S19+1</f>
        <v>46182</v>
      </c>
      <c r="U19" s="70">
        <f t="shared" si="11"/>
        <v>46183</v>
      </c>
      <c r="V19" s="70">
        <f t="shared" si="11"/>
        <v>46184</v>
      </c>
      <c r="W19" s="70">
        <f t="shared" si="11"/>
        <v>46185</v>
      </c>
      <c r="X19" s="70">
        <f t="shared" si="11"/>
        <v>46186</v>
      </c>
      <c r="Y19" s="70">
        <f t="shared" si="11"/>
        <v>46187</v>
      </c>
    </row>
    <row r="21" spans="1:25">
      <c r="A21" s="68" t="s">
        <v>17</v>
      </c>
      <c r="C21">
        <f t="array" aca="1" ref="C21" ca="1">HLOOKUP(C$19, INDIRECT("'"&amp;INDEX(Lookup_Sheets, MATCH(1, --(COUNTIF(INDIRECT("'"&amp; Lookup_Sheets&amp;"'!$F$2:$L$15"), C$19)&gt;0), 0)) &amp;"'!$F$2:$L$15"),5, FALSE)</f>
        <v>3</v>
      </c>
      <c r="D21">
        <f t="array" aca="1" ref="D21" ca="1">HLOOKUP(D$19, INDIRECT("'"&amp;INDEX(Lookup_Sheets, MATCH(1, --(COUNTIF(INDIRECT("'"&amp; Lookup_Sheets&amp;"'!$F$2:$L$15"), D$19)&gt;0), 0)) &amp;"'!$F$2:$L$15"),5, FALSE)</f>
        <v>3</v>
      </c>
      <c r="E21">
        <f t="array" aca="1" ref="E21" ca="1">HLOOKUP(E$19, INDIRECT("'"&amp;INDEX(Lookup_Sheets, MATCH(1, --(COUNTIF(INDIRECT("'"&amp; Lookup_Sheets&amp;"'!$F$2:$L$15"), E$19)&gt;0), 0)) &amp;"'!$F$2:$L$15"),5, FALSE)</f>
        <v>3</v>
      </c>
      <c r="F21">
        <f t="array" aca="1" ref="F21" ca="1">HLOOKUP(F$19, INDIRECT("'"&amp;INDEX(Lookup_Sheets, MATCH(1, --(COUNTIF(INDIRECT("'"&amp; Lookup_Sheets&amp;"'!$F$2:$L$15"), F$19)&gt;0), 0)) &amp;"'!$F$2:$L$15"),5, FALSE)</f>
        <v>3</v>
      </c>
      <c r="G21">
        <f t="array" aca="1" ref="G21" ca="1">HLOOKUP(G$19, INDIRECT("'"&amp;INDEX(Lookup_Sheets, MATCH(1, --(COUNTIF(INDIRECT("'"&amp; Lookup_Sheets&amp;"'!$F$2:$L$15"), G$19)&gt;0), 0)) &amp;"'!$F$2:$L$15"),5, FALSE)</f>
        <v>3</v>
      </c>
      <c r="H21">
        <f t="array" aca="1" ref="H21" ca="1">HLOOKUP(H$19, INDIRECT("'"&amp;INDEX(Lookup_Sheets, MATCH(1, --(COUNTIF(INDIRECT("'"&amp; Lookup_Sheets&amp;"'!$F$2:$L$15"), H$19)&gt;0), 0)) &amp;"'!$F$2:$L$15"),5, FALSE)</f>
        <v>2</v>
      </c>
      <c r="I21">
        <f t="array" aca="1" ref="I21" ca="1">HLOOKUP(I$19, INDIRECT("'"&amp;INDEX(Lookup_Sheets, MATCH(1, --(COUNTIF(INDIRECT("'"&amp; Lookup_Sheets&amp;"'!$F$2:$L$15"), I$19)&gt;0), 0)) &amp;"'!$F$2:$L$15"),5, FALSE)</f>
        <v>2</v>
      </c>
      <c r="K21">
        <f t="array" aca="1" ref="K21" ca="1">HLOOKUP(K$19, INDIRECT("'"&amp;INDEX(Lookup_Sheets, MATCH(1, --(COUNTIF(INDIRECT("'"&amp; Lookup_Sheets&amp;"'!$F$2:$L$15"), K$19)&gt;0), 0)) &amp;"'!$F$2:$L$15"),5, FALSE)</f>
        <v>3</v>
      </c>
      <c r="L21">
        <f t="array" aca="1" ref="L21" ca="1">HLOOKUP(L$19, INDIRECT("'"&amp;INDEX(Lookup_Sheets, MATCH(1, --(COUNTIF(INDIRECT("'"&amp; Lookup_Sheets&amp;"'!$F$2:$L$15"), L$19)&gt;0), 0)) &amp;"'!$F$2:$L$15"),5, FALSE)</f>
        <v>3</v>
      </c>
      <c r="M21">
        <f t="array" aca="1" ref="M21" ca="1">HLOOKUP(M$19, INDIRECT("'"&amp;INDEX(Lookup_Sheets, MATCH(1, --(COUNTIF(INDIRECT("'"&amp; Lookup_Sheets&amp;"'!$F$2:$L$15"), M$19)&gt;0), 0)) &amp;"'!$F$2:$L$15"),5, FALSE)</f>
        <v>3</v>
      </c>
      <c r="N21">
        <f t="array" aca="1" ref="N21" ca="1">HLOOKUP(N$19, INDIRECT("'"&amp;INDEX(Lookup_Sheets, MATCH(1, --(COUNTIF(INDIRECT("'"&amp; Lookup_Sheets&amp;"'!$F$2:$L$15"), N$19)&gt;0), 0)) &amp;"'!$F$2:$L$15"),5, FALSE)</f>
        <v>3</v>
      </c>
      <c r="O21">
        <f t="array" aca="1" ref="O21" ca="1">HLOOKUP(O$19, INDIRECT("'"&amp;INDEX(Lookup_Sheets, MATCH(1, --(COUNTIF(INDIRECT("'"&amp; Lookup_Sheets&amp;"'!$F$2:$L$15"), O$19)&gt;0), 0)) &amp;"'!$F$2:$L$15"),5, FALSE)</f>
        <v>3</v>
      </c>
      <c r="P21">
        <f t="array" aca="1" ref="P21" ca="1">HLOOKUP(P$19, INDIRECT("'"&amp;INDEX(Lookup_Sheets, MATCH(1, --(COUNTIF(INDIRECT("'"&amp; Lookup_Sheets&amp;"'!$F$2:$L$15"), P$19)&gt;0), 0)) &amp;"'!$F$2:$L$15"),5, FALSE)</f>
        <v>2</v>
      </c>
      <c r="Q21">
        <f t="array" aca="1" ref="Q21" ca="1">HLOOKUP(Q$19, INDIRECT("'"&amp;INDEX(Lookup_Sheets, MATCH(1, --(COUNTIF(INDIRECT("'"&amp; Lookup_Sheets&amp;"'!$F$2:$L$15"), Q$19)&gt;0), 0)) &amp;"'!$F$2:$L$15"),5, FALSE)</f>
        <v>2</v>
      </c>
      <c r="S21">
        <f t="array" aca="1" ref="S21" ca="1">HLOOKUP(S$19, INDIRECT("'"&amp;INDEX(Lookup_Sheets, MATCH(1, --(COUNTIF(INDIRECT("'"&amp; Lookup_Sheets&amp;"'!$F$2:$L$15"), S$19)&gt;0), 0)) &amp;"'!$F$2:$L$15"),5, FALSE)</f>
        <v>3</v>
      </c>
      <c r="T21">
        <f t="array" aca="1" ref="T21" ca="1">HLOOKUP(T$19, INDIRECT("'"&amp;INDEX(Lookup_Sheets, MATCH(1, --(COUNTIF(INDIRECT("'"&amp; Lookup_Sheets&amp;"'!$F$2:$L$15"), T$19)&gt;0), 0)) &amp;"'!$F$2:$L$15"),5, FALSE)</f>
        <v>3</v>
      </c>
      <c r="U21">
        <f t="array" aca="1" ref="U21" ca="1">HLOOKUP(U$19, INDIRECT("'"&amp;INDEX(Lookup_Sheets, MATCH(1, --(COUNTIF(INDIRECT("'"&amp; Lookup_Sheets&amp;"'!$F$2:$L$15"), U$19)&gt;0), 0)) &amp;"'!$F$2:$L$15"),5, FALSE)</f>
        <v>3</v>
      </c>
      <c r="V21">
        <f t="array" aca="1" ref="V21" ca="1">HLOOKUP(V$19, INDIRECT("'"&amp;INDEX(Lookup_Sheets, MATCH(1, --(COUNTIF(INDIRECT("'"&amp; Lookup_Sheets&amp;"'!$F$2:$L$15"), V$19)&gt;0), 0)) &amp;"'!$F$2:$L$15"),5, FALSE)</f>
        <v>3</v>
      </c>
      <c r="W21">
        <f t="array" aca="1" ref="W21" ca="1">HLOOKUP(W$19, INDIRECT("'"&amp;INDEX(Lookup_Sheets, MATCH(1, --(COUNTIF(INDIRECT("'"&amp; Lookup_Sheets&amp;"'!$F$2:$L$15"), W$19)&gt;0), 0)) &amp;"'!$F$2:$L$15"),5, FALSE)</f>
        <v>3</v>
      </c>
      <c r="X21">
        <f t="array" aca="1" ref="X21" ca="1">HLOOKUP(X$19, INDIRECT("'"&amp;INDEX(Lookup_Sheets, MATCH(1, --(COUNTIF(INDIRECT("'"&amp; Lookup_Sheets&amp;"'!$F$2:$L$15"), X$19)&gt;0), 0)) &amp;"'!$F$2:$L$15"),5, FALSE)</f>
        <v>2</v>
      </c>
      <c r="Y21">
        <f t="array" aca="1" ref="Y21" ca="1">HLOOKUP(Y$19, INDIRECT("'"&amp;INDEX(Lookup_Sheets, MATCH(1, --(COUNTIF(INDIRECT("'"&amp; Lookup_Sheets&amp;"'!$F$2:$L$15"), Y$19)&gt;0), 0)) &amp;"'!$F$2:$L$15"),5, FALSE)</f>
        <v>2</v>
      </c>
    </row>
    <row r="22" spans="1:25" ht="15.75" thickBot="1">
      <c r="A22" s="68" t="s">
        <v>18</v>
      </c>
      <c r="C22">
        <f t="array" aca="1" ref="C22" ca="1">HLOOKUP(C$19, INDIRECT("'"&amp;INDEX(Lookup_Sheets, MATCH(1, --(COUNTIF(INDIRECT("'"&amp; Lookup_Sheets&amp;"'!$F$2:$L$15"), C$19)&gt;0), 0)) &amp;"'!$F$2:$L$15"),6, FALSE)</f>
        <v>5</v>
      </c>
      <c r="D22">
        <f t="array" aca="1" ref="D22" ca="1">HLOOKUP(D$19, INDIRECT("'"&amp;INDEX(Lookup_Sheets, MATCH(1, --(COUNTIF(INDIRECT("'"&amp; Lookup_Sheets&amp;"'!$F$2:$L$15"), D$19)&gt;0), 0)) &amp;"'!$F$2:$L$15"),6, FALSE)</f>
        <v>5</v>
      </c>
      <c r="E22">
        <f t="array" aca="1" ref="E22" ca="1">HLOOKUP(E$19, INDIRECT("'"&amp;INDEX(Lookup_Sheets, MATCH(1, --(COUNTIF(INDIRECT("'"&amp; Lookup_Sheets&amp;"'!$F$2:$L$15"), E$19)&gt;0), 0)) &amp;"'!$F$2:$L$15"),6, FALSE)</f>
        <v>4</v>
      </c>
      <c r="F22">
        <f t="array" aca="1" ref="F22" ca="1">HLOOKUP(F$19, INDIRECT("'"&amp;INDEX(Lookup_Sheets, MATCH(1, --(COUNTIF(INDIRECT("'"&amp; Lookup_Sheets&amp;"'!$F$2:$L$15"), F$19)&gt;0), 0)) &amp;"'!$F$2:$L$15"),6, FALSE)</f>
        <v>5</v>
      </c>
      <c r="G22">
        <f t="array" aca="1" ref="G22" ca="1">HLOOKUP(G$19, INDIRECT("'"&amp;INDEX(Lookup_Sheets, MATCH(1, --(COUNTIF(INDIRECT("'"&amp; Lookup_Sheets&amp;"'!$F$2:$L$15"), G$19)&gt;0), 0)) &amp;"'!$F$2:$L$15"),6, FALSE)</f>
        <v>4</v>
      </c>
      <c r="H22">
        <f t="array" aca="1" ref="H22" ca="1">HLOOKUP(H$19, INDIRECT("'"&amp;INDEX(Lookup_Sheets, MATCH(1, --(COUNTIF(INDIRECT("'"&amp; Lookup_Sheets&amp;"'!$F$2:$L$15"), H$19)&gt;0), 0)) &amp;"'!$F$2:$L$15"),6, FALSE)</f>
        <v>6</v>
      </c>
      <c r="I22">
        <f t="array" aca="1" ref="I22" ca="1">HLOOKUP(I$19, INDIRECT("'"&amp;INDEX(Lookup_Sheets, MATCH(1, --(COUNTIF(INDIRECT("'"&amp; Lookup_Sheets&amp;"'!$F$2:$L$15"), I$19)&gt;0), 0)) &amp;"'!$F$2:$L$15"),6, FALSE)</f>
        <v>6</v>
      </c>
      <c r="K22">
        <f t="array" aca="1" ref="K22" ca="1">HLOOKUP(K$19, INDIRECT("'"&amp;INDEX(Lookup_Sheets, MATCH(1, --(COUNTIF(INDIRECT("'"&amp; Lookup_Sheets&amp;"'!$F$2:$L$15"), K$19)&gt;0), 0)) &amp;"'!$F$2:$L$15"),6, FALSE)</f>
        <v>4</v>
      </c>
      <c r="L22">
        <f t="array" aca="1" ref="L22" ca="1">HLOOKUP(L$19, INDIRECT("'"&amp;INDEX(Lookup_Sheets, MATCH(1, --(COUNTIF(INDIRECT("'"&amp; Lookup_Sheets&amp;"'!$F$2:$L$15"), L$19)&gt;0), 0)) &amp;"'!$F$2:$L$15"),6, FALSE)</f>
        <v>5</v>
      </c>
      <c r="M22">
        <f t="array" aca="1" ref="M22" ca="1">HLOOKUP(M$19, INDIRECT("'"&amp;INDEX(Lookup_Sheets, MATCH(1, --(COUNTIF(INDIRECT("'"&amp; Lookup_Sheets&amp;"'!$F$2:$L$15"), M$19)&gt;0), 0)) &amp;"'!$F$2:$L$15"),6, FALSE)</f>
        <v>3</v>
      </c>
      <c r="N22">
        <f t="array" aca="1" ref="N22" ca="1">HLOOKUP(N$19, INDIRECT("'"&amp;INDEX(Lookup_Sheets, MATCH(1, --(COUNTIF(INDIRECT("'"&amp; Lookup_Sheets&amp;"'!$F$2:$L$15"), N$19)&gt;0), 0)) &amp;"'!$F$2:$L$15"),6, FALSE)</f>
        <v>4</v>
      </c>
      <c r="O22">
        <f t="array" aca="1" ref="O22" ca="1">HLOOKUP(O$19, INDIRECT("'"&amp;INDEX(Lookup_Sheets, MATCH(1, --(COUNTIF(INDIRECT("'"&amp; Lookup_Sheets&amp;"'!$F$2:$L$15"), O$19)&gt;0), 0)) &amp;"'!$F$2:$L$15"),6, FALSE)</f>
        <v>4</v>
      </c>
      <c r="P22">
        <f t="array" aca="1" ref="P22" ca="1">HLOOKUP(P$19, INDIRECT("'"&amp;INDEX(Lookup_Sheets, MATCH(1, --(COUNTIF(INDIRECT("'"&amp; Lookup_Sheets&amp;"'!$F$2:$L$15"), P$19)&gt;0), 0)) &amp;"'!$F$2:$L$15"),6, FALSE)</f>
        <v>4</v>
      </c>
      <c r="Q22">
        <f t="array" aca="1" ref="Q22" ca="1">HLOOKUP(Q$19, INDIRECT("'"&amp;INDEX(Lookup_Sheets, MATCH(1, --(COUNTIF(INDIRECT("'"&amp; Lookup_Sheets&amp;"'!$F$2:$L$15"), Q$19)&gt;0), 0)) &amp;"'!$F$2:$L$15"),6, FALSE)</f>
        <v>4</v>
      </c>
      <c r="S22">
        <f t="array" aca="1" ref="S22" ca="1">HLOOKUP(S$19, INDIRECT("'"&amp;INDEX(Lookup_Sheets, MATCH(1, --(COUNTIF(INDIRECT("'"&amp; Lookup_Sheets&amp;"'!$F$2:$L$15"), S$19)&gt;0), 0)) &amp;"'!$F$2:$L$15"),6, FALSE)</f>
        <v>4</v>
      </c>
      <c r="T22">
        <f t="array" aca="1" ref="T22" ca="1">HLOOKUP(T$19, INDIRECT("'"&amp;INDEX(Lookup_Sheets, MATCH(1, --(COUNTIF(INDIRECT("'"&amp; Lookup_Sheets&amp;"'!$F$2:$L$15"), T$19)&gt;0), 0)) &amp;"'!$F$2:$L$15"),6, FALSE)</f>
        <v>5</v>
      </c>
      <c r="U22">
        <f t="array" aca="1" ref="U22" ca="1">HLOOKUP(U$19, INDIRECT("'"&amp;INDEX(Lookup_Sheets, MATCH(1, --(COUNTIF(INDIRECT("'"&amp; Lookup_Sheets&amp;"'!$F$2:$L$15"), U$19)&gt;0), 0)) &amp;"'!$F$2:$L$15"),6, FALSE)</f>
        <v>3</v>
      </c>
      <c r="V22">
        <f t="array" aca="1" ref="V22" ca="1">HLOOKUP(V$19, INDIRECT("'"&amp;INDEX(Lookup_Sheets, MATCH(1, --(COUNTIF(INDIRECT("'"&amp; Lookup_Sheets&amp;"'!$F$2:$L$15"), V$19)&gt;0), 0)) &amp;"'!$F$2:$L$15"),6, FALSE)</f>
        <v>4</v>
      </c>
      <c r="W22">
        <f t="array" aca="1" ref="W22" ca="1">HLOOKUP(W$19, INDIRECT("'"&amp;INDEX(Lookup_Sheets, MATCH(1, --(COUNTIF(INDIRECT("'"&amp; Lookup_Sheets&amp;"'!$F$2:$L$15"), W$19)&gt;0), 0)) &amp;"'!$F$2:$L$15"),6, FALSE)</f>
        <v>5</v>
      </c>
      <c r="X22">
        <f t="array" aca="1" ref="X22" ca="1">HLOOKUP(X$19, INDIRECT("'"&amp;INDEX(Lookup_Sheets, MATCH(1, --(COUNTIF(INDIRECT("'"&amp; Lookup_Sheets&amp;"'!$F$2:$L$15"), X$19)&gt;0), 0)) &amp;"'!$F$2:$L$15"),6, FALSE)</f>
        <v>5</v>
      </c>
      <c r="Y22">
        <f t="array" aca="1" ref="Y22" ca="1">HLOOKUP(Y$19, INDIRECT("'"&amp;INDEX(Lookup_Sheets, MATCH(1, --(COUNTIF(INDIRECT("'"&amp; Lookup_Sheets&amp;"'!$F$2:$L$15"), Y$19)&gt;0), 0)) &amp;"'!$F$2:$L$15"),6, FALSE)</f>
        <v>5</v>
      </c>
    </row>
    <row r="23" spans="1:25" ht="15.75" thickBot="1">
      <c r="A23" s="69" t="s">
        <v>19</v>
      </c>
      <c r="C23" s="71">
        <f ca="1">C21+C22</f>
        <v>8</v>
      </c>
      <c r="D23" s="72">
        <f t="shared" ref="D23:I23" ca="1" si="12">D21+D22</f>
        <v>8</v>
      </c>
      <c r="E23" s="72">
        <f t="shared" ca="1" si="12"/>
        <v>7</v>
      </c>
      <c r="F23" s="72">
        <f t="shared" ca="1" si="12"/>
        <v>8</v>
      </c>
      <c r="G23" s="72">
        <f t="shared" ca="1" si="12"/>
        <v>7</v>
      </c>
      <c r="H23" s="72">
        <f t="shared" ca="1" si="12"/>
        <v>8</v>
      </c>
      <c r="I23" s="73">
        <f t="shared" ca="1" si="12"/>
        <v>8</v>
      </c>
      <c r="K23" s="71">
        <f ca="1">K21+K22</f>
        <v>7</v>
      </c>
      <c r="L23" s="72">
        <f t="shared" ref="L23:Q23" ca="1" si="13">L21+L22</f>
        <v>8</v>
      </c>
      <c r="M23" s="72">
        <f t="shared" ca="1" si="13"/>
        <v>6</v>
      </c>
      <c r="N23" s="72">
        <f t="shared" ca="1" si="13"/>
        <v>7</v>
      </c>
      <c r="O23" s="72">
        <f t="shared" ca="1" si="13"/>
        <v>7</v>
      </c>
      <c r="P23" s="72">
        <f t="shared" ca="1" si="13"/>
        <v>6</v>
      </c>
      <c r="Q23" s="73">
        <f t="shared" ca="1" si="13"/>
        <v>6</v>
      </c>
      <c r="S23" s="71">
        <f ca="1">S21+S22</f>
        <v>7</v>
      </c>
      <c r="T23" s="72">
        <f t="shared" ref="T23:Y23" ca="1" si="14">T21+T22</f>
        <v>8</v>
      </c>
      <c r="U23" s="72">
        <f t="shared" ca="1" si="14"/>
        <v>6</v>
      </c>
      <c r="V23" s="72">
        <f t="shared" ca="1" si="14"/>
        <v>7</v>
      </c>
      <c r="W23" s="72">
        <f t="shared" ca="1" si="14"/>
        <v>8</v>
      </c>
      <c r="X23" s="72">
        <f t="shared" ca="1" si="14"/>
        <v>7</v>
      </c>
      <c r="Y23" s="73">
        <f t="shared" ca="1" si="14"/>
        <v>7</v>
      </c>
    </row>
    <row r="24" spans="1:25" ht="15.75">
      <c r="A24" s="2"/>
    </row>
    <row r="25" spans="1:25">
      <c r="A25" s="177" t="s">
        <v>193</v>
      </c>
      <c r="C25">
        <f t="array" aca="1" ref="C25" ca="1">HLOOKUP(C$19, INDIRECT("'"&amp;INDEX(Lookup_Sheets, MATCH(1, --(COUNTIF(INDIRECT("'"&amp; Lookup_Sheets&amp;"'!$F$2:$L$15"), C$19)&gt;0), 0)) &amp;"'!$F$2:$L$15"),9, FALSE)</f>
        <v>0</v>
      </c>
      <c r="D25">
        <f t="array" aca="1" ref="D25" ca="1">HLOOKUP(D$19, INDIRECT("'"&amp;INDEX(Lookup_Sheets, MATCH(1, --(COUNTIF(INDIRECT("'"&amp; Lookup_Sheets&amp;"'!$F$2:$L$15"), D$19)&gt;0), 0)) &amp;"'!$F$2:$L$15"),9, FALSE)</f>
        <v>0</v>
      </c>
      <c r="E25">
        <f t="array" aca="1" ref="E25" ca="1">HLOOKUP(E$19, INDIRECT("'"&amp;INDEX(Lookup_Sheets, MATCH(1, --(COUNTIF(INDIRECT("'"&amp; Lookup_Sheets&amp;"'!$F$2:$L$15"), E$19)&gt;0), 0)) &amp;"'!$F$2:$L$15"),9, FALSE)</f>
        <v>0</v>
      </c>
      <c r="F25">
        <f t="array" aca="1" ref="F25" ca="1">HLOOKUP(F$19, INDIRECT("'"&amp;INDEX(Lookup_Sheets, MATCH(1, --(COUNTIF(INDIRECT("'"&amp; Lookup_Sheets&amp;"'!$F$2:$L$15"), F$19)&gt;0), 0)) &amp;"'!$F$2:$L$15"),9, FALSE)</f>
        <v>0</v>
      </c>
      <c r="G25">
        <f t="array" aca="1" ref="G25" ca="1">HLOOKUP(G$19, INDIRECT("'"&amp;INDEX(Lookup_Sheets, MATCH(1, --(COUNTIF(INDIRECT("'"&amp; Lookup_Sheets&amp;"'!$F$2:$L$15"), G$19)&gt;0), 0)) &amp;"'!$F$2:$L$15"),9, FALSE)</f>
        <v>0</v>
      </c>
      <c r="H25">
        <f t="array" aca="1" ref="H25" ca="1">HLOOKUP(H$19, INDIRECT("'"&amp;INDEX(Lookup_Sheets, MATCH(1, --(COUNTIF(INDIRECT("'"&amp; Lookup_Sheets&amp;"'!$F$2:$L$15"), H$19)&gt;0), 0)) &amp;"'!$F$2:$L$15"),9, FALSE)</f>
        <v>0</v>
      </c>
      <c r="I25">
        <f t="array" aca="1" ref="I25" ca="1">HLOOKUP(I$19, INDIRECT("'"&amp;INDEX(Lookup_Sheets, MATCH(1, --(COUNTIF(INDIRECT("'"&amp; Lookup_Sheets&amp;"'!$F$2:$L$15"), I$19)&gt;0), 0)) &amp;"'!$F$2:$L$15"),9, FALSE)</f>
        <v>0</v>
      </c>
      <c r="K25">
        <f t="array" aca="1" ref="K25" ca="1">HLOOKUP(K$19, INDIRECT("'"&amp;INDEX(Lookup_Sheets, MATCH(1, --(COUNTIF(INDIRECT("'"&amp; Lookup_Sheets&amp;"'!$F$2:$L$15"), K$19)&gt;0), 0)) &amp;"'!$F$2:$L$15"),9, FALSE)</f>
        <v>0</v>
      </c>
      <c r="L25">
        <f t="array" aca="1" ref="L25" ca="1">HLOOKUP(L$19, INDIRECT("'"&amp;INDEX(Lookup_Sheets, MATCH(1, --(COUNTIF(INDIRECT("'"&amp; Lookup_Sheets&amp;"'!$F$2:$L$15"), L$19)&gt;0), 0)) &amp;"'!$F$2:$L$15"),9, FALSE)</f>
        <v>0</v>
      </c>
      <c r="M25">
        <f t="array" aca="1" ref="M25" ca="1">HLOOKUP(M$19, INDIRECT("'"&amp;INDEX(Lookup_Sheets, MATCH(1, --(COUNTIF(INDIRECT("'"&amp; Lookup_Sheets&amp;"'!$F$2:$L$15"), M$19)&gt;0), 0)) &amp;"'!$F$2:$L$15"),9, FALSE)</f>
        <v>0</v>
      </c>
      <c r="N25">
        <f t="array" aca="1" ref="N25" ca="1">HLOOKUP(N$19, INDIRECT("'"&amp;INDEX(Lookup_Sheets, MATCH(1, --(COUNTIF(INDIRECT("'"&amp; Lookup_Sheets&amp;"'!$F$2:$L$15"), N$19)&gt;0), 0)) &amp;"'!$F$2:$L$15"),9, FALSE)</f>
        <v>0</v>
      </c>
      <c r="O25">
        <f t="array" aca="1" ref="O25" ca="1">HLOOKUP(O$19, INDIRECT("'"&amp;INDEX(Lookup_Sheets, MATCH(1, --(COUNTIF(INDIRECT("'"&amp; Lookup_Sheets&amp;"'!$F$2:$L$15"), O$19)&gt;0), 0)) &amp;"'!$F$2:$L$15"),9, FALSE)</f>
        <v>0</v>
      </c>
      <c r="P25">
        <f t="array" aca="1" ref="P25" ca="1">HLOOKUP(P$19, INDIRECT("'"&amp;INDEX(Lookup_Sheets, MATCH(1, --(COUNTIF(INDIRECT("'"&amp; Lookup_Sheets&amp;"'!$F$2:$L$15"), P$19)&gt;0), 0)) &amp;"'!$F$2:$L$15"),9, FALSE)</f>
        <v>0</v>
      </c>
      <c r="Q25">
        <f t="array" aca="1" ref="Q25" ca="1">HLOOKUP(Q$19, INDIRECT("'"&amp;INDEX(Lookup_Sheets, MATCH(1, --(COUNTIF(INDIRECT("'"&amp; Lookup_Sheets&amp;"'!$F$2:$L$15"), Q$19)&gt;0), 0)) &amp;"'!$F$2:$L$15"),9, FALSE)</f>
        <v>0</v>
      </c>
      <c r="S25">
        <f t="array" aca="1" ref="S25" ca="1">HLOOKUP(S$19, INDIRECT("'"&amp;INDEX(Lookup_Sheets, MATCH(1, --(COUNTIF(INDIRECT("'"&amp; Lookup_Sheets&amp;"'!$F$2:$L$15"), S$19)&gt;0), 0)) &amp;"'!$F$2:$L$15"),9, FALSE)</f>
        <v>0</v>
      </c>
      <c r="T25">
        <f t="array" aca="1" ref="T25" ca="1">HLOOKUP(T$19, INDIRECT("'"&amp;INDEX(Lookup_Sheets, MATCH(1, --(COUNTIF(INDIRECT("'"&amp; Lookup_Sheets&amp;"'!$F$2:$L$15"), T$19)&gt;0), 0)) &amp;"'!$F$2:$L$15"),9, FALSE)</f>
        <v>0</v>
      </c>
      <c r="U25">
        <f t="array" aca="1" ref="U25" ca="1">HLOOKUP(U$19, INDIRECT("'"&amp;INDEX(Lookup_Sheets, MATCH(1, --(COUNTIF(INDIRECT("'"&amp; Lookup_Sheets&amp;"'!$F$2:$L$15"), U$19)&gt;0), 0)) &amp;"'!$F$2:$L$15"),9, FALSE)</f>
        <v>0</v>
      </c>
      <c r="V25">
        <f t="array" aca="1" ref="V25" ca="1">HLOOKUP(V$19, INDIRECT("'"&amp;INDEX(Lookup_Sheets, MATCH(1, --(COUNTIF(INDIRECT("'"&amp; Lookup_Sheets&amp;"'!$F$2:$L$15"), V$19)&gt;0), 0)) &amp;"'!$F$2:$L$15"),9, FALSE)</f>
        <v>0</v>
      </c>
      <c r="W25">
        <f t="array" aca="1" ref="W25" ca="1">HLOOKUP(W$19, INDIRECT("'"&amp;INDEX(Lookup_Sheets, MATCH(1, --(COUNTIF(INDIRECT("'"&amp; Lookup_Sheets&amp;"'!$F$2:$L$15"), W$19)&gt;0), 0)) &amp;"'!$F$2:$L$15"),9, FALSE)</f>
        <v>0</v>
      </c>
      <c r="X25">
        <f t="array" aca="1" ref="X25" ca="1">HLOOKUP(X$19, INDIRECT("'"&amp;INDEX(Lookup_Sheets, MATCH(1, --(COUNTIF(INDIRECT("'"&amp; Lookup_Sheets&amp;"'!$F$2:$L$15"), X$19)&gt;0), 0)) &amp;"'!$F$2:$L$15"),9, FALSE)</f>
        <v>0</v>
      </c>
      <c r="Y25">
        <f t="array" aca="1" ref="Y25" ca="1">HLOOKUP(Y$19, INDIRECT("'"&amp;INDEX(Lookup_Sheets, MATCH(1, --(COUNTIF(INDIRECT("'"&amp; Lookup_Sheets&amp;"'!$F$2:$L$15"), Y$19)&gt;0), 0)) &amp;"'!$F$2:$L$15"),9, FALSE)</f>
        <v>0</v>
      </c>
    </row>
    <row r="26" spans="1:25">
      <c r="A26" s="68" t="s">
        <v>195</v>
      </c>
      <c r="C26">
        <f t="array" aca="1" ref="C26" ca="1">HLOOKUP(C$19, INDIRECT("'"&amp;INDEX(Lookup_Sheets, MATCH(1, --(COUNTIF(INDIRECT("'"&amp; Lookup_Sheets&amp;"'!$F$2:$L$15"), C$19)&gt;0), 0)) &amp;"'!$F$2:$L$15"),10, FALSE)</f>
        <v>0</v>
      </c>
      <c r="D26">
        <f t="array" aca="1" ref="D26" ca="1">HLOOKUP(D$19, INDIRECT("'"&amp;INDEX(Lookup_Sheets, MATCH(1, --(COUNTIF(INDIRECT("'"&amp; Lookup_Sheets&amp;"'!$F$2:$L$15"), D$19)&gt;0), 0)) &amp;"'!$F$2:$L$15"),10, FALSE)</f>
        <v>0</v>
      </c>
      <c r="E26">
        <f t="array" aca="1" ref="E26" ca="1">HLOOKUP(E$19, INDIRECT("'"&amp;INDEX(Lookup_Sheets, MATCH(1, --(COUNTIF(INDIRECT("'"&amp; Lookup_Sheets&amp;"'!$F$2:$L$15"), E$19)&gt;0), 0)) &amp;"'!$F$2:$L$15"),10, FALSE)</f>
        <v>0</v>
      </c>
      <c r="F26">
        <f t="array" aca="1" ref="F26" ca="1">HLOOKUP(F$19, INDIRECT("'"&amp;INDEX(Lookup_Sheets, MATCH(1, --(COUNTIF(INDIRECT("'"&amp; Lookup_Sheets&amp;"'!$F$2:$L$15"), F$19)&gt;0), 0)) &amp;"'!$F$2:$L$15"),10, FALSE)</f>
        <v>0</v>
      </c>
      <c r="G26">
        <f t="array" aca="1" ref="G26" ca="1">HLOOKUP(G$19, INDIRECT("'"&amp;INDEX(Lookup_Sheets, MATCH(1, --(COUNTIF(INDIRECT("'"&amp; Lookup_Sheets&amp;"'!$F$2:$L$15"), G$19)&gt;0), 0)) &amp;"'!$F$2:$L$15"),10, FALSE)</f>
        <v>0</v>
      </c>
      <c r="H26">
        <f t="array" aca="1" ref="H26" ca="1">HLOOKUP(H$19, INDIRECT("'"&amp;INDEX(Lookup_Sheets, MATCH(1, --(COUNTIF(INDIRECT("'"&amp; Lookup_Sheets&amp;"'!$F$2:$L$15"), H$19)&gt;0), 0)) &amp;"'!$F$2:$L$15"),10, FALSE)</f>
        <v>0</v>
      </c>
      <c r="I26">
        <f t="array" aca="1" ref="I26" ca="1">HLOOKUP(I$19, INDIRECT("'"&amp;INDEX(Lookup_Sheets, MATCH(1, --(COUNTIF(INDIRECT("'"&amp; Lookup_Sheets&amp;"'!$F$2:$L$15"), I$19)&gt;0), 0)) &amp;"'!$F$2:$L$15"),10, FALSE)</f>
        <v>0</v>
      </c>
      <c r="K26">
        <f t="array" aca="1" ref="K26" ca="1">HLOOKUP(K$19, INDIRECT("'"&amp;INDEX(Lookup_Sheets, MATCH(1, --(COUNTIF(INDIRECT("'"&amp; Lookup_Sheets&amp;"'!$F$2:$L$15"), K$19)&gt;0), 0)) &amp;"'!$F$2:$L$15"),10, FALSE)</f>
        <v>0</v>
      </c>
      <c r="L26">
        <f t="array" aca="1" ref="L26" ca="1">HLOOKUP(L$19, INDIRECT("'"&amp;INDEX(Lookup_Sheets, MATCH(1, --(COUNTIF(INDIRECT("'"&amp; Lookup_Sheets&amp;"'!$F$2:$L$15"), L$19)&gt;0), 0)) &amp;"'!$F$2:$L$15"),10, FALSE)</f>
        <v>0</v>
      </c>
      <c r="M26">
        <f t="array" aca="1" ref="M26" ca="1">HLOOKUP(M$19, INDIRECT("'"&amp;INDEX(Lookup_Sheets, MATCH(1, --(COUNTIF(INDIRECT("'"&amp; Lookup_Sheets&amp;"'!$F$2:$L$15"), M$19)&gt;0), 0)) &amp;"'!$F$2:$L$15"),10, FALSE)</f>
        <v>1</v>
      </c>
      <c r="N26">
        <f t="array" aca="1" ref="N26" ca="1">HLOOKUP(N$19, INDIRECT("'"&amp;INDEX(Lookup_Sheets, MATCH(1, --(COUNTIF(INDIRECT("'"&amp; Lookup_Sheets&amp;"'!$F$2:$L$15"), N$19)&gt;0), 0)) &amp;"'!$F$2:$L$15"),10, FALSE)</f>
        <v>1</v>
      </c>
      <c r="O26">
        <f t="array" aca="1" ref="O26" ca="1">HLOOKUP(O$19, INDIRECT("'"&amp;INDEX(Lookup_Sheets, MATCH(1, --(COUNTIF(INDIRECT("'"&amp; Lookup_Sheets&amp;"'!$F$2:$L$15"), O$19)&gt;0), 0)) &amp;"'!$F$2:$L$15"),10, FALSE)</f>
        <v>0</v>
      </c>
      <c r="P26">
        <f t="array" aca="1" ref="P26" ca="1">HLOOKUP(P$19, INDIRECT("'"&amp;INDEX(Lookup_Sheets, MATCH(1, --(COUNTIF(INDIRECT("'"&amp; Lookup_Sheets&amp;"'!$F$2:$L$15"), P$19)&gt;0), 0)) &amp;"'!$F$2:$L$15"),10, FALSE)</f>
        <v>0</v>
      </c>
      <c r="Q26">
        <f t="array" aca="1" ref="Q26" ca="1">HLOOKUP(Q$19, INDIRECT("'"&amp;INDEX(Lookup_Sheets, MATCH(1, --(COUNTIF(INDIRECT("'"&amp; Lookup_Sheets&amp;"'!$F$2:$L$15"), Q$19)&gt;0), 0)) &amp;"'!$F$2:$L$15"),10, FALSE)</f>
        <v>0</v>
      </c>
      <c r="S26">
        <f t="array" aca="1" ref="S26" ca="1">HLOOKUP(S$19, INDIRECT("'"&amp;INDEX(Lookup_Sheets, MATCH(1, --(COUNTIF(INDIRECT("'"&amp; Lookup_Sheets&amp;"'!$F$2:$L$15"), S$19)&gt;0), 0)) &amp;"'!$F$2:$L$15"),10, FALSE)</f>
        <v>0</v>
      </c>
      <c r="T26">
        <f t="array" aca="1" ref="T26" ca="1">HLOOKUP(T$19, INDIRECT("'"&amp;INDEX(Lookup_Sheets, MATCH(1, --(COUNTIF(INDIRECT("'"&amp; Lookup_Sheets&amp;"'!$F$2:$L$15"), T$19)&gt;0), 0)) &amp;"'!$F$2:$L$15"),10, FALSE)</f>
        <v>0</v>
      </c>
      <c r="U26">
        <f t="array" aca="1" ref="U26" ca="1">HLOOKUP(U$19, INDIRECT("'"&amp;INDEX(Lookup_Sheets, MATCH(1, --(COUNTIF(INDIRECT("'"&amp; Lookup_Sheets&amp;"'!$F$2:$L$15"), U$19)&gt;0), 0)) &amp;"'!$F$2:$L$15"),10, FALSE)</f>
        <v>1</v>
      </c>
      <c r="V26">
        <f t="array" aca="1" ref="V26" ca="1">HLOOKUP(V$19, INDIRECT("'"&amp;INDEX(Lookup_Sheets, MATCH(1, --(COUNTIF(INDIRECT("'"&amp; Lookup_Sheets&amp;"'!$F$2:$L$15"), V$19)&gt;0), 0)) &amp;"'!$F$2:$L$15"),10, FALSE)</f>
        <v>2</v>
      </c>
      <c r="W26">
        <f t="array" aca="1" ref="W26" ca="1">HLOOKUP(W$19, INDIRECT("'"&amp;INDEX(Lookup_Sheets, MATCH(1, --(COUNTIF(INDIRECT("'"&amp; Lookup_Sheets&amp;"'!$F$2:$L$15"), W$19)&gt;0), 0)) &amp;"'!$F$2:$L$15"),10, FALSE)</f>
        <v>0</v>
      </c>
      <c r="X26">
        <f t="array" aca="1" ref="X26" ca="1">HLOOKUP(X$19, INDIRECT("'"&amp;INDEX(Lookup_Sheets, MATCH(1, --(COUNTIF(INDIRECT("'"&amp; Lookup_Sheets&amp;"'!$F$2:$L$15"), X$19)&gt;0), 0)) &amp;"'!$F$2:$L$15"),10, FALSE)</f>
        <v>0</v>
      </c>
      <c r="Y26">
        <f t="array" aca="1" ref="Y26" ca="1">HLOOKUP(Y$19, INDIRECT("'"&amp;INDEX(Lookup_Sheets, MATCH(1, --(COUNTIF(INDIRECT("'"&amp; Lookup_Sheets&amp;"'!$F$2:$L$15"), Y$19)&gt;0), 0)) &amp;"'!$F$2:$L$15"),10, FALSE)</f>
        <v>0</v>
      </c>
    </row>
    <row r="27" spans="1:25">
      <c r="A27" s="68" t="s">
        <v>22</v>
      </c>
      <c r="C27">
        <f t="array" aca="1" ref="C27" ca="1">HLOOKUP(C$19, INDIRECT("'"&amp;INDEX(Lookup_Sheets, MATCH(1, --(COUNTIF(INDIRECT("'"&amp; Lookup_Sheets&amp;"'!$F$2:$L$15"), C$19)&gt;0), 0)) &amp;"'!$F$2:$L$15"),11, FALSE)</f>
        <v>3</v>
      </c>
      <c r="D27">
        <f t="array" aca="1" ref="D27" ca="1">HLOOKUP(D$19, INDIRECT("'"&amp;INDEX(Lookup_Sheets, MATCH(1, --(COUNTIF(INDIRECT("'"&amp; Lookup_Sheets&amp;"'!$F$2:$L$15"), D$19)&gt;0), 0)) &amp;"'!$F$2:$L$15"),11, FALSE)</f>
        <v>2</v>
      </c>
      <c r="E27">
        <f t="array" aca="1" ref="E27" ca="1">HLOOKUP(E$19, INDIRECT("'"&amp;INDEX(Lookup_Sheets, MATCH(1, --(COUNTIF(INDIRECT("'"&amp; Lookup_Sheets&amp;"'!$F$2:$L$15"), E$19)&gt;0), 0)) &amp;"'!$F$2:$L$15"),11, FALSE)</f>
        <v>3</v>
      </c>
      <c r="F27">
        <f t="array" aca="1" ref="F27" ca="1">HLOOKUP(F$19, INDIRECT("'"&amp;INDEX(Lookup_Sheets, MATCH(1, --(COUNTIF(INDIRECT("'"&amp; Lookup_Sheets&amp;"'!$F$2:$L$15"), F$19)&gt;0), 0)) &amp;"'!$F$2:$L$15"),11, FALSE)</f>
        <v>3</v>
      </c>
      <c r="G27">
        <f t="array" aca="1" ref="G27" ca="1">HLOOKUP(G$19, INDIRECT("'"&amp;INDEX(Lookup_Sheets, MATCH(1, --(COUNTIF(INDIRECT("'"&amp; Lookup_Sheets&amp;"'!$F$2:$L$15"), G$19)&gt;0), 0)) &amp;"'!$F$2:$L$15"),11, FALSE)</f>
        <v>2</v>
      </c>
      <c r="H27">
        <f t="array" aca="1" ref="H27" ca="1">HLOOKUP(H$19, INDIRECT("'"&amp;INDEX(Lookup_Sheets, MATCH(1, --(COUNTIF(INDIRECT("'"&amp; Lookup_Sheets&amp;"'!$F$2:$L$15"), H$19)&gt;0), 0)) &amp;"'!$F$2:$L$15"),11, FALSE)</f>
        <v>2</v>
      </c>
      <c r="I27">
        <f t="array" aca="1" ref="I27" ca="1">HLOOKUP(I$19, INDIRECT("'"&amp;INDEX(Lookup_Sheets, MATCH(1, --(COUNTIF(INDIRECT("'"&amp; Lookup_Sheets&amp;"'!$F$2:$L$15"), I$19)&gt;0), 0)) &amp;"'!$F$2:$L$15"),11, FALSE)</f>
        <v>2</v>
      </c>
      <c r="K27">
        <f t="array" aca="1" ref="K27" ca="1">HLOOKUP(K$19, INDIRECT("'"&amp;INDEX(Lookup_Sheets, MATCH(1, --(COUNTIF(INDIRECT("'"&amp; Lookup_Sheets&amp;"'!$F$2:$L$15"), K$19)&gt;0), 0)) &amp;"'!$F$2:$L$15"),11, FALSE)</f>
        <v>3</v>
      </c>
      <c r="L27">
        <f t="array" aca="1" ref="L27" ca="1">HLOOKUP(L$19, INDIRECT("'"&amp;INDEX(Lookup_Sheets, MATCH(1, --(COUNTIF(INDIRECT("'"&amp; Lookup_Sheets&amp;"'!$F$2:$L$15"), L$19)&gt;0), 0)) &amp;"'!$F$2:$L$15"),11, FALSE)</f>
        <v>2</v>
      </c>
      <c r="M27">
        <f t="array" aca="1" ref="M27" ca="1">HLOOKUP(M$19, INDIRECT("'"&amp;INDEX(Lookup_Sheets, MATCH(1, --(COUNTIF(INDIRECT("'"&amp; Lookup_Sheets&amp;"'!$F$2:$L$15"), M$19)&gt;0), 0)) &amp;"'!$F$2:$L$15"),11, FALSE)</f>
        <v>2</v>
      </c>
      <c r="N27">
        <f t="array" aca="1" ref="N27" ca="1">HLOOKUP(N$19, INDIRECT("'"&amp;INDEX(Lookup_Sheets, MATCH(1, --(COUNTIF(INDIRECT("'"&amp; Lookup_Sheets&amp;"'!$F$2:$L$15"), N$19)&gt;0), 0)) &amp;"'!$F$2:$L$15"),11, FALSE)</f>
        <v>2</v>
      </c>
      <c r="O27">
        <f t="array" aca="1" ref="O27" ca="1">HLOOKUP(O$19, INDIRECT("'"&amp;INDEX(Lookup_Sheets, MATCH(1, --(COUNTIF(INDIRECT("'"&amp; Lookup_Sheets&amp;"'!$F$2:$L$15"), O$19)&gt;0), 0)) &amp;"'!$F$2:$L$15"),11, FALSE)</f>
        <v>3</v>
      </c>
      <c r="P27">
        <f t="array" aca="1" ref="P27" ca="1">HLOOKUP(P$19, INDIRECT("'"&amp;INDEX(Lookup_Sheets, MATCH(1, --(COUNTIF(INDIRECT("'"&amp; Lookup_Sheets&amp;"'!$F$2:$L$15"), P$19)&gt;0), 0)) &amp;"'!$F$2:$L$15"),11, FALSE)</f>
        <v>2</v>
      </c>
      <c r="Q27">
        <f t="array" aca="1" ref="Q27" ca="1">HLOOKUP(Q$19, INDIRECT("'"&amp;INDEX(Lookup_Sheets, MATCH(1, --(COUNTIF(INDIRECT("'"&amp; Lookup_Sheets&amp;"'!$F$2:$L$15"), Q$19)&gt;0), 0)) &amp;"'!$F$2:$L$15"),11, FALSE)</f>
        <v>2</v>
      </c>
      <c r="S27">
        <f t="array" aca="1" ref="S27" ca="1">HLOOKUP(S$19, INDIRECT("'"&amp;INDEX(Lookup_Sheets, MATCH(1, --(COUNTIF(INDIRECT("'"&amp; Lookup_Sheets&amp;"'!$F$2:$L$15"), S$19)&gt;0), 0)) &amp;"'!$F$2:$L$15"),11, FALSE)</f>
        <v>3</v>
      </c>
      <c r="T27">
        <f t="array" aca="1" ref="T27" ca="1">HLOOKUP(T$19, INDIRECT("'"&amp;INDEX(Lookup_Sheets, MATCH(1, --(COUNTIF(INDIRECT("'"&amp; Lookup_Sheets&amp;"'!$F$2:$L$15"), T$19)&gt;0), 0)) &amp;"'!$F$2:$L$15"),11, FALSE)</f>
        <v>2</v>
      </c>
      <c r="U27">
        <f t="array" aca="1" ref="U27" ca="1">HLOOKUP(U$19, INDIRECT("'"&amp;INDEX(Lookup_Sheets, MATCH(1, --(COUNTIF(INDIRECT("'"&amp; Lookup_Sheets&amp;"'!$F$2:$L$15"), U$19)&gt;0), 0)) &amp;"'!$F$2:$L$15"),11, FALSE)</f>
        <v>2</v>
      </c>
      <c r="V27">
        <f t="array" aca="1" ref="V27" ca="1">HLOOKUP(V$19, INDIRECT("'"&amp;INDEX(Lookup_Sheets, MATCH(1, --(COUNTIF(INDIRECT("'"&amp; Lookup_Sheets&amp;"'!$F$2:$L$15"), V$19)&gt;0), 0)) &amp;"'!$F$2:$L$15"),11, FALSE)</f>
        <v>2</v>
      </c>
      <c r="W27">
        <f t="array" aca="1" ref="W27" ca="1">HLOOKUP(W$19, INDIRECT("'"&amp;INDEX(Lookup_Sheets, MATCH(1, --(COUNTIF(INDIRECT("'"&amp; Lookup_Sheets&amp;"'!$F$2:$L$15"), W$19)&gt;0), 0)) &amp;"'!$F$2:$L$15"),11, FALSE)</f>
        <v>2</v>
      </c>
      <c r="X27">
        <f t="array" aca="1" ref="X27" ca="1">HLOOKUP(X$19, INDIRECT("'"&amp;INDEX(Lookup_Sheets, MATCH(1, --(COUNTIF(INDIRECT("'"&amp; Lookup_Sheets&amp;"'!$F$2:$L$15"), X$19)&gt;0), 0)) &amp;"'!$F$2:$L$15"),11, FALSE)</f>
        <v>2</v>
      </c>
      <c r="Y27">
        <f t="array" aca="1" ref="Y27" ca="1">HLOOKUP(Y$19, INDIRECT("'"&amp;INDEX(Lookup_Sheets, MATCH(1, --(COUNTIF(INDIRECT("'"&amp; Lookup_Sheets&amp;"'!$F$2:$L$15"), Y$19)&gt;0), 0)) &amp;"'!$F$2:$L$15"),11, FALSE)</f>
        <v>2</v>
      </c>
    </row>
    <row r="28" spans="1:25" ht="15.75" thickBot="1">
      <c r="A28" s="68" t="s">
        <v>23</v>
      </c>
      <c r="C28">
        <f t="array" aca="1" ref="C28" ca="1">HLOOKUP(C$19, INDIRECT("'"&amp;INDEX(Lookup_Sheets, MATCH(1, --(COUNTIF(INDIRECT("'"&amp; Lookup_Sheets&amp;"'!$F$2:$L$15"), C$19)&gt;0), 0)) &amp;"'!$F$2:$L$15"),12, FALSE)</f>
        <v>9</v>
      </c>
      <c r="D28">
        <f t="array" aca="1" ref="D28" ca="1">HLOOKUP(D$19, INDIRECT("'"&amp;INDEX(Lookup_Sheets, MATCH(1, --(COUNTIF(INDIRECT("'"&amp; Lookup_Sheets&amp;"'!$F$2:$L$15"), D$19)&gt;0), 0)) &amp;"'!$F$2:$L$15"),12, FALSE)</f>
        <v>8</v>
      </c>
      <c r="E28">
        <f t="array" aca="1" ref="E28" ca="1">HLOOKUP(E$19, INDIRECT("'"&amp;INDEX(Lookup_Sheets, MATCH(1, --(COUNTIF(INDIRECT("'"&amp; Lookup_Sheets&amp;"'!$F$2:$L$15"), E$19)&gt;0), 0)) &amp;"'!$F$2:$L$15"),12, FALSE)</f>
        <v>8</v>
      </c>
      <c r="F28">
        <f t="array" aca="1" ref="F28" ca="1">HLOOKUP(F$19, INDIRECT("'"&amp;INDEX(Lookup_Sheets, MATCH(1, --(COUNTIF(INDIRECT("'"&amp; Lookup_Sheets&amp;"'!$F$2:$L$15"), F$19)&gt;0), 0)) &amp;"'!$F$2:$L$15"),12, FALSE)</f>
        <v>8</v>
      </c>
      <c r="G28">
        <f t="array" aca="1" ref="G28" ca="1">HLOOKUP(G$19, INDIRECT("'"&amp;INDEX(Lookup_Sheets, MATCH(1, --(COUNTIF(INDIRECT("'"&amp; Lookup_Sheets&amp;"'!$F$2:$L$15"), G$19)&gt;0), 0)) &amp;"'!$F$2:$L$15"),12, FALSE)</f>
        <v>8</v>
      </c>
      <c r="H28">
        <f t="array" aca="1" ref="H28" ca="1">HLOOKUP(H$19, INDIRECT("'"&amp;INDEX(Lookup_Sheets, MATCH(1, --(COUNTIF(INDIRECT("'"&amp; Lookup_Sheets&amp;"'!$F$2:$L$15"), H$19)&gt;0), 0)) &amp;"'!$F$2:$L$15"),12, FALSE)</f>
        <v>8</v>
      </c>
      <c r="I28">
        <f t="array" aca="1" ref="I28" ca="1">HLOOKUP(I$19, INDIRECT("'"&amp;INDEX(Lookup_Sheets, MATCH(1, --(COUNTIF(INDIRECT("'"&amp; Lookup_Sheets&amp;"'!$F$2:$L$15"), I$19)&gt;0), 0)) &amp;"'!$F$2:$L$15"),12, FALSE)</f>
        <v>8</v>
      </c>
      <c r="K28">
        <f t="array" aca="1" ref="K28" ca="1">HLOOKUP(K$19, INDIRECT("'"&amp;INDEX(Lookup_Sheets, MATCH(1, --(COUNTIF(INDIRECT("'"&amp; Lookup_Sheets&amp;"'!$F$2:$L$15"), K$19)&gt;0), 0)) &amp;"'!$F$2:$L$15"),12, FALSE)</f>
        <v>9</v>
      </c>
      <c r="L28">
        <f t="array" aca="1" ref="L28" ca="1">HLOOKUP(L$19, INDIRECT("'"&amp;INDEX(Lookup_Sheets, MATCH(1, --(COUNTIF(INDIRECT("'"&amp; Lookup_Sheets&amp;"'!$F$2:$L$15"), L$19)&gt;0), 0)) &amp;"'!$F$2:$L$15"),12, FALSE)</f>
        <v>9</v>
      </c>
      <c r="M28">
        <f t="array" aca="1" ref="M28" ca="1">HLOOKUP(M$19, INDIRECT("'"&amp;INDEX(Lookup_Sheets, MATCH(1, --(COUNTIF(INDIRECT("'"&amp; Lookup_Sheets&amp;"'!$F$2:$L$15"), M$19)&gt;0), 0)) &amp;"'!$F$2:$L$15"),12, FALSE)</f>
        <v>8</v>
      </c>
      <c r="N28">
        <f t="array" aca="1" ref="N28" ca="1">HLOOKUP(N$19, INDIRECT("'"&amp;INDEX(Lookup_Sheets, MATCH(1, --(COUNTIF(INDIRECT("'"&amp; Lookup_Sheets&amp;"'!$F$2:$L$15"), N$19)&gt;0), 0)) &amp;"'!$F$2:$L$15"),12, FALSE)</f>
        <v>10</v>
      </c>
      <c r="O28">
        <f t="array" aca="1" ref="O28" ca="1">HLOOKUP(O$19, INDIRECT("'"&amp;INDEX(Lookup_Sheets, MATCH(1, --(COUNTIF(INDIRECT("'"&amp; Lookup_Sheets&amp;"'!$F$2:$L$15"), O$19)&gt;0), 0)) &amp;"'!$F$2:$L$15"),12, FALSE)</f>
        <v>8</v>
      </c>
      <c r="P28">
        <f t="array" aca="1" ref="P28" ca="1">HLOOKUP(P$19, INDIRECT("'"&amp;INDEX(Lookup_Sheets, MATCH(1, --(COUNTIF(INDIRECT("'"&amp; Lookup_Sheets&amp;"'!$F$2:$L$15"), P$19)&gt;0), 0)) &amp;"'!$F$2:$L$15"),12, FALSE)</f>
        <v>8</v>
      </c>
      <c r="Q28">
        <f t="array" aca="1" ref="Q28" ca="1">HLOOKUP(Q$19, INDIRECT("'"&amp;INDEX(Lookup_Sheets, MATCH(1, --(COUNTIF(INDIRECT("'"&amp; Lookup_Sheets&amp;"'!$F$2:$L$15"), Q$19)&gt;0), 0)) &amp;"'!$F$2:$L$15"),12, FALSE)</f>
        <v>8</v>
      </c>
      <c r="S28">
        <f t="array" aca="1" ref="S28" ca="1">HLOOKUP(S$19, INDIRECT("'"&amp;INDEX(Lookup_Sheets, MATCH(1, --(COUNTIF(INDIRECT("'"&amp; Lookup_Sheets&amp;"'!$F$2:$L$15"), S$19)&gt;0), 0)) &amp;"'!$F$2:$L$15"),12, FALSE)</f>
        <v>11</v>
      </c>
      <c r="T28">
        <f t="array" aca="1" ref="T28" ca="1">HLOOKUP(T$19, INDIRECT("'"&amp;INDEX(Lookup_Sheets, MATCH(1, --(COUNTIF(INDIRECT("'"&amp; Lookup_Sheets&amp;"'!$F$2:$L$15"), T$19)&gt;0), 0)) &amp;"'!$F$2:$L$15"),12, FALSE)</f>
        <v>7</v>
      </c>
      <c r="U28">
        <f t="array" aca="1" ref="U28" ca="1">HLOOKUP(U$19, INDIRECT("'"&amp;INDEX(Lookup_Sheets, MATCH(1, --(COUNTIF(INDIRECT("'"&amp; Lookup_Sheets&amp;"'!$F$2:$L$15"), U$19)&gt;0), 0)) &amp;"'!$F$2:$L$15"),12, FALSE)</f>
        <v>8</v>
      </c>
      <c r="V28">
        <f t="array" aca="1" ref="V28" ca="1">HLOOKUP(V$19, INDIRECT("'"&amp;INDEX(Lookup_Sheets, MATCH(1, --(COUNTIF(INDIRECT("'"&amp; Lookup_Sheets&amp;"'!$F$2:$L$15"), V$19)&gt;0), 0)) &amp;"'!$F$2:$L$15"),12, FALSE)</f>
        <v>8</v>
      </c>
      <c r="W28">
        <f t="array" aca="1" ref="W28" ca="1">HLOOKUP(W$19, INDIRECT("'"&amp;INDEX(Lookup_Sheets, MATCH(1, --(COUNTIF(INDIRECT("'"&amp; Lookup_Sheets&amp;"'!$F$2:$L$15"), W$19)&gt;0), 0)) &amp;"'!$F$2:$L$15"),12, FALSE)</f>
        <v>9</v>
      </c>
      <c r="X28">
        <f t="array" aca="1" ref="X28" ca="1">HLOOKUP(X$19, INDIRECT("'"&amp;INDEX(Lookup_Sheets, MATCH(1, --(COUNTIF(INDIRECT("'"&amp; Lookup_Sheets&amp;"'!$F$2:$L$15"), X$19)&gt;0), 0)) &amp;"'!$F$2:$L$15"),12, FALSE)</f>
        <v>9</v>
      </c>
      <c r="Y28">
        <f t="array" aca="1" ref="Y28" ca="1">HLOOKUP(Y$19, INDIRECT("'"&amp;INDEX(Lookup_Sheets, MATCH(1, --(COUNTIF(INDIRECT("'"&amp; Lookup_Sheets&amp;"'!$F$2:$L$15"), Y$19)&gt;0), 0)) &amp;"'!$F$2:$L$15"),12, FALSE)</f>
        <v>9</v>
      </c>
    </row>
    <row r="29" spans="1:25" ht="15.75" thickBot="1">
      <c r="A29" s="69" t="s">
        <v>24</v>
      </c>
      <c r="C29" s="71">
        <f ca="1">C27+C28</f>
        <v>12</v>
      </c>
      <c r="D29" s="72">
        <f t="shared" ref="D29:I29" ca="1" si="15">D27+D28</f>
        <v>10</v>
      </c>
      <c r="E29" s="72">
        <f t="shared" ca="1" si="15"/>
        <v>11</v>
      </c>
      <c r="F29" s="72">
        <f t="shared" ca="1" si="15"/>
        <v>11</v>
      </c>
      <c r="G29" s="72">
        <f t="shared" ca="1" si="15"/>
        <v>10</v>
      </c>
      <c r="H29" s="72">
        <f t="shared" ca="1" si="15"/>
        <v>10</v>
      </c>
      <c r="I29" s="73">
        <f t="shared" ca="1" si="15"/>
        <v>10</v>
      </c>
      <c r="K29" s="71">
        <f ca="1">K27+K28</f>
        <v>12</v>
      </c>
      <c r="L29" s="72">
        <f t="shared" ref="L29:Q29" ca="1" si="16">L27+L28</f>
        <v>11</v>
      </c>
      <c r="M29" s="72">
        <f t="shared" ca="1" si="16"/>
        <v>10</v>
      </c>
      <c r="N29" s="72">
        <f t="shared" ca="1" si="16"/>
        <v>12</v>
      </c>
      <c r="O29" s="72">
        <f t="shared" ca="1" si="16"/>
        <v>11</v>
      </c>
      <c r="P29" s="72">
        <f t="shared" ca="1" si="16"/>
        <v>10</v>
      </c>
      <c r="Q29" s="73">
        <f t="shared" ca="1" si="16"/>
        <v>10</v>
      </c>
      <c r="S29" s="71">
        <f ca="1">S27+S28</f>
        <v>14</v>
      </c>
      <c r="T29" s="72">
        <f t="shared" ref="T29:Y29" ca="1" si="17">T27+T28</f>
        <v>9</v>
      </c>
      <c r="U29" s="72">
        <f t="shared" ca="1" si="17"/>
        <v>10</v>
      </c>
      <c r="V29" s="72">
        <f t="shared" ca="1" si="17"/>
        <v>10</v>
      </c>
      <c r="W29" s="72">
        <f t="shared" ca="1" si="17"/>
        <v>11</v>
      </c>
      <c r="X29" s="72">
        <f t="shared" ca="1" si="17"/>
        <v>11</v>
      </c>
      <c r="Y29" s="73">
        <f t="shared" ca="1" si="17"/>
        <v>11</v>
      </c>
    </row>
    <row r="30" spans="1:25" ht="16.5" thickBot="1">
      <c r="A30" s="2"/>
    </row>
    <row r="31" spans="1:25" ht="15.75" thickBot="1">
      <c r="A31" s="69" t="s">
        <v>25</v>
      </c>
      <c r="C31" s="74">
        <f t="array" aca="1" ref="C31" ca="1">HLOOKUP(C$19, INDIRECT("'"&amp;INDEX(Lookup_Sheets, MATCH(1, --(COUNTIF(INDIRECT("'"&amp; Lookup_Sheets&amp;"'!$F$2:$L$16"), C$19)&gt;0), 0)) &amp;"'!$F$2:$L$16"),15, FALSE)</f>
        <v>4</v>
      </c>
      <c r="D31" s="75">
        <f t="array" aca="1" ref="D31" ca="1">HLOOKUP(D$19, INDIRECT("'"&amp;INDEX(Lookup_Sheets, MATCH(1, --(COUNTIF(INDIRECT("'"&amp; Lookup_Sheets&amp;"'!$F$2:$L$16"), D$19)&gt;0), 0)) &amp;"'!$F$2:$L$16"),15, FALSE)</f>
        <v>4</v>
      </c>
      <c r="E31" s="75">
        <f t="array" aca="1" ref="E31" ca="1">HLOOKUP(E$19, INDIRECT("'"&amp;INDEX(Lookup_Sheets, MATCH(1, --(COUNTIF(INDIRECT("'"&amp; Lookup_Sheets&amp;"'!$F$2:$L$16"), E$19)&gt;0), 0)) &amp;"'!$F$2:$L$16"),15, FALSE)</f>
        <v>4</v>
      </c>
      <c r="F31" s="75">
        <f t="array" aca="1" ref="F31" ca="1">HLOOKUP(F$19, INDIRECT("'"&amp;INDEX(Lookup_Sheets, MATCH(1, --(COUNTIF(INDIRECT("'"&amp; Lookup_Sheets&amp;"'!$F$2:$L$16"), F$19)&gt;0), 0)) &amp;"'!$F$2:$L$16"),15, FALSE)</f>
        <v>4</v>
      </c>
      <c r="G31" s="75">
        <f t="array" aca="1" ref="G31" ca="1">HLOOKUP(G$19, INDIRECT("'"&amp;INDEX(Lookup_Sheets, MATCH(1, --(COUNTIF(INDIRECT("'"&amp; Lookup_Sheets&amp;"'!$F$2:$L$16"), G$19)&gt;0), 0)) &amp;"'!$F$2:$L$16"),15, FALSE)</f>
        <v>4</v>
      </c>
      <c r="H31" s="75">
        <f t="array" aca="1" ref="H31" ca="1">HLOOKUP(H$19, INDIRECT("'"&amp;INDEX(Lookup_Sheets, MATCH(1, --(COUNTIF(INDIRECT("'"&amp; Lookup_Sheets&amp;"'!$F$2:$L$16"), H$19)&gt;0), 0)) &amp;"'!$F$2:$L$16"),15, FALSE)</f>
        <v>4</v>
      </c>
      <c r="I31" s="76">
        <f t="array" aca="1" ref="I31" ca="1">HLOOKUP(I$19, INDIRECT("'"&amp;INDEX(Lookup_Sheets, MATCH(1, --(COUNTIF(INDIRECT("'"&amp; Lookup_Sheets&amp;"'!$F$2:$L$16"), I$19)&gt;0), 0)) &amp;"'!$F$2:$L$16"),15, FALSE)</f>
        <v>4</v>
      </c>
      <c r="K31" s="74">
        <f t="array" aca="1" ref="K31" ca="1">HLOOKUP(K$19, INDIRECT("'"&amp;INDEX(Lookup_Sheets, MATCH(1, --(COUNTIF(INDIRECT("'"&amp; Lookup_Sheets&amp;"'!$F$2:$L$16"), K$19)&gt;0), 0)) &amp;"'!$F$2:$L$16"),15, FALSE)</f>
        <v>4</v>
      </c>
      <c r="L31" s="75">
        <f t="array" aca="1" ref="L31" ca="1">HLOOKUP(L$19, INDIRECT("'"&amp;INDEX(Lookup_Sheets, MATCH(1, --(COUNTIF(INDIRECT("'"&amp; Lookup_Sheets&amp;"'!$F$2:$L$16"), L$19)&gt;0), 0)) &amp;"'!$F$2:$L$16"),15, FALSE)</f>
        <v>4</v>
      </c>
      <c r="M31" s="75">
        <f t="array" aca="1" ref="M31" ca="1">HLOOKUP(M$19, INDIRECT("'"&amp;INDEX(Lookup_Sheets, MATCH(1, --(COUNTIF(INDIRECT("'"&amp; Lookup_Sheets&amp;"'!$F$2:$L$16"), M$19)&gt;0), 0)) &amp;"'!$F$2:$L$16"),15, FALSE)</f>
        <v>4</v>
      </c>
      <c r="N31" s="75">
        <f t="array" aca="1" ref="N31" ca="1">HLOOKUP(N$19, INDIRECT("'"&amp;INDEX(Lookup_Sheets, MATCH(1, --(COUNTIF(INDIRECT("'"&amp; Lookup_Sheets&amp;"'!$F$2:$L$16"), N$19)&gt;0), 0)) &amp;"'!$F$2:$L$16"),15, FALSE)</f>
        <v>4</v>
      </c>
      <c r="O31" s="75">
        <f t="array" aca="1" ref="O31" ca="1">HLOOKUP(O$19, INDIRECT("'"&amp;INDEX(Lookup_Sheets, MATCH(1, --(COUNTIF(INDIRECT("'"&amp; Lookup_Sheets&amp;"'!$F$2:$L$16"), O$19)&gt;0), 0)) &amp;"'!$F$2:$L$16"),15, FALSE)</f>
        <v>5</v>
      </c>
      <c r="P31" s="75">
        <f t="array" aca="1" ref="P31" ca="1">HLOOKUP(P$19, INDIRECT("'"&amp;INDEX(Lookup_Sheets, MATCH(1, --(COUNTIF(INDIRECT("'"&amp; Lookup_Sheets&amp;"'!$F$2:$L$16"), P$19)&gt;0), 0)) &amp;"'!$F$2:$L$16"),15, FALSE)</f>
        <v>5</v>
      </c>
      <c r="Q31" s="76">
        <f t="array" aca="1" ref="Q31" ca="1">HLOOKUP(Q$19, INDIRECT("'"&amp;INDEX(Lookup_Sheets, MATCH(1, --(COUNTIF(INDIRECT("'"&amp; Lookup_Sheets&amp;"'!$F$2:$L$16"), Q$19)&gt;0), 0)) &amp;"'!$F$2:$L$16"),15, FALSE)</f>
        <v>5</v>
      </c>
      <c r="S31" s="74">
        <f t="array" aca="1" ref="S31" ca="1">HLOOKUP(S$19, INDIRECT("'"&amp;INDEX(Lookup_Sheets, MATCH(1, --(COUNTIF(INDIRECT("'"&amp; Lookup_Sheets&amp;"'!$F$2:$L$16"), S$19)&gt;0), 0)) &amp;"'!$F$2:$L$16"),15, FALSE)</f>
        <v>5</v>
      </c>
      <c r="T31" s="75">
        <f t="array" aca="1" ref="T31" ca="1">HLOOKUP(T$19, INDIRECT("'"&amp;INDEX(Lookup_Sheets, MATCH(1, --(COUNTIF(INDIRECT("'"&amp; Lookup_Sheets&amp;"'!$F$2:$L$16"), T$19)&gt;0), 0)) &amp;"'!$F$2:$L$16"),15, FALSE)</f>
        <v>5</v>
      </c>
      <c r="U31" s="75">
        <f t="array" aca="1" ref="U31" ca="1">HLOOKUP(U$19, INDIRECT("'"&amp;INDEX(Lookup_Sheets, MATCH(1, --(COUNTIF(INDIRECT("'"&amp; Lookup_Sheets&amp;"'!$F$2:$L$16"), U$19)&gt;0), 0)) &amp;"'!$F$2:$L$16"),15, FALSE)</f>
        <v>5</v>
      </c>
      <c r="V31" s="75">
        <f t="array" aca="1" ref="V31" ca="1">HLOOKUP(V$19, INDIRECT("'"&amp;INDEX(Lookup_Sheets, MATCH(1, --(COUNTIF(INDIRECT("'"&amp; Lookup_Sheets&amp;"'!$F$2:$L$16"), V$19)&gt;0), 0)) &amp;"'!$F$2:$L$16"),15, FALSE)</f>
        <v>4</v>
      </c>
      <c r="W31" s="75">
        <f t="array" aca="1" ref="W31" ca="1">HLOOKUP(W$19, INDIRECT("'"&amp;INDEX(Lookup_Sheets, MATCH(1, --(COUNTIF(INDIRECT("'"&amp; Lookup_Sheets&amp;"'!$F$2:$L$16"), W$19)&gt;0), 0)) &amp;"'!$F$2:$L$16"),15, FALSE)</f>
        <v>4</v>
      </c>
      <c r="X31" s="75">
        <f t="array" aca="1" ref="X31" ca="1">HLOOKUP(X$19, INDIRECT("'"&amp;INDEX(Lookup_Sheets, MATCH(1, --(COUNTIF(INDIRECT("'"&amp; Lookup_Sheets&amp;"'!$F$2:$L$16"), X$19)&gt;0), 0)) &amp;"'!$F$2:$L$16"),15, FALSE)</f>
        <v>4</v>
      </c>
      <c r="Y31" s="76">
        <f t="array" aca="1" ref="Y31" ca="1">HLOOKUP(Y$19, INDIRECT("'"&amp;INDEX(Lookup_Sheets, MATCH(1, --(COUNTIF(INDIRECT("'"&amp; Lookup_Sheets&amp;"'!$F$2:$L$16"), Y$19)&gt;0), 0)) &amp;"'!$F$2:$L$16"),15, FALSE)</f>
        <v>4</v>
      </c>
    </row>
    <row r="33" spans="1:25">
      <c r="C33" t="s">
        <v>192</v>
      </c>
      <c r="K33" t="s">
        <v>194</v>
      </c>
      <c r="S33" t="s">
        <v>196</v>
      </c>
    </row>
    <row r="34" spans="1:25">
      <c r="C34" t="s">
        <v>5</v>
      </c>
      <c r="D34" t="s">
        <v>6</v>
      </c>
      <c r="E34" t="s">
        <v>7</v>
      </c>
      <c r="F34" t="s">
        <v>8</v>
      </c>
      <c r="G34" t="s">
        <v>9</v>
      </c>
      <c r="H34" t="s">
        <v>10</v>
      </c>
      <c r="I34" t="s">
        <v>11</v>
      </c>
      <c r="K34" t="s">
        <v>5</v>
      </c>
      <c r="L34" t="s">
        <v>6</v>
      </c>
      <c r="M34" t="s">
        <v>7</v>
      </c>
      <c r="N34" t="s">
        <v>8</v>
      </c>
      <c r="O34" t="s">
        <v>9</v>
      </c>
      <c r="P34" t="s">
        <v>10</v>
      </c>
      <c r="Q34" t="s">
        <v>11</v>
      </c>
      <c r="S34" t="s">
        <v>5</v>
      </c>
      <c r="T34" t="s">
        <v>6</v>
      </c>
      <c r="U34" t="s">
        <v>7</v>
      </c>
      <c r="V34" t="s">
        <v>8</v>
      </c>
      <c r="W34" t="s">
        <v>9</v>
      </c>
      <c r="X34" t="s">
        <v>10</v>
      </c>
      <c r="Y34" t="s">
        <v>11</v>
      </c>
    </row>
    <row r="35" spans="1:25">
      <c r="C35" s="70">
        <f>S19+7</f>
        <v>46188</v>
      </c>
      <c r="D35" s="70">
        <f t="shared" ref="D35:I35" si="18">C35+1</f>
        <v>46189</v>
      </c>
      <c r="E35" s="70">
        <f t="shared" si="18"/>
        <v>46190</v>
      </c>
      <c r="F35" s="70">
        <f t="shared" si="18"/>
        <v>46191</v>
      </c>
      <c r="G35" s="70">
        <f t="shared" si="18"/>
        <v>46192</v>
      </c>
      <c r="H35" s="70">
        <f t="shared" si="18"/>
        <v>46193</v>
      </c>
      <c r="I35" s="70">
        <f t="shared" si="18"/>
        <v>46194</v>
      </c>
      <c r="K35" s="70">
        <f>C35+7</f>
        <v>46195</v>
      </c>
      <c r="L35" s="70">
        <f t="shared" ref="L35:Q35" si="19">K35+1</f>
        <v>46196</v>
      </c>
      <c r="M35" s="70">
        <f t="shared" si="19"/>
        <v>46197</v>
      </c>
      <c r="N35" s="70">
        <f t="shared" si="19"/>
        <v>46198</v>
      </c>
      <c r="O35" s="70">
        <f t="shared" si="19"/>
        <v>46199</v>
      </c>
      <c r="P35" s="70">
        <f t="shared" si="19"/>
        <v>46200</v>
      </c>
      <c r="Q35" s="70">
        <f t="shared" si="19"/>
        <v>46201</v>
      </c>
      <c r="S35" s="70">
        <f>K35+7</f>
        <v>46202</v>
      </c>
      <c r="T35" s="70">
        <f t="shared" ref="T35:Y35" si="20">S35+1</f>
        <v>46203</v>
      </c>
      <c r="U35" s="70">
        <f t="shared" si="20"/>
        <v>46204</v>
      </c>
      <c r="V35" s="70">
        <f t="shared" si="20"/>
        <v>46205</v>
      </c>
      <c r="W35" s="70">
        <f t="shared" si="20"/>
        <v>46206</v>
      </c>
      <c r="X35" s="70">
        <f t="shared" si="20"/>
        <v>46207</v>
      </c>
      <c r="Y35" s="70">
        <f t="shared" si="20"/>
        <v>46208</v>
      </c>
    </row>
    <row r="38" spans="1:25">
      <c r="A38" s="68" t="s">
        <v>17</v>
      </c>
      <c r="C38">
        <f t="array" aca="1" ref="C38" ca="1">HLOOKUP(C$35, INDIRECT("'"&amp;INDEX(Lookup_Sheets, MATCH(1, --(COUNTIF(INDIRECT("'"&amp; Lookup_Sheets&amp;"'!$F$2:$L$15"), C$35)&gt;0), 0)) &amp;"'!$F$2:$L$15"),5, FALSE)</f>
        <v>3</v>
      </c>
      <c r="D38">
        <f t="array" aca="1" ref="D38" ca="1">HLOOKUP(D$35, INDIRECT("'"&amp;INDEX(Lookup_Sheets, MATCH(1, --(COUNTIF(INDIRECT("'"&amp; Lookup_Sheets&amp;"'!$F$2:$L$15"), D$35)&gt;0), 0)) &amp;"'!$F$2:$L$15"),5, FALSE)</f>
        <v>3</v>
      </c>
      <c r="E38">
        <f t="array" aca="1" ref="E38" ca="1">HLOOKUP(E$35, INDIRECT("'"&amp;INDEX(Lookup_Sheets, MATCH(1, --(COUNTIF(INDIRECT("'"&amp; Lookup_Sheets&amp;"'!$F$2:$L$15"), E$35)&gt;0), 0)) &amp;"'!$F$2:$L$15"),5, FALSE)</f>
        <v>3</v>
      </c>
      <c r="F38">
        <f t="array" aca="1" ref="F38" ca="1">HLOOKUP(F$35, INDIRECT("'"&amp;INDEX(Lookup_Sheets, MATCH(1, --(COUNTIF(INDIRECT("'"&amp; Lookup_Sheets&amp;"'!$F$2:$L$15"), F$35)&gt;0), 0)) &amp;"'!$F$2:$L$15"),5, FALSE)</f>
        <v>3</v>
      </c>
      <c r="G38">
        <f t="array" aca="1" ref="G38" ca="1">HLOOKUP(G$35, INDIRECT("'"&amp;INDEX(Lookup_Sheets, MATCH(1, --(COUNTIF(INDIRECT("'"&amp; Lookup_Sheets&amp;"'!$F$2:$L$15"), G$35)&gt;0), 0)) &amp;"'!$F$2:$L$15"),5, FALSE)</f>
        <v>3</v>
      </c>
      <c r="H38">
        <f t="array" aca="1" ref="H38" ca="1">HLOOKUP(H$35, INDIRECT("'"&amp;INDEX(Lookup_Sheets, MATCH(1, --(COUNTIF(INDIRECT("'"&amp; Lookup_Sheets&amp;"'!$F$2:$L$15"), H$35)&gt;0), 0)) &amp;"'!$F$2:$L$15"),5, FALSE)</f>
        <v>2</v>
      </c>
      <c r="I38">
        <f t="array" aca="1" ref="I38" ca="1">HLOOKUP(I$35, INDIRECT("'"&amp;INDEX(Lookup_Sheets, MATCH(1, --(COUNTIF(INDIRECT("'"&amp; Lookup_Sheets&amp;"'!$F$2:$L$15"), I$35)&gt;0), 0)) &amp;"'!$F$2:$L$15"),5, FALSE)</f>
        <v>2</v>
      </c>
      <c r="K38">
        <f t="array" aca="1" ref="K38" ca="1">HLOOKUP(K$35, INDIRECT("'"&amp;INDEX(Lookup_Sheets, MATCH(1, --(COUNTIF(INDIRECT("'"&amp; Lookup_Sheets&amp;"'!$F$2:$L$15"), K$35)&gt;0), 0)) &amp;"'!$F$2:$L$15"),5, FALSE)</f>
        <v>3</v>
      </c>
      <c r="L38">
        <f t="array" aca="1" ref="L38" ca="1">HLOOKUP(L$35, INDIRECT("'"&amp;INDEX(Lookup_Sheets, MATCH(1, --(COUNTIF(INDIRECT("'"&amp; Lookup_Sheets&amp;"'!$F$2:$L$15"), L$35)&gt;0), 0)) &amp;"'!$F$2:$L$15"),5, FALSE)</f>
        <v>3</v>
      </c>
      <c r="M38">
        <f t="array" aca="1" ref="M38" ca="1">HLOOKUP(M$35, INDIRECT("'"&amp;INDEX(Lookup_Sheets, MATCH(1, --(COUNTIF(INDIRECT("'"&amp; Lookup_Sheets&amp;"'!$F$2:$L$15"), M$35)&gt;0), 0)) &amp;"'!$F$2:$L$15"),5, FALSE)</f>
        <v>3</v>
      </c>
      <c r="N38">
        <f t="array" aca="1" ref="N38" ca="1">HLOOKUP(N$35, INDIRECT("'"&amp;INDEX(Lookup_Sheets, MATCH(1, --(COUNTIF(INDIRECT("'"&amp; Lookup_Sheets&amp;"'!$F$2:$L$15"), N$35)&gt;0), 0)) &amp;"'!$F$2:$L$15"),5, FALSE)</f>
        <v>2</v>
      </c>
      <c r="O38">
        <f t="array" aca="1" ref="O38" ca="1">HLOOKUP(O$35, INDIRECT("'"&amp;INDEX(Lookup_Sheets, MATCH(1, --(COUNTIF(INDIRECT("'"&amp; Lookup_Sheets&amp;"'!$F$2:$L$15"), O$35)&gt;0), 0)) &amp;"'!$F$2:$L$15"),5, FALSE)</f>
        <v>3</v>
      </c>
      <c r="P38">
        <f t="array" aca="1" ref="P38" ca="1">HLOOKUP(P$35, INDIRECT("'"&amp;INDEX(Lookup_Sheets, MATCH(1, --(COUNTIF(INDIRECT("'"&amp; Lookup_Sheets&amp;"'!$F$2:$L$15"), P$35)&gt;0), 0)) &amp;"'!$F$2:$L$15"),5, FALSE)</f>
        <v>2</v>
      </c>
      <c r="Q38">
        <f t="array" aca="1" ref="Q38" ca="1">HLOOKUP(Q$35, INDIRECT("'"&amp;INDEX(Lookup_Sheets, MATCH(1, --(COUNTIF(INDIRECT("'"&amp; Lookup_Sheets&amp;"'!$F$2:$L$15"), Q$35)&gt;0), 0)) &amp;"'!$F$2:$L$15"),5, FALSE)</f>
        <v>2</v>
      </c>
      <c r="S38">
        <f t="array" aca="1" ref="S38" ca="1">HLOOKUP(S$35, INDIRECT("'"&amp;INDEX(Lookup_Sheets, MATCH(1, --(COUNTIF(INDIRECT("'"&amp; Lookup_Sheets&amp;"'!$F$2:$L$15"), S$35)&gt;0), 0)) &amp;"'!$F$2:$L$15"),5, FALSE)</f>
        <v>3</v>
      </c>
      <c r="T38">
        <f t="array" aca="1" ref="T38" ca="1">HLOOKUP(T$35, INDIRECT("'"&amp;INDEX(Lookup_Sheets, MATCH(1, --(COUNTIF(INDIRECT("'"&amp; Lookup_Sheets&amp;"'!$F$2:$L$15"), T$35)&gt;0), 0)) &amp;"'!$F$2:$L$15"),5, FALSE)</f>
        <v>3</v>
      </c>
      <c r="U38">
        <f t="array" aca="1" ref="U38" ca="1">HLOOKUP(U$35, INDIRECT("'"&amp;INDEX(Lookup_Sheets, MATCH(1, --(COUNTIF(INDIRECT("'"&amp; Lookup_Sheets&amp;"'!$F$2:$L$15"), U$35)&gt;0), 0)) &amp;"'!$F$2:$L$15"),5, FALSE)</f>
        <v>3</v>
      </c>
      <c r="V38">
        <f t="array" aca="1" ref="V38" ca="1">HLOOKUP(V$35, INDIRECT("'"&amp;INDEX(Lookup_Sheets, MATCH(1, --(COUNTIF(INDIRECT("'"&amp; Lookup_Sheets&amp;"'!$F$2:$L$15"), V$35)&gt;0), 0)) &amp;"'!$F$2:$L$15"),5, FALSE)</f>
        <v>3</v>
      </c>
      <c r="W38">
        <f t="array" aca="1" ref="W38" ca="1">HLOOKUP(W$35, INDIRECT("'"&amp;INDEX(Lookup_Sheets, MATCH(1, --(COUNTIF(INDIRECT("'"&amp; Lookup_Sheets&amp;"'!$F$2:$L$15"), W$35)&gt;0), 0)) &amp;"'!$F$2:$L$15"),5, FALSE)</f>
        <v>3</v>
      </c>
      <c r="X38">
        <f t="array" aca="1" ref="X38" ca="1">HLOOKUP(X$35, INDIRECT("'"&amp;INDEX(Lookup_Sheets, MATCH(1, --(COUNTIF(INDIRECT("'"&amp; Lookup_Sheets&amp;"'!$F$2:$L$15"), X$35)&gt;0), 0)) &amp;"'!$F$2:$L$15"),5, FALSE)</f>
        <v>2</v>
      </c>
      <c r="Y38">
        <f t="array" aca="1" ref="Y38" ca="1">HLOOKUP(Y$35, INDIRECT("'"&amp;INDEX(Lookup_Sheets, MATCH(1, --(COUNTIF(INDIRECT("'"&amp; Lookup_Sheets&amp;"'!$F$2:$L$15"), Y$35)&gt;0), 0)) &amp;"'!$F$2:$L$15"),5, FALSE)</f>
        <v>2</v>
      </c>
    </row>
    <row r="39" spans="1:25" ht="15.75" thickBot="1">
      <c r="A39" s="68" t="s">
        <v>18</v>
      </c>
      <c r="C39">
        <f t="array" aca="1" ref="C39" ca="1">HLOOKUP(C$35, INDIRECT("'"&amp;INDEX(Lookup_Sheets, MATCH(1, --(COUNTIF(INDIRECT("'"&amp; Lookup_Sheets&amp;"'!$F$2:$L$15"), C$35)&gt;0), 0)) &amp;"'!$F$2:$L$15"),6, FALSE)</f>
        <v>4</v>
      </c>
      <c r="D39">
        <f t="array" aca="1" ref="D39" ca="1">HLOOKUP(D$35, INDIRECT("'"&amp;INDEX(Lookup_Sheets, MATCH(1, --(COUNTIF(INDIRECT("'"&amp; Lookup_Sheets&amp;"'!$F$2:$L$15"), D$35)&gt;0), 0)) &amp;"'!$F$2:$L$15"),6, FALSE)</f>
        <v>5</v>
      </c>
      <c r="E39">
        <f t="array" aca="1" ref="E39" ca="1">HLOOKUP(E$35, INDIRECT("'"&amp;INDEX(Lookup_Sheets, MATCH(1, --(COUNTIF(INDIRECT("'"&amp; Lookup_Sheets&amp;"'!$F$2:$L$15"), E$35)&gt;0), 0)) &amp;"'!$F$2:$L$15"),6, FALSE)</f>
        <v>4</v>
      </c>
      <c r="F39">
        <f t="array" aca="1" ref="F39" ca="1">HLOOKUP(F$35, INDIRECT("'"&amp;INDEX(Lookup_Sheets, MATCH(1, --(COUNTIF(INDIRECT("'"&amp; Lookup_Sheets&amp;"'!$F$2:$L$15"), F$35)&gt;0), 0)) &amp;"'!$F$2:$L$15"),6, FALSE)</f>
        <v>7</v>
      </c>
      <c r="G39">
        <f t="array" aca="1" ref="G39" ca="1">HLOOKUP(G$35, INDIRECT("'"&amp;INDEX(Lookup_Sheets, MATCH(1, --(COUNTIF(INDIRECT("'"&amp; Lookup_Sheets&amp;"'!$F$2:$L$15"), G$35)&gt;0), 0)) &amp;"'!$F$2:$L$15"),6, FALSE)</f>
        <v>5</v>
      </c>
      <c r="H39">
        <f t="array" aca="1" ref="H39" ca="1">HLOOKUP(H$35, INDIRECT("'"&amp;INDEX(Lookup_Sheets, MATCH(1, --(COUNTIF(INDIRECT("'"&amp; Lookup_Sheets&amp;"'!$F$2:$L$15"), H$35)&gt;0), 0)) &amp;"'!$F$2:$L$15"),6, FALSE)</f>
        <v>5</v>
      </c>
      <c r="I39">
        <f t="array" aca="1" ref="I39" ca="1">HLOOKUP(I$35, INDIRECT("'"&amp;INDEX(Lookup_Sheets, MATCH(1, --(COUNTIF(INDIRECT("'"&amp; Lookup_Sheets&amp;"'!$F$2:$L$15"), I$35)&gt;0), 0)) &amp;"'!$F$2:$L$15"),6, FALSE)</f>
        <v>4</v>
      </c>
      <c r="K39">
        <f t="array" aca="1" ref="K39" ca="1">HLOOKUP(K$35, INDIRECT("'"&amp;INDEX(Lookup_Sheets, MATCH(1, --(COUNTIF(INDIRECT("'"&amp; Lookup_Sheets&amp;"'!$F$2:$L$15"), K$35)&gt;0), 0)) &amp;"'!$F$2:$L$15"),6, FALSE)</f>
        <v>4</v>
      </c>
      <c r="L39">
        <f t="array" aca="1" ref="L39" ca="1">HLOOKUP(L$35, INDIRECT("'"&amp;INDEX(Lookup_Sheets, MATCH(1, --(COUNTIF(INDIRECT("'"&amp; Lookup_Sheets&amp;"'!$F$2:$L$15"), L$35)&gt;0), 0)) &amp;"'!$F$2:$L$15"),6, FALSE)</f>
        <v>3</v>
      </c>
      <c r="M39">
        <f t="array" aca="1" ref="M39" ca="1">HLOOKUP(M$35, INDIRECT("'"&amp;INDEX(Lookup_Sheets, MATCH(1, --(COUNTIF(INDIRECT("'"&amp; Lookup_Sheets&amp;"'!$F$2:$L$15"), M$35)&gt;0), 0)) &amp;"'!$F$2:$L$15"),6, FALSE)</f>
        <v>3</v>
      </c>
      <c r="N39">
        <f t="array" aca="1" ref="N39" ca="1">HLOOKUP(N$35, INDIRECT("'"&amp;INDEX(Lookup_Sheets, MATCH(1, --(COUNTIF(INDIRECT("'"&amp; Lookup_Sheets&amp;"'!$F$2:$L$15"), N$35)&gt;0), 0)) &amp;"'!$F$2:$L$15"),6, FALSE)</f>
        <v>5</v>
      </c>
      <c r="O39">
        <f t="array" aca="1" ref="O39" ca="1">HLOOKUP(O$35, INDIRECT("'"&amp;INDEX(Lookup_Sheets, MATCH(1, --(COUNTIF(INDIRECT("'"&amp; Lookup_Sheets&amp;"'!$F$2:$L$15"), O$35)&gt;0), 0)) &amp;"'!$F$2:$L$15"),6, FALSE)</f>
        <v>3</v>
      </c>
      <c r="P39">
        <f t="array" aca="1" ref="P39" ca="1">HLOOKUP(P$35, INDIRECT("'"&amp;INDEX(Lookup_Sheets, MATCH(1, --(COUNTIF(INDIRECT("'"&amp; Lookup_Sheets&amp;"'!$F$2:$L$15"), P$35)&gt;0), 0)) &amp;"'!$F$2:$L$15"),6, FALSE)</f>
        <v>3</v>
      </c>
      <c r="Q39">
        <f t="array" aca="1" ref="Q39" ca="1">HLOOKUP(Q$35, INDIRECT("'"&amp;INDEX(Lookup_Sheets, MATCH(1, --(COUNTIF(INDIRECT("'"&amp; Lookup_Sheets&amp;"'!$F$2:$L$15"), Q$35)&gt;0), 0)) &amp;"'!$F$2:$L$15"),6, FALSE)</f>
        <v>4</v>
      </c>
      <c r="S39">
        <f t="array" aca="1" ref="S39" ca="1">HLOOKUP(S$35, INDIRECT("'"&amp;INDEX(Lookup_Sheets, MATCH(1, --(COUNTIF(INDIRECT("'"&amp; Lookup_Sheets&amp;"'!$F$2:$L$15"), S$35)&gt;0), 0)) &amp;"'!$F$2:$L$15"),6, FALSE)</f>
        <v>3</v>
      </c>
      <c r="T39">
        <f t="array" aca="1" ref="T39" ca="1">HLOOKUP(T$35, INDIRECT("'"&amp;INDEX(Lookup_Sheets, MATCH(1, --(COUNTIF(INDIRECT("'"&amp; Lookup_Sheets&amp;"'!$F$2:$L$15"), T$35)&gt;0), 0)) &amp;"'!$F$2:$L$15"),6, FALSE)</f>
        <v>5</v>
      </c>
      <c r="U39">
        <f t="array" aca="1" ref="U39" ca="1">HLOOKUP(U$35, INDIRECT("'"&amp;INDEX(Lookup_Sheets, MATCH(1, --(COUNTIF(INDIRECT("'"&amp; Lookup_Sheets&amp;"'!$F$2:$L$15"), U$35)&gt;0), 0)) &amp;"'!$F$2:$L$15"),6, FALSE)</f>
        <v>4</v>
      </c>
      <c r="V39">
        <f t="array" aca="1" ref="V39" ca="1">HLOOKUP(V$35, INDIRECT("'"&amp;INDEX(Lookup_Sheets, MATCH(1, --(COUNTIF(INDIRECT("'"&amp; Lookup_Sheets&amp;"'!$F$2:$L$15"), V$35)&gt;0), 0)) &amp;"'!$F$2:$L$15"),6, FALSE)</f>
        <v>5</v>
      </c>
      <c r="W39">
        <f t="array" aca="1" ref="W39" ca="1">HLOOKUP(W$35, INDIRECT("'"&amp;INDEX(Lookup_Sheets, MATCH(1, --(COUNTIF(INDIRECT("'"&amp; Lookup_Sheets&amp;"'!$F$2:$L$15"), W$35)&gt;0), 0)) &amp;"'!$F$2:$L$15"),6, FALSE)</f>
        <v>4</v>
      </c>
      <c r="X39">
        <f t="array" aca="1" ref="X39" ca="1">HLOOKUP(X$35, INDIRECT("'"&amp;INDEX(Lookup_Sheets, MATCH(1, --(COUNTIF(INDIRECT("'"&amp; Lookup_Sheets&amp;"'!$F$2:$L$15"), X$35)&gt;0), 0)) &amp;"'!$F$2:$L$15"),6, FALSE)</f>
        <v>4</v>
      </c>
      <c r="Y39">
        <f t="array" aca="1" ref="Y39" ca="1">HLOOKUP(Y$35, INDIRECT("'"&amp;INDEX(Lookup_Sheets, MATCH(1, --(COUNTIF(INDIRECT("'"&amp; Lookup_Sheets&amp;"'!$F$2:$L$15"), Y$35)&gt;0), 0)) &amp;"'!$F$2:$L$15"),6, FALSE)</f>
        <v>4</v>
      </c>
    </row>
    <row r="40" spans="1:25" ht="15.75" thickBot="1">
      <c r="A40" s="69" t="s">
        <v>19</v>
      </c>
      <c r="C40" s="71">
        <f ca="1">C38+C39</f>
        <v>7</v>
      </c>
      <c r="D40" s="72">
        <f t="shared" ref="D40:I40" ca="1" si="21">D38+D39</f>
        <v>8</v>
      </c>
      <c r="E40" s="72">
        <f t="shared" ca="1" si="21"/>
        <v>7</v>
      </c>
      <c r="F40" s="72">
        <f t="shared" ca="1" si="21"/>
        <v>10</v>
      </c>
      <c r="G40" s="72">
        <f t="shared" ca="1" si="21"/>
        <v>8</v>
      </c>
      <c r="H40" s="72">
        <f t="shared" ca="1" si="21"/>
        <v>7</v>
      </c>
      <c r="I40" s="73">
        <f t="shared" ca="1" si="21"/>
        <v>6</v>
      </c>
      <c r="K40" s="71">
        <f ca="1">K38+K39</f>
        <v>7</v>
      </c>
      <c r="L40" s="72">
        <f t="shared" ref="L40:Q40" ca="1" si="22">L38+L39</f>
        <v>6</v>
      </c>
      <c r="M40" s="72">
        <f t="shared" ca="1" si="22"/>
        <v>6</v>
      </c>
      <c r="N40" s="72">
        <f t="shared" ca="1" si="22"/>
        <v>7</v>
      </c>
      <c r="O40" s="72">
        <f t="shared" ca="1" si="22"/>
        <v>6</v>
      </c>
      <c r="P40" s="72">
        <f t="shared" ca="1" si="22"/>
        <v>5</v>
      </c>
      <c r="Q40" s="73">
        <f t="shared" ca="1" si="22"/>
        <v>6</v>
      </c>
      <c r="S40" s="71">
        <f ca="1">S38+S39</f>
        <v>6</v>
      </c>
      <c r="T40" s="72">
        <f t="shared" ref="T40:Y40" ca="1" si="23">T38+T39</f>
        <v>8</v>
      </c>
      <c r="U40" s="72">
        <f t="shared" ca="1" si="23"/>
        <v>7</v>
      </c>
      <c r="V40" s="72">
        <f t="shared" ca="1" si="23"/>
        <v>8</v>
      </c>
      <c r="W40" s="72">
        <f t="shared" ca="1" si="23"/>
        <v>7</v>
      </c>
      <c r="X40" s="72">
        <f t="shared" ca="1" si="23"/>
        <v>6</v>
      </c>
      <c r="Y40" s="73">
        <f t="shared" ca="1" si="23"/>
        <v>6</v>
      </c>
    </row>
    <row r="41" spans="1:25" ht="15.75">
      <c r="A41" s="2"/>
    </row>
    <row r="42" spans="1:25">
      <c r="A42" s="177" t="s">
        <v>193</v>
      </c>
      <c r="C42">
        <f t="array" aca="1" ref="C42" ca="1">HLOOKUP(C$35, INDIRECT("'"&amp;INDEX(Lookup_Sheets, MATCH(1, --(COUNTIF(INDIRECT("'"&amp; Lookup_Sheets&amp;"'!$F$2:$L$15"), C$35)&gt;0), 0)) &amp;"'!$F$2:$L$15"),9, FALSE)</f>
        <v>0</v>
      </c>
      <c r="D42">
        <f t="array" aca="1" ref="D42" ca="1">HLOOKUP(D$35, INDIRECT("'"&amp;INDEX(Lookup_Sheets, MATCH(1, --(COUNTIF(INDIRECT("'"&amp; Lookup_Sheets&amp;"'!$F$2:$L$15"), D$35)&gt;0), 0)) &amp;"'!$F$2:$L$15"),9, FALSE)</f>
        <v>0</v>
      </c>
      <c r="E42">
        <f t="array" aca="1" ref="E42" ca="1">HLOOKUP(E$35, INDIRECT("'"&amp;INDEX(Lookup_Sheets, MATCH(1, --(COUNTIF(INDIRECT("'"&amp; Lookup_Sheets&amp;"'!$F$2:$L$15"), E$35)&gt;0), 0)) &amp;"'!$F$2:$L$15"),9, FALSE)</f>
        <v>0</v>
      </c>
      <c r="F42">
        <f t="array" aca="1" ref="F42" ca="1">HLOOKUP(F$35, INDIRECT("'"&amp;INDEX(Lookup_Sheets, MATCH(1, --(COUNTIF(INDIRECT("'"&amp; Lookup_Sheets&amp;"'!$F$2:$L$15"), F$35)&gt;0), 0)) &amp;"'!$F$2:$L$15"),9, FALSE)</f>
        <v>0</v>
      </c>
      <c r="G42">
        <f t="array" aca="1" ref="G42" ca="1">HLOOKUP(G$35, INDIRECT("'"&amp;INDEX(Lookup_Sheets, MATCH(1, --(COUNTIF(INDIRECT("'"&amp; Lookup_Sheets&amp;"'!$F$2:$L$15"), G$35)&gt;0), 0)) &amp;"'!$F$2:$L$15"),9, FALSE)</f>
        <v>0</v>
      </c>
      <c r="H42">
        <f t="array" aca="1" ref="H42" ca="1">HLOOKUP(H$35, INDIRECT("'"&amp;INDEX(Lookup_Sheets, MATCH(1, --(COUNTIF(INDIRECT("'"&amp; Lookup_Sheets&amp;"'!$F$2:$L$15"), H$35)&gt;0), 0)) &amp;"'!$F$2:$L$15"),9, FALSE)</f>
        <v>0</v>
      </c>
      <c r="I42">
        <f t="array" aca="1" ref="I42" ca="1">HLOOKUP(I$35, INDIRECT("'"&amp;INDEX(Lookup_Sheets, MATCH(1, --(COUNTIF(INDIRECT("'"&amp; Lookup_Sheets&amp;"'!$F$2:$L$15"), I$35)&gt;0), 0)) &amp;"'!$F$2:$L$15"),9, FALSE)</f>
        <v>0</v>
      </c>
      <c r="K42">
        <f t="array" aca="1" ref="K42" ca="1">HLOOKUP(K$35, INDIRECT("'"&amp;INDEX(Lookup_Sheets, MATCH(1, --(COUNTIF(INDIRECT("'"&amp; Lookup_Sheets&amp;"'!$F$2:$L$15"), K$35)&gt;0), 0)) &amp;"'!$F$2:$L$15"),9, FALSE)</f>
        <v>0</v>
      </c>
      <c r="L42">
        <f t="array" aca="1" ref="L42" ca="1">HLOOKUP(L$35, INDIRECT("'"&amp;INDEX(Lookup_Sheets, MATCH(1, --(COUNTIF(INDIRECT("'"&amp; Lookup_Sheets&amp;"'!$F$2:$L$15"), L$35)&gt;0), 0)) &amp;"'!$F$2:$L$15"),9, FALSE)</f>
        <v>0</v>
      </c>
      <c r="M42">
        <f t="array" aca="1" ref="M42" ca="1">HLOOKUP(M$35, INDIRECT("'"&amp;INDEX(Lookup_Sheets, MATCH(1, --(COUNTIF(INDIRECT("'"&amp; Lookup_Sheets&amp;"'!$F$2:$L$15"), M$35)&gt;0), 0)) &amp;"'!$F$2:$L$15"),9, FALSE)</f>
        <v>0</v>
      </c>
      <c r="N42">
        <f t="array" aca="1" ref="N42" ca="1">HLOOKUP(N$35, INDIRECT("'"&amp;INDEX(Lookup_Sheets, MATCH(1, --(COUNTIF(INDIRECT("'"&amp; Lookup_Sheets&amp;"'!$F$2:$L$15"), N$35)&gt;0), 0)) &amp;"'!$F$2:$L$15"),9, FALSE)</f>
        <v>0</v>
      </c>
      <c r="O42">
        <f t="array" aca="1" ref="O42" ca="1">HLOOKUP(O$35, INDIRECT("'"&amp;INDEX(Lookup_Sheets, MATCH(1, --(COUNTIF(INDIRECT("'"&amp; Lookup_Sheets&amp;"'!$F$2:$L$15"), O$35)&gt;0), 0)) &amp;"'!$F$2:$L$15"),9, FALSE)</f>
        <v>0</v>
      </c>
      <c r="P42">
        <f t="array" aca="1" ref="P42" ca="1">HLOOKUP(P$35, INDIRECT("'"&amp;INDEX(Lookup_Sheets, MATCH(1, --(COUNTIF(INDIRECT("'"&amp; Lookup_Sheets&amp;"'!$F$2:$L$15"), P$35)&gt;0), 0)) &amp;"'!$F$2:$L$15"),9, FALSE)</f>
        <v>0</v>
      </c>
      <c r="Q42">
        <f t="array" aca="1" ref="Q42" ca="1">HLOOKUP(Q$35, INDIRECT("'"&amp;INDEX(Lookup_Sheets, MATCH(1, --(COUNTIF(INDIRECT("'"&amp; Lookup_Sheets&amp;"'!$F$2:$L$15"), Q$35)&gt;0), 0)) &amp;"'!$F$2:$L$15"),9, FALSE)</f>
        <v>0</v>
      </c>
      <c r="S42">
        <f t="array" aca="1" ref="S42" ca="1">HLOOKUP(S$35, INDIRECT("'"&amp;INDEX(Lookup_Sheets, MATCH(1, --(COUNTIF(INDIRECT("'"&amp; Lookup_Sheets&amp;"'!$F$2:$L$15"), S$35)&gt;0), 0)) &amp;"'!$F$2:$L$15"),9, FALSE)</f>
        <v>0</v>
      </c>
      <c r="T42">
        <f t="array" aca="1" ref="T42" ca="1">HLOOKUP(T$35, INDIRECT("'"&amp;INDEX(Lookup_Sheets, MATCH(1, --(COUNTIF(INDIRECT("'"&amp; Lookup_Sheets&amp;"'!$F$2:$L$15"), T$35)&gt;0), 0)) &amp;"'!$F$2:$L$15"),9, FALSE)</f>
        <v>0</v>
      </c>
      <c r="U42">
        <f t="array" aca="1" ref="U42" ca="1">HLOOKUP(U$35, INDIRECT("'"&amp;INDEX(Lookup_Sheets, MATCH(1, --(COUNTIF(INDIRECT("'"&amp; Lookup_Sheets&amp;"'!$F$2:$L$15"), U$35)&gt;0), 0)) &amp;"'!$F$2:$L$15"),9, FALSE)</f>
        <v>0</v>
      </c>
      <c r="V42">
        <f t="array" aca="1" ref="V42" ca="1">HLOOKUP(V$35, INDIRECT("'"&amp;INDEX(Lookup_Sheets, MATCH(1, --(COUNTIF(INDIRECT("'"&amp; Lookup_Sheets&amp;"'!$F$2:$L$15"), V$35)&gt;0), 0)) &amp;"'!$F$2:$L$15"),9, FALSE)</f>
        <v>0</v>
      </c>
      <c r="W42">
        <f t="array" aca="1" ref="W42" ca="1">HLOOKUP(W$35, INDIRECT("'"&amp;INDEX(Lookup_Sheets, MATCH(1, --(COUNTIF(INDIRECT("'"&amp; Lookup_Sheets&amp;"'!$F$2:$L$15"), W$35)&gt;0), 0)) &amp;"'!$F$2:$L$15"),9, FALSE)</f>
        <v>0</v>
      </c>
      <c r="X42">
        <f t="array" aca="1" ref="X42" ca="1">HLOOKUP(X$35, INDIRECT("'"&amp;INDEX(Lookup_Sheets, MATCH(1, --(COUNTIF(INDIRECT("'"&amp; Lookup_Sheets&amp;"'!$F$2:$L$15"), X$35)&gt;0), 0)) &amp;"'!$F$2:$L$15"),9, FALSE)</f>
        <v>0</v>
      </c>
      <c r="Y42">
        <f t="array" aca="1" ref="Y42" ca="1">HLOOKUP(Y$35, INDIRECT("'"&amp;INDEX(Lookup_Sheets, MATCH(1, --(COUNTIF(INDIRECT("'"&amp; Lookup_Sheets&amp;"'!$F$2:$L$15"), Y$35)&gt;0), 0)) &amp;"'!$F$2:$L$15"),9, FALSE)</f>
        <v>0</v>
      </c>
    </row>
    <row r="43" spans="1:25">
      <c r="A43" s="68" t="s">
        <v>195</v>
      </c>
      <c r="C43">
        <f t="array" aca="1" ref="C43" ca="1">HLOOKUP(C$35, INDIRECT("'"&amp;INDEX(Lookup_Sheets, MATCH(1, --(COUNTIF(INDIRECT("'"&amp; Lookup_Sheets&amp;"'!$F$2:$L$15"), C$35)&gt;0), 0)) &amp;"'!$F$2:$L$15"),10, FALSE)</f>
        <v>0</v>
      </c>
      <c r="D43">
        <f t="array" aca="1" ref="D43" ca="1">HLOOKUP(D$35, INDIRECT("'"&amp;INDEX(Lookup_Sheets, MATCH(1, --(COUNTIF(INDIRECT("'"&amp; Lookup_Sheets&amp;"'!$F$2:$L$15"), D$35)&gt;0), 0)) &amp;"'!$F$2:$L$15"),10, FALSE)</f>
        <v>0</v>
      </c>
      <c r="E43">
        <f t="array" aca="1" ref="E43" ca="1">HLOOKUP(E$35, INDIRECT("'"&amp;INDEX(Lookup_Sheets, MATCH(1, --(COUNTIF(INDIRECT("'"&amp; Lookup_Sheets&amp;"'!$F$2:$L$15"), E$35)&gt;0), 0)) &amp;"'!$F$2:$L$15"),10, FALSE)</f>
        <v>1</v>
      </c>
      <c r="F43">
        <f t="array" aca="1" ref="F43" ca="1">HLOOKUP(F$35, INDIRECT("'"&amp;INDEX(Lookup_Sheets, MATCH(1, --(COUNTIF(INDIRECT("'"&amp; Lookup_Sheets&amp;"'!$F$2:$L$15"), F$35)&gt;0), 0)) &amp;"'!$F$2:$L$15"),10, FALSE)</f>
        <v>0</v>
      </c>
      <c r="G43">
        <f t="array" aca="1" ref="G43" ca="1">HLOOKUP(G$35, INDIRECT("'"&amp;INDEX(Lookup_Sheets, MATCH(1, --(COUNTIF(INDIRECT("'"&amp; Lookup_Sheets&amp;"'!$F$2:$L$15"), G$35)&gt;0), 0)) &amp;"'!$F$2:$L$15"),10, FALSE)</f>
        <v>0</v>
      </c>
      <c r="H43">
        <f t="array" aca="1" ref="H43" ca="1">HLOOKUP(H$35, INDIRECT("'"&amp;INDEX(Lookup_Sheets, MATCH(1, --(COUNTIF(INDIRECT("'"&amp; Lookup_Sheets&amp;"'!$F$2:$L$15"), H$35)&gt;0), 0)) &amp;"'!$F$2:$L$15"),10, FALSE)</f>
        <v>0</v>
      </c>
      <c r="I43">
        <f t="array" aca="1" ref="I43" ca="1">HLOOKUP(I$35, INDIRECT("'"&amp;INDEX(Lookup_Sheets, MATCH(1, --(COUNTIF(INDIRECT("'"&amp; Lookup_Sheets&amp;"'!$F$2:$L$15"), I$35)&gt;0), 0)) &amp;"'!$F$2:$L$15"),10, FALSE)</f>
        <v>0</v>
      </c>
      <c r="K43">
        <f t="array" aca="1" ref="K43" ca="1">HLOOKUP(K$35, INDIRECT("'"&amp;INDEX(Lookup_Sheets, MATCH(1, --(COUNTIF(INDIRECT("'"&amp; Lookup_Sheets&amp;"'!$F$2:$L$15"), K$35)&gt;0), 0)) &amp;"'!$F$2:$L$15"),10, FALSE)</f>
        <v>0</v>
      </c>
      <c r="L43">
        <f t="array" aca="1" ref="L43" ca="1">HLOOKUP(L$35, INDIRECT("'"&amp;INDEX(Lookup_Sheets, MATCH(1, --(COUNTIF(INDIRECT("'"&amp; Lookup_Sheets&amp;"'!$F$2:$L$15"), L$35)&gt;0), 0)) &amp;"'!$F$2:$L$15"),10, FALSE)</f>
        <v>1</v>
      </c>
      <c r="M43">
        <f t="array" aca="1" ref="M43" ca="1">HLOOKUP(M$35, INDIRECT("'"&amp;INDEX(Lookup_Sheets, MATCH(1, --(COUNTIF(INDIRECT("'"&amp; Lookup_Sheets&amp;"'!$F$2:$L$15"), M$35)&gt;0), 0)) &amp;"'!$F$2:$L$15"),10, FALSE)</f>
        <v>0</v>
      </c>
      <c r="N43">
        <f t="array" aca="1" ref="N43" ca="1">HLOOKUP(N$35, INDIRECT("'"&amp;INDEX(Lookup_Sheets, MATCH(1, --(COUNTIF(INDIRECT("'"&amp; Lookup_Sheets&amp;"'!$F$2:$L$15"), N$35)&gt;0), 0)) &amp;"'!$F$2:$L$15"),10, FALSE)</f>
        <v>0</v>
      </c>
      <c r="O43">
        <f t="array" aca="1" ref="O43" ca="1">HLOOKUP(O$35, INDIRECT("'"&amp;INDEX(Lookup_Sheets, MATCH(1, --(COUNTIF(INDIRECT("'"&amp; Lookup_Sheets&amp;"'!$F$2:$L$15"), O$35)&gt;0), 0)) &amp;"'!$F$2:$L$15"),10, FALSE)</f>
        <v>0</v>
      </c>
      <c r="P43">
        <f t="array" aca="1" ref="P43" ca="1">HLOOKUP(P$35, INDIRECT("'"&amp;INDEX(Lookup_Sheets, MATCH(1, --(COUNTIF(INDIRECT("'"&amp; Lookup_Sheets&amp;"'!$F$2:$L$15"), P$35)&gt;0), 0)) &amp;"'!$F$2:$L$15"),10, FALSE)</f>
        <v>0</v>
      </c>
      <c r="Q43">
        <f t="array" aca="1" ref="Q43" ca="1">HLOOKUP(Q$35, INDIRECT("'"&amp;INDEX(Lookup_Sheets, MATCH(1, --(COUNTIF(INDIRECT("'"&amp; Lookup_Sheets&amp;"'!$F$2:$L$15"), Q$35)&gt;0), 0)) &amp;"'!$F$2:$L$15"),10, FALSE)</f>
        <v>0</v>
      </c>
      <c r="S43">
        <f t="array" aca="1" ref="S43" ca="1">HLOOKUP(S$35, INDIRECT("'"&amp;INDEX(Lookup_Sheets, MATCH(1, --(COUNTIF(INDIRECT("'"&amp; Lookup_Sheets&amp;"'!$F$2:$L$15"), S$35)&gt;0), 0)) &amp;"'!$F$2:$L$15"),10, FALSE)</f>
        <v>1</v>
      </c>
      <c r="T43">
        <f t="array" aca="1" ref="T43" ca="1">HLOOKUP(T$35, INDIRECT("'"&amp;INDEX(Lookup_Sheets, MATCH(1, --(COUNTIF(INDIRECT("'"&amp; Lookup_Sheets&amp;"'!$F$2:$L$15"), T$35)&gt;0), 0)) &amp;"'!$F$2:$L$15"),10, FALSE)</f>
        <v>0</v>
      </c>
      <c r="U43">
        <f t="array" aca="1" ref="U43" ca="1">HLOOKUP(U$35, INDIRECT("'"&amp;INDEX(Lookup_Sheets, MATCH(1, --(COUNTIF(INDIRECT("'"&amp; Lookup_Sheets&amp;"'!$F$2:$L$15"), U$35)&gt;0), 0)) &amp;"'!$F$2:$L$15"),10, FALSE)</f>
        <v>0</v>
      </c>
      <c r="V43">
        <f t="array" aca="1" ref="V43" ca="1">HLOOKUP(V$35, INDIRECT("'"&amp;INDEX(Lookup_Sheets, MATCH(1, --(COUNTIF(INDIRECT("'"&amp; Lookup_Sheets&amp;"'!$F$2:$L$15"), V$35)&gt;0), 0)) &amp;"'!$F$2:$L$15"),10, FALSE)</f>
        <v>0</v>
      </c>
      <c r="W43">
        <f t="array" aca="1" ref="W43" ca="1">HLOOKUP(W$35, INDIRECT("'"&amp;INDEX(Lookup_Sheets, MATCH(1, --(COUNTIF(INDIRECT("'"&amp; Lookup_Sheets&amp;"'!$F$2:$L$15"), W$35)&gt;0), 0)) &amp;"'!$F$2:$L$15"),10, FALSE)</f>
        <v>1</v>
      </c>
      <c r="X43">
        <f t="array" aca="1" ref="X43" ca="1">HLOOKUP(X$35, INDIRECT("'"&amp;INDEX(Lookup_Sheets, MATCH(1, --(COUNTIF(INDIRECT("'"&amp; Lookup_Sheets&amp;"'!$F$2:$L$15"), X$35)&gt;0), 0)) &amp;"'!$F$2:$L$15"),10, FALSE)</f>
        <v>0</v>
      </c>
      <c r="Y43">
        <f t="array" aca="1" ref="Y43" ca="1">HLOOKUP(Y$35, INDIRECT("'"&amp;INDEX(Lookup_Sheets, MATCH(1, --(COUNTIF(INDIRECT("'"&amp; Lookup_Sheets&amp;"'!$F$2:$L$15"), Y$35)&gt;0), 0)) &amp;"'!$F$2:$L$15"),10, FALSE)</f>
        <v>0</v>
      </c>
    </row>
    <row r="44" spans="1:25">
      <c r="A44" s="68" t="s">
        <v>22</v>
      </c>
      <c r="C44">
        <f t="array" aca="1" ref="C44" ca="1">HLOOKUP(C$35, INDIRECT("'"&amp;INDEX(Lookup_Sheets, MATCH(1, --(COUNTIF(INDIRECT("'"&amp; Lookup_Sheets&amp;"'!$F$2:$L$15"), C$35)&gt;0), 0)) &amp;"'!$F$2:$L$15"),11, FALSE)</f>
        <v>2</v>
      </c>
      <c r="D44">
        <f t="array" aca="1" ref="D44" ca="1">HLOOKUP(D$35, INDIRECT("'"&amp;INDEX(Lookup_Sheets, MATCH(1, --(COUNTIF(INDIRECT("'"&amp; Lookup_Sheets&amp;"'!$F$2:$L$15"), D$35)&gt;0), 0)) &amp;"'!$F$2:$L$15"),11, FALSE)</f>
        <v>2</v>
      </c>
      <c r="E44">
        <f t="array" aca="1" ref="E44" ca="1">HLOOKUP(E$35, INDIRECT("'"&amp;INDEX(Lookup_Sheets, MATCH(1, --(COUNTIF(INDIRECT("'"&amp; Lookup_Sheets&amp;"'!$F$2:$L$15"), E$35)&gt;0), 0)) &amp;"'!$F$2:$L$15"),11, FALSE)</f>
        <v>2</v>
      </c>
      <c r="F44">
        <f t="array" aca="1" ref="F44" ca="1">HLOOKUP(F$35, INDIRECT("'"&amp;INDEX(Lookup_Sheets, MATCH(1, --(COUNTIF(INDIRECT("'"&amp; Lookup_Sheets&amp;"'!$F$2:$L$15"), F$35)&gt;0), 0)) &amp;"'!$F$2:$L$15"),11, FALSE)</f>
        <v>2</v>
      </c>
      <c r="G44">
        <f t="array" aca="1" ref="G44" ca="1">HLOOKUP(G$35, INDIRECT("'"&amp;INDEX(Lookup_Sheets, MATCH(1, --(COUNTIF(INDIRECT("'"&amp; Lookup_Sheets&amp;"'!$F$2:$L$15"), G$35)&gt;0), 0)) &amp;"'!$F$2:$L$15"),11, FALSE)</f>
        <v>2</v>
      </c>
      <c r="H44">
        <f t="array" aca="1" ref="H44" ca="1">HLOOKUP(H$35, INDIRECT("'"&amp;INDEX(Lookup_Sheets, MATCH(1, --(COUNTIF(INDIRECT("'"&amp; Lookup_Sheets&amp;"'!$F$2:$L$15"), H$35)&gt;0), 0)) &amp;"'!$F$2:$L$15"),11, FALSE)</f>
        <v>2</v>
      </c>
      <c r="I44">
        <f t="array" aca="1" ref="I44" ca="1">HLOOKUP(I$35, INDIRECT("'"&amp;INDEX(Lookup_Sheets, MATCH(1, --(COUNTIF(INDIRECT("'"&amp; Lookup_Sheets&amp;"'!$F$2:$L$15"), I$35)&gt;0), 0)) &amp;"'!$F$2:$L$15"),11, FALSE)</f>
        <v>2</v>
      </c>
      <c r="K44">
        <f t="array" aca="1" ref="K44" ca="1">HLOOKUP(K$35, INDIRECT("'"&amp;INDEX(Lookup_Sheets, MATCH(1, --(COUNTIF(INDIRECT("'"&amp; Lookup_Sheets&amp;"'!$F$2:$L$15"), K$35)&gt;0), 0)) &amp;"'!$F$2:$L$15"),11, FALSE)</f>
        <v>2</v>
      </c>
      <c r="L44">
        <f t="array" aca="1" ref="L44" ca="1">HLOOKUP(L$35, INDIRECT("'"&amp;INDEX(Lookup_Sheets, MATCH(1, --(COUNTIF(INDIRECT("'"&amp; Lookup_Sheets&amp;"'!$F$2:$L$15"), L$35)&gt;0), 0)) &amp;"'!$F$2:$L$15"),11, FALSE)</f>
        <v>2</v>
      </c>
      <c r="M44">
        <f t="array" aca="1" ref="M44" ca="1">HLOOKUP(M$35, INDIRECT("'"&amp;INDEX(Lookup_Sheets, MATCH(1, --(COUNTIF(INDIRECT("'"&amp; Lookup_Sheets&amp;"'!$F$2:$L$15"), M$35)&gt;0), 0)) &amp;"'!$F$2:$L$15"),11, FALSE)</f>
        <v>2</v>
      </c>
      <c r="N44">
        <f t="array" aca="1" ref="N44" ca="1">HLOOKUP(N$35, INDIRECT("'"&amp;INDEX(Lookup_Sheets, MATCH(1, --(COUNTIF(INDIRECT("'"&amp; Lookup_Sheets&amp;"'!$F$2:$L$15"), N$35)&gt;0), 0)) &amp;"'!$F$2:$L$15"),11, FALSE)</f>
        <v>2</v>
      </c>
      <c r="O44">
        <f t="array" aca="1" ref="O44" ca="1">HLOOKUP(O$35, INDIRECT("'"&amp;INDEX(Lookup_Sheets, MATCH(1, --(COUNTIF(INDIRECT("'"&amp; Lookup_Sheets&amp;"'!$F$2:$L$15"), O$35)&gt;0), 0)) &amp;"'!$F$2:$L$15"),11, FALSE)</f>
        <v>2</v>
      </c>
      <c r="P44">
        <f t="array" aca="1" ref="P44" ca="1">HLOOKUP(P$35, INDIRECT("'"&amp;INDEX(Lookup_Sheets, MATCH(1, --(COUNTIF(INDIRECT("'"&amp; Lookup_Sheets&amp;"'!$F$2:$L$15"), P$35)&gt;0), 0)) &amp;"'!$F$2:$L$15"),11, FALSE)</f>
        <v>2</v>
      </c>
      <c r="Q44">
        <f t="array" aca="1" ref="Q44" ca="1">HLOOKUP(Q$35, INDIRECT("'"&amp;INDEX(Lookup_Sheets, MATCH(1, --(COUNTIF(INDIRECT("'"&amp; Lookup_Sheets&amp;"'!$F$2:$L$15"), Q$35)&gt;0), 0)) &amp;"'!$F$2:$L$15"),11, FALSE)</f>
        <v>2</v>
      </c>
      <c r="S44">
        <f t="array" aca="1" ref="S44" ca="1">HLOOKUP(S$35, INDIRECT("'"&amp;INDEX(Lookup_Sheets, MATCH(1, --(COUNTIF(INDIRECT("'"&amp; Lookup_Sheets&amp;"'!$F$2:$L$15"), S$35)&gt;0), 0)) &amp;"'!$F$2:$L$15"),11, FALSE)</f>
        <v>2</v>
      </c>
      <c r="T44">
        <f t="array" aca="1" ref="T44" ca="1">HLOOKUP(T$35, INDIRECT("'"&amp;INDEX(Lookup_Sheets, MATCH(1, --(COUNTIF(INDIRECT("'"&amp; Lookup_Sheets&amp;"'!$F$2:$L$15"), T$35)&gt;0), 0)) &amp;"'!$F$2:$L$15"),11, FALSE)</f>
        <v>2</v>
      </c>
      <c r="U44">
        <f t="array" aca="1" ref="U44" ca="1">HLOOKUP(U$35, INDIRECT("'"&amp;INDEX(Lookup_Sheets, MATCH(1, --(COUNTIF(INDIRECT("'"&amp; Lookup_Sheets&amp;"'!$F$2:$L$15"), U$35)&gt;0), 0)) &amp;"'!$F$2:$L$15"),11, FALSE)</f>
        <v>3</v>
      </c>
      <c r="V44">
        <f t="array" aca="1" ref="V44" ca="1">HLOOKUP(V$35, INDIRECT("'"&amp;INDEX(Lookup_Sheets, MATCH(1, --(COUNTIF(INDIRECT("'"&amp; Lookup_Sheets&amp;"'!$F$2:$L$15"), V$35)&gt;0), 0)) &amp;"'!$F$2:$L$15"),11, FALSE)</f>
        <v>2</v>
      </c>
      <c r="W44">
        <f t="array" aca="1" ref="W44" ca="1">HLOOKUP(W$35, INDIRECT("'"&amp;INDEX(Lookup_Sheets, MATCH(1, --(COUNTIF(INDIRECT("'"&amp; Lookup_Sheets&amp;"'!$F$2:$L$15"), W$35)&gt;0), 0)) &amp;"'!$F$2:$L$15"),11, FALSE)</f>
        <v>2</v>
      </c>
      <c r="X44">
        <f t="array" aca="1" ref="X44" ca="1">HLOOKUP(X$35, INDIRECT("'"&amp;INDEX(Lookup_Sheets, MATCH(1, --(COUNTIF(INDIRECT("'"&amp; Lookup_Sheets&amp;"'!$F$2:$L$15"), X$35)&gt;0), 0)) &amp;"'!$F$2:$L$15"),11, FALSE)</f>
        <v>2</v>
      </c>
      <c r="Y44">
        <f t="array" aca="1" ref="Y44" ca="1">HLOOKUP(Y$35, INDIRECT("'"&amp;INDEX(Lookup_Sheets, MATCH(1, --(COUNTIF(INDIRECT("'"&amp; Lookup_Sheets&amp;"'!$F$2:$L$15"), Y$35)&gt;0), 0)) &amp;"'!$F$2:$L$15"),11, FALSE)</f>
        <v>2</v>
      </c>
    </row>
    <row r="45" spans="1:25" ht="15.75" thickBot="1">
      <c r="A45" s="68" t="s">
        <v>23</v>
      </c>
      <c r="C45">
        <f t="array" aca="1" ref="C45" ca="1">HLOOKUP(C$35, INDIRECT("'"&amp;INDEX(Lookup_Sheets, MATCH(1, --(COUNTIF(INDIRECT("'"&amp; Lookup_Sheets&amp;"'!$F$2:$L$15"), C$35)&gt;0), 0)) &amp;"'!$F$2:$L$15"),12, FALSE)</f>
        <v>8</v>
      </c>
      <c r="D45">
        <f t="array" aca="1" ref="D45" ca="1">HLOOKUP(D$35, INDIRECT("'"&amp;INDEX(Lookup_Sheets, MATCH(1, --(COUNTIF(INDIRECT("'"&amp; Lookup_Sheets&amp;"'!$F$2:$L$15"), D$35)&gt;0), 0)) &amp;"'!$F$2:$L$15"),12, FALSE)</f>
        <v>8</v>
      </c>
      <c r="E45">
        <f t="array" aca="1" ref="E45" ca="1">HLOOKUP(E$35, INDIRECT("'"&amp;INDEX(Lookup_Sheets, MATCH(1, --(COUNTIF(INDIRECT("'"&amp; Lookup_Sheets&amp;"'!$F$2:$L$15"), E$35)&gt;0), 0)) &amp;"'!$F$2:$L$15"),12, FALSE)</f>
        <v>8</v>
      </c>
      <c r="F45">
        <f t="array" aca="1" ref="F45" ca="1">HLOOKUP(F$35, INDIRECT("'"&amp;INDEX(Lookup_Sheets, MATCH(1, --(COUNTIF(INDIRECT("'"&amp; Lookup_Sheets&amp;"'!$F$2:$L$15"), F$35)&gt;0), 0)) &amp;"'!$F$2:$L$15"),12, FALSE)</f>
        <v>8</v>
      </c>
      <c r="G45">
        <f t="array" aca="1" ref="G45" ca="1">HLOOKUP(G$35, INDIRECT("'"&amp;INDEX(Lookup_Sheets, MATCH(1, --(COUNTIF(INDIRECT("'"&amp; Lookup_Sheets&amp;"'!$F$2:$L$15"), G$35)&gt;0), 0)) &amp;"'!$F$2:$L$15"),12, FALSE)</f>
        <v>8</v>
      </c>
      <c r="H45">
        <f t="array" aca="1" ref="H45" ca="1">HLOOKUP(H$35, INDIRECT("'"&amp;INDEX(Lookup_Sheets, MATCH(1, --(COUNTIF(INDIRECT("'"&amp; Lookup_Sheets&amp;"'!$F$2:$L$15"), H$35)&gt;0), 0)) &amp;"'!$F$2:$L$15"),12, FALSE)</f>
        <v>8</v>
      </c>
      <c r="I45">
        <f t="array" aca="1" ref="I45" ca="1">HLOOKUP(I$35, INDIRECT("'"&amp;INDEX(Lookup_Sheets, MATCH(1, --(COUNTIF(INDIRECT("'"&amp; Lookup_Sheets&amp;"'!$F$2:$L$15"), I$35)&gt;0), 0)) &amp;"'!$F$2:$L$15"),12, FALSE)</f>
        <v>8</v>
      </c>
      <c r="K45">
        <f t="array" aca="1" ref="K45" ca="1">HLOOKUP(K$35, INDIRECT("'"&amp;INDEX(Lookup_Sheets, MATCH(1, --(COUNTIF(INDIRECT("'"&amp; Lookup_Sheets&amp;"'!$F$2:$L$15"), K$35)&gt;0), 0)) &amp;"'!$F$2:$L$15"),12, FALSE)</f>
        <v>9</v>
      </c>
      <c r="L45">
        <f t="array" aca="1" ref="L45" ca="1">HLOOKUP(L$35, INDIRECT("'"&amp;INDEX(Lookup_Sheets, MATCH(1, --(COUNTIF(INDIRECT("'"&amp; Lookup_Sheets&amp;"'!$F$2:$L$15"), L$35)&gt;0), 0)) &amp;"'!$F$2:$L$15"),12, FALSE)</f>
        <v>8</v>
      </c>
      <c r="M45">
        <f t="array" aca="1" ref="M45" ca="1">HLOOKUP(M$35, INDIRECT("'"&amp;INDEX(Lookup_Sheets, MATCH(1, --(COUNTIF(INDIRECT("'"&amp; Lookup_Sheets&amp;"'!$F$2:$L$15"), M$35)&gt;0), 0)) &amp;"'!$F$2:$L$15"),12, FALSE)</f>
        <v>8</v>
      </c>
      <c r="N45">
        <f t="array" aca="1" ref="N45" ca="1">HLOOKUP(N$35, INDIRECT("'"&amp;INDEX(Lookup_Sheets, MATCH(1, --(COUNTIF(INDIRECT("'"&amp; Lookup_Sheets&amp;"'!$F$2:$L$15"), N$35)&gt;0), 0)) &amp;"'!$F$2:$L$15"),12, FALSE)</f>
        <v>9</v>
      </c>
      <c r="O45">
        <f t="array" aca="1" ref="O45" ca="1">HLOOKUP(O$35, INDIRECT("'"&amp;INDEX(Lookup_Sheets, MATCH(1, --(COUNTIF(INDIRECT("'"&amp; Lookup_Sheets&amp;"'!$F$2:$L$15"), O$35)&gt;0), 0)) &amp;"'!$F$2:$L$15"),12, FALSE)</f>
        <v>8</v>
      </c>
      <c r="P45">
        <f t="array" aca="1" ref="P45" ca="1">HLOOKUP(P$35, INDIRECT("'"&amp;INDEX(Lookup_Sheets, MATCH(1, --(COUNTIF(INDIRECT("'"&amp; Lookup_Sheets&amp;"'!$F$2:$L$15"), P$35)&gt;0), 0)) &amp;"'!$F$2:$L$15"),12, FALSE)</f>
        <v>8</v>
      </c>
      <c r="Q45">
        <f t="array" aca="1" ref="Q45" ca="1">HLOOKUP(Q$35, INDIRECT("'"&amp;INDEX(Lookup_Sheets, MATCH(1, --(COUNTIF(INDIRECT("'"&amp; Lookup_Sheets&amp;"'!$F$2:$L$15"), Q$35)&gt;0), 0)) &amp;"'!$F$2:$L$15"),12, FALSE)</f>
        <v>8</v>
      </c>
      <c r="S45">
        <f t="array" aca="1" ref="S45" ca="1">HLOOKUP(S$35, INDIRECT("'"&amp;INDEX(Lookup_Sheets, MATCH(1, --(COUNTIF(INDIRECT("'"&amp; Lookup_Sheets&amp;"'!$F$2:$L$15"), S$35)&gt;0), 0)) &amp;"'!$F$2:$L$15"),12, FALSE)</f>
        <v>8</v>
      </c>
      <c r="T45">
        <f t="array" aca="1" ref="T45" ca="1">HLOOKUP(T$35, INDIRECT("'"&amp;INDEX(Lookup_Sheets, MATCH(1, --(COUNTIF(INDIRECT("'"&amp; Lookup_Sheets&amp;"'!$F$2:$L$15"), T$35)&gt;0), 0)) &amp;"'!$F$2:$L$15"),12, FALSE)</f>
        <v>8</v>
      </c>
      <c r="U45">
        <f t="array" aca="1" ref="U45" ca="1">HLOOKUP(U$35, INDIRECT("'"&amp;INDEX(Lookup_Sheets, MATCH(1, --(COUNTIF(INDIRECT("'"&amp; Lookup_Sheets&amp;"'!$F$2:$L$15"), U$35)&gt;0), 0)) &amp;"'!$F$2:$L$15"),12, FALSE)</f>
        <v>8</v>
      </c>
      <c r="V45">
        <f t="array" aca="1" ref="V45" ca="1">HLOOKUP(V$35, INDIRECT("'"&amp;INDEX(Lookup_Sheets, MATCH(1, --(COUNTIF(INDIRECT("'"&amp; Lookup_Sheets&amp;"'!$F$2:$L$15"), V$35)&gt;0), 0)) &amp;"'!$F$2:$L$15"),12, FALSE)</f>
        <v>9</v>
      </c>
      <c r="W45">
        <f t="array" aca="1" ref="W45" ca="1">HLOOKUP(W$35, INDIRECT("'"&amp;INDEX(Lookup_Sheets, MATCH(1, --(COUNTIF(INDIRECT("'"&amp; Lookup_Sheets&amp;"'!$F$2:$L$15"), W$35)&gt;0), 0)) &amp;"'!$F$2:$L$15"),12, FALSE)</f>
        <v>8</v>
      </c>
      <c r="X45">
        <f t="array" aca="1" ref="X45" ca="1">HLOOKUP(X$35, INDIRECT("'"&amp;INDEX(Lookup_Sheets, MATCH(1, --(COUNTIF(INDIRECT("'"&amp; Lookup_Sheets&amp;"'!$F$2:$L$15"), X$35)&gt;0), 0)) &amp;"'!$F$2:$L$15"),12, FALSE)</f>
        <v>8</v>
      </c>
      <c r="Y45">
        <f t="array" aca="1" ref="Y45" ca="1">HLOOKUP(Y$35, INDIRECT("'"&amp;INDEX(Lookup_Sheets, MATCH(1, --(COUNTIF(INDIRECT("'"&amp; Lookup_Sheets&amp;"'!$F$2:$L$15"), Y$35)&gt;0), 0)) &amp;"'!$F$2:$L$15"),12, FALSE)</f>
        <v>8</v>
      </c>
    </row>
    <row r="46" spans="1:25" ht="15.75" thickBot="1">
      <c r="A46" s="69" t="s">
        <v>24</v>
      </c>
      <c r="C46" s="71">
        <f ca="1">C44+C45</f>
        <v>10</v>
      </c>
      <c r="D46" s="72">
        <f t="shared" ref="D46:I46" ca="1" si="24">D44+D45</f>
        <v>10</v>
      </c>
      <c r="E46" s="72">
        <f t="shared" ca="1" si="24"/>
        <v>10</v>
      </c>
      <c r="F46" s="72">
        <f t="shared" ca="1" si="24"/>
        <v>10</v>
      </c>
      <c r="G46" s="72">
        <f t="shared" ca="1" si="24"/>
        <v>10</v>
      </c>
      <c r="H46" s="72">
        <f t="shared" ca="1" si="24"/>
        <v>10</v>
      </c>
      <c r="I46" s="73">
        <f t="shared" ca="1" si="24"/>
        <v>10</v>
      </c>
      <c r="K46" s="71">
        <f ca="1">K44+K45</f>
        <v>11</v>
      </c>
      <c r="L46" s="72">
        <f t="shared" ref="L46:Q46" ca="1" si="25">L44+L45</f>
        <v>10</v>
      </c>
      <c r="M46" s="72">
        <f t="shared" ca="1" si="25"/>
        <v>10</v>
      </c>
      <c r="N46" s="72">
        <f t="shared" ca="1" si="25"/>
        <v>11</v>
      </c>
      <c r="O46" s="72">
        <f t="shared" ca="1" si="25"/>
        <v>10</v>
      </c>
      <c r="P46" s="72">
        <f t="shared" ca="1" si="25"/>
        <v>10</v>
      </c>
      <c r="Q46" s="73">
        <f t="shared" ca="1" si="25"/>
        <v>10</v>
      </c>
      <c r="S46" s="71">
        <f ca="1">S44+S45</f>
        <v>10</v>
      </c>
      <c r="T46" s="72">
        <f t="shared" ref="T46:Y46" ca="1" si="26">T44+T45</f>
        <v>10</v>
      </c>
      <c r="U46" s="72">
        <f t="shared" ca="1" si="26"/>
        <v>11</v>
      </c>
      <c r="V46" s="72">
        <f t="shared" ca="1" si="26"/>
        <v>11</v>
      </c>
      <c r="W46" s="72">
        <f t="shared" ca="1" si="26"/>
        <v>10</v>
      </c>
      <c r="X46" s="72">
        <f t="shared" ca="1" si="26"/>
        <v>10</v>
      </c>
      <c r="Y46" s="73">
        <f t="shared" ca="1" si="26"/>
        <v>10</v>
      </c>
    </row>
    <row r="47" spans="1:25" ht="16.5" thickBot="1">
      <c r="A47" s="2"/>
    </row>
    <row r="48" spans="1:25" ht="15.75" thickBot="1">
      <c r="A48" s="69" t="s">
        <v>25</v>
      </c>
      <c r="C48" s="74">
        <f t="array" aca="1" ref="C48" ca="1">HLOOKUP(C$35, INDIRECT("'"&amp;INDEX(Lookup_Sheets, MATCH(1, --(COUNTIF(INDIRECT("'"&amp; Lookup_Sheets&amp;"'!$F$2:$L$16"), C$35)&gt;0), 0)) &amp;"'!$F$2:$L$16"),15, FALSE)</f>
        <v>4</v>
      </c>
      <c r="D48" s="75">
        <f t="array" aca="1" ref="D48" ca="1">HLOOKUP(D$35, INDIRECT("'"&amp;INDEX(Lookup_Sheets, MATCH(1, --(COUNTIF(INDIRECT("'"&amp; Lookup_Sheets&amp;"'!$F$2:$L$16"), D$35)&gt;0), 0)) &amp;"'!$F$2:$L$16"),15, FALSE)</f>
        <v>5</v>
      </c>
      <c r="E48" s="75">
        <f t="array" aca="1" ref="E48" ca="1">HLOOKUP(E$35, INDIRECT("'"&amp;INDEX(Lookup_Sheets, MATCH(1, --(COUNTIF(INDIRECT("'"&amp; Lookup_Sheets&amp;"'!$F$2:$L$16"), E$35)&gt;0), 0)) &amp;"'!$F$2:$L$16"),15, FALSE)</f>
        <v>5</v>
      </c>
      <c r="F48" s="75">
        <f t="array" aca="1" ref="F48" ca="1">HLOOKUP(F$35, INDIRECT("'"&amp;INDEX(Lookup_Sheets, MATCH(1, --(COUNTIF(INDIRECT("'"&amp; Lookup_Sheets&amp;"'!$F$2:$L$16"), F$35)&gt;0), 0)) &amp;"'!$F$2:$L$16"),15, FALSE)</f>
        <v>5</v>
      </c>
      <c r="G48" s="75">
        <f t="array" aca="1" ref="G48" ca="1">HLOOKUP(G$35, INDIRECT("'"&amp;INDEX(Lookup_Sheets, MATCH(1, --(COUNTIF(INDIRECT("'"&amp; Lookup_Sheets&amp;"'!$F$2:$L$16"), G$35)&gt;0), 0)) &amp;"'!$F$2:$L$16"),15, FALSE)</f>
        <v>4</v>
      </c>
      <c r="H48" s="75">
        <f t="array" aca="1" ref="H48" ca="1">HLOOKUP(H$35, INDIRECT("'"&amp;INDEX(Lookup_Sheets, MATCH(1, --(COUNTIF(INDIRECT("'"&amp; Lookup_Sheets&amp;"'!$F$2:$L$16"), H$35)&gt;0), 0)) &amp;"'!$F$2:$L$16"),15, FALSE)</f>
        <v>4</v>
      </c>
      <c r="I48" s="76">
        <f t="array" aca="1" ref="I48" ca="1">HLOOKUP(I$35, INDIRECT("'"&amp;INDEX(Lookup_Sheets, MATCH(1, --(COUNTIF(INDIRECT("'"&amp; Lookup_Sheets&amp;"'!$F$2:$L$16"), I$35)&gt;0), 0)) &amp;"'!$F$2:$L$16"),15, FALSE)</f>
        <v>4</v>
      </c>
      <c r="K48" s="74">
        <f t="array" aca="1" ref="K48" ca="1">HLOOKUP(K$35, INDIRECT("'"&amp;INDEX(Lookup_Sheets, MATCH(1, --(COUNTIF(INDIRECT("'"&amp; Lookup_Sheets&amp;"'!$F$2:$L$16"), K$35)&gt;0), 0)) &amp;"'!$F$2:$L$16"),15, FALSE)</f>
        <v>4</v>
      </c>
      <c r="L48" s="75">
        <f t="array" aca="1" ref="L48" ca="1">HLOOKUP(L$35, INDIRECT("'"&amp;INDEX(Lookup_Sheets, MATCH(1, --(COUNTIF(INDIRECT("'"&amp; Lookup_Sheets&amp;"'!$F$2:$L$16"), L$35)&gt;0), 0)) &amp;"'!$F$2:$L$16"),15, FALSE)</f>
        <v>4</v>
      </c>
      <c r="M48" s="75">
        <f t="array" aca="1" ref="M48" ca="1">HLOOKUP(M$35, INDIRECT("'"&amp;INDEX(Lookup_Sheets, MATCH(1, --(COUNTIF(INDIRECT("'"&amp; Lookup_Sheets&amp;"'!$F$2:$L$16"), M$35)&gt;0), 0)) &amp;"'!$F$2:$L$16"),15, FALSE)</f>
        <v>4</v>
      </c>
      <c r="N48" s="75">
        <f t="array" aca="1" ref="N48" ca="1">HLOOKUP(N$35, INDIRECT("'"&amp;INDEX(Lookup_Sheets, MATCH(1, --(COUNTIF(INDIRECT("'"&amp; Lookup_Sheets&amp;"'!$F$2:$L$16"), N$35)&gt;0), 0)) &amp;"'!$F$2:$L$16"),15, FALSE)</f>
        <v>4</v>
      </c>
      <c r="O48" s="75">
        <f t="array" aca="1" ref="O48" ca="1">HLOOKUP(O$35, INDIRECT("'"&amp;INDEX(Lookup_Sheets, MATCH(1, --(COUNTIF(INDIRECT("'"&amp; Lookup_Sheets&amp;"'!$F$2:$L$16"), O$35)&gt;0), 0)) &amp;"'!$F$2:$L$16"),15, FALSE)</f>
        <v>4</v>
      </c>
      <c r="P48" s="75">
        <f t="array" aca="1" ref="P48" ca="1">HLOOKUP(P$35, INDIRECT("'"&amp;INDEX(Lookup_Sheets, MATCH(1, --(COUNTIF(INDIRECT("'"&amp; Lookup_Sheets&amp;"'!$F$2:$L$16"), P$35)&gt;0), 0)) &amp;"'!$F$2:$L$16"),15, FALSE)</f>
        <v>4</v>
      </c>
      <c r="Q48" s="76">
        <f t="array" aca="1" ref="Q48" ca="1">HLOOKUP(Q$35, INDIRECT("'"&amp;INDEX(Lookup_Sheets, MATCH(1, --(COUNTIF(INDIRECT("'"&amp; Lookup_Sheets&amp;"'!$F$2:$L$16"), Q$35)&gt;0), 0)) &amp;"'!$F$2:$L$16"),15, FALSE)</f>
        <v>4</v>
      </c>
      <c r="S48" s="74">
        <f t="array" aca="1" ref="S48" ca="1">HLOOKUP(S$35, INDIRECT("'"&amp;INDEX(Lookup_Sheets, MATCH(1, --(COUNTIF(INDIRECT("'"&amp; Lookup_Sheets&amp;"'!$F$2:$L$16"), S$35)&gt;0), 0)) &amp;"'!$F$2:$L$16"),15, FALSE)</f>
        <v>4</v>
      </c>
      <c r="T48" s="75">
        <f t="array" aca="1" ref="T48" ca="1">HLOOKUP(T$35, INDIRECT("'"&amp;INDEX(Lookup_Sheets, MATCH(1, --(COUNTIF(INDIRECT("'"&amp; Lookup_Sheets&amp;"'!$F$2:$L$16"), T$35)&gt;0), 0)) &amp;"'!$F$2:$L$16"),15, FALSE)</f>
        <v>4</v>
      </c>
      <c r="U48" s="75">
        <f t="array" aca="1" ref="U48" ca="1">HLOOKUP(U$35, INDIRECT("'"&amp;INDEX(Lookup_Sheets, MATCH(1, --(COUNTIF(INDIRECT("'"&amp; Lookup_Sheets&amp;"'!$F$2:$L$16"), U$35)&gt;0), 0)) &amp;"'!$F$2:$L$16"),15, FALSE)</f>
        <v>4</v>
      </c>
      <c r="V48" s="75">
        <f t="array" aca="1" ref="V48" ca="1">HLOOKUP(V$35, INDIRECT("'"&amp;INDEX(Lookup_Sheets, MATCH(1, --(COUNTIF(INDIRECT("'"&amp; Lookup_Sheets&amp;"'!$F$2:$L$16"), V$35)&gt;0), 0)) &amp;"'!$F$2:$L$16"),15, FALSE)</f>
        <v>4</v>
      </c>
      <c r="W48" s="75">
        <f t="array" aca="1" ref="W48" ca="1">HLOOKUP(W$35, INDIRECT("'"&amp;INDEX(Lookup_Sheets, MATCH(1, --(COUNTIF(INDIRECT("'"&amp; Lookup_Sheets&amp;"'!$F$2:$L$16"), W$35)&gt;0), 0)) &amp;"'!$F$2:$L$16"),15, FALSE)</f>
        <v>4</v>
      </c>
      <c r="X48" s="75">
        <f t="array" aca="1" ref="X48" ca="1">HLOOKUP(X$35, INDIRECT("'"&amp;INDEX(Lookup_Sheets, MATCH(1, --(COUNTIF(INDIRECT("'"&amp; Lookup_Sheets&amp;"'!$F$2:$L$16"), X$35)&gt;0), 0)) &amp;"'!$F$2:$L$16"),15, FALSE)</f>
        <v>4</v>
      </c>
      <c r="Y48" s="76">
        <f t="array" aca="1" ref="Y48" ca="1">HLOOKUP(Y$35, INDIRECT("'"&amp;INDEX(Lookup_Sheets, MATCH(1, --(COUNTIF(INDIRECT("'"&amp; Lookup_Sheets&amp;"'!$F$2:$L$16"), Y$35)&gt;0), 0)) &amp;"'!$F$2:$L$16"),15, FALSE)</f>
        <v>4</v>
      </c>
    </row>
    <row r="50" spans="1:25">
      <c r="C50" t="s">
        <v>197</v>
      </c>
      <c r="K50" t="s">
        <v>198</v>
      </c>
      <c r="S50" t="s">
        <v>199</v>
      </c>
    </row>
    <row r="51" spans="1:25">
      <c r="C51" t="s">
        <v>5</v>
      </c>
      <c r="D51" t="s">
        <v>6</v>
      </c>
      <c r="E51" t="s">
        <v>7</v>
      </c>
      <c r="F51" t="s">
        <v>8</v>
      </c>
      <c r="G51" t="s">
        <v>9</v>
      </c>
      <c r="H51" t="s">
        <v>10</v>
      </c>
      <c r="I51" t="s">
        <v>11</v>
      </c>
      <c r="K51" t="s">
        <v>5</v>
      </c>
      <c r="L51" t="s">
        <v>6</v>
      </c>
      <c r="M51" t="s">
        <v>7</v>
      </c>
      <c r="N51" t="s">
        <v>8</v>
      </c>
      <c r="O51" t="s">
        <v>9</v>
      </c>
      <c r="P51" t="s">
        <v>10</v>
      </c>
      <c r="Q51" t="s">
        <v>11</v>
      </c>
      <c r="S51" t="s">
        <v>5</v>
      </c>
      <c r="T51" t="s">
        <v>6</v>
      </c>
      <c r="U51" t="s">
        <v>7</v>
      </c>
      <c r="V51" t="s">
        <v>8</v>
      </c>
      <c r="W51" t="s">
        <v>9</v>
      </c>
      <c r="X51" t="s">
        <v>10</v>
      </c>
      <c r="Y51" t="s">
        <v>11</v>
      </c>
    </row>
    <row r="52" spans="1:25">
      <c r="C52" s="70">
        <f>S35+7</f>
        <v>46209</v>
      </c>
      <c r="D52" s="70">
        <f t="shared" ref="D52:I52" si="27">C52+1</f>
        <v>46210</v>
      </c>
      <c r="E52" s="70">
        <f t="shared" si="27"/>
        <v>46211</v>
      </c>
      <c r="F52" s="70">
        <f t="shared" si="27"/>
        <v>46212</v>
      </c>
      <c r="G52" s="70">
        <f t="shared" si="27"/>
        <v>46213</v>
      </c>
      <c r="H52" s="70">
        <f t="shared" si="27"/>
        <v>46214</v>
      </c>
      <c r="I52" s="70">
        <f t="shared" si="27"/>
        <v>46215</v>
      </c>
      <c r="K52" s="70">
        <f>C52+7</f>
        <v>46216</v>
      </c>
      <c r="L52" s="70">
        <f t="shared" ref="L52:Q52" si="28">K52+1</f>
        <v>46217</v>
      </c>
      <c r="M52" s="70">
        <f t="shared" si="28"/>
        <v>46218</v>
      </c>
      <c r="N52" s="70">
        <f t="shared" si="28"/>
        <v>46219</v>
      </c>
      <c r="O52" s="70">
        <f t="shared" si="28"/>
        <v>46220</v>
      </c>
      <c r="P52" s="70">
        <f t="shared" si="28"/>
        <v>46221</v>
      </c>
      <c r="Q52" s="70">
        <f t="shared" si="28"/>
        <v>46222</v>
      </c>
      <c r="S52" s="70">
        <f>K52+7</f>
        <v>46223</v>
      </c>
      <c r="T52" s="70">
        <f t="shared" ref="T52:Y52" si="29">S52+1</f>
        <v>46224</v>
      </c>
      <c r="U52" s="70">
        <f t="shared" si="29"/>
        <v>46225</v>
      </c>
      <c r="V52" s="70">
        <f t="shared" si="29"/>
        <v>46226</v>
      </c>
      <c r="W52" s="70">
        <f t="shared" si="29"/>
        <v>46227</v>
      </c>
      <c r="X52" s="70">
        <f t="shared" si="29"/>
        <v>46228</v>
      </c>
      <c r="Y52" s="70">
        <f t="shared" si="29"/>
        <v>46229</v>
      </c>
    </row>
    <row r="54" spans="1:25">
      <c r="A54" s="68" t="s">
        <v>17</v>
      </c>
      <c r="C54">
        <f t="array" aca="1" ref="C54" ca="1">HLOOKUP(C$52, INDIRECT("'"&amp;INDEX(Lookup_Sheets, MATCH(1, --(COUNTIF(INDIRECT("'"&amp; Lookup_Sheets&amp;"'!$F$2:$L$15"), C$52)&gt;0), 0)) &amp;"'!$F$2:$L$15"),5, FALSE)</f>
        <v>3</v>
      </c>
      <c r="D54">
        <f t="array" aca="1" ref="D54" ca="1">HLOOKUP(D$52, INDIRECT("'"&amp;INDEX(Lookup_Sheets, MATCH(1, --(COUNTIF(INDIRECT("'"&amp; Lookup_Sheets&amp;"'!$F$2:$L$15"), D$52)&gt;0), 0)) &amp;"'!$F$2:$L$15"),5, FALSE)</f>
        <v>3</v>
      </c>
      <c r="E54">
        <f t="array" aca="1" ref="E54" ca="1">HLOOKUP(E$52, INDIRECT("'"&amp;INDEX(Lookup_Sheets, MATCH(1, --(COUNTIF(INDIRECT("'"&amp; Lookup_Sheets&amp;"'!$F$2:$L$15"), E$52)&gt;0), 0)) &amp;"'!$F$2:$L$15"),5, FALSE)</f>
        <v>3</v>
      </c>
      <c r="F54">
        <f t="array" aca="1" ref="F54" ca="1">HLOOKUP(F$52, INDIRECT("'"&amp;INDEX(Lookup_Sheets, MATCH(1, --(COUNTIF(INDIRECT("'"&amp; Lookup_Sheets&amp;"'!$F$2:$L$15"), F$52)&gt;0), 0)) &amp;"'!$F$2:$L$15"),5, FALSE)</f>
        <v>3</v>
      </c>
      <c r="G54">
        <f t="array" aca="1" ref="G54" ca="1">HLOOKUP(G$52, INDIRECT("'"&amp;INDEX(Lookup_Sheets, MATCH(1, --(COUNTIF(INDIRECT("'"&amp; Lookup_Sheets&amp;"'!$F$2:$L$15"), G$52)&gt;0), 0)) &amp;"'!$F$2:$L$15"),5, FALSE)</f>
        <v>3</v>
      </c>
      <c r="H54">
        <f t="array" aca="1" ref="H54" ca="1">HLOOKUP(H$52, INDIRECT("'"&amp;INDEX(Lookup_Sheets, MATCH(1, --(COUNTIF(INDIRECT("'"&amp; Lookup_Sheets&amp;"'!$F$2:$L$15"), H$52)&gt;0), 0)) &amp;"'!$F$2:$L$15"),5, FALSE)</f>
        <v>2</v>
      </c>
      <c r="I54">
        <f t="array" aca="1" ref="I54" ca="1">HLOOKUP(I$52, INDIRECT("'"&amp;INDEX(Lookup_Sheets, MATCH(1, --(COUNTIF(INDIRECT("'"&amp; Lookup_Sheets&amp;"'!$F$2:$L$15"), I$52)&gt;0), 0)) &amp;"'!$F$2:$L$15"),5, FALSE)</f>
        <v>2</v>
      </c>
      <c r="K54">
        <f t="array" aca="1" ref="K54" ca="1">HLOOKUP(K$52, INDIRECT("'"&amp;INDEX(Lookup_Sheets, MATCH(1, --(COUNTIF(INDIRECT("'"&amp; Lookup_Sheets&amp;"'!$F$2:$L$15"), K$52)&gt;0), 0)) &amp;"'!$F$2:$L$15"),5, FALSE)</f>
        <v>3</v>
      </c>
      <c r="L54">
        <f t="array" aca="1" ref="L54" ca="1">HLOOKUP(L$52, INDIRECT("'"&amp;INDEX(Lookup_Sheets, MATCH(1, --(COUNTIF(INDIRECT("'"&amp; Lookup_Sheets&amp;"'!$F$2:$L$15"), L$52)&gt;0), 0)) &amp;"'!$F$2:$L$15"),5, FALSE)</f>
        <v>3</v>
      </c>
      <c r="M54">
        <f t="array" aca="1" ref="M54" ca="1">HLOOKUP(M$52, INDIRECT("'"&amp;INDEX(Lookup_Sheets, MATCH(1, --(COUNTIF(INDIRECT("'"&amp; Lookup_Sheets&amp;"'!$F$2:$L$15"), M$52)&gt;0), 0)) &amp;"'!$F$2:$L$15"),5, FALSE)</f>
        <v>3</v>
      </c>
      <c r="N54">
        <f t="array" aca="1" ref="N54" ca="1">HLOOKUP(N$52, INDIRECT("'"&amp;INDEX(Lookup_Sheets, MATCH(1, --(COUNTIF(INDIRECT("'"&amp; Lookup_Sheets&amp;"'!$F$2:$L$15"), N$52)&gt;0), 0)) &amp;"'!$F$2:$L$15"),5, FALSE)</f>
        <v>3</v>
      </c>
      <c r="O54">
        <f t="array" aca="1" ref="O54" ca="1">HLOOKUP(O$52, INDIRECT("'"&amp;INDEX(Lookup_Sheets, MATCH(1, --(COUNTIF(INDIRECT("'"&amp; Lookup_Sheets&amp;"'!$F$2:$L$15"), O$52)&gt;0), 0)) &amp;"'!$F$2:$L$15"),5, FALSE)</f>
        <v>3</v>
      </c>
      <c r="P54">
        <f t="array" aca="1" ref="P54" ca="1">HLOOKUP(P$52, INDIRECT("'"&amp;INDEX(Lookup_Sheets, MATCH(1, --(COUNTIF(INDIRECT("'"&amp; Lookup_Sheets&amp;"'!$F$2:$L$15"), P$52)&gt;0), 0)) &amp;"'!$F$2:$L$15"),5, FALSE)</f>
        <v>2</v>
      </c>
      <c r="Q54">
        <f t="array" aca="1" ref="Q54" ca="1">HLOOKUP(Q$52, INDIRECT("'"&amp;INDEX(Lookup_Sheets, MATCH(1, --(COUNTIF(INDIRECT("'"&amp; Lookup_Sheets&amp;"'!$F$2:$L$15"), Q$52)&gt;0), 0)) &amp;"'!$F$2:$L$15"),5, FALSE)</f>
        <v>2</v>
      </c>
      <c r="S54">
        <f t="array" aca="1" ref="S54" ca="1">HLOOKUP(S$52, INDIRECT("'"&amp;INDEX(Lookup_Sheets, MATCH(1, --(COUNTIF(INDIRECT("'"&amp; Lookup_Sheets&amp;"'!$F$2:$L$15"), S$52)&gt;0), 0)) &amp;"'!$F$2:$L$15"),5, FALSE)</f>
        <v>3</v>
      </c>
      <c r="T54">
        <f t="array" aca="1" ref="T54" ca="1">HLOOKUP(T$52, INDIRECT("'"&amp;INDEX(Lookup_Sheets, MATCH(1, --(COUNTIF(INDIRECT("'"&amp; Lookup_Sheets&amp;"'!$F$2:$L$15"), T$52)&gt;0), 0)) &amp;"'!$F$2:$L$15"),5, FALSE)</f>
        <v>3</v>
      </c>
      <c r="U54">
        <f t="array" aca="1" ref="U54" ca="1">HLOOKUP(U$52, INDIRECT("'"&amp;INDEX(Lookup_Sheets, MATCH(1, --(COUNTIF(INDIRECT("'"&amp; Lookup_Sheets&amp;"'!$F$2:$L$15"), U$52)&gt;0), 0)) &amp;"'!$F$2:$L$15"),5, FALSE)</f>
        <v>3</v>
      </c>
      <c r="V54">
        <f t="array" aca="1" ref="V54" ca="1">HLOOKUP(V$52, INDIRECT("'"&amp;INDEX(Lookup_Sheets, MATCH(1, --(COUNTIF(INDIRECT("'"&amp; Lookup_Sheets&amp;"'!$F$2:$L$15"), V$52)&gt;0), 0)) &amp;"'!$F$2:$L$15"),5, FALSE)</f>
        <v>3</v>
      </c>
      <c r="W54">
        <f t="array" aca="1" ref="W54" ca="1">HLOOKUP(W$52, INDIRECT("'"&amp;INDEX(Lookup_Sheets, MATCH(1, --(COUNTIF(INDIRECT("'"&amp; Lookup_Sheets&amp;"'!$F$2:$L$15"), W$52)&gt;0), 0)) &amp;"'!$F$2:$L$15"),5, FALSE)</f>
        <v>3</v>
      </c>
      <c r="X54">
        <f t="array" aca="1" ref="X54" ca="1">HLOOKUP(X$52, INDIRECT("'"&amp;INDEX(Lookup_Sheets, MATCH(1, --(COUNTIF(INDIRECT("'"&amp; Lookup_Sheets&amp;"'!$F$2:$L$15"), X$52)&gt;0), 0)) &amp;"'!$F$2:$L$15"),5, FALSE)</f>
        <v>2</v>
      </c>
      <c r="Y54">
        <f t="array" aca="1" ref="Y54" ca="1">HLOOKUP(Y$52, INDIRECT("'"&amp;INDEX(Lookup_Sheets, MATCH(1, --(COUNTIF(INDIRECT("'"&amp; Lookup_Sheets&amp;"'!$F$2:$L$15"), Y$52)&gt;0), 0)) &amp;"'!$F$2:$L$15"),5, FALSE)</f>
        <v>2</v>
      </c>
    </row>
    <row r="55" spans="1:25" ht="15.75" thickBot="1">
      <c r="A55" s="68" t="s">
        <v>18</v>
      </c>
      <c r="C55">
        <f t="array" aca="1" ref="C55" ca="1">HLOOKUP(C$52, INDIRECT("'"&amp;INDEX(Lookup_Sheets, MATCH(1, --(COUNTIF(INDIRECT("'"&amp; Lookup_Sheets&amp;"'!$F$2:$L$15"), C$52)&gt;0), 0)) &amp;"'!$F$2:$L$15"),6, FALSE)</f>
        <v>4</v>
      </c>
      <c r="D55">
        <f t="array" aca="1" ref="D55" ca="1">HLOOKUP(D$52, INDIRECT("'"&amp;INDEX(Lookup_Sheets, MATCH(1, --(COUNTIF(INDIRECT("'"&amp; Lookup_Sheets&amp;"'!$F$2:$L$15"), D$52)&gt;0), 0)) &amp;"'!$F$2:$L$15"),6, FALSE)</f>
        <v>5</v>
      </c>
      <c r="E55">
        <f t="array" aca="1" ref="E55" ca="1">HLOOKUP(E$52, INDIRECT("'"&amp;INDEX(Lookup_Sheets, MATCH(1, --(COUNTIF(INDIRECT("'"&amp; Lookup_Sheets&amp;"'!$F$2:$L$15"), E$52)&gt;0), 0)) &amp;"'!$F$2:$L$15"),6, FALSE)</f>
        <v>4</v>
      </c>
      <c r="F55">
        <f t="array" aca="1" ref="F55" ca="1">HLOOKUP(F$52, INDIRECT("'"&amp;INDEX(Lookup_Sheets, MATCH(1, --(COUNTIF(INDIRECT("'"&amp; Lookup_Sheets&amp;"'!$F$2:$L$15"), F$52)&gt;0), 0)) &amp;"'!$F$2:$L$15"),6, FALSE)</f>
        <v>5</v>
      </c>
      <c r="G55">
        <f t="array" aca="1" ref="G55" ca="1">HLOOKUP(G$52, INDIRECT("'"&amp;INDEX(Lookup_Sheets, MATCH(1, --(COUNTIF(INDIRECT("'"&amp; Lookup_Sheets&amp;"'!$F$2:$L$15"), G$52)&gt;0), 0)) &amp;"'!$F$2:$L$15"),6, FALSE)</f>
        <v>5</v>
      </c>
      <c r="H55">
        <f t="array" aca="1" ref="H55" ca="1">HLOOKUP(H$52, INDIRECT("'"&amp;INDEX(Lookup_Sheets, MATCH(1, --(COUNTIF(INDIRECT("'"&amp; Lookup_Sheets&amp;"'!$F$2:$L$15"), H$52)&gt;0), 0)) &amp;"'!$F$2:$L$15"),6, FALSE)</f>
        <v>3</v>
      </c>
      <c r="I55">
        <f t="array" aca="1" ref="I55" ca="1">HLOOKUP(I$52, INDIRECT("'"&amp;INDEX(Lookup_Sheets, MATCH(1, --(COUNTIF(INDIRECT("'"&amp; Lookup_Sheets&amp;"'!$F$2:$L$15"), I$52)&gt;0), 0)) &amp;"'!$F$2:$L$15"),6, FALSE)</f>
        <v>4</v>
      </c>
      <c r="K55">
        <f t="array" aca="1" ref="K55" ca="1">HLOOKUP(K$52, INDIRECT("'"&amp;INDEX(Lookup_Sheets, MATCH(1, --(COUNTIF(INDIRECT("'"&amp; Lookup_Sheets&amp;"'!$F$2:$L$15"), K$52)&gt;0), 0)) &amp;"'!$F$2:$L$15"),6, FALSE)</f>
        <v>5</v>
      </c>
      <c r="L55">
        <f t="array" aca="1" ref="L55" ca="1">HLOOKUP(L$52, INDIRECT("'"&amp;INDEX(Lookup_Sheets, MATCH(1, --(COUNTIF(INDIRECT("'"&amp; Lookup_Sheets&amp;"'!$F$2:$L$15"), L$52)&gt;0), 0)) &amp;"'!$F$2:$L$15"),6, FALSE)</f>
        <v>4</v>
      </c>
      <c r="M55">
        <f t="array" aca="1" ref="M55" ca="1">HLOOKUP(M$52, INDIRECT("'"&amp;INDEX(Lookup_Sheets, MATCH(1, --(COUNTIF(INDIRECT("'"&amp; Lookup_Sheets&amp;"'!$F$2:$L$15"), M$52)&gt;0), 0)) &amp;"'!$F$2:$L$15"),6, FALSE)</f>
        <v>3</v>
      </c>
      <c r="N55">
        <f t="array" aca="1" ref="N55" ca="1">HLOOKUP(N$52, INDIRECT("'"&amp;INDEX(Lookup_Sheets, MATCH(1, --(COUNTIF(INDIRECT("'"&amp; Lookup_Sheets&amp;"'!$F$2:$L$15"), N$52)&gt;0), 0)) &amp;"'!$F$2:$L$15"),6, FALSE)</f>
        <v>5</v>
      </c>
      <c r="O55">
        <f t="array" aca="1" ref="O55" ca="1">HLOOKUP(O$52, INDIRECT("'"&amp;INDEX(Lookup_Sheets, MATCH(1, --(COUNTIF(INDIRECT("'"&amp; Lookup_Sheets&amp;"'!$F$2:$L$15"), O$52)&gt;0), 0)) &amp;"'!$F$2:$L$15"),6, FALSE)</f>
        <v>4</v>
      </c>
      <c r="P55">
        <f t="array" aca="1" ref="P55" ca="1">HLOOKUP(P$52, INDIRECT("'"&amp;INDEX(Lookup_Sheets, MATCH(1, --(COUNTIF(INDIRECT("'"&amp; Lookup_Sheets&amp;"'!$F$2:$L$15"), P$52)&gt;0), 0)) &amp;"'!$F$2:$L$15"),6, FALSE)</f>
        <v>4</v>
      </c>
      <c r="Q55">
        <f t="array" aca="1" ref="Q55" ca="1">HLOOKUP(Q$52, INDIRECT("'"&amp;INDEX(Lookup_Sheets, MATCH(1, --(COUNTIF(INDIRECT("'"&amp; Lookup_Sheets&amp;"'!$F$2:$L$15"), Q$52)&gt;0), 0)) &amp;"'!$F$2:$L$15"),6, FALSE)</f>
        <v>4</v>
      </c>
      <c r="S55">
        <f t="array" aca="1" ref="S55" ca="1">HLOOKUP(S$52, INDIRECT("'"&amp;INDEX(Lookup_Sheets, MATCH(1, --(COUNTIF(INDIRECT("'"&amp; Lookup_Sheets&amp;"'!$F$2:$L$15"), S$52)&gt;0), 0)) &amp;"'!$F$2:$L$15"),6, FALSE)</f>
        <v>5</v>
      </c>
      <c r="T55">
        <f t="array" aca="1" ref="T55" ca="1">HLOOKUP(T$52, INDIRECT("'"&amp;INDEX(Lookup_Sheets, MATCH(1, --(COUNTIF(INDIRECT("'"&amp; Lookup_Sheets&amp;"'!$F$2:$L$15"), T$52)&gt;0), 0)) &amp;"'!$F$2:$L$15"),6, FALSE)</f>
        <v>4</v>
      </c>
      <c r="U55">
        <f t="array" aca="1" ref="U55" ca="1">HLOOKUP(U$52, INDIRECT("'"&amp;INDEX(Lookup_Sheets, MATCH(1, --(COUNTIF(INDIRECT("'"&amp; Lookup_Sheets&amp;"'!$F$2:$L$15"), U$52)&gt;0), 0)) &amp;"'!$F$2:$L$15"),6, FALSE)</f>
        <v>3</v>
      </c>
      <c r="V55">
        <f t="array" aca="1" ref="V55" ca="1">HLOOKUP(V$52, INDIRECT("'"&amp;INDEX(Lookup_Sheets, MATCH(1, --(COUNTIF(INDIRECT("'"&amp; Lookup_Sheets&amp;"'!$F$2:$L$15"), V$52)&gt;0), 0)) &amp;"'!$F$2:$L$15"),6, FALSE)</f>
        <v>5</v>
      </c>
      <c r="W55">
        <f t="array" aca="1" ref="W55" ca="1">HLOOKUP(W$52, INDIRECT("'"&amp;INDEX(Lookup_Sheets, MATCH(1, --(COUNTIF(INDIRECT("'"&amp; Lookup_Sheets&amp;"'!$F$2:$L$15"), W$52)&gt;0), 0)) &amp;"'!$F$2:$L$15"),6, FALSE)</f>
        <v>4</v>
      </c>
      <c r="X55">
        <f t="array" aca="1" ref="X55" ca="1">HLOOKUP(X$52, INDIRECT("'"&amp;INDEX(Lookup_Sheets, MATCH(1, --(COUNTIF(INDIRECT("'"&amp; Lookup_Sheets&amp;"'!$F$2:$L$15"), X$52)&gt;0), 0)) &amp;"'!$F$2:$L$15"),6, FALSE)</f>
        <v>5</v>
      </c>
      <c r="Y55">
        <f t="array" aca="1" ref="Y55" ca="1">HLOOKUP(Y$52, INDIRECT("'"&amp;INDEX(Lookup_Sheets, MATCH(1, --(COUNTIF(INDIRECT("'"&amp; Lookup_Sheets&amp;"'!$F$2:$L$15"), Y$52)&gt;0), 0)) &amp;"'!$F$2:$L$15"),6, FALSE)</f>
        <v>5</v>
      </c>
    </row>
    <row r="56" spans="1:25" ht="15.75" thickBot="1">
      <c r="A56" s="69" t="s">
        <v>19</v>
      </c>
      <c r="C56" s="71">
        <f ca="1">C54+C55</f>
        <v>7</v>
      </c>
      <c r="D56" s="72">
        <f t="shared" ref="D56:I56" ca="1" si="30">D54+D55</f>
        <v>8</v>
      </c>
      <c r="E56" s="72">
        <f t="shared" ca="1" si="30"/>
        <v>7</v>
      </c>
      <c r="F56" s="72">
        <f t="shared" ca="1" si="30"/>
        <v>8</v>
      </c>
      <c r="G56" s="72">
        <f t="shared" ca="1" si="30"/>
        <v>8</v>
      </c>
      <c r="H56" s="72">
        <f t="shared" ca="1" si="30"/>
        <v>5</v>
      </c>
      <c r="I56" s="73">
        <f t="shared" ca="1" si="30"/>
        <v>6</v>
      </c>
      <c r="K56" s="71">
        <f ca="1">K54+K55</f>
        <v>8</v>
      </c>
      <c r="L56" s="72">
        <f t="shared" ref="L56:Q56" ca="1" si="31">L54+L55</f>
        <v>7</v>
      </c>
      <c r="M56" s="72">
        <f t="shared" ca="1" si="31"/>
        <v>6</v>
      </c>
      <c r="N56" s="72">
        <f t="shared" ca="1" si="31"/>
        <v>8</v>
      </c>
      <c r="O56" s="72">
        <f t="shared" ca="1" si="31"/>
        <v>7</v>
      </c>
      <c r="P56" s="72">
        <f t="shared" ca="1" si="31"/>
        <v>6</v>
      </c>
      <c r="Q56" s="73">
        <f t="shared" ca="1" si="31"/>
        <v>6</v>
      </c>
      <c r="S56" s="71">
        <f ca="1">S54+S55</f>
        <v>8</v>
      </c>
      <c r="T56" s="72">
        <f t="shared" ref="T56:Y56" ca="1" si="32">T54+T55</f>
        <v>7</v>
      </c>
      <c r="U56" s="72">
        <f t="shared" ca="1" si="32"/>
        <v>6</v>
      </c>
      <c r="V56" s="72">
        <f t="shared" ca="1" si="32"/>
        <v>8</v>
      </c>
      <c r="W56" s="72">
        <f t="shared" ca="1" si="32"/>
        <v>7</v>
      </c>
      <c r="X56" s="72">
        <f t="shared" ca="1" si="32"/>
        <v>7</v>
      </c>
      <c r="Y56" s="73">
        <f t="shared" ca="1" si="32"/>
        <v>7</v>
      </c>
    </row>
    <row r="57" spans="1:25" ht="15.75">
      <c r="A57" s="2"/>
    </row>
    <row r="58" spans="1:25">
      <c r="A58" s="177" t="s">
        <v>193</v>
      </c>
      <c r="C58">
        <f t="array" aca="1" ref="C58" ca="1">HLOOKUP(C$52, INDIRECT("'"&amp;INDEX(Lookup_Sheets, MATCH(1, --(COUNTIF(INDIRECT("'"&amp; Lookup_Sheets&amp;"'!$F$2:$L$15"), C$52)&gt;0), 0)) &amp;"'!$F$2:$L$15"),9, FALSE)</f>
        <v>0</v>
      </c>
      <c r="D58">
        <f t="array" aca="1" ref="D58" ca="1">HLOOKUP(D$52, INDIRECT("'"&amp;INDEX(Lookup_Sheets, MATCH(1, --(COUNTIF(INDIRECT("'"&amp; Lookup_Sheets&amp;"'!$F$2:$L$15"), D$52)&gt;0), 0)) &amp;"'!$F$2:$L$15"),9, FALSE)</f>
        <v>0</v>
      </c>
      <c r="E58">
        <f t="array" aca="1" ref="E58" ca="1">HLOOKUP(E$52, INDIRECT("'"&amp;INDEX(Lookup_Sheets, MATCH(1, --(COUNTIF(INDIRECT("'"&amp; Lookup_Sheets&amp;"'!$F$2:$L$15"), E$52)&gt;0), 0)) &amp;"'!$F$2:$L$15"),9, FALSE)</f>
        <v>0</v>
      </c>
      <c r="F58">
        <f t="array" aca="1" ref="F58" ca="1">HLOOKUP(F$52, INDIRECT("'"&amp;INDEX(Lookup_Sheets, MATCH(1, --(COUNTIF(INDIRECT("'"&amp; Lookup_Sheets&amp;"'!$F$2:$L$15"), F$52)&gt;0), 0)) &amp;"'!$F$2:$L$15"),9, FALSE)</f>
        <v>0</v>
      </c>
      <c r="G58">
        <f t="array" aca="1" ref="G58" ca="1">HLOOKUP(G$52, INDIRECT("'"&amp;INDEX(Lookup_Sheets, MATCH(1, --(COUNTIF(INDIRECT("'"&amp; Lookup_Sheets&amp;"'!$F$2:$L$15"), G$52)&gt;0), 0)) &amp;"'!$F$2:$L$15"),9, FALSE)</f>
        <v>0</v>
      </c>
      <c r="H58">
        <f t="array" aca="1" ref="H58" ca="1">HLOOKUP(H$52, INDIRECT("'"&amp;INDEX(Lookup_Sheets, MATCH(1, --(COUNTIF(INDIRECT("'"&amp; Lookup_Sheets&amp;"'!$F$2:$L$15"), H$52)&gt;0), 0)) &amp;"'!$F$2:$L$15"),9, FALSE)</f>
        <v>0</v>
      </c>
      <c r="I58">
        <f t="array" aca="1" ref="I58" ca="1">HLOOKUP(I$52, INDIRECT("'"&amp;INDEX(Lookup_Sheets, MATCH(1, --(COUNTIF(INDIRECT("'"&amp; Lookup_Sheets&amp;"'!$F$2:$L$15"), I$52)&gt;0), 0)) &amp;"'!$F$2:$L$15"),9, FALSE)</f>
        <v>0</v>
      </c>
      <c r="K58">
        <f t="array" aca="1" ref="K58" ca="1">HLOOKUP(K$52, INDIRECT("'"&amp;INDEX(Lookup_Sheets, MATCH(1, --(COUNTIF(INDIRECT("'"&amp; Lookup_Sheets&amp;"'!$F$2:$L$15"), K$52)&gt;0), 0)) &amp;"'!$F$2:$L$15"),9, FALSE)</f>
        <v>0</v>
      </c>
      <c r="L58">
        <f t="array" aca="1" ref="L58" ca="1">HLOOKUP(L$52, INDIRECT("'"&amp;INDEX(Lookup_Sheets, MATCH(1, --(COUNTIF(INDIRECT("'"&amp; Lookup_Sheets&amp;"'!$F$2:$L$15"), L$52)&gt;0), 0)) &amp;"'!$F$2:$L$15"),9, FALSE)</f>
        <v>0</v>
      </c>
      <c r="M58">
        <f t="array" aca="1" ref="M58" ca="1">HLOOKUP(M$52, INDIRECT("'"&amp;INDEX(Lookup_Sheets, MATCH(1, --(COUNTIF(INDIRECT("'"&amp; Lookup_Sheets&amp;"'!$F$2:$L$15"), M$52)&gt;0), 0)) &amp;"'!$F$2:$L$15"),9, FALSE)</f>
        <v>0</v>
      </c>
      <c r="N58">
        <f t="array" aca="1" ref="N58" ca="1">HLOOKUP(N$52, INDIRECT("'"&amp;INDEX(Lookup_Sheets, MATCH(1, --(COUNTIF(INDIRECT("'"&amp; Lookup_Sheets&amp;"'!$F$2:$L$15"), N$52)&gt;0), 0)) &amp;"'!$F$2:$L$15"),9, FALSE)</f>
        <v>0</v>
      </c>
      <c r="O58">
        <f t="array" aca="1" ref="O58" ca="1">HLOOKUP(O$52, INDIRECT("'"&amp;INDEX(Lookup_Sheets, MATCH(1, --(COUNTIF(INDIRECT("'"&amp; Lookup_Sheets&amp;"'!$F$2:$L$15"), O$52)&gt;0), 0)) &amp;"'!$F$2:$L$15"),9, FALSE)</f>
        <v>0</v>
      </c>
      <c r="P58">
        <f t="array" aca="1" ref="P58" ca="1">HLOOKUP(P$52, INDIRECT("'"&amp;INDEX(Lookup_Sheets, MATCH(1, --(COUNTIF(INDIRECT("'"&amp; Lookup_Sheets&amp;"'!$F$2:$L$15"), P$52)&gt;0), 0)) &amp;"'!$F$2:$L$15"),9, FALSE)</f>
        <v>0</v>
      </c>
      <c r="Q58">
        <f t="array" aca="1" ref="Q58" ca="1">HLOOKUP(Q$52, INDIRECT("'"&amp;INDEX(Lookup_Sheets, MATCH(1, --(COUNTIF(INDIRECT("'"&amp; Lookup_Sheets&amp;"'!$F$2:$L$15"), Q$52)&gt;0), 0)) &amp;"'!$F$2:$L$15"),9, FALSE)</f>
        <v>0</v>
      </c>
      <c r="S58">
        <f t="array" aca="1" ref="S58" ca="1">HLOOKUP(S$52, INDIRECT("'"&amp;INDEX(Lookup_Sheets, MATCH(1, --(COUNTIF(INDIRECT("'"&amp; Lookup_Sheets&amp;"'!$F$2:$L$15"), S$52)&gt;0), 0)) &amp;"'!$F$2:$L$15"),9, FALSE)</f>
        <v>0</v>
      </c>
      <c r="T58">
        <f t="array" aca="1" ref="T58" ca="1">HLOOKUP(T$52, INDIRECT("'"&amp;INDEX(Lookup_Sheets, MATCH(1, --(COUNTIF(INDIRECT("'"&amp; Lookup_Sheets&amp;"'!$F$2:$L$15"), T$52)&gt;0), 0)) &amp;"'!$F$2:$L$15"),9, FALSE)</f>
        <v>0</v>
      </c>
      <c r="U58">
        <f t="array" aca="1" ref="U58" ca="1">HLOOKUP(U$52, INDIRECT("'"&amp;INDEX(Lookup_Sheets, MATCH(1, --(COUNTIF(INDIRECT("'"&amp; Lookup_Sheets&amp;"'!$F$2:$L$15"), U$52)&gt;0), 0)) &amp;"'!$F$2:$L$15"),9, FALSE)</f>
        <v>0</v>
      </c>
      <c r="V58">
        <f t="array" aca="1" ref="V58" ca="1">HLOOKUP(V$52, INDIRECT("'"&amp;INDEX(Lookup_Sheets, MATCH(1, --(COUNTIF(INDIRECT("'"&amp; Lookup_Sheets&amp;"'!$F$2:$L$15"), V$52)&gt;0), 0)) &amp;"'!$F$2:$L$15"),9, FALSE)</f>
        <v>0</v>
      </c>
      <c r="W58">
        <f t="array" aca="1" ref="W58" ca="1">HLOOKUP(W$52, INDIRECT("'"&amp;INDEX(Lookup_Sheets, MATCH(1, --(COUNTIF(INDIRECT("'"&amp; Lookup_Sheets&amp;"'!$F$2:$L$15"), W$52)&gt;0), 0)) &amp;"'!$F$2:$L$15"),9, FALSE)</f>
        <v>0</v>
      </c>
      <c r="X58">
        <f t="array" aca="1" ref="X58" ca="1">HLOOKUP(X$52, INDIRECT("'"&amp;INDEX(Lookup_Sheets, MATCH(1, --(COUNTIF(INDIRECT("'"&amp; Lookup_Sheets&amp;"'!$F$2:$L$15"), X$52)&gt;0), 0)) &amp;"'!$F$2:$L$15"),9, FALSE)</f>
        <v>0</v>
      </c>
      <c r="Y58">
        <f t="array" aca="1" ref="Y58" ca="1">HLOOKUP(Y$52, INDIRECT("'"&amp;INDEX(Lookup_Sheets, MATCH(1, --(COUNTIF(INDIRECT("'"&amp; Lookup_Sheets&amp;"'!$F$2:$L$15"), Y$52)&gt;0), 0)) &amp;"'!$F$2:$L$15"),9, FALSE)</f>
        <v>0</v>
      </c>
    </row>
    <row r="59" spans="1:25">
      <c r="A59" s="68" t="s">
        <v>195</v>
      </c>
      <c r="C59">
        <f t="array" aca="1" ref="C59" ca="1">HLOOKUP(C$52, INDIRECT("'"&amp;INDEX(Lookup_Sheets, MATCH(1, --(COUNTIF(INDIRECT("'"&amp; Lookup_Sheets&amp;"'!$F$2:$L$15"), C$52)&gt;0), 0)) &amp;"'!$F$2:$L$15"),10, FALSE)</f>
        <v>0</v>
      </c>
      <c r="D59">
        <f t="array" aca="1" ref="D59" ca="1">HLOOKUP(D$52, INDIRECT("'"&amp;INDEX(Lookup_Sheets, MATCH(1, --(COUNTIF(INDIRECT("'"&amp; Lookup_Sheets&amp;"'!$F$2:$L$15"), D$52)&gt;0), 0)) &amp;"'!$F$2:$L$15"),10, FALSE)</f>
        <v>0</v>
      </c>
      <c r="E59">
        <f t="array" aca="1" ref="E59" ca="1">HLOOKUP(E$52, INDIRECT("'"&amp;INDEX(Lookup_Sheets, MATCH(1, --(COUNTIF(INDIRECT("'"&amp; Lookup_Sheets&amp;"'!$F$2:$L$15"), E$52)&gt;0), 0)) &amp;"'!$F$2:$L$15"),10, FALSE)</f>
        <v>0</v>
      </c>
      <c r="F59">
        <f t="array" aca="1" ref="F59" ca="1">HLOOKUP(F$52, INDIRECT("'"&amp;INDEX(Lookup_Sheets, MATCH(1, --(COUNTIF(INDIRECT("'"&amp; Lookup_Sheets&amp;"'!$F$2:$L$15"), F$52)&gt;0), 0)) &amp;"'!$F$2:$L$15"),10, FALSE)</f>
        <v>0</v>
      </c>
      <c r="G59">
        <f t="array" aca="1" ref="G59" ca="1">HLOOKUP(G$52, INDIRECT("'"&amp;INDEX(Lookup_Sheets, MATCH(1, --(COUNTIF(INDIRECT("'"&amp; Lookup_Sheets&amp;"'!$F$2:$L$15"), G$52)&gt;0), 0)) &amp;"'!$F$2:$L$15"),10, FALSE)</f>
        <v>0</v>
      </c>
      <c r="H59">
        <f t="array" aca="1" ref="H59" ca="1">HLOOKUP(H$52, INDIRECT("'"&amp;INDEX(Lookup_Sheets, MATCH(1, --(COUNTIF(INDIRECT("'"&amp; Lookup_Sheets&amp;"'!$F$2:$L$15"), H$52)&gt;0), 0)) &amp;"'!$F$2:$L$15"),10, FALSE)</f>
        <v>0</v>
      </c>
      <c r="I59">
        <f t="array" aca="1" ref="I59" ca="1">HLOOKUP(I$52, INDIRECT("'"&amp;INDEX(Lookup_Sheets, MATCH(1, --(COUNTIF(INDIRECT("'"&amp; Lookup_Sheets&amp;"'!$F$2:$L$15"), I$52)&gt;0), 0)) &amp;"'!$F$2:$L$15"),10, FALSE)</f>
        <v>0</v>
      </c>
      <c r="K59">
        <f t="array" aca="1" ref="K59" ca="1">HLOOKUP(K$52, INDIRECT("'"&amp;INDEX(Lookup_Sheets, MATCH(1, --(COUNTIF(INDIRECT("'"&amp; Lookup_Sheets&amp;"'!$F$2:$L$15"), K$52)&gt;0), 0)) &amp;"'!$F$2:$L$15"),10, FALSE)</f>
        <v>0</v>
      </c>
      <c r="L59">
        <f t="array" aca="1" ref="L59" ca="1">HLOOKUP(L$52, INDIRECT("'"&amp;INDEX(Lookup_Sheets, MATCH(1, --(COUNTIF(INDIRECT("'"&amp; Lookup_Sheets&amp;"'!$F$2:$L$15"), L$52)&gt;0), 0)) &amp;"'!$F$2:$L$15"),10, FALSE)</f>
        <v>0</v>
      </c>
      <c r="M59">
        <f t="array" aca="1" ref="M59" ca="1">HLOOKUP(M$52, INDIRECT("'"&amp;INDEX(Lookup_Sheets, MATCH(1, --(COUNTIF(INDIRECT("'"&amp; Lookup_Sheets&amp;"'!$F$2:$L$15"), M$52)&gt;0), 0)) &amp;"'!$F$2:$L$15"),10, FALSE)</f>
        <v>1</v>
      </c>
      <c r="N59">
        <f t="array" aca="1" ref="N59" ca="1">HLOOKUP(N$52, INDIRECT("'"&amp;INDEX(Lookup_Sheets, MATCH(1, --(COUNTIF(INDIRECT("'"&amp; Lookup_Sheets&amp;"'!$F$2:$L$15"), N$52)&gt;0), 0)) &amp;"'!$F$2:$L$15"),10, FALSE)</f>
        <v>0</v>
      </c>
      <c r="O59">
        <f t="array" aca="1" ref="O59" ca="1">HLOOKUP(O$52, INDIRECT("'"&amp;INDEX(Lookup_Sheets, MATCH(1, --(COUNTIF(INDIRECT("'"&amp; Lookup_Sheets&amp;"'!$F$2:$L$15"), O$52)&gt;0), 0)) &amp;"'!$F$2:$L$15"),10, FALSE)</f>
        <v>0</v>
      </c>
      <c r="P59">
        <f t="array" aca="1" ref="P59" ca="1">HLOOKUP(P$52, INDIRECT("'"&amp;INDEX(Lookup_Sheets, MATCH(1, --(COUNTIF(INDIRECT("'"&amp; Lookup_Sheets&amp;"'!$F$2:$L$15"), P$52)&gt;0), 0)) &amp;"'!$F$2:$L$15"),10, FALSE)</f>
        <v>0</v>
      </c>
      <c r="Q59">
        <f t="array" aca="1" ref="Q59" ca="1">HLOOKUP(Q$52, INDIRECT("'"&amp;INDEX(Lookup_Sheets, MATCH(1, --(COUNTIF(INDIRECT("'"&amp; Lookup_Sheets&amp;"'!$F$2:$L$15"), Q$52)&gt;0), 0)) &amp;"'!$F$2:$L$15"),10, FALSE)</f>
        <v>0</v>
      </c>
      <c r="S59">
        <f t="array" aca="1" ref="S59" ca="1">HLOOKUP(S$52, INDIRECT("'"&amp;INDEX(Lookup_Sheets, MATCH(1, --(COUNTIF(INDIRECT("'"&amp; Lookup_Sheets&amp;"'!$F$2:$L$15"), S$52)&gt;0), 0)) &amp;"'!$F$2:$L$15"),10, FALSE)</f>
        <v>0</v>
      </c>
      <c r="T59">
        <f t="array" aca="1" ref="T59" ca="1">HLOOKUP(T$52, INDIRECT("'"&amp;INDEX(Lookup_Sheets, MATCH(1, --(COUNTIF(INDIRECT("'"&amp; Lookup_Sheets&amp;"'!$F$2:$L$15"), T$52)&gt;0), 0)) &amp;"'!$F$2:$L$15"),10, FALSE)</f>
        <v>1</v>
      </c>
      <c r="U59">
        <f t="array" aca="1" ref="U59" ca="1">HLOOKUP(U$52, INDIRECT("'"&amp;INDEX(Lookup_Sheets, MATCH(1, --(COUNTIF(INDIRECT("'"&amp; Lookup_Sheets&amp;"'!$F$2:$L$15"), U$52)&gt;0), 0)) &amp;"'!$F$2:$L$15"),10, FALSE)</f>
        <v>1</v>
      </c>
      <c r="V59">
        <f t="array" aca="1" ref="V59" ca="1">HLOOKUP(V$52, INDIRECT("'"&amp;INDEX(Lookup_Sheets, MATCH(1, --(COUNTIF(INDIRECT("'"&amp; Lookup_Sheets&amp;"'!$F$2:$L$15"), V$52)&gt;0), 0)) &amp;"'!$F$2:$L$15"),10, FALSE)</f>
        <v>0</v>
      </c>
      <c r="W59">
        <f t="array" aca="1" ref="W59" ca="1">HLOOKUP(W$52, INDIRECT("'"&amp;INDEX(Lookup_Sheets, MATCH(1, --(COUNTIF(INDIRECT("'"&amp; Lookup_Sheets&amp;"'!$F$2:$L$15"), W$52)&gt;0), 0)) &amp;"'!$F$2:$L$15"),10, FALSE)</f>
        <v>0</v>
      </c>
      <c r="X59">
        <f t="array" aca="1" ref="X59" ca="1">HLOOKUP(X$52, INDIRECT("'"&amp;INDEX(Lookup_Sheets, MATCH(1, --(COUNTIF(INDIRECT("'"&amp; Lookup_Sheets&amp;"'!$F$2:$L$15"), X$52)&gt;0), 0)) &amp;"'!$F$2:$L$15"),10, FALSE)</f>
        <v>0</v>
      </c>
      <c r="Y59">
        <f t="array" aca="1" ref="Y59" ca="1">HLOOKUP(Y$52, INDIRECT("'"&amp;INDEX(Lookup_Sheets, MATCH(1, --(COUNTIF(INDIRECT("'"&amp; Lookup_Sheets&amp;"'!$F$2:$L$15"), Y$52)&gt;0), 0)) &amp;"'!$F$2:$L$15"),10, FALSE)</f>
        <v>0</v>
      </c>
    </row>
    <row r="60" spans="1:25">
      <c r="A60" s="68" t="s">
        <v>22</v>
      </c>
      <c r="C60">
        <f t="array" aca="1" ref="C60" ca="1">HLOOKUP(C$52, INDIRECT("'"&amp;INDEX(Lookup_Sheets, MATCH(1, --(COUNTIF(INDIRECT("'"&amp; Lookup_Sheets&amp;"'!$F$2:$L$15"), C$52)&gt;0), 0)) &amp;"'!$F$2:$L$15"),11, FALSE)</f>
        <v>3</v>
      </c>
      <c r="D60">
        <f t="array" aca="1" ref="D60" ca="1">HLOOKUP(D$52, INDIRECT("'"&amp;INDEX(Lookup_Sheets, MATCH(1, --(COUNTIF(INDIRECT("'"&amp; Lookup_Sheets&amp;"'!$F$2:$L$15"), D$52)&gt;0), 0)) &amp;"'!$F$2:$L$15"),11, FALSE)</f>
        <v>2</v>
      </c>
      <c r="E60">
        <f t="array" aca="1" ref="E60" ca="1">HLOOKUP(E$52, INDIRECT("'"&amp;INDEX(Lookup_Sheets, MATCH(1, --(COUNTIF(INDIRECT("'"&amp; Lookup_Sheets&amp;"'!$F$2:$L$15"), E$52)&gt;0), 0)) &amp;"'!$F$2:$L$15"),11, FALSE)</f>
        <v>2</v>
      </c>
      <c r="F60">
        <f t="array" aca="1" ref="F60" ca="1">HLOOKUP(F$52, INDIRECT("'"&amp;INDEX(Lookup_Sheets, MATCH(1, --(COUNTIF(INDIRECT("'"&amp; Lookup_Sheets&amp;"'!$F$2:$L$15"), F$52)&gt;0), 0)) &amp;"'!$F$2:$L$15"),11, FALSE)</f>
        <v>2</v>
      </c>
      <c r="G60">
        <f t="array" aca="1" ref="G60" ca="1">HLOOKUP(G$52, INDIRECT("'"&amp;INDEX(Lookup_Sheets, MATCH(1, --(COUNTIF(INDIRECT("'"&amp; Lookup_Sheets&amp;"'!$F$2:$L$15"), G$52)&gt;0), 0)) &amp;"'!$F$2:$L$15"),11, FALSE)</f>
        <v>3</v>
      </c>
      <c r="H60">
        <f t="array" aca="1" ref="H60" ca="1">HLOOKUP(H$52, INDIRECT("'"&amp;INDEX(Lookup_Sheets, MATCH(1, --(COUNTIF(INDIRECT("'"&amp; Lookup_Sheets&amp;"'!$F$2:$L$15"), H$52)&gt;0), 0)) &amp;"'!$F$2:$L$15"),11, FALSE)</f>
        <v>2</v>
      </c>
      <c r="I60">
        <f t="array" aca="1" ref="I60" ca="1">HLOOKUP(I$52, INDIRECT("'"&amp;INDEX(Lookup_Sheets, MATCH(1, --(COUNTIF(INDIRECT("'"&amp; Lookup_Sheets&amp;"'!$F$2:$L$15"), I$52)&gt;0), 0)) &amp;"'!$F$2:$L$15"),11, FALSE)</f>
        <v>2</v>
      </c>
      <c r="K60">
        <f t="array" aca="1" ref="K60" ca="1">HLOOKUP(K$52, INDIRECT("'"&amp;INDEX(Lookup_Sheets, MATCH(1, --(COUNTIF(INDIRECT("'"&amp; Lookup_Sheets&amp;"'!$F$2:$L$15"), K$52)&gt;0), 0)) &amp;"'!$F$2:$L$15"),11, FALSE)</f>
        <v>3</v>
      </c>
      <c r="L60">
        <f t="array" aca="1" ref="L60" ca="1">HLOOKUP(L$52, INDIRECT("'"&amp;INDEX(Lookup_Sheets, MATCH(1, --(COUNTIF(INDIRECT("'"&amp; Lookup_Sheets&amp;"'!$F$2:$L$15"), L$52)&gt;0), 0)) &amp;"'!$F$2:$L$15"),11, FALSE)</f>
        <v>2</v>
      </c>
      <c r="M60">
        <f t="array" aca="1" ref="M60" ca="1">HLOOKUP(M$52, INDIRECT("'"&amp;INDEX(Lookup_Sheets, MATCH(1, --(COUNTIF(INDIRECT("'"&amp; Lookup_Sheets&amp;"'!$F$2:$L$15"), M$52)&gt;0), 0)) &amp;"'!$F$2:$L$15"),11, FALSE)</f>
        <v>3</v>
      </c>
      <c r="N60">
        <f t="array" aca="1" ref="N60" ca="1">HLOOKUP(N$52, INDIRECT("'"&amp;INDEX(Lookup_Sheets, MATCH(1, --(COUNTIF(INDIRECT("'"&amp; Lookup_Sheets&amp;"'!$F$2:$L$15"), N$52)&gt;0), 0)) &amp;"'!$F$2:$L$15"),11, FALSE)</f>
        <v>2</v>
      </c>
      <c r="O60">
        <f t="array" aca="1" ref="O60" ca="1">HLOOKUP(O$52, INDIRECT("'"&amp;INDEX(Lookup_Sheets, MATCH(1, --(COUNTIF(INDIRECT("'"&amp; Lookup_Sheets&amp;"'!$F$2:$L$15"), O$52)&gt;0), 0)) &amp;"'!$F$2:$L$15"),11, FALSE)</f>
        <v>2</v>
      </c>
      <c r="P60">
        <f t="array" aca="1" ref="P60" ca="1">HLOOKUP(P$52, INDIRECT("'"&amp;INDEX(Lookup_Sheets, MATCH(1, --(COUNTIF(INDIRECT("'"&amp; Lookup_Sheets&amp;"'!$F$2:$L$15"), P$52)&gt;0), 0)) &amp;"'!$F$2:$L$15"),11, FALSE)</f>
        <v>2</v>
      </c>
      <c r="Q60">
        <f t="array" aca="1" ref="Q60" ca="1">HLOOKUP(Q$52, INDIRECT("'"&amp;INDEX(Lookup_Sheets, MATCH(1, --(COUNTIF(INDIRECT("'"&amp; Lookup_Sheets&amp;"'!$F$2:$L$15"), Q$52)&gt;0), 0)) &amp;"'!$F$2:$L$15"),11, FALSE)</f>
        <v>2</v>
      </c>
      <c r="S60">
        <f t="array" aca="1" ref="S60" ca="1">HLOOKUP(S$52, INDIRECT("'"&amp;INDEX(Lookup_Sheets, MATCH(1, --(COUNTIF(INDIRECT("'"&amp; Lookup_Sheets&amp;"'!$F$2:$L$15"), S$52)&gt;0), 0)) &amp;"'!$F$2:$L$15"),11, FALSE)</f>
        <v>3</v>
      </c>
      <c r="T60">
        <f t="array" aca="1" ref="T60" ca="1">HLOOKUP(T$52, INDIRECT("'"&amp;INDEX(Lookup_Sheets, MATCH(1, --(COUNTIF(INDIRECT("'"&amp; Lookup_Sheets&amp;"'!$F$2:$L$15"), T$52)&gt;0), 0)) &amp;"'!$F$2:$L$15"),11, FALSE)</f>
        <v>3</v>
      </c>
      <c r="U60">
        <f t="array" aca="1" ref="U60" ca="1">HLOOKUP(U$52, INDIRECT("'"&amp;INDEX(Lookup_Sheets, MATCH(1, --(COUNTIF(INDIRECT("'"&amp; Lookup_Sheets&amp;"'!$F$2:$L$15"), U$52)&gt;0), 0)) &amp;"'!$F$2:$L$15"),11, FALSE)</f>
        <v>3</v>
      </c>
      <c r="V60">
        <f t="array" aca="1" ref="V60" ca="1">HLOOKUP(V$52, INDIRECT("'"&amp;INDEX(Lookup_Sheets, MATCH(1, --(COUNTIF(INDIRECT("'"&amp; Lookup_Sheets&amp;"'!$F$2:$L$15"), V$52)&gt;0), 0)) &amp;"'!$F$2:$L$15"),11, FALSE)</f>
        <v>3</v>
      </c>
      <c r="W60">
        <f t="array" aca="1" ref="W60" ca="1">HLOOKUP(W$52, INDIRECT("'"&amp;INDEX(Lookup_Sheets, MATCH(1, --(COUNTIF(INDIRECT("'"&amp; Lookup_Sheets&amp;"'!$F$2:$L$15"), W$52)&gt;0), 0)) &amp;"'!$F$2:$L$15"),11, FALSE)</f>
        <v>3</v>
      </c>
      <c r="X60">
        <f t="array" aca="1" ref="X60" ca="1">HLOOKUP(X$52, INDIRECT("'"&amp;INDEX(Lookup_Sheets, MATCH(1, --(COUNTIF(INDIRECT("'"&amp; Lookup_Sheets&amp;"'!$F$2:$L$15"), X$52)&gt;0), 0)) &amp;"'!$F$2:$L$15"),11, FALSE)</f>
        <v>2</v>
      </c>
      <c r="Y60">
        <f t="array" aca="1" ref="Y60" ca="1">HLOOKUP(Y$52, INDIRECT("'"&amp;INDEX(Lookup_Sheets, MATCH(1, --(COUNTIF(INDIRECT("'"&amp; Lookup_Sheets&amp;"'!$F$2:$L$15"), Y$52)&gt;0), 0)) &amp;"'!$F$2:$L$15"),11, FALSE)</f>
        <v>2</v>
      </c>
    </row>
    <row r="61" spans="1:25" ht="15.75" thickBot="1">
      <c r="A61" s="68" t="s">
        <v>23</v>
      </c>
      <c r="C61">
        <f t="array" aca="1" ref="C61" ca="1">HLOOKUP(C$52, INDIRECT("'"&amp;INDEX(Lookup_Sheets, MATCH(1, --(COUNTIF(INDIRECT("'"&amp; Lookup_Sheets&amp;"'!$F$2:$L$15"), C$52)&gt;0), 0)) &amp;"'!$F$2:$L$15"),12, FALSE)</f>
        <v>9</v>
      </c>
      <c r="D61">
        <f t="array" aca="1" ref="D61" ca="1">HLOOKUP(D$52, INDIRECT("'"&amp;INDEX(Lookup_Sheets, MATCH(1, --(COUNTIF(INDIRECT("'"&amp; Lookup_Sheets&amp;"'!$F$2:$L$15"), D$52)&gt;0), 0)) &amp;"'!$F$2:$L$15"),12, FALSE)</f>
        <v>9</v>
      </c>
      <c r="E61">
        <f t="array" aca="1" ref="E61" ca="1">HLOOKUP(E$52, INDIRECT("'"&amp;INDEX(Lookup_Sheets, MATCH(1, --(COUNTIF(INDIRECT("'"&amp; Lookup_Sheets&amp;"'!$F$2:$L$15"), E$52)&gt;0), 0)) &amp;"'!$F$2:$L$15"),12, FALSE)</f>
        <v>9</v>
      </c>
      <c r="F61">
        <f t="array" aca="1" ref="F61" ca="1">HLOOKUP(F$52, INDIRECT("'"&amp;INDEX(Lookup_Sheets, MATCH(1, --(COUNTIF(INDIRECT("'"&amp; Lookup_Sheets&amp;"'!$F$2:$L$15"), F$52)&gt;0), 0)) &amp;"'!$F$2:$L$15"),12, FALSE)</f>
        <v>9</v>
      </c>
      <c r="G61">
        <f t="array" aca="1" ref="G61" ca="1">HLOOKUP(G$52, INDIRECT("'"&amp;INDEX(Lookup_Sheets, MATCH(1, --(COUNTIF(INDIRECT("'"&amp; Lookup_Sheets&amp;"'!$F$2:$L$15"), G$52)&gt;0), 0)) &amp;"'!$F$2:$L$15"),12, FALSE)</f>
        <v>9</v>
      </c>
      <c r="H61">
        <f t="array" aca="1" ref="H61" ca="1">HLOOKUP(H$52, INDIRECT("'"&amp;INDEX(Lookup_Sheets, MATCH(1, --(COUNTIF(INDIRECT("'"&amp; Lookup_Sheets&amp;"'!$F$2:$L$15"), H$52)&gt;0), 0)) &amp;"'!$F$2:$L$15"),12, FALSE)</f>
        <v>9</v>
      </c>
      <c r="I61">
        <f t="array" aca="1" ref="I61" ca="1">HLOOKUP(I$52, INDIRECT("'"&amp;INDEX(Lookup_Sheets, MATCH(1, --(COUNTIF(INDIRECT("'"&amp; Lookup_Sheets&amp;"'!$F$2:$L$15"), I$52)&gt;0), 0)) &amp;"'!$F$2:$L$15"),12, FALSE)</f>
        <v>8</v>
      </c>
      <c r="K61">
        <f t="array" aca="1" ref="K61" ca="1">HLOOKUP(K$52, INDIRECT("'"&amp;INDEX(Lookup_Sheets, MATCH(1, --(COUNTIF(INDIRECT("'"&amp; Lookup_Sheets&amp;"'!$F$2:$L$15"), K$52)&gt;0), 0)) &amp;"'!$F$2:$L$15"),12, FALSE)</f>
        <v>10</v>
      </c>
      <c r="L61">
        <f t="array" aca="1" ref="L61" ca="1">HLOOKUP(L$52, INDIRECT("'"&amp;INDEX(Lookup_Sheets, MATCH(1, --(COUNTIF(INDIRECT("'"&amp; Lookup_Sheets&amp;"'!$F$2:$L$15"), L$52)&gt;0), 0)) &amp;"'!$F$2:$L$15"),12, FALSE)</f>
        <v>9</v>
      </c>
      <c r="M61">
        <f t="array" aca="1" ref="M61" ca="1">HLOOKUP(M$52, INDIRECT("'"&amp;INDEX(Lookup_Sheets, MATCH(1, --(COUNTIF(INDIRECT("'"&amp; Lookup_Sheets&amp;"'!$F$2:$L$15"), M$52)&gt;0), 0)) &amp;"'!$F$2:$L$15"),12, FALSE)</f>
        <v>8</v>
      </c>
      <c r="N61">
        <f t="array" aca="1" ref="N61" ca="1">HLOOKUP(N$52, INDIRECT("'"&amp;INDEX(Lookup_Sheets, MATCH(1, --(COUNTIF(INDIRECT("'"&amp; Lookup_Sheets&amp;"'!$F$2:$L$15"), N$52)&gt;0), 0)) &amp;"'!$F$2:$L$15"),12, FALSE)</f>
        <v>9</v>
      </c>
      <c r="O61">
        <f t="array" aca="1" ref="O61" ca="1">HLOOKUP(O$52, INDIRECT("'"&amp;INDEX(Lookup_Sheets, MATCH(1, --(COUNTIF(INDIRECT("'"&amp; Lookup_Sheets&amp;"'!$F$2:$L$15"), O$52)&gt;0), 0)) &amp;"'!$F$2:$L$15"),12, FALSE)</f>
        <v>8</v>
      </c>
      <c r="P61">
        <f t="array" aca="1" ref="P61" ca="1">HLOOKUP(P$52, INDIRECT("'"&amp;INDEX(Lookup_Sheets, MATCH(1, --(COUNTIF(INDIRECT("'"&amp; Lookup_Sheets&amp;"'!$F$2:$L$15"), P$52)&gt;0), 0)) &amp;"'!$F$2:$L$15"),12, FALSE)</f>
        <v>9</v>
      </c>
      <c r="Q61">
        <f t="array" aca="1" ref="Q61" ca="1">HLOOKUP(Q$52, INDIRECT("'"&amp;INDEX(Lookup_Sheets, MATCH(1, --(COUNTIF(INDIRECT("'"&amp; Lookup_Sheets&amp;"'!$F$2:$L$15"), Q$52)&gt;0), 0)) &amp;"'!$F$2:$L$15"),12, FALSE)</f>
        <v>8</v>
      </c>
      <c r="S61">
        <f t="array" aca="1" ref="S61" ca="1">HLOOKUP(S$52, INDIRECT("'"&amp;INDEX(Lookup_Sheets, MATCH(1, --(COUNTIF(INDIRECT("'"&amp; Lookup_Sheets&amp;"'!$F$2:$L$15"), S$52)&gt;0), 0)) &amp;"'!$F$2:$L$15"),12, FALSE)</f>
        <v>9</v>
      </c>
      <c r="T61">
        <f t="array" aca="1" ref="T61" ca="1">HLOOKUP(T$52, INDIRECT("'"&amp;INDEX(Lookup_Sheets, MATCH(1, --(COUNTIF(INDIRECT("'"&amp; Lookup_Sheets&amp;"'!$F$2:$L$15"), T$52)&gt;0), 0)) &amp;"'!$F$2:$L$15"),12, FALSE)</f>
        <v>8</v>
      </c>
      <c r="U61">
        <f t="array" aca="1" ref="U61" ca="1">HLOOKUP(U$52, INDIRECT("'"&amp;INDEX(Lookup_Sheets, MATCH(1, --(COUNTIF(INDIRECT("'"&amp; Lookup_Sheets&amp;"'!$F$2:$L$15"), U$52)&gt;0), 0)) &amp;"'!$F$2:$L$15"),12, FALSE)</f>
        <v>7</v>
      </c>
      <c r="V61">
        <f t="array" aca="1" ref="V61" ca="1">HLOOKUP(V$52, INDIRECT("'"&amp;INDEX(Lookup_Sheets, MATCH(1, --(COUNTIF(INDIRECT("'"&amp; Lookup_Sheets&amp;"'!$F$2:$L$15"), V$52)&gt;0), 0)) &amp;"'!$F$2:$L$15"),12, FALSE)</f>
        <v>8</v>
      </c>
      <c r="W61">
        <f t="array" aca="1" ref="W61" ca="1">HLOOKUP(W$52, INDIRECT("'"&amp;INDEX(Lookup_Sheets, MATCH(1, --(COUNTIF(INDIRECT("'"&amp; Lookup_Sheets&amp;"'!$F$2:$L$15"), W$52)&gt;0), 0)) &amp;"'!$F$2:$L$15"),12, FALSE)</f>
        <v>8</v>
      </c>
      <c r="X61">
        <f t="array" aca="1" ref="X61" ca="1">HLOOKUP(X$52, INDIRECT("'"&amp;INDEX(Lookup_Sheets, MATCH(1, --(COUNTIF(INDIRECT("'"&amp; Lookup_Sheets&amp;"'!$F$2:$L$15"), X$52)&gt;0), 0)) &amp;"'!$F$2:$L$15"),12, FALSE)</f>
        <v>8</v>
      </c>
      <c r="Y61">
        <f t="array" aca="1" ref="Y61" ca="1">HLOOKUP(Y$52, INDIRECT("'"&amp;INDEX(Lookup_Sheets, MATCH(1, --(COUNTIF(INDIRECT("'"&amp; Lookup_Sheets&amp;"'!$F$2:$L$15"), Y$52)&gt;0), 0)) &amp;"'!$F$2:$L$15"),12, FALSE)</f>
        <v>8</v>
      </c>
    </row>
    <row r="62" spans="1:25" ht="15.75" thickBot="1">
      <c r="A62" s="69" t="s">
        <v>24</v>
      </c>
      <c r="C62" s="71">
        <f ca="1">C60+C61</f>
        <v>12</v>
      </c>
      <c r="D62" s="72">
        <f t="shared" ref="D62:I62" ca="1" si="33">D60+D61</f>
        <v>11</v>
      </c>
      <c r="E62" s="72">
        <f t="shared" ca="1" si="33"/>
        <v>11</v>
      </c>
      <c r="F62" s="72">
        <f t="shared" ca="1" si="33"/>
        <v>11</v>
      </c>
      <c r="G62" s="72">
        <f t="shared" ca="1" si="33"/>
        <v>12</v>
      </c>
      <c r="H62" s="72">
        <f t="shared" ca="1" si="33"/>
        <v>11</v>
      </c>
      <c r="I62" s="73">
        <f t="shared" ca="1" si="33"/>
        <v>10</v>
      </c>
      <c r="K62" s="71">
        <f ca="1">K60+K61</f>
        <v>13</v>
      </c>
      <c r="L62" s="72">
        <f t="shared" ref="L62:Q62" ca="1" si="34">L60+L61</f>
        <v>11</v>
      </c>
      <c r="M62" s="72">
        <f t="shared" ca="1" si="34"/>
        <v>11</v>
      </c>
      <c r="N62" s="72">
        <f t="shared" ca="1" si="34"/>
        <v>11</v>
      </c>
      <c r="O62" s="72">
        <f t="shared" ca="1" si="34"/>
        <v>10</v>
      </c>
      <c r="P62" s="72">
        <f t="shared" ca="1" si="34"/>
        <v>11</v>
      </c>
      <c r="Q62" s="73">
        <f t="shared" ca="1" si="34"/>
        <v>10</v>
      </c>
      <c r="S62" s="71">
        <f ca="1">S60+S61</f>
        <v>12</v>
      </c>
      <c r="T62" s="72">
        <f t="shared" ref="T62:Y62" ca="1" si="35">T60+T61</f>
        <v>11</v>
      </c>
      <c r="U62" s="72">
        <f t="shared" ca="1" si="35"/>
        <v>10</v>
      </c>
      <c r="V62" s="72">
        <f t="shared" ca="1" si="35"/>
        <v>11</v>
      </c>
      <c r="W62" s="72">
        <f t="shared" ca="1" si="35"/>
        <v>11</v>
      </c>
      <c r="X62" s="72">
        <f t="shared" ca="1" si="35"/>
        <v>10</v>
      </c>
      <c r="Y62" s="73">
        <f t="shared" ca="1" si="35"/>
        <v>10</v>
      </c>
    </row>
    <row r="63" spans="1:25" ht="16.5" thickBot="1">
      <c r="A63" s="2"/>
    </row>
    <row r="64" spans="1:25" ht="15.75" thickBot="1">
      <c r="A64" s="69" t="s">
        <v>25</v>
      </c>
      <c r="C64" s="74">
        <f t="array" aca="1" ref="C64" ca="1">HLOOKUP(C$52, INDIRECT("'"&amp;INDEX(Lookup_Sheets, MATCH(1, --(COUNTIF(INDIRECT("'"&amp; Lookup_Sheets&amp;"'!$F$2:$L$16"), C$52)&gt;0), 0)) &amp;"'!$F$2:$L$16"),15, FALSE)</f>
        <v>5</v>
      </c>
      <c r="D64" s="75">
        <f t="array" aca="1" ref="D64" ca="1">HLOOKUP(D$52, INDIRECT("'"&amp;INDEX(Lookup_Sheets, MATCH(1, --(COUNTIF(INDIRECT("'"&amp; Lookup_Sheets&amp;"'!$F$2:$L$16"), D$52)&gt;0), 0)) &amp;"'!$F$2:$L$16"),15, FALSE)</f>
        <v>4</v>
      </c>
      <c r="E64" s="75">
        <f t="array" aca="1" ref="E64" ca="1">HLOOKUP(E$52, INDIRECT("'"&amp;INDEX(Lookup_Sheets, MATCH(1, --(COUNTIF(INDIRECT("'"&amp; Lookup_Sheets&amp;"'!$F$2:$L$16"), E$52)&gt;0), 0)) &amp;"'!$F$2:$L$16"),15, FALSE)</f>
        <v>4</v>
      </c>
      <c r="F64" s="75">
        <f t="array" aca="1" ref="F64" ca="1">HLOOKUP(F$52, INDIRECT("'"&amp;INDEX(Lookup_Sheets, MATCH(1, --(COUNTIF(INDIRECT("'"&amp; Lookup_Sheets&amp;"'!$F$2:$L$16"), F$52)&gt;0), 0)) &amp;"'!$F$2:$L$16"),15, FALSE)</f>
        <v>4</v>
      </c>
      <c r="G64" s="75">
        <f t="array" aca="1" ref="G64" ca="1">HLOOKUP(G$52, INDIRECT("'"&amp;INDEX(Lookup_Sheets, MATCH(1, --(COUNTIF(INDIRECT("'"&amp; Lookup_Sheets&amp;"'!$F$2:$L$16"), G$52)&gt;0), 0)) &amp;"'!$F$2:$L$16"),15, FALSE)</f>
        <v>4</v>
      </c>
      <c r="H64" s="75">
        <f t="array" aca="1" ref="H64" ca="1">HLOOKUP(H$52, INDIRECT("'"&amp;INDEX(Lookup_Sheets, MATCH(1, --(COUNTIF(INDIRECT("'"&amp; Lookup_Sheets&amp;"'!$F$2:$L$16"), H$52)&gt;0), 0)) &amp;"'!$F$2:$L$16"),15, FALSE)</f>
        <v>4</v>
      </c>
      <c r="I64" s="76">
        <f t="array" aca="1" ref="I64" ca="1">HLOOKUP(I$52, INDIRECT("'"&amp;INDEX(Lookup_Sheets, MATCH(1, --(COUNTIF(INDIRECT("'"&amp; Lookup_Sheets&amp;"'!$F$2:$L$16"), I$52)&gt;0), 0)) &amp;"'!$F$2:$L$16"),15, FALSE)</f>
        <v>4</v>
      </c>
      <c r="K64" s="74">
        <f t="array" aca="1" ref="K64" ca="1">HLOOKUP(K$52, INDIRECT("'"&amp;INDEX(Lookup_Sheets, MATCH(1, --(COUNTIF(INDIRECT("'"&amp; Lookup_Sheets&amp;"'!$F$2:$L$16"), K$52)&gt;0), 0)) &amp;"'!$F$2:$L$16"),15, FALSE)</f>
        <v>5</v>
      </c>
      <c r="L64" s="75">
        <f t="array" aca="1" ref="L64" ca="1">HLOOKUP(L$52, INDIRECT("'"&amp;INDEX(Lookup_Sheets, MATCH(1, --(COUNTIF(INDIRECT("'"&amp; Lookup_Sheets&amp;"'!$F$2:$L$16"), L$52)&gt;0), 0)) &amp;"'!$F$2:$L$16"),15, FALSE)</f>
        <v>5</v>
      </c>
      <c r="M64" s="75">
        <f t="array" aca="1" ref="M64" ca="1">HLOOKUP(M$52, INDIRECT("'"&amp;INDEX(Lookup_Sheets, MATCH(1, --(COUNTIF(INDIRECT("'"&amp; Lookup_Sheets&amp;"'!$F$2:$L$16"), M$52)&gt;0), 0)) &amp;"'!$F$2:$L$16"),15, FALSE)</f>
        <v>5</v>
      </c>
      <c r="N64" s="75">
        <f t="array" aca="1" ref="N64" ca="1">HLOOKUP(N$52, INDIRECT("'"&amp;INDEX(Lookup_Sheets, MATCH(1, --(COUNTIF(INDIRECT("'"&amp; Lookup_Sheets&amp;"'!$F$2:$L$16"), N$52)&gt;0), 0)) &amp;"'!$F$2:$L$16"),15, FALSE)</f>
        <v>5</v>
      </c>
      <c r="O64" s="75">
        <f t="array" aca="1" ref="O64" ca="1">HLOOKUP(O$52, INDIRECT("'"&amp;INDEX(Lookup_Sheets, MATCH(1, --(COUNTIF(INDIRECT("'"&amp; Lookup_Sheets&amp;"'!$F$2:$L$16"), O$52)&gt;0), 0)) &amp;"'!$F$2:$L$16"),15, FALSE)</f>
        <v>4</v>
      </c>
      <c r="P64" s="75">
        <f t="array" aca="1" ref="P64" ca="1">HLOOKUP(P$52, INDIRECT("'"&amp;INDEX(Lookup_Sheets, MATCH(1, --(COUNTIF(INDIRECT("'"&amp; Lookup_Sheets&amp;"'!$F$2:$L$16"), P$52)&gt;0), 0)) &amp;"'!$F$2:$L$16"),15, FALSE)</f>
        <v>4</v>
      </c>
      <c r="Q64" s="76">
        <f t="array" aca="1" ref="Q64" ca="1">HLOOKUP(Q$52, INDIRECT("'"&amp;INDEX(Lookup_Sheets, MATCH(1, --(COUNTIF(INDIRECT("'"&amp; Lookup_Sheets&amp;"'!$F$2:$L$16"), Q$52)&gt;0), 0)) &amp;"'!$F$2:$L$16"),15, FALSE)</f>
        <v>4</v>
      </c>
      <c r="S64" s="74">
        <f t="array" aca="1" ref="S64" ca="1">HLOOKUP(S$52, INDIRECT("'"&amp;INDEX(Lookup_Sheets, MATCH(1, --(COUNTIF(INDIRECT("'"&amp; Lookup_Sheets&amp;"'!$F$2:$L$16"), S$52)&gt;0), 0)) &amp;"'!$F$2:$L$16"),15, FALSE)</f>
        <v>4</v>
      </c>
      <c r="T64" s="75">
        <f t="array" aca="1" ref="T64" ca="1">HLOOKUP(T$52, INDIRECT("'"&amp;INDEX(Lookup_Sheets, MATCH(1, --(COUNTIF(INDIRECT("'"&amp; Lookup_Sheets&amp;"'!$F$2:$L$16"), T$52)&gt;0), 0)) &amp;"'!$F$2:$L$16"),15, FALSE)</f>
        <v>4</v>
      </c>
      <c r="U64" s="75">
        <f t="array" aca="1" ref="U64" ca="1">HLOOKUP(U$52, INDIRECT("'"&amp;INDEX(Lookup_Sheets, MATCH(1, --(COUNTIF(INDIRECT("'"&amp; Lookup_Sheets&amp;"'!$F$2:$L$16"), U$52)&gt;0), 0)) &amp;"'!$F$2:$L$16"),15, FALSE)</f>
        <v>4</v>
      </c>
      <c r="V64" s="75">
        <f t="array" aca="1" ref="V64" ca="1">HLOOKUP(V$52, INDIRECT("'"&amp;INDEX(Lookup_Sheets, MATCH(1, --(COUNTIF(INDIRECT("'"&amp; Lookup_Sheets&amp;"'!$F$2:$L$16"), V$52)&gt;0), 0)) &amp;"'!$F$2:$L$16"),15, FALSE)</f>
        <v>4</v>
      </c>
      <c r="W64" s="75">
        <f t="array" aca="1" ref="W64" ca="1">HLOOKUP(W$52, INDIRECT("'"&amp;INDEX(Lookup_Sheets, MATCH(1, --(COUNTIF(INDIRECT("'"&amp; Lookup_Sheets&amp;"'!$F$2:$L$16"), W$52)&gt;0), 0)) &amp;"'!$F$2:$L$16"),15, FALSE)</f>
        <v>5</v>
      </c>
      <c r="X64" s="75">
        <f t="array" aca="1" ref="X64" ca="1">HLOOKUP(X$52, INDIRECT("'"&amp;INDEX(Lookup_Sheets, MATCH(1, --(COUNTIF(INDIRECT("'"&amp; Lookup_Sheets&amp;"'!$F$2:$L$16"), X$52)&gt;0), 0)) &amp;"'!$F$2:$L$16"),15, FALSE)</f>
        <v>5</v>
      </c>
      <c r="Y64" s="76">
        <f t="array" aca="1" ref="Y64" ca="1">HLOOKUP(Y$52, INDIRECT("'"&amp;INDEX(Lookup_Sheets, MATCH(1, --(COUNTIF(INDIRECT("'"&amp; Lookup_Sheets&amp;"'!$F$2:$L$16"), Y$52)&gt;0), 0)) &amp;"'!$F$2:$L$16"),15, FALSE)</f>
        <v>5</v>
      </c>
    </row>
    <row r="66" spans="1:9">
      <c r="C66" t="s">
        <v>200</v>
      </c>
    </row>
    <row r="67" spans="1:9">
      <c r="C67" t="s">
        <v>5</v>
      </c>
      <c r="D67" t="s">
        <v>6</v>
      </c>
      <c r="E67" t="s">
        <v>7</v>
      </c>
      <c r="F67" t="s">
        <v>8</v>
      </c>
      <c r="G67" t="s">
        <v>9</v>
      </c>
      <c r="H67" t="s">
        <v>10</v>
      </c>
      <c r="I67" t="s">
        <v>11</v>
      </c>
    </row>
    <row r="68" spans="1:9">
      <c r="C68" s="70">
        <f>S52+7</f>
        <v>46230</v>
      </c>
      <c r="D68" s="70">
        <f t="shared" ref="D68:I68" si="36">C68+1</f>
        <v>46231</v>
      </c>
      <c r="E68" s="70">
        <f t="shared" si="36"/>
        <v>46232</v>
      </c>
      <c r="F68" s="70">
        <f t="shared" si="36"/>
        <v>46233</v>
      </c>
      <c r="G68" s="70">
        <f t="shared" si="36"/>
        <v>46234</v>
      </c>
      <c r="H68" s="70">
        <f t="shared" si="36"/>
        <v>46235</v>
      </c>
      <c r="I68" s="70">
        <f t="shared" si="36"/>
        <v>46236</v>
      </c>
    </row>
    <row r="70" spans="1:9">
      <c r="A70" s="68" t="s">
        <v>17</v>
      </c>
      <c r="C70">
        <f t="array" aca="1" ref="C70" ca="1">HLOOKUP(C$68, INDIRECT("'"&amp;INDEX(Lookup_Sheets, MATCH(1, --(COUNTIF(INDIRECT("'"&amp; Lookup_Sheets&amp;"'!$F$2:$L$15"), C$68)&gt;0), 0)) &amp;"'!$F$2:$L$15"),5, FALSE)</f>
        <v>3</v>
      </c>
      <c r="D70">
        <f t="array" aca="1" ref="D70" ca="1">HLOOKUP(D$68, INDIRECT("'"&amp;INDEX(Lookup_Sheets, MATCH(1, --(COUNTIF(INDIRECT("'"&amp; Lookup_Sheets&amp;"'!$F$2:$L$15"), D$68)&gt;0), 0)) &amp;"'!$F$2:$L$15"),5, FALSE)</f>
        <v>3</v>
      </c>
      <c r="E70">
        <f t="array" aca="1" ref="E70" ca="1">HLOOKUP(E$68, INDIRECT("'"&amp;INDEX(Lookup_Sheets, MATCH(1, --(COUNTIF(INDIRECT("'"&amp; Lookup_Sheets&amp;"'!$F$2:$L$15"), E$68)&gt;0), 0)) &amp;"'!$F$2:$L$15"),5, FALSE)</f>
        <v>3</v>
      </c>
      <c r="F70">
        <f t="array" aca="1" ref="F70" ca="1">HLOOKUP(F$68, INDIRECT("'"&amp;INDEX(Lookup_Sheets, MATCH(1, --(COUNTIF(INDIRECT("'"&amp; Lookup_Sheets&amp;"'!$F$2:$L$15"), F$68)&gt;0), 0)) &amp;"'!$F$2:$L$15"),5, FALSE)</f>
        <v>3</v>
      </c>
      <c r="G70">
        <f t="array" aca="1" ref="G70" ca="1">HLOOKUP(G$68, INDIRECT("'"&amp;INDEX(Lookup_Sheets, MATCH(1, --(COUNTIF(INDIRECT("'"&amp; Lookup_Sheets&amp;"'!$F$2:$L$15"), G$68)&gt;0), 0)) &amp;"'!$F$2:$L$15"),5, FALSE)</f>
        <v>3</v>
      </c>
      <c r="H70">
        <f t="array" aca="1" ref="H70" ca="1">HLOOKUP(H$68, INDIRECT("'"&amp;INDEX(Lookup_Sheets, MATCH(1, --(COUNTIF(INDIRECT("'"&amp; Lookup_Sheets&amp;"'!$F$2:$L$15"), H$68)&gt;0), 0)) &amp;"'!$F$2:$L$15"),5, FALSE)</f>
        <v>2</v>
      </c>
      <c r="I70">
        <f t="array" aca="1" ref="I70" ca="1">HLOOKUP(I$68, INDIRECT("'"&amp;INDEX(Lookup_Sheets, MATCH(1, --(COUNTIF(INDIRECT("'"&amp; Lookup_Sheets&amp;"'!$F$2:$L$15"), I$68)&gt;0), 0)) &amp;"'!$F$2:$L$15"),5, FALSE)</f>
        <v>2</v>
      </c>
    </row>
    <row r="71" spans="1:9" ht="15.75" thickBot="1">
      <c r="A71" s="68" t="s">
        <v>18</v>
      </c>
      <c r="C71">
        <f t="array" aca="1" ref="C71" ca="1">HLOOKUP(C$68, INDIRECT("'"&amp;INDEX(Lookup_Sheets, MATCH(1, --(COUNTIF(INDIRECT("'"&amp; Lookup_Sheets&amp;"'!$F$2:$L$15"), C$68)&gt;0), 0)) &amp;"'!$F$2:$L$15"),6, FALSE)</f>
        <v>4</v>
      </c>
      <c r="D71">
        <f t="array" aca="1" ref="D71" ca="1">HLOOKUP(D$68, INDIRECT("'"&amp;INDEX(Lookup_Sheets, MATCH(1, --(COUNTIF(INDIRECT("'"&amp; Lookup_Sheets&amp;"'!$F$2:$L$15"), D$68)&gt;0), 0)) &amp;"'!$F$2:$L$15"),6, FALSE)</f>
        <v>4</v>
      </c>
      <c r="E71">
        <f t="array" aca="1" ref="E71" ca="1">HLOOKUP(E$68, INDIRECT("'"&amp;INDEX(Lookup_Sheets, MATCH(1, --(COUNTIF(INDIRECT("'"&amp; Lookup_Sheets&amp;"'!$F$2:$L$15"), E$68)&gt;0), 0)) &amp;"'!$F$2:$L$15"),6, FALSE)</f>
        <v>4</v>
      </c>
      <c r="F71">
        <f t="array" aca="1" ref="F71" ca="1">HLOOKUP(F$68, INDIRECT("'"&amp;INDEX(Lookup_Sheets, MATCH(1, --(COUNTIF(INDIRECT("'"&amp; Lookup_Sheets&amp;"'!$F$2:$L$15"), F$68)&gt;0), 0)) &amp;"'!$F$2:$L$15"),6, FALSE)</f>
        <v>6</v>
      </c>
      <c r="G71">
        <f t="array" aca="1" ref="G71" ca="1">HLOOKUP(G$68, INDIRECT("'"&amp;INDEX(Lookup_Sheets, MATCH(1, --(COUNTIF(INDIRECT("'"&amp; Lookup_Sheets&amp;"'!$F$2:$L$15"), G$68)&gt;0), 0)) &amp;"'!$F$2:$L$15"),6, FALSE)</f>
        <v>4</v>
      </c>
      <c r="H71">
        <f t="array" aca="1" ref="H71" ca="1">HLOOKUP(H$68, INDIRECT("'"&amp;INDEX(Lookup_Sheets, MATCH(1, --(COUNTIF(INDIRECT("'"&amp; Lookup_Sheets&amp;"'!$F$2:$L$15"), H$68)&gt;0), 0)) &amp;"'!$F$2:$L$15"),6, FALSE)</f>
        <v>4</v>
      </c>
      <c r="I71">
        <f t="array" aca="1" ref="I71" ca="1">HLOOKUP(I$68, INDIRECT("'"&amp;INDEX(Lookup_Sheets, MATCH(1, --(COUNTIF(INDIRECT("'"&amp; Lookup_Sheets&amp;"'!$F$2:$L$15"), I$68)&gt;0), 0)) &amp;"'!$F$2:$L$15"),6, FALSE)</f>
        <v>3</v>
      </c>
    </row>
    <row r="72" spans="1:9" ht="15.75" thickBot="1">
      <c r="A72" s="69" t="s">
        <v>19</v>
      </c>
      <c r="C72" s="71">
        <f ca="1">C70+C71</f>
        <v>7</v>
      </c>
      <c r="D72" s="72">
        <f t="shared" ref="D72:I72" ca="1" si="37">D70+D71</f>
        <v>7</v>
      </c>
      <c r="E72" s="72">
        <f t="shared" ca="1" si="37"/>
        <v>7</v>
      </c>
      <c r="F72" s="72">
        <f t="shared" ca="1" si="37"/>
        <v>9</v>
      </c>
      <c r="G72" s="72">
        <f t="shared" ca="1" si="37"/>
        <v>7</v>
      </c>
      <c r="H72" s="72">
        <f t="shared" ca="1" si="37"/>
        <v>6</v>
      </c>
      <c r="I72" s="73">
        <f t="shared" ca="1" si="37"/>
        <v>5</v>
      </c>
    </row>
    <row r="73" spans="1:9" ht="15.75">
      <c r="A73" s="2"/>
    </row>
    <row r="74" spans="1:9">
      <c r="A74" s="177" t="s">
        <v>193</v>
      </c>
      <c r="C74">
        <f t="array" aca="1" ref="C74" ca="1">HLOOKUP(C$68, INDIRECT("'"&amp;INDEX(Lookup_Sheets, MATCH(1, --(COUNTIF(INDIRECT("'"&amp; Lookup_Sheets&amp;"'!$F$2:$L$15"), C$68)&gt;0), 0)) &amp;"'!$F$2:$L$15"),9, FALSE)</f>
        <v>0</v>
      </c>
      <c r="D74">
        <f t="array" aca="1" ref="D74" ca="1">HLOOKUP(D$68, INDIRECT("'"&amp;INDEX(Lookup_Sheets, MATCH(1, --(COUNTIF(INDIRECT("'"&amp; Lookup_Sheets&amp;"'!$F$2:$L$15"), D$68)&gt;0), 0)) &amp;"'!$F$2:$L$15"),9, FALSE)</f>
        <v>0</v>
      </c>
      <c r="E74">
        <f t="array" aca="1" ref="E74" ca="1">HLOOKUP(E$68, INDIRECT("'"&amp;INDEX(Lookup_Sheets, MATCH(1, --(COUNTIF(INDIRECT("'"&amp; Lookup_Sheets&amp;"'!$F$2:$L$15"), E$68)&gt;0), 0)) &amp;"'!$F$2:$L$15"),9, FALSE)</f>
        <v>0</v>
      </c>
      <c r="F74">
        <f t="array" aca="1" ref="F74" ca="1">HLOOKUP(F$68, INDIRECT("'"&amp;INDEX(Lookup_Sheets, MATCH(1, --(COUNTIF(INDIRECT("'"&amp; Lookup_Sheets&amp;"'!$F$2:$L$15"), F$68)&gt;0), 0)) &amp;"'!$F$2:$L$15"),9, FALSE)</f>
        <v>0</v>
      </c>
      <c r="G74">
        <f t="array" aca="1" ref="G74" ca="1">HLOOKUP(G$68, INDIRECT("'"&amp;INDEX(Lookup_Sheets, MATCH(1, --(COUNTIF(INDIRECT("'"&amp; Lookup_Sheets&amp;"'!$F$2:$L$15"), G$68)&gt;0), 0)) &amp;"'!$F$2:$L$15"),9, FALSE)</f>
        <v>0</v>
      </c>
      <c r="H74">
        <f t="array" aca="1" ref="H74" ca="1">HLOOKUP(H$68, INDIRECT("'"&amp;INDEX(Lookup_Sheets, MATCH(1, --(COUNTIF(INDIRECT("'"&amp; Lookup_Sheets&amp;"'!$F$2:$L$15"), H$68)&gt;0), 0)) &amp;"'!$F$2:$L$15"),9, FALSE)</f>
        <v>0</v>
      </c>
      <c r="I74">
        <f t="array" aca="1" ref="I74" ca="1">HLOOKUP(I$68, INDIRECT("'"&amp;INDEX(Lookup_Sheets, MATCH(1, --(COUNTIF(INDIRECT("'"&amp; Lookup_Sheets&amp;"'!$F$2:$L$15"), I$68)&gt;0), 0)) &amp;"'!$F$2:$L$15"),9, FALSE)</f>
        <v>0</v>
      </c>
    </row>
    <row r="75" spans="1:9">
      <c r="A75" s="68" t="s">
        <v>195</v>
      </c>
      <c r="C75">
        <f t="array" aca="1" ref="C75" ca="1">HLOOKUP(C$68, INDIRECT("'"&amp;INDEX(Lookup_Sheets, MATCH(1, --(COUNTIF(INDIRECT("'"&amp; Lookup_Sheets&amp;"'!$F$2:$L$15"), C$68)&gt;0), 0)) &amp;"'!$F$2:$L$15"),10, FALSE)</f>
        <v>0</v>
      </c>
      <c r="D75">
        <f t="array" aca="1" ref="D75" ca="1">HLOOKUP(D$68, INDIRECT("'"&amp;INDEX(Lookup_Sheets, MATCH(1, --(COUNTIF(INDIRECT("'"&amp; Lookup_Sheets&amp;"'!$F$2:$L$15"), D$68)&gt;0), 0)) &amp;"'!$F$2:$L$15"),10, FALSE)</f>
        <v>0</v>
      </c>
      <c r="E75">
        <f t="array" aca="1" ref="E75" ca="1">HLOOKUP(E$68, INDIRECT("'"&amp;INDEX(Lookup_Sheets, MATCH(1, --(COUNTIF(INDIRECT("'"&amp; Lookup_Sheets&amp;"'!$F$2:$L$15"), E$68)&gt;0), 0)) &amp;"'!$F$2:$L$15"),10, FALSE)</f>
        <v>0</v>
      </c>
      <c r="F75">
        <f t="array" aca="1" ref="F75" ca="1">HLOOKUP(F$68, INDIRECT("'"&amp;INDEX(Lookup_Sheets, MATCH(1, --(COUNTIF(INDIRECT("'"&amp; Lookup_Sheets&amp;"'!$F$2:$L$15"), F$68)&gt;0), 0)) &amp;"'!$F$2:$L$15"),10, FALSE)</f>
        <v>0</v>
      </c>
      <c r="G75">
        <f t="array" aca="1" ref="G75" ca="1">HLOOKUP(G$68, INDIRECT("'"&amp;INDEX(Lookup_Sheets, MATCH(1, --(COUNTIF(INDIRECT("'"&amp; Lookup_Sheets&amp;"'!$F$2:$L$15"), G$68)&gt;0), 0)) &amp;"'!$F$2:$L$15"),10, FALSE)</f>
        <v>0</v>
      </c>
      <c r="H75">
        <f t="array" aca="1" ref="H75" ca="1">HLOOKUP(H$68, INDIRECT("'"&amp;INDEX(Lookup_Sheets, MATCH(1, --(COUNTIF(INDIRECT("'"&amp; Lookup_Sheets&amp;"'!$F$2:$L$15"), H$68)&gt;0), 0)) &amp;"'!$F$2:$L$15"),10, FALSE)</f>
        <v>0</v>
      </c>
      <c r="I75">
        <f t="array" aca="1" ref="I75" ca="1">HLOOKUP(I$68, INDIRECT("'"&amp;INDEX(Lookup_Sheets, MATCH(1, --(COUNTIF(INDIRECT("'"&amp; Lookup_Sheets&amp;"'!$F$2:$L$15"), I$68)&gt;0), 0)) &amp;"'!$F$2:$L$15"),10, FALSE)</f>
        <v>2</v>
      </c>
    </row>
    <row r="76" spans="1:9">
      <c r="A76" s="68" t="s">
        <v>22</v>
      </c>
      <c r="C76">
        <f t="array" aca="1" ref="C76" ca="1">HLOOKUP(C$68, INDIRECT("'"&amp;INDEX(Lookup_Sheets, MATCH(1, --(COUNTIF(INDIRECT("'"&amp; Lookup_Sheets&amp;"'!$F$2:$L$15"), C$68)&gt;0), 0)) &amp;"'!$F$2:$L$15"),11, FALSE)</f>
        <v>3</v>
      </c>
      <c r="D76">
        <f t="array" aca="1" ref="D76" ca="1">HLOOKUP(D$68, INDIRECT("'"&amp;INDEX(Lookup_Sheets, MATCH(1, --(COUNTIF(INDIRECT("'"&amp; Lookup_Sheets&amp;"'!$F$2:$L$15"), D$68)&gt;0), 0)) &amp;"'!$F$2:$L$15"),11, FALSE)</f>
        <v>2</v>
      </c>
      <c r="E76">
        <f t="array" aca="1" ref="E76" ca="1">HLOOKUP(E$68, INDIRECT("'"&amp;INDEX(Lookup_Sheets, MATCH(1, --(COUNTIF(INDIRECT("'"&amp; Lookup_Sheets&amp;"'!$F$2:$L$15"), E$68)&gt;0), 0)) &amp;"'!$F$2:$L$15"),11, FALSE)</f>
        <v>3</v>
      </c>
      <c r="F76">
        <f t="array" aca="1" ref="F76" ca="1">HLOOKUP(F$68, INDIRECT("'"&amp;INDEX(Lookup_Sheets, MATCH(1, --(COUNTIF(INDIRECT("'"&amp; Lookup_Sheets&amp;"'!$F$2:$L$15"), F$68)&gt;0), 0)) &amp;"'!$F$2:$L$15"),11, FALSE)</f>
        <v>3</v>
      </c>
      <c r="G76">
        <f t="array" aca="1" ref="G76" ca="1">HLOOKUP(G$68, INDIRECT("'"&amp;INDEX(Lookup_Sheets, MATCH(1, --(COUNTIF(INDIRECT("'"&amp; Lookup_Sheets&amp;"'!$F$2:$L$15"), G$68)&gt;0), 0)) &amp;"'!$F$2:$L$15"),11, FALSE)</f>
        <v>3</v>
      </c>
      <c r="H76">
        <f t="array" aca="1" ref="H76" ca="1">HLOOKUP(H$68, INDIRECT("'"&amp;INDEX(Lookup_Sheets, MATCH(1, --(COUNTIF(INDIRECT("'"&amp; Lookup_Sheets&amp;"'!$F$2:$L$15"), H$68)&gt;0), 0)) &amp;"'!$F$2:$L$15"),11, FALSE)</f>
        <v>2</v>
      </c>
      <c r="I76">
        <f t="array" aca="1" ref="I76" ca="1">HLOOKUP(I$68, INDIRECT("'"&amp;INDEX(Lookup_Sheets, MATCH(1, --(COUNTIF(INDIRECT("'"&amp; Lookup_Sheets&amp;"'!$F$2:$L$15"), I$68)&gt;0), 0)) &amp;"'!$F$2:$L$15"),11, FALSE)</f>
        <v>2</v>
      </c>
    </row>
    <row r="77" spans="1:9" ht="15.75" thickBot="1">
      <c r="A77" s="68" t="s">
        <v>23</v>
      </c>
      <c r="C77">
        <f t="array" aca="1" ref="C77" ca="1">HLOOKUP(C$68, INDIRECT("'"&amp;INDEX(Lookup_Sheets, MATCH(1, --(COUNTIF(INDIRECT("'"&amp; Lookup_Sheets&amp;"'!$F$2:$L$15"), C$68)&gt;0), 0)) &amp;"'!$F$2:$L$15"),12, FALSE)</f>
        <v>9</v>
      </c>
      <c r="D77">
        <f t="array" aca="1" ref="D77" ca="1">HLOOKUP(D$68, INDIRECT("'"&amp;INDEX(Lookup_Sheets, MATCH(1, --(COUNTIF(INDIRECT("'"&amp; Lookup_Sheets&amp;"'!$F$2:$L$15"), D$68)&gt;0), 0)) &amp;"'!$F$2:$L$15"),12, FALSE)</f>
        <v>8</v>
      </c>
      <c r="E77">
        <f t="array" aca="1" ref="E77" ca="1">HLOOKUP(E$68, INDIRECT("'"&amp;INDEX(Lookup_Sheets, MATCH(1, --(COUNTIF(INDIRECT("'"&amp; Lookup_Sheets&amp;"'!$F$2:$L$15"), E$68)&gt;0), 0)) &amp;"'!$F$2:$L$15"),12, FALSE)</f>
        <v>8</v>
      </c>
      <c r="F77">
        <f t="array" aca="1" ref="F77" ca="1">HLOOKUP(F$68, INDIRECT("'"&amp;INDEX(Lookup_Sheets, MATCH(1, --(COUNTIF(INDIRECT("'"&amp; Lookup_Sheets&amp;"'!$F$2:$L$15"), F$68)&gt;0), 0)) &amp;"'!$F$2:$L$15"),12, FALSE)</f>
        <v>9</v>
      </c>
      <c r="G77">
        <f t="array" aca="1" ref="G77" ca="1">HLOOKUP(G$68, INDIRECT("'"&amp;INDEX(Lookup_Sheets, MATCH(1, --(COUNTIF(INDIRECT("'"&amp; Lookup_Sheets&amp;"'!$F$2:$L$15"), G$68)&gt;0), 0)) &amp;"'!$F$2:$L$15"),12, FALSE)</f>
        <v>9</v>
      </c>
      <c r="H77">
        <f t="array" aca="1" ref="H77" ca="1">HLOOKUP(H$68, INDIRECT("'"&amp;INDEX(Lookup_Sheets, MATCH(1, --(COUNTIF(INDIRECT("'"&amp; Lookup_Sheets&amp;"'!$F$2:$L$15"), H$68)&gt;0), 0)) &amp;"'!$F$2:$L$15"),12, FALSE)</f>
        <v>8</v>
      </c>
      <c r="I77">
        <f t="array" aca="1" ref="I77" ca="1">HLOOKUP(I$68, INDIRECT("'"&amp;INDEX(Lookup_Sheets, MATCH(1, --(COUNTIF(INDIRECT("'"&amp; Lookup_Sheets&amp;"'!$F$2:$L$15"), I$68)&gt;0), 0)) &amp;"'!$F$2:$L$15"),12, FALSE)</f>
        <v>9</v>
      </c>
    </row>
    <row r="78" spans="1:9" ht="15.75" thickBot="1">
      <c r="A78" s="69" t="s">
        <v>24</v>
      </c>
      <c r="C78" s="71">
        <f ca="1">C76+C77</f>
        <v>12</v>
      </c>
      <c r="D78" s="72">
        <f t="shared" ref="D78:I78" ca="1" si="38">D76+D77</f>
        <v>10</v>
      </c>
      <c r="E78" s="72">
        <f t="shared" ca="1" si="38"/>
        <v>11</v>
      </c>
      <c r="F78" s="72">
        <f t="shared" ca="1" si="38"/>
        <v>12</v>
      </c>
      <c r="G78" s="72">
        <f t="shared" ca="1" si="38"/>
        <v>12</v>
      </c>
      <c r="H78" s="72">
        <f t="shared" ca="1" si="38"/>
        <v>10</v>
      </c>
      <c r="I78" s="73">
        <f t="shared" ca="1" si="38"/>
        <v>11</v>
      </c>
    </row>
    <row r="79" spans="1:9" ht="16.5" thickBot="1">
      <c r="A79" s="2"/>
    </row>
    <row r="80" spans="1:9" ht="15.75" thickBot="1">
      <c r="A80" s="69" t="s">
        <v>25</v>
      </c>
      <c r="C80" s="74">
        <f t="array" aca="1" ref="C80" ca="1">HLOOKUP(C$68, INDIRECT("'"&amp;INDEX(Lookup_Sheets, MATCH(1, --(COUNTIF(INDIRECT("'"&amp; Lookup_Sheets&amp;"'!$F$2:$L$16"), C$68)&gt;0), 0)) &amp;"'!$F$2:$L$16"),15, FALSE)</f>
        <v>4</v>
      </c>
      <c r="D80" s="75">
        <f t="array" aca="1" ref="D80" ca="1">HLOOKUP(D$68, INDIRECT("'"&amp;INDEX(Lookup_Sheets, MATCH(1, --(COUNTIF(INDIRECT("'"&amp; Lookup_Sheets&amp;"'!$F$2:$L$16"), D$68)&gt;0), 0)) &amp;"'!$F$2:$L$16"),15, FALSE)</f>
        <v>4</v>
      </c>
      <c r="E80" s="75">
        <f t="array" aca="1" ref="E80" ca="1">HLOOKUP(E$68, INDIRECT("'"&amp;INDEX(Lookup_Sheets, MATCH(1, --(COUNTIF(INDIRECT("'"&amp; Lookup_Sheets&amp;"'!$F$2:$L$16"), E$68)&gt;0), 0)) &amp;"'!$F$2:$L$16"),15, FALSE)</f>
        <v>4</v>
      </c>
      <c r="F80" s="75">
        <f t="array" aca="1" ref="F80" ca="1">HLOOKUP(F$68, INDIRECT("'"&amp;INDEX(Lookup_Sheets, MATCH(1, --(COUNTIF(INDIRECT("'"&amp; Lookup_Sheets&amp;"'!$F$2:$L$16"), F$68)&gt;0), 0)) &amp;"'!$F$2:$L$16"),15, FALSE)</f>
        <v>4</v>
      </c>
      <c r="G80" s="75">
        <f t="array" aca="1" ref="G80" ca="1">HLOOKUP(G$68, INDIRECT("'"&amp;INDEX(Lookup_Sheets, MATCH(1, --(COUNTIF(INDIRECT("'"&amp; Lookup_Sheets&amp;"'!$F$2:$L$16"), G$68)&gt;0), 0)) &amp;"'!$F$2:$L$16"),15, FALSE)</f>
        <v>5</v>
      </c>
      <c r="H80" s="75">
        <f t="array" aca="1" ref="H80" ca="1">HLOOKUP(H$68, INDIRECT("'"&amp;INDEX(Lookup_Sheets, MATCH(1, --(COUNTIF(INDIRECT("'"&amp; Lookup_Sheets&amp;"'!$F$2:$L$16"), H$68)&gt;0), 0)) &amp;"'!$F$2:$L$16"),15, FALSE)</f>
        <v>5</v>
      </c>
      <c r="I80" s="76">
        <f t="array" aca="1" ref="I80" ca="1">HLOOKUP(I$68, INDIRECT("'"&amp;INDEX(Lookup_Sheets, MATCH(1, --(COUNTIF(INDIRECT("'"&amp; Lookup_Sheets&amp;"'!$F$2:$L$16"), I$68)&gt;0), 0)) &amp;"'!$F$2:$L$16"),15, FALSE)</f>
        <v>5</v>
      </c>
    </row>
  </sheetData>
  <conditionalFormatting sqref="C5:I5">
    <cfRule type="cellIs" dxfId="292" priority="265" operator="greaterThan">
      <formula>3</formula>
    </cfRule>
    <cfRule type="cellIs" dxfId="291" priority="266" operator="between">
      <formula>2</formula>
      <formula>3</formula>
    </cfRule>
  </conditionalFormatting>
  <conditionalFormatting sqref="C5:I6">
    <cfRule type="cellIs" dxfId="290" priority="267" operator="lessThan">
      <formula>2</formula>
    </cfRule>
  </conditionalFormatting>
  <conditionalFormatting sqref="C6:I6">
    <cfRule type="cellIs" dxfId="289" priority="273" operator="greaterThanOrEqual">
      <formula>2</formula>
    </cfRule>
  </conditionalFormatting>
  <conditionalFormatting sqref="C7:I7">
    <cfRule type="cellIs" dxfId="288" priority="277" operator="lessThan">
      <formula>5</formula>
    </cfRule>
    <cfRule type="cellIs" dxfId="287" priority="276" operator="greaterThan">
      <formula>8</formula>
    </cfRule>
    <cfRule type="cellIs" dxfId="286" priority="275" operator="between">
      <formula>6</formula>
      <formula>8</formula>
    </cfRule>
    <cfRule type="cellIs" dxfId="285" priority="271" operator="equal">
      <formula>5</formula>
    </cfRule>
  </conditionalFormatting>
  <conditionalFormatting sqref="C9:I10">
    <cfRule type="cellIs" dxfId="284" priority="284" operator="greaterThan">
      <formula>1</formula>
    </cfRule>
    <cfRule type="cellIs" dxfId="283" priority="270" operator="equal">
      <formula>1</formula>
    </cfRule>
  </conditionalFormatting>
  <conditionalFormatting sqref="C11:I11">
    <cfRule type="cellIs" dxfId="282" priority="278" operator="equal">
      <formula>2</formula>
    </cfRule>
    <cfRule type="cellIs" dxfId="281" priority="279" operator="lessThan">
      <formula>2</formula>
    </cfRule>
    <cfRule type="cellIs" dxfId="280" priority="280" operator="greaterThan">
      <formula>2</formula>
    </cfRule>
  </conditionalFormatting>
  <conditionalFormatting sqref="C12:I12">
    <cfRule type="cellIs" dxfId="279" priority="269" operator="lessThan">
      <formula>6</formula>
    </cfRule>
    <cfRule type="cellIs" dxfId="278" priority="283" operator="greaterThanOrEqual">
      <formula>6</formula>
    </cfRule>
  </conditionalFormatting>
  <conditionalFormatting sqref="C13:I13">
    <cfRule type="cellIs" dxfId="277" priority="285" operator="greaterThan">
      <formula>11</formula>
    </cfRule>
    <cfRule type="cellIs" dxfId="276" priority="268" operator="lessThan">
      <formula>9</formula>
    </cfRule>
    <cfRule type="cellIs" dxfId="275" priority="286" operator="equal">
      <formula>9</formula>
    </cfRule>
    <cfRule type="cellIs" dxfId="274" priority="281" operator="between">
      <formula>10</formula>
      <formula>11</formula>
    </cfRule>
  </conditionalFormatting>
  <conditionalFormatting sqref="C15:I15">
    <cfRule type="cellIs" dxfId="273" priority="274" operator="equal">
      <formula>4</formula>
    </cfRule>
    <cfRule type="cellIs" dxfId="272" priority="272" operator="greaterThan">
      <formula>4</formula>
    </cfRule>
    <cfRule type="cellIs" dxfId="271" priority="282" operator="lessThan">
      <formula>4</formula>
    </cfRule>
  </conditionalFormatting>
  <conditionalFormatting sqref="C21:I21">
    <cfRule type="cellIs" dxfId="270" priority="177" operator="greaterThan">
      <formula>3</formula>
    </cfRule>
    <cfRule type="cellIs" dxfId="269" priority="178" operator="between">
      <formula>2</formula>
      <formula>3</formula>
    </cfRule>
  </conditionalFormatting>
  <conditionalFormatting sqref="C21:I22">
    <cfRule type="cellIs" dxfId="268" priority="179" operator="lessThan">
      <formula>2</formula>
    </cfRule>
  </conditionalFormatting>
  <conditionalFormatting sqref="C22:I22">
    <cfRule type="cellIs" dxfId="267" priority="185" operator="greaterThanOrEqual">
      <formula>2</formula>
    </cfRule>
  </conditionalFormatting>
  <conditionalFormatting sqref="C23:I23">
    <cfRule type="cellIs" dxfId="266" priority="183" operator="equal">
      <formula>5</formula>
    </cfRule>
    <cfRule type="cellIs" dxfId="265" priority="187" operator="between">
      <formula>6</formula>
      <formula>8</formula>
    </cfRule>
    <cfRule type="cellIs" dxfId="264" priority="188" operator="greaterThan">
      <formula>8</formula>
    </cfRule>
    <cfRule type="cellIs" dxfId="263" priority="189" operator="lessThan">
      <formula>5</formula>
    </cfRule>
  </conditionalFormatting>
  <conditionalFormatting sqref="C25:I26">
    <cfRule type="cellIs" dxfId="262" priority="182" operator="equal">
      <formula>1</formula>
    </cfRule>
    <cfRule type="cellIs" dxfId="261" priority="196" operator="greaterThan">
      <formula>1</formula>
    </cfRule>
  </conditionalFormatting>
  <conditionalFormatting sqref="C27:I27">
    <cfRule type="cellIs" dxfId="260" priority="191" operator="lessThan">
      <formula>2</formula>
    </cfRule>
    <cfRule type="cellIs" dxfId="259" priority="192" operator="greaterThan">
      <formula>2</formula>
    </cfRule>
    <cfRule type="cellIs" dxfId="258" priority="190" operator="equal">
      <formula>2</formula>
    </cfRule>
  </conditionalFormatting>
  <conditionalFormatting sqref="C28:I28">
    <cfRule type="cellIs" dxfId="257" priority="195" operator="greaterThanOrEqual">
      <formula>6</formula>
    </cfRule>
    <cfRule type="cellIs" dxfId="256" priority="181" operator="lessThan">
      <formula>6</formula>
    </cfRule>
  </conditionalFormatting>
  <conditionalFormatting sqref="C29:I29">
    <cfRule type="cellIs" dxfId="255" priority="193" operator="between">
      <formula>10</formula>
      <formula>11</formula>
    </cfRule>
    <cfRule type="cellIs" dxfId="254" priority="180" operator="lessThan">
      <formula>9</formula>
    </cfRule>
    <cfRule type="cellIs" dxfId="253" priority="198" operator="equal">
      <formula>9</formula>
    </cfRule>
    <cfRule type="cellIs" dxfId="252" priority="197" operator="greaterThan">
      <formula>11</formula>
    </cfRule>
  </conditionalFormatting>
  <conditionalFormatting sqref="C31:I31">
    <cfRule type="cellIs" dxfId="251" priority="184" operator="greaterThan">
      <formula>4</formula>
    </cfRule>
    <cfRule type="cellIs" dxfId="250" priority="194" operator="lessThan">
      <formula>4</formula>
    </cfRule>
    <cfRule type="cellIs" dxfId="249" priority="186" operator="equal">
      <formula>4</formula>
    </cfRule>
  </conditionalFormatting>
  <conditionalFormatting sqref="C38:I38">
    <cfRule type="cellIs" dxfId="248" priority="112" operator="between">
      <formula>2</formula>
      <formula>3</formula>
    </cfRule>
    <cfRule type="cellIs" dxfId="247" priority="111" operator="greaterThan">
      <formula>3</formula>
    </cfRule>
  </conditionalFormatting>
  <conditionalFormatting sqref="C38:I39">
    <cfRule type="cellIs" dxfId="246" priority="113" operator="lessThan">
      <formula>2</formula>
    </cfRule>
  </conditionalFormatting>
  <conditionalFormatting sqref="C39:I39">
    <cfRule type="cellIs" dxfId="245" priority="119" operator="greaterThanOrEqual">
      <formula>2</formula>
    </cfRule>
  </conditionalFormatting>
  <conditionalFormatting sqref="C40:I40">
    <cfRule type="cellIs" dxfId="244" priority="117" operator="equal">
      <formula>5</formula>
    </cfRule>
    <cfRule type="cellIs" dxfId="243" priority="121" operator="between">
      <formula>6</formula>
      <formula>8</formula>
    </cfRule>
    <cfRule type="cellIs" dxfId="242" priority="122" operator="greaterThan">
      <formula>8</formula>
    </cfRule>
    <cfRule type="cellIs" dxfId="241" priority="123" operator="lessThan">
      <formula>5</formula>
    </cfRule>
  </conditionalFormatting>
  <conditionalFormatting sqref="C42:I43">
    <cfRule type="cellIs" dxfId="240" priority="130" operator="greaterThan">
      <formula>1</formula>
    </cfRule>
    <cfRule type="cellIs" dxfId="239" priority="116" operator="equal">
      <formula>1</formula>
    </cfRule>
  </conditionalFormatting>
  <conditionalFormatting sqref="C44:I44">
    <cfRule type="cellIs" dxfId="238" priority="126" operator="greaterThan">
      <formula>2</formula>
    </cfRule>
    <cfRule type="cellIs" dxfId="237" priority="125" operator="lessThan">
      <formula>2</formula>
    </cfRule>
    <cfRule type="cellIs" dxfId="236" priority="124" operator="equal">
      <formula>2</formula>
    </cfRule>
  </conditionalFormatting>
  <conditionalFormatting sqref="C45:I45">
    <cfRule type="cellIs" dxfId="235" priority="129" operator="greaterThanOrEqual">
      <formula>6</formula>
    </cfRule>
    <cfRule type="cellIs" dxfId="234" priority="115" operator="lessThan">
      <formula>6</formula>
    </cfRule>
  </conditionalFormatting>
  <conditionalFormatting sqref="C46:I46">
    <cfRule type="cellIs" dxfId="233" priority="132" operator="equal">
      <formula>9</formula>
    </cfRule>
    <cfRule type="cellIs" dxfId="232" priority="131" operator="greaterThan">
      <formula>11</formula>
    </cfRule>
    <cfRule type="cellIs" dxfId="231" priority="114" operator="lessThan">
      <formula>9</formula>
    </cfRule>
    <cfRule type="cellIs" dxfId="230" priority="127" operator="between">
      <formula>10</formula>
      <formula>11</formula>
    </cfRule>
  </conditionalFormatting>
  <conditionalFormatting sqref="C48:I48">
    <cfRule type="cellIs" dxfId="229" priority="118" operator="greaterThan">
      <formula>4</formula>
    </cfRule>
    <cfRule type="cellIs" dxfId="228" priority="120" operator="equal">
      <formula>4</formula>
    </cfRule>
    <cfRule type="cellIs" dxfId="227" priority="128" operator="lessThan">
      <formula>4</formula>
    </cfRule>
  </conditionalFormatting>
  <conditionalFormatting sqref="C54:I54">
    <cfRule type="cellIs" dxfId="226" priority="46" operator="between">
      <formula>2</formula>
      <formula>3</formula>
    </cfRule>
    <cfRule type="cellIs" dxfId="225" priority="45" operator="greaterThan">
      <formula>3</formula>
    </cfRule>
  </conditionalFormatting>
  <conditionalFormatting sqref="C54:I55">
    <cfRule type="cellIs" dxfId="224" priority="47" operator="lessThan">
      <formula>2</formula>
    </cfRule>
  </conditionalFormatting>
  <conditionalFormatting sqref="C55:I55">
    <cfRule type="cellIs" dxfId="223" priority="53" operator="greaterThanOrEqual">
      <formula>2</formula>
    </cfRule>
  </conditionalFormatting>
  <conditionalFormatting sqref="C56:I56">
    <cfRule type="cellIs" dxfId="222" priority="51" operator="equal">
      <formula>5</formula>
    </cfRule>
    <cfRule type="cellIs" dxfId="221" priority="56" operator="greaterThan">
      <formula>8</formula>
    </cfRule>
    <cfRule type="cellIs" dxfId="220" priority="57" operator="lessThan">
      <formula>5</formula>
    </cfRule>
    <cfRule type="cellIs" dxfId="219" priority="55" operator="between">
      <formula>6</formula>
      <formula>8</formula>
    </cfRule>
  </conditionalFormatting>
  <conditionalFormatting sqref="C58:I59">
    <cfRule type="cellIs" dxfId="218" priority="50" operator="equal">
      <formula>1</formula>
    </cfRule>
    <cfRule type="cellIs" dxfId="217" priority="64" operator="greaterThan">
      <formula>1</formula>
    </cfRule>
  </conditionalFormatting>
  <conditionalFormatting sqref="C60:I60">
    <cfRule type="cellIs" dxfId="216" priority="60" operator="greaterThan">
      <formula>2</formula>
    </cfRule>
    <cfRule type="cellIs" dxfId="215" priority="59" operator="lessThan">
      <formula>2</formula>
    </cfRule>
    <cfRule type="cellIs" dxfId="214" priority="58" operator="equal">
      <formula>2</formula>
    </cfRule>
  </conditionalFormatting>
  <conditionalFormatting sqref="C61:I61">
    <cfRule type="cellIs" dxfId="213" priority="49" operator="lessThan">
      <formula>6</formula>
    </cfRule>
    <cfRule type="cellIs" dxfId="212" priority="63" operator="greaterThanOrEqual">
      <formula>6</formula>
    </cfRule>
  </conditionalFormatting>
  <conditionalFormatting sqref="C62:I62">
    <cfRule type="cellIs" dxfId="211" priority="66" operator="equal">
      <formula>9</formula>
    </cfRule>
    <cfRule type="cellIs" dxfId="210" priority="48" operator="lessThan">
      <formula>9</formula>
    </cfRule>
    <cfRule type="cellIs" dxfId="209" priority="65" operator="greaterThan">
      <formula>11</formula>
    </cfRule>
    <cfRule type="cellIs" dxfId="208" priority="61" operator="between">
      <formula>10</formula>
      <formula>11</formula>
    </cfRule>
  </conditionalFormatting>
  <conditionalFormatting sqref="C64:I64">
    <cfRule type="cellIs" dxfId="207" priority="52" operator="greaterThan">
      <formula>4</formula>
    </cfRule>
    <cfRule type="cellIs" dxfId="206" priority="54" operator="equal">
      <formula>4</formula>
    </cfRule>
    <cfRule type="cellIs" dxfId="205" priority="62" operator="lessThan">
      <formula>4</formula>
    </cfRule>
  </conditionalFormatting>
  <conditionalFormatting sqref="C70:I70">
    <cfRule type="cellIs" dxfId="204" priority="211" operator="greaterThan">
      <formula>3</formula>
    </cfRule>
    <cfRule type="cellIs" dxfId="203" priority="212" operator="between">
      <formula>2</formula>
      <formula>3</formula>
    </cfRule>
  </conditionalFormatting>
  <conditionalFormatting sqref="C70:I71">
    <cfRule type="cellIs" dxfId="202" priority="213" operator="lessThan">
      <formula>2</formula>
    </cfRule>
  </conditionalFormatting>
  <conditionalFormatting sqref="C71:I71">
    <cfRule type="cellIs" dxfId="201" priority="218" operator="greaterThanOrEqual">
      <formula>2</formula>
    </cfRule>
  </conditionalFormatting>
  <conditionalFormatting sqref="C72:I72">
    <cfRule type="cellIs" dxfId="200" priority="199" operator="equal">
      <formula>5</formula>
    </cfRule>
    <cfRule type="cellIs" dxfId="199" priority="200" operator="between">
      <formula>6</formula>
      <formula>8</formula>
    </cfRule>
    <cfRule type="cellIs" dxfId="198" priority="201" operator="greaterThan">
      <formula>8</formula>
    </cfRule>
    <cfRule type="cellIs" dxfId="197" priority="202" operator="lessThan">
      <formula>5</formula>
    </cfRule>
  </conditionalFormatting>
  <conditionalFormatting sqref="C74:I75">
    <cfRule type="cellIs" dxfId="196" priority="226" operator="greaterThan">
      <formula>1</formula>
    </cfRule>
    <cfRule type="cellIs" dxfId="195" priority="216" operator="equal">
      <formula>1</formula>
    </cfRule>
  </conditionalFormatting>
  <conditionalFormatting sqref="C76:I76">
    <cfRule type="cellIs" dxfId="194" priority="220" operator="equal">
      <formula>2</formula>
    </cfRule>
    <cfRule type="cellIs" dxfId="193" priority="221" operator="lessThan">
      <formula>2</formula>
    </cfRule>
    <cfRule type="cellIs" dxfId="192" priority="222" operator="greaterThan">
      <formula>2</formula>
    </cfRule>
  </conditionalFormatting>
  <conditionalFormatting sqref="C77:I77">
    <cfRule type="cellIs" dxfId="191" priority="215" operator="lessThan">
      <formula>6</formula>
    </cfRule>
    <cfRule type="cellIs" dxfId="190" priority="225" operator="greaterThanOrEqual">
      <formula>6</formula>
    </cfRule>
  </conditionalFormatting>
  <conditionalFormatting sqref="C78:I78">
    <cfRule type="cellIs" dxfId="189" priority="214" operator="lessThan">
      <formula>9</formula>
    </cfRule>
    <cfRule type="cellIs" dxfId="188" priority="223" operator="between">
      <formula>10</formula>
      <formula>11</formula>
    </cfRule>
    <cfRule type="cellIs" dxfId="187" priority="228" operator="equal">
      <formula>9</formula>
    </cfRule>
    <cfRule type="cellIs" dxfId="186" priority="227" operator="greaterThan">
      <formula>11</formula>
    </cfRule>
  </conditionalFormatting>
  <conditionalFormatting sqref="C80:I80">
    <cfRule type="cellIs" dxfId="185" priority="224" operator="lessThan">
      <formula>4</formula>
    </cfRule>
    <cfRule type="cellIs" dxfId="184" priority="217" operator="greaterThan">
      <formula>4</formula>
    </cfRule>
    <cfRule type="cellIs" dxfId="183" priority="219" operator="equal">
      <formula>4</formula>
    </cfRule>
  </conditionalFormatting>
  <conditionalFormatting sqref="K5:Q5">
    <cfRule type="cellIs" dxfId="182" priority="248" operator="between">
      <formula>2</formula>
      <formula>3</formula>
    </cfRule>
    <cfRule type="cellIs" dxfId="181" priority="247" operator="greaterThan">
      <formula>3</formula>
    </cfRule>
  </conditionalFormatting>
  <conditionalFormatting sqref="K5:Q6">
    <cfRule type="cellIs" dxfId="180" priority="249" operator="lessThan">
      <formula>2</formula>
    </cfRule>
  </conditionalFormatting>
  <conditionalFormatting sqref="K6:Q6">
    <cfRule type="cellIs" dxfId="179" priority="254" operator="greaterThanOrEqual">
      <formula>2</formula>
    </cfRule>
  </conditionalFormatting>
  <conditionalFormatting sqref="K7:Q7">
    <cfRule type="cellIs" dxfId="178" priority="209" operator="greaterThan">
      <formula>8</formula>
    </cfRule>
    <cfRule type="cellIs" dxfId="177" priority="210" operator="lessThan">
      <formula>5</formula>
    </cfRule>
    <cfRule type="cellIs" dxfId="176" priority="207" operator="equal">
      <formula>5</formula>
    </cfRule>
    <cfRule type="cellIs" dxfId="175" priority="208" operator="between">
      <formula>6</formula>
      <formula>8</formula>
    </cfRule>
  </conditionalFormatting>
  <conditionalFormatting sqref="K9:Q10">
    <cfRule type="cellIs" dxfId="174" priority="252" operator="equal">
      <formula>1</formula>
    </cfRule>
    <cfRule type="cellIs" dxfId="173" priority="262" operator="greaterThan">
      <formula>1</formula>
    </cfRule>
  </conditionalFormatting>
  <conditionalFormatting sqref="K11:Q11">
    <cfRule type="cellIs" dxfId="172" priority="257" operator="lessThan">
      <formula>2</formula>
    </cfRule>
    <cfRule type="cellIs" dxfId="171" priority="256" operator="equal">
      <formula>2</formula>
    </cfRule>
    <cfRule type="cellIs" dxfId="170" priority="258" operator="greaterThan">
      <formula>2</formula>
    </cfRule>
  </conditionalFormatting>
  <conditionalFormatting sqref="K12:Q12">
    <cfRule type="cellIs" dxfId="169" priority="251" operator="lessThan">
      <formula>6</formula>
    </cfRule>
    <cfRule type="cellIs" dxfId="168" priority="261" operator="greaterThanOrEqual">
      <formula>6</formula>
    </cfRule>
  </conditionalFormatting>
  <conditionalFormatting sqref="K13:Q13">
    <cfRule type="cellIs" dxfId="167" priority="250" operator="lessThan">
      <formula>9</formula>
    </cfRule>
    <cfRule type="cellIs" dxfId="166" priority="259" operator="between">
      <formula>10</formula>
      <formula>11</formula>
    </cfRule>
    <cfRule type="cellIs" dxfId="165" priority="263" operator="greaterThan">
      <formula>11</formula>
    </cfRule>
    <cfRule type="cellIs" dxfId="164" priority="264" operator="equal">
      <formula>9</formula>
    </cfRule>
  </conditionalFormatting>
  <conditionalFormatting sqref="K15:Q15">
    <cfRule type="cellIs" dxfId="163" priority="253" operator="greaterThan">
      <formula>4</formula>
    </cfRule>
    <cfRule type="cellIs" dxfId="162" priority="260" operator="lessThan">
      <formula>4</formula>
    </cfRule>
    <cfRule type="cellIs" dxfId="161" priority="255" operator="equal">
      <formula>4</formula>
    </cfRule>
  </conditionalFormatting>
  <conditionalFormatting sqref="K21:Q21">
    <cfRule type="cellIs" dxfId="160" priority="160" operator="between">
      <formula>2</formula>
      <formula>3</formula>
    </cfRule>
    <cfRule type="cellIs" dxfId="159" priority="159" operator="greaterThan">
      <formula>3</formula>
    </cfRule>
  </conditionalFormatting>
  <conditionalFormatting sqref="K21:Q22">
    <cfRule type="cellIs" dxfId="158" priority="161" operator="lessThan">
      <formula>2</formula>
    </cfRule>
  </conditionalFormatting>
  <conditionalFormatting sqref="K22:Q22">
    <cfRule type="cellIs" dxfId="157" priority="166" operator="greaterThanOrEqual">
      <formula>2</formula>
    </cfRule>
  </conditionalFormatting>
  <conditionalFormatting sqref="K23:Q23">
    <cfRule type="cellIs" dxfId="156" priority="138" operator="between">
      <formula>6</formula>
      <formula>8</formula>
    </cfRule>
    <cfRule type="cellIs" dxfId="155" priority="139" operator="greaterThan">
      <formula>8</formula>
    </cfRule>
    <cfRule type="cellIs" dxfId="154" priority="140" operator="lessThan">
      <formula>5</formula>
    </cfRule>
    <cfRule type="cellIs" dxfId="153" priority="137" operator="equal">
      <formula>5</formula>
    </cfRule>
  </conditionalFormatting>
  <conditionalFormatting sqref="K25:Q26">
    <cfRule type="cellIs" dxfId="152" priority="164" operator="equal">
      <formula>1</formula>
    </cfRule>
    <cfRule type="cellIs" dxfId="151" priority="174" operator="greaterThan">
      <formula>1</formula>
    </cfRule>
  </conditionalFormatting>
  <conditionalFormatting sqref="K27:Q27">
    <cfRule type="cellIs" dxfId="150" priority="168" operator="equal">
      <formula>2</formula>
    </cfRule>
    <cfRule type="cellIs" dxfId="149" priority="169" operator="lessThan">
      <formula>2</formula>
    </cfRule>
    <cfRule type="cellIs" dxfId="148" priority="170" operator="greaterThan">
      <formula>2</formula>
    </cfRule>
  </conditionalFormatting>
  <conditionalFormatting sqref="K28:Q28">
    <cfRule type="cellIs" dxfId="147" priority="163" operator="lessThan">
      <formula>6</formula>
    </cfRule>
    <cfRule type="cellIs" dxfId="146" priority="173" operator="greaterThanOrEqual">
      <formula>6</formula>
    </cfRule>
  </conditionalFormatting>
  <conditionalFormatting sqref="K29:Q29">
    <cfRule type="cellIs" dxfId="145" priority="176" operator="equal">
      <formula>9</formula>
    </cfRule>
    <cfRule type="cellIs" dxfId="144" priority="162" operator="lessThan">
      <formula>9</formula>
    </cfRule>
    <cfRule type="cellIs" dxfId="143" priority="175" operator="greaterThan">
      <formula>11</formula>
    </cfRule>
    <cfRule type="cellIs" dxfId="142" priority="171" operator="between">
      <formula>10</formula>
      <formula>11</formula>
    </cfRule>
  </conditionalFormatting>
  <conditionalFormatting sqref="K31:Q31">
    <cfRule type="cellIs" dxfId="141" priority="165" operator="greaterThan">
      <formula>4</formula>
    </cfRule>
    <cfRule type="cellIs" dxfId="140" priority="172" operator="lessThan">
      <formula>4</formula>
    </cfRule>
    <cfRule type="cellIs" dxfId="139" priority="167" operator="equal">
      <formula>4</formula>
    </cfRule>
  </conditionalFormatting>
  <conditionalFormatting sqref="K38:Q38">
    <cfRule type="cellIs" dxfId="138" priority="94" operator="between">
      <formula>2</formula>
      <formula>3</formula>
    </cfRule>
    <cfRule type="cellIs" dxfId="137" priority="93" operator="greaterThan">
      <formula>3</formula>
    </cfRule>
  </conditionalFormatting>
  <conditionalFormatting sqref="K38:Q39">
    <cfRule type="cellIs" dxfId="136" priority="95" operator="lessThan">
      <formula>2</formula>
    </cfRule>
  </conditionalFormatting>
  <conditionalFormatting sqref="K39:Q39">
    <cfRule type="cellIs" dxfId="135" priority="100" operator="greaterThanOrEqual">
      <formula>2</formula>
    </cfRule>
  </conditionalFormatting>
  <conditionalFormatting sqref="K40:Q40">
    <cfRule type="cellIs" dxfId="134" priority="72" operator="between">
      <formula>6</formula>
      <formula>8</formula>
    </cfRule>
    <cfRule type="cellIs" dxfId="133" priority="71" operator="equal">
      <formula>5</formula>
    </cfRule>
    <cfRule type="cellIs" dxfId="132" priority="73" operator="greaterThan">
      <formula>8</formula>
    </cfRule>
    <cfRule type="cellIs" dxfId="131" priority="74" operator="lessThan">
      <formula>5</formula>
    </cfRule>
  </conditionalFormatting>
  <conditionalFormatting sqref="K42:Q43">
    <cfRule type="cellIs" dxfId="130" priority="108" operator="greaterThan">
      <formula>1</formula>
    </cfRule>
    <cfRule type="cellIs" dxfId="129" priority="98" operator="equal">
      <formula>1</formula>
    </cfRule>
  </conditionalFormatting>
  <conditionalFormatting sqref="K44:Q44">
    <cfRule type="cellIs" dxfId="128" priority="102" operator="equal">
      <formula>2</formula>
    </cfRule>
    <cfRule type="cellIs" dxfId="127" priority="104" operator="greaterThan">
      <formula>2</formula>
    </cfRule>
    <cfRule type="cellIs" dxfId="126" priority="103" operator="lessThan">
      <formula>2</formula>
    </cfRule>
  </conditionalFormatting>
  <conditionalFormatting sqref="K45:Q45">
    <cfRule type="cellIs" dxfId="125" priority="97" operator="lessThan">
      <formula>6</formula>
    </cfRule>
    <cfRule type="cellIs" dxfId="124" priority="107" operator="greaterThanOrEqual">
      <formula>6</formula>
    </cfRule>
  </conditionalFormatting>
  <conditionalFormatting sqref="K46:Q46">
    <cfRule type="cellIs" dxfId="123" priority="105" operator="between">
      <formula>10</formula>
      <formula>11</formula>
    </cfRule>
    <cfRule type="cellIs" dxfId="122" priority="110" operator="equal">
      <formula>9</formula>
    </cfRule>
    <cfRule type="cellIs" dxfId="121" priority="109" operator="greaterThan">
      <formula>11</formula>
    </cfRule>
    <cfRule type="cellIs" dxfId="120" priority="96" operator="lessThan">
      <formula>9</formula>
    </cfRule>
  </conditionalFormatting>
  <conditionalFormatting sqref="K48:Q48">
    <cfRule type="cellIs" dxfId="119" priority="101" operator="equal">
      <formula>4</formula>
    </cfRule>
    <cfRule type="cellIs" dxfId="118" priority="99" operator="greaterThan">
      <formula>4</formula>
    </cfRule>
    <cfRule type="cellIs" dxfId="117" priority="106" operator="lessThan">
      <formula>4</formula>
    </cfRule>
  </conditionalFormatting>
  <conditionalFormatting sqref="K54:Q54">
    <cfRule type="cellIs" dxfId="116" priority="28" operator="between">
      <formula>2</formula>
      <formula>3</formula>
    </cfRule>
    <cfRule type="cellIs" dxfId="115" priority="27" operator="greaterThan">
      <formula>3</formula>
    </cfRule>
  </conditionalFormatting>
  <conditionalFormatting sqref="K54:Q55">
    <cfRule type="cellIs" dxfId="114" priority="29" operator="lessThan">
      <formula>2</formula>
    </cfRule>
  </conditionalFormatting>
  <conditionalFormatting sqref="K55:Q55">
    <cfRule type="cellIs" dxfId="113" priority="34" operator="greaterThanOrEqual">
      <formula>2</formula>
    </cfRule>
  </conditionalFormatting>
  <conditionalFormatting sqref="K56:Q56">
    <cfRule type="cellIs" dxfId="112" priority="5" operator="equal">
      <formula>5</formula>
    </cfRule>
    <cfRule type="cellIs" dxfId="111" priority="8" operator="lessThan">
      <formula>5</formula>
    </cfRule>
    <cfRule type="cellIs" dxfId="110" priority="6" operator="between">
      <formula>6</formula>
      <formula>8</formula>
    </cfRule>
    <cfRule type="cellIs" dxfId="109" priority="7" operator="greaterThan">
      <formula>8</formula>
    </cfRule>
  </conditionalFormatting>
  <conditionalFormatting sqref="K58:Q59">
    <cfRule type="cellIs" dxfId="108" priority="32" operator="equal">
      <formula>1</formula>
    </cfRule>
    <cfRule type="cellIs" dxfId="107" priority="42" operator="greaterThan">
      <formula>1</formula>
    </cfRule>
  </conditionalFormatting>
  <conditionalFormatting sqref="K60:Q60">
    <cfRule type="cellIs" dxfId="106" priority="36" operator="equal">
      <formula>2</formula>
    </cfRule>
    <cfRule type="cellIs" dxfId="105" priority="38" operator="greaterThan">
      <formula>2</formula>
    </cfRule>
    <cfRule type="cellIs" dxfId="104" priority="37" operator="lessThan">
      <formula>2</formula>
    </cfRule>
  </conditionalFormatting>
  <conditionalFormatting sqref="K61:Q61">
    <cfRule type="cellIs" dxfId="103" priority="31" operator="lessThan">
      <formula>6</formula>
    </cfRule>
    <cfRule type="cellIs" dxfId="102" priority="41" operator="greaterThanOrEqual">
      <formula>6</formula>
    </cfRule>
  </conditionalFormatting>
  <conditionalFormatting sqref="K62:Q62">
    <cfRule type="cellIs" dxfId="101" priority="30" operator="lessThan">
      <formula>9</formula>
    </cfRule>
    <cfRule type="cellIs" dxfId="100" priority="44" operator="equal">
      <formula>9</formula>
    </cfRule>
    <cfRule type="cellIs" dxfId="99" priority="43" operator="greaterThan">
      <formula>11</formula>
    </cfRule>
    <cfRule type="cellIs" dxfId="98" priority="39" operator="between">
      <formula>10</formula>
      <formula>11</formula>
    </cfRule>
  </conditionalFormatting>
  <conditionalFormatting sqref="K64:Q64">
    <cfRule type="cellIs" dxfId="97" priority="40" operator="lessThan">
      <formula>4</formula>
    </cfRule>
    <cfRule type="cellIs" dxfId="96" priority="33" operator="greaterThan">
      <formula>4</formula>
    </cfRule>
    <cfRule type="cellIs" dxfId="95" priority="35" operator="equal">
      <formula>4</formula>
    </cfRule>
  </conditionalFormatting>
  <conditionalFormatting sqref="S5:Y5">
    <cfRule type="cellIs" dxfId="94" priority="230" operator="between">
      <formula>2</formula>
      <formula>3</formula>
    </cfRule>
    <cfRule type="cellIs" dxfId="93" priority="229" operator="greaterThan">
      <formula>3</formula>
    </cfRule>
  </conditionalFormatting>
  <conditionalFormatting sqref="S5:Y6">
    <cfRule type="cellIs" dxfId="92" priority="231" operator="lessThan">
      <formula>2</formula>
    </cfRule>
  </conditionalFormatting>
  <conditionalFormatting sqref="S6:Y6">
    <cfRule type="cellIs" dxfId="91" priority="236" operator="greaterThanOrEqual">
      <formula>2</formula>
    </cfRule>
  </conditionalFormatting>
  <conditionalFormatting sqref="S7:Y7">
    <cfRule type="cellIs" dxfId="90" priority="204" operator="between">
      <formula>6</formula>
      <formula>8</formula>
    </cfRule>
    <cfRule type="cellIs" dxfId="89" priority="205" operator="greaterThan">
      <formula>8</formula>
    </cfRule>
    <cfRule type="cellIs" dxfId="88" priority="203" operator="equal">
      <formula>5</formula>
    </cfRule>
    <cfRule type="cellIs" dxfId="87" priority="206" operator="lessThan">
      <formula>5</formula>
    </cfRule>
  </conditionalFormatting>
  <conditionalFormatting sqref="S9:Y10">
    <cfRule type="cellIs" dxfId="86" priority="234" operator="equal">
      <formula>1</formula>
    </cfRule>
    <cfRule type="cellIs" dxfId="85" priority="244" operator="greaterThan">
      <formula>1</formula>
    </cfRule>
  </conditionalFormatting>
  <conditionalFormatting sqref="S11:Y11">
    <cfRule type="cellIs" dxfId="84" priority="239" operator="lessThan">
      <formula>2</formula>
    </cfRule>
    <cfRule type="cellIs" dxfId="83" priority="238" operator="equal">
      <formula>2</formula>
    </cfRule>
    <cfRule type="cellIs" dxfId="82" priority="240" operator="greaterThan">
      <formula>2</formula>
    </cfRule>
  </conditionalFormatting>
  <conditionalFormatting sqref="S12:Y12">
    <cfRule type="cellIs" dxfId="81" priority="243" operator="greaterThanOrEqual">
      <formula>6</formula>
    </cfRule>
    <cfRule type="cellIs" dxfId="80" priority="233" operator="lessThan">
      <formula>6</formula>
    </cfRule>
  </conditionalFormatting>
  <conditionalFormatting sqref="S13:Y13">
    <cfRule type="cellIs" dxfId="79" priority="245" operator="greaterThan">
      <formula>11</formula>
    </cfRule>
    <cfRule type="cellIs" dxfId="78" priority="241" operator="between">
      <formula>10</formula>
      <formula>11</formula>
    </cfRule>
    <cfRule type="cellIs" dxfId="77" priority="246" operator="equal">
      <formula>9</formula>
    </cfRule>
    <cfRule type="cellIs" dxfId="76" priority="232" operator="lessThan">
      <formula>9</formula>
    </cfRule>
  </conditionalFormatting>
  <conditionalFormatting sqref="S15:Y15">
    <cfRule type="cellIs" dxfId="75" priority="242" operator="lessThan">
      <formula>4</formula>
    </cfRule>
    <cfRule type="cellIs" dxfId="74" priority="237" operator="equal">
      <formula>4</formula>
    </cfRule>
    <cfRule type="cellIs" dxfId="73" priority="235" operator="greaterThan">
      <formula>4</formula>
    </cfRule>
  </conditionalFormatting>
  <conditionalFormatting sqref="S21:Y21">
    <cfRule type="cellIs" dxfId="72" priority="142" operator="between">
      <formula>2</formula>
      <formula>3</formula>
    </cfRule>
    <cfRule type="cellIs" dxfId="71" priority="141" operator="greaterThan">
      <formula>3</formula>
    </cfRule>
  </conditionalFormatting>
  <conditionalFormatting sqref="S21:Y22">
    <cfRule type="cellIs" dxfId="70" priority="143" operator="lessThan">
      <formula>2</formula>
    </cfRule>
  </conditionalFormatting>
  <conditionalFormatting sqref="S22:Y22">
    <cfRule type="cellIs" dxfId="69" priority="148" operator="greaterThanOrEqual">
      <formula>2</formula>
    </cfRule>
  </conditionalFormatting>
  <conditionalFormatting sqref="S23:Y23">
    <cfRule type="cellIs" dxfId="68" priority="136" operator="lessThan">
      <formula>5</formula>
    </cfRule>
    <cfRule type="cellIs" dxfId="67" priority="135" operator="greaterThan">
      <formula>8</formula>
    </cfRule>
    <cfRule type="cellIs" dxfId="66" priority="134" operator="between">
      <formula>6</formula>
      <formula>8</formula>
    </cfRule>
    <cfRule type="cellIs" dxfId="65" priority="133" operator="equal">
      <formula>5</formula>
    </cfRule>
  </conditionalFormatting>
  <conditionalFormatting sqref="S25:Y26">
    <cfRule type="cellIs" dxfId="64" priority="156" operator="greaterThan">
      <formula>1</formula>
    </cfRule>
    <cfRule type="cellIs" dxfId="63" priority="146" operator="equal">
      <formula>1</formula>
    </cfRule>
  </conditionalFormatting>
  <conditionalFormatting sqref="S27:Y27">
    <cfRule type="cellIs" dxfId="62" priority="150" operator="equal">
      <formula>2</formula>
    </cfRule>
    <cfRule type="cellIs" dxfId="61" priority="151" operator="lessThan">
      <formula>2</formula>
    </cfRule>
    <cfRule type="cellIs" dxfId="60" priority="152" operator="greaterThan">
      <formula>2</formula>
    </cfRule>
  </conditionalFormatting>
  <conditionalFormatting sqref="S28:Y28">
    <cfRule type="cellIs" dxfId="59" priority="145" operator="lessThan">
      <formula>6</formula>
    </cfRule>
    <cfRule type="cellIs" dxfId="58" priority="155" operator="greaterThanOrEqual">
      <formula>6</formula>
    </cfRule>
  </conditionalFormatting>
  <conditionalFormatting sqref="S29:Y29">
    <cfRule type="cellIs" dxfId="57" priority="144" operator="lessThan">
      <formula>9</formula>
    </cfRule>
    <cfRule type="cellIs" dxfId="56" priority="158" operator="equal">
      <formula>9</formula>
    </cfRule>
    <cfRule type="cellIs" dxfId="55" priority="157" operator="greaterThan">
      <formula>11</formula>
    </cfRule>
    <cfRule type="cellIs" dxfId="54" priority="153" operator="between">
      <formula>10</formula>
      <formula>11</formula>
    </cfRule>
  </conditionalFormatting>
  <conditionalFormatting sqref="S31:Y31">
    <cfRule type="cellIs" dxfId="53" priority="154" operator="lessThan">
      <formula>4</formula>
    </cfRule>
    <cfRule type="cellIs" dxfId="52" priority="149" operator="equal">
      <formula>4</formula>
    </cfRule>
    <cfRule type="cellIs" dxfId="51" priority="147" operator="greaterThan">
      <formula>4</formula>
    </cfRule>
  </conditionalFormatting>
  <conditionalFormatting sqref="S38:Y38">
    <cfRule type="cellIs" dxfId="50" priority="75" operator="greaterThan">
      <formula>3</formula>
    </cfRule>
    <cfRule type="cellIs" dxfId="49" priority="76" operator="between">
      <formula>2</formula>
      <formula>3</formula>
    </cfRule>
  </conditionalFormatting>
  <conditionalFormatting sqref="S38:Y39">
    <cfRule type="cellIs" dxfId="48" priority="77" operator="lessThan">
      <formula>2</formula>
    </cfRule>
  </conditionalFormatting>
  <conditionalFormatting sqref="S39:Y39">
    <cfRule type="cellIs" dxfId="47" priority="82" operator="greaterThanOrEqual">
      <formula>2</formula>
    </cfRule>
  </conditionalFormatting>
  <conditionalFormatting sqref="S40:Y40">
    <cfRule type="cellIs" dxfId="46" priority="67" operator="equal">
      <formula>5</formula>
    </cfRule>
    <cfRule type="cellIs" dxfId="45" priority="68" operator="between">
      <formula>6</formula>
      <formula>8</formula>
    </cfRule>
    <cfRule type="cellIs" dxfId="44" priority="69" operator="greaterThan">
      <formula>8</formula>
    </cfRule>
    <cfRule type="cellIs" dxfId="43" priority="70" operator="lessThan">
      <formula>5</formula>
    </cfRule>
  </conditionalFormatting>
  <conditionalFormatting sqref="S42:Y43">
    <cfRule type="cellIs" dxfId="42" priority="90" operator="greaterThan">
      <formula>1</formula>
    </cfRule>
    <cfRule type="cellIs" dxfId="41" priority="80" operator="equal">
      <formula>1</formula>
    </cfRule>
  </conditionalFormatting>
  <conditionalFormatting sqref="S44:Y44">
    <cfRule type="cellIs" dxfId="40" priority="86" operator="greaterThan">
      <formula>2</formula>
    </cfRule>
    <cfRule type="cellIs" dxfId="39" priority="85" operator="lessThan">
      <formula>2</formula>
    </cfRule>
    <cfRule type="cellIs" dxfId="38" priority="84" operator="equal">
      <formula>2</formula>
    </cfRule>
  </conditionalFormatting>
  <conditionalFormatting sqref="S45:Y45">
    <cfRule type="cellIs" dxfId="37" priority="79" operator="lessThan">
      <formula>6</formula>
    </cfRule>
    <cfRule type="cellIs" dxfId="36" priority="89" operator="greaterThanOrEqual">
      <formula>6</formula>
    </cfRule>
  </conditionalFormatting>
  <conditionalFormatting sqref="S46:Y46">
    <cfRule type="cellIs" dxfId="35" priority="91" operator="greaterThan">
      <formula>11</formula>
    </cfRule>
    <cfRule type="cellIs" dxfId="34" priority="92" operator="equal">
      <formula>9</formula>
    </cfRule>
    <cfRule type="cellIs" dxfId="33" priority="78" operator="lessThan">
      <formula>9</formula>
    </cfRule>
    <cfRule type="cellIs" dxfId="32" priority="87" operator="between">
      <formula>10</formula>
      <formula>11</formula>
    </cfRule>
  </conditionalFormatting>
  <conditionalFormatting sqref="S48:Y48">
    <cfRule type="cellIs" dxfId="31" priority="81" operator="greaterThan">
      <formula>4</formula>
    </cfRule>
    <cfRule type="cellIs" dxfId="30" priority="83" operator="equal">
      <formula>4</formula>
    </cfRule>
    <cfRule type="cellIs" dxfId="29" priority="88" operator="lessThan">
      <formula>4</formula>
    </cfRule>
  </conditionalFormatting>
  <conditionalFormatting sqref="S54:Y54">
    <cfRule type="cellIs" dxfId="28" priority="10" operator="between">
      <formula>2</formula>
      <formula>3</formula>
    </cfRule>
    <cfRule type="cellIs" dxfId="27" priority="9" operator="greaterThan">
      <formula>3</formula>
    </cfRule>
  </conditionalFormatting>
  <conditionalFormatting sqref="S54:Y55">
    <cfRule type="cellIs" dxfId="26" priority="11" operator="lessThan">
      <formula>2</formula>
    </cfRule>
  </conditionalFormatting>
  <conditionalFormatting sqref="S55:Y55">
    <cfRule type="cellIs" dxfId="25" priority="16" operator="greaterThanOrEqual">
      <formula>2</formula>
    </cfRule>
  </conditionalFormatting>
  <conditionalFormatting sqref="S56:Y56">
    <cfRule type="cellIs" dxfId="24" priority="2" operator="between">
      <formula>6</formula>
      <formula>8</formula>
    </cfRule>
    <cfRule type="cellIs" dxfId="23" priority="4" operator="lessThan">
      <formula>5</formula>
    </cfRule>
    <cfRule type="cellIs" dxfId="22" priority="1" operator="equal">
      <formula>5</formula>
    </cfRule>
    <cfRule type="cellIs" dxfId="21" priority="3" operator="greaterThan">
      <formula>8</formula>
    </cfRule>
  </conditionalFormatting>
  <conditionalFormatting sqref="S58:Y59">
    <cfRule type="cellIs" dxfId="20" priority="24" operator="greaterThan">
      <formula>1</formula>
    </cfRule>
    <cfRule type="cellIs" dxfId="19" priority="14" operator="equal">
      <formula>1</formula>
    </cfRule>
  </conditionalFormatting>
  <conditionalFormatting sqref="S60:Y60">
    <cfRule type="cellIs" dxfId="18" priority="20" operator="greaterThan">
      <formula>2</formula>
    </cfRule>
    <cfRule type="cellIs" dxfId="17" priority="19" operator="lessThan">
      <formula>2</formula>
    </cfRule>
    <cfRule type="cellIs" dxfId="16" priority="18" operator="equal">
      <formula>2</formula>
    </cfRule>
  </conditionalFormatting>
  <conditionalFormatting sqref="S61:Y61">
    <cfRule type="cellIs" dxfId="15" priority="13" operator="lessThan">
      <formula>6</formula>
    </cfRule>
    <cfRule type="cellIs" dxfId="14" priority="23" operator="greaterThanOrEqual">
      <formula>6</formula>
    </cfRule>
  </conditionalFormatting>
  <conditionalFormatting sqref="S62:Y62">
    <cfRule type="cellIs" dxfId="13" priority="12" operator="lessThan">
      <formula>9</formula>
    </cfRule>
    <cfRule type="cellIs" dxfId="12" priority="26" operator="equal">
      <formula>9</formula>
    </cfRule>
    <cfRule type="cellIs" dxfId="11" priority="25" operator="greaterThan">
      <formula>11</formula>
    </cfRule>
    <cfRule type="cellIs" dxfId="10" priority="21" operator="between">
      <formula>10</formula>
      <formula>11</formula>
    </cfRule>
  </conditionalFormatting>
  <conditionalFormatting sqref="S64:Y64">
    <cfRule type="cellIs" dxfId="9" priority="17" operator="equal">
      <formula>4</formula>
    </cfRule>
    <cfRule type="cellIs" dxfId="8" priority="22" operator="lessThan">
      <formula>4</formula>
    </cfRule>
    <cfRule type="cellIs" dxfId="7" priority="15" operator="greaterThan">
      <formula>4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G82"/>
  <sheetViews>
    <sheetView topLeftCell="A32" zoomScale="70" zoomScaleNormal="70" workbookViewId="0">
      <selection activeCell="B74" sqref="B74"/>
    </sheetView>
  </sheetViews>
  <sheetFormatPr defaultColWidth="11.42578125" defaultRowHeight="15"/>
  <cols>
    <col min="1" max="1" width="26.7109375" bestFit="1" customWidth="1"/>
    <col min="2" max="2" width="19.42578125" bestFit="1" customWidth="1"/>
    <col min="3" max="3" width="11.42578125" customWidth="1"/>
    <col min="20" max="20" width="1.85546875" customWidth="1"/>
    <col min="21" max="21" width="0.140625" hidden="1" customWidth="1"/>
    <col min="22" max="22" width="4" hidden="1" customWidth="1"/>
    <col min="23" max="23" width="3.28515625" hidden="1" customWidth="1"/>
    <col min="24" max="24" width="7.7109375" hidden="1" customWidth="1"/>
    <col min="25" max="25" width="6.42578125" hidden="1" customWidth="1"/>
    <col min="26" max="26" width="9.7109375" hidden="1" customWidth="1"/>
    <col min="27" max="27" width="11.42578125" hidden="1" customWidth="1"/>
    <col min="28" max="28" width="6.42578125" hidden="1" customWidth="1"/>
    <col min="29" max="29" width="11.42578125" hidden="1" customWidth="1"/>
  </cols>
  <sheetData>
    <row r="1" spans="1:33" ht="16.5" thickBot="1">
      <c r="A1" s="180" t="s">
        <v>38</v>
      </c>
      <c r="B1" s="181" t="s">
        <v>202</v>
      </c>
      <c r="C1" s="153" t="s">
        <v>203</v>
      </c>
      <c r="F1" s="182" t="s">
        <v>185</v>
      </c>
      <c r="G1" s="183" t="s">
        <v>186</v>
      </c>
      <c r="H1" s="184" t="s">
        <v>187</v>
      </c>
      <c r="I1" s="184" t="s">
        <v>189</v>
      </c>
      <c r="J1" s="182" t="s">
        <v>190</v>
      </c>
      <c r="K1" s="183" t="s">
        <v>191</v>
      </c>
      <c r="L1" s="185" t="s">
        <v>192</v>
      </c>
      <c r="M1" s="185" t="s">
        <v>194</v>
      </c>
      <c r="N1" s="182" t="s">
        <v>196</v>
      </c>
      <c r="O1" s="183" t="s">
        <v>197</v>
      </c>
      <c r="P1" s="185" t="s">
        <v>198</v>
      </c>
      <c r="Q1" s="185" t="s">
        <v>199</v>
      </c>
      <c r="R1" s="186" t="s">
        <v>200</v>
      </c>
      <c r="U1" s="2" t="s">
        <v>33</v>
      </c>
      <c r="V1" s="142" t="s">
        <v>34</v>
      </c>
      <c r="W1" s="2" t="s">
        <v>35</v>
      </c>
      <c r="X1" s="2"/>
      <c r="Y1" s="2" t="s">
        <v>36</v>
      </c>
      <c r="Z1" s="2" t="s">
        <v>37</v>
      </c>
      <c r="AB1" s="2" t="s">
        <v>204</v>
      </c>
    </row>
    <row r="2" spans="1:33" ht="16.5" hidden="1" thickBot="1">
      <c r="A2" s="205" t="s">
        <v>38</v>
      </c>
      <c r="B2" s="206" t="s">
        <v>202</v>
      </c>
      <c r="C2" s="204" t="s">
        <v>203</v>
      </c>
      <c r="D2" s="259" t="s">
        <v>205</v>
      </c>
      <c r="F2" s="187"/>
      <c r="G2" s="188"/>
      <c r="J2" s="187"/>
      <c r="K2" s="188"/>
      <c r="N2" s="187"/>
      <c r="O2" s="188"/>
      <c r="R2" s="189"/>
    </row>
    <row r="3" spans="1:33" ht="15.75">
      <c r="A3" s="207" t="s">
        <v>40</v>
      </c>
      <c r="B3" s="208">
        <v>287628</v>
      </c>
      <c r="C3" s="209">
        <v>1</v>
      </c>
      <c r="D3" s="1"/>
      <c r="F3" s="190">
        <f t="shared" ref="F3:R12" ca="1" si="0">VLOOKUP($B3, INDIRECT("'" &amp; F$1 &amp; "'!E:X"), 12, FALSE)</f>
        <v>4</v>
      </c>
      <c r="G3" s="191">
        <f t="shared" ca="1" si="0"/>
        <v>4</v>
      </c>
      <c r="H3" s="192">
        <f t="shared" ca="1" si="0"/>
        <v>4</v>
      </c>
      <c r="I3" s="192">
        <f t="shared" ca="1" si="0"/>
        <v>4</v>
      </c>
      <c r="J3" s="190">
        <f t="shared" ca="1" si="0"/>
        <v>5</v>
      </c>
      <c r="K3" s="191">
        <f t="shared" ca="1" si="0"/>
        <v>5</v>
      </c>
      <c r="L3" s="192">
        <f t="shared" ca="1" si="0"/>
        <v>4</v>
      </c>
      <c r="M3" s="192">
        <f t="shared" ca="1" si="0"/>
        <v>5</v>
      </c>
      <c r="N3" s="190">
        <f t="shared" ca="1" si="0"/>
        <v>4</v>
      </c>
      <c r="O3" s="191">
        <f t="shared" ca="1" si="0"/>
        <v>4</v>
      </c>
      <c r="P3" s="192">
        <f t="shared" ca="1" si="0"/>
        <v>4</v>
      </c>
      <c r="Q3" s="192">
        <f t="shared" ca="1" si="0"/>
        <v>4</v>
      </c>
      <c r="R3" s="193">
        <f t="shared" ca="1" si="0"/>
        <v>4</v>
      </c>
      <c r="U3" cm="1">
        <f t="array" aca="1" ref="U3" ca="1">SUMPRODUCT(SUMIF(INDIRECT("'" &amp; $AG$3:$AG$15 &amp; "'!E:E"), $B3, INDIRECT("'" &amp; $AG$3:$AG$15 &amp; "'!U:U")))</f>
        <v>5</v>
      </c>
      <c r="V3" cm="1">
        <f t="array" aca="1" ref="V3" ca="1">SUMPRODUCT(SUMIF(INDIRECT("'" &amp; $AG$3:$AG$15 &amp; "'!E:E"), $B3, INDIRECT("'" &amp; $AG$3:$AG$15 &amp; "'!V:V")))</f>
        <v>7</v>
      </c>
      <c r="W3" cm="1">
        <f t="array" aca="1" ref="W3" ca="1">SUMPRODUCT(SUMIF(INDIRECT("'" &amp; $AG$3:$AG$15 &amp; "'!E:E"), $B3, INDIRECT("'" &amp; $AG$3:$AG$15 &amp; "'!W:W")))</f>
        <v>41</v>
      </c>
      <c r="X3" s="194">
        <f ca="1">W3/(V3+U3+W3)</f>
        <v>0.77358490566037741</v>
      </c>
      <c r="Y3" cm="1">
        <f t="array" aca="1" ref="Y3" ca="1">SUMPRODUCT(SUMIF(INDIRECT("'" &amp; $AG$3:$AG$15 &amp; "'!E:E"), $B3, INDIRECT("'" &amp; $AG$3:$AG$15 &amp; "'!X:X")))</f>
        <v>0</v>
      </c>
      <c r="Z3" cm="1">
        <f t="array" aca="1" ref="Z3" ca="1">SUMPRODUCT(SUMIF(INDIRECT("'" &amp; $AG$3:$AG$15 &amp; "'!E:E"), $B3, INDIRECT("'" &amp; $AG$3:$AG$15 &amp; "'!Y:Y")))</f>
        <v>3</v>
      </c>
      <c r="AB3" cm="1">
        <f t="array" aca="1" ref="AB3" ca="1">SUMPRODUCT(SUMIF(INDIRECT("'" &amp; $AG$3:$AG$15 &amp; "'!E:E"), $B3, INDIRECT("'" &amp; $AG$3:$AG$15 &amp; "'!O:O")))</f>
        <v>0</v>
      </c>
      <c r="AG3" t="s">
        <v>185</v>
      </c>
    </row>
    <row r="4" spans="1:33" ht="15.75">
      <c r="A4" s="211" t="s">
        <v>43</v>
      </c>
      <c r="B4" s="208">
        <v>609660</v>
      </c>
      <c r="C4" s="208">
        <v>1</v>
      </c>
      <c r="D4" s="1"/>
      <c r="F4" s="195">
        <f t="shared" ca="1" si="0"/>
        <v>4</v>
      </c>
      <c r="G4" s="196">
        <f t="shared" ca="1" si="0"/>
        <v>4</v>
      </c>
      <c r="H4" s="197">
        <f t="shared" ca="1" si="0"/>
        <v>4</v>
      </c>
      <c r="I4" s="197">
        <f t="shared" ca="1" si="0"/>
        <v>4</v>
      </c>
      <c r="J4" s="195">
        <f t="shared" ca="1" si="0"/>
        <v>4</v>
      </c>
      <c r="K4" s="196">
        <f t="shared" ca="1" si="0"/>
        <v>4</v>
      </c>
      <c r="L4" s="197">
        <f t="shared" ca="1" si="0"/>
        <v>4</v>
      </c>
      <c r="M4" s="197">
        <f t="shared" ca="1" si="0"/>
        <v>4</v>
      </c>
      <c r="N4" s="195">
        <f t="shared" ca="1" si="0"/>
        <v>4</v>
      </c>
      <c r="O4" s="196">
        <f t="shared" ca="1" si="0"/>
        <v>4</v>
      </c>
      <c r="P4" s="197">
        <f t="shared" ca="1" si="0"/>
        <v>4</v>
      </c>
      <c r="Q4" s="197">
        <f t="shared" ca="1" si="0"/>
        <v>4</v>
      </c>
      <c r="R4" s="198">
        <f t="shared" ca="1" si="0"/>
        <v>4</v>
      </c>
      <c r="U4" cm="1">
        <f t="array" aca="1" ref="U4" ca="1">SUMPRODUCT(SUMIF(INDIRECT("'" &amp; $AG$3:$AG$15 &amp; "'!E:E"), $B4, INDIRECT("'" &amp; $AG$3:$AG$15 &amp; "'!U:U")))</f>
        <v>8</v>
      </c>
      <c r="V4" cm="1">
        <f t="array" aca="1" ref="V4" ca="1">SUMPRODUCT(SUMIF(INDIRECT("'" &amp; $AG$3:$AG$15 &amp; "'!E:E"), $B4, INDIRECT("'" &amp; $AG$3:$AG$15 &amp; "'!V:V")))</f>
        <v>9</v>
      </c>
      <c r="W4" cm="1">
        <f t="array" aca="1" ref="W4" ca="1">SUMPRODUCT(SUMIF(INDIRECT("'" &amp; $AG$3:$AG$15 &amp; "'!E:E"), $B4, INDIRECT("'" &amp; $AG$3:$AG$15 &amp; "'!W:W")))</f>
        <v>20</v>
      </c>
      <c r="X4" s="194">
        <f t="shared" ref="X4:X26" ca="1" si="1">W4/(V4+U4+W4)</f>
        <v>0.54054054054054057</v>
      </c>
      <c r="Y4" cm="1">
        <f t="array" aca="1" ref="Y4" ca="1">SUMPRODUCT(SUMIF(INDIRECT("'" &amp; $AG$3:$AG$15 &amp; "'!E:E"), $B4, INDIRECT("'" &amp; $AG$3:$AG$15 &amp; "'!X:X")))</f>
        <v>0</v>
      </c>
      <c r="Z4" cm="1">
        <f t="array" aca="1" ref="Z4" ca="1">SUMPRODUCT(SUMIF(INDIRECT("'" &amp; $AG$3:$AG$15 &amp; "'!E:E"), $B4, INDIRECT("'" &amp; $AG$3:$AG$15 &amp; "'!Y:Y")))</f>
        <v>5</v>
      </c>
      <c r="AB4" cm="1">
        <f t="array" aca="1" ref="AB4" ca="1">SUMPRODUCT(SUMIF(INDIRECT("'" &amp; $AG$3:$AG$15 &amp; "'!E:E"), $B4, INDIRECT("'" &amp; $AG$3:$AG$15 &amp; "'!O:O")))</f>
        <v>12</v>
      </c>
      <c r="AG4" t="s">
        <v>186</v>
      </c>
    </row>
    <row r="5" spans="1:33" ht="15.75">
      <c r="A5" s="210" t="s">
        <v>45</v>
      </c>
      <c r="B5" s="208">
        <v>610036</v>
      </c>
      <c r="C5" s="209">
        <v>1</v>
      </c>
      <c r="D5" s="1"/>
      <c r="F5" s="195">
        <f t="shared" ca="1" si="0"/>
        <v>3.8947368421052633</v>
      </c>
      <c r="G5" s="196">
        <f t="shared" ca="1" si="0"/>
        <v>4</v>
      </c>
      <c r="H5" s="197">
        <f t="shared" ca="1" si="0"/>
        <v>4</v>
      </c>
      <c r="I5" s="197">
        <f t="shared" ca="1" si="0"/>
        <v>4</v>
      </c>
      <c r="J5" s="195">
        <f t="shared" ca="1" si="0"/>
        <v>4</v>
      </c>
      <c r="K5" s="196">
        <f t="shared" ca="1" si="0"/>
        <v>4</v>
      </c>
      <c r="L5" s="197">
        <f t="shared" ca="1" si="0"/>
        <v>4</v>
      </c>
      <c r="M5" s="197">
        <f t="shared" ca="1" si="0"/>
        <v>4</v>
      </c>
      <c r="N5" s="195">
        <f t="shared" ca="1" si="0"/>
        <v>4</v>
      </c>
      <c r="O5" s="196">
        <f t="shared" ca="1" si="0"/>
        <v>4</v>
      </c>
      <c r="P5" s="197">
        <f t="shared" ca="1" si="0"/>
        <v>4</v>
      </c>
      <c r="Q5" s="197">
        <f t="shared" ca="1" si="0"/>
        <v>4</v>
      </c>
      <c r="R5" s="198">
        <f t="shared" ca="1" si="0"/>
        <v>3</v>
      </c>
      <c r="U5" cm="1">
        <f t="array" aca="1" ref="U5" ca="1">SUMPRODUCT(SUMIF(INDIRECT("'" &amp; $AG$3:$AG$15 &amp; "'!E:E"), $B5, INDIRECT("'" &amp; $AG$3:$AG$15 &amp; "'!U:U")))</f>
        <v>16</v>
      </c>
      <c r="V5" cm="1">
        <f t="array" aca="1" ref="V5" ca="1">SUMPRODUCT(SUMIF(INDIRECT("'" &amp; $AG$3:$AG$15 &amp; "'!E:E"), $B5, INDIRECT("'" &amp; $AG$3:$AG$15 &amp; "'!V:V")))</f>
        <v>13</v>
      </c>
      <c r="W5" cm="1">
        <f t="array" aca="1" ref="W5" ca="1">SUMPRODUCT(SUMIF(INDIRECT("'" &amp; $AG$3:$AG$15 &amp; "'!E:E"), $B5, INDIRECT("'" &amp; $AG$3:$AG$15 &amp; "'!W:W")))</f>
        <v>16</v>
      </c>
      <c r="X5" s="194">
        <f t="shared" ca="1" si="1"/>
        <v>0.35555555555555557</v>
      </c>
      <c r="Y5" cm="1">
        <f t="array" aca="1" ref="Y5" ca="1">SUMPRODUCT(SUMIF(INDIRECT("'" &amp; $AG$3:$AG$15 &amp; "'!E:E"), $B5, INDIRECT("'" &amp; $AG$3:$AG$15 &amp; "'!X:X")))</f>
        <v>0</v>
      </c>
      <c r="Z5" cm="1">
        <f t="array" aca="1" ref="Z5" ca="1">SUMPRODUCT(SUMIF(INDIRECT("'" &amp; $AG$3:$AG$15 &amp; "'!E:E"), $B5, INDIRECT("'" &amp; $AG$3:$AG$15 &amp; "'!Y:Y")))</f>
        <v>6</v>
      </c>
      <c r="AB5" cm="1">
        <f t="array" aca="1" ref="AB5" ca="1">SUMPRODUCT(SUMIF(INDIRECT("'" &amp; $AG$3:$AG$15 &amp; "'!E:E"), $B5, INDIRECT("'" &amp; $AG$3:$AG$15 &amp; "'!O:O")))</f>
        <v>4</v>
      </c>
      <c r="AG5" t="s">
        <v>187</v>
      </c>
    </row>
    <row r="6" spans="1:33" ht="15.75">
      <c r="A6" s="211" t="s">
        <v>49</v>
      </c>
      <c r="B6" s="208">
        <v>533509</v>
      </c>
      <c r="C6" s="209">
        <v>0</v>
      </c>
      <c r="D6" s="1" t="s">
        <v>206</v>
      </c>
      <c r="F6" s="195">
        <f t="shared" ca="1" si="0"/>
        <v>0</v>
      </c>
      <c r="G6" s="196">
        <f t="shared" ca="1" si="0"/>
        <v>0</v>
      </c>
      <c r="H6" s="199">
        <f t="shared" ca="1" si="0"/>
        <v>0</v>
      </c>
      <c r="I6" s="197">
        <f t="shared" ca="1" si="0"/>
        <v>0</v>
      </c>
      <c r="J6" s="195">
        <f t="shared" ca="1" si="0"/>
        <v>0</v>
      </c>
      <c r="K6" s="196">
        <f t="shared" ca="1" si="0"/>
        <v>0</v>
      </c>
      <c r="L6" s="197">
        <f t="shared" ca="1" si="0"/>
        <v>0</v>
      </c>
      <c r="M6" s="197">
        <f t="shared" ca="1" si="0"/>
        <v>0</v>
      </c>
      <c r="N6" s="195">
        <f t="shared" ca="1" si="0"/>
        <v>0</v>
      </c>
      <c r="O6" s="196">
        <f t="shared" ca="1" si="0"/>
        <v>0</v>
      </c>
      <c r="P6" s="197">
        <f t="shared" ca="1" si="0"/>
        <v>0</v>
      </c>
      <c r="Q6" s="197">
        <f t="shared" ca="1" si="0"/>
        <v>0</v>
      </c>
      <c r="R6" s="198">
        <f t="shared" ca="1" si="0"/>
        <v>0</v>
      </c>
      <c r="U6" cm="1">
        <f t="array" aca="1" ref="U6" ca="1">SUMPRODUCT(SUMIF(INDIRECT("'" &amp; $AG$3:$AG$15 &amp; "'!E:E"), $B6, INDIRECT("'" &amp; $AG$3:$AG$15 &amp; "'!U:U")))</f>
        <v>0</v>
      </c>
      <c r="V6" cm="1">
        <f t="array" aca="1" ref="V6" ca="1">SUMPRODUCT(SUMIF(INDIRECT("'" &amp; $AG$3:$AG$15 &amp; "'!E:E"), $B6, INDIRECT("'" &amp; $AG$3:$AG$15 &amp; "'!V:V")))</f>
        <v>0</v>
      </c>
      <c r="W6" cm="1">
        <f t="array" aca="1" ref="W6" ca="1">SUMPRODUCT(SUMIF(INDIRECT("'" &amp; $AG$3:$AG$15 &amp; "'!E:E"), $B6, INDIRECT("'" &amp; $AG$3:$AG$15 &amp; "'!W:W")))</f>
        <v>0</v>
      </c>
      <c r="X6" s="194" t="e">
        <f t="shared" ca="1" si="1"/>
        <v>#DIV/0!</v>
      </c>
      <c r="Y6" cm="1">
        <f t="array" aca="1" ref="Y6" ca="1">SUMPRODUCT(SUMIF(INDIRECT("'" &amp; $AG$3:$AG$15 &amp; "'!E:E"), $B6, INDIRECT("'" &amp; $AG$3:$AG$15 &amp; "'!X:X")))</f>
        <v>0</v>
      </c>
      <c r="Z6" cm="1">
        <f t="array" aca="1" ref="Z6" ca="1">SUMPRODUCT(SUMIF(INDIRECT("'" &amp; $AG$3:$AG$15 &amp; "'!E:E"), $B6, INDIRECT("'" &amp; $AG$3:$AG$15 &amp; "'!Y:Y")))</f>
        <v>0</v>
      </c>
      <c r="AB6" cm="1">
        <f t="array" aca="1" ref="AB6" ca="1">SUMPRODUCT(SUMIF(INDIRECT("'" &amp; $AG$3:$AG$15 &amp; "'!E:E"), $B6, INDIRECT("'" &amp; $AG$3:$AG$15 &amp; "'!O:O")))</f>
        <v>0</v>
      </c>
      <c r="AG6" t="s">
        <v>189</v>
      </c>
    </row>
    <row r="7" spans="1:33" ht="15.75">
      <c r="A7" s="211" t="s">
        <v>51</v>
      </c>
      <c r="B7" s="208">
        <v>625985</v>
      </c>
      <c r="C7" s="209">
        <v>1</v>
      </c>
      <c r="D7" s="1"/>
      <c r="F7" s="195">
        <f t="shared" ca="1" si="0"/>
        <v>4</v>
      </c>
      <c r="G7" s="196">
        <f t="shared" ca="1" si="0"/>
        <v>4</v>
      </c>
      <c r="H7" s="197">
        <f t="shared" ca="1" si="0"/>
        <v>4</v>
      </c>
      <c r="I7" s="197">
        <f t="shared" ca="1" si="0"/>
        <v>4</v>
      </c>
      <c r="J7" s="195">
        <f t="shared" ca="1" si="0"/>
        <v>4</v>
      </c>
      <c r="K7" s="196">
        <f t="shared" ca="1" si="0"/>
        <v>4</v>
      </c>
      <c r="L7" s="197">
        <f t="shared" ca="1" si="0"/>
        <v>4</v>
      </c>
      <c r="M7" s="197">
        <f t="shared" ca="1" si="0"/>
        <v>4</v>
      </c>
      <c r="N7" s="195">
        <f t="shared" ca="1" si="0"/>
        <v>4</v>
      </c>
      <c r="O7" s="196">
        <f t="shared" ca="1" si="0"/>
        <v>4</v>
      </c>
      <c r="P7" s="197">
        <f t="shared" ca="1" si="0"/>
        <v>4</v>
      </c>
      <c r="Q7" s="197">
        <f t="shared" ca="1" si="0"/>
        <v>4</v>
      </c>
      <c r="R7" s="198">
        <f t="shared" ca="1" si="0"/>
        <v>4</v>
      </c>
      <c r="U7" cm="1">
        <f t="array" aca="1" ref="U7" ca="1">SUMPRODUCT(SUMIF(INDIRECT("'" &amp; $AG$3:$AG$15 &amp; "'!E:E"), $B7, INDIRECT("'" &amp; $AG$3:$AG$15 &amp; "'!U:U")))</f>
        <v>8</v>
      </c>
      <c r="V7" cm="1">
        <f t="array" aca="1" ref="V7" ca="1">SUMPRODUCT(SUMIF(INDIRECT("'" &amp; $AG$3:$AG$15 &amp; "'!E:E"), $B7, INDIRECT("'" &amp; $AG$3:$AG$15 &amp; "'!V:V")))</f>
        <v>8</v>
      </c>
      <c r="W7" cm="1">
        <f t="array" aca="1" ref="W7" ca="1">SUMPRODUCT(SUMIF(INDIRECT("'" &amp; $AG$3:$AG$15 &amp; "'!E:E"), $B7, INDIRECT("'" &amp; $AG$3:$AG$15 &amp; "'!W:W")))</f>
        <v>6</v>
      </c>
      <c r="X7" s="194">
        <f t="shared" ca="1" si="1"/>
        <v>0.27272727272727271</v>
      </c>
      <c r="Y7" cm="1">
        <f t="array" aca="1" ref="Y7" ca="1">SUMPRODUCT(SUMIF(INDIRECT("'" &amp; $AG$3:$AG$15 &amp; "'!E:E"), $B7, INDIRECT("'" &amp; $AG$3:$AG$15 &amp; "'!X:X")))</f>
        <v>0</v>
      </c>
      <c r="Z7" cm="1">
        <f t="array" aca="1" ref="Z7" ca="1">SUMPRODUCT(SUMIF(INDIRECT("'" &amp; $AG$3:$AG$15 &amp; "'!E:E"), $B7, INDIRECT("'" &amp; $AG$3:$AG$15 &amp; "'!Y:Y")))</f>
        <v>3</v>
      </c>
      <c r="AB7" cm="1">
        <f t="array" aca="1" ref="AB7" ca="1">SUMPRODUCT(SUMIF(INDIRECT("'" &amp; $AG$3:$AG$15 &amp; "'!E:E"), $B7, INDIRECT("'" &amp; $AG$3:$AG$15 &amp; "'!O:O")))</f>
        <v>28</v>
      </c>
      <c r="AG7" t="s">
        <v>190</v>
      </c>
    </row>
    <row r="8" spans="1:33" ht="15.75">
      <c r="A8" s="212" t="s">
        <v>52</v>
      </c>
      <c r="B8" s="213">
        <v>632301</v>
      </c>
      <c r="C8" s="209">
        <v>1</v>
      </c>
      <c r="D8" s="1"/>
      <c r="F8" s="195">
        <f t="shared" ca="1" si="0"/>
        <v>4</v>
      </c>
      <c r="G8" s="196">
        <f t="shared" ca="1" si="0"/>
        <v>4</v>
      </c>
      <c r="H8" s="197">
        <f t="shared" ca="1" si="0"/>
        <v>4</v>
      </c>
      <c r="I8" s="197">
        <f t="shared" ca="1" si="0"/>
        <v>4</v>
      </c>
      <c r="J8" s="195">
        <f t="shared" ca="1" si="0"/>
        <v>4</v>
      </c>
      <c r="K8" s="196">
        <f t="shared" ca="1" si="0"/>
        <v>4</v>
      </c>
      <c r="L8" s="197">
        <f t="shared" ca="1" si="0"/>
        <v>4</v>
      </c>
      <c r="M8" s="197">
        <f t="shared" ca="1" si="0"/>
        <v>4</v>
      </c>
      <c r="N8" s="195">
        <f t="shared" ca="1" si="0"/>
        <v>4</v>
      </c>
      <c r="O8" s="196">
        <f t="shared" ca="1" si="0"/>
        <v>4</v>
      </c>
      <c r="P8" s="197">
        <f t="shared" ca="1" si="0"/>
        <v>4</v>
      </c>
      <c r="Q8" s="197">
        <f t="shared" ca="1" si="0"/>
        <v>4</v>
      </c>
      <c r="R8" s="198">
        <f t="shared" ca="1" si="0"/>
        <v>4</v>
      </c>
      <c r="U8" cm="1">
        <f t="array" aca="1" ref="U8" ca="1">SUMPRODUCT(SUMIF(INDIRECT("'" &amp; $AG$3:$AG$15 &amp; "'!E:E"), $B8, INDIRECT("'" &amp; $AG$3:$AG$15 &amp; "'!U:U")))</f>
        <v>17</v>
      </c>
      <c r="V8" cm="1">
        <f t="array" aca="1" ref="V8" ca="1">SUMPRODUCT(SUMIF(INDIRECT("'" &amp; $AG$3:$AG$15 &amp; "'!E:E"), $B8, INDIRECT("'" &amp; $AG$3:$AG$15 &amp; "'!V:V")))</f>
        <v>15</v>
      </c>
      <c r="W8" cm="1">
        <f t="array" aca="1" ref="W8" ca="1">SUMPRODUCT(SUMIF(INDIRECT("'" &amp; $AG$3:$AG$15 &amp; "'!E:E"), $B8, INDIRECT("'" &amp; $AG$3:$AG$15 &amp; "'!W:W")))</f>
        <v>11</v>
      </c>
      <c r="X8" s="194">
        <f t="shared" ca="1" si="1"/>
        <v>0.2558139534883721</v>
      </c>
      <c r="Y8" cm="1">
        <f t="array" aca="1" ref="Y8" ca="1">SUMPRODUCT(SUMIF(INDIRECT("'" &amp; $AG$3:$AG$15 &amp; "'!E:E"), $B8, INDIRECT("'" &amp; $AG$3:$AG$15 &amp; "'!X:X")))</f>
        <v>0</v>
      </c>
      <c r="Z8" cm="1">
        <f t="array" aca="1" ref="Z8" ca="1">SUMPRODUCT(SUMIF(INDIRECT("'" &amp; $AG$3:$AG$15 &amp; "'!E:E"), $B8, INDIRECT("'" &amp; $AG$3:$AG$15 &amp; "'!Y:Y")))</f>
        <v>6</v>
      </c>
      <c r="AB8" cm="1">
        <f t="array" aca="1" ref="AB8" ca="1">SUMPRODUCT(SUMIF(INDIRECT("'" &amp; $AG$3:$AG$15 &amp; "'!E:E"), $B8, INDIRECT("'" &amp; $AG$3:$AG$15 &amp; "'!O:O")))</f>
        <v>8</v>
      </c>
      <c r="AG8" t="s">
        <v>191</v>
      </c>
    </row>
    <row r="9" spans="1:33" ht="15.75">
      <c r="A9" s="212" t="s">
        <v>53</v>
      </c>
      <c r="B9" s="208">
        <v>613891</v>
      </c>
      <c r="C9" s="209">
        <v>0.75</v>
      </c>
      <c r="D9" s="1"/>
      <c r="F9" s="195">
        <f t="shared" ca="1" si="0"/>
        <v>3</v>
      </c>
      <c r="G9" s="196">
        <f t="shared" ca="1" si="0"/>
        <v>3</v>
      </c>
      <c r="H9" s="197">
        <f t="shared" ca="1" si="0"/>
        <v>3</v>
      </c>
      <c r="I9" s="197">
        <f t="shared" ca="1" si="0"/>
        <v>3</v>
      </c>
      <c r="J9" s="195">
        <f t="shared" ca="1" si="0"/>
        <v>3</v>
      </c>
      <c r="K9" s="196">
        <f t="shared" ca="1" si="0"/>
        <v>3</v>
      </c>
      <c r="L9" s="197">
        <f t="shared" ca="1" si="0"/>
        <v>3</v>
      </c>
      <c r="M9" s="197">
        <f t="shared" ca="1" si="0"/>
        <v>3</v>
      </c>
      <c r="N9" s="195">
        <f t="shared" ca="1" si="0"/>
        <v>3</v>
      </c>
      <c r="O9" s="196">
        <f t="shared" ca="1" si="0"/>
        <v>3</v>
      </c>
      <c r="P9" s="197">
        <f t="shared" ca="1" si="0"/>
        <v>3</v>
      </c>
      <c r="Q9" s="197">
        <f t="shared" ca="1" si="0"/>
        <v>3</v>
      </c>
      <c r="R9" s="198">
        <f t="shared" ca="1" si="0"/>
        <v>3</v>
      </c>
      <c r="U9" cm="1">
        <f t="array" aca="1" ref="U9" ca="1">SUMPRODUCT(SUMIF(INDIRECT("'" &amp; $AG$3:$AG$15 &amp; "'!E:E"), $B9, INDIRECT("'" &amp; $AG$3:$AG$15 &amp; "'!U:U")))</f>
        <v>12</v>
      </c>
      <c r="V9" cm="1">
        <f t="array" aca="1" ref="V9" ca="1">SUMPRODUCT(SUMIF(INDIRECT("'" &amp; $AG$3:$AG$15 &amp; "'!E:E"), $B9, INDIRECT("'" &amp; $AG$3:$AG$15 &amp; "'!V:V")))</f>
        <v>11</v>
      </c>
      <c r="W9" cm="1">
        <f t="array" aca="1" ref="W9" ca="1">SUMPRODUCT(SUMIF(INDIRECT("'" &amp; $AG$3:$AG$15 &amp; "'!E:E"), $B9, INDIRECT("'" &amp; $AG$3:$AG$15 &amp; "'!W:W")))</f>
        <v>7</v>
      </c>
      <c r="X9" s="194">
        <f t="shared" ca="1" si="1"/>
        <v>0.23333333333333334</v>
      </c>
      <c r="Y9" cm="1">
        <f t="array" aca="1" ref="Y9" ca="1">SUMPRODUCT(SUMIF(INDIRECT("'" &amp; $AG$3:$AG$15 &amp; "'!E:E"), $B9, INDIRECT("'" &amp; $AG$3:$AG$15 &amp; "'!X:X")))</f>
        <v>0</v>
      </c>
      <c r="Z9" cm="1">
        <f t="array" aca="1" ref="Z9" ca="1">SUMPRODUCT(SUMIF(INDIRECT("'" &amp; $AG$3:$AG$15 &amp; "'!E:E"), $B9, INDIRECT("'" &amp; $AG$3:$AG$15 &amp; "'!Y:Y")))</f>
        <v>3</v>
      </c>
      <c r="AB9" cm="1">
        <f t="array" aca="1" ref="AB9" ca="1">SUMPRODUCT(SUMIF(INDIRECT("'" &amp; $AG$3:$AG$15 &amp; "'!E:E"), $B9, INDIRECT("'" &amp; $AG$3:$AG$15 &amp; "'!O:O")))</f>
        <v>9</v>
      </c>
      <c r="AG9" t="s">
        <v>192</v>
      </c>
    </row>
    <row r="10" spans="1:33" ht="15.75">
      <c r="A10" s="211" t="s">
        <v>55</v>
      </c>
      <c r="B10" s="208">
        <v>623657</v>
      </c>
      <c r="C10" s="209">
        <v>0.25</v>
      </c>
      <c r="D10" s="1"/>
      <c r="F10" s="195">
        <f t="shared" ca="1" si="0"/>
        <v>1</v>
      </c>
      <c r="G10" s="196">
        <f t="shared" ca="1" si="0"/>
        <v>1</v>
      </c>
      <c r="H10" s="197">
        <f t="shared" ca="1" si="0"/>
        <v>1</v>
      </c>
      <c r="I10" s="197">
        <f t="shared" ca="1" si="0"/>
        <v>1</v>
      </c>
      <c r="J10" s="195">
        <f t="shared" ca="1" si="0"/>
        <v>1</v>
      </c>
      <c r="K10" s="196">
        <f t="shared" ca="1" si="0"/>
        <v>2</v>
      </c>
      <c r="L10" s="197">
        <f t="shared" ca="1" si="0"/>
        <v>2</v>
      </c>
      <c r="M10" s="197">
        <f t="shared" ca="1" si="0"/>
        <v>0</v>
      </c>
      <c r="N10" s="195">
        <f t="shared" ca="1" si="0"/>
        <v>0</v>
      </c>
      <c r="O10" s="196">
        <f t="shared" ca="1" si="0"/>
        <v>1</v>
      </c>
      <c r="P10" s="197">
        <f t="shared" ca="1" si="0"/>
        <v>1</v>
      </c>
      <c r="Q10" s="197">
        <f t="shared" ca="1" si="0"/>
        <v>1</v>
      </c>
      <c r="R10" s="198">
        <f t="shared" ca="1" si="0"/>
        <v>1</v>
      </c>
      <c r="U10" cm="1">
        <f t="array" aca="1" ref="U10" ca="1">SUMPRODUCT(SUMIF(INDIRECT("'" &amp; $AG$3:$AG$15 &amp; "'!E:E"), $B10, INDIRECT("'" &amp; $AG$3:$AG$15 &amp; "'!U:U")))</f>
        <v>5</v>
      </c>
      <c r="V10" cm="1">
        <f t="array" aca="1" ref="V10" ca="1">SUMPRODUCT(SUMIF(INDIRECT("'" &amp; $AG$3:$AG$15 &amp; "'!E:E"), $B10, INDIRECT("'" &amp; $AG$3:$AG$15 &amp; "'!V:V")))</f>
        <v>5</v>
      </c>
      <c r="W10" cm="1">
        <f t="array" aca="1" ref="W10" ca="1">SUMPRODUCT(SUMIF(INDIRECT("'" &amp; $AG$3:$AG$15 &amp; "'!E:E"), $B10, INDIRECT("'" &amp; $AG$3:$AG$15 &amp; "'!W:W")))</f>
        <v>0</v>
      </c>
      <c r="X10" s="194">
        <f t="shared" ca="1" si="1"/>
        <v>0</v>
      </c>
      <c r="Y10" cm="1">
        <f t="array" aca="1" ref="Y10" ca="1">SUMPRODUCT(SUMIF(INDIRECT("'" &amp; $AG$3:$AG$15 &amp; "'!E:E"), $B10, INDIRECT("'" &amp; $AG$3:$AG$15 &amp; "'!X:X")))</f>
        <v>0</v>
      </c>
      <c r="Z10" cm="1">
        <f t="array" aca="1" ref="Z10" ca="1">SUMPRODUCT(SUMIF(INDIRECT("'" &amp; $AG$3:$AG$15 &amp; "'!E:E"), $B10, INDIRECT("'" &amp; $AG$3:$AG$15 &amp; "'!Y:Y")))</f>
        <v>3</v>
      </c>
      <c r="AB10" cm="1">
        <f t="array" aca="1" ref="AB10" ca="1">SUMPRODUCT(SUMIF(INDIRECT("'" &amp; $AG$3:$AG$15 &amp; "'!E:E"), $B10, INDIRECT("'" &amp; $AG$3:$AG$15 &amp; "'!O:O")))</f>
        <v>2</v>
      </c>
      <c r="AG10" t="s">
        <v>194</v>
      </c>
    </row>
    <row r="11" spans="1:33" ht="15.75">
      <c r="A11" s="212" t="s">
        <v>56</v>
      </c>
      <c r="B11" s="208">
        <v>623708</v>
      </c>
      <c r="C11" s="209">
        <v>0.75</v>
      </c>
      <c r="D11" s="1"/>
      <c r="F11" s="195">
        <f t="shared" ca="1" si="0"/>
        <v>3</v>
      </c>
      <c r="G11" s="196">
        <f t="shared" ca="1" si="0"/>
        <v>3</v>
      </c>
      <c r="H11" s="197">
        <f t="shared" ca="1" si="0"/>
        <v>3</v>
      </c>
      <c r="I11" s="197">
        <f t="shared" ca="1" si="0"/>
        <v>3</v>
      </c>
      <c r="J11" s="195">
        <f t="shared" ca="1" si="0"/>
        <v>3</v>
      </c>
      <c r="K11" s="196">
        <f t="shared" ca="1" si="0"/>
        <v>3</v>
      </c>
      <c r="L11" s="197">
        <f t="shared" ca="1" si="0"/>
        <v>3</v>
      </c>
      <c r="M11" s="197">
        <f t="shared" ca="1" si="0"/>
        <v>3</v>
      </c>
      <c r="N11" s="195">
        <f t="shared" ca="1" si="0"/>
        <v>3</v>
      </c>
      <c r="O11" s="196">
        <f t="shared" ca="1" si="0"/>
        <v>3</v>
      </c>
      <c r="P11" s="197">
        <f t="shared" ca="1" si="0"/>
        <v>3</v>
      </c>
      <c r="Q11" s="197">
        <f t="shared" ca="1" si="0"/>
        <v>3</v>
      </c>
      <c r="R11" s="198">
        <f t="shared" ca="1" si="0"/>
        <v>3</v>
      </c>
      <c r="U11" cm="1">
        <f t="array" aca="1" ref="U11" ca="1">SUMPRODUCT(SUMIF(INDIRECT("'" &amp; $AG$3:$AG$15 &amp; "'!E:E"), $B11, INDIRECT("'" &amp; $AG$3:$AG$15 &amp; "'!U:U")))</f>
        <v>11</v>
      </c>
      <c r="V11" cm="1">
        <f t="array" aca="1" ref="V11" ca="1">SUMPRODUCT(SUMIF(INDIRECT("'" &amp; $AG$3:$AG$15 &amp; "'!E:E"), $B11, INDIRECT("'" &amp; $AG$3:$AG$15 &amp; "'!V:V")))</f>
        <v>11</v>
      </c>
      <c r="W11" cm="1">
        <f t="array" aca="1" ref="W11" ca="1">SUMPRODUCT(SUMIF(INDIRECT("'" &amp; $AG$3:$AG$15 &amp; "'!E:E"), $B11, INDIRECT("'" &amp; $AG$3:$AG$15 &amp; "'!W:W")))</f>
        <v>7</v>
      </c>
      <c r="X11" s="202">
        <f t="shared" ca="1" si="1"/>
        <v>0.2413793103448276</v>
      </c>
      <c r="Y11" cm="1">
        <f t="array" aca="1" ref="Y11" ca="1">SUMPRODUCT(SUMIF(INDIRECT("'" &amp; $AG$3:$AG$15 &amp; "'!E:E"), $B11, INDIRECT("'" &amp; $AG$3:$AG$15 &amp; "'!X:X")))</f>
        <v>0</v>
      </c>
      <c r="Z11" cm="1">
        <f t="array" aca="1" ref="Z11" ca="1">SUMPRODUCT(SUMIF(INDIRECT("'" &amp; $AG$3:$AG$15 &amp; "'!E:E"), $B11, INDIRECT("'" &amp; $AG$3:$AG$15 &amp; "'!Y:Y")))</f>
        <v>4</v>
      </c>
      <c r="AB11" cm="1">
        <f t="array" aca="1" ref="AB11" ca="1">SUMPRODUCT(SUMIF(INDIRECT("'" &amp; $AG$3:$AG$15 &amp; "'!E:E"), $B11, INDIRECT("'" &amp; $AG$3:$AG$15 &amp; "'!O:O")))</f>
        <v>9</v>
      </c>
      <c r="AG11" t="s">
        <v>196</v>
      </c>
    </row>
    <row r="12" spans="1:33" ht="15.75">
      <c r="A12" s="211" t="s">
        <v>57</v>
      </c>
      <c r="B12" s="208">
        <v>627680</v>
      </c>
      <c r="C12" s="209">
        <v>0.75</v>
      </c>
      <c r="D12" s="1"/>
      <c r="F12" s="195">
        <f t="shared" ca="1" si="0"/>
        <v>3</v>
      </c>
      <c r="G12" s="196">
        <f t="shared" ca="1" si="0"/>
        <v>3</v>
      </c>
      <c r="H12" s="197">
        <f t="shared" ca="1" si="0"/>
        <v>3</v>
      </c>
      <c r="I12" s="197">
        <f t="shared" ca="1" si="0"/>
        <v>3</v>
      </c>
      <c r="J12" s="195">
        <f t="shared" ca="1" si="0"/>
        <v>3</v>
      </c>
      <c r="K12" s="196">
        <f t="shared" ca="1" si="0"/>
        <v>3</v>
      </c>
      <c r="L12" s="197">
        <f t="shared" ca="1" si="0"/>
        <v>3</v>
      </c>
      <c r="M12" s="197">
        <f t="shared" ca="1" si="0"/>
        <v>3</v>
      </c>
      <c r="N12" s="195">
        <f t="shared" ca="1" si="0"/>
        <v>3</v>
      </c>
      <c r="O12" s="196">
        <f t="shared" ca="1" si="0"/>
        <v>3</v>
      </c>
      <c r="P12" s="197">
        <f t="shared" ca="1" si="0"/>
        <v>3</v>
      </c>
      <c r="Q12" s="197">
        <f t="shared" ca="1" si="0"/>
        <v>3</v>
      </c>
      <c r="R12" s="198">
        <f t="shared" ca="1" si="0"/>
        <v>3</v>
      </c>
      <c r="U12" cm="1">
        <f t="array" aca="1" ref="U12" ca="1">SUMPRODUCT(SUMIF(INDIRECT("'" &amp; $AG$3:$AG$15 &amp; "'!E:E"), $B12, INDIRECT("'" &amp; $AG$3:$AG$15 &amp; "'!U:U")))</f>
        <v>11</v>
      </c>
      <c r="V12" cm="1">
        <f t="array" aca="1" ref="V12" ca="1">SUMPRODUCT(SUMIF(INDIRECT("'" &amp; $AG$3:$AG$15 &amp; "'!E:E"), $B12, INDIRECT("'" &amp; $AG$3:$AG$15 &amp; "'!V:V")))</f>
        <v>11</v>
      </c>
      <c r="W12" cm="1">
        <f t="array" aca="1" ref="W12" ca="1">SUMPRODUCT(SUMIF(INDIRECT("'" &amp; $AG$3:$AG$15 &amp; "'!E:E"), $B12, INDIRECT("'" &amp; $AG$3:$AG$15 &amp; "'!W:W")))</f>
        <v>8</v>
      </c>
      <c r="X12" s="203">
        <f t="shared" ca="1" si="1"/>
        <v>0.26666666666666666</v>
      </c>
      <c r="Y12" cm="1">
        <f t="array" aca="1" ref="Y12" ca="1">SUMPRODUCT(SUMIF(INDIRECT("'" &amp; $AG$3:$AG$15 &amp; "'!E:E"), $B12, INDIRECT("'" &amp; $AG$3:$AG$15 &amp; "'!X:X")))</f>
        <v>0</v>
      </c>
      <c r="Z12" cm="1">
        <f t="array" aca="1" ref="Z12" ca="1">SUMPRODUCT(SUMIF(INDIRECT("'" &amp; $AG$3:$AG$15 &amp; "'!E:E"), $B12, INDIRECT("'" &amp; $AG$3:$AG$15 &amp; "'!Y:Y")))</f>
        <v>7</v>
      </c>
      <c r="AB12" cm="1">
        <f t="array" aca="1" ref="AB12" ca="1">SUMPRODUCT(SUMIF(INDIRECT("'" &amp; $AG$3:$AG$15 &amp; "'!E:E"), $B12, INDIRECT("'" &amp; $AG$3:$AG$15 &amp; "'!O:O")))</f>
        <v>6</v>
      </c>
      <c r="AG12" t="s">
        <v>197</v>
      </c>
    </row>
    <row r="13" spans="1:33" ht="15.75">
      <c r="A13" s="211" t="s">
        <v>58</v>
      </c>
      <c r="B13" s="213">
        <v>633210</v>
      </c>
      <c r="C13" s="209">
        <v>0.75</v>
      </c>
      <c r="D13" s="1"/>
      <c r="F13" s="195">
        <f t="shared" ref="F13:R22" ca="1" si="2">VLOOKUP($B13, INDIRECT("'" &amp; F$1 &amp; "'!E:X"), 12, FALSE)</f>
        <v>2</v>
      </c>
      <c r="G13" s="196">
        <f t="shared" ca="1" si="2"/>
        <v>4</v>
      </c>
      <c r="H13" s="197">
        <f t="shared" ca="1" si="2"/>
        <v>3</v>
      </c>
      <c r="I13" s="197">
        <f t="shared" ca="1" si="2"/>
        <v>3</v>
      </c>
      <c r="J13" s="195">
        <f t="shared" ca="1" si="2"/>
        <v>3</v>
      </c>
      <c r="K13" s="196">
        <f t="shared" ca="1" si="2"/>
        <v>3</v>
      </c>
      <c r="L13" s="197">
        <f t="shared" ca="1" si="2"/>
        <v>3</v>
      </c>
      <c r="M13" s="197">
        <f t="shared" ca="1" si="2"/>
        <v>3</v>
      </c>
      <c r="N13" s="200">
        <f t="shared" ca="1" si="2"/>
        <v>3</v>
      </c>
      <c r="O13" s="201">
        <f t="shared" ca="1" si="2"/>
        <v>3</v>
      </c>
      <c r="P13" s="197">
        <f t="shared" ca="1" si="2"/>
        <v>3</v>
      </c>
      <c r="Q13" s="197">
        <f t="shared" ca="1" si="2"/>
        <v>3</v>
      </c>
      <c r="R13" s="198">
        <f t="shared" ca="1" si="2"/>
        <v>3</v>
      </c>
      <c r="U13" cm="1">
        <f t="array" aca="1" ref="U13" ca="1">SUMPRODUCT(SUMIF(INDIRECT("'" &amp; $AG$3:$AG$15 &amp; "'!E:E"), $B13, INDIRECT("'" &amp; $AG$3:$AG$15 &amp; "'!U:U")))</f>
        <v>14</v>
      </c>
      <c r="V13" cm="1">
        <f t="array" aca="1" ref="V13" ca="1">SUMPRODUCT(SUMIF(INDIRECT("'" &amp; $AG$3:$AG$15 &amp; "'!E:E"), $B13, INDIRECT("'" &amp; $AG$3:$AG$15 &amp; "'!V:V")))</f>
        <v>12</v>
      </c>
      <c r="W13" cm="1">
        <f t="array" aca="1" ref="W13" ca="1">SUMPRODUCT(SUMIF(INDIRECT("'" &amp; $AG$3:$AG$15 &amp; "'!E:E"), $B13, INDIRECT("'" &amp; $AG$3:$AG$15 &amp; "'!W:W")))</f>
        <v>10</v>
      </c>
      <c r="X13" s="203">
        <f t="shared" ca="1" si="1"/>
        <v>0.27777777777777779</v>
      </c>
      <c r="Y13" cm="1">
        <f t="array" aca="1" ref="Y13" ca="1">SUMPRODUCT(SUMIF(INDIRECT("'" &amp; $AG$3:$AG$15 &amp; "'!E:E"), $B13, INDIRECT("'" &amp; $AG$3:$AG$15 &amp; "'!X:X")))</f>
        <v>0</v>
      </c>
      <c r="Z13" cm="1">
        <f t="array" aca="1" ref="Z13" ca="1">SUMPRODUCT(SUMIF(INDIRECT("'" &amp; $AG$3:$AG$15 &amp; "'!E:E"), $B13, INDIRECT("'" &amp; $AG$3:$AG$15 &amp; "'!Y:Y")))</f>
        <v>3</v>
      </c>
      <c r="AB13" cm="1">
        <f t="array" aca="1" ref="AB13" ca="1">SUMPRODUCT(SUMIF(INDIRECT("'" &amp; $AG$3:$AG$15 &amp; "'!E:E"), $B13, INDIRECT("'" &amp; $AG$3:$AG$15 &amp; "'!O:O")))</f>
        <v>3</v>
      </c>
      <c r="AG13" t="s">
        <v>198</v>
      </c>
    </row>
    <row r="14" spans="1:33" ht="15.75">
      <c r="A14" s="214" t="s">
        <v>59</v>
      </c>
      <c r="B14" s="213">
        <v>618952</v>
      </c>
      <c r="C14" s="209">
        <v>0.75</v>
      </c>
      <c r="D14" s="1"/>
      <c r="F14" s="195">
        <f t="shared" ca="1" si="2"/>
        <v>0</v>
      </c>
      <c r="G14" s="196">
        <f t="shared" ca="1" si="2"/>
        <v>3</v>
      </c>
      <c r="H14" s="197">
        <f t="shared" ca="1" si="2"/>
        <v>3</v>
      </c>
      <c r="I14" s="197">
        <f t="shared" ca="1" si="2"/>
        <v>3</v>
      </c>
      <c r="J14" s="195">
        <f t="shared" ca="1" si="2"/>
        <v>3</v>
      </c>
      <c r="K14" s="196">
        <f t="shared" ca="1" si="2"/>
        <v>3</v>
      </c>
      <c r="L14" s="197">
        <f t="shared" ca="1" si="2"/>
        <v>3</v>
      </c>
      <c r="M14" s="197">
        <f t="shared" ca="1" si="2"/>
        <v>3</v>
      </c>
      <c r="N14" s="195">
        <f t="shared" ca="1" si="2"/>
        <v>3</v>
      </c>
      <c r="O14" s="196">
        <f t="shared" ca="1" si="2"/>
        <v>3</v>
      </c>
      <c r="P14" s="197">
        <f t="shared" ca="1" si="2"/>
        <v>3</v>
      </c>
      <c r="Q14" s="197">
        <f t="shared" ca="1" si="2"/>
        <v>3</v>
      </c>
      <c r="R14" s="198">
        <f t="shared" ca="1" si="2"/>
        <v>3</v>
      </c>
      <c r="U14" cm="1">
        <f t="array" aca="1" ref="U14" ca="1">SUMPRODUCT(SUMIF(INDIRECT("'" &amp; $AG$3:$AG$15 &amp; "'!E:E"), $B14, INDIRECT("'" &amp; $AG$3:$AG$15 &amp; "'!U:U")))</f>
        <v>13</v>
      </c>
      <c r="V14" cm="1">
        <f t="array" aca="1" ref="V14" ca="1">SUMPRODUCT(SUMIF(INDIRECT("'" &amp; $AG$3:$AG$15 &amp; "'!E:E"), $B14, INDIRECT("'" &amp; $AG$3:$AG$15 &amp; "'!V:V")))</f>
        <v>11</v>
      </c>
      <c r="W14" cm="1">
        <f t="array" aca="1" ref="W14" ca="1">SUMPRODUCT(SUMIF(INDIRECT("'" &amp; $AG$3:$AG$15 &amp; "'!E:E"), $B14, INDIRECT("'" &amp; $AG$3:$AG$15 &amp; "'!W:W")))</f>
        <v>8</v>
      </c>
      <c r="X14" s="203">
        <f t="shared" ca="1" si="1"/>
        <v>0.25</v>
      </c>
      <c r="Y14" cm="1">
        <f t="array" aca="1" ref="Y14" ca="1">SUMPRODUCT(SUMIF(INDIRECT("'" &amp; $AG$3:$AG$15 &amp; "'!E:E"), $B14, INDIRECT("'" &amp; $AG$3:$AG$15 &amp; "'!X:X")))</f>
        <v>0</v>
      </c>
      <c r="Z14" cm="1">
        <f t="array" aca="1" ref="Z14" ca="1">SUMPRODUCT(SUMIF(INDIRECT("'" &amp; $AG$3:$AG$15 &amp; "'!E:E"), $B14, INDIRECT("'" &amp; $AG$3:$AG$15 &amp; "'!Y:Y")))</f>
        <v>5</v>
      </c>
      <c r="AB14" cm="1">
        <f t="array" aca="1" ref="AB14" ca="1">SUMPRODUCT(SUMIF(INDIRECT("'" &amp; $AG$3:$AG$15 &amp; "'!E:E"), $B14, INDIRECT("'" &amp; $AG$3:$AG$15 &amp; "'!O:O")))</f>
        <v>3</v>
      </c>
      <c r="AG14" t="s">
        <v>199</v>
      </c>
    </row>
    <row r="15" spans="1:33" ht="15.75">
      <c r="A15" s="215" t="s">
        <v>61</v>
      </c>
      <c r="B15" s="213">
        <v>649039</v>
      </c>
      <c r="C15" s="208">
        <v>0.625</v>
      </c>
      <c r="D15" s="1"/>
      <c r="F15" s="195">
        <f t="shared" ca="1" si="2"/>
        <v>3</v>
      </c>
      <c r="G15" s="196">
        <f t="shared" ca="1" si="2"/>
        <v>2</v>
      </c>
      <c r="H15" s="197">
        <f t="shared" ca="1" si="2"/>
        <v>2</v>
      </c>
      <c r="I15" s="197">
        <f t="shared" ca="1" si="2"/>
        <v>3</v>
      </c>
      <c r="J15" s="195">
        <f t="shared" ca="1" si="2"/>
        <v>3</v>
      </c>
      <c r="K15" s="196">
        <f t="shared" ca="1" si="2"/>
        <v>2</v>
      </c>
      <c r="L15" s="197">
        <f t="shared" ca="1" si="2"/>
        <v>2</v>
      </c>
      <c r="M15" s="197">
        <f t="shared" ca="1" si="2"/>
        <v>3</v>
      </c>
      <c r="N15" s="195">
        <f t="shared" ca="1" si="2"/>
        <v>2</v>
      </c>
      <c r="O15" s="196">
        <f t="shared" ca="1" si="2"/>
        <v>3</v>
      </c>
      <c r="P15" s="197">
        <f t="shared" ca="1" si="2"/>
        <v>3</v>
      </c>
      <c r="Q15" s="197">
        <f t="shared" ca="1" si="2"/>
        <v>2</v>
      </c>
      <c r="R15" s="198">
        <f t="shared" ca="1" si="2"/>
        <v>3</v>
      </c>
      <c r="U15" cm="1">
        <f t="array" aca="1" ref="U15" ca="1">SUMPRODUCT(SUMIF(INDIRECT("'" &amp; $AG$3:$AG$15 &amp; "'!E:E"), $B15, INDIRECT("'" &amp; $AG$3:$AG$15 &amp; "'!U:U")))</f>
        <v>8</v>
      </c>
      <c r="V15" cm="1">
        <f t="array" aca="1" ref="V15" ca="1">SUMPRODUCT(SUMIF(INDIRECT("'" &amp; $AG$3:$AG$15 &amp; "'!E:E"), $B15, INDIRECT("'" &amp; $AG$3:$AG$15 &amp; "'!V:V")))</f>
        <v>11</v>
      </c>
      <c r="W15" cm="1">
        <f t="array" aca="1" ref="W15" ca="1">SUMPRODUCT(SUMIF(INDIRECT("'" &amp; $AG$3:$AG$15 &amp; "'!E:E"), $B15, INDIRECT("'" &amp; $AG$3:$AG$15 &amp; "'!W:W")))</f>
        <v>6</v>
      </c>
      <c r="X15" s="203">
        <f t="shared" ca="1" si="1"/>
        <v>0.24</v>
      </c>
      <c r="Y15" cm="1">
        <f t="array" aca="1" ref="Y15" ca="1">SUMPRODUCT(SUMIF(INDIRECT("'" &amp; $AG$3:$AG$15 &amp; "'!E:E"), $B15, INDIRECT("'" &amp; $AG$3:$AG$15 &amp; "'!X:X")))</f>
        <v>0</v>
      </c>
      <c r="Z15" cm="1">
        <f t="array" aca="1" ref="Z15" ca="1">SUMPRODUCT(SUMIF(INDIRECT("'" &amp; $AG$3:$AG$15 &amp; "'!E:E"), $B15, INDIRECT("'" &amp; $AG$3:$AG$15 &amp; "'!Y:Y")))</f>
        <v>4</v>
      </c>
      <c r="AB15" cm="1">
        <f t="array" aca="1" ref="AB15" ca="1">SUMPRODUCT(SUMIF(INDIRECT("'" &amp; $AG$3:$AG$15 &amp; "'!E:E"), $B15, INDIRECT("'" &amp; $AG$3:$AG$15 &amp; "'!O:O")))</f>
        <v>7</v>
      </c>
      <c r="AG15" t="s">
        <v>200</v>
      </c>
    </row>
    <row r="16" spans="1:33" ht="15.75">
      <c r="A16" s="212" t="s">
        <v>62</v>
      </c>
      <c r="B16" s="216">
        <v>649671</v>
      </c>
      <c r="C16" s="208">
        <v>0.75</v>
      </c>
      <c r="D16" s="1"/>
      <c r="F16" s="195">
        <f t="shared" ca="1" si="2"/>
        <v>3</v>
      </c>
      <c r="G16" s="196">
        <f t="shared" ca="1" si="2"/>
        <v>3</v>
      </c>
      <c r="H16" s="197">
        <f t="shared" ca="1" si="2"/>
        <v>3</v>
      </c>
      <c r="I16" s="197">
        <f t="shared" ca="1" si="2"/>
        <v>3</v>
      </c>
      <c r="J16" s="195">
        <f t="shared" ca="1" si="2"/>
        <v>3</v>
      </c>
      <c r="K16" s="196">
        <f t="shared" ca="1" si="2"/>
        <v>3</v>
      </c>
      <c r="L16" s="197">
        <f t="shared" ca="1" si="2"/>
        <v>3</v>
      </c>
      <c r="M16" s="197">
        <f t="shared" ca="1" si="2"/>
        <v>3</v>
      </c>
      <c r="N16" s="195">
        <f t="shared" ca="1" si="2"/>
        <v>3</v>
      </c>
      <c r="O16" s="196">
        <f t="shared" ca="1" si="2"/>
        <v>3</v>
      </c>
      <c r="P16" s="197">
        <f t="shared" ca="1" si="2"/>
        <v>3</v>
      </c>
      <c r="Q16" s="197">
        <f t="shared" ca="1" si="2"/>
        <v>3</v>
      </c>
      <c r="R16" s="198">
        <f t="shared" ca="1" si="2"/>
        <v>3</v>
      </c>
      <c r="U16" cm="1">
        <f t="array" aca="1" ref="U16" ca="1">SUMPRODUCT(SUMIF(INDIRECT("'" &amp; $AG$3:$AG$15 &amp; "'!E:E"), $B16, INDIRECT("'" &amp; $AG$3:$AG$15 &amp; "'!U:U")))</f>
        <v>11</v>
      </c>
      <c r="V16" cm="1">
        <f t="array" aca="1" ref="V16" ca="1">SUMPRODUCT(SUMIF(INDIRECT("'" &amp; $AG$3:$AG$15 &amp; "'!E:E"), $B16, INDIRECT("'" &amp; $AG$3:$AG$15 &amp; "'!V:V")))</f>
        <v>11</v>
      </c>
      <c r="W16" cm="1">
        <f t="array" aca="1" ref="W16" ca="1">SUMPRODUCT(SUMIF(INDIRECT("'" &amp; $AG$3:$AG$15 &amp; "'!E:E"), $B16, INDIRECT("'" &amp; $AG$3:$AG$15 &amp; "'!W:W")))</f>
        <v>7</v>
      </c>
      <c r="X16" s="202">
        <f t="shared" ca="1" si="1"/>
        <v>0.2413793103448276</v>
      </c>
      <c r="Y16" cm="1">
        <f t="array" aca="1" ref="Y16" ca="1">SUMPRODUCT(SUMIF(INDIRECT("'" &amp; $AG$3:$AG$15 &amp; "'!E:E"), $B16, INDIRECT("'" &amp; $AG$3:$AG$15 &amp; "'!X:X")))</f>
        <v>0</v>
      </c>
      <c r="Z16" cm="1">
        <f t="array" aca="1" ref="Z16" ca="1">SUMPRODUCT(SUMIF(INDIRECT("'" &amp; $AG$3:$AG$15 &amp; "'!E:E"), $B16, INDIRECT("'" &amp; $AG$3:$AG$15 &amp; "'!Y:Y")))</f>
        <v>4</v>
      </c>
      <c r="AB16" cm="1">
        <f t="array" aca="1" ref="AB16" ca="1">SUMPRODUCT(SUMIF(INDIRECT("'" &amp; $AG$3:$AG$15 &amp; "'!E:E"), $B16, INDIRECT("'" &amp; $AG$3:$AG$15 &amp; "'!O:O")))</f>
        <v>9</v>
      </c>
    </row>
    <row r="17" spans="1:28" ht="15.75">
      <c r="A17" s="211" t="s">
        <v>64</v>
      </c>
      <c r="B17" s="216">
        <v>646047</v>
      </c>
      <c r="C17" s="208">
        <v>0.625</v>
      </c>
      <c r="D17" s="1"/>
      <c r="F17" s="195">
        <f t="shared" ca="1" si="2"/>
        <v>2</v>
      </c>
      <c r="G17" s="196">
        <f t="shared" ca="1" si="2"/>
        <v>2</v>
      </c>
      <c r="H17" s="197">
        <f t="shared" ca="1" si="2"/>
        <v>2</v>
      </c>
      <c r="I17" s="197">
        <f t="shared" ca="1" si="2"/>
        <v>2</v>
      </c>
      <c r="J17" s="195">
        <f t="shared" ca="1" si="2"/>
        <v>3</v>
      </c>
      <c r="K17" s="196">
        <f t="shared" ca="1" si="2"/>
        <v>2</v>
      </c>
      <c r="L17" s="197">
        <f t="shared" ca="1" si="2"/>
        <v>3</v>
      </c>
      <c r="M17" s="197">
        <f t="shared" ca="1" si="2"/>
        <v>3</v>
      </c>
      <c r="N17" s="195">
        <f t="shared" ca="1" si="2"/>
        <v>3</v>
      </c>
      <c r="O17" s="196">
        <f t="shared" ca="1" si="2"/>
        <v>2</v>
      </c>
      <c r="P17" s="197">
        <f t="shared" ca="1" si="2"/>
        <v>3</v>
      </c>
      <c r="Q17" s="197">
        <f t="shared" ca="1" si="2"/>
        <v>2</v>
      </c>
      <c r="R17" s="198">
        <f t="shared" ca="1" si="2"/>
        <v>3</v>
      </c>
      <c r="U17" cm="1">
        <f t="array" aca="1" ref="U17" ca="1">SUMPRODUCT(SUMIF(INDIRECT("'" &amp; $AG$3:$AG$15 &amp; "'!E:E"), $B17, INDIRECT("'" &amp; $AG$3:$AG$15 &amp; "'!U:U")))</f>
        <v>8</v>
      </c>
      <c r="V17" cm="1">
        <f t="array" aca="1" ref="V17" ca="1">SUMPRODUCT(SUMIF(INDIRECT("'" &amp; $AG$3:$AG$15 &amp; "'!E:E"), $B17, INDIRECT("'" &amp; $AG$3:$AG$15 &amp; "'!V:V")))</f>
        <v>8</v>
      </c>
      <c r="W17" cm="1">
        <f t="array" aca="1" ref="W17" ca="1">SUMPRODUCT(SUMIF(INDIRECT("'" &amp; $AG$3:$AG$15 &amp; "'!E:E"), $B17, INDIRECT("'" &amp; $AG$3:$AG$15 &amp; "'!W:W")))</f>
        <v>5</v>
      </c>
      <c r="X17" s="203">
        <f t="shared" ca="1" si="1"/>
        <v>0.23809523809523808</v>
      </c>
      <c r="Y17" cm="1">
        <f t="array" aca="1" ref="Y17" ca="1">SUMPRODUCT(SUMIF(INDIRECT("'" &amp; $AG$3:$AG$15 &amp; "'!E:E"), $B17, INDIRECT("'" &amp; $AG$3:$AG$15 &amp; "'!X:X")))</f>
        <v>0</v>
      </c>
      <c r="Z17" cm="1">
        <f t="array" aca="1" ref="Z17" ca="1">SUMPRODUCT(SUMIF(INDIRECT("'" &amp; $AG$3:$AG$15 &amp; "'!E:E"), $B17, INDIRECT("'" &amp; $AG$3:$AG$15 &amp; "'!Y:Y")))</f>
        <v>6</v>
      </c>
      <c r="AB17" cm="1">
        <f t="array" aca="1" ref="AB17" ca="1">SUMPRODUCT(SUMIF(INDIRECT("'" &amp; $AG$3:$AG$15 &amp; "'!E:E"), $B17, INDIRECT("'" &amp; $AG$3:$AG$15 &amp; "'!O:O")))</f>
        <v>10</v>
      </c>
    </row>
    <row r="18" spans="1:28" ht="15.75">
      <c r="A18" s="212" t="s">
        <v>66</v>
      </c>
      <c r="B18" s="208">
        <v>164003</v>
      </c>
      <c r="C18" s="209">
        <v>0.5</v>
      </c>
      <c r="D18" s="1"/>
      <c r="F18" s="195">
        <f t="shared" ca="1" si="2"/>
        <v>2</v>
      </c>
      <c r="G18" s="196">
        <f t="shared" ca="1" si="2"/>
        <v>2</v>
      </c>
      <c r="H18" s="197">
        <f t="shared" ca="1" si="2"/>
        <v>2</v>
      </c>
      <c r="I18" s="197">
        <f t="shared" ca="1" si="2"/>
        <v>2</v>
      </c>
      <c r="J18" s="195">
        <f t="shared" ca="1" si="2"/>
        <v>2</v>
      </c>
      <c r="K18" s="196">
        <f t="shared" ca="1" si="2"/>
        <v>2</v>
      </c>
      <c r="L18" s="197">
        <f t="shared" ca="1" si="2"/>
        <v>2</v>
      </c>
      <c r="M18" s="197">
        <f t="shared" ca="1" si="2"/>
        <v>2</v>
      </c>
      <c r="N18" s="195">
        <f t="shared" ca="1" si="2"/>
        <v>2</v>
      </c>
      <c r="O18" s="196">
        <f t="shared" ca="1" si="2"/>
        <v>2</v>
      </c>
      <c r="P18" s="197">
        <f t="shared" ca="1" si="2"/>
        <v>3</v>
      </c>
      <c r="Q18" s="197">
        <f t="shared" ca="1" si="2"/>
        <v>1</v>
      </c>
      <c r="R18" s="198">
        <f t="shared" ca="1" si="2"/>
        <v>2</v>
      </c>
      <c r="U18" cm="1">
        <f t="array" aca="1" ref="U18" ca="1">SUMPRODUCT(SUMIF(INDIRECT("'" &amp; $AG$3:$AG$15 &amp; "'!E:E"), $B18, INDIRECT("'" &amp; $AG$3:$AG$15 &amp; "'!U:U")))</f>
        <v>9</v>
      </c>
      <c r="V18" cm="1">
        <f t="array" aca="1" ref="V18" ca="1">SUMPRODUCT(SUMIF(INDIRECT("'" &amp; $AG$3:$AG$15 &amp; "'!E:E"), $B18, INDIRECT("'" &amp; $AG$3:$AG$15 &amp; "'!V:V")))</f>
        <v>8</v>
      </c>
      <c r="W18" cm="1">
        <f t="array" aca="1" ref="W18" ca="1">SUMPRODUCT(SUMIF(INDIRECT("'" &amp; $AG$3:$AG$15 &amp; "'!E:E"), $B18, INDIRECT("'" &amp; $AG$3:$AG$15 &amp; "'!W:W")))</f>
        <v>8</v>
      </c>
      <c r="X18" s="203">
        <f t="shared" ca="1" si="1"/>
        <v>0.32</v>
      </c>
      <c r="Y18" cm="1">
        <f t="array" aca="1" ref="Y18" ca="1">SUMPRODUCT(SUMIF(INDIRECT("'" &amp; $AG$3:$AG$15 &amp; "'!E:E"), $B18, INDIRECT("'" &amp; $AG$3:$AG$15 &amp; "'!X:X")))</f>
        <v>0</v>
      </c>
      <c r="Z18" cm="1">
        <f t="array" aca="1" ref="Z18" ca="1">SUMPRODUCT(SUMIF(INDIRECT("'" &amp; $AG$3:$AG$15 &amp; "'!E:E"), $B18, INDIRECT("'" &amp; $AG$3:$AG$15 &amp; "'!Y:Y")))</f>
        <v>3</v>
      </c>
      <c r="AB18" cm="1">
        <f t="array" aca="1" ref="AB18" ca="1">SUMPRODUCT(SUMIF(INDIRECT("'" &amp; $AG$3:$AG$15 &amp; "'!E:E"), $B18, INDIRECT("'" &amp; $AG$3:$AG$15 &amp; "'!O:O")))</f>
        <v>0</v>
      </c>
    </row>
    <row r="19" spans="1:28" ht="15.75">
      <c r="A19" s="212" t="s">
        <v>67</v>
      </c>
      <c r="B19" s="208">
        <v>609408</v>
      </c>
      <c r="C19" s="209">
        <v>0.5</v>
      </c>
      <c r="D19" s="1"/>
      <c r="F19" s="195">
        <f t="shared" ca="1" si="2"/>
        <v>4</v>
      </c>
      <c r="G19" s="196">
        <f t="shared" ca="1" si="2"/>
        <v>0</v>
      </c>
      <c r="H19" s="197">
        <f t="shared" ca="1" si="2"/>
        <v>4</v>
      </c>
      <c r="I19" s="197">
        <f t="shared" ca="1" si="2"/>
        <v>0</v>
      </c>
      <c r="J19" s="195">
        <f t="shared" ca="1" si="2"/>
        <v>4</v>
      </c>
      <c r="K19" s="196">
        <f t="shared" ca="1" si="2"/>
        <v>0</v>
      </c>
      <c r="L19" s="197">
        <f t="shared" ca="1" si="2"/>
        <v>0</v>
      </c>
      <c r="M19" s="197">
        <f t="shared" ca="1" si="2"/>
        <v>4</v>
      </c>
      <c r="N19" s="195">
        <f t="shared" ca="1" si="2"/>
        <v>4</v>
      </c>
      <c r="O19" s="196">
        <f t="shared" ca="1" si="2"/>
        <v>0</v>
      </c>
      <c r="P19" s="197">
        <f t="shared" ca="1" si="2"/>
        <v>4</v>
      </c>
      <c r="Q19" s="197">
        <f t="shared" ca="1" si="2"/>
        <v>0</v>
      </c>
      <c r="R19" s="198">
        <f t="shared" ca="1" si="2"/>
        <v>4</v>
      </c>
      <c r="U19" cm="1">
        <f t="array" aca="1" ref="U19" ca="1">SUMPRODUCT(SUMIF(INDIRECT("'" &amp; $AG$3:$AG$15 &amp; "'!E:E"), $B19, INDIRECT("'" &amp; $AG$3:$AG$15 &amp; "'!U:U")))</f>
        <v>9</v>
      </c>
      <c r="V19" cm="1">
        <f t="array" aca="1" ref="V19" ca="1">SUMPRODUCT(SUMIF(INDIRECT("'" &amp; $AG$3:$AG$15 &amp; "'!E:E"), $B19, INDIRECT("'" &amp; $AG$3:$AG$15 &amp; "'!V:V")))</f>
        <v>8</v>
      </c>
      <c r="W19" cm="1">
        <f t="array" aca="1" ref="W19" ca="1">SUMPRODUCT(SUMIF(INDIRECT("'" &amp; $AG$3:$AG$15 &amp; "'!E:E"), $B19, INDIRECT("'" &amp; $AG$3:$AG$15 &amp; "'!W:W")))</f>
        <v>6</v>
      </c>
      <c r="X19" s="202">
        <f t="shared" ca="1" si="1"/>
        <v>0.2608695652173913</v>
      </c>
      <c r="Y19" cm="1">
        <f t="array" aca="1" ref="Y19" ca="1">SUMPRODUCT(SUMIF(INDIRECT("'" &amp; $AG$3:$AG$15 &amp; "'!E:E"), $B19, INDIRECT("'" &amp; $AG$3:$AG$15 &amp; "'!X:X")))</f>
        <v>0</v>
      </c>
      <c r="Z19" cm="1">
        <f t="array" aca="1" ref="Z19" ca="1">SUMPRODUCT(SUMIF(INDIRECT("'" &amp; $AG$3:$AG$15 &amp; "'!E:E"), $B19, INDIRECT("'" &amp; $AG$3:$AG$15 &amp; "'!Y:Y")))</f>
        <v>2</v>
      </c>
      <c r="AB19" cm="1">
        <f t="array" aca="1" ref="AB19" ca="1">SUMPRODUCT(SUMIF(INDIRECT("'" &amp; $AG$3:$AG$15 &amp; "'!E:E"), $B19, INDIRECT("'" &amp; $AG$3:$AG$15 &amp; "'!O:O")))</f>
        <v>4</v>
      </c>
    </row>
    <row r="20" spans="1:28" ht="15.75">
      <c r="A20" s="207" t="s">
        <v>68</v>
      </c>
      <c r="B20" s="208">
        <v>627619</v>
      </c>
      <c r="C20" s="209">
        <v>0.5</v>
      </c>
      <c r="D20" s="1"/>
      <c r="F20" s="195">
        <f t="shared" ca="1" si="2"/>
        <v>2</v>
      </c>
      <c r="G20" s="196">
        <f t="shared" ca="1" si="2"/>
        <v>2</v>
      </c>
      <c r="H20" s="197">
        <f t="shared" ca="1" si="2"/>
        <v>2</v>
      </c>
      <c r="I20" s="197">
        <f t="shared" ca="1" si="2"/>
        <v>2</v>
      </c>
      <c r="J20" s="195">
        <f t="shared" ca="1" si="2"/>
        <v>2</v>
      </c>
      <c r="K20" s="196">
        <f t="shared" ca="1" si="2"/>
        <v>2</v>
      </c>
      <c r="L20" s="197">
        <f t="shared" ca="1" si="2"/>
        <v>2</v>
      </c>
      <c r="M20" s="197">
        <f t="shared" ca="1" si="2"/>
        <v>2</v>
      </c>
      <c r="N20" s="195">
        <f t="shared" ca="1" si="2"/>
        <v>2</v>
      </c>
      <c r="O20" s="196">
        <f t="shared" ca="1" si="2"/>
        <v>2</v>
      </c>
      <c r="P20" s="197">
        <f t="shared" ca="1" si="2"/>
        <v>2</v>
      </c>
      <c r="Q20" s="197">
        <f t="shared" ca="1" si="2"/>
        <v>2</v>
      </c>
      <c r="R20" s="198">
        <f t="shared" ca="1" si="2"/>
        <v>2</v>
      </c>
      <c r="U20" cm="1">
        <f t="array" aca="1" ref="U20" ca="1">SUMPRODUCT(SUMIF(INDIRECT("'" &amp; $AG$3:$AG$15 &amp; "'!E:E"), $B20, INDIRECT("'" &amp; $AG$3:$AG$15 &amp; "'!U:U")))</f>
        <v>6</v>
      </c>
      <c r="V20" cm="1">
        <f t="array" aca="1" ref="V20" ca="1">SUMPRODUCT(SUMIF(INDIRECT("'" &amp; $AG$3:$AG$15 &amp; "'!E:E"), $B20, INDIRECT("'" &amp; $AG$3:$AG$15 &amp; "'!V:V")))</f>
        <v>9</v>
      </c>
      <c r="W20" cm="1">
        <f t="array" aca="1" ref="W20" ca="1">SUMPRODUCT(SUMIF(INDIRECT("'" &amp; $AG$3:$AG$15 &amp; "'!E:E"), $B20, INDIRECT("'" &amp; $AG$3:$AG$15 &amp; "'!W:W")))</f>
        <v>6</v>
      </c>
      <c r="X20" s="203">
        <f t="shared" ca="1" si="1"/>
        <v>0.2857142857142857</v>
      </c>
      <c r="Y20" cm="1">
        <f t="array" aca="1" ref="Y20" ca="1">SUMPRODUCT(SUMIF(INDIRECT("'" &amp; $AG$3:$AG$15 &amp; "'!E:E"), $B20, INDIRECT("'" &amp; $AG$3:$AG$15 &amp; "'!X:X")))</f>
        <v>0</v>
      </c>
      <c r="Z20" cm="1">
        <f t="array" aca="1" ref="Z20" ca="1">SUMPRODUCT(SUMIF(INDIRECT("'" &amp; $AG$3:$AG$15 &amp; "'!E:E"), $B20, INDIRECT("'" &amp; $AG$3:$AG$15 &amp; "'!Y:Y")))</f>
        <v>3</v>
      </c>
      <c r="AB20" cm="1">
        <f t="array" aca="1" ref="AB20" ca="1">SUMPRODUCT(SUMIF(INDIRECT("'" &amp; $AG$3:$AG$15 &amp; "'!E:E"), $B20, INDIRECT("'" &amp; $AG$3:$AG$15 &amp; "'!O:O")))</f>
        <v>4</v>
      </c>
    </row>
    <row r="21" spans="1:28" ht="15.75">
      <c r="A21" s="211" t="s">
        <v>71</v>
      </c>
      <c r="B21" s="213">
        <v>632646</v>
      </c>
      <c r="C21" s="209">
        <v>0.5</v>
      </c>
      <c r="D21" s="1"/>
      <c r="F21" s="195">
        <f t="shared" ca="1" si="2"/>
        <v>4</v>
      </c>
      <c r="G21" s="196">
        <f t="shared" ca="1" si="2"/>
        <v>0</v>
      </c>
      <c r="H21" s="197">
        <f t="shared" ca="1" si="2"/>
        <v>4</v>
      </c>
      <c r="I21" s="197">
        <f t="shared" ca="1" si="2"/>
        <v>0</v>
      </c>
      <c r="J21" s="195">
        <f t="shared" ca="1" si="2"/>
        <v>4</v>
      </c>
      <c r="K21" s="196">
        <f t="shared" ca="1" si="2"/>
        <v>0</v>
      </c>
      <c r="L21" s="197">
        <f t="shared" ca="1" si="2"/>
        <v>4</v>
      </c>
      <c r="M21" s="197">
        <f t="shared" ca="1" si="2"/>
        <v>0</v>
      </c>
      <c r="N21" s="195">
        <f t="shared" ca="1" si="2"/>
        <v>4</v>
      </c>
      <c r="O21" s="196">
        <f t="shared" ca="1" si="2"/>
        <v>0</v>
      </c>
      <c r="P21" s="197">
        <f t="shared" ca="1" si="2"/>
        <v>4</v>
      </c>
      <c r="Q21" s="197">
        <f t="shared" ca="1" si="2"/>
        <v>0</v>
      </c>
      <c r="R21" s="198">
        <f t="shared" ca="1" si="2"/>
        <v>4</v>
      </c>
      <c r="U21" cm="1">
        <f t="array" aca="1" ref="U21" ca="1">SUMPRODUCT(SUMIF(INDIRECT("'" &amp; $AG$3:$AG$15 &amp; "'!E:E"), $B21, INDIRECT("'" &amp; $AG$3:$AG$15 &amp; "'!U:U")))</f>
        <v>8</v>
      </c>
      <c r="V21" cm="1">
        <f t="array" aca="1" ref="V21" ca="1">SUMPRODUCT(SUMIF(INDIRECT("'" &amp; $AG$3:$AG$15 &amp; "'!E:E"), $B21, INDIRECT("'" &amp; $AG$3:$AG$15 &amp; "'!V:V")))</f>
        <v>7</v>
      </c>
      <c r="W21" cm="1">
        <f t="array" aca="1" ref="W21" ca="1">SUMPRODUCT(SUMIF(INDIRECT("'" &amp; $AG$3:$AG$15 &amp; "'!E:E"), $B21, INDIRECT("'" &amp; $AG$3:$AG$15 &amp; "'!W:W")))</f>
        <v>5</v>
      </c>
      <c r="X21" s="203">
        <f t="shared" ca="1" si="1"/>
        <v>0.25</v>
      </c>
      <c r="Y21" cm="1">
        <f t="array" aca="1" ref="Y21" ca="1">SUMPRODUCT(SUMIF(INDIRECT("'" &amp; $AG$3:$AG$15 &amp; "'!E:E"), $B21, INDIRECT("'" &amp; $AG$3:$AG$15 &amp; "'!X:X")))</f>
        <v>0</v>
      </c>
      <c r="Z21" cm="1">
        <f t="array" aca="1" ref="Z21" ca="1">SUMPRODUCT(SUMIF(INDIRECT("'" &amp; $AG$3:$AG$15 &amp; "'!E:E"), $B21, INDIRECT("'" &amp; $AG$3:$AG$15 &amp; "'!Y:Y")))</f>
        <v>5</v>
      </c>
      <c r="AB21" cm="1">
        <f t="array" aca="1" ref="AB21" ca="1">SUMPRODUCT(SUMIF(INDIRECT("'" &amp; $AG$3:$AG$15 &amp; "'!E:E"), $B21, INDIRECT("'" &amp; $AG$3:$AG$15 &amp; "'!O:O")))</f>
        <v>8</v>
      </c>
    </row>
    <row r="22" spans="1:28" ht="15.75">
      <c r="A22" s="210" t="s">
        <v>72</v>
      </c>
      <c r="B22" s="213">
        <v>652844</v>
      </c>
      <c r="C22" s="209">
        <v>0.5</v>
      </c>
      <c r="D22" s="1"/>
      <c r="F22" s="195">
        <f t="shared" ca="1" si="2"/>
        <v>0</v>
      </c>
      <c r="G22" s="196">
        <f t="shared" ca="1" si="2"/>
        <v>4</v>
      </c>
      <c r="H22" s="197">
        <f t="shared" ca="1" si="2"/>
        <v>0</v>
      </c>
      <c r="I22" s="197">
        <f t="shared" ca="1" si="2"/>
        <v>4</v>
      </c>
      <c r="J22" s="195">
        <f t="shared" ca="1" si="2"/>
        <v>0</v>
      </c>
      <c r="K22" s="196">
        <f t="shared" ca="1" si="2"/>
        <v>4</v>
      </c>
      <c r="L22" s="197">
        <f t="shared" ca="1" si="2"/>
        <v>0</v>
      </c>
      <c r="M22" s="197">
        <f t="shared" ca="1" si="2"/>
        <v>4</v>
      </c>
      <c r="N22" s="195">
        <f t="shared" ca="1" si="2"/>
        <v>0</v>
      </c>
      <c r="O22" s="196">
        <f t="shared" ca="1" si="2"/>
        <v>4</v>
      </c>
      <c r="P22" s="197">
        <f t="shared" ca="1" si="2"/>
        <v>0</v>
      </c>
      <c r="Q22" s="197">
        <f t="shared" ca="1" si="2"/>
        <v>4</v>
      </c>
      <c r="R22" s="198">
        <f t="shared" ca="1" si="2"/>
        <v>0</v>
      </c>
      <c r="U22" cm="1">
        <f t="array" aca="1" ref="U22" ca="1">SUMPRODUCT(SUMIF(INDIRECT("'" &amp; $AG$3:$AG$15 &amp; "'!E:E"), $B22, INDIRECT("'" &amp; $AG$3:$AG$15 &amp; "'!U:U")))</f>
        <v>6</v>
      </c>
      <c r="V22" cm="1">
        <f t="array" aca="1" ref="V22" ca="1">SUMPRODUCT(SUMIF(INDIRECT("'" &amp; $AG$3:$AG$15 &amp; "'!E:E"), $B22, INDIRECT("'" &amp; $AG$3:$AG$15 &amp; "'!V:V")))</f>
        <v>6</v>
      </c>
      <c r="W22" cm="1">
        <f t="array" aca="1" ref="W22" ca="1">SUMPRODUCT(SUMIF(INDIRECT("'" &amp; $AG$3:$AG$15 &amp; "'!E:E"), $B22, INDIRECT("'" &amp; $AG$3:$AG$15 &amp; "'!W:W")))</f>
        <v>4</v>
      </c>
      <c r="X22" s="194">
        <f t="shared" ca="1" si="1"/>
        <v>0.25</v>
      </c>
      <c r="Y22" cm="1">
        <f t="array" aca="1" ref="Y22" ca="1">SUMPRODUCT(SUMIF(INDIRECT("'" &amp; $AG$3:$AG$15 &amp; "'!E:E"), $B22, INDIRECT("'" &amp; $AG$3:$AG$15 &amp; "'!X:X")))</f>
        <v>0</v>
      </c>
      <c r="Z22" cm="1">
        <f t="array" aca="1" ref="Z22" ca="1">SUMPRODUCT(SUMIF(INDIRECT("'" &amp; $AG$3:$AG$15 &amp; "'!E:E"), $B22, INDIRECT("'" &amp; $AG$3:$AG$15 &amp; "'!Y:Y")))</f>
        <v>2</v>
      </c>
      <c r="AB22" cm="1">
        <f t="array" aca="1" ref="AB22" ca="1">SUMPRODUCT(SUMIF(INDIRECT("'" &amp; $AG$3:$AG$15 &amp; "'!E:E"), $B22, INDIRECT("'" &amp; $AG$3:$AG$15 &amp; "'!O:O")))</f>
        <v>8</v>
      </c>
    </row>
    <row r="23" spans="1:28" ht="15.75">
      <c r="A23" s="215" t="s">
        <v>73</v>
      </c>
      <c r="B23" s="213">
        <v>634491</v>
      </c>
      <c r="C23" s="209">
        <v>0.5</v>
      </c>
      <c r="D23" s="1"/>
      <c r="F23" s="195">
        <f t="shared" ref="F23:R30" ca="1" si="3">VLOOKUP($B23, INDIRECT("'" &amp; F$1 &amp; "'!E:X"), 12, FALSE)</f>
        <v>0</v>
      </c>
      <c r="G23" s="196">
        <f t="shared" ca="1" si="3"/>
        <v>4</v>
      </c>
      <c r="H23" s="197">
        <f t="shared" ca="1" si="3"/>
        <v>0</v>
      </c>
      <c r="I23" s="197">
        <f t="shared" ca="1" si="3"/>
        <v>4</v>
      </c>
      <c r="J23" s="195">
        <f t="shared" ca="1" si="3"/>
        <v>0</v>
      </c>
      <c r="K23" s="196">
        <f t="shared" ca="1" si="3"/>
        <v>4</v>
      </c>
      <c r="L23" s="197">
        <f t="shared" ca="1" si="3"/>
        <v>0</v>
      </c>
      <c r="M23" s="197">
        <f t="shared" ca="1" si="3"/>
        <v>4</v>
      </c>
      <c r="N23" s="195">
        <f t="shared" ca="1" si="3"/>
        <v>0</v>
      </c>
      <c r="O23" s="196">
        <f t="shared" ca="1" si="3"/>
        <v>4</v>
      </c>
      <c r="P23" s="197">
        <f t="shared" ca="1" si="3"/>
        <v>0</v>
      </c>
      <c r="Q23" s="197">
        <f t="shared" ca="1" si="3"/>
        <v>4</v>
      </c>
      <c r="R23" s="198">
        <f t="shared" ca="1" si="3"/>
        <v>0</v>
      </c>
      <c r="U23" cm="1">
        <f t="array" aca="1" ref="U23" ca="1">SUMPRODUCT(SUMIF(INDIRECT("'" &amp; $AG$3:$AG$15 &amp; "'!E:E"), $B23, INDIRECT("'" &amp; $AG$3:$AG$15 &amp; "'!U:U")))</f>
        <v>9</v>
      </c>
      <c r="V23" cm="1">
        <f t="array" aca="1" ref="V23" ca="1">SUMPRODUCT(SUMIF(INDIRECT("'" &amp; $AG$3:$AG$15 &amp; "'!E:E"), $B23, INDIRECT("'" &amp; $AG$3:$AG$15 &amp; "'!V:V")))</f>
        <v>9</v>
      </c>
      <c r="W23" cm="1">
        <f t="array" aca="1" ref="W23" ca="1">SUMPRODUCT(SUMIF(INDIRECT("'" &amp; $AG$3:$AG$15 &amp; "'!E:E"), $B23, INDIRECT("'" &amp; $AG$3:$AG$15 &amp; "'!W:W")))</f>
        <v>5</v>
      </c>
      <c r="X23" s="194">
        <f t="shared" ca="1" si="1"/>
        <v>0.21739130434782608</v>
      </c>
      <c r="Y23" cm="1">
        <f t="array" aca="1" ref="Y23" ca="1">SUMPRODUCT(SUMIF(INDIRECT("'" &amp; $AG$3:$AG$15 &amp; "'!E:E"), $B23, INDIRECT("'" &amp; $AG$3:$AG$15 &amp; "'!X:X")))</f>
        <v>0</v>
      </c>
      <c r="Z23" cm="1">
        <f t="array" aca="1" ref="Z23" ca="1">SUMPRODUCT(SUMIF(INDIRECT("'" &amp; $AG$3:$AG$15 &amp; "'!E:E"), $B23, INDIRECT("'" &amp; $AG$3:$AG$15 &amp; "'!Y:Y")))</f>
        <v>6</v>
      </c>
      <c r="AB23" cm="1">
        <f t="array" aca="1" ref="AB23" ca="1">SUMPRODUCT(SUMIF(INDIRECT("'" &amp; $AG$3:$AG$15 &amp; "'!E:E"), $B23, INDIRECT("'" &amp; $AG$3:$AG$15 &amp; "'!O:O")))</f>
        <v>0</v>
      </c>
    </row>
    <row r="24" spans="1:28" ht="15.75">
      <c r="A24" s="207" t="s">
        <v>74</v>
      </c>
      <c r="B24" s="213">
        <v>621988</v>
      </c>
      <c r="C24" s="208">
        <v>0.5</v>
      </c>
      <c r="D24" s="1"/>
      <c r="F24" s="195">
        <f t="shared" ca="1" si="3"/>
        <v>2</v>
      </c>
      <c r="G24" s="196">
        <f t="shared" ca="1" si="3"/>
        <v>2</v>
      </c>
      <c r="H24" s="197">
        <f t="shared" ca="1" si="3"/>
        <v>2</v>
      </c>
      <c r="I24" s="197">
        <f t="shared" ca="1" si="3"/>
        <v>2</v>
      </c>
      <c r="J24" s="195">
        <f t="shared" ca="1" si="3"/>
        <v>2</v>
      </c>
      <c r="K24" s="196">
        <f t="shared" ca="1" si="3"/>
        <v>2</v>
      </c>
      <c r="L24" s="197">
        <f t="shared" ca="1" si="3"/>
        <v>0</v>
      </c>
      <c r="M24" s="197">
        <f t="shared" ca="1" si="3"/>
        <v>4</v>
      </c>
      <c r="N24" s="195">
        <f t="shared" ca="1" si="3"/>
        <v>0</v>
      </c>
      <c r="O24" s="196">
        <f t="shared" ca="1" si="3"/>
        <v>4</v>
      </c>
      <c r="P24" s="197">
        <f t="shared" ca="1" si="3"/>
        <v>0</v>
      </c>
      <c r="Q24" s="197">
        <f t="shared" ca="1" si="3"/>
        <v>4</v>
      </c>
      <c r="R24" s="198">
        <f t="shared" ca="1" si="3"/>
        <v>0</v>
      </c>
      <c r="U24" cm="1">
        <f t="array" aca="1" ref="U24" ca="1">SUMPRODUCT(SUMIF(INDIRECT("'" &amp; $AG$3:$AG$15 &amp; "'!E:E"), $B24, INDIRECT("'" &amp; $AG$3:$AG$15 &amp; "'!U:U")))</f>
        <v>5</v>
      </c>
      <c r="V24" cm="1">
        <f t="array" aca="1" ref="V24" ca="1">SUMPRODUCT(SUMIF(INDIRECT("'" &amp; $AG$3:$AG$15 &amp; "'!E:E"), $B24, INDIRECT("'" &amp; $AG$3:$AG$15 &amp; "'!V:V")))</f>
        <v>4</v>
      </c>
      <c r="W24" cm="1">
        <f t="array" aca="1" ref="W24" ca="1">SUMPRODUCT(SUMIF(INDIRECT("'" &amp; $AG$3:$AG$15 &amp; "'!E:E"), $B24, INDIRECT("'" &amp; $AG$3:$AG$15 &amp; "'!W:W")))</f>
        <v>3</v>
      </c>
      <c r="X24" s="194">
        <f t="shared" ca="1" si="1"/>
        <v>0.25</v>
      </c>
      <c r="Y24" cm="1">
        <f t="array" aca="1" ref="Y24" ca="1">SUMPRODUCT(SUMIF(INDIRECT("'" &amp; $AG$3:$AG$15 &amp; "'!E:E"), $B24, INDIRECT("'" &amp; $AG$3:$AG$15 &amp; "'!X:X")))</f>
        <v>0</v>
      </c>
      <c r="Z24" cm="1">
        <f t="array" aca="1" ref="Z24" ca="1">SUMPRODUCT(SUMIF(INDIRECT("'" &amp; $AG$3:$AG$15 &amp; "'!E:E"), $B24, INDIRECT("'" &amp; $AG$3:$AG$15 &amp; "'!Y:Y")))</f>
        <v>2</v>
      </c>
      <c r="AB24" cm="1">
        <f t="array" aca="1" ref="AB24" ca="1">SUMPRODUCT(SUMIF(INDIRECT("'" &amp; $AG$3:$AG$15 &amp; "'!E:E"), $B24, INDIRECT("'" &amp; $AG$3:$AG$15 &amp; "'!O:O")))</f>
        <v>12</v>
      </c>
    </row>
    <row r="25" spans="1:28" ht="15.75">
      <c r="A25" s="212" t="s">
        <v>76</v>
      </c>
      <c r="B25" s="208">
        <v>409677</v>
      </c>
      <c r="C25" s="208">
        <v>0.375</v>
      </c>
      <c r="D25" s="1"/>
      <c r="F25" s="195">
        <f t="shared" ca="1" si="3"/>
        <v>1</v>
      </c>
      <c r="G25" s="196">
        <f t="shared" ca="1" si="3"/>
        <v>2</v>
      </c>
      <c r="H25" s="197">
        <f t="shared" ca="1" si="3"/>
        <v>1</v>
      </c>
      <c r="I25" s="197">
        <f t="shared" ca="1" si="3"/>
        <v>2</v>
      </c>
      <c r="J25" s="195">
        <f t="shared" ca="1" si="3"/>
        <v>1</v>
      </c>
      <c r="K25" s="196">
        <f t="shared" ca="1" si="3"/>
        <v>2</v>
      </c>
      <c r="L25" s="197">
        <f t="shared" ca="1" si="3"/>
        <v>1</v>
      </c>
      <c r="M25" s="197">
        <f t="shared" ca="1" si="3"/>
        <v>2</v>
      </c>
      <c r="N25" s="195">
        <f t="shared" ca="1" si="3"/>
        <v>1</v>
      </c>
      <c r="O25" s="196">
        <f t="shared" ca="1" si="3"/>
        <v>2</v>
      </c>
      <c r="P25" s="197">
        <f t="shared" ca="1" si="3"/>
        <v>1</v>
      </c>
      <c r="Q25" s="197">
        <f t="shared" ca="1" si="3"/>
        <v>2</v>
      </c>
      <c r="R25" s="198">
        <f t="shared" ca="1" si="3"/>
        <v>1</v>
      </c>
      <c r="U25" cm="1">
        <f t="array" aca="1" ref="U25" ca="1">SUMPRODUCT(SUMIF(INDIRECT("'" &amp; $AG$3:$AG$15 &amp; "'!E:E"), $B25, INDIRECT("'" &amp; $AG$3:$AG$15 &amp; "'!U:U")))</f>
        <v>7</v>
      </c>
      <c r="V25" cm="1">
        <f t="array" aca="1" ref="V25" ca="1">SUMPRODUCT(SUMIF(INDIRECT("'" &amp; $AG$3:$AG$15 &amp; "'!E:E"), $B25, INDIRECT("'" &amp; $AG$3:$AG$15 &amp; "'!V:V")))</f>
        <v>5</v>
      </c>
      <c r="W25" cm="1">
        <f t="array" aca="1" ref="W25" ca="1">SUMPRODUCT(SUMIF(INDIRECT("'" &amp; $AG$3:$AG$15 &amp; "'!E:E"), $B25, INDIRECT("'" &amp; $AG$3:$AG$15 &amp; "'!W:W")))</f>
        <v>4</v>
      </c>
      <c r="X25" s="194">
        <f t="shared" ca="1" si="1"/>
        <v>0.25</v>
      </c>
      <c r="Y25" cm="1">
        <f t="array" aca="1" ref="Y25" ca="1">SUMPRODUCT(SUMIF(INDIRECT("'" &amp; $AG$3:$AG$15 &amp; "'!E:E"), $B25, INDIRECT("'" &amp; $AG$3:$AG$15 &amp; "'!X:X")))</f>
        <v>0</v>
      </c>
      <c r="Z25" cm="1">
        <f t="array" aca="1" ref="Z25" ca="1">SUMPRODUCT(SUMIF(INDIRECT("'" &amp; $AG$3:$AG$15 &amp; "'!E:E"), $B25, INDIRECT("'" &amp; $AG$3:$AG$15 &amp; "'!Y:Y")))</f>
        <v>3</v>
      </c>
      <c r="AB25" cm="1">
        <f t="array" aca="1" ref="AB25" ca="1">SUMPRODUCT(SUMIF(INDIRECT("'" &amp; $AG$3:$AG$15 &amp; "'!E:E"), $B25, INDIRECT("'" &amp; $AG$3:$AG$15 &amp; "'!O:O")))</f>
        <v>0</v>
      </c>
    </row>
    <row r="26" spans="1:28">
      <c r="A26" s="217" t="s">
        <v>77</v>
      </c>
      <c r="B26" s="87">
        <v>632590</v>
      </c>
      <c r="C26" s="209">
        <v>0.5</v>
      </c>
      <c r="D26" s="1"/>
      <c r="F26" s="195">
        <f t="shared" ca="1" si="3"/>
        <v>4</v>
      </c>
      <c r="G26" s="196">
        <f t="shared" ca="1" si="3"/>
        <v>0</v>
      </c>
      <c r="H26" s="197">
        <f t="shared" ca="1" si="3"/>
        <v>4</v>
      </c>
      <c r="I26" s="197">
        <f t="shared" ca="1" si="3"/>
        <v>0</v>
      </c>
      <c r="J26" s="195">
        <f t="shared" ca="1" si="3"/>
        <v>4</v>
      </c>
      <c r="K26" s="196">
        <f t="shared" ca="1" si="3"/>
        <v>0</v>
      </c>
      <c r="L26" s="197">
        <f t="shared" ca="1" si="3"/>
        <v>4</v>
      </c>
      <c r="M26" s="197">
        <f t="shared" ca="1" si="3"/>
        <v>0</v>
      </c>
      <c r="N26" s="195">
        <f t="shared" ca="1" si="3"/>
        <v>4</v>
      </c>
      <c r="O26" s="196">
        <f t="shared" ca="1" si="3"/>
        <v>0</v>
      </c>
      <c r="P26" s="197">
        <f t="shared" ca="1" si="3"/>
        <v>4</v>
      </c>
      <c r="Q26" s="197">
        <f t="shared" ca="1" si="3"/>
        <v>0</v>
      </c>
      <c r="R26" s="198">
        <f t="shared" ca="1" si="3"/>
        <v>4</v>
      </c>
      <c r="U26" cm="1">
        <f t="array" aca="1" ref="U26" ca="1">SUMPRODUCT(SUMIF(INDIRECT("'" &amp; $AG$3:$AG$15 &amp; "'!E:E"), $B26, INDIRECT("'" &amp; $AG$3:$AG$15 &amp; "'!U:U")))</f>
        <v>9</v>
      </c>
      <c r="V26" cm="1">
        <f t="array" aca="1" ref="V26" ca="1">SUMPRODUCT(SUMIF(INDIRECT("'" &amp; $AG$3:$AG$15 &amp; "'!E:E"), $B26, INDIRECT("'" &amp; $AG$3:$AG$15 &amp; "'!V:V")))</f>
        <v>8</v>
      </c>
      <c r="W26" cm="1">
        <f t="array" aca="1" ref="W26" ca="1">SUMPRODUCT(SUMIF(INDIRECT("'" &amp; $AG$3:$AG$15 &amp; "'!E:E"), $B26, INDIRECT("'" &amp; $AG$3:$AG$15 &amp; "'!W:W")))</f>
        <v>6</v>
      </c>
      <c r="X26" s="194">
        <f t="shared" ca="1" si="1"/>
        <v>0.2608695652173913</v>
      </c>
      <c r="Y26" cm="1">
        <f t="array" aca="1" ref="Y26" ca="1">SUMPRODUCT(SUMIF(INDIRECT("'" &amp; $AG$3:$AG$15 &amp; "'!E:E"), $B26, INDIRECT("'" &amp; $AG$3:$AG$15 &amp; "'!X:X")))</f>
        <v>0</v>
      </c>
      <c r="Z26" cm="1">
        <f t="array" aca="1" ref="Z26" ca="1">SUMPRODUCT(SUMIF(INDIRECT("'" &amp; $AG$3:$AG$15 &amp; "'!E:E"), $B26, INDIRECT("'" &amp; $AG$3:$AG$15 &amp; "'!Y:Y")))</f>
        <v>6</v>
      </c>
      <c r="AB26" cm="1">
        <f t="array" aca="1" ref="AB26" ca="1">SUMPRODUCT(SUMIF(INDIRECT("'" &amp; $AG$3:$AG$15 &amp; "'!E:E"), $B26, INDIRECT("'" &amp; $AG$3:$AG$15 &amp; "'!O:O")))</f>
        <v>4</v>
      </c>
    </row>
    <row r="27" spans="1:28" ht="15.75">
      <c r="A27" s="218" t="s">
        <v>78</v>
      </c>
      <c r="B27" s="208">
        <v>619537</v>
      </c>
      <c r="C27" s="209">
        <v>0.125</v>
      </c>
      <c r="D27" s="1"/>
      <c r="F27" s="195">
        <f t="shared" ca="1" si="3"/>
        <v>1</v>
      </c>
      <c r="G27" s="196">
        <f t="shared" ca="1" si="3"/>
        <v>0</v>
      </c>
      <c r="H27" s="197">
        <f t="shared" ca="1" si="3"/>
        <v>0</v>
      </c>
      <c r="I27" s="197">
        <f t="shared" ca="1" si="3"/>
        <v>1</v>
      </c>
      <c r="J27" s="195">
        <f t="shared" ca="1" si="3"/>
        <v>1</v>
      </c>
      <c r="K27" s="196">
        <f t="shared" ca="1" si="3"/>
        <v>0</v>
      </c>
      <c r="L27" s="197">
        <f t="shared" ca="1" si="3"/>
        <v>1</v>
      </c>
      <c r="M27" s="197">
        <f t="shared" ca="1" si="3"/>
        <v>0</v>
      </c>
      <c r="N27" s="195">
        <f t="shared" ca="1" si="3"/>
        <v>1</v>
      </c>
      <c r="O27" s="196">
        <f t="shared" ca="1" si="3"/>
        <v>0</v>
      </c>
      <c r="P27" s="197">
        <f t="shared" ca="1" si="3"/>
        <v>1</v>
      </c>
      <c r="Q27" s="197">
        <f t="shared" ca="1" si="3"/>
        <v>0</v>
      </c>
      <c r="R27" s="198">
        <f t="shared" ca="1" si="3"/>
        <v>1</v>
      </c>
      <c r="U27" cm="1">
        <f t="array" aca="1" ref="U27" ca="1">SUMPRODUCT(SUMIF(INDIRECT("'" &amp; $AG$3:$AG$15 &amp; "'!E:E"), $B27, INDIRECT("'" &amp; $AG$3:$AG$15 &amp; "'!U:U")))</f>
        <v>2</v>
      </c>
      <c r="V27" cm="1">
        <f t="array" aca="1" ref="V27" ca="1">SUMPRODUCT(SUMIF(INDIRECT("'" &amp; $AG$3:$AG$15 &amp; "'!E:E"), $B27, INDIRECT("'" &amp; $AG$3:$AG$15 &amp; "'!V:V")))</f>
        <v>3</v>
      </c>
      <c r="W27" cm="1">
        <f t="array" aca="1" ref="W27" ca="1">SUMPRODUCT(SUMIF(INDIRECT("'" &amp; $AG$3:$AG$15 &amp; "'!E:E"), $B27, INDIRECT("'" &amp; $AG$3:$AG$15 &amp; "'!W:W")))</f>
        <v>0</v>
      </c>
      <c r="X27" s="194">
        <f t="shared" ref="X27:X30" ca="1" si="4">W27/(V27+U27+W27)</f>
        <v>0</v>
      </c>
      <c r="Y27" cm="1">
        <f t="array" aca="1" ref="Y27" ca="1">SUMPRODUCT(SUMIF(INDIRECT("'" &amp; $AG$3:$AG$15 &amp; "'!E:E"), $B27, INDIRECT("'" &amp; $AG$3:$AG$15 &amp; "'!X:X")))</f>
        <v>0</v>
      </c>
      <c r="Z27" cm="1">
        <f t="array" aca="1" ref="Z27" ca="1">SUMPRODUCT(SUMIF(INDIRECT("'" &amp; $AG$3:$AG$15 &amp; "'!E:E"), $B27, INDIRECT("'" &amp; $AG$3:$AG$15 &amp; "'!Y:Y")))</f>
        <v>2</v>
      </c>
      <c r="AB27" cm="1">
        <f t="array" aca="1" ref="AB27" ca="1">SUMPRODUCT(SUMIF(INDIRECT("'" &amp; $AG$3:$AG$15 &amp; "'!E:E"), $B27, INDIRECT("'" &amp; $AG$3:$AG$15 &amp; "'!O:O")))</f>
        <v>1</v>
      </c>
    </row>
    <row r="28" spans="1:28" ht="15.75">
      <c r="A28" s="219" t="s">
        <v>79</v>
      </c>
      <c r="B28" s="208">
        <v>621953</v>
      </c>
      <c r="C28" s="209">
        <v>0.125</v>
      </c>
      <c r="D28" s="1"/>
      <c r="F28" s="195">
        <f t="shared" ca="1" si="3"/>
        <v>1</v>
      </c>
      <c r="G28" s="196">
        <f t="shared" ca="1" si="3"/>
        <v>0</v>
      </c>
      <c r="H28" s="197">
        <f t="shared" ca="1" si="3"/>
        <v>1</v>
      </c>
      <c r="I28" s="197">
        <f t="shared" ca="1" si="3"/>
        <v>0</v>
      </c>
      <c r="J28" s="200">
        <f t="shared" ca="1" si="3"/>
        <v>1</v>
      </c>
      <c r="K28" s="201">
        <f t="shared" ca="1" si="3"/>
        <v>0</v>
      </c>
      <c r="L28" s="197">
        <f t="shared" ca="1" si="3"/>
        <v>0</v>
      </c>
      <c r="M28" s="197">
        <f t="shared" ca="1" si="3"/>
        <v>1</v>
      </c>
      <c r="N28" s="195">
        <f t="shared" ca="1" si="3"/>
        <v>0</v>
      </c>
      <c r="O28" s="196">
        <f t="shared" ca="1" si="3"/>
        <v>1</v>
      </c>
      <c r="P28" s="197">
        <f t="shared" ca="1" si="3"/>
        <v>1</v>
      </c>
      <c r="Q28" s="197">
        <f t="shared" ca="1" si="3"/>
        <v>0</v>
      </c>
      <c r="R28" s="198">
        <f t="shared" ca="1" si="3"/>
        <v>1</v>
      </c>
      <c r="U28" cm="1">
        <f t="array" aca="1" ref="U28" ca="1">SUMPRODUCT(SUMIF(INDIRECT("'" &amp; $AG$3:$AG$15 &amp; "'!E:E"), $B28, INDIRECT("'" &amp; $AG$3:$AG$15 &amp; "'!U:U")))</f>
        <v>2</v>
      </c>
      <c r="V28" cm="1">
        <f t="array" aca="1" ref="V28" ca="1">SUMPRODUCT(SUMIF(INDIRECT("'" &amp; $AG$3:$AG$15 &amp; "'!E:E"), $B28, INDIRECT("'" &amp; $AG$3:$AG$15 &amp; "'!V:V")))</f>
        <v>2</v>
      </c>
      <c r="W28" cm="1">
        <f t="array" aca="1" ref="W28" ca="1">SUMPRODUCT(SUMIF(INDIRECT("'" &amp; $AG$3:$AG$15 &amp; "'!E:E"), $B28, INDIRECT("'" &amp; $AG$3:$AG$15 &amp; "'!W:W")))</f>
        <v>0</v>
      </c>
      <c r="X28" s="194">
        <f t="shared" ca="1" si="4"/>
        <v>0</v>
      </c>
      <c r="Y28" cm="1">
        <f t="array" aca="1" ref="Y28" ca="1">SUMPRODUCT(SUMIF(INDIRECT("'" &amp; $AG$3:$AG$15 &amp; "'!E:E"), $B28, INDIRECT("'" &amp; $AG$3:$AG$15 &amp; "'!X:X")))</f>
        <v>0</v>
      </c>
      <c r="Z28" cm="1">
        <f t="array" aca="1" ref="Z28" ca="1">SUMPRODUCT(SUMIF(INDIRECT("'" &amp; $AG$3:$AG$15 &amp; "'!E:E"), $B28, INDIRECT("'" &amp; $AG$3:$AG$15 &amp; "'!Y:Y")))</f>
        <v>7</v>
      </c>
      <c r="AB28" cm="1">
        <f t="array" aca="1" ref="AB28" ca="1">SUMPRODUCT(SUMIF(INDIRECT("'" &amp; $AG$3:$AG$15 &amp; "'!E:E"), $B28, INDIRECT("'" &amp; $AG$3:$AG$15 &amp; "'!O:O")))</f>
        <v>0</v>
      </c>
    </row>
    <row r="29" spans="1:28" ht="15.75">
      <c r="A29" s="220" t="s">
        <v>80</v>
      </c>
      <c r="B29" s="221">
        <v>614504</v>
      </c>
      <c r="C29" s="222">
        <v>0.125</v>
      </c>
      <c r="D29" s="1"/>
      <c r="F29" s="195">
        <f ca="1">VLOOKUP($B29, INDIRECT("'" &amp; F$1 &amp; "'!E:X"), 12, FALSE)</f>
        <v>1</v>
      </c>
      <c r="G29" s="196">
        <f t="shared" ca="1" si="3"/>
        <v>0</v>
      </c>
      <c r="H29" s="197">
        <f t="shared" ca="1" si="3"/>
        <v>1</v>
      </c>
      <c r="I29" s="197">
        <f t="shared" ca="1" si="3"/>
        <v>0</v>
      </c>
      <c r="J29" s="195">
        <f t="shared" ca="1" si="3"/>
        <v>1</v>
      </c>
      <c r="K29" s="196">
        <f t="shared" ca="1" si="3"/>
        <v>0</v>
      </c>
      <c r="L29" s="197">
        <f t="shared" ca="1" si="3"/>
        <v>1</v>
      </c>
      <c r="M29" s="197">
        <f t="shared" ca="1" si="3"/>
        <v>0</v>
      </c>
      <c r="N29" s="195">
        <f t="shared" ca="1" si="3"/>
        <v>1</v>
      </c>
      <c r="O29" s="196">
        <f t="shared" ca="1" si="3"/>
        <v>0</v>
      </c>
      <c r="P29" s="197">
        <f t="shared" ca="1" si="3"/>
        <v>1</v>
      </c>
      <c r="Q29" s="197">
        <f t="shared" ca="1" si="3"/>
        <v>0</v>
      </c>
      <c r="R29" s="198">
        <f t="shared" ca="1" si="3"/>
        <v>1</v>
      </c>
      <c r="U29" cm="1">
        <f t="array" aca="1" ref="U29" ca="1">SUMPRODUCT(SUMIF(INDIRECT("'" &amp; $AG$3:$AG$15 &amp; "'!E:E"), $B29, INDIRECT("'" &amp; $AG$3:$AG$15 &amp; "'!U:U")))</f>
        <v>2</v>
      </c>
      <c r="V29" cm="1">
        <f t="array" aca="1" ref="V29" ca="1">SUMPRODUCT(SUMIF(INDIRECT("'" &amp; $AG$3:$AG$15 &amp; "'!E:E"), $B29, INDIRECT("'" &amp; $AG$3:$AG$15 &amp; "'!V:V")))</f>
        <v>2</v>
      </c>
      <c r="W29" cm="1">
        <f t="array" aca="1" ref="W29" ca="1">SUMPRODUCT(SUMIF(INDIRECT("'" &amp; $AG$3:$AG$15 &amp; "'!E:E"), $B29, INDIRECT("'" &amp; $AG$3:$AG$15 &amp; "'!W:W")))</f>
        <v>2</v>
      </c>
      <c r="X29" s="194">
        <f t="shared" ca="1" si="4"/>
        <v>0.33333333333333331</v>
      </c>
      <c r="Y29" cm="1">
        <f t="array" aca="1" ref="Y29" ca="1">SUMPRODUCT(SUMIF(INDIRECT("'" &amp; $AG$3:$AG$15 &amp; "'!E:E"), $B29, INDIRECT("'" &amp; $AG$3:$AG$15 &amp; "'!X:X")))</f>
        <v>0</v>
      </c>
      <c r="Z29" cm="1">
        <f t="array" aca="1" ref="Z29" ca="1">SUMPRODUCT(SUMIF(INDIRECT("'" &amp; $AG$3:$AG$15 &amp; "'!E:E"), $B29, INDIRECT("'" &amp; $AG$3:$AG$15 &amp; "'!Y:Y")))</f>
        <v>1</v>
      </c>
      <c r="AB29" cm="1">
        <f t="array" aca="1" ref="AB29" ca="1">SUMPRODUCT(SUMIF(INDIRECT("'" &amp; $AG$3:$AG$15 &amp; "'!E:E"), $B29, INDIRECT("'" &amp; $AG$3:$AG$15 &amp; "'!O:O")))</f>
        <v>0</v>
      </c>
    </row>
    <row r="30" spans="1:28" ht="15.75">
      <c r="A30" s="211" t="s">
        <v>81</v>
      </c>
      <c r="B30" s="208" t="s">
        <v>149</v>
      </c>
      <c r="C30" s="209"/>
      <c r="D30" s="1"/>
      <c r="F30" s="195">
        <f ca="1">VLOOKUP($B30, INDIRECT("'" &amp; F$1 &amp; "'!E:X"), 12, FALSE)</f>
        <v>0</v>
      </c>
      <c r="G30" s="196">
        <f t="shared" ca="1" si="3"/>
        <v>0</v>
      </c>
      <c r="H30" s="197">
        <f t="shared" ca="1" si="3"/>
        <v>0</v>
      </c>
      <c r="I30" s="197">
        <f t="shared" ca="1" si="3"/>
        <v>0</v>
      </c>
      <c r="J30" s="195">
        <f t="shared" ca="1" si="3"/>
        <v>0</v>
      </c>
      <c r="K30" s="260">
        <f ca="1">VLOOKUP($B30, INDIRECT("'" &amp; K$1 &amp; "'!E:X"), 12, FALSE)</f>
        <v>0</v>
      </c>
      <c r="L30" s="261">
        <f ca="1">VLOOKUP($B30, INDIRECT("'" &amp; L$1 &amp; "'!E:X"), 12, FALSE)</f>
        <v>0</v>
      </c>
      <c r="M30" s="197">
        <f t="shared" ca="1" si="3"/>
        <v>0</v>
      </c>
      <c r="N30" s="195">
        <f t="shared" ca="1" si="3"/>
        <v>0</v>
      </c>
      <c r="O30" s="196">
        <f t="shared" ca="1" si="3"/>
        <v>0</v>
      </c>
      <c r="P30" s="197">
        <f t="shared" ca="1" si="3"/>
        <v>0</v>
      </c>
      <c r="Q30" s="197">
        <f t="shared" ca="1" si="3"/>
        <v>0</v>
      </c>
      <c r="R30" s="198">
        <f t="shared" ca="1" si="3"/>
        <v>0</v>
      </c>
      <c r="U30" cm="1">
        <f t="array" aca="1" ref="U30" ca="1">SUMPRODUCT(SUMIF(INDIRECT("'" &amp; $AG$3:$AG$15 &amp; "'!E:E"), $B30, INDIRECT("'" &amp; $AG$3:$AG$15 &amp; "'!U:U")))</f>
        <v>0</v>
      </c>
      <c r="V30" cm="1">
        <f t="array" aca="1" ref="V30" ca="1">SUMPRODUCT(SUMIF(INDIRECT("'" &amp; $AG$3:$AG$15 &amp; "'!E:E"), $B30, INDIRECT("'" &amp; $AG$3:$AG$15 &amp; "'!V:V")))</f>
        <v>0</v>
      </c>
      <c r="W30" cm="1">
        <f t="array" aca="1" ref="W30" ca="1">SUMPRODUCT(SUMIF(INDIRECT("'" &amp; $AG$3:$AG$15 &amp; "'!E:E"), $B30, INDIRECT("'" &amp; $AG$3:$AG$15 &amp; "'!W:W")))</f>
        <v>0</v>
      </c>
      <c r="X30" s="194" t="e">
        <f t="shared" ca="1" si="4"/>
        <v>#DIV/0!</v>
      </c>
      <c r="Y30" cm="1">
        <f t="array" aca="1" ref="Y30" ca="1">SUMPRODUCT(SUMIF(INDIRECT("'" &amp; $AG$3:$AG$15 &amp; "'!E:E"), $B30, INDIRECT("'" &amp; $AG$3:$AG$15 &amp; "'!X:X")))</f>
        <v>0</v>
      </c>
      <c r="Z30" cm="1">
        <f t="array" aca="1" ref="Z30" ca="1">SUMPRODUCT(SUMIF(INDIRECT("'" &amp; $AG$3:$AG$15 &amp; "'!E:E"), $B30, INDIRECT("'" &amp; $AG$3:$AG$15 &amp; "'!Y:Y")))</f>
        <v>0</v>
      </c>
      <c r="AB30" cm="1">
        <f t="array" aca="1" ref="AB30" ca="1">SUMPRODUCT(SUMIF(INDIRECT("'" &amp; $AG$3:$AG$15 &amp; "'!E:E"), $B30, INDIRECT("'" &amp; $AG$3:$AG$15 &amp; "'!O:O")))</f>
        <v>0</v>
      </c>
    </row>
    <row r="31" spans="1:28" ht="16.5" thickBot="1">
      <c r="A31" s="223"/>
      <c r="B31" s="224"/>
      <c r="C31" s="225"/>
      <c r="D31" s="1"/>
      <c r="F31" s="195"/>
      <c r="G31" s="196"/>
      <c r="H31" s="197"/>
      <c r="I31" s="197"/>
      <c r="J31" s="195"/>
      <c r="K31" s="196"/>
      <c r="L31" s="197"/>
      <c r="M31" s="197"/>
      <c r="N31" s="195"/>
      <c r="O31" s="196"/>
      <c r="P31" s="197"/>
      <c r="Q31" s="197"/>
      <c r="R31" s="198"/>
    </row>
    <row r="32" spans="1:28" ht="15.75">
      <c r="A32" s="113"/>
      <c r="B32" s="3"/>
      <c r="E32" t="s">
        <v>207</v>
      </c>
      <c r="F32" cm="1">
        <f t="array" aca="1" ref="F32" ca="1">INDIRECT("'" &amp; F$1 &amp; "'!O51")</f>
        <v>0</v>
      </c>
      <c r="G32" cm="1">
        <f t="array" aca="1" ref="G32" ca="1">INDIRECT("'" &amp; G$1 &amp; "'!O51")</f>
        <v>0</v>
      </c>
      <c r="H32" s="295" cm="1">
        <f t="array" aca="1" ref="H32" ca="1">INDIRECT("'" &amp; H$1 &amp; "'!O51")</f>
        <v>0</v>
      </c>
      <c r="I32" s="296" cm="1">
        <f t="array" aca="1" ref="I32" ca="1">INDIRECT("'" &amp; I$1 &amp; "'!O51")</f>
        <v>0</v>
      </c>
      <c r="J32" cm="1">
        <f t="array" aca="1" ref="J32" ca="1">INDIRECT("'" &amp; J$1 &amp; "'!O51")</f>
        <v>0</v>
      </c>
      <c r="K32" cm="1">
        <f t="array" aca="1" ref="K32" ca="1">INDIRECT("'" &amp; K$1 &amp; "'!O51")</f>
        <v>0</v>
      </c>
      <c r="L32" s="295" cm="1">
        <f t="array" aca="1" ref="L32" ca="1">INDIRECT("'" &amp; L$1 &amp; "'!O51")</f>
        <v>0</v>
      </c>
      <c r="M32" s="296" cm="1">
        <f t="array" aca="1" ref="M32" ca="1">INDIRECT("'" &amp; M$1 &amp; "'!O51")</f>
        <v>0</v>
      </c>
      <c r="N32" cm="1">
        <f t="array" aca="1" ref="N32" ca="1">INDIRECT("'" &amp; N$1 &amp; "'!O51")</f>
        <v>0</v>
      </c>
      <c r="O32" cm="1">
        <f t="array" aca="1" ref="O32" ca="1">INDIRECT("'" &amp; O$1 &amp; "'!O51")</f>
        <v>0</v>
      </c>
      <c r="P32" s="295" cm="1">
        <f t="array" aca="1" ref="P32" ca="1">INDIRECT("'" &amp; P$1 &amp; "'!O51")</f>
        <v>0</v>
      </c>
      <c r="Q32" s="296" cm="1">
        <f t="array" aca="1" ref="Q32" ca="1">INDIRECT("'" &amp; Q$1 &amp; "'!O51")</f>
        <v>0</v>
      </c>
      <c r="R32" cm="1">
        <f t="array" aca="1" ref="R32" ca="1">INDIRECT("'" &amp; R$1 &amp; "'!O51")</f>
        <v>0</v>
      </c>
      <c r="T32">
        <f ca="1">SUM(F32:R32)</f>
        <v>0</v>
      </c>
      <c r="AB32">
        <f ca="1">SUM(AB3:AB30)</f>
        <v>151</v>
      </c>
    </row>
    <row r="33" spans="1:18" ht="15.75">
      <c r="A33" s="26" t="s">
        <v>86</v>
      </c>
      <c r="B33" s="32"/>
      <c r="H33" s="187"/>
      <c r="I33" s="188"/>
      <c r="L33" s="187"/>
      <c r="M33" s="188"/>
      <c r="P33" s="187"/>
      <c r="Q33" s="188"/>
    </row>
    <row r="34" spans="1:18" ht="15.75">
      <c r="A34" s="123" t="s">
        <v>92</v>
      </c>
      <c r="B34" s="32">
        <v>634905</v>
      </c>
      <c r="C34" s="32">
        <v>1</v>
      </c>
      <c r="F34" s="197">
        <f t="shared" ref="F34:R43" ca="1" si="5">VLOOKUP($B34, INDIRECT("'" &amp; F$1 &amp; "'!E:X"), 13, FALSE)</f>
        <v>3</v>
      </c>
      <c r="G34">
        <f t="shared" ca="1" si="5"/>
        <v>3</v>
      </c>
      <c r="H34" s="187">
        <f t="shared" ca="1" si="5"/>
        <v>3</v>
      </c>
      <c r="I34" s="188">
        <f t="shared" ca="1" si="5"/>
        <v>3</v>
      </c>
      <c r="J34">
        <f t="shared" ca="1" si="5"/>
        <v>3</v>
      </c>
      <c r="K34">
        <f t="shared" ca="1" si="5"/>
        <v>3</v>
      </c>
      <c r="L34" s="187">
        <f t="shared" ca="1" si="5"/>
        <v>3</v>
      </c>
      <c r="M34" s="188">
        <f t="shared" ca="1" si="5"/>
        <v>3</v>
      </c>
      <c r="N34">
        <f t="shared" ca="1" si="5"/>
        <v>3</v>
      </c>
      <c r="O34">
        <f t="shared" ca="1" si="5"/>
        <v>3</v>
      </c>
      <c r="P34" s="187">
        <f t="shared" ca="1" si="5"/>
        <v>3</v>
      </c>
      <c r="Q34" s="188">
        <f t="shared" ca="1" si="5"/>
        <v>3</v>
      </c>
      <c r="R34">
        <f t="shared" ca="1" si="5"/>
        <v>3</v>
      </c>
    </row>
    <row r="35" spans="1:18" ht="15.75">
      <c r="A35" s="86" t="s">
        <v>93</v>
      </c>
      <c r="B35" s="32">
        <v>704751</v>
      </c>
      <c r="C35" s="32"/>
      <c r="F35" s="197">
        <f t="shared" ca="1" si="5"/>
        <v>4</v>
      </c>
      <c r="G35">
        <f t="shared" ca="1" si="5"/>
        <v>4</v>
      </c>
      <c r="H35" s="187">
        <f t="shared" ca="1" si="5"/>
        <v>4</v>
      </c>
      <c r="I35" s="188">
        <f t="shared" ca="1" si="5"/>
        <v>0</v>
      </c>
      <c r="J35">
        <f t="shared" ca="1" si="5"/>
        <v>4</v>
      </c>
      <c r="K35">
        <f t="shared" ca="1" si="5"/>
        <v>4</v>
      </c>
      <c r="L35" s="187">
        <f t="shared" ca="1" si="5"/>
        <v>2</v>
      </c>
      <c r="M35" s="188">
        <f t="shared" ca="1" si="5"/>
        <v>3</v>
      </c>
      <c r="N35">
        <f t="shared" ca="1" si="5"/>
        <v>0</v>
      </c>
      <c r="O35">
        <f t="shared" ca="1" si="5"/>
        <v>4</v>
      </c>
      <c r="P35" s="187">
        <f t="shared" ca="1" si="5"/>
        <v>4</v>
      </c>
      <c r="Q35" s="188">
        <f t="shared" ca="1" si="5"/>
        <v>4</v>
      </c>
      <c r="R35">
        <f t="shared" ca="1" si="5"/>
        <v>4</v>
      </c>
    </row>
    <row r="36" spans="1:18" ht="15.75">
      <c r="A36" s="85" t="s">
        <v>94</v>
      </c>
      <c r="B36" s="32">
        <v>637219</v>
      </c>
      <c r="C36" s="208"/>
      <c r="F36" s="197">
        <f t="shared" ca="1" si="5"/>
        <v>3</v>
      </c>
      <c r="G36">
        <f t="shared" ca="1" si="5"/>
        <v>4</v>
      </c>
      <c r="H36" s="187">
        <f t="shared" ca="1" si="5"/>
        <v>4</v>
      </c>
      <c r="I36" s="188">
        <f t="shared" ca="1" si="5"/>
        <v>4</v>
      </c>
      <c r="J36">
        <f t="shared" ca="1" si="5"/>
        <v>4</v>
      </c>
      <c r="K36">
        <f t="shared" ca="1" si="5"/>
        <v>4</v>
      </c>
      <c r="L36" s="187">
        <f t="shared" ca="1" si="5"/>
        <v>4</v>
      </c>
      <c r="M36" s="188">
        <f t="shared" ca="1" si="5"/>
        <v>0</v>
      </c>
      <c r="N36">
        <f t="shared" ca="1" si="5"/>
        <v>0</v>
      </c>
      <c r="O36">
        <f t="shared" ca="1" si="5"/>
        <v>4</v>
      </c>
      <c r="P36" s="187">
        <f t="shared" ca="1" si="5"/>
        <v>4</v>
      </c>
      <c r="Q36" s="188">
        <f t="shared" ca="1" si="5"/>
        <v>4</v>
      </c>
      <c r="R36">
        <f t="shared" ca="1" si="5"/>
        <v>4</v>
      </c>
    </row>
    <row r="37" spans="1:18" ht="15.75">
      <c r="A37" s="86"/>
      <c r="B37" s="208"/>
      <c r="C37" s="208"/>
      <c r="F37" s="197"/>
      <c r="H37" s="187"/>
      <c r="I37" s="188"/>
      <c r="L37" s="187"/>
      <c r="M37" s="188"/>
      <c r="P37" s="187"/>
      <c r="Q37" s="188"/>
    </row>
    <row r="38" spans="1:18" ht="15" customHeight="1">
      <c r="A38" s="85"/>
      <c r="B38" s="32"/>
      <c r="C38" s="32"/>
      <c r="F38" s="197"/>
      <c r="H38" s="187"/>
      <c r="I38" s="188"/>
      <c r="L38" s="187"/>
      <c r="M38" s="188"/>
      <c r="P38" s="187"/>
      <c r="Q38" s="188"/>
    </row>
    <row r="39" spans="1:18" ht="15.75" customHeight="1" thickBot="1">
      <c r="A39" s="86"/>
      <c r="B39" s="32"/>
      <c r="C39" s="32"/>
      <c r="F39" s="197"/>
      <c r="H39" s="187"/>
      <c r="I39" s="188"/>
      <c r="L39" s="187"/>
      <c r="M39" s="188"/>
      <c r="P39" s="187"/>
      <c r="Q39" s="188"/>
    </row>
    <row r="40" spans="1:18" ht="15.75" customHeight="1" thickBot="1">
      <c r="A40" s="171" t="s">
        <v>97</v>
      </c>
      <c r="B40" s="32"/>
      <c r="C40" s="32"/>
      <c r="F40" s="197"/>
      <c r="H40" s="187"/>
      <c r="I40" s="188"/>
      <c r="L40" s="187"/>
      <c r="M40" s="188"/>
      <c r="P40" s="187"/>
      <c r="Q40" s="188"/>
    </row>
    <row r="41" spans="1:18" ht="15" customHeight="1">
      <c r="A41" s="262" t="s">
        <v>99</v>
      </c>
      <c r="B41" s="32">
        <v>638531</v>
      </c>
      <c r="C41" s="32"/>
      <c r="F41" s="197">
        <f t="shared" ca="1" si="5"/>
        <v>4</v>
      </c>
      <c r="G41">
        <f t="shared" ca="1" si="5"/>
        <v>4</v>
      </c>
      <c r="H41" s="187">
        <f t="shared" ca="1" si="5"/>
        <v>2</v>
      </c>
      <c r="I41" s="188">
        <f t="shared" ca="1" si="5"/>
        <v>4</v>
      </c>
      <c r="J41">
        <f t="shared" ca="1" si="5"/>
        <v>4</v>
      </c>
      <c r="K41">
        <f t="shared" ca="1" si="5"/>
        <v>4</v>
      </c>
      <c r="L41" s="187">
        <f t="shared" ca="1" si="5"/>
        <v>4</v>
      </c>
      <c r="M41" s="188">
        <f t="shared" ca="1" si="5"/>
        <v>4</v>
      </c>
      <c r="N41">
        <f t="shared" ca="1" si="5"/>
        <v>4</v>
      </c>
      <c r="O41">
        <f t="shared" ca="1" si="5"/>
        <v>4</v>
      </c>
      <c r="P41" s="187">
        <f t="shared" ca="1" si="5"/>
        <v>0</v>
      </c>
      <c r="Q41" s="188">
        <f t="shared" ca="1" si="5"/>
        <v>0</v>
      </c>
      <c r="R41">
        <f t="shared" ca="1" si="5"/>
        <v>0</v>
      </c>
    </row>
    <row r="42" spans="1:18" ht="15.75" customHeight="1">
      <c r="A42" s="262" t="s">
        <v>101</v>
      </c>
      <c r="B42" s="32">
        <v>631715</v>
      </c>
      <c r="C42" s="32"/>
      <c r="F42" s="197">
        <f t="shared" ca="1" si="5"/>
        <v>4</v>
      </c>
      <c r="G42">
        <f t="shared" ca="1" si="5"/>
        <v>4</v>
      </c>
      <c r="H42" s="187">
        <f t="shared" ca="1" si="5"/>
        <v>4</v>
      </c>
      <c r="I42" s="188">
        <f t="shared" ca="1" si="5"/>
        <v>4</v>
      </c>
      <c r="J42">
        <f t="shared" ca="1" si="5"/>
        <v>4</v>
      </c>
      <c r="K42">
        <f t="shared" ca="1" si="5"/>
        <v>3.9999999999999991</v>
      </c>
      <c r="L42" s="187">
        <f t="shared" ca="1" si="5"/>
        <v>4</v>
      </c>
      <c r="M42" s="188">
        <f t="shared" ca="1" si="5"/>
        <v>0</v>
      </c>
      <c r="N42">
        <f t="shared" ca="1" si="5"/>
        <v>0</v>
      </c>
      <c r="O42">
        <f t="shared" ca="1" si="5"/>
        <v>0</v>
      </c>
      <c r="P42" s="187">
        <f t="shared" ca="1" si="5"/>
        <v>4</v>
      </c>
      <c r="Q42" s="188">
        <f t="shared" ca="1" si="5"/>
        <v>4</v>
      </c>
      <c r="R42">
        <f t="shared" ca="1" si="5"/>
        <v>4</v>
      </c>
    </row>
    <row r="43" spans="1:18" ht="15" customHeight="1">
      <c r="A43" s="262" t="s">
        <v>103</v>
      </c>
      <c r="B43" s="32">
        <v>703719</v>
      </c>
      <c r="C43" s="32"/>
      <c r="F43" s="197">
        <f t="shared" ca="1" si="5"/>
        <v>3</v>
      </c>
      <c r="G43">
        <f t="shared" ca="1" si="5"/>
        <v>2.9999999999999991</v>
      </c>
      <c r="H43" s="187">
        <f t="shared" ca="1" si="5"/>
        <v>3</v>
      </c>
      <c r="I43" s="188">
        <f t="shared" ca="1" si="5"/>
        <v>4</v>
      </c>
      <c r="J43">
        <f t="shared" ca="1" si="5"/>
        <v>1.9999999999999996</v>
      </c>
      <c r="K43">
        <f t="shared" ca="1" si="5"/>
        <v>3</v>
      </c>
      <c r="L43" s="187">
        <f t="shared" ca="1" si="5"/>
        <v>3</v>
      </c>
      <c r="M43" s="188">
        <f t="shared" ca="1" si="5"/>
        <v>3</v>
      </c>
      <c r="N43">
        <f t="shared" ca="1" si="5"/>
        <v>2.9999999999999996</v>
      </c>
      <c r="O43">
        <f t="shared" ca="1" si="5"/>
        <v>3</v>
      </c>
      <c r="P43" s="187">
        <f t="shared" ca="1" si="5"/>
        <v>2.9999999999999991</v>
      </c>
      <c r="Q43" s="188">
        <f t="shared" ca="1" si="5"/>
        <v>3</v>
      </c>
      <c r="R43">
        <f t="shared" ca="1" si="5"/>
        <v>3</v>
      </c>
    </row>
    <row r="44" spans="1:18" ht="15.75" customHeight="1">
      <c r="A44" s="262" t="s">
        <v>104</v>
      </c>
      <c r="B44" s="32">
        <v>637791</v>
      </c>
      <c r="C44" s="32"/>
      <c r="F44" s="197">
        <f t="shared" ref="F44:R53" ca="1" si="6">VLOOKUP($B44, INDIRECT("'" &amp; F$1 &amp; "'!E:X"), 13, FALSE)</f>
        <v>3</v>
      </c>
      <c r="G44">
        <f t="shared" ca="1" si="6"/>
        <v>3</v>
      </c>
      <c r="H44" s="187">
        <f t="shared" ca="1" si="6"/>
        <v>3</v>
      </c>
      <c r="I44" s="188">
        <f t="shared" ca="1" si="6"/>
        <v>0</v>
      </c>
      <c r="J44">
        <f t="shared" ca="1" si="6"/>
        <v>0</v>
      </c>
      <c r="K44">
        <f t="shared" ca="1" si="6"/>
        <v>3</v>
      </c>
      <c r="L44" s="187">
        <f t="shared" ca="1" si="6"/>
        <v>3</v>
      </c>
      <c r="M44" s="188">
        <f t="shared" ca="1" si="6"/>
        <v>2.9999999999999991</v>
      </c>
      <c r="N44">
        <f t="shared" ca="1" si="6"/>
        <v>3</v>
      </c>
      <c r="O44">
        <f t="shared" ca="1" si="6"/>
        <v>2.9999999999999991</v>
      </c>
      <c r="P44" s="187">
        <f t="shared" ca="1" si="6"/>
        <v>3</v>
      </c>
      <c r="Q44" s="188">
        <f t="shared" ca="1" si="6"/>
        <v>2.9999999999999991</v>
      </c>
      <c r="R44">
        <f t="shared" ca="1" si="6"/>
        <v>3</v>
      </c>
    </row>
    <row r="45" spans="1:18">
      <c r="A45" s="262" t="s">
        <v>105</v>
      </c>
      <c r="B45" s="32">
        <v>652867</v>
      </c>
      <c r="C45" s="32"/>
      <c r="F45" s="197">
        <f t="shared" ca="1" si="6"/>
        <v>4</v>
      </c>
      <c r="G45">
        <f t="shared" ca="1" si="6"/>
        <v>5</v>
      </c>
      <c r="H45" s="187">
        <f t="shared" ca="1" si="6"/>
        <v>2.9999999999999991</v>
      </c>
      <c r="I45" s="188">
        <f t="shared" ca="1" si="6"/>
        <v>0</v>
      </c>
      <c r="J45">
        <f t="shared" ca="1" si="6"/>
        <v>0</v>
      </c>
      <c r="K45">
        <f t="shared" ca="1" si="6"/>
        <v>4</v>
      </c>
      <c r="L45" s="187">
        <f t="shared" ca="1" si="6"/>
        <v>4</v>
      </c>
      <c r="M45" s="188">
        <f t="shared" ca="1" si="6"/>
        <v>4</v>
      </c>
      <c r="N45">
        <f t="shared" ca="1" si="6"/>
        <v>4</v>
      </c>
      <c r="O45">
        <f t="shared" ca="1" si="6"/>
        <v>3.9999999999999991</v>
      </c>
      <c r="P45" s="187">
        <f t="shared" ca="1" si="6"/>
        <v>4</v>
      </c>
      <c r="Q45" s="188">
        <f t="shared" ca="1" si="6"/>
        <v>4</v>
      </c>
      <c r="R45">
        <f t="shared" ca="1" si="6"/>
        <v>4</v>
      </c>
    </row>
    <row r="46" spans="1:18">
      <c r="A46" s="262" t="s">
        <v>106</v>
      </c>
      <c r="B46" s="32">
        <v>611551</v>
      </c>
      <c r="C46" s="32"/>
      <c r="F46" s="197">
        <f t="shared" ca="1" si="6"/>
        <v>3</v>
      </c>
      <c r="G46">
        <f t="shared" ca="1" si="6"/>
        <v>2</v>
      </c>
      <c r="H46" s="187">
        <f t="shared" ca="1" si="6"/>
        <v>1.9999999999999996</v>
      </c>
      <c r="I46" s="188">
        <f t="shared" ca="1" si="6"/>
        <v>2</v>
      </c>
      <c r="J46">
        <f t="shared" ca="1" si="6"/>
        <v>2</v>
      </c>
      <c r="K46">
        <f t="shared" ca="1" si="6"/>
        <v>1.9999999999999996</v>
      </c>
      <c r="L46" s="187">
        <f t="shared" ca="1" si="6"/>
        <v>1.9999999999999996</v>
      </c>
      <c r="M46" s="188">
        <f t="shared" ca="1" si="6"/>
        <v>2</v>
      </c>
      <c r="N46">
        <f t="shared" ca="1" si="6"/>
        <v>2</v>
      </c>
      <c r="O46">
        <f t="shared" ca="1" si="6"/>
        <v>2</v>
      </c>
      <c r="P46" s="187">
        <f t="shared" ca="1" si="6"/>
        <v>2</v>
      </c>
      <c r="Q46" s="188">
        <f t="shared" ca="1" si="6"/>
        <v>2</v>
      </c>
      <c r="R46">
        <f t="shared" ca="1" si="6"/>
        <v>2</v>
      </c>
    </row>
    <row r="47" spans="1:18">
      <c r="A47" s="262" t="s">
        <v>107</v>
      </c>
      <c r="B47" s="32">
        <v>615820</v>
      </c>
      <c r="C47" s="32"/>
      <c r="F47" s="197">
        <f t="shared" ca="1" si="6"/>
        <v>2</v>
      </c>
      <c r="G47">
        <f t="shared" ca="1" si="6"/>
        <v>1.9999999999999996</v>
      </c>
      <c r="H47" s="187">
        <f t="shared" ca="1" si="6"/>
        <v>1.9999999999999996</v>
      </c>
      <c r="I47" s="188">
        <f t="shared" ca="1" si="6"/>
        <v>1.9999999999999996</v>
      </c>
      <c r="J47">
        <f t="shared" ca="1" si="6"/>
        <v>1.9999999999999996</v>
      </c>
      <c r="K47">
        <f t="shared" ca="1" si="6"/>
        <v>1.9999999999999996</v>
      </c>
      <c r="L47" s="187">
        <f t="shared" ca="1" si="6"/>
        <v>0</v>
      </c>
      <c r="M47" s="188">
        <f t="shared" ca="1" si="6"/>
        <v>0</v>
      </c>
      <c r="N47">
        <f t="shared" ca="1" si="6"/>
        <v>1.9999999999999996</v>
      </c>
      <c r="O47">
        <f t="shared" ca="1" si="6"/>
        <v>1.9999999999999996</v>
      </c>
      <c r="P47" s="187">
        <f t="shared" ca="1" si="6"/>
        <v>1.9999999999999996</v>
      </c>
      <c r="Q47" s="188">
        <f t="shared" ca="1" si="6"/>
        <v>1.9999999999999996</v>
      </c>
      <c r="R47">
        <f t="shared" ca="1" si="6"/>
        <v>1.9999999999999996</v>
      </c>
    </row>
    <row r="48" spans="1:18">
      <c r="A48" s="262" t="s">
        <v>109</v>
      </c>
      <c r="B48" s="339">
        <v>702947</v>
      </c>
      <c r="C48" s="32"/>
      <c r="F48" s="197">
        <f t="shared" ca="1" si="6"/>
        <v>4</v>
      </c>
      <c r="G48">
        <f t="shared" ca="1" si="6"/>
        <v>4</v>
      </c>
      <c r="H48" s="187">
        <f t="shared" ca="1" si="6"/>
        <v>4</v>
      </c>
      <c r="I48" s="188">
        <f t="shared" ca="1" si="6"/>
        <v>4</v>
      </c>
      <c r="J48">
        <f t="shared" ca="1" si="6"/>
        <v>4</v>
      </c>
      <c r="K48">
        <f t="shared" ca="1" si="6"/>
        <v>4</v>
      </c>
      <c r="L48" s="187">
        <f t="shared" ca="1" si="6"/>
        <v>4</v>
      </c>
      <c r="M48" s="188">
        <f t="shared" ca="1" si="6"/>
        <v>3</v>
      </c>
      <c r="N48">
        <f t="shared" ca="1" si="6"/>
        <v>4</v>
      </c>
      <c r="O48">
        <f t="shared" ca="1" si="6"/>
        <v>3</v>
      </c>
      <c r="P48" s="187">
        <f t="shared" ca="1" si="6"/>
        <v>4</v>
      </c>
      <c r="Q48" s="188">
        <f t="shared" ca="1" si="6"/>
        <v>4</v>
      </c>
      <c r="R48">
        <f t="shared" ca="1" si="6"/>
        <v>5</v>
      </c>
    </row>
    <row r="49" spans="1:18">
      <c r="A49" s="262" t="s">
        <v>110</v>
      </c>
      <c r="B49" s="32">
        <v>654002</v>
      </c>
      <c r="C49" s="32"/>
      <c r="F49" s="197">
        <f t="shared" ca="1" si="6"/>
        <v>3.9999999999999991</v>
      </c>
      <c r="G49">
        <f t="shared" ca="1" si="6"/>
        <v>5</v>
      </c>
      <c r="H49" s="187">
        <f t="shared" ca="1" si="6"/>
        <v>4</v>
      </c>
      <c r="I49" s="188">
        <f t="shared" ca="1" si="6"/>
        <v>3</v>
      </c>
      <c r="J49">
        <f t="shared" ca="1" si="6"/>
        <v>5</v>
      </c>
      <c r="K49">
        <f t="shared" ca="1" si="6"/>
        <v>3</v>
      </c>
      <c r="L49" s="187">
        <f t="shared" ca="1" si="6"/>
        <v>4</v>
      </c>
      <c r="M49" s="188">
        <f t="shared" ca="1" si="6"/>
        <v>4</v>
      </c>
      <c r="N49">
        <f t="shared" ca="1" si="6"/>
        <v>4</v>
      </c>
      <c r="O49">
        <f t="shared" ca="1" si="6"/>
        <v>4</v>
      </c>
      <c r="P49" s="187">
        <f t="shared" ca="1" si="6"/>
        <v>4</v>
      </c>
      <c r="Q49" s="188">
        <f t="shared" ca="1" si="6"/>
        <v>4</v>
      </c>
      <c r="R49">
        <f t="shared" ca="1" si="6"/>
        <v>4</v>
      </c>
    </row>
    <row r="50" spans="1:18">
      <c r="A50" s="262" t="s">
        <v>111</v>
      </c>
      <c r="B50" s="339">
        <v>703068</v>
      </c>
      <c r="C50" s="32"/>
      <c r="F50" s="197">
        <f t="shared" ca="1" si="6"/>
        <v>3</v>
      </c>
      <c r="G50">
        <f t="shared" ca="1" si="6"/>
        <v>4</v>
      </c>
      <c r="H50" s="187">
        <f t="shared" ca="1" si="6"/>
        <v>4</v>
      </c>
      <c r="I50" s="188">
        <f t="shared" ca="1" si="6"/>
        <v>2</v>
      </c>
      <c r="J50">
        <f t="shared" ca="1" si="6"/>
        <v>4</v>
      </c>
      <c r="K50">
        <f t="shared" ca="1" si="6"/>
        <v>4</v>
      </c>
      <c r="L50" s="187">
        <f t="shared" ca="1" si="6"/>
        <v>4</v>
      </c>
      <c r="M50" s="188">
        <f t="shared" ca="1" si="6"/>
        <v>4</v>
      </c>
      <c r="N50">
        <f t="shared" ca="1" si="6"/>
        <v>4</v>
      </c>
      <c r="O50">
        <f t="shared" ca="1" si="6"/>
        <v>4</v>
      </c>
      <c r="P50" s="187">
        <f t="shared" ca="1" si="6"/>
        <v>3.9999999999999991</v>
      </c>
      <c r="Q50" s="188">
        <f t="shared" ca="1" si="6"/>
        <v>4</v>
      </c>
      <c r="R50">
        <f t="shared" ca="1" si="6"/>
        <v>3</v>
      </c>
    </row>
    <row r="51" spans="1:18">
      <c r="A51" s="262" t="s">
        <v>113</v>
      </c>
      <c r="B51" s="32">
        <v>703911</v>
      </c>
      <c r="C51" s="32"/>
      <c r="F51" s="197">
        <f t="shared" ca="1" si="6"/>
        <v>4</v>
      </c>
      <c r="G51">
        <f t="shared" ca="1" si="6"/>
        <v>4</v>
      </c>
      <c r="H51" s="187">
        <f t="shared" ca="1" si="6"/>
        <v>4</v>
      </c>
      <c r="I51" s="188">
        <f t="shared" ca="1" si="6"/>
        <v>4</v>
      </c>
      <c r="J51">
        <f t="shared" ca="1" si="6"/>
        <v>3</v>
      </c>
      <c r="K51">
        <f t="shared" ca="1" si="6"/>
        <v>5</v>
      </c>
      <c r="L51" s="187">
        <f t="shared" ca="1" si="6"/>
        <v>3.9999999999999991</v>
      </c>
      <c r="M51" s="188">
        <f t="shared" ca="1" si="6"/>
        <v>4</v>
      </c>
      <c r="N51">
        <f t="shared" ca="1" si="6"/>
        <v>4</v>
      </c>
      <c r="O51">
        <f t="shared" ca="1" si="6"/>
        <v>4</v>
      </c>
      <c r="P51" s="187">
        <f t="shared" ca="1" si="6"/>
        <v>4</v>
      </c>
      <c r="Q51" s="188">
        <f t="shared" ca="1" si="6"/>
        <v>4</v>
      </c>
      <c r="R51">
        <f t="shared" ca="1" si="6"/>
        <v>4</v>
      </c>
    </row>
    <row r="52" spans="1:18">
      <c r="A52" s="262" t="s">
        <v>114</v>
      </c>
      <c r="B52" s="32">
        <v>633936</v>
      </c>
      <c r="C52" s="32"/>
      <c r="F52" s="197">
        <f t="shared" ca="1" si="6"/>
        <v>2</v>
      </c>
      <c r="G52">
        <f t="shared" ca="1" si="6"/>
        <v>5</v>
      </c>
      <c r="H52" s="187">
        <f t="shared" ca="1" si="6"/>
        <v>5</v>
      </c>
      <c r="I52" s="188">
        <f t="shared" ca="1" si="6"/>
        <v>4</v>
      </c>
      <c r="J52">
        <f t="shared" ca="1" si="6"/>
        <v>4</v>
      </c>
      <c r="K52">
        <f t="shared" ca="1" si="6"/>
        <v>4</v>
      </c>
      <c r="L52" s="187">
        <f t="shared" ca="1" si="6"/>
        <v>4</v>
      </c>
      <c r="M52" s="188">
        <f t="shared" ca="1" si="6"/>
        <v>3.9999999999999991</v>
      </c>
      <c r="N52">
        <f t="shared" ca="1" si="6"/>
        <v>4</v>
      </c>
      <c r="O52">
        <f t="shared" ca="1" si="6"/>
        <v>4</v>
      </c>
      <c r="P52" s="187">
        <f t="shared" ca="1" si="6"/>
        <v>4</v>
      </c>
      <c r="Q52" s="188">
        <f t="shared" ca="1" si="6"/>
        <v>0.99999999999999978</v>
      </c>
      <c r="R52">
        <f t="shared" ca="1" si="6"/>
        <v>4</v>
      </c>
    </row>
    <row r="53" spans="1:18">
      <c r="A53" s="262" t="s">
        <v>115</v>
      </c>
      <c r="B53" s="32">
        <v>700755</v>
      </c>
      <c r="C53" s="32"/>
      <c r="F53" s="197">
        <f t="shared" ca="1" si="6"/>
        <v>4</v>
      </c>
      <c r="G53">
        <f t="shared" ca="1" si="6"/>
        <v>4</v>
      </c>
      <c r="H53" s="187">
        <f t="shared" ca="1" si="6"/>
        <v>1.9999999999999996</v>
      </c>
      <c r="I53" s="188">
        <f t="shared" ca="1" si="6"/>
        <v>6</v>
      </c>
      <c r="J53">
        <f t="shared" ca="1" si="6"/>
        <v>4</v>
      </c>
      <c r="K53">
        <f t="shared" ca="1" si="6"/>
        <v>4</v>
      </c>
      <c r="L53" s="187">
        <f t="shared" ca="1" si="6"/>
        <v>2</v>
      </c>
      <c r="M53" s="188">
        <f t="shared" ca="1" si="6"/>
        <v>4</v>
      </c>
      <c r="N53">
        <f t="shared" ca="1" si="6"/>
        <v>4</v>
      </c>
      <c r="O53">
        <f t="shared" ca="1" si="6"/>
        <v>4</v>
      </c>
      <c r="P53" s="187">
        <f t="shared" ca="1" si="6"/>
        <v>3.9999999999999991</v>
      </c>
      <c r="Q53" s="188">
        <f t="shared" ca="1" si="6"/>
        <v>4</v>
      </c>
      <c r="R53">
        <f t="shared" ca="1" si="6"/>
        <v>4</v>
      </c>
    </row>
    <row r="54" spans="1:18">
      <c r="A54" s="262" t="s">
        <v>116</v>
      </c>
      <c r="B54" s="32">
        <v>704872</v>
      </c>
      <c r="C54" s="32"/>
      <c r="F54" s="197">
        <f t="shared" ref="F54:R73" ca="1" si="7">VLOOKUP($B54, INDIRECT("'" &amp; F$1 &amp; "'!E:X"), 13, FALSE)</f>
        <v>3</v>
      </c>
      <c r="G54">
        <f t="shared" ca="1" si="7"/>
        <v>2</v>
      </c>
      <c r="H54" s="187">
        <f t="shared" ca="1" si="7"/>
        <v>0</v>
      </c>
      <c r="I54" s="188">
        <f t="shared" ca="1" si="7"/>
        <v>1</v>
      </c>
      <c r="J54">
        <f t="shared" ca="1" si="7"/>
        <v>5</v>
      </c>
      <c r="K54">
        <f t="shared" ca="1" si="7"/>
        <v>3</v>
      </c>
      <c r="L54" s="187">
        <f t="shared" ca="1" si="7"/>
        <v>4</v>
      </c>
      <c r="M54" s="188">
        <f t="shared" ca="1" si="7"/>
        <v>4</v>
      </c>
      <c r="N54">
        <f t="shared" ca="1" si="7"/>
        <v>4</v>
      </c>
      <c r="O54">
        <f t="shared" ca="1" si="7"/>
        <v>4</v>
      </c>
      <c r="P54" s="187">
        <f t="shared" ca="1" si="7"/>
        <v>4</v>
      </c>
      <c r="Q54" s="188">
        <f t="shared" ca="1" si="7"/>
        <v>4</v>
      </c>
      <c r="R54">
        <f t="shared" ca="1" si="7"/>
        <v>4</v>
      </c>
    </row>
    <row r="55" spans="1:18">
      <c r="A55" s="262" t="s">
        <v>117</v>
      </c>
      <c r="B55" s="32">
        <v>700712</v>
      </c>
      <c r="C55" s="32"/>
      <c r="F55" s="197">
        <f t="shared" ca="1" si="7"/>
        <v>2</v>
      </c>
      <c r="G55">
        <f t="shared" ca="1" si="7"/>
        <v>4</v>
      </c>
      <c r="H55" s="187">
        <f t="shared" ca="1" si="7"/>
        <v>2</v>
      </c>
      <c r="I55" s="188">
        <f t="shared" ca="1" si="7"/>
        <v>4</v>
      </c>
      <c r="J55">
        <f t="shared" ca="1" si="7"/>
        <v>4</v>
      </c>
      <c r="K55">
        <f t="shared" ca="1" si="7"/>
        <v>2</v>
      </c>
      <c r="L55" s="187">
        <f t="shared" ca="1" si="7"/>
        <v>4</v>
      </c>
      <c r="M55" s="188">
        <f t="shared" ca="1" si="7"/>
        <v>3.9999999999999991</v>
      </c>
      <c r="N55">
        <f t="shared" ca="1" si="7"/>
        <v>4</v>
      </c>
      <c r="O55">
        <f t="shared" ca="1" si="7"/>
        <v>4</v>
      </c>
      <c r="P55" s="187">
        <f t="shared" ca="1" si="7"/>
        <v>4</v>
      </c>
      <c r="Q55" s="188">
        <f t="shared" ca="1" si="7"/>
        <v>4</v>
      </c>
      <c r="R55">
        <f t="shared" ca="1" si="7"/>
        <v>4</v>
      </c>
    </row>
    <row r="56" spans="1:18">
      <c r="A56" s="262" t="s">
        <v>119</v>
      </c>
      <c r="B56" s="32">
        <v>700818</v>
      </c>
      <c r="C56" s="32"/>
      <c r="F56" s="197">
        <f t="shared" ca="1" si="7"/>
        <v>4</v>
      </c>
      <c r="G56">
        <f t="shared" ca="1" si="7"/>
        <v>1</v>
      </c>
      <c r="H56" s="187">
        <f t="shared" ca="1" si="7"/>
        <v>4</v>
      </c>
      <c r="I56" s="188">
        <f t="shared" ca="1" si="7"/>
        <v>2</v>
      </c>
      <c r="J56">
        <f t="shared" ca="1" si="7"/>
        <v>4</v>
      </c>
      <c r="K56">
        <f t="shared" ca="1" si="7"/>
        <v>4</v>
      </c>
      <c r="L56" s="187">
        <f t="shared" ca="1" si="7"/>
        <v>4</v>
      </c>
      <c r="M56" s="188">
        <f t="shared" ca="1" si="7"/>
        <v>4</v>
      </c>
      <c r="N56">
        <f t="shared" ca="1" si="7"/>
        <v>4</v>
      </c>
      <c r="O56">
        <f t="shared" ca="1" si="7"/>
        <v>4</v>
      </c>
      <c r="P56" s="187">
        <f t="shared" ca="1" si="7"/>
        <v>4</v>
      </c>
      <c r="Q56" s="188">
        <f t="shared" ca="1" si="7"/>
        <v>4</v>
      </c>
      <c r="R56">
        <f t="shared" ca="1" si="7"/>
        <v>3.9999999999999991</v>
      </c>
    </row>
    <row r="57" spans="1:18">
      <c r="A57" s="262" t="s">
        <v>120</v>
      </c>
      <c r="B57" s="32">
        <v>650101</v>
      </c>
      <c r="C57" s="32"/>
      <c r="F57" s="197">
        <f t="shared" ca="1" si="7"/>
        <v>2</v>
      </c>
      <c r="G57">
        <f t="shared" ca="1" si="7"/>
        <v>2</v>
      </c>
      <c r="H57" s="187">
        <f t="shared" ca="1" si="7"/>
        <v>4</v>
      </c>
      <c r="I57" s="188">
        <f t="shared" ca="1" si="7"/>
        <v>0</v>
      </c>
      <c r="J57">
        <f t="shared" ca="1" si="7"/>
        <v>3.9999999999999991</v>
      </c>
      <c r="K57">
        <f t="shared" ca="1" si="7"/>
        <v>0</v>
      </c>
      <c r="L57" s="187">
        <f t="shared" ca="1" si="7"/>
        <v>4</v>
      </c>
      <c r="M57" s="188">
        <f t="shared" ca="1" si="7"/>
        <v>0</v>
      </c>
      <c r="N57">
        <f t="shared" ca="1" si="7"/>
        <v>4</v>
      </c>
      <c r="O57">
        <f t="shared" ca="1" si="7"/>
        <v>0</v>
      </c>
      <c r="P57" s="187">
        <f t="shared" ca="1" si="7"/>
        <v>4</v>
      </c>
      <c r="Q57" s="188">
        <f t="shared" ca="1" si="7"/>
        <v>0</v>
      </c>
      <c r="R57">
        <f t="shared" ca="1" si="7"/>
        <v>4</v>
      </c>
    </row>
    <row r="58" spans="1:18">
      <c r="A58" s="262" t="s">
        <v>122</v>
      </c>
      <c r="B58" s="32">
        <v>654888</v>
      </c>
      <c r="C58" s="32"/>
      <c r="F58" s="197">
        <f t="shared" ca="1" si="7"/>
        <v>4</v>
      </c>
      <c r="G58">
        <f t="shared" ca="1" si="7"/>
        <v>4</v>
      </c>
      <c r="H58" s="187">
        <f t="shared" ca="1" si="7"/>
        <v>4</v>
      </c>
      <c r="I58" s="188">
        <f t="shared" ca="1" si="7"/>
        <v>4</v>
      </c>
      <c r="J58">
        <f t="shared" ca="1" si="7"/>
        <v>5</v>
      </c>
      <c r="K58">
        <f t="shared" ca="1" si="7"/>
        <v>3</v>
      </c>
      <c r="L58" s="187">
        <f t="shared" ca="1" si="7"/>
        <v>4</v>
      </c>
      <c r="M58" s="188">
        <f t="shared" ca="1" si="7"/>
        <v>3.9999999999999991</v>
      </c>
      <c r="N58">
        <f t="shared" ca="1" si="7"/>
        <v>4</v>
      </c>
      <c r="O58">
        <f t="shared" ca="1" si="7"/>
        <v>4</v>
      </c>
      <c r="P58" s="187">
        <f t="shared" ca="1" si="7"/>
        <v>4</v>
      </c>
      <c r="Q58" s="188">
        <f t="shared" ca="1" si="7"/>
        <v>4</v>
      </c>
      <c r="R58">
        <f t="shared" ca="1" si="7"/>
        <v>4</v>
      </c>
    </row>
    <row r="59" spans="1:18">
      <c r="A59" s="262" t="s">
        <v>123</v>
      </c>
      <c r="B59" s="32">
        <v>703880</v>
      </c>
      <c r="C59" s="32"/>
      <c r="F59" s="197">
        <f t="shared" ca="1" si="7"/>
        <v>4</v>
      </c>
      <c r="G59">
        <f t="shared" ca="1" si="7"/>
        <v>4</v>
      </c>
      <c r="H59" s="187">
        <f t="shared" ca="1" si="7"/>
        <v>3.9999999999999991</v>
      </c>
      <c r="I59" s="188">
        <f t="shared" ca="1" si="7"/>
        <v>4</v>
      </c>
      <c r="J59">
        <f t="shared" ca="1" si="7"/>
        <v>4</v>
      </c>
      <c r="K59">
        <f t="shared" ca="1" si="7"/>
        <v>4</v>
      </c>
      <c r="L59" s="187">
        <f t="shared" ca="1" si="7"/>
        <v>5</v>
      </c>
      <c r="M59" s="188">
        <f t="shared" ca="1" si="7"/>
        <v>3</v>
      </c>
      <c r="N59">
        <f t="shared" ca="1" si="7"/>
        <v>4</v>
      </c>
      <c r="O59">
        <f t="shared" ca="1" si="7"/>
        <v>3.9999999999999991</v>
      </c>
      <c r="P59" s="187">
        <f t="shared" ca="1" si="7"/>
        <v>4</v>
      </c>
      <c r="Q59" s="188">
        <f t="shared" ca="1" si="7"/>
        <v>4</v>
      </c>
      <c r="R59">
        <f t="shared" ca="1" si="7"/>
        <v>4</v>
      </c>
    </row>
    <row r="60" spans="1:18">
      <c r="A60" s="262" t="s">
        <v>124</v>
      </c>
      <c r="B60" s="32">
        <v>703334</v>
      </c>
      <c r="C60" s="32"/>
      <c r="F60" s="197">
        <f t="shared" ca="1" si="7"/>
        <v>4</v>
      </c>
      <c r="G60">
        <f t="shared" ca="1" si="7"/>
        <v>3.9999999999999991</v>
      </c>
      <c r="H60" s="187">
        <f t="shared" ca="1" si="7"/>
        <v>4</v>
      </c>
      <c r="I60" s="188">
        <f t="shared" ca="1" si="7"/>
        <v>3.9999999999999991</v>
      </c>
      <c r="J60">
        <f t="shared" ca="1" si="7"/>
        <v>4</v>
      </c>
      <c r="K60">
        <f t="shared" ca="1" si="7"/>
        <v>4</v>
      </c>
      <c r="L60" s="187">
        <f t="shared" ca="1" si="7"/>
        <v>4</v>
      </c>
      <c r="M60" s="188">
        <f t="shared" ca="1" si="7"/>
        <v>0</v>
      </c>
      <c r="N60">
        <f t="shared" ca="1" si="7"/>
        <v>0</v>
      </c>
      <c r="O60">
        <f t="shared" ca="1" si="7"/>
        <v>4</v>
      </c>
      <c r="P60" s="187">
        <f t="shared" ca="1" si="7"/>
        <v>3.9999999999999991</v>
      </c>
      <c r="Q60" s="188">
        <f t="shared" ca="1" si="7"/>
        <v>4</v>
      </c>
      <c r="R60">
        <f t="shared" ca="1" si="7"/>
        <v>4</v>
      </c>
    </row>
    <row r="61" spans="1:18">
      <c r="A61" s="262" t="s">
        <v>125</v>
      </c>
      <c r="B61" s="32">
        <v>700538</v>
      </c>
      <c r="C61" s="32"/>
      <c r="F61" s="197">
        <f t="shared" ca="1" si="7"/>
        <v>3</v>
      </c>
      <c r="G61">
        <f t="shared" ca="1" si="7"/>
        <v>4</v>
      </c>
      <c r="H61" s="187">
        <f t="shared" ca="1" si="7"/>
        <v>2</v>
      </c>
      <c r="I61" s="188">
        <f t="shared" ca="1" si="7"/>
        <v>3</v>
      </c>
      <c r="J61">
        <f t="shared" ca="1" si="7"/>
        <v>3</v>
      </c>
      <c r="K61">
        <f t="shared" ca="1" si="7"/>
        <v>2.9999999999999991</v>
      </c>
      <c r="L61" s="187">
        <f t="shared" ca="1" si="7"/>
        <v>3</v>
      </c>
      <c r="M61" s="188">
        <f t="shared" ca="1" si="7"/>
        <v>3</v>
      </c>
      <c r="N61">
        <f t="shared" ca="1" si="7"/>
        <v>3</v>
      </c>
      <c r="O61">
        <f t="shared" ca="1" si="7"/>
        <v>3</v>
      </c>
      <c r="P61" s="187">
        <f t="shared" ca="1" si="7"/>
        <v>3</v>
      </c>
      <c r="Q61" s="188">
        <f t="shared" ca="1" si="7"/>
        <v>3</v>
      </c>
      <c r="R61">
        <f t="shared" ca="1" si="7"/>
        <v>2.9999999999999996</v>
      </c>
    </row>
    <row r="62" spans="1:18">
      <c r="A62" s="262" t="s">
        <v>126</v>
      </c>
      <c r="B62" s="32">
        <v>704862</v>
      </c>
      <c r="C62" s="32"/>
      <c r="F62" s="197">
        <f t="shared" ca="1" si="7"/>
        <v>0</v>
      </c>
      <c r="G62">
        <f t="shared" ca="1" si="7"/>
        <v>3.9999999999999991</v>
      </c>
      <c r="H62" s="187">
        <f t="shared" ca="1" si="7"/>
        <v>0</v>
      </c>
      <c r="I62" s="188">
        <f t="shared" ca="1" si="7"/>
        <v>4</v>
      </c>
      <c r="J62">
        <f t="shared" ca="1" si="7"/>
        <v>0</v>
      </c>
      <c r="K62">
        <f t="shared" ca="1" si="7"/>
        <v>4</v>
      </c>
      <c r="L62" s="187">
        <f t="shared" ca="1" si="7"/>
        <v>0</v>
      </c>
      <c r="M62" s="188">
        <f t="shared" ca="1" si="7"/>
        <v>4</v>
      </c>
      <c r="N62">
        <f t="shared" ca="1" si="7"/>
        <v>0</v>
      </c>
      <c r="O62">
        <f t="shared" ca="1" si="7"/>
        <v>4</v>
      </c>
      <c r="P62" s="187">
        <f t="shared" ca="1" si="7"/>
        <v>0</v>
      </c>
      <c r="Q62" s="188">
        <f t="shared" ca="1" si="7"/>
        <v>3.9999999999999991</v>
      </c>
      <c r="R62">
        <f t="shared" ca="1" si="7"/>
        <v>0</v>
      </c>
    </row>
    <row r="63" spans="1:18">
      <c r="A63" s="262" t="s">
        <v>108</v>
      </c>
      <c r="B63" s="32">
        <v>654727</v>
      </c>
      <c r="C63" s="32"/>
      <c r="F63" s="197">
        <f t="shared" ca="1" si="7"/>
        <v>4</v>
      </c>
      <c r="G63">
        <f t="shared" ca="1" si="7"/>
        <v>1.9999999999999996</v>
      </c>
      <c r="H63" s="187">
        <f t="shared" ca="1" si="7"/>
        <v>6</v>
      </c>
      <c r="I63" s="188">
        <f t="shared" ca="1" si="7"/>
        <v>4</v>
      </c>
      <c r="J63">
        <f t="shared" ca="1" si="7"/>
        <v>4</v>
      </c>
      <c r="K63">
        <f t="shared" ca="1" si="7"/>
        <v>3.9999999999999991</v>
      </c>
      <c r="L63" s="187">
        <f t="shared" ca="1" si="7"/>
        <v>0</v>
      </c>
      <c r="M63" s="188">
        <f t="shared" ca="1" si="7"/>
        <v>4</v>
      </c>
      <c r="N63">
        <f t="shared" ca="1" si="7"/>
        <v>4</v>
      </c>
      <c r="O63" t="e">
        <f t="shared" ca="1" si="7"/>
        <v>#N/A</v>
      </c>
      <c r="P63" s="187" t="e">
        <f t="shared" ca="1" si="7"/>
        <v>#N/A</v>
      </c>
      <c r="Q63" s="188" t="e">
        <f t="shared" ca="1" si="7"/>
        <v>#N/A</v>
      </c>
      <c r="R63" t="e">
        <f t="shared" ca="1" si="7"/>
        <v>#N/A</v>
      </c>
    </row>
    <row r="64" spans="1:18" ht="16.5" thickBot="1">
      <c r="A64" s="128"/>
      <c r="B64" s="32"/>
      <c r="C64" s="32"/>
      <c r="F64" s="197" t="e">
        <f t="shared" ca="1" si="7"/>
        <v>#N/A</v>
      </c>
      <c r="G64" t="e">
        <f t="shared" ca="1" si="7"/>
        <v>#N/A</v>
      </c>
      <c r="H64" s="187" t="e">
        <f t="shared" ca="1" si="7"/>
        <v>#N/A</v>
      </c>
      <c r="I64" s="188" t="e">
        <f t="shared" ca="1" si="7"/>
        <v>#N/A</v>
      </c>
      <c r="J64" t="e">
        <f t="shared" ca="1" si="7"/>
        <v>#N/A</v>
      </c>
      <c r="K64" t="e">
        <f t="shared" ca="1" si="7"/>
        <v>#N/A</v>
      </c>
      <c r="L64" s="187" t="e">
        <f t="shared" ca="1" si="7"/>
        <v>#N/A</v>
      </c>
      <c r="M64" s="188" t="e">
        <f t="shared" ca="1" si="7"/>
        <v>#N/A</v>
      </c>
      <c r="N64" t="e">
        <f t="shared" ca="1" si="7"/>
        <v>#N/A</v>
      </c>
      <c r="O64" t="e">
        <f t="shared" ca="1" si="7"/>
        <v>#N/A</v>
      </c>
      <c r="P64" s="187" t="e">
        <f t="shared" ca="1" si="7"/>
        <v>#N/A</v>
      </c>
      <c r="Q64" s="188" t="e">
        <f t="shared" ca="1" si="7"/>
        <v>#N/A</v>
      </c>
      <c r="R64" t="e">
        <f t="shared" ca="1" si="7"/>
        <v>#N/A</v>
      </c>
    </row>
    <row r="65" spans="1:18" ht="16.5" thickBot="1">
      <c r="A65" s="140" t="s">
        <v>128</v>
      </c>
      <c r="F65" s="197" t="e">
        <f t="shared" ca="1" si="7"/>
        <v>#N/A</v>
      </c>
      <c r="G65" t="e">
        <f t="shared" ca="1" si="7"/>
        <v>#N/A</v>
      </c>
      <c r="H65" s="187" t="e">
        <f t="shared" ca="1" si="7"/>
        <v>#N/A</v>
      </c>
      <c r="I65" s="188" t="e">
        <f t="shared" ca="1" si="7"/>
        <v>#N/A</v>
      </c>
      <c r="J65" t="e">
        <f t="shared" ca="1" si="7"/>
        <v>#N/A</v>
      </c>
      <c r="K65" t="e">
        <f t="shared" ca="1" si="7"/>
        <v>#N/A</v>
      </c>
      <c r="L65" s="187" t="e">
        <f t="shared" ca="1" si="7"/>
        <v>#N/A</v>
      </c>
      <c r="M65" s="188" t="e">
        <f t="shared" ca="1" si="7"/>
        <v>#N/A</v>
      </c>
      <c r="N65" t="e">
        <f t="shared" ca="1" si="7"/>
        <v>#N/A</v>
      </c>
      <c r="O65" t="e">
        <f t="shared" ca="1" si="7"/>
        <v>#N/A</v>
      </c>
      <c r="P65" s="187" t="e">
        <f t="shared" ca="1" si="7"/>
        <v>#N/A</v>
      </c>
      <c r="Q65" s="188" t="e">
        <f t="shared" ca="1" si="7"/>
        <v>#N/A</v>
      </c>
      <c r="R65" t="e">
        <f t="shared" ca="1" si="7"/>
        <v>#N/A</v>
      </c>
    </row>
    <row r="66" spans="1:18">
      <c r="A66" s="263" t="s">
        <v>130</v>
      </c>
      <c r="B66">
        <v>703066</v>
      </c>
      <c r="C66" t="s">
        <v>208</v>
      </c>
      <c r="F66" s="197">
        <f t="shared" ca="1" si="7"/>
        <v>5</v>
      </c>
      <c r="G66">
        <f t="shared" ca="1" si="7"/>
        <v>4</v>
      </c>
      <c r="H66" s="187">
        <f t="shared" ca="1" si="7"/>
        <v>0</v>
      </c>
      <c r="I66" s="188">
        <f t="shared" ca="1" si="7"/>
        <v>2</v>
      </c>
      <c r="J66">
        <f t="shared" ca="1" si="7"/>
        <v>4</v>
      </c>
      <c r="K66">
        <f t="shared" ca="1" si="7"/>
        <v>4</v>
      </c>
      <c r="L66" s="187">
        <f t="shared" ca="1" si="7"/>
        <v>3.9999999999999991</v>
      </c>
      <c r="M66" s="188">
        <f t="shared" ca="1" si="7"/>
        <v>4</v>
      </c>
      <c r="N66">
        <f t="shared" ca="1" si="7"/>
        <v>4</v>
      </c>
      <c r="O66">
        <f t="shared" ca="1" si="7"/>
        <v>3.9999999999999991</v>
      </c>
      <c r="P66" s="187">
        <f t="shared" ca="1" si="7"/>
        <v>4</v>
      </c>
      <c r="Q66" s="188">
        <f t="shared" ca="1" si="7"/>
        <v>4</v>
      </c>
      <c r="R66">
        <f t="shared" ca="1" si="7"/>
        <v>4</v>
      </c>
    </row>
    <row r="67" spans="1:18">
      <c r="A67" s="263" t="s">
        <v>131</v>
      </c>
      <c r="B67">
        <v>648637</v>
      </c>
      <c r="C67" t="s">
        <v>208</v>
      </c>
      <c r="F67" s="197">
        <f t="shared" ca="1" si="7"/>
        <v>2.9999999999999991</v>
      </c>
      <c r="G67">
        <f t="shared" ca="1" si="7"/>
        <v>5</v>
      </c>
      <c r="H67" s="187">
        <f t="shared" ca="1" si="7"/>
        <v>4</v>
      </c>
      <c r="I67" s="188">
        <f t="shared" ca="1" si="7"/>
        <v>4</v>
      </c>
      <c r="J67">
        <f t="shared" ca="1" si="7"/>
        <v>0</v>
      </c>
      <c r="K67">
        <f t="shared" ca="1" si="7"/>
        <v>4</v>
      </c>
      <c r="L67" s="187">
        <f t="shared" ca="1" si="7"/>
        <v>4</v>
      </c>
      <c r="M67" s="188">
        <f t="shared" ca="1" si="7"/>
        <v>4</v>
      </c>
      <c r="N67">
        <f t="shared" ca="1" si="7"/>
        <v>4</v>
      </c>
      <c r="O67">
        <f t="shared" ca="1" si="7"/>
        <v>4</v>
      </c>
      <c r="P67" s="187">
        <f t="shared" ca="1" si="7"/>
        <v>4</v>
      </c>
      <c r="Q67" s="188">
        <f t="shared" ca="1" si="7"/>
        <v>4</v>
      </c>
      <c r="R67">
        <f t="shared" ca="1" si="7"/>
        <v>4</v>
      </c>
    </row>
    <row r="68" spans="1:18">
      <c r="A68" s="263" t="s">
        <v>132</v>
      </c>
      <c r="B68">
        <v>703161</v>
      </c>
      <c r="C68" t="s">
        <v>208</v>
      </c>
      <c r="F68" s="197">
        <f t="shared" ca="1" si="7"/>
        <v>2.9999999999999991</v>
      </c>
      <c r="G68">
        <f t="shared" ca="1" si="7"/>
        <v>2</v>
      </c>
      <c r="H68" s="187">
        <f t="shared" ca="1" si="7"/>
        <v>4</v>
      </c>
      <c r="I68" s="188">
        <f t="shared" ca="1" si="7"/>
        <v>4</v>
      </c>
      <c r="J68">
        <f t="shared" ca="1" si="7"/>
        <v>4</v>
      </c>
      <c r="K68">
        <f t="shared" ca="1" si="7"/>
        <v>4</v>
      </c>
      <c r="L68" s="187">
        <f t="shared" ca="1" si="7"/>
        <v>3.9999999999999991</v>
      </c>
      <c r="M68" s="188">
        <f t="shared" ca="1" si="7"/>
        <v>0</v>
      </c>
      <c r="N68">
        <f t="shared" ca="1" si="7"/>
        <v>0</v>
      </c>
      <c r="O68">
        <f t="shared" ca="1" si="7"/>
        <v>0</v>
      </c>
      <c r="P68" s="187">
        <f t="shared" ca="1" si="7"/>
        <v>0</v>
      </c>
      <c r="Q68" s="188">
        <f t="shared" ca="1" si="7"/>
        <v>0</v>
      </c>
      <c r="R68">
        <f t="shared" ca="1" si="7"/>
        <v>0</v>
      </c>
    </row>
    <row r="69" spans="1:18">
      <c r="A69" s="263" t="s">
        <v>133</v>
      </c>
      <c r="B69">
        <v>655179</v>
      </c>
      <c r="C69" t="s">
        <v>208</v>
      </c>
      <c r="F69" s="197">
        <f t="shared" ca="1" si="7"/>
        <v>4</v>
      </c>
      <c r="G69">
        <f t="shared" ca="1" si="7"/>
        <v>4</v>
      </c>
      <c r="H69" s="187">
        <f t="shared" ca="1" si="7"/>
        <v>4</v>
      </c>
      <c r="I69" s="188">
        <f t="shared" ca="1" si="7"/>
        <v>0</v>
      </c>
      <c r="J69">
        <f t="shared" ca="1" si="7"/>
        <v>0</v>
      </c>
      <c r="K69">
        <f t="shared" ca="1" si="7"/>
        <v>0</v>
      </c>
      <c r="L69" s="187">
        <f t="shared" ca="1" si="7"/>
        <v>0</v>
      </c>
      <c r="M69" s="188">
        <f t="shared" ca="1" si="7"/>
        <v>0</v>
      </c>
      <c r="N69">
        <f t="shared" ca="1" si="7"/>
        <v>0</v>
      </c>
      <c r="O69">
        <f t="shared" ca="1" si="7"/>
        <v>0</v>
      </c>
      <c r="P69" s="187">
        <f t="shared" ca="1" si="7"/>
        <v>0</v>
      </c>
      <c r="Q69" s="188">
        <f t="shared" ca="1" si="7"/>
        <v>0</v>
      </c>
      <c r="R69">
        <f t="shared" ca="1" si="7"/>
        <v>0</v>
      </c>
    </row>
    <row r="70" spans="1:18">
      <c r="A70" s="263" t="s">
        <v>134</v>
      </c>
      <c r="B70">
        <v>700812</v>
      </c>
      <c r="C70" t="s">
        <v>209</v>
      </c>
      <c r="F70" s="197">
        <f t="shared" ca="1" si="7"/>
        <v>4</v>
      </c>
      <c r="G70">
        <f t="shared" ca="1" si="7"/>
        <v>4</v>
      </c>
      <c r="H70" s="187">
        <f t="shared" ca="1" si="7"/>
        <v>4</v>
      </c>
      <c r="I70" s="188">
        <f t="shared" ca="1" si="7"/>
        <v>4</v>
      </c>
      <c r="J70">
        <f t="shared" ca="1" si="7"/>
        <v>4</v>
      </c>
      <c r="K70">
        <f t="shared" ca="1" si="7"/>
        <v>4</v>
      </c>
      <c r="L70" s="187">
        <f t="shared" ca="1" si="7"/>
        <v>4</v>
      </c>
      <c r="M70" s="188">
        <f t="shared" ca="1" si="7"/>
        <v>4</v>
      </c>
      <c r="N70">
        <f t="shared" ca="1" si="7"/>
        <v>4</v>
      </c>
      <c r="O70">
        <f t="shared" ca="1" si="7"/>
        <v>4</v>
      </c>
      <c r="P70" s="187">
        <f t="shared" ca="1" si="7"/>
        <v>4</v>
      </c>
      <c r="Q70" s="188">
        <f t="shared" ca="1" si="7"/>
        <v>4</v>
      </c>
      <c r="R70">
        <f t="shared" ca="1" si="7"/>
        <v>4</v>
      </c>
    </row>
    <row r="71" spans="1:18">
      <c r="A71" s="263" t="s">
        <v>135</v>
      </c>
      <c r="B71">
        <v>703157</v>
      </c>
      <c r="C71" t="s">
        <v>209</v>
      </c>
      <c r="F71" s="197">
        <f t="shared" ca="1" si="7"/>
        <v>4</v>
      </c>
      <c r="G71">
        <f t="shared" ca="1" si="7"/>
        <v>3.9999999999999991</v>
      </c>
      <c r="H71" s="187">
        <f t="shared" ca="1" si="7"/>
        <v>4</v>
      </c>
      <c r="I71" s="188">
        <f t="shared" ca="1" si="7"/>
        <v>4</v>
      </c>
      <c r="J71">
        <f t="shared" ca="1" si="7"/>
        <v>4</v>
      </c>
      <c r="K71">
        <f t="shared" ca="1" si="7"/>
        <v>4</v>
      </c>
      <c r="L71" s="187">
        <f t="shared" ca="1" si="7"/>
        <v>4</v>
      </c>
      <c r="M71" s="188">
        <f t="shared" ca="1" si="7"/>
        <v>4</v>
      </c>
      <c r="N71">
        <f t="shared" ca="1" si="7"/>
        <v>4</v>
      </c>
      <c r="O71">
        <f t="shared" ca="1" si="7"/>
        <v>4</v>
      </c>
      <c r="P71" s="187">
        <f t="shared" ca="1" si="7"/>
        <v>4</v>
      </c>
      <c r="Q71" s="188">
        <f t="shared" ca="1" si="7"/>
        <v>3.9999999999999991</v>
      </c>
      <c r="R71">
        <f t="shared" ca="1" si="7"/>
        <v>4</v>
      </c>
    </row>
    <row r="72" spans="1:18">
      <c r="A72" s="263" t="s">
        <v>136</v>
      </c>
      <c r="B72">
        <v>655173</v>
      </c>
      <c r="C72" t="s">
        <v>209</v>
      </c>
      <c r="F72" s="197">
        <f t="shared" ca="1" si="7"/>
        <v>4</v>
      </c>
      <c r="G72">
        <f t="shared" ca="1" si="7"/>
        <v>4</v>
      </c>
      <c r="H72" s="187">
        <f t="shared" ca="1" si="7"/>
        <v>4</v>
      </c>
      <c r="I72" s="188">
        <f t="shared" ca="1" si="7"/>
        <v>4</v>
      </c>
      <c r="J72">
        <f t="shared" ca="1" si="7"/>
        <v>3.9999999999999991</v>
      </c>
      <c r="K72">
        <f t="shared" ca="1" si="7"/>
        <v>4</v>
      </c>
      <c r="L72" s="187">
        <f t="shared" ca="1" si="7"/>
        <v>5</v>
      </c>
      <c r="M72" s="188">
        <f t="shared" ca="1" si="7"/>
        <v>3</v>
      </c>
      <c r="N72">
        <f t="shared" ca="1" si="7"/>
        <v>4</v>
      </c>
      <c r="O72">
        <f t="shared" ca="1" si="7"/>
        <v>4</v>
      </c>
      <c r="P72" s="187">
        <f t="shared" ca="1" si="7"/>
        <v>4</v>
      </c>
      <c r="Q72" s="188">
        <f t="shared" ca="1" si="7"/>
        <v>4</v>
      </c>
      <c r="R72">
        <f t="shared" ca="1" si="7"/>
        <v>4</v>
      </c>
    </row>
    <row r="73" spans="1:18">
      <c r="A73" s="263" t="s">
        <v>137</v>
      </c>
      <c r="B73">
        <v>705273</v>
      </c>
      <c r="C73" t="s">
        <v>210</v>
      </c>
      <c r="F73" s="197">
        <f t="shared" ca="1" si="7"/>
        <v>4</v>
      </c>
      <c r="G73">
        <f t="shared" ca="1" si="7"/>
        <v>4</v>
      </c>
      <c r="H73" s="187">
        <f t="shared" ca="1" si="7"/>
        <v>4</v>
      </c>
      <c r="I73" s="188">
        <f t="shared" ca="1" si="7"/>
        <v>4</v>
      </c>
      <c r="J73">
        <f t="shared" ca="1" si="7"/>
        <v>4</v>
      </c>
      <c r="K73">
        <f t="shared" ca="1" si="7"/>
        <v>4</v>
      </c>
      <c r="L73" s="187">
        <f t="shared" ca="1" si="7"/>
        <v>4</v>
      </c>
      <c r="M73" s="188">
        <f t="shared" ca="1" si="7"/>
        <v>4</v>
      </c>
      <c r="N73">
        <f t="shared" ref="N73:R77" ca="1" si="8">VLOOKUP($B73, INDIRECT("'" &amp; N$1 &amp; "'!E:X"), 13, FALSE)</f>
        <v>4</v>
      </c>
      <c r="O73">
        <f t="shared" ca="1" si="8"/>
        <v>4</v>
      </c>
      <c r="P73" s="187">
        <f t="shared" ca="1" si="8"/>
        <v>4</v>
      </c>
      <c r="Q73" s="188">
        <f t="shared" ca="1" si="8"/>
        <v>4</v>
      </c>
      <c r="R73">
        <f t="shared" ca="1" si="8"/>
        <v>4</v>
      </c>
    </row>
    <row r="74" spans="1:18">
      <c r="A74" s="263" t="s">
        <v>138</v>
      </c>
      <c r="B74">
        <v>703418</v>
      </c>
      <c r="C74" t="s">
        <v>210</v>
      </c>
      <c r="F74" s="197">
        <f t="shared" ref="F74:M77" ca="1" si="9">VLOOKUP($B74, INDIRECT("'" &amp; F$1 &amp; "'!E:X"), 13, FALSE)</f>
        <v>4</v>
      </c>
      <c r="G74">
        <f t="shared" ca="1" si="9"/>
        <v>4</v>
      </c>
      <c r="H74" s="187">
        <f t="shared" ca="1" si="9"/>
        <v>4</v>
      </c>
      <c r="I74" s="188">
        <f t="shared" ca="1" si="9"/>
        <v>3.9999999999999991</v>
      </c>
      <c r="J74">
        <f t="shared" ca="1" si="9"/>
        <v>4</v>
      </c>
      <c r="K74">
        <f t="shared" ca="1" si="9"/>
        <v>4</v>
      </c>
      <c r="L74" s="187">
        <f t="shared" ca="1" si="9"/>
        <v>4</v>
      </c>
      <c r="M74" s="188">
        <f t="shared" ca="1" si="9"/>
        <v>4</v>
      </c>
      <c r="N74">
        <f t="shared" ca="1" si="8"/>
        <v>3.9999999999999991</v>
      </c>
      <c r="O74">
        <f t="shared" ca="1" si="8"/>
        <v>4</v>
      </c>
      <c r="P74" s="187">
        <f t="shared" ca="1" si="8"/>
        <v>4</v>
      </c>
      <c r="Q74" s="188">
        <f t="shared" ca="1" si="8"/>
        <v>4</v>
      </c>
      <c r="R74">
        <f t="shared" ca="1" si="8"/>
        <v>4</v>
      </c>
    </row>
    <row r="75" spans="1:18">
      <c r="A75" s="263" t="s">
        <v>139</v>
      </c>
      <c r="B75">
        <v>704108</v>
      </c>
      <c r="C75" t="s">
        <v>210</v>
      </c>
      <c r="F75" s="197">
        <f t="shared" ca="1" si="9"/>
        <v>0</v>
      </c>
      <c r="G75">
        <f t="shared" ca="1" si="9"/>
        <v>0</v>
      </c>
      <c r="H75" s="187">
        <f t="shared" ca="1" si="9"/>
        <v>0</v>
      </c>
      <c r="I75" s="188">
        <f t="shared" ca="1" si="9"/>
        <v>4</v>
      </c>
      <c r="J75">
        <f t="shared" ca="1" si="9"/>
        <v>4</v>
      </c>
      <c r="K75">
        <f t="shared" ca="1" si="9"/>
        <v>4</v>
      </c>
      <c r="L75" s="187">
        <f t="shared" ca="1" si="9"/>
        <v>4</v>
      </c>
      <c r="M75" s="188">
        <f t="shared" ca="1" si="9"/>
        <v>4</v>
      </c>
      <c r="N75">
        <f t="shared" ca="1" si="8"/>
        <v>5</v>
      </c>
      <c r="O75">
        <f t="shared" ca="1" si="8"/>
        <v>3</v>
      </c>
      <c r="P75" s="187">
        <f t="shared" ca="1" si="8"/>
        <v>4</v>
      </c>
      <c r="Q75" s="188">
        <f t="shared" ca="1" si="8"/>
        <v>3.9999999999999991</v>
      </c>
      <c r="R75">
        <f t="shared" ca="1" si="8"/>
        <v>4</v>
      </c>
    </row>
    <row r="76" spans="1:18">
      <c r="A76" s="263" t="s">
        <v>140</v>
      </c>
      <c r="B76">
        <v>651515</v>
      </c>
      <c r="C76" t="s">
        <v>210</v>
      </c>
      <c r="F76" s="197">
        <f t="shared" ca="1" si="9"/>
        <v>0</v>
      </c>
      <c r="G76">
        <f t="shared" ca="1" si="9"/>
        <v>0</v>
      </c>
      <c r="H76" s="187">
        <f t="shared" ca="1" si="9"/>
        <v>0</v>
      </c>
      <c r="I76" s="188">
        <f t="shared" ca="1" si="9"/>
        <v>0</v>
      </c>
      <c r="J76">
        <f t="shared" ca="1" si="9"/>
        <v>0</v>
      </c>
      <c r="K76">
        <f t="shared" ca="1" si="9"/>
        <v>0</v>
      </c>
      <c r="L76" s="187">
        <f t="shared" ca="1" si="9"/>
        <v>0</v>
      </c>
      <c r="M76" s="188">
        <f t="shared" ca="1" si="9"/>
        <v>4</v>
      </c>
      <c r="N76">
        <f t="shared" ca="1" si="8"/>
        <v>4</v>
      </c>
      <c r="O76">
        <f t="shared" ca="1" si="8"/>
        <v>4</v>
      </c>
      <c r="P76" s="187">
        <f t="shared" ca="1" si="8"/>
        <v>4</v>
      </c>
      <c r="Q76" s="188">
        <f t="shared" ca="1" si="8"/>
        <v>4</v>
      </c>
      <c r="R76">
        <f t="shared" ca="1" si="8"/>
        <v>4</v>
      </c>
    </row>
    <row r="77" spans="1:18" ht="15.75" thickBot="1">
      <c r="A77" s="263" t="s">
        <v>141</v>
      </c>
      <c r="B77">
        <v>705199</v>
      </c>
      <c r="C77" t="s">
        <v>209</v>
      </c>
      <c r="F77" s="197">
        <f t="shared" ca="1" si="9"/>
        <v>4</v>
      </c>
      <c r="G77">
        <f t="shared" ca="1" si="9"/>
        <v>4</v>
      </c>
      <c r="H77" s="297">
        <f t="shared" ca="1" si="9"/>
        <v>3.9999999999999991</v>
      </c>
      <c r="I77" s="298">
        <f t="shared" ca="1" si="9"/>
        <v>4</v>
      </c>
      <c r="J77">
        <f t="shared" ca="1" si="9"/>
        <v>4</v>
      </c>
      <c r="K77">
        <f t="shared" ca="1" si="9"/>
        <v>4</v>
      </c>
      <c r="L77" s="297">
        <f t="shared" ca="1" si="9"/>
        <v>4</v>
      </c>
      <c r="M77" s="298">
        <f t="shared" ca="1" si="9"/>
        <v>4</v>
      </c>
      <c r="N77">
        <f t="shared" ca="1" si="8"/>
        <v>4</v>
      </c>
      <c r="O77">
        <f t="shared" ca="1" si="8"/>
        <v>4</v>
      </c>
      <c r="P77" s="297">
        <f t="shared" ca="1" si="8"/>
        <v>4</v>
      </c>
      <c r="Q77" s="298">
        <f t="shared" ca="1" si="8"/>
        <v>4</v>
      </c>
      <c r="R77">
        <f t="shared" ca="1" si="8"/>
        <v>3.9999999999999991</v>
      </c>
    </row>
    <row r="78" spans="1:18" ht="15.75">
      <c r="A78" s="31"/>
    </row>
    <row r="79" spans="1:18" ht="15.75">
      <c r="A79" s="30"/>
    </row>
    <row r="80" spans="1:18" ht="15.75">
      <c r="A80" s="56" t="s">
        <v>142</v>
      </c>
    </row>
    <row r="81" spans="1:2" ht="15.75">
      <c r="A81" s="348" t="s">
        <v>144</v>
      </c>
      <c r="B81" s="32">
        <v>641345</v>
      </c>
    </row>
    <row r="82" spans="1:2" ht="15.75">
      <c r="A82" s="348" t="s">
        <v>146</v>
      </c>
      <c r="B82" s="32">
        <v>703521</v>
      </c>
    </row>
  </sheetData>
  <sortState xmlns:xlrd2="http://schemas.microsoft.com/office/spreadsheetml/2017/richdata2" ref="A3:R31">
    <sortCondition descending="1" ref="C3:C31"/>
  </sortState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ColWidth="8.85546875" defaultRowHeight="15"/>
  <sheetData>
    <row r="1" spans="1:1">
      <c r="A1" t="s">
        <v>211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968492235361429AAB52A6EA473C89" ma:contentTypeVersion="6" ma:contentTypeDescription="Create a new document." ma:contentTypeScope="" ma:versionID="d08431a72cb96d9d174d80017394f29d">
  <xsd:schema xmlns:xsd="http://www.w3.org/2001/XMLSchema" xmlns:xs="http://www.w3.org/2001/XMLSchema" xmlns:p="http://schemas.microsoft.com/office/2006/metadata/properties" xmlns:ns2="43f6a549-2e31-486a-8ca2-ecdbe383986a" xmlns:ns3="fb9eb030-2d7b-4852-82f9-9275a3af2213" targetNamespace="http://schemas.microsoft.com/office/2006/metadata/properties" ma:root="true" ma:fieldsID="6ba6c3e38b924713484521f5f5ff8431" ns2:_="" ns3:_="">
    <xsd:import namespace="43f6a549-2e31-486a-8ca2-ecdbe383986a"/>
    <xsd:import namespace="fb9eb030-2d7b-4852-82f9-9275a3af22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f6a549-2e31-486a-8ca2-ecdbe38398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9eb030-2d7b-4852-82f9-9275a3af22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FC0A7D-C397-4A38-A1B3-3EFDE500F579}"/>
</file>

<file path=customXml/itemProps2.xml><?xml version="1.0" encoding="utf-8"?>
<ds:datastoreItem xmlns:ds="http://schemas.openxmlformats.org/officeDocument/2006/customXml" ds:itemID="{4103F428-72D8-423A-BAAF-1BAC929D5CA5}"/>
</file>

<file path=customXml/itemProps3.xml><?xml version="1.0" encoding="utf-8"?>
<ds:datastoreItem xmlns:ds="http://schemas.openxmlformats.org/officeDocument/2006/customXml" ds:itemID="{26CA9E24-263D-4B98-928E-3464902C68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Monash Health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Preeti Virk</dc:creator>
  <cp:keywords/>
  <dc:description/>
  <cp:lastModifiedBy>karen riccioni</cp:lastModifiedBy>
  <cp:revision/>
  <dcterms:created xsi:type="dcterms:W3CDTF">2016-08-22T03:39:00Z</dcterms:created>
  <dcterms:modified xsi:type="dcterms:W3CDTF">2026-05-08T05:29:14Z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0x01010036968492235361429AAB52A6EA473C89</vt:lpwstr>
  </property>
  <property fmtid="{D5CDD505-2E9C-101B-9397-08002B2CF9AE}" pid="3" name="MediaServiceImageTags">
    <vt:lpwstr/>
  </property>
  <property fmtid="{D5CDD505-2E9C-101B-9397-08002B2CF9AE}" pid="4" name="Order">
    <vt:r8>120200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MSIP_Label_be4b8eb5-6a05-4586-852c-c0fcf36d592c_Enabled">
    <vt:lpwstr>true</vt:lpwstr>
  </property>
  <property fmtid="{D5CDD505-2E9C-101B-9397-08002B2CF9AE}" pid="12" name="MSIP_Label_be4b8eb5-6a05-4586-852c-c0fcf36d592c_SetDate">
    <vt:lpwstr>2026-04-07T09:21:16Z</vt:lpwstr>
  </property>
  <property fmtid="{D5CDD505-2E9C-101B-9397-08002B2CF9AE}" pid="13" name="MSIP_Label_be4b8eb5-6a05-4586-852c-c0fcf36d592c_Method">
    <vt:lpwstr>Privileged</vt:lpwstr>
  </property>
  <property fmtid="{D5CDD505-2E9C-101B-9397-08002B2CF9AE}" pid="14" name="MSIP_Label_be4b8eb5-6a05-4586-852c-c0fcf36d592c_Name">
    <vt:lpwstr>Document_Email_Internal</vt:lpwstr>
  </property>
  <property fmtid="{D5CDD505-2E9C-101B-9397-08002B2CF9AE}" pid="15" name="MSIP_Label_be4b8eb5-6a05-4586-852c-c0fcf36d592c_SiteId">
    <vt:lpwstr>fd72cf66-868a-4edd-8f84-8e91a618ab7f</vt:lpwstr>
  </property>
  <property fmtid="{D5CDD505-2E9C-101B-9397-08002B2CF9AE}" pid="16" name="MSIP_Label_be4b8eb5-6a05-4586-852c-c0fcf36d592c_ActionId">
    <vt:lpwstr>736a7962-4313-405c-8543-43fd1bdfe606</vt:lpwstr>
  </property>
  <property fmtid="{D5CDD505-2E9C-101B-9397-08002B2CF9AE}" pid="17" name="MSIP_Label_be4b8eb5-6a05-4586-852c-c0fcf36d592c_ContentBits">
    <vt:lpwstr>0</vt:lpwstr>
  </property>
  <property fmtid="{D5CDD505-2E9C-101B-9397-08002B2CF9AE}" pid="18" name="MSIP_Label_be4b8eb5-6a05-4586-852c-c0fcf36d592c_Tag">
    <vt:lpwstr>50, 0, 1, 1</vt:lpwstr>
  </property>
</Properties>
</file>